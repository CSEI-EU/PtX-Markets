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O12" i="29"/>
  <c r="N12" i="29"/>
  <c r="M12" i="29"/>
  <c r="L12" i="29"/>
  <c r="K12" i="29"/>
  <c r="J12" i="29"/>
  <c r="J11" i="29" s="1"/>
  <c r="I12" i="29"/>
  <c r="H12" i="29"/>
  <c r="G12" i="29"/>
  <c r="F12" i="29"/>
  <c r="E12" i="29"/>
  <c r="D12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11" i="29" l="1"/>
  <c r="K11" i="29"/>
  <c r="G11" i="29"/>
  <c r="D11" i="29"/>
  <c r="L11" i="29"/>
  <c r="T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W3" i="29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L4" i="23" l="1"/>
  <c r="G16" i="12"/>
  <c r="H29" i="23"/>
  <c r="C16" i="13"/>
  <c r="H29" i="24"/>
  <c r="F16" i="12"/>
  <c r="C16" i="12"/>
  <c r="D16" i="14"/>
  <c r="D16" i="17" s="1"/>
  <c r="O29" i="13"/>
  <c r="O29" i="16" s="1"/>
  <c r="O29" i="12"/>
  <c r="G19" i="23"/>
  <c r="E4" i="13"/>
  <c r="E19" i="24"/>
  <c r="G19" i="24"/>
  <c r="I4" i="23"/>
  <c r="K4" i="24"/>
  <c r="C17" i="16"/>
  <c r="O4" i="13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I4" i="15" s="1"/>
  <c r="L16" i="13"/>
  <c r="L16" i="16" s="1"/>
  <c r="B29" i="13"/>
  <c r="L4" i="24"/>
  <c r="Q29" i="23"/>
  <c r="G16" i="25"/>
  <c r="Q4" i="24"/>
  <c r="D4" i="23"/>
  <c r="C29" i="13"/>
  <c r="C29" i="16" s="1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E29" i="16" s="1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6" s="1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Q3" i="12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4" i="4"/>
  <c r="B44" i="4"/>
  <c r="B26" i="4"/>
  <c r="B24" i="4"/>
  <c r="B38" i="4"/>
  <c r="B27" i="4"/>
  <c r="B39" i="4"/>
  <c r="B37" i="4"/>
  <c r="B15" i="4"/>
  <c r="B29" i="4"/>
  <c r="B7" i="4"/>
  <c r="B28" i="4"/>
  <c r="B23" i="4"/>
  <c r="B8" i="4"/>
  <c r="B20" i="4"/>
  <c r="B17" i="4"/>
  <c r="B9" i="4"/>
  <c r="B14" i="4"/>
  <c r="B35" i="4"/>
  <c r="B22" i="4"/>
  <c r="B30" i="4"/>
  <c r="B33" i="4"/>
  <c r="B10" i="4"/>
  <c r="B12" i="4"/>
  <c r="B4" i="4"/>
  <c r="B13" i="4"/>
  <c r="B11" i="4"/>
  <c r="B21" i="4"/>
  <c r="B43" i="4"/>
  <c r="B45" i="4"/>
  <c r="B25" i="4"/>
  <c r="B36" i="4"/>
  <c r="B42" i="4"/>
  <c r="B16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<sst xmlns="http://schemas.openxmlformats.org/spreadsheetml/2006/main" count="2099" uniqueCount="1055">
  <si>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</si>
  <si>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</si>
  <si>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</si>
  <si>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</si>
  <si>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</si>
  <si>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</si>
  <si>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</si>
  <si>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</si>
  <si>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</si>
  <si>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</si>
  <si>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</si>
  <si>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</si>
  <si>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</si>
  <si>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</si>
  <si>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</si>
  <si>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</si>
  <si>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</si>
  <si>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</si>
  <si>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</si>
  <si>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</si>
  <si>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</si>
  <si>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</si>
  <si>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</si>
  <si>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</si>
  <si>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</si>
  <si>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</si>
  <si>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</si>
  <si>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</si>
  <si>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</si>
  <si>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</si>
  <si>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</si>
  <si>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</si>
  <si>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</si>
  <si>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</si>
  <si>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</si>
  <si>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</si>
  <si>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</si>
  <si>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</si>
  <si>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</si>
  <si>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</si>
  <si>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</si>
  <si>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</si>
  <si>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</si>
  <si>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</si>
  <si>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</si>
  <si>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</si>
  <si>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</si>
  <si>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</si>
  <si>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</si>
  <si>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</si>
  <si>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</si>
  <si>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</si>
  <si>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</si>
  <si>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</si>
  <si>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</si>
  <si>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</si>
  <si>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</si>
  <si>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</si>
  <si>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</si>
  <si>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</si>
  <si>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</si>
  <si>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</si>
  <si>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</si>
  <si>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</si>
  <si>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</si>
  <si>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</si>
  <si>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</si>
  <si>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</si>
  <si>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</si>
  <si>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</si>
  <si>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</si>
  <si>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</si>
  <si>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</si>
  <si>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</si>
  <si>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</si>
  <si>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</si>
  <si>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</si>
  <si>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</si>
  <si>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</si>
  <si>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</si>
  <si>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</si>
  <si>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</si>
  <si>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</si>
  <si>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</si>
  <si>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</si>
  <si>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</si>
  <si>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</si>
  <si>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</si>
  <si>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</si>
  <si>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</si>
  <si>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</si>
  <si>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</si>
  <si>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</si>
  <si>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</si>
  <si>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</si>
  <si>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</si>
  <si>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</si>
  <si>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</si>
  <si>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</si>
  <si>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</si>
  <si>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</si>
  <si>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</si>
  <si>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</si>
  <si>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</si>
  <si>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</si>
  <si>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</si>
  <si>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</si>
  <si>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</si>
  <si>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</si>
  <si>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</si>
  <si>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</si>
  <si>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</si>
  <si>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</si>
  <si>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</si>
  <si>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</si>
  <si>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</si>
  <si>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</si>
  <si>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</si>
  <si>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</si>
  <si>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</si>
  <si>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</si>
  <si>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</si>
  <si>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</si>
  <si>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</si>
  <si>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</si>
  <si>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</si>
  <si>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</si>
  <si>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</si>
  <si>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</si>
  <si>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</si>
  <si>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</si>
  <si>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</si>
  <si>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</si>
  <si>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</si>
  <si>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</si>
  <si>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</si>
  <si>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</si>
  <si>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</si>
  <si>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</si>
  <si>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</si>
  <si>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</si>
  <si>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</si>
  <si>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</si>
  <si>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</si>
  <si>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</si>
  <si>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</si>
  <si>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</si>
  <si>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</si>
  <si>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</si>
  <si>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</si>
  <si>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</si>
  <si>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</si>
  <si>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</si>
  <si>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</si>
  <si>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</si>
  <si>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</si>
  <si>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</si>
  <si>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</si>
  <si>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</si>
  <si>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</si>
  <si>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</si>
  <si>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</si>
  <si>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</si>
  <si>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</si>
  <si>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</si>
  <si>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</si>
  <si>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</si>
  <si>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</si>
  <si>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</si>
  <si>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</si>
  <si>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</si>
  <si>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</si>
  <si>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</si>
  <si>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</si>
  <si>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</si>
  <si>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</si>
  <si>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</si>
  <si>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</si>
  <si>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</si>
  <si>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</si>
  <si>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</si>
  <si>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</si>
  <si>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</si>
  <si>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</si>
  <si>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PT</t>
  </si>
  <si>
    <t>Portugal</t>
  </si>
  <si>
    <t>PT - Services sector summary</t>
  </si>
  <si>
    <t>Macro.number.PT.Population</t>
  </si>
  <si>
    <t>Macro.Meuro2015.PT.GDP</t>
  </si>
  <si>
    <t>Macro.Meuro2015.PT.VA</t>
  </si>
  <si>
    <t>Macro.number.PT.Employees</t>
  </si>
  <si>
    <t>NUM.number.PT.Ser.Bld</t>
  </si>
  <si>
    <t>SurfaceArea.ksqm.PT.Ser.Bld</t>
  </si>
  <si>
    <t>NUM.number.PT.Ser.BldNew</t>
  </si>
  <si>
    <t>SurfaceArea.ksqm.PT.Ser.BldNew</t>
  </si>
  <si>
    <t>HDD.Celsius.PT.Actual</t>
  </si>
  <si>
    <t>HDD.Celsius.PT.Mean</t>
  </si>
  <si>
    <t>HDD.ratio.PT.Relative</t>
  </si>
  <si>
    <t>FEC.ktoe.PT.ES.Ser</t>
  </si>
  <si>
    <t>FEC.ktoe.PT.ES.Ser.Solids</t>
  </si>
  <si>
    <t>FEC.ktoe.PT.ES.Ser.LPG</t>
  </si>
  <si>
    <t>FEC.ktoe.PT.ES.Ser.Oil</t>
  </si>
  <si>
    <t>FEC.ktoe.PT.ES.Ser.NG</t>
  </si>
  <si>
    <t>FEC.ktoe.PT.ES.Ser.Biomass_Waste</t>
  </si>
  <si>
    <t>FEC.ktoe.PT.ES.Ser.Biogas</t>
  </si>
  <si>
    <t>FEC.ktoe.PT.ES.Ser.LiqBio</t>
  </si>
  <si>
    <t>FEC.ktoe.PT.ES.Ser.Solar</t>
  </si>
  <si>
    <t>FEC.ktoe.PT.ES.Ser.Geo</t>
  </si>
  <si>
    <t>FEC.ktoe.PT.ES.Ser.Ambient</t>
  </si>
  <si>
    <t>FEC.ktoe.PT.ES.Ser.Steam_Distr</t>
  </si>
  <si>
    <t>FEC.ktoe.PT.ES.Ser.Elec</t>
  </si>
  <si>
    <t>FEC.ktoe.PT.Ser</t>
  </si>
  <si>
    <t>FEC.ktoe.PT.Ser.Bld.Thermal</t>
  </si>
  <si>
    <t>FEC.ktoe.PT.Ser.Bld.Thermal.SH</t>
  </si>
  <si>
    <t>FEC.ktoe.PT.Ser.Bld.Thermal.SC</t>
  </si>
  <si>
    <t>FEC.ktoe.PT.Ser.Bld.Thermal.HW</t>
  </si>
  <si>
    <t>FEC.ktoe.PT.Ser.Bld.Thermal.CA</t>
  </si>
  <si>
    <t>FEC.ktoe.PT.Ser.SEU</t>
  </si>
  <si>
    <t>EMI.ktCO2.PT.ES.Ser</t>
  </si>
  <si>
    <t>EMI.ktCO2.PT.ES.Ser.Solids</t>
  </si>
  <si>
    <t>EMI.ktCO2.PT.ES.Ser.LPG</t>
  </si>
  <si>
    <t>EMI.ktCO2.PT.ES.Ser.Oil</t>
  </si>
  <si>
    <t>EMI.ktCO2.PT.ES.Ser.NG</t>
  </si>
  <si>
    <t>EMI.ktCO2.PT.ES.Ser.Biomass_Waste</t>
  </si>
  <si>
    <t>EMI.ktCO2.PT.ES.Ser.Biogas</t>
  </si>
  <si>
    <t>EMI.ktCO2.PT.ES.Ser.LiqBio</t>
  </si>
  <si>
    <t>EMI.ktCO2.PT.ES.Ser.Solar</t>
  </si>
  <si>
    <t>EMI.ktCO2.PT.ES.Ser.Geo</t>
  </si>
  <si>
    <t>EMI.ktCO2.PT.ES.Ser.Ambient</t>
  </si>
  <si>
    <t>EMI.ktCO2.PT.ES.Ser.Steam_Distr</t>
  </si>
  <si>
    <t>EMI.ktCO2.PT.ES.Ser.Elec</t>
  </si>
  <si>
    <t>EMI.ktCO2.PT.Ser</t>
  </si>
  <si>
    <t>EMI.ktCO2.PT.Ser.Bld.Thermal</t>
  </si>
  <si>
    <t>EMI.ktCO2.PT.Ser.Bld.Thermal.SH</t>
  </si>
  <si>
    <t>EMI.ktCO2.PT.Ser.Bld.Thermal.SC</t>
  </si>
  <si>
    <t>EMI.ktCO2.PT.Ser.Bld.Thermal.HW</t>
  </si>
  <si>
    <t>EMI.ktCO2.PT.Ser.Bld.Thermal.CA</t>
  </si>
  <si>
    <t>EMI.ktCO2.PT.Ser.SEU</t>
  </si>
  <si>
    <t>Eff.ratio.PT.Ser.Bld.Thermal</t>
  </si>
  <si>
    <t>Eff.ratio.PT.Ser.Bld.Thermal.SH</t>
  </si>
  <si>
    <t>Eff.ratio.PT.Ser.Bld.Thermal.SC</t>
  </si>
  <si>
    <t>Eff.ratio.PT.Ser.Bld.Thermal.HW</t>
  </si>
  <si>
    <t>Eff.ratio.PT.Ser.Bld.Thermal.CA</t>
  </si>
  <si>
    <t>PT - Number of buildings</t>
  </si>
  <si>
    <t>NUM.number.PT.Ser.Bld.Thermal</t>
  </si>
  <si>
    <t>NUM.number.PT.Ser.Bld.Thermal.SH</t>
  </si>
  <si>
    <t>NUM.number.PT.Ser.Bld.Thermal.SH.Solids</t>
  </si>
  <si>
    <t>NUM.number.PT.Ser.Bld.Thermal.SH.LPG</t>
  </si>
  <si>
    <t>NUM.number.PT.Ser.Bld.Thermal.SH.Oil</t>
  </si>
  <si>
    <t>NUM.number.PT.Ser.Bld.Thermal.SH.GasHP</t>
  </si>
  <si>
    <t>NUM.number.PT.Ser.Bld.Thermal.SH.GasTH</t>
  </si>
  <si>
    <t>NUM.number.PT.Ser.Bld.Thermal.SH.Biomass</t>
  </si>
  <si>
    <t>NUM.number.PT.Ser.Bld.Thermal.SH.Geo</t>
  </si>
  <si>
    <t>NUM.number.PT.Ser.Bld.Thermal.SH.DistrHeat</t>
  </si>
  <si>
    <t>NUM.number.PT.Ser.Bld.Thermal.SH.AdvElc</t>
  </si>
  <si>
    <t>NUM.number.PT.Ser.Bld.Thermal.SH.ConvElc</t>
  </si>
  <si>
    <t>NUM.number.PT.Ser.Bld.Thermal.SC</t>
  </si>
  <si>
    <t>NUM.number.PT.Ser.Bld.Thermal.SC.GasHP</t>
  </si>
  <si>
    <t>NUM.number.PT.Ser.Bld.Thermal.SC.AC</t>
  </si>
  <si>
    <t>NUM.number.PT.Ser.Bld.Thermal.HW</t>
  </si>
  <si>
    <t>NUM.number.PT.Ser.Bld.Thermal.HW.Solids</t>
  </si>
  <si>
    <t>NUM.number.PT.Ser.Bld.Thermal.HW.LPG</t>
  </si>
  <si>
    <t>NUM.number.PT.Ser.Bld.Thermal.HW.Oil</t>
  </si>
  <si>
    <t>NUM.number.PT.Ser.Bld.Thermal.HW.Gas</t>
  </si>
  <si>
    <t>NUM.number.PT.Ser.Bld.Thermal.HW.Biomass</t>
  </si>
  <si>
    <t>NUM.number.PT.Ser.Bld.Thermal.HW.DistrHeat</t>
  </si>
  <si>
    <t>NUM.number.PT.Ser.Bld.Thermal.HW.Elc</t>
  </si>
  <si>
    <t>NUM.number.PT.Ser.Bld.Thermal.HW.Solar</t>
  </si>
  <si>
    <t>NUM.number.PT.Ser.Bld.Thermal.CA</t>
  </si>
  <si>
    <t>NUM.number.PT.Ser.Bld.Thermal.CA.LPG</t>
  </si>
  <si>
    <t>NUM.number.PT.Ser.Bld.Thermal.CA.Gas</t>
  </si>
  <si>
    <t>NUM.number.PT.Ser.Bld.Thermal.CA.Biomass</t>
  </si>
  <si>
    <t>NUM.number.PT.Ser.Bld.Thermal.CA.Elc</t>
  </si>
  <si>
    <t>PT - Final energy consumption</t>
  </si>
  <si>
    <t>FEC.ktoe.PT.Ser.Bld.Thermal.SH.Solids.Solids</t>
  </si>
  <si>
    <t>FEC.ktoe.PT.Ser.Bld.Thermal.SH.LPG.LPG</t>
  </si>
  <si>
    <t>FEC.ktoe.PT.Ser.Bld.Thermal.SH.Oil.Oil_LiqBio</t>
  </si>
  <si>
    <t>FEC.ktoe.PT.Ser.Bld.Thermal.SH.GasHP.NG_Biogas</t>
  </si>
  <si>
    <t>FEC.ktoe.PT.Ser.Bld.Thermal.SH.GasTH.NG_Biogas</t>
  </si>
  <si>
    <t>FEC.ktoe.PT.Ser.Bld.Thermal.SH.Biomass.Biomass_Waste</t>
  </si>
  <si>
    <t>FEC.ktoe.PT.Ser.Bld.Thermal.SH.Geo.Geo</t>
  </si>
  <si>
    <t>FEC.ktoe.PT.Ser.Bld.Thermal.SH.DistrHeat.Steam_Distr</t>
  </si>
  <si>
    <t>FEC.ktoe.PT.Ser.Bld.Thermal.SH.AdvElc.Elec</t>
  </si>
  <si>
    <t>FEC.ktoe.PT.Ser.Bld.Thermal.SH.ConvElc.Elec</t>
  </si>
  <si>
    <t>FEC.ktoe.PT.Ser.Bld.Thermal.SH.TotalCirculation.Elec</t>
  </si>
  <si>
    <t>FEC.ktoe.PT.Ser.Bld.Thermal.SC.GasHP.NG_Biogas</t>
  </si>
  <si>
    <t>FEC.ktoe.PT.Ser.Bld.Thermal.SC.AC.Elec</t>
  </si>
  <si>
    <t>FEC.ktoe.PT.Ser.Bld.Thermal.HW.Solids.Solids</t>
  </si>
  <si>
    <t>FEC.ktoe.PT.Ser.Bld.Thermal.HW.LPG.LPG</t>
  </si>
  <si>
    <t>FEC.ktoe.PT.Ser.Bld.Thermal.HW.Oil.Oil_LiqBio</t>
  </si>
  <si>
    <t>FEC.ktoe.PT.Ser.Bld.Thermal.HW.Gas.NG_Biogas</t>
  </si>
  <si>
    <t>FEC.ktoe.PT.Ser.Bld.Thermal.HW.Biomass.Biomass_Waste</t>
  </si>
  <si>
    <t>FEC.ktoe.PT.Ser.Bld.Thermal.HW.DistrHeat.Steam_Distr</t>
  </si>
  <si>
    <t>FEC.ktoe.PT.Ser.Bld.Thermal.HW.Elc.Elec</t>
  </si>
  <si>
    <t>FEC.ktoe.PT.Ser.Bld.Thermal.HW.TotalSolar.Solar</t>
  </si>
  <si>
    <t>FEC.ktoe.PT.Ser.Bld.Thermal.CA.LPG</t>
  </si>
  <si>
    <t>FEC.ktoe.PT.Ser.Bld.Thermal.CA.Gas.NG_Biogas</t>
  </si>
  <si>
    <t>FEC.ktoe.PT.Ser.Bld.Thermal.CA.Biomass.Biomass_Waste</t>
  </si>
  <si>
    <t>FEC.ktoe.PT.Ser.Bld.Thermal.CA.Elc.Elec</t>
  </si>
  <si>
    <t>PT - Thermal energy service</t>
  </si>
  <si>
    <t>TES.ktoe.PT.Ser.Bld.Thermal</t>
  </si>
  <si>
    <t>TES.ktoe.PT.Ser.Bld.Thermal.SH</t>
  </si>
  <si>
    <t>TES.ktoe.PT.Ser.Bld.Thermal.SH.Solids.Solids</t>
  </si>
  <si>
    <t>TES.ktoe.PT.Ser.Bld.Thermal.SH.LPG.LPG</t>
  </si>
  <si>
    <t>TES.ktoe.PT.Ser.Bld.Thermal.SH.Oil.Oil_LiqBio</t>
  </si>
  <si>
    <t>TES.ktoe.PT.Ser.Bld.Thermal.SH.GasHP.NG_Biogas</t>
  </si>
  <si>
    <t>TES.ktoe.PT.Ser.Bld.Thermal.SH.GasTH.NG_Biogas</t>
  </si>
  <si>
    <t>TES.ktoe.PT.Ser.Bld.Thermal.SH.Biomass.Biomass_Waste</t>
  </si>
  <si>
    <t>TES.ktoe.PT.Ser.Bld.Thermal.SH.Geo.Geo</t>
  </si>
  <si>
    <t>TES.ktoe.PT.Ser.Bld.Thermal.SH.DistrHeat.Steam_Distr</t>
  </si>
  <si>
    <t>TES.ktoe.PT.Ser.Bld.Thermal.SH.AdvElc.Elec</t>
  </si>
  <si>
    <t>TES.ktoe.PT.Ser.Bld.Thermal.SH.ConvElc.Elec</t>
  </si>
  <si>
    <t>TES.ktoe.PT.Ser.Bld.Thermal.SH.TotalCirculation.Elec</t>
  </si>
  <si>
    <t>TES.ktoe.PT.Ser.Bld.Thermal.SC</t>
  </si>
  <si>
    <t>TES.ktoe.PT.Ser.Bld.Thermal.SC.GasHP.NG_Biogas</t>
  </si>
  <si>
    <t>TES.ktoe.PT.Ser.Bld.Thermal.SC.AC.Elec</t>
  </si>
  <si>
    <t>TES.ktoe.PT.Ser.Bld.Thermal.HW</t>
  </si>
  <si>
    <t>TES.ktoe.PT.Ser.Bld.Thermal.HW.Solids.Solids</t>
  </si>
  <si>
    <t>TES.ktoe.PT.Ser.Bld.Thermal.HW.LPG.LPG</t>
  </si>
  <si>
    <t>TES.ktoe.PT.Ser.Bld.Thermal.HW.Oil.Oil_LiqBio</t>
  </si>
  <si>
    <t>TES.ktoe.PT.Ser.Bld.Thermal.HW.Gas.NG_Biogas</t>
  </si>
  <si>
    <t>TES.ktoe.PT.Ser.Bld.Thermal.HW.Biomass.Biomass_Waste</t>
  </si>
  <si>
    <t>TES.ktoe.PT.Ser.Bld.Thermal.HW.DistrHeat.Steam_Distr</t>
  </si>
  <si>
    <t>TES.ktoe.PT.Ser.Bld.Thermal.HW.Elc.Elec</t>
  </si>
  <si>
    <t>TES.ktoe.PT.Ser.Bld.Thermal.HW.TotalSolar.Solar</t>
  </si>
  <si>
    <t>TES.ktoe.PT.Ser.Bld.Thermal.CA</t>
  </si>
  <si>
    <t>TES.ktoe.PT.Ser.Bld.Thermal.CA.LPG</t>
  </si>
  <si>
    <t>TES.ktoe.PT.Ser.Bld.Thermal.CA.Gas.NG_Biogas</t>
  </si>
  <si>
    <t>TES.ktoe.PT.Ser.Bld.Thermal.CA.Biomass.Biomass_Waste</t>
  </si>
  <si>
    <t>TES.ktoe.PT.Ser.Bld.Thermal.CA.Elc.Elec</t>
  </si>
  <si>
    <t>PT - System efficiency indicator of total stock</t>
  </si>
  <si>
    <t>Eff.ratio.PT.Ser.Bld.Thermal.SH.Solids.Solids</t>
  </si>
  <si>
    <t>Eff.ratio.PT.Ser.Bld.Thermal.SH.LPG.LPG</t>
  </si>
  <si>
    <t>Eff.ratio.PT.Ser.Bld.Thermal.SH.Oil.Oil_LiqBio</t>
  </si>
  <si>
    <t>Eff.ratio.PT.Ser.Bld.Thermal.SH.GasHP.NG_Biogas</t>
  </si>
  <si>
    <t>Eff.ratio.PT.Ser.Bld.Thermal.SH.GasTH.NG_Biogas</t>
  </si>
  <si>
    <t>Eff.ratio.PT.Ser.Bld.Thermal.SH.Biomass.Biomass_Waste</t>
  </si>
  <si>
    <t>Eff.ratio.PT.Ser.Bld.Thermal.SH.Geo.Geo</t>
  </si>
  <si>
    <t>Eff.ratio.PT.Ser.Bld.Thermal.SH.DistrHeat.Steam_Distr</t>
  </si>
  <si>
    <t>Eff.ratio.PT.Ser.Bld.Thermal.SH.AdvElc.Elec</t>
  </si>
  <si>
    <t>Eff.ratio.PT.Ser.Bld.Thermal.SH.ConvElc.Elec</t>
  </si>
  <si>
    <t>Eff.ratio.PT.Ser.Bld.Thermal.SH.TotalCirculation.Elec</t>
  </si>
  <si>
    <t>Eff.ratio.PT.Ser.Bld.Thermal.SC.GasHP.NG_Biogas</t>
  </si>
  <si>
    <t>Eff.ratio.PT.Ser.Bld.Thermal.SC.AC.Elec</t>
  </si>
  <si>
    <t>Eff.ratio.PT.Ser.Bld.Thermal.HW.Solids.Solids</t>
  </si>
  <si>
    <t>Eff.ratio.PT.Ser.Bld.Thermal.HW.LPG.LPG</t>
  </si>
  <si>
    <t>Eff.ratio.PT.Ser.Bld.Thermal.HW.Oil.Oil_LiqBio</t>
  </si>
  <si>
    <t>Eff.ratio.PT.Ser.Bld.Thermal.HW.Gas.NG_Biogas</t>
  </si>
  <si>
    <t>Eff.ratio.PT.Ser.Bld.Thermal.HW.Biomass.Biomass_Waste</t>
  </si>
  <si>
    <t>Eff.ratio.PT.Ser.Bld.Thermal.HW.DistrHeat.Steam_Distr</t>
  </si>
  <si>
    <t>Eff.ratio.PT.Ser.Bld.Thermal.HW.Elc.Elec</t>
  </si>
  <si>
    <t>Eff.ratio.PT.Ser.Bld.Thermal.HW.TotalSolar.Solar</t>
  </si>
  <si>
    <t>Eff.ratio.PT.Ser.Bld.Thermal.CA.LPG</t>
  </si>
  <si>
    <t>Eff.ratio.PT.Ser.Bld.Thermal.CA.Gas.NG_Biogas</t>
  </si>
  <si>
    <t>Eff.ratio.PT.Ser.Bld.Thermal.CA.Biomass.Biomass_Waste</t>
  </si>
  <si>
    <t>Eff.ratio.PT.Ser.Bld.Thermal.CA.Elc.Elec</t>
  </si>
  <si>
    <t>PT - CO2 emissions</t>
  </si>
  <si>
    <t>EMI.ktCO2.PT.Ser.Bld.Thermal.SH.Solids.Solids</t>
  </si>
  <si>
    <t>EMI.ktCO2.PT.Ser.Bld.Thermal.SH.LPG.LPG</t>
  </si>
  <si>
    <t>EMI.ktCO2.PT.Ser.Bld.Thermal.SH.Oil.Oil_LiqBio</t>
  </si>
  <si>
    <t>EMI.ktCO2.PT.Ser.Bld.Thermal.SH.GasHP.NG_Biogas</t>
  </si>
  <si>
    <t>EMI.ktCO2.PT.Ser.Bld.Thermal.SH.GasTH.NG_Biogas</t>
  </si>
  <si>
    <t>EMI.ktCO2.PT.Ser.Bld.Thermal.SH.Biomass.Biomass_Waste</t>
  </si>
  <si>
    <t>EMI.ktCO2.PT.Ser.Bld.Thermal.SH.Geo.Geo</t>
  </si>
  <si>
    <t>EMI.ktCO2.PT.Ser.Bld.Thermal.SH.DistrHeat.Steam_Distr</t>
  </si>
  <si>
    <t>EMI.ktCO2.PT.Ser.Bld.Thermal.SH.AdvElc.Elec</t>
  </si>
  <si>
    <t>EMI.ktCO2.PT.Ser.Bld.Thermal.SH.ConvElc.Elec</t>
  </si>
  <si>
    <t>EMI.ktCO2.PT.Ser.Bld.Thermal.SH.TotalCirculation.Elec</t>
  </si>
  <si>
    <t>EMI.ktCO2.PT.Ser.Bld.Thermal.SC.GasHP.NG_Biogas</t>
  </si>
  <si>
    <t>EMI.ktCO2.PT.Ser.Bld.Thermal.SC.AC.Elec</t>
  </si>
  <si>
    <t>EMI.ktCO2.PT.Ser.Bld.Thermal.HW.Solids.Solids</t>
  </si>
  <si>
    <t>EMI.ktCO2.PT.Ser.Bld.Thermal.HW.LPG.LPG</t>
  </si>
  <si>
    <t>EMI.ktCO2.PT.Ser.Bld.Thermal.HW.Oil.Oil_LiqBio</t>
  </si>
  <si>
    <t>EMI.ktCO2.PT.Ser.Bld.Thermal.HW.Gas.NG_Biogas</t>
  </si>
  <si>
    <t>EMI.ktCO2.PT.Ser.Bld.Thermal.HW.Biomass.Biomass_Waste</t>
  </si>
  <si>
    <t>EMI.ktCO2.PT.Ser.Bld.Thermal.HW.DistrHeat.Steam_Distr</t>
  </si>
  <si>
    <t>EMI.ktCO2.PT.Ser.Bld.Thermal.HW.Elc.Elec</t>
  </si>
  <si>
    <t>EMI.ktCO2.PT.Ser.Bld.Thermal.HW.TotalSolar.Solar</t>
  </si>
  <si>
    <t>EMI.ktCO2.PT.Ser.Bld.Thermal.CA.LPG</t>
  </si>
  <si>
    <t>EMI.ktCO2.PT.Ser.Bld.Thermal.CA.Gas.NG_Biogas</t>
  </si>
  <si>
    <t>EMI.ktCO2.PT.Ser.Bld.Thermal.CA.Biomass.Biomass_Waste</t>
  </si>
  <si>
    <t>EMI.ktCO2.PT.Ser.Bld.Thermal.CA.Elc.Elec</t>
  </si>
  <si>
    <t>PT - Final energy consumption per building</t>
  </si>
  <si>
    <t>FEC_per_building.kWh.PT.Ser.Bld.Thermal</t>
  </si>
  <si>
    <t>FEC_per_building.kWh.PT.Ser.Bld.Thermal.SH</t>
  </si>
  <si>
    <t>FEC_per_building.kWh.PT.Ser.Bld.Thermal.SH.Solids.Solids</t>
  </si>
  <si>
    <t>FEC_per_building.kWh.PT.Ser.Bld.Thermal.SH.LPG.LPG</t>
  </si>
  <si>
    <t>FEC_per_building.kWh.PT.Ser.Bld.Thermal.SH.Oil.Oil_LiqBio</t>
  </si>
  <si>
    <t>FEC_per_building.kWh.PT.Ser.Bld.Thermal.SH.GasHP.NG_Biogas</t>
  </si>
  <si>
    <t>FEC_per_building.kWh.PT.Ser.Bld.Thermal.SH.GasTH.NG_Biogas</t>
  </si>
  <si>
    <t>FEC_per_building.kWh.PT.Ser.Bld.Thermal.SH.Biomass.Biomass_Waste</t>
  </si>
  <si>
    <t>FEC_per_building.kWh.PT.Ser.Bld.Thermal.SH.Geo.Geo</t>
  </si>
  <si>
    <t>FEC_per_building.kWh.PT.Ser.Bld.Thermal.SH.DistrHeat.Steam_Distr</t>
  </si>
  <si>
    <t>FEC_per_building.kWh.PT.Ser.Bld.Thermal.SH.AdvElc.Elec</t>
  </si>
  <si>
    <t>FEC_per_building.kWh.PT.Ser.Bld.Thermal.SH.ConvElc.Elec</t>
  </si>
  <si>
    <t>FEC_per_building.kWh.PT.Ser.Bld.Thermal.SH.TotalCirculation.Elec</t>
  </si>
  <si>
    <t>FEC_per_building.kWh.PT.Ser.Bld.Thermal.SC</t>
  </si>
  <si>
    <t>FEC_per_building.kWh.PT.Ser.Bld.Thermal.SC.GasHP.NG_Biogas</t>
  </si>
  <si>
    <t>FEC_per_building.kWh.PT.Ser.Bld.Thermal.SC.AC.Elec</t>
  </si>
  <si>
    <t>FEC_per_building.kWh.PT.Ser.Bld.Thermal.HW</t>
  </si>
  <si>
    <t>FEC_per_building.kWh.PT.Ser.Bld.Thermal.HW.Solids.Solids</t>
  </si>
  <si>
    <t>FEC_per_building.kWh.PT.Ser.Bld.Thermal.HW.LPG.LPG</t>
  </si>
  <si>
    <t>FEC_per_building.kWh.PT.Ser.Bld.Thermal.HW.Oil.Oil_LiqBio</t>
  </si>
  <si>
    <t>FEC_per_building.kWh.PT.Ser.Bld.Thermal.HW.Gas.NG_Biogas</t>
  </si>
  <si>
    <t>FEC_per_building.kWh.PT.Ser.Bld.Thermal.HW.Biomass.Biomass_Waste</t>
  </si>
  <si>
    <t>FEC_per_building.kWh.PT.Ser.Bld.Thermal.HW.DistrHeat.Steam_Distr</t>
  </si>
  <si>
    <t>FEC_per_building.kWh.PT.Ser.Bld.Thermal.HW.Elc.Elec</t>
  </si>
  <si>
    <t>FEC_per_building.kWh.PT.Ser.Bld.Thermal.HW.TotalSolar.Solar</t>
  </si>
  <si>
    <t>FEC_per_building.kWh.PT.Ser.Bld.Thermal.CA</t>
  </si>
  <si>
    <t>FEC_per_building.kWh.PT.Ser.Bld.Thermal.CA.LPG</t>
  </si>
  <si>
    <t>FEC_per_building.kWh.PT.Ser.Bld.Thermal.CA.Gas.NG_Biogas</t>
  </si>
  <si>
    <t>FEC_per_building.kWh.PT.Ser.Bld.Thermal.CA.Biomass.Biomass_Waste</t>
  </si>
  <si>
    <t>FEC_per_building.kWh.PT.Ser.Bld.Thermal.CA.Elc.Elec</t>
  </si>
  <si>
    <t>PT - Thermal energy service per building</t>
  </si>
  <si>
    <t>TES_per_building.kWh.PT.Ser.Bld.Thermal</t>
  </si>
  <si>
    <t>TES_per_building.kWh.PT.Ser.Bld.Thermal.SH</t>
  </si>
  <si>
    <t>TES_per_building.kWh.PT.Ser.Bld.Thermal.SH.Solids.Solids</t>
  </si>
  <si>
    <t>TES_per_building.kWh.PT.Ser.Bld.Thermal.SH.LPG.LPG</t>
  </si>
  <si>
    <t>TES_per_building.kWh.PT.Ser.Bld.Thermal.SH.Oil.Oil_LiqBio</t>
  </si>
  <si>
    <t>TES_per_building.kWh.PT.Ser.Bld.Thermal.SH.GasHP.NG_Biogas</t>
  </si>
  <si>
    <t>TES_per_building.kWh.PT.Ser.Bld.Thermal.SH.GasTH.NG_Biogas</t>
  </si>
  <si>
    <t>TES_per_building.kWh.PT.Ser.Bld.Thermal.SH.Biomass.Biomass_Waste</t>
  </si>
  <si>
    <t>TES_per_building.kWh.PT.Ser.Bld.Thermal.SH.Geo.Geo</t>
  </si>
  <si>
    <t>TES_per_building.kWh.PT.Ser.Bld.Thermal.SH.DistrHeat.Steam_Distr</t>
  </si>
  <si>
    <t>TES_per_building.kWh.PT.Ser.Bld.Thermal.SH.AdvElc.Elec</t>
  </si>
  <si>
    <t>TES_per_building.kWh.PT.Ser.Bld.Thermal.SH.ConvElc.Elec</t>
  </si>
  <si>
    <t>TES_per_building.kWh.PT.Ser.Bld.Thermal.SH.TotalCirculation.Elec</t>
  </si>
  <si>
    <t>TES_per_building.kWh.PT.Ser.Bld.Thermal.SC</t>
  </si>
  <si>
    <t>TES_per_building.kWh.PT.Ser.Bld.Thermal.SC.GasHP.NG_Biogas</t>
  </si>
  <si>
    <t>TES_per_building.kWh.PT.Ser.Bld.Thermal.SC.AC.Elec</t>
  </si>
  <si>
    <t>TES_per_building.kWh.PT.Ser.Bld.Thermal.HW</t>
  </si>
  <si>
    <t>TES_per_building.kWh.PT.Ser.Bld.Thermal.HW.Solids.Solids</t>
  </si>
  <si>
    <t>TES_per_building.kWh.PT.Ser.Bld.Thermal.HW.LPG.LPG</t>
  </si>
  <si>
    <t>TES_per_building.kWh.PT.Ser.Bld.Thermal.HW.Oil.Oil_LiqBio</t>
  </si>
  <si>
    <t>TES_per_building.kWh.PT.Ser.Bld.Thermal.HW.Gas.NG_Biogas</t>
  </si>
  <si>
    <t>TES_per_building.kWh.PT.Ser.Bld.Thermal.HW.Biomass.Biomass_Waste</t>
  </si>
  <si>
    <t>TES_per_building.kWh.PT.Ser.Bld.Thermal.HW.DistrHeat.Steam_Distr</t>
  </si>
  <si>
    <t>TES_per_building.kWh.PT.Ser.Bld.Thermal.HW.Elc.Elec</t>
  </si>
  <si>
    <t>TES_per_building.kWh.PT.Ser.Bld.Thermal.HW.TotalSolar.Solar</t>
  </si>
  <si>
    <t>TES_per_building.kWh.PT.Ser.Bld.Thermal.CA</t>
  </si>
  <si>
    <t>TES_per_building.kWh.PT.Ser.Bld.Thermal.CA.LPG</t>
  </si>
  <si>
    <t>TES_per_building.kWh.PT.Ser.Bld.Thermal.CA.Gas.NG_Biogas</t>
  </si>
  <si>
    <t>TES_per_building.kWh.PT.Ser.Bld.Thermal.CA.Biomass.Biomass_Waste</t>
  </si>
  <si>
    <t>TES_per_building.kWh.PT.Ser.Bld.Thermal.CA.Elc.Elec</t>
  </si>
  <si>
    <t>PT - CO2 emissions per building</t>
  </si>
  <si>
    <t>EMI_per_building.kgCO2.PT.Ser.Bld.Thermal</t>
  </si>
  <si>
    <t>EMI_per_building.kgCO2.PT.Ser.Bld.Thermal.SH</t>
  </si>
  <si>
    <t>EMI_per_building.kgCO2.PT.Ser.Bld.Thermal.SH.Solids.Solids</t>
  </si>
  <si>
    <t>EMI_per_building.kgCO2.PT.Ser.Bld.Thermal.SH.LPG.LPG</t>
  </si>
  <si>
    <t>EMI_per_building.kgCO2.PT.Ser.Bld.Thermal.SH.Oil.Oil_LiqBio</t>
  </si>
  <si>
    <t>EMI_per_building.kgCO2.PT.Ser.Bld.Thermal.SH.GasHP.NG_Biogas</t>
  </si>
  <si>
    <t>EMI_per_building.kgCO2.PT.Ser.Bld.Thermal.SH.GasTH.NG_Biogas</t>
  </si>
  <si>
    <t>EMI_per_building.kgCO2.PT.Ser.Bld.Thermal.SH.Biomass.Biomass_Waste</t>
  </si>
  <si>
    <t>EMI_per_building.kgCO2.PT.Ser.Bld.Thermal.SH.Geo.Geo</t>
  </si>
  <si>
    <t>EMI_per_building.kgCO2.PT.Ser.Bld.Thermal.SH.DistrHeat.Steam_Distr</t>
  </si>
  <si>
    <t>EMI_per_building.kgCO2.PT.Ser.Bld.Thermal.SH.AdvElc.Elec</t>
  </si>
  <si>
    <t>EMI_per_building.kgCO2.PT.Ser.Bld.Thermal.SH.ConvElc.Elec</t>
  </si>
  <si>
    <t>EMI_per_building.kgCO2.PT.Ser.Bld.Thermal.SH.TotalCirculation.Elec</t>
  </si>
  <si>
    <t>EMI_per_building.kgCO2.PT.Ser.Bld.Thermal.SC</t>
  </si>
  <si>
    <t>EMI_per_building.kgCO2.PT.Ser.Bld.Thermal.SC.GasHP.NG_Biogas</t>
  </si>
  <si>
    <t>EMI_per_building.kgCO2.PT.Ser.Bld.Thermal.SC.AC.Elec</t>
  </si>
  <si>
    <t>EMI_per_building.kgCO2.PT.Ser.Bld.Thermal.HW</t>
  </si>
  <si>
    <t>EMI_per_building.kgCO2.PT.Ser.Bld.Thermal.HW.Solids.Solids</t>
  </si>
  <si>
    <t>EMI_per_building.kgCO2.PT.Ser.Bld.Thermal.HW.LPG.LPG</t>
  </si>
  <si>
    <t>EMI_per_building.kgCO2.PT.Ser.Bld.Thermal.HW.Oil.Oil_LiqBio</t>
  </si>
  <si>
    <t>EMI_per_building.kgCO2.PT.Ser.Bld.Thermal.HW.Gas.NG_Biogas</t>
  </si>
  <si>
    <t>EMI_per_building.kgCO2.PT.Ser.Bld.Thermal.HW.Biomass.Biomass_Waste</t>
  </si>
  <si>
    <t>EMI_per_building.kgCO2.PT.Ser.Bld.Thermal.HW.DistrHeat.Steam_Distr</t>
  </si>
  <si>
    <t>EMI_per_building.kgCO2.PT.Ser.Bld.Thermal.HW.Elc.Elec</t>
  </si>
  <si>
    <t>EMI_per_building.kgCO2.PT.Ser.Bld.Thermal.HW.TotalSolar.Solar</t>
  </si>
  <si>
    <t>EMI_per_building.kgCO2.PT.Ser.Bld.Thermal.CA</t>
  </si>
  <si>
    <t>EMI_per_building.kgCO2.PT.Ser.Bld.Thermal.CA.LPG</t>
  </si>
  <si>
    <t>EMI_per_building.kgCO2.PT.Ser.Bld.Thermal.CA.Gas.NG_Biogas</t>
  </si>
  <si>
    <t>EMI_per_building.kgCO2.PT.Ser.Bld.Thermal.CA.Biomass.Biomass_Waste</t>
  </si>
  <si>
    <t>EMI_per_building.kgCO2.PT.Ser.Bld.Thermal.CA.Elc.Elec</t>
  </si>
  <si>
    <t>PT - Final energy consumption per useful surface area</t>
  </si>
  <si>
    <t>FEC_per_sqm.kWh.PT.Ser.Bld.Thermal</t>
  </si>
  <si>
    <t>FEC_per_sqm.kWh.PT.Ser.Bld.Thermal.SH</t>
  </si>
  <si>
    <t>FEC_per_sqm.kWh.PT.Ser.Bld.Thermal.SH.Solids.Solids</t>
  </si>
  <si>
    <t>FEC_per_sqm.kWh.PT.Ser.Bld.Thermal.SH.LPG.LPG</t>
  </si>
  <si>
    <t>FEC_per_sqm.kWh.PT.Ser.Bld.Thermal.SH.Oil.Oil_LiqBio</t>
  </si>
  <si>
    <t>FEC_per_sqm.kWh.PT.Ser.Bld.Thermal.SH.GasHP.NG_Biogas</t>
  </si>
  <si>
    <t>FEC_per_sqm.kWh.PT.Ser.Bld.Thermal.SH.GasTH.NG_Biogas</t>
  </si>
  <si>
    <t>FEC_per_sqm.kWh.PT.Ser.Bld.Thermal.SH.Biomass.Biomass_Waste</t>
  </si>
  <si>
    <t>FEC_per_sqm.kWh.PT.Ser.Bld.Thermal.SH.Geo.Geo</t>
  </si>
  <si>
    <t>FEC_per_sqm.kWh.PT.Ser.Bld.Thermal.SH.DistrHeat.Steam_Distr</t>
  </si>
  <si>
    <t>FEC_per_sqm.kWh.PT.Ser.Bld.Thermal.SH.AdvElc.Elec</t>
  </si>
  <si>
    <t>FEC_per_sqm.kWh.PT.Ser.Bld.Thermal.SH.ConvElc.Elec</t>
  </si>
  <si>
    <t>FEC_per_sqm.kWh.PT.Ser.Bld.Thermal.SH.TotalCirculation.Elec</t>
  </si>
  <si>
    <t>FEC_per_sqm.kWh.PT.Ser.Bld.Thermal.SC</t>
  </si>
  <si>
    <t>FEC_per_sqm.kWh.PT.Ser.Bld.Thermal.SC.GasHP.NG_Biogas</t>
  </si>
  <si>
    <t>FEC_per_sqm.kWh.PT.Ser.Bld.Thermal.SC.AC.Elec</t>
  </si>
  <si>
    <t>FEC_per_sqm.kWh.PT.Ser.Bld.Thermal.HW</t>
  </si>
  <si>
    <t>FEC_per_sqm.kWh.PT.Ser.Bld.Thermal.HW.Solids.Solids</t>
  </si>
  <si>
    <t>FEC_per_sqm.kWh.PT.Ser.Bld.Thermal.HW.LPG.LPG</t>
  </si>
  <si>
    <t>FEC_per_sqm.kWh.PT.Ser.Bld.Thermal.HW.Oil.Oil_LiqBio</t>
  </si>
  <si>
    <t>FEC_per_sqm.kWh.PT.Ser.Bld.Thermal.HW.Gas.NG_Biogas</t>
  </si>
  <si>
    <t>FEC_per_sqm.kWh.PT.Ser.Bld.Thermal.HW.Biomass.Biomass_Waste</t>
  </si>
  <si>
    <t>FEC_per_sqm.kWh.PT.Ser.Bld.Thermal.HW.DistrHeat.Steam_Distr</t>
  </si>
  <si>
    <t>FEC_per_sqm.kWh.PT.Ser.Bld.Thermal.HW.Elc.Elec</t>
  </si>
  <si>
    <t>FEC_per_sqm.kWh.PT.Ser.Bld.Thermal.HW.TotalSolar.Solar</t>
  </si>
  <si>
    <t>FEC_per_sqm.kWh.PT.Ser.Bld.Thermal.CA</t>
  </si>
  <si>
    <t>FEC_per_sqm.kWh.PT.Ser.Bld.Thermal.CA.LPG</t>
  </si>
  <si>
    <t>FEC_per_sqm.kWh.PT.Ser.Bld.Thermal.CA.Gas.NG_Biogas</t>
  </si>
  <si>
    <t>FEC_per_sqm.kWh.PT.Ser.Bld.Thermal.CA.Biomass.Biomass_Waste</t>
  </si>
  <si>
    <t>FEC_per_sqm.kWh.PT.Ser.Bld.Thermal.CA.Elc.Elec</t>
  </si>
  <si>
    <t>PT - Thermal energy service per useful surface area</t>
  </si>
  <si>
    <t>TES_per_sqm.kWh.PT.Ser.Bld.Thermal</t>
  </si>
  <si>
    <t>TES_per_sqm.kWh.PT.Ser.Bld.Thermal.SH</t>
  </si>
  <si>
    <t>TES_per_sqm.kWh.PT.Ser.Bld.Thermal.SH.Solids.Solids</t>
  </si>
  <si>
    <t>TES_per_sqm.kWh.PT.Ser.Bld.Thermal.SH.LPG.LPG</t>
  </si>
  <si>
    <t>TES_per_sqm.kWh.PT.Ser.Bld.Thermal.SH.Oil.Oil_LiqBio</t>
  </si>
  <si>
    <t>TES_per_sqm.kWh.PT.Ser.Bld.Thermal.SH.GasHP.NG_Biogas</t>
  </si>
  <si>
    <t>TES_per_sqm.kWh.PT.Ser.Bld.Thermal.SH.GasTH.NG_Biogas</t>
  </si>
  <si>
    <t>TES_per_sqm.kWh.PT.Ser.Bld.Thermal.SH.Biomass.Biomass_Waste</t>
  </si>
  <si>
    <t>TES_per_sqm.kWh.PT.Ser.Bld.Thermal.SH.Geo.Geo</t>
  </si>
  <si>
    <t>TES_per_sqm.kWh.PT.Ser.Bld.Thermal.SH.DistrHeat.Steam_Distr</t>
  </si>
  <si>
    <t>TES_per_sqm.kWh.PT.Ser.Bld.Thermal.SH.AdvElc.Elec</t>
  </si>
  <si>
    <t>TES_per_sqm.kWh.PT.Ser.Bld.Thermal.SH.ConvElc.Elec</t>
  </si>
  <si>
    <t>TES_per_sqm.kWh.PT.Ser.Bld.Thermal.SH.TotalCirculation.Elec</t>
  </si>
  <si>
    <t>TES_per_sqm.kWh.PT.Ser.Bld.Thermal.SC</t>
  </si>
  <si>
    <t>TES_per_sqm.kWh.PT.Ser.Bld.Thermal.SC.GasHP.NG_Biogas</t>
  </si>
  <si>
    <t>TES_per_sqm.kWh.PT.Ser.Bld.Thermal.SC.AC.Elec</t>
  </si>
  <si>
    <t>TES_per_sqm.kWh.PT.Ser.Bld.Thermal.HW</t>
  </si>
  <si>
    <t>TES_per_sqm.kWh.PT.Ser.Bld.Thermal.HW.Solids.Solids</t>
  </si>
  <si>
    <t>TES_per_sqm.kWh.PT.Ser.Bld.Thermal.HW.LPG.LPG</t>
  </si>
  <si>
    <t>TES_per_sqm.kWh.PT.Ser.Bld.Thermal.HW.Oil.Oil_LiqBio</t>
  </si>
  <si>
    <t>TES_per_sqm.kWh.PT.Ser.Bld.Thermal.HW.Gas.NG_Biogas</t>
  </si>
  <si>
    <t>TES_per_sqm.kWh.PT.Ser.Bld.Thermal.HW.Biomass.Biomass_Waste</t>
  </si>
  <si>
    <t>TES_per_sqm.kWh.PT.Ser.Bld.Thermal.HW.DistrHeat.Steam_Distr</t>
  </si>
  <si>
    <t>TES_per_sqm.kWh.PT.Ser.Bld.Thermal.HW.Elc.Elec</t>
  </si>
  <si>
    <t>TES_per_sqm.kWh.PT.Ser.Bld.Thermal.HW.TotalSolar.Solar</t>
  </si>
  <si>
    <t>TES_per_sqm.kWh.PT.Ser.Bld.Thermal.CA</t>
  </si>
  <si>
    <t>TES_per_sqm.kWh.PT.Ser.Bld.Thermal.CA.LPG</t>
  </si>
  <si>
    <t>TES_per_sqm.kWh.PT.Ser.Bld.Thermal.CA.Gas.NG_Biogas</t>
  </si>
  <si>
    <t>TES_per_sqm.kWh.PT.Ser.Bld.Thermal.CA.Biomass.Biomass_Waste</t>
  </si>
  <si>
    <t>TES_per_sqm.kWh.PT.Ser.Bld.Thermal.CA.Elc.Elec</t>
  </si>
  <si>
    <t>PT - CO2 emissions per useful surface area</t>
  </si>
  <si>
    <t>EMI_per_sqm.kgCO2.PT.Ser.Bld.Thermal</t>
  </si>
  <si>
    <t>EMI_per_sqm.kgCO2.PT.Ser.Bld.Thermal.SH</t>
  </si>
  <si>
    <t>EMI_per_sqm.kgCO2.PT.Ser.Bld.Thermal.SH.Solids.Solids</t>
  </si>
  <si>
    <t>EMI_per_sqm.kgCO2.PT.Ser.Bld.Thermal.SH.LPG.LPG</t>
  </si>
  <si>
    <t>EMI_per_sqm.kgCO2.PT.Ser.Bld.Thermal.SH.Oil.Oil_LiqBio</t>
  </si>
  <si>
    <t>EMI_per_sqm.kgCO2.PT.Ser.Bld.Thermal.SH.GasHP.NG_Biogas</t>
  </si>
  <si>
    <t>EMI_per_sqm.kgCO2.PT.Ser.Bld.Thermal.SH.GasTH.NG_Biogas</t>
  </si>
  <si>
    <t>EMI_per_sqm.kgCO2.PT.Ser.Bld.Thermal.SH.Biomass.Biomass_Waste</t>
  </si>
  <si>
    <t>EMI_per_sqm.kgCO2.PT.Ser.Bld.Thermal.SH.Geo.Geo</t>
  </si>
  <si>
    <t>EMI_per_sqm.kgCO2.PT.Ser.Bld.Thermal.SH.DistrHeat.Steam_Distr</t>
  </si>
  <si>
    <t>EMI_per_sqm.kgCO2.PT.Ser.Bld.Thermal.SH.AdvElc.Elec</t>
  </si>
  <si>
    <t>EMI_per_sqm.kgCO2.PT.Ser.Bld.Thermal.SH.ConvElc.Elec</t>
  </si>
  <si>
    <t>EMI_per_sqm.kgCO2.PT.Ser.Bld.Thermal.SH.TotalCirculation.Elec</t>
  </si>
  <si>
    <t>EMI_per_sqm.kgCO2.PT.Ser.Bld.Thermal.SC</t>
  </si>
  <si>
    <t>EMI_per_sqm.kgCO2.PT.Ser.Bld.Thermal.SC.GasHP.NG_Biogas</t>
  </si>
  <si>
    <t>EMI_per_sqm.kgCO2.PT.Ser.Bld.Thermal.SC.AC.Elec</t>
  </si>
  <si>
    <t>EMI_per_sqm.kgCO2.PT.Ser.Bld.Thermal.HW</t>
  </si>
  <si>
    <t>EMI_per_sqm.kgCO2.PT.Ser.Bld.Thermal.HW.Solids.Solids</t>
  </si>
  <si>
    <t>EMI_per_sqm.kgCO2.PT.Ser.Bld.Thermal.HW.LPG.LPG</t>
  </si>
  <si>
    <t>EMI_per_sqm.kgCO2.PT.Ser.Bld.Thermal.HW.Oil.Oil_LiqBio</t>
  </si>
  <si>
    <t>EMI_per_sqm.kgCO2.PT.Ser.Bld.Thermal.HW.Gas.NG_Biogas</t>
  </si>
  <si>
    <t>EMI_per_sqm.kgCO2.PT.Ser.Bld.Thermal.HW.Biomass.Biomass_Waste</t>
  </si>
  <si>
    <t>EMI_per_sqm.kgCO2.PT.Ser.Bld.Thermal.HW.DistrHeat.Steam_Distr</t>
  </si>
  <si>
    <t>EMI_per_sqm.kgCO2.PT.Ser.Bld.Thermal.HW.Elc.Elec</t>
  </si>
  <si>
    <t>EMI_per_sqm.kgCO2.PT.Ser.Bld.Thermal.HW.TotalSolar.Solar</t>
  </si>
  <si>
    <t>EMI_per_sqm.kgCO2.PT.Ser.Bld.Thermal.CA</t>
  </si>
  <si>
    <t>EMI_per_sqm.kgCO2.PT.Ser.Bld.Thermal.CA.LPG</t>
  </si>
  <si>
    <t>EMI_per_sqm.kgCO2.PT.Ser.Bld.Thermal.CA.Gas.NG_Biogas</t>
  </si>
  <si>
    <t>EMI_per_sqm.kgCO2.PT.Ser.Bld.Thermal.CA.Biomass.Biomass_Waste</t>
  </si>
  <si>
    <t>EMI_per_sqm.kgCO2.PT.Ser.Bld.Thermal.CA.Elc.Elec</t>
  </si>
  <si>
    <t>PT - Number of new and renovated buildings</t>
  </si>
  <si>
    <t>NUM.number.PT.Ser.BldNew.Thermal</t>
  </si>
  <si>
    <t>NUM.number.PT.Ser.BldNew.Thermal.SH</t>
  </si>
  <si>
    <t>NUM.number.PT.Ser.BldNew.Thermal.SH.Solids</t>
  </si>
  <si>
    <t>NUM.number.PT.Ser.BldNew.Thermal.SH.LPG</t>
  </si>
  <si>
    <t>NUM.number.PT.Ser.BldNew.Thermal.SH.Oil</t>
  </si>
  <si>
    <t>NUM.number.PT.Ser.BldNew.Thermal.SH.GasHP</t>
  </si>
  <si>
    <t>NUM.number.PT.Ser.BldNew.Thermal.SH.GasTH</t>
  </si>
  <si>
    <t>NUM.number.PT.Ser.BldNew.Thermal.SH.Biomass</t>
  </si>
  <si>
    <t>NUM.number.PT.Ser.BldNew.Thermal.SH.Geo</t>
  </si>
  <si>
    <t>NUM.number.PT.Ser.BldNew.Thermal.SH.DistrHeat</t>
  </si>
  <si>
    <t>NUM.number.PT.Ser.BldNew.Thermal.SH.AdvElc</t>
  </si>
  <si>
    <t>NUM.number.PT.Ser.BldNew.Thermal.SH.ConvElc</t>
  </si>
  <si>
    <t>NUM.number.PT.Ser.BldNew.Thermal.SC</t>
  </si>
  <si>
    <t>NUM.number.PT.Ser.BldNew.Thermal.SC.GasHP</t>
  </si>
  <si>
    <t>NUM.number.PT.Ser.BldNew.Thermal.SC.AC</t>
  </si>
  <si>
    <t>NUM.number.PT.Ser.BldNew.Thermal.HW</t>
  </si>
  <si>
    <t>NUM.number.PT.Ser.BldNew.Thermal.HW.Solids</t>
  </si>
  <si>
    <t>NUM.number.PT.Ser.BldNew.Thermal.HW.LPG</t>
  </si>
  <si>
    <t>NUM.number.PT.Ser.BldNew.Thermal.HW.Oil</t>
  </si>
  <si>
    <t>NUM.number.PT.Ser.BldNew.Thermal.HW.Gas</t>
  </si>
  <si>
    <t>NUM.number.PT.Ser.BldNew.Thermal.HW.Biomass</t>
  </si>
  <si>
    <t>NUM.number.PT.Ser.BldNew.Thermal.HW.DistrHeat</t>
  </si>
  <si>
    <t>NUM.number.PT.Ser.BldNew.Thermal.HW.Elc</t>
  </si>
  <si>
    <t>NUM.number.PT.Ser.BldNew.Thermal.HW.Solar</t>
  </si>
  <si>
    <t>NUM.number.PT.Ser.BldNew.Thermal.CA</t>
  </si>
  <si>
    <t>NUM.number.PT.Ser.BldNew.Thermal.CA.LPG</t>
  </si>
  <si>
    <t>NUM.number.PT.Ser.BldNew.Thermal.CA.Gas</t>
  </si>
  <si>
    <t>NUM.number.PT.Ser.BldNew.Thermal.CA.Biomass</t>
  </si>
  <si>
    <t>NUM.number.PT.Ser.BldNew.Thermal.CA.Elc</t>
  </si>
  <si>
    <t>PT - Final energy consumption in new and renovated buildings</t>
  </si>
  <si>
    <t>FEC.ktoe.PT.Ser.BldNew.Thermal</t>
  </si>
  <si>
    <t>FEC.ktoe.PT.Ser.BldNew.Thermal.SH</t>
  </si>
  <si>
    <t>FEC.ktoe.PT.Ser.BldNew.Thermal.SH.Solids.Solids</t>
  </si>
  <si>
    <t>FEC.ktoe.PT.Ser.BldNew.Thermal.SH.LPG.LPG</t>
  </si>
  <si>
    <t>FEC.ktoe.PT.Ser.BldNew.Thermal.SH.Oil.Oil_LiqBio</t>
  </si>
  <si>
    <t>FEC.ktoe.PT.Ser.BldNew.Thermal.SH.GasHP.NG_Biogas</t>
  </si>
  <si>
    <t>FEC.ktoe.PT.Ser.BldNew.Thermal.SH.GasTH.NG_Biogas</t>
  </si>
  <si>
    <t>FEC.ktoe.PT.Ser.BldNew.Thermal.SH.Biomass.Biomass_Waste</t>
  </si>
  <si>
    <t>FEC.ktoe.PT.Ser.BldNew.Thermal.SH.Geo.Geo</t>
  </si>
  <si>
    <t>FEC.ktoe.PT.Ser.BldNew.Thermal.SH.DistrHeat.Steam_Distr</t>
  </si>
  <si>
    <t>FEC.ktoe.PT.Ser.BldNew.Thermal.SH.AdvElc.Elec</t>
  </si>
  <si>
    <t>FEC.ktoe.PT.Ser.BldNew.Thermal.SH.ConvElc.Elec</t>
  </si>
  <si>
    <t>FEC.ktoe.PT.Ser.BldNew.Thermal.SH.TotalCirculation.Elec</t>
  </si>
  <si>
    <t>FEC.ktoe.PT.Ser.BldNew.Thermal.SC</t>
  </si>
  <si>
    <t>FEC.ktoe.PT.Ser.BldNew.Thermal.SC.GasHP.NG_Biogas</t>
  </si>
  <si>
    <t>FEC.ktoe.PT.Ser.BldNew.Thermal.SC.AC.Elec</t>
  </si>
  <si>
    <t>FEC.ktoe.PT.Ser.BldNew.Thermal.HW</t>
  </si>
  <si>
    <t>FEC.ktoe.PT.Ser.BldNew.Thermal.HW.Solids.Solids</t>
  </si>
  <si>
    <t>FEC.ktoe.PT.Ser.BldNew.Thermal.HW.LPG.LPG</t>
  </si>
  <si>
    <t>FEC.ktoe.PT.Ser.BldNew.Thermal.HW.Oil.Oil_LiqBio</t>
  </si>
  <si>
    <t>FEC.ktoe.PT.Ser.BldNew.Thermal.HW.Gas.NG_Biogas</t>
  </si>
  <si>
    <t>FEC.ktoe.PT.Ser.BldNew.Thermal.HW.Biomass.Biomass_Waste</t>
  </si>
  <si>
    <t>FEC.ktoe.PT.Ser.BldNew.Thermal.HW.DistrHeat.Steam_Distr</t>
  </si>
  <si>
    <t>FEC.ktoe.PT.Ser.BldNew.Thermal.HW.Elc.Elec</t>
  </si>
  <si>
    <t>FEC.ktoe.PT.Ser.BldNew.Thermal.HW.TotalSolar.Solar</t>
  </si>
  <si>
    <t>FEC.ktoe.PT.Ser.BldNew.Thermal.CA</t>
  </si>
  <si>
    <t>FEC.ktoe.PT.Ser.BldNew.Thermal.CA.LPG</t>
  </si>
  <si>
    <t>FEC.ktoe.PT.Ser.BldNew.Thermal.CA.Gas.NG_Biogas</t>
  </si>
  <si>
    <t>FEC.ktoe.PT.Ser.BldNew.Thermal.CA.Biomass.Biomass_Waste</t>
  </si>
  <si>
    <t>FEC.ktoe.PT.Ser.BldNew.Thermal.CA.Elc.Elec</t>
  </si>
  <si>
    <t>PT - Thermal energy service in new and renovated buildings</t>
  </si>
  <si>
    <t>TES.ktoe.PT.Ser.BldNew.Thermal</t>
  </si>
  <si>
    <t>TES.ktoe.PT.Ser.BldNew.Thermal.SH</t>
  </si>
  <si>
    <t>TES.ktoe.PT.Ser.BldNew.Thermal.SH.Solids.Solids</t>
  </si>
  <si>
    <t>TES.ktoe.PT.Ser.BldNew.Thermal.SH.LPG.LPG</t>
  </si>
  <si>
    <t>TES.ktoe.PT.Ser.BldNew.Thermal.SH.Oil.Oil_LiqBio</t>
  </si>
  <si>
    <t>TES.ktoe.PT.Ser.BldNew.Thermal.SH.GasHP.NG_Biogas</t>
  </si>
  <si>
    <t>TES.ktoe.PT.Ser.BldNew.Thermal.SH.GasTH.NG_Biogas</t>
  </si>
  <si>
    <t>TES.ktoe.PT.Ser.BldNew.Thermal.SH.Biomass.Biomass_Waste</t>
  </si>
  <si>
    <t>TES.ktoe.PT.Ser.BldNew.Thermal.SH.Geo.Geo</t>
  </si>
  <si>
    <t>TES.ktoe.PT.Ser.BldNew.Thermal.SH.DistrHeat.Steam_Distr</t>
  </si>
  <si>
    <t>TES.ktoe.PT.Ser.BldNew.Thermal.SH.AdvElc.Elec</t>
  </si>
  <si>
    <t>TES.ktoe.PT.Ser.BldNew.Thermal.SH.ConvElc.Elec</t>
  </si>
  <si>
    <t>TES.ktoe.PT.Ser.BldNew.Thermal.SH.TotalCirculation.Elec</t>
  </si>
  <si>
    <t>TES.ktoe.PT.Ser.BldNew.Thermal.SC</t>
  </si>
  <si>
    <t>TES.ktoe.PT.Ser.BldNew.Thermal.SC.GasHP.NG_Biogas</t>
  </si>
  <si>
    <t>TES.ktoe.PT.Ser.BldNew.Thermal.SC.AC.Elec</t>
  </si>
  <si>
    <t>TES.ktoe.PT.Ser.BldNew.Thermal.HW</t>
  </si>
  <si>
    <t>TES.ktoe.PT.Ser.BldNew.Thermal.HW.Solids.Solids</t>
  </si>
  <si>
    <t>TES.ktoe.PT.Ser.BldNew.Thermal.HW.LPG.LPG</t>
  </si>
  <si>
    <t>TES.ktoe.PT.Ser.BldNew.Thermal.HW.Oil.Oil_LiqBio</t>
  </si>
  <si>
    <t>TES.ktoe.PT.Ser.BldNew.Thermal.HW.Gas.NG_Biogas</t>
  </si>
  <si>
    <t>TES.ktoe.PT.Ser.BldNew.Thermal.HW.Biomass.Biomass_Waste</t>
  </si>
  <si>
    <t>TES.ktoe.PT.Ser.BldNew.Thermal.HW.DistrHeat.Steam_Distr</t>
  </si>
  <si>
    <t>TES.ktoe.PT.Ser.BldNew.Thermal.HW.Elc.Elec</t>
  </si>
  <si>
    <t>TES.ktoe.PT.Ser.BldNew.Thermal.HW.TotalSolar.Solar</t>
  </si>
  <si>
    <t>TES.ktoe.PT.Ser.BldNew.Thermal.CA</t>
  </si>
  <si>
    <t>TES.ktoe.PT.Ser.BldNew.Thermal.CA.LPG</t>
  </si>
  <si>
    <t>TES.ktoe.PT.Ser.BldNew.Thermal.CA.Gas.NG_Biogas</t>
  </si>
  <si>
    <t>TES.ktoe.PT.Ser.BldNew.Thermal.CA.Biomass.Biomass_Waste</t>
  </si>
  <si>
    <t>TES.ktoe.PT.Ser.BldNew.Thermal.CA.Elc.Elec</t>
  </si>
  <si>
    <t>PT - System efficiency indicator of new and renovated buildings</t>
  </si>
  <si>
    <t>Eff.ratio.PT.Ser.BldNew.Thermal</t>
  </si>
  <si>
    <t>Eff.ratio.PT.Ser.BldNew.Thermal.SH</t>
  </si>
  <si>
    <t>Eff.ratio.PT.Ser.BldNew.Thermal.SH.Solids.Solids</t>
  </si>
  <si>
    <t>Eff.ratio.PT.Ser.BldNew.Thermal.SH.LPG.LPG</t>
  </si>
  <si>
    <t>Eff.ratio.PT.Ser.BldNew.Thermal.SH.Oil.Oil_LiqBio</t>
  </si>
  <si>
    <t>Eff.ratio.PT.Ser.BldNew.Thermal.SH.GasHP.NG_Biogas</t>
  </si>
  <si>
    <t>Eff.ratio.PT.Ser.BldNew.Thermal.SH.GasTH.NG_Biogas</t>
  </si>
  <si>
    <t>Eff.ratio.PT.Ser.BldNew.Thermal.SH.Biomass.Biomass_Waste</t>
  </si>
  <si>
    <t>Eff.ratio.PT.Ser.BldNew.Thermal.SH.Geo.Geo</t>
  </si>
  <si>
    <t>Eff.ratio.PT.Ser.BldNew.Thermal.SH.DistrHeat.Steam_Distr</t>
  </si>
  <si>
    <t>Eff.ratio.PT.Ser.BldNew.Thermal.SH.AdvElc.Elec</t>
  </si>
  <si>
    <t>Eff.ratio.PT.Ser.BldNew.Thermal.SH.ConvElc.Elec</t>
  </si>
  <si>
    <t>Eff.ratio.PT.Ser.BldNew.Thermal.SH.TotalCirculation.Elec</t>
  </si>
  <si>
    <t>Eff.ratio.PT.Ser.BldNew.Thermal.SC</t>
  </si>
  <si>
    <t>Eff.ratio.PT.Ser.BldNew.Thermal.SC.GasHP.NG_Biogas</t>
  </si>
  <si>
    <t>Eff.ratio.PT.Ser.BldNew.Thermal.SC.AC.Elec</t>
  </si>
  <si>
    <t>Eff.ratio.PT.Ser.BldNew.Thermal.HW</t>
  </si>
  <si>
    <t>Eff.ratio.PT.Ser.BldNew.Thermal.HW.Solids.Solids</t>
  </si>
  <si>
    <t>Eff.ratio.PT.Ser.BldNew.Thermal.HW.LPG.LPG</t>
  </si>
  <si>
    <t>Eff.ratio.PT.Ser.BldNew.Thermal.HW.Oil.Oil_LiqBio</t>
  </si>
  <si>
    <t>Eff.ratio.PT.Ser.BldNew.Thermal.HW.Gas.NG_Biogas</t>
  </si>
  <si>
    <t>Eff.ratio.PT.Ser.BldNew.Thermal.HW.Biomass.Biomass_Waste</t>
  </si>
  <si>
    <t>Eff.ratio.PT.Ser.BldNew.Thermal.HW.DistrHeat.Steam_Distr</t>
  </si>
  <si>
    <t>Eff.ratio.PT.Ser.BldNew.Thermal.HW.Elc.Elec</t>
  </si>
  <si>
    <t>Eff.ratio.PT.Ser.BldNew.Thermal.HW.TotalSolar.Solar</t>
  </si>
  <si>
    <t>Eff.ratio.PT.Ser.BldNew.Thermal.CA</t>
  </si>
  <si>
    <t>Eff.ratio.PT.Ser.BldNew.Thermal.CA.LPG</t>
  </si>
  <si>
    <t>Eff.ratio.PT.Ser.BldNew.Thermal.CA.Gas.NG_Biogas</t>
  </si>
  <si>
    <t>Eff.ratio.PT.Ser.BldNew.Thermal.CA.Biomass.Biomass_Waste</t>
  </si>
  <si>
    <t>Eff.ratio.PT.Ser.BldNew.Thermal.CA.Elc.Elec</t>
  </si>
  <si>
    <t>PT - CO2 emissions in new and renovated buildings</t>
  </si>
  <si>
    <t>EMI.ktCO2.PT.Ser.BldNew.Thermal</t>
  </si>
  <si>
    <t>EMI.ktCO2.PT.Ser.BldNew.Thermal.SH</t>
  </si>
  <si>
    <t>EMI.ktCO2.PT.Ser.BldNew.Thermal.SH.Solids.Solids</t>
  </si>
  <si>
    <t>EMI.ktCO2.PT.Ser.BldNew.Thermal.SH.LPG.LPG</t>
  </si>
  <si>
    <t>EMI.ktCO2.PT.Ser.BldNew.Thermal.SH.Oil.Oil_LiqBio</t>
  </si>
  <si>
    <t>EMI.ktCO2.PT.Ser.BldNew.Thermal.SH.GasHP.NG_Biogas</t>
  </si>
  <si>
    <t>EMI.ktCO2.PT.Ser.BldNew.Thermal.SH.GasTH.NG_Biogas</t>
  </si>
  <si>
    <t>EMI.ktCO2.PT.Ser.BldNew.Thermal.SH.Biomass.Biomass_Waste</t>
  </si>
  <si>
    <t>EMI.ktCO2.PT.Ser.BldNew.Thermal.SH.Geo.Geo</t>
  </si>
  <si>
    <t>EMI.ktCO2.PT.Ser.BldNew.Thermal.SH.DistrHeat.Steam_Distr</t>
  </si>
  <si>
    <t>EMI.ktCO2.PT.Ser.BldNew.Thermal.SH.AdvElc.Elec</t>
  </si>
  <si>
    <t>EMI.ktCO2.PT.Ser.BldNew.Thermal.SH.ConvElc.Elec</t>
  </si>
  <si>
    <t>EMI.ktCO2.PT.Ser.BldNew.Thermal.SH.TotalCirculation.Elec</t>
  </si>
  <si>
    <t>EMI.ktCO2.PT.Ser.BldNew.Thermal.SC</t>
  </si>
  <si>
    <t>EMI.ktCO2.PT.Ser.BldNew.Thermal.SC.GasHP.NG_Biogas</t>
  </si>
  <si>
    <t>EMI.ktCO2.PT.Ser.BldNew.Thermal.SC.AC.Elec</t>
  </si>
  <si>
    <t>EMI.ktCO2.PT.Ser.BldNew.Thermal.HW</t>
  </si>
  <si>
    <t>EMI.ktCO2.PT.Ser.BldNew.Thermal.HW.Solids.Solids</t>
  </si>
  <si>
    <t>EMI.ktCO2.PT.Ser.BldNew.Thermal.HW.LPG.LPG</t>
  </si>
  <si>
    <t>EMI.ktCO2.PT.Ser.BldNew.Thermal.HW.Oil.Oil_LiqBio</t>
  </si>
  <si>
    <t>EMI.ktCO2.PT.Ser.BldNew.Thermal.HW.Gas.NG_Biogas</t>
  </si>
  <si>
    <t>EMI.ktCO2.PT.Ser.BldNew.Thermal.HW.Biomass.Biomass_Waste</t>
  </si>
  <si>
    <t>EMI.ktCO2.PT.Ser.BldNew.Thermal.HW.DistrHeat.Steam_Distr</t>
  </si>
  <si>
    <t>EMI.ktCO2.PT.Ser.BldNew.Thermal.HW.Elc.Elec</t>
  </si>
  <si>
    <t>EMI.ktCO2.PT.Ser.BldNew.Thermal.HW.TotalSolar.Solar</t>
  </si>
  <si>
    <t>EMI.ktCO2.PT.Ser.BldNew.Thermal.CA</t>
  </si>
  <si>
    <t>EMI.ktCO2.PT.Ser.BldNew.Thermal.CA.LPG</t>
  </si>
  <si>
    <t>EMI.ktCO2.PT.Ser.BldNew.Thermal.CA.Gas.NG_Biogas</t>
  </si>
  <si>
    <t>EMI.ktCO2.PT.Ser.BldNew.Thermal.CA.Biomass.Biomass_Waste</t>
  </si>
  <si>
    <t>EMI.ktCO2.PT.Ser.BldNew.Thermal.CA.Elc.Elec</t>
  </si>
  <si>
    <t>PT - Final energy consumption of new and renovated buildings (per building)</t>
  </si>
  <si>
    <t>FEC_per_building.kWh.PT.Ser.BldNew.Thermal</t>
  </si>
  <si>
    <t>FEC_per_building.kWh.PT.Ser.BldNew.Thermal.SH</t>
  </si>
  <si>
    <t>FEC_per_building.kWh.PT.Ser.BldNew.Thermal.SH.Solids.Solids</t>
  </si>
  <si>
    <t>FEC_per_building.kWh.PT.Ser.BldNew.Thermal.SH.LPG.LPG</t>
  </si>
  <si>
    <t>FEC_per_building.kWh.PT.Ser.BldNew.Thermal.SH.Oil.Oil_LiqBio</t>
  </si>
  <si>
    <t>FEC_per_building.kWh.PT.Ser.BldNew.Thermal.SH.GasHP.NG_Biogas</t>
  </si>
  <si>
    <t>FEC_per_building.kWh.PT.Ser.BldNew.Thermal.SH.GasTH.NG_Biogas</t>
  </si>
  <si>
    <t>FEC_per_building.kWh.PT.Ser.BldNew.Thermal.SH.Biomass.Biomass_Waste</t>
  </si>
  <si>
    <t>FEC_per_building.kWh.PT.Ser.BldNew.Thermal.SH.Geo.Geo</t>
  </si>
  <si>
    <t>FEC_per_building.kWh.PT.Ser.BldNew.Thermal.SH.DistrHeat.Steam_Distr</t>
  </si>
  <si>
    <t>FEC_per_building.kWh.PT.Ser.BldNew.Thermal.SH.AdvElc.Elec</t>
  </si>
  <si>
    <t>FEC_per_building.kWh.PT.Ser.BldNew.Thermal.SH.ConvElc.Elec</t>
  </si>
  <si>
    <t>FEC_per_building.kWh.PT.Ser.BldNew.Thermal.SH.TotalCirculation.Elec</t>
  </si>
  <si>
    <t>FEC_per_building.kWh.PT.Ser.BldNew.Thermal.SC</t>
  </si>
  <si>
    <t>FEC_per_building.kWh.PT.Ser.BldNew.Thermal.SC.GasHP.NG_Biogas</t>
  </si>
  <si>
    <t>FEC_per_building.kWh.PT.Ser.BldNew.Thermal.SC.AC.Elec</t>
  </si>
  <si>
    <t>FEC_per_building.kWh.PT.Ser.BldNew.Thermal.HW</t>
  </si>
  <si>
    <t>FEC_per_building.kWh.PT.Ser.BldNew.Thermal.HW.Solids.Solids</t>
  </si>
  <si>
    <t>FEC_per_building.kWh.PT.Ser.BldNew.Thermal.HW.LPG.LPG</t>
  </si>
  <si>
    <t>FEC_per_building.kWh.PT.Ser.BldNew.Thermal.HW.Oil.Oil_LiqBio</t>
  </si>
  <si>
    <t>FEC_per_building.kWh.PT.Ser.BldNew.Thermal.HW.Gas.NG_Biogas</t>
  </si>
  <si>
    <t>FEC_per_building.kWh.PT.Ser.BldNew.Thermal.HW.Biomass.Biomass_Waste</t>
  </si>
  <si>
    <t>FEC_per_building.kWh.PT.Ser.BldNew.Thermal.HW.DistrHeat.Steam_Distr</t>
  </si>
  <si>
    <t>FEC_per_building.kWh.PT.Ser.BldNew.Thermal.HW.Elc.Elec</t>
  </si>
  <si>
    <t>FEC_per_building.kWh.PT.Ser.BldNew.Thermal.HW.TotalSolar.Solar</t>
  </si>
  <si>
    <t>FEC_per_building.kWh.PT.Ser.BldNew.Thermal.CA</t>
  </si>
  <si>
    <t>FEC_per_building.kWh.PT.Ser.BldNew.Thermal.CA.LPG</t>
  </si>
  <si>
    <t>FEC_per_building.kWh.PT.Ser.BldNew.Thermal.CA.Gas.NG_Biogas</t>
  </si>
  <si>
    <t>FEC_per_building.kWh.PT.Ser.BldNew.Thermal.CA.Biomass.Biomass_Waste</t>
  </si>
  <si>
    <t>FEC_per_building.kWh.PT.Ser.BldNew.Thermal.CA.Elc.Elec</t>
  </si>
  <si>
    <t>PT - Thermal energy service of new and renovated buildings (per building)</t>
  </si>
  <si>
    <t>TES_per_building.kWh.PT.Ser.BldNew.Thermal</t>
  </si>
  <si>
    <t>TES_per_building.kWh.PT.Ser.BldNew.Thermal.SH</t>
  </si>
  <si>
    <t>TES_per_building.kWh.PT.Ser.BldNew.Thermal.SH.Solids.Solids</t>
  </si>
  <si>
    <t>TES_per_building.kWh.PT.Ser.BldNew.Thermal.SH.LPG.LPG</t>
  </si>
  <si>
    <t>TES_per_building.kWh.PT.Ser.BldNew.Thermal.SH.Oil.Oil_LiqBio</t>
  </si>
  <si>
    <t>TES_per_building.kWh.PT.Ser.BldNew.Thermal.SH.GasHP.NG_Biogas</t>
  </si>
  <si>
    <t>TES_per_building.kWh.PT.Ser.BldNew.Thermal.SH.GasTH.NG_Biogas</t>
  </si>
  <si>
    <t>TES_per_building.kWh.PT.Ser.BldNew.Thermal.SH.Biomass.Biomass_Waste</t>
  </si>
  <si>
    <t>TES_per_building.kWh.PT.Ser.BldNew.Thermal.SH.Geo.Geo</t>
  </si>
  <si>
    <t>TES_per_building.kWh.PT.Ser.BldNew.Thermal.SH.DistrHeat.Steam_Distr</t>
  </si>
  <si>
    <t>TES_per_building.kWh.PT.Ser.BldNew.Thermal.SH.AdvElc.Elec</t>
  </si>
  <si>
    <t>TES_per_building.kWh.PT.Ser.BldNew.Thermal.SH.ConvElc.Elec</t>
  </si>
  <si>
    <t>TES_per_building.kWh.PT.Ser.BldNew.Thermal.SH.TotalCirculation.Elec</t>
  </si>
  <si>
    <t>TES_per_building.kWh.PT.Ser.BldNew.Thermal.SC</t>
  </si>
  <si>
    <t>TES_per_building.kWh.PT.Ser.BldNew.Thermal.SC.GasHP.NG_Biogas</t>
  </si>
  <si>
    <t>TES_per_building.kWh.PT.Ser.BldNew.Thermal.SC.AC.Elec</t>
  </si>
  <si>
    <t>TES_per_building.kWh.PT.Ser.BldNew.Thermal.HW</t>
  </si>
  <si>
    <t>TES_per_building.kWh.PT.Ser.BldNew.Thermal.HW.Solids.Solids</t>
  </si>
  <si>
    <t>TES_per_building.kWh.PT.Ser.BldNew.Thermal.HW.LPG.LPG</t>
  </si>
  <si>
    <t>TES_per_building.kWh.PT.Ser.BldNew.Thermal.HW.Oil.Oil_LiqBio</t>
  </si>
  <si>
    <t>TES_per_building.kWh.PT.Ser.BldNew.Thermal.HW.Gas.NG_Biogas</t>
  </si>
  <si>
    <t>TES_per_building.kWh.PT.Ser.BldNew.Thermal.HW.Biomass.Biomass_Waste</t>
  </si>
  <si>
    <t>TES_per_building.kWh.PT.Ser.BldNew.Thermal.HW.DistrHeat.Steam_Distr</t>
  </si>
  <si>
    <t>TES_per_building.kWh.PT.Ser.BldNew.Thermal.HW.Elc.Elec</t>
  </si>
  <si>
    <t>TES_per_building.kWh.PT.Ser.BldNew.Thermal.HW.TotalSolar.Solar</t>
  </si>
  <si>
    <t>TES_per_building.kWh.PT.Ser.BldNew.Thermal.CA</t>
  </si>
  <si>
    <t>TES_per_building.kWh.PT.Ser.BldNew.Thermal.CA.LPG</t>
  </si>
  <si>
    <t>TES_per_building.kWh.PT.Ser.BldNew.Thermal.CA.Gas.NG_Biogas</t>
  </si>
  <si>
    <t>TES_per_building.kWh.PT.Ser.BldNew.Thermal.CA.Biomass.Biomass_Waste</t>
  </si>
  <si>
    <t>TES_per_building.kWh.PT.Ser.BldNew.Thermal.CA.Elc.Elec</t>
  </si>
  <si>
    <t>PT - CO2 emissions in new and renovated buildings (per building)</t>
  </si>
  <si>
    <t>EMI_per_building.kgCO2.PT.Ser.BldNew.Thermal</t>
  </si>
  <si>
    <t>EMI_per_building.kgCO2.PT.Ser.BldNew.Thermal.SH</t>
  </si>
  <si>
    <t>EMI_per_building.kgCO2.PT.Ser.BldNew.Thermal.SH.Solids.Solids</t>
  </si>
  <si>
    <t>EMI_per_building.kgCO2.PT.Ser.BldNew.Thermal.SH.LPG.LPG</t>
  </si>
  <si>
    <t>EMI_per_building.kgCO2.PT.Ser.BldNew.Thermal.SH.Oil.Oil_LiqBio</t>
  </si>
  <si>
    <t>EMI_per_building.kgCO2.PT.Ser.BldNew.Thermal.SH.GasHP.NG_Biogas</t>
  </si>
  <si>
    <t>EMI_per_building.kgCO2.PT.Ser.BldNew.Thermal.SH.GasTH.NG_Biogas</t>
  </si>
  <si>
    <t>EMI_per_building.kgCO2.PT.Ser.BldNew.Thermal.SH.Biomass.Biomass_Waste</t>
  </si>
  <si>
    <t>EMI_per_building.kgCO2.PT.Ser.BldNew.Thermal.SH.Geo.Geo</t>
  </si>
  <si>
    <t>EMI_per_building.kgCO2.PT.Ser.BldNew.Thermal.SH.DistrHeat.Steam_Distr</t>
  </si>
  <si>
    <t>EMI_per_building.kgCO2.PT.Ser.BldNew.Thermal.SH.AdvElc.Elec</t>
  </si>
  <si>
    <t>EMI_per_building.kgCO2.PT.Ser.BldNew.Thermal.SH.ConvElc.Elec</t>
  </si>
  <si>
    <t>EMI_per_building.kgCO2.PT.Ser.BldNew.Thermal.SH.TotalCirculation.Elec</t>
  </si>
  <si>
    <t>EMI_per_building.kgCO2.PT.Ser.BldNew.Thermal.SC</t>
  </si>
  <si>
    <t>EMI_per_building.kgCO2.PT.Ser.BldNew.Thermal.SC.GasHP.NG_Biogas</t>
  </si>
  <si>
    <t>EMI_per_building.kgCO2.PT.Ser.BldNew.Thermal.SC.AC.Elec</t>
  </si>
  <si>
    <t>EMI_per_building.kgCO2.PT.Ser.BldNew.Thermal.HW</t>
  </si>
  <si>
    <t>EMI_per_building.kgCO2.PT.Ser.BldNew.Thermal.HW.Solids.Solids</t>
  </si>
  <si>
    <t>EMI_per_building.kgCO2.PT.Ser.BldNew.Thermal.HW.LPG.LPG</t>
  </si>
  <si>
    <t>EMI_per_building.kgCO2.PT.Ser.BldNew.Thermal.HW.Oil.Oil_LiqBio</t>
  </si>
  <si>
    <t>EMI_per_building.kgCO2.PT.Ser.BldNew.Thermal.HW.Gas.NG_Biogas</t>
  </si>
  <si>
    <t>EMI_per_building.kgCO2.PT.Ser.BldNew.Thermal.HW.Biomass.Biomass_Waste</t>
  </si>
  <si>
    <t>EMI_per_building.kgCO2.PT.Ser.BldNew.Thermal.HW.DistrHeat.Steam_Distr</t>
  </si>
  <si>
    <t>EMI_per_building.kgCO2.PT.Ser.BldNew.Thermal.HW.Elc.Elec</t>
  </si>
  <si>
    <t>EMI_per_building.kgCO2.PT.Ser.BldNew.Thermal.HW.TotalSolar.Solar</t>
  </si>
  <si>
    <t>EMI_per_building.kgCO2.PT.Ser.BldNew.Thermal.CA</t>
  </si>
  <si>
    <t>EMI_per_building.kgCO2.PT.Ser.BldNew.Thermal.CA.LPG</t>
  </si>
  <si>
    <t>EMI_per_building.kgCO2.PT.Ser.BldNew.Thermal.CA.Gas.NG_Biogas</t>
  </si>
  <si>
    <t>EMI_per_building.kgCO2.PT.Ser.BldNew.Thermal.CA.Biomass.Biomass_Waste</t>
  </si>
  <si>
    <t>EMI_per_building.kgCO2.PT.Ser.BldNew.Thermal.CA.Elc.Elec</t>
  </si>
  <si>
    <t>PT - Final energy consumption in new and renovated buildings per surface area</t>
  </si>
  <si>
    <t>FEC_per_sqm.kWh.PT.Ser.BldNew.Thermal</t>
  </si>
  <si>
    <t>FEC_per_sqm.kWh.PT.Ser.BldNew.Thermal.SH</t>
  </si>
  <si>
    <t>FEC_per_sqm.kWh.PT.Ser.BldNew.Thermal.SH.Solids.Solids</t>
  </si>
  <si>
    <t>FEC_per_sqm.kWh.PT.Ser.BldNew.Thermal.SH.LPG.LPG</t>
  </si>
  <si>
    <t>FEC_per_sqm.kWh.PT.Ser.BldNew.Thermal.SH.Oil.Oil_LiqBio</t>
  </si>
  <si>
    <t>FEC_per_sqm.kWh.PT.Ser.BldNew.Thermal.SH.GasHP.NG_Biogas</t>
  </si>
  <si>
    <t>FEC_per_sqm.kWh.PT.Ser.BldNew.Thermal.SH.GasTH.NG_Biogas</t>
  </si>
  <si>
    <t>FEC_per_sqm.kWh.PT.Ser.BldNew.Thermal.SH.Biomass.Biomass_Waste</t>
  </si>
  <si>
    <t>FEC_per_sqm.kWh.PT.Ser.BldNew.Thermal.SH.Geo.Geo</t>
  </si>
  <si>
    <t>FEC_per_sqm.kWh.PT.Ser.BldNew.Thermal.SH.DistrHeat.Steam_Distr</t>
  </si>
  <si>
    <t>FEC_per_sqm.kWh.PT.Ser.BldNew.Thermal.SH.AdvElc.Elec</t>
  </si>
  <si>
    <t>FEC_per_sqm.kWh.PT.Ser.BldNew.Thermal.SH.ConvElc.Elec</t>
  </si>
  <si>
    <t>FEC_per_sqm.kWh.PT.Ser.BldNew.Thermal.SH.TotalCirculation.Elec</t>
  </si>
  <si>
    <t>FEC_per_sqm.kWh.PT.Ser.BldNew.Thermal.SC</t>
  </si>
  <si>
    <t>FEC_per_sqm.kWh.PT.Ser.BldNew.Thermal.SC.GasHP.NG_Biogas</t>
  </si>
  <si>
    <t>FEC_per_sqm.kWh.PT.Ser.BldNew.Thermal.SC.AC.Elec</t>
  </si>
  <si>
    <t>FEC_per_sqm.kWh.PT.Ser.BldNew.Thermal.HW</t>
  </si>
  <si>
    <t>FEC_per_sqm.kWh.PT.Ser.BldNew.Thermal.HW.Solids.Solids</t>
  </si>
  <si>
    <t>FEC_per_sqm.kWh.PT.Ser.BldNew.Thermal.HW.LPG.LPG</t>
  </si>
  <si>
    <t>FEC_per_sqm.kWh.PT.Ser.BldNew.Thermal.HW.Oil.Oil_LiqBio</t>
  </si>
  <si>
    <t>FEC_per_sqm.kWh.PT.Ser.BldNew.Thermal.HW.Gas.NG_Biogas</t>
  </si>
  <si>
    <t>FEC_per_sqm.kWh.PT.Ser.BldNew.Thermal.HW.Biomass.Biomass_Waste</t>
  </si>
  <si>
    <t>FEC_per_sqm.kWh.PT.Ser.BldNew.Thermal.HW.DistrHeat.Steam_Distr</t>
  </si>
  <si>
    <t>FEC_per_sqm.kWh.PT.Ser.BldNew.Thermal.HW.Elc.Elec</t>
  </si>
  <si>
    <t>FEC_per_sqm.kWh.PT.Ser.BldNew.Thermal.HW.TotalSolar.Solar</t>
  </si>
  <si>
    <t>FEC_per_sqm.kWh.PT.Ser.BldNew.Thermal.CA</t>
  </si>
  <si>
    <t>FEC_per_sqm.kWh.PT.Ser.BldNew.Thermal.CA.LPG</t>
  </si>
  <si>
    <t>FEC_per_sqm.kWh.PT.Ser.BldNew.Thermal.CA.Gas.NG_Biogas</t>
  </si>
  <si>
    <t>FEC_per_sqm.kWh.PT.Ser.BldNew.Thermal.CA.Biomass.Biomass_Waste</t>
  </si>
  <si>
    <t>FEC_per_sqm.kWh.PT.Ser.BldNew.Thermal.CA.Elc.Elec</t>
  </si>
  <si>
    <t>PT - Thermal energy service in new and renovated buildings per surface area</t>
  </si>
  <si>
    <t>TES_per_sqm.kWh.PT.Ser.BldNew.Thermal</t>
  </si>
  <si>
    <t>TES_per_sqm.kWh.PT.Ser.BldNew.Thermal.SH</t>
  </si>
  <si>
    <t>TES_per_sqm.kWh.PT.Ser.BldNew.Thermal.SH.Solids.Solids</t>
  </si>
  <si>
    <t>TES_per_sqm.kWh.PT.Ser.BldNew.Thermal.SH.LPG.LPG</t>
  </si>
  <si>
    <t>TES_per_sqm.kWh.PT.Ser.BldNew.Thermal.SH.Oil.Oil_LiqBio</t>
  </si>
  <si>
    <t>TES_per_sqm.kWh.PT.Ser.BldNew.Thermal.SH.GasHP.NG_Biogas</t>
  </si>
  <si>
    <t>TES_per_sqm.kWh.PT.Ser.BldNew.Thermal.SH.GasTH.NG_Biogas</t>
  </si>
  <si>
    <t>TES_per_sqm.kWh.PT.Ser.BldNew.Thermal.SH.Biomass.Biomass_Waste</t>
  </si>
  <si>
    <t>TES_per_sqm.kWh.PT.Ser.BldNew.Thermal.SH.Geo.Geo</t>
  </si>
  <si>
    <t>TES_per_sqm.kWh.PT.Ser.BldNew.Thermal.SH.DistrHeat.Steam_Distr</t>
  </si>
  <si>
    <t>TES_per_sqm.kWh.PT.Ser.BldNew.Thermal.SH.AdvElc.Elec</t>
  </si>
  <si>
    <t>TES_per_sqm.kWh.PT.Ser.BldNew.Thermal.SH.ConvElc.Elec</t>
  </si>
  <si>
    <t>TES_per_sqm.kWh.PT.Ser.BldNew.Thermal.SH.TotalCirculation.Elec</t>
  </si>
  <si>
    <t>TES_per_sqm.kWh.PT.Ser.BldNew.Thermal.SC</t>
  </si>
  <si>
    <t>TES_per_sqm.kWh.PT.Ser.BldNew.Thermal.SC.GasHP.NG_Biogas</t>
  </si>
  <si>
    <t>TES_per_sqm.kWh.PT.Ser.BldNew.Thermal.SC.AC.Elec</t>
  </si>
  <si>
    <t>TES_per_sqm.kWh.PT.Ser.BldNew.Thermal.HW</t>
  </si>
  <si>
    <t>TES_per_sqm.kWh.PT.Ser.BldNew.Thermal.HW.Solids.Solids</t>
  </si>
  <si>
    <t>TES_per_sqm.kWh.PT.Ser.BldNew.Thermal.HW.LPG.LPG</t>
  </si>
  <si>
    <t>TES_per_sqm.kWh.PT.Ser.BldNew.Thermal.HW.Oil.Oil_LiqBio</t>
  </si>
  <si>
    <t>TES_per_sqm.kWh.PT.Ser.BldNew.Thermal.HW.Gas.NG_Biogas</t>
  </si>
  <si>
    <t>TES_per_sqm.kWh.PT.Ser.BldNew.Thermal.HW.Biomass.Biomass_Waste</t>
  </si>
  <si>
    <t>TES_per_sqm.kWh.PT.Ser.BldNew.Thermal.HW.DistrHeat.Steam_Distr</t>
  </si>
  <si>
    <t>TES_per_sqm.kWh.PT.Ser.BldNew.Thermal.HW.Elc.Elec</t>
  </si>
  <si>
    <t>TES_per_sqm.kWh.PT.Ser.BldNew.Thermal.HW.TotalSolar.Solar</t>
  </si>
  <si>
    <t>TES_per_sqm.kWh.PT.Ser.BldNew.Thermal.CA</t>
  </si>
  <si>
    <t>TES_per_sqm.kWh.PT.Ser.BldNew.Thermal.CA.LPG</t>
  </si>
  <si>
    <t>TES_per_sqm.kWh.PT.Ser.BldNew.Thermal.CA.Gas.NG_Biogas</t>
  </si>
  <si>
    <t>TES_per_sqm.kWh.PT.Ser.BldNew.Thermal.CA.Biomass.Biomass_Waste</t>
  </si>
  <si>
    <t>TES_per_sqm.kWh.PT.Ser.BldNew.Thermal.CA.Elc.Elec</t>
  </si>
  <si>
    <t>PT - CO2 emissions in new and renovated buildings per surface area</t>
  </si>
  <si>
    <t>EMI_per_sqm.kgCO2.PT.Ser.BldNew.Thermal</t>
  </si>
  <si>
    <t>EMI_per_sqm.kgCO2.PT.Ser.BldNew.Thermal.SH</t>
  </si>
  <si>
    <t>EMI_per_sqm.kgCO2.PT.Ser.BldNew.Thermal.SH.Solids.Solids</t>
  </si>
  <si>
    <t>EMI_per_sqm.kgCO2.PT.Ser.BldNew.Thermal.SH.LPG.LPG</t>
  </si>
  <si>
    <t>EMI_per_sqm.kgCO2.PT.Ser.BldNew.Thermal.SH.Oil.Oil_LiqBio</t>
  </si>
  <si>
    <t>EMI_per_sqm.kgCO2.PT.Ser.BldNew.Thermal.SH.GasHP.NG_Biogas</t>
  </si>
  <si>
    <t>EMI_per_sqm.kgCO2.PT.Ser.BldNew.Thermal.SH.GasTH.NG_Biogas</t>
  </si>
  <si>
    <t>EMI_per_sqm.kgCO2.PT.Ser.BldNew.Thermal.SH.Biomass.Biomass_Waste</t>
  </si>
  <si>
    <t>EMI_per_sqm.kgCO2.PT.Ser.BldNew.Thermal.SH.Geo.Geo</t>
  </si>
  <si>
    <t>EMI_per_sqm.kgCO2.PT.Ser.BldNew.Thermal.SH.DistrHeat.Steam_Distr</t>
  </si>
  <si>
    <t>EMI_per_sqm.kgCO2.PT.Ser.BldNew.Thermal.SH.AdvElc.Elec</t>
  </si>
  <si>
    <t>EMI_per_sqm.kgCO2.PT.Ser.BldNew.Thermal.SH.ConvElc.Elec</t>
  </si>
  <si>
    <t>EMI_per_sqm.kgCO2.PT.Ser.BldNew.Thermal.SH.TotalCirculation.Elec</t>
  </si>
  <si>
    <t>EMI_per_sqm.kgCO2.PT.Ser.BldNew.Thermal.SC</t>
  </si>
  <si>
    <t>EMI_per_sqm.kgCO2.PT.Ser.BldNew.Thermal.SC.GasHP.NG_Biogas</t>
  </si>
  <si>
    <t>EMI_per_sqm.kgCO2.PT.Ser.BldNew.Thermal.SC.AC.Elec</t>
  </si>
  <si>
    <t>EMI_per_sqm.kgCO2.PT.Ser.BldNew.Thermal.HW</t>
  </si>
  <si>
    <t>EMI_per_sqm.kgCO2.PT.Ser.BldNew.Thermal.HW.Solids.Solids</t>
  </si>
  <si>
    <t>EMI_per_sqm.kgCO2.PT.Ser.BldNew.Thermal.HW.LPG.LPG</t>
  </si>
  <si>
    <t>EMI_per_sqm.kgCO2.PT.Ser.BldNew.Thermal.HW.Oil.Oil_LiqBio</t>
  </si>
  <si>
    <t>EMI_per_sqm.kgCO2.PT.Ser.BldNew.Thermal.HW.Gas.NG_Biogas</t>
  </si>
  <si>
    <t>EMI_per_sqm.kgCO2.PT.Ser.BldNew.Thermal.HW.Biomass.Biomass_Waste</t>
  </si>
  <si>
    <t>EMI_per_sqm.kgCO2.PT.Ser.BldNew.Thermal.HW.DistrHeat.Steam_Distr</t>
  </si>
  <si>
    <t>EMI_per_sqm.kgCO2.PT.Ser.BldNew.Thermal.HW.Elc.Elec</t>
  </si>
  <si>
    <t>EMI_per_sqm.kgCO2.PT.Ser.BldNew.Thermal.HW.TotalSolar.Solar</t>
  </si>
  <si>
    <t>EMI_per_sqm.kgCO2.PT.Ser.BldNew.Thermal.CA</t>
  </si>
  <si>
    <t>EMI_per_sqm.kgCO2.PT.Ser.BldNew.Thermal.CA.LPG</t>
  </si>
  <si>
    <t>EMI_per_sqm.kgCO2.PT.Ser.BldNew.Thermal.CA.Gas.NG_Biogas</t>
  </si>
  <si>
    <t>EMI_per_sqm.kgCO2.PT.Ser.BldNew.Thermal.CA.Biomass.Biomass_Waste</t>
  </si>
  <si>
    <t>EMI_per_sqm.kgCO2.PT.Ser.BldNew.Thermal.CA.Elc.Elec</t>
  </si>
  <si>
    <t>FEC.ktoe.PT.Ser.SEU.VE</t>
  </si>
  <si>
    <t>FEC.ktoe.PT.Ser.SEU.SL</t>
  </si>
  <si>
    <t>FEC.ktoe.PT.Ser.SEU.BL</t>
  </si>
  <si>
    <t>FEC.ktoe.PT.Ser.SEU.CR</t>
  </si>
  <si>
    <t>FEC.ktoe.PT.Ser.SEU.BT</t>
  </si>
  <si>
    <t>FEC.ktoe.PT.Ser.SEU.IT</t>
  </si>
  <si>
    <t>Size.MW.PT.Ser.SEU</t>
  </si>
  <si>
    <t>Size.MW.PT.Ser.SEU.VE</t>
  </si>
  <si>
    <t>Size.MW.PT.Ser.SEU.SL</t>
  </si>
  <si>
    <t>Size.MW.PT.Ser.SEU.BL</t>
  </si>
  <si>
    <t>Size.MW.PT.Ser.SEU.CR</t>
  </si>
  <si>
    <t>Size.MW.PT.Ser.SEU.BT</t>
  </si>
  <si>
    <t>Size.MW.PT.Ser.SEU.IT</t>
  </si>
  <si>
    <t>NUM.Msqm.PT.Ser.SEU.VE</t>
  </si>
  <si>
    <t>NUM.k.PT.Ser.SEU.SL</t>
  </si>
  <si>
    <t>NUM.M.PT.Ser.SEU.BL</t>
  </si>
  <si>
    <t>NUM.k.PT.Ser.SEU.CR</t>
  </si>
  <si>
    <t>NUM.Msqm.PT.Ser.SEU.BT</t>
  </si>
  <si>
    <t>NUM.k.PT.Ser.SEU.IT</t>
  </si>
  <si>
    <t>NUM.Msqm.PT.Ser.SEUnew.VE</t>
  </si>
  <si>
    <t>NUM.k.PT.Ser.SEUnew.SL</t>
  </si>
  <si>
    <t>NUM.M.PT.Ser.SEUnew.BL</t>
  </si>
  <si>
    <t>NUM.k.PT.Ser.SEUnew.CR</t>
  </si>
  <si>
    <t>NUM.Msqm.PT.Ser.SEUnew.BT</t>
  </si>
  <si>
    <t>NUM.k.PT.Ser.SEUnew.IT</t>
  </si>
  <si>
    <t>NUM.Msqm.PT.Ser.SEUrepl.VE</t>
  </si>
  <si>
    <t>NUM.k.PT.Ser.SEUrepl.SL</t>
  </si>
  <si>
    <t>NUM.M.PT.Ser.SEUrepl.BL</t>
  </si>
  <si>
    <t>NUM.k.PT.Ser.SEUrepl.CR</t>
  </si>
  <si>
    <t>NUM.Msqm.PT.Ser.SEUrepl.BT</t>
  </si>
  <si>
    <t>NUM.k.PT.Ser.SEUrepl.IT</t>
  </si>
  <si>
    <t>Op.hours.PT.Ser.SEU.VE</t>
  </si>
  <si>
    <t>Op.hours.PT.Ser.SEU.SL</t>
  </si>
  <si>
    <t>Op.hours.PT.Ser.SEU.BL</t>
  </si>
  <si>
    <t>Op.hours.PT.Ser.SEU.CR</t>
  </si>
  <si>
    <t>Op.hours.PT.Ser.SEU.BT</t>
  </si>
  <si>
    <t>Op.hours.PT.Ser.SEU.IT</t>
  </si>
  <si>
    <t>Size_per_appl.W.PT.Ser.SEU.VE</t>
  </si>
  <si>
    <t>Size_per_appl.W.PT.Ser.SEU.SL</t>
  </si>
  <si>
    <t>Size_per_appl.W.PT.Ser.SEU.BL</t>
  </si>
  <si>
    <t>Size_per_appl.W.PT.Ser.SEU.CR</t>
  </si>
  <si>
    <t>Size_per_appl.W.PT.Ser.SEU.BT</t>
  </si>
  <si>
    <t>Size_per_appl.W.PT.Ser.SEU.IT</t>
  </si>
  <si>
    <t>Size_per_appl.W.PT.Ser.SEUnew.VE</t>
  </si>
  <si>
    <t>Size_per_appl.W.PT.Ser.SEUnew.SL</t>
  </si>
  <si>
    <t>Size_per_appl.W.PT.Ser.SEUnew.BL</t>
  </si>
  <si>
    <t>Size_per_appl.W.PT.Ser.SEUnew.CR</t>
  </si>
  <si>
    <t>Size_per_appl.W.PT.Ser.SEUnew.BT</t>
  </si>
  <si>
    <t>Size_per_appl.W.PT.Ser.SEUnew.IT</t>
  </si>
  <si>
    <t>NUM.sqm_per_building.PT.Ser.SEU.VE</t>
  </si>
  <si>
    <t>NUM.number_per_capita.PT.Ser.SEU.SL</t>
  </si>
  <si>
    <t>NUM.number_per_building.PT.Ser.SEU.BL</t>
  </si>
  <si>
    <t>NUM.number_per_capita.PT.Ser.SEU.CR</t>
  </si>
  <si>
    <t>NUM.sqm_per_building.PT.Ser.SEU.BT</t>
  </si>
  <si>
    <t>NUM.number_per_capita.PT.Ser.SEU.IT</t>
  </si>
  <si>
    <t>Lumens_per_sqm.lumen.PT.Ser.SEU.BL</t>
  </si>
  <si>
    <t>PT - Services / specific electric uses</t>
  </si>
  <si>
    <t>PT - Ventilation and others</t>
  </si>
  <si>
    <t>PT - Street lighting</t>
  </si>
  <si>
    <t>PT - Building lighting</t>
  </si>
  <si>
    <t>PT - Commercial refrigeration</t>
  </si>
  <si>
    <t>PT - Miscellaneous building technologies</t>
  </si>
  <si>
    <t>PT - ICT and multimedia</t>
  </si>
  <si>
    <t>PT - Agriculture, forestry and fishing</t>
  </si>
  <si>
    <t>VA.Meuro2015.PT.AGR.AGR</t>
  </si>
  <si>
    <t>OUTPUT.index.PT.AGR.AGR</t>
  </si>
  <si>
    <t>CAP.index.PT.AGR.AGR</t>
  </si>
  <si>
    <t>NEWCAP.index.PT.AGR.AGR</t>
  </si>
  <si>
    <t>CAPOUT.index.PT.AGR.AGR</t>
  </si>
  <si>
    <t>CAPIDLE.index.PT.AGR.AGR</t>
  </si>
  <si>
    <t>FEC.ktoe.PT.ES.AGR</t>
  </si>
  <si>
    <t>FEC.ktoe.PT.ES.AGR.Solids</t>
  </si>
  <si>
    <t>FEC.ktoe.PT.ES.AGR.LPG</t>
  </si>
  <si>
    <t>FEC.ktoe.PT.ES.AGR.Diesel</t>
  </si>
  <si>
    <t>FEC.ktoe.PT.ES.AGR.RFO</t>
  </si>
  <si>
    <t>FEC.ktoe.PT.ES.AGR.NG</t>
  </si>
  <si>
    <t>FEC.ktoe.PT.ES.AGR.Biomass_Waste</t>
  </si>
  <si>
    <t>FEC.ktoe.PT.ES.AGR.Biogas</t>
  </si>
  <si>
    <t>FEC.ktoe.PT.ES.AGR.LiqBio</t>
  </si>
  <si>
    <t>FEC.ktoe.PT.ES.AGR.Solar</t>
  </si>
  <si>
    <t>FEC.ktoe.PT.ES.AGR.Geo</t>
  </si>
  <si>
    <t>FEC.ktoe.PT.ES.AGR.Ambient</t>
  </si>
  <si>
    <t>FEC.ktoe.PT.ES.AGR.Steam_Distr</t>
  </si>
  <si>
    <t>FEC.ktoe.PT.ES.AGR.Elec</t>
  </si>
  <si>
    <t>PT - Agriculture, forestry and fishing / final energy consumption</t>
  </si>
  <si>
    <t>FEC.ktoe.PT.AGR.AGR.LIGHT.GENERIC.ELEC</t>
  </si>
  <si>
    <t>FEC.ktoe.PT.AGR.AGR.FANS.GENERIC.ELEC</t>
  </si>
  <si>
    <t>FEC.ktoe.PT.AGR.AGR.MOTOR.GENERIC.ELEC</t>
  </si>
  <si>
    <t>FEC.ktoe.PT.AGR.AGR.LOW_ENTH.THERM.DIESEL_LIQBIO</t>
  </si>
  <si>
    <t>FEC.ktoe.PT.AGR.AGR.LOW_ENTH.THERM.NG_BIOGAS</t>
  </si>
  <si>
    <t>FEC.ktoe.PT.AGR.AGR.LOW_ENTH.THERM.SOLAR_GEO</t>
  </si>
  <si>
    <t>FEC.ktoe.PT.AGR.AGR.LOW_ENTH.HP.AMBIENT</t>
  </si>
  <si>
    <t>FEC.ktoe.PT.AGR.AGR.LOW_ENTH.THERM.STEAM_DISTR</t>
  </si>
  <si>
    <t>FEC.ktoe.PT.AGR.AGR.LOW_ENTH.THERM.ELEC</t>
  </si>
  <si>
    <t>FEC.ktoe.PT.AGR.AGR.FARM_DRIVES.MECH.DIESEL_LIQBIO</t>
  </si>
  <si>
    <t>FEC.ktoe.PT.AGR.AGR.HEAT_USE.THERM.SOLIDS</t>
  </si>
  <si>
    <t>FEC.ktoe.PT.AGR.AGR.HEAT_USE.THERM.LPG</t>
  </si>
  <si>
    <t>FEC.ktoe.PT.AGR.AGR.HEAT_USE.THERM.DIESEL_LIQBIO</t>
  </si>
  <si>
    <t>FEC.ktoe.PT.AGR.AGR.HEAT_USE.THERM.RFO</t>
  </si>
  <si>
    <t>FEC.ktoe.PT.AGR.AGR.HEAT_USE.THERM.NG_BIOGAS</t>
  </si>
  <si>
    <t>FEC.ktoe.PT.AGR.AGR.HEAT_USE.THERM.BIOMASS_WASTE</t>
  </si>
  <si>
    <t>FEC.ktoe.PT.AGR.AGR.HEAT_USE.THERM.SOLAR_GEO</t>
  </si>
  <si>
    <t>FEC.ktoe.PT.AGR.AGR.FARM_PUMP.MECH.DIESEL_LIQBIO</t>
  </si>
  <si>
    <t>FEC.ktoe.PT.AGR.AGR.FARM_PUMP_ELEC.MECH.ELEC</t>
  </si>
  <si>
    <t>FEC.ktoe.PT.AGR.AGR.GENERIC.MECH.ELEC</t>
  </si>
  <si>
    <t>PT - Agriculture, forestry and fishing / useful energy demand</t>
  </si>
  <si>
    <t>UED.ktoe.PT.AGR.AGR.LIGHT.GENERIC.ELEC</t>
  </si>
  <si>
    <t>UED.ktoe.PT.AGR.AGR.FANS.GENERIC.ELEC</t>
  </si>
  <si>
    <t>UED.ktoe.PT.AGR.AGR.MOTOR.GENERIC.ELEC</t>
  </si>
  <si>
    <t>UED.ktoe.PT.AGR.AGR.LOW_ENTH.THERM.DIESEL_LIQBIO</t>
  </si>
  <si>
    <t>UED.ktoe.PT.AGR.AGR.LOW_ENTH.THERM.NG_BIOGAS</t>
  </si>
  <si>
    <t>UED.ktoe.PT.AGR.AGR.LOW_ENTH.THERM.SOLAR_GEO</t>
  </si>
  <si>
    <t>UED.ktoe.PT.AGR.AGR.LOW_ENTH.HP.AMBIENT</t>
  </si>
  <si>
    <t>UED.ktoe.PT.AGR.AGR.LOW_ENTH.THERM.STEAM_DISTR</t>
  </si>
  <si>
    <t>UED.ktoe.PT.AGR.AGR.LOW_ENTH.THERM.ELEC</t>
  </si>
  <si>
    <t>UED.ktoe.PT.AGR.AGR.FARM_DRIVES.MECH.DIESEL_LIQBIO</t>
  </si>
  <si>
    <t>UED.ktoe.PT.AGR.AGR.HEAT_USE.THERM.SOLIDS</t>
  </si>
  <si>
    <t>UED.ktoe.PT.AGR.AGR.HEAT_USE.THERM.LPG</t>
  </si>
  <si>
    <t>UED.ktoe.PT.AGR.AGR.HEAT_USE.THERM.DIESEL_LIQBIO</t>
  </si>
  <si>
    <t>UED.ktoe.PT.AGR.AGR.HEAT_USE.THERM.RFO</t>
  </si>
  <si>
    <t>UED.ktoe.PT.AGR.AGR.HEAT_USE.THERM.NG_BIOGAS</t>
  </si>
  <si>
    <t>UED.ktoe.PT.AGR.AGR.HEAT_USE.THERM.BIOMASS_WASTE</t>
  </si>
  <si>
    <t>UED.ktoe.PT.AGR.AGR.HEAT_USE.THERM.SOLAR_GEO</t>
  </si>
  <si>
    <t>UED.ktoe.PT.AGR.AGR.FARM_PUMP.MECH.DIESEL_LIQBIO</t>
  </si>
  <si>
    <t>UED.ktoe.PT.AGR.AGR.FARM_PUMP_ELEC.MECH.ELEC</t>
  </si>
  <si>
    <t>UED.ktoe.PT.AGR.AGR.GENERIC.MECH.ELEC</t>
  </si>
  <si>
    <t>PT - Agriculture, forestry and fishing / CO2 emissions</t>
  </si>
  <si>
    <t>FUEL_EMI.ktCO2.PT.AGR.AGR.LIGHT.GENERIC.ELEC</t>
  </si>
  <si>
    <t>FUEL_EMI.ktCO2.PT.AGR.AGR.FANS.GENERIC.ELEC</t>
  </si>
  <si>
    <t>FUEL_EMI.ktCO2.PT.AGR.AGR.MOTOR.GENERIC.ELEC</t>
  </si>
  <si>
    <t>FUEL_EMI.ktCO2.PT.AGR.AGR.LOW_ENTH.THERM.DIESEL_LIQBIO</t>
  </si>
  <si>
    <t>FUEL_EMI.ktCO2.PT.AGR.AGR.LOW_ENTH.THERM.NG_BIOGAS</t>
  </si>
  <si>
    <t>FUEL_EMI.ktCO2.PT.AGR.AGR.LOW_ENTH.THERM.SOLAR_GEO</t>
  </si>
  <si>
    <t>FUEL_EMI.ktCO2.PT.AGR.AGR.LOW_ENTH.HP.AMBIENT</t>
  </si>
  <si>
    <t>FUEL_EMI.ktCO2.PT.AGR.AGR.LOW_ENTH.THERM.STEAM_DISTR</t>
  </si>
  <si>
    <t>FUEL_EMI.ktCO2.PT.AGR.AGR.LOW_ENTH.THERM.ELEC</t>
  </si>
  <si>
    <t>FUEL_EMI.ktCO2.PT.AGR.AGR.FARM_DRIVES.MECH.DIESEL_LIQBIO</t>
  </si>
  <si>
    <t>FUEL_EMI.ktCO2.PT.AGR.AGR.HEAT_USE.THERM.SOLIDS</t>
  </si>
  <si>
    <t>FUEL_EMI.ktCO2.PT.AGR.AGR.HEAT_USE.THERM.LPG</t>
  </si>
  <si>
    <t>FUEL_EMI.ktCO2.PT.AGR.AGR.HEAT_USE.THERM.DIESEL_LIQBIO</t>
  </si>
  <si>
    <t>FUEL_EMI.ktCO2.PT.AGR.AGR.HEAT_USE.THERM.RFO</t>
  </si>
  <si>
    <t>FUEL_EMI.ktCO2.PT.AGR.AGR.HEAT_USE.THERM.NG_BIOGAS</t>
  </si>
  <si>
    <t>FUEL_EMI.ktCO2.PT.AGR.AGR.HEAT_USE.THERM.BIOMASS_WASTE</t>
  </si>
  <si>
    <t>FUEL_EMI.ktCO2.PT.AGR.AGR.HEAT_USE.THERM.SOLAR_GEO</t>
  </si>
  <si>
    <t>FUEL_EMI.ktCO2.PT.AGR.AGR.FARM_PUMP.MECH.DIESEL_LIQBIO</t>
  </si>
  <si>
    <t>FUEL_EMI.ktCO2.PT.AGR.AGR.FARM_PUMP_ELEC.MECH.ELEC</t>
  </si>
  <si>
    <t>FUEL_EMI.ktCO2.PT.AGR.AGR.GENERIC.MECH.ELEC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</si>
</sst>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45432.788240740738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10249022</v>
      </c>
      <c r="C3" s="34">
        <v>10330774</v>
      </c>
      <c r="D3" s="34">
        <v>10394669</v>
      </c>
      <c r="E3" s="34">
        <v>10444592</v>
      </c>
      <c r="F3" s="34">
        <v>10473050</v>
      </c>
      <c r="G3" s="34">
        <v>10494672</v>
      </c>
      <c r="H3" s="34">
        <v>10511988</v>
      </c>
      <c r="I3" s="34">
        <v>10532588</v>
      </c>
      <c r="J3" s="34">
        <v>10553339</v>
      </c>
      <c r="K3" s="34">
        <v>10563014</v>
      </c>
      <c r="L3" s="34">
        <v>10573479</v>
      </c>
      <c r="M3" s="34">
        <v>10572721</v>
      </c>
      <c r="N3" s="34">
        <v>10542398</v>
      </c>
      <c r="O3" s="34">
        <v>10487289</v>
      </c>
      <c r="P3" s="34">
        <v>10427301</v>
      </c>
      <c r="Q3" s="34">
        <v>10374822</v>
      </c>
      <c r="R3" s="34">
        <v>10341330</v>
      </c>
      <c r="S3" s="34">
        <v>10309573</v>
      </c>
      <c r="T3" s="34">
        <v>10291027</v>
      </c>
      <c r="U3" s="34">
        <v>10276617</v>
      </c>
      <c r="V3" s="34">
        <v>10295909</v>
      </c>
      <c r="W3" s="34">
        <v>10298252</v>
      </c>
      <c r="DA3" s="88" t="s">
        <v>187</v>
      </c>
    </row>
    <row r="4" spans="1:105" ht="12" customHeight="1" x14ac:dyDescent="0.25">
      <c r="A4" s="35" t="s">
        <v>178</v>
      </c>
      <c r="B4" s="36">
        <v>174310.30270123522</v>
      </c>
      <c r="C4" s="36">
        <v>177697.36153282379</v>
      </c>
      <c r="D4" s="36">
        <v>179068.07019306862</v>
      </c>
      <c r="E4" s="36">
        <v>177402.5043419119</v>
      </c>
      <c r="F4" s="36">
        <v>180575.23750785762</v>
      </c>
      <c r="G4" s="36">
        <v>181987.19052374232</v>
      </c>
      <c r="H4" s="36">
        <v>184943.49151260318</v>
      </c>
      <c r="I4" s="36">
        <v>189580.61449375568</v>
      </c>
      <c r="J4" s="36">
        <v>190184.8725218481</v>
      </c>
      <c r="K4" s="36">
        <v>184247.37676851492</v>
      </c>
      <c r="L4" s="36">
        <v>187448.00091839823</v>
      </c>
      <c r="M4" s="36">
        <v>184268.50834510542</v>
      </c>
      <c r="N4" s="36">
        <v>176792.23480471456</v>
      </c>
      <c r="O4" s="36">
        <v>175162.12217724536</v>
      </c>
      <c r="P4" s="36">
        <v>176549.3776780249</v>
      </c>
      <c r="Q4" s="36">
        <v>179713.2</v>
      </c>
      <c r="R4" s="36">
        <v>183341.82093455372</v>
      </c>
      <c r="S4" s="36">
        <v>189770.18062079319</v>
      </c>
      <c r="T4" s="36">
        <v>195177.35691116459</v>
      </c>
      <c r="U4" s="36">
        <v>200413.77634014547</v>
      </c>
      <c r="V4" s="36">
        <v>183778.51506291874</v>
      </c>
      <c r="W4" s="36">
        <v>194323.9013509381</v>
      </c>
      <c r="DA4" s="89" t="s">
        <v>188</v>
      </c>
    </row>
    <row r="5" spans="1:105" ht="12" customHeight="1" x14ac:dyDescent="0.25">
      <c r="A5" s="35" t="s">
        <v>147</v>
      </c>
      <c r="B5" s="36">
        <v>101938.0039656312</v>
      </c>
      <c r="C5" s="36">
        <v>105072.13625453247</v>
      </c>
      <c r="D5" s="36">
        <v>107203.31389996932</v>
      </c>
      <c r="E5" s="36">
        <v>107927.42788547251</v>
      </c>
      <c r="F5" s="36">
        <v>110514.61893389598</v>
      </c>
      <c r="G5" s="36">
        <v>112748.13552820121</v>
      </c>
      <c r="H5" s="36">
        <v>114925.54686813671</v>
      </c>
      <c r="I5" s="36">
        <v>118835.39313871723</v>
      </c>
      <c r="J5" s="36">
        <v>121351.67614111354</v>
      </c>
      <c r="K5" s="36">
        <v>119855.71371639366</v>
      </c>
      <c r="L5" s="36">
        <v>121276.24128697287</v>
      </c>
      <c r="M5" s="36">
        <v>121154.37661381478</v>
      </c>
      <c r="N5" s="36">
        <v>117428.55642493305</v>
      </c>
      <c r="O5" s="36">
        <v>116998.15365678532</v>
      </c>
      <c r="P5" s="36">
        <v>117052.38036959979</v>
      </c>
      <c r="Q5" s="36">
        <v>117764.3</v>
      </c>
      <c r="R5" s="36">
        <v>119907.78296096243</v>
      </c>
      <c r="S5" s="36">
        <v>124056.17977528092</v>
      </c>
      <c r="T5" s="36">
        <v>127128.2807151008</v>
      </c>
      <c r="U5" s="36">
        <v>131342.58827044084</v>
      </c>
      <c r="V5" s="36">
        <v>120192.29714661743</v>
      </c>
      <c r="W5" s="36">
        <v>126849.42856885541</v>
      </c>
      <c r="DA5" s="89" t="s">
        <v>189</v>
      </c>
    </row>
    <row r="6" spans="1:105" ht="12" customHeight="1" x14ac:dyDescent="0.25">
      <c r="A6" s="37" t="s">
        <v>70</v>
      </c>
      <c r="B6" s="38">
        <v>2793020.0000000005</v>
      </c>
      <c r="C6" s="38">
        <v>2883160</v>
      </c>
      <c r="D6" s="38">
        <v>2926630</v>
      </c>
      <c r="E6" s="38">
        <v>2945620.0000000005</v>
      </c>
      <c r="F6" s="38">
        <v>3000470.0000000005</v>
      </c>
      <c r="G6" s="38">
        <v>3043399.9999999995</v>
      </c>
      <c r="H6" s="38">
        <v>3089080</v>
      </c>
      <c r="I6" s="38">
        <v>3115299.9999999995</v>
      </c>
      <c r="J6" s="38">
        <v>3179709.9999999995</v>
      </c>
      <c r="K6" s="38">
        <v>3166379.9999999995</v>
      </c>
      <c r="L6" s="38">
        <v>3162890.0000000005</v>
      </c>
      <c r="M6" s="38">
        <v>3140010</v>
      </c>
      <c r="N6" s="38">
        <v>3042950</v>
      </c>
      <c r="O6" s="38">
        <v>2985830</v>
      </c>
      <c r="P6" s="38">
        <v>3070899.9999999995</v>
      </c>
      <c r="Q6" s="38">
        <v>3136480.0000000005</v>
      </c>
      <c r="R6" s="38">
        <v>3215350.0000000005</v>
      </c>
      <c r="S6" s="38">
        <v>3337260</v>
      </c>
      <c r="T6" s="38">
        <v>3421750</v>
      </c>
      <c r="U6" s="38">
        <v>3486730.0000000005</v>
      </c>
      <c r="V6" s="38">
        <v>3415990</v>
      </c>
      <c r="W6" s="38">
        <v>3497890.0000000005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160632.62150341421</v>
      </c>
      <c r="C8" s="34">
        <v>166267.1404075743</v>
      </c>
      <c r="D8" s="34">
        <v>168766.27711969285</v>
      </c>
      <c r="E8" s="34">
        <v>170423.3354313313</v>
      </c>
      <c r="F8" s="34">
        <v>173372.03545299495</v>
      </c>
      <c r="G8" s="34">
        <v>176760.22585694998</v>
      </c>
      <c r="H8" s="34">
        <v>181008.06536802655</v>
      </c>
      <c r="I8" s="34">
        <v>184652.02844287755</v>
      </c>
      <c r="J8" s="34">
        <v>186734.77109447692</v>
      </c>
      <c r="K8" s="34">
        <v>187590.41879868039</v>
      </c>
      <c r="L8" s="34">
        <v>188342.74917965915</v>
      </c>
      <c r="M8" s="34">
        <v>189109.83803155232</v>
      </c>
      <c r="N8" s="34">
        <v>189333.34340326636</v>
      </c>
      <c r="O8" s="34">
        <v>190184.70936700961</v>
      </c>
      <c r="P8" s="34">
        <v>191565.01284622177</v>
      </c>
      <c r="Q8" s="34">
        <v>192841.65349043626</v>
      </c>
      <c r="R8" s="34">
        <v>194012.04100112666</v>
      </c>
      <c r="S8" s="34">
        <v>195693.71802547251</v>
      </c>
      <c r="T8" s="34">
        <v>197261.37881119319</v>
      </c>
      <c r="U8" s="34">
        <v>198695.3007043555</v>
      </c>
      <c r="V8" s="34">
        <v>199955.72222222222</v>
      </c>
      <c r="W8" s="34">
        <v>201047.31590284751</v>
      </c>
      <c r="DA8" s="88" t="s">
        <v>191</v>
      </c>
    </row>
    <row r="9" spans="1:105" ht="12" customHeight="1" x14ac:dyDescent="0.25">
      <c r="A9" s="39" t="s">
        <v>68</v>
      </c>
      <c r="B9" s="40">
        <v>144569.3593530728</v>
      </c>
      <c r="C9" s="40">
        <v>149640.42636681689</v>
      </c>
      <c r="D9" s="40">
        <v>151889.64940772357</v>
      </c>
      <c r="E9" s="40">
        <v>153381.00188819817</v>
      </c>
      <c r="F9" s="40">
        <v>156034.83190769548</v>
      </c>
      <c r="G9" s="40">
        <v>159084.20327125498</v>
      </c>
      <c r="H9" s="40">
        <v>162907.25883122391</v>
      </c>
      <c r="I9" s="40">
        <v>166186.82559858978</v>
      </c>
      <c r="J9" s="40">
        <v>168061.29398502922</v>
      </c>
      <c r="K9" s="40">
        <v>168831.37691881234</v>
      </c>
      <c r="L9" s="40">
        <v>169508.47426169322</v>
      </c>
      <c r="M9" s="40">
        <v>170198.8542283971</v>
      </c>
      <c r="N9" s="40">
        <v>170400.00906293973</v>
      </c>
      <c r="O9" s="40">
        <v>171166.23843030864</v>
      </c>
      <c r="P9" s="40">
        <v>172408.51156159959</v>
      </c>
      <c r="Q9" s="40">
        <v>173557.48814139265</v>
      </c>
      <c r="R9" s="40">
        <v>174610.836901014</v>
      </c>
      <c r="S9" s="40">
        <v>176124.34622292526</v>
      </c>
      <c r="T9" s="40">
        <v>177535.24093007387</v>
      </c>
      <c r="U9" s="40">
        <v>178825.77063391995</v>
      </c>
      <c r="V9" s="40">
        <v>179960.15</v>
      </c>
      <c r="W9" s="40">
        <v>180942.58431256277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6276.7996633431831</v>
      </c>
      <c r="D10" s="41">
        <v>3164.2164840515688</v>
      </c>
      <c r="E10" s="41">
        <v>2331.9090890356788</v>
      </c>
      <c r="F10" s="41">
        <v>3630.7162030680438</v>
      </c>
      <c r="G10" s="41">
        <v>4081.9317919164655</v>
      </c>
      <c r="H10" s="41">
        <v>4954.6089063236968</v>
      </c>
      <c r="I10" s="41">
        <v>4368.3202799337332</v>
      </c>
      <c r="J10" s="41">
        <v>2821.4306646964042</v>
      </c>
      <c r="K10" s="41">
        <v>1602.8039220361229</v>
      </c>
      <c r="L10" s="41">
        <v>1502.7436006328114</v>
      </c>
      <c r="M10" s="41">
        <v>1520.759073368703</v>
      </c>
      <c r="N10" s="41">
        <v>979.78119464667441</v>
      </c>
      <c r="O10" s="41">
        <v>1608.9445874043599</v>
      </c>
      <c r="P10" s="41">
        <v>2141.1391046948734</v>
      </c>
      <c r="Q10" s="41">
        <v>2042.6874726113992</v>
      </c>
      <c r="R10" s="41">
        <v>2154.2734978864564</v>
      </c>
      <c r="S10" s="41">
        <v>2671.5343763923861</v>
      </c>
      <c r="T10" s="41">
        <v>2566.0981225853502</v>
      </c>
      <c r="U10" s="41">
        <v>2440.3574993418474</v>
      </c>
      <c r="V10" s="41">
        <v>2274.173052072626</v>
      </c>
      <c r="W10" s="41">
        <v>2111.7759368610732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5649.119697008864</v>
      </c>
      <c r="D11" s="42">
        <v>2847.7948356464117</v>
      </c>
      <c r="E11" s="42">
        <v>2098.7181801321108</v>
      </c>
      <c r="F11" s="42">
        <v>3267.6445827612397</v>
      </c>
      <c r="G11" s="42">
        <v>3673.7386127248192</v>
      </c>
      <c r="H11" s="42">
        <v>4459.1480156913267</v>
      </c>
      <c r="I11" s="42">
        <v>3931.4882519403595</v>
      </c>
      <c r="J11" s="42">
        <v>2539.2875982267637</v>
      </c>
      <c r="K11" s="42">
        <v>1442.5235298325106</v>
      </c>
      <c r="L11" s="42">
        <v>1352.4692405695303</v>
      </c>
      <c r="M11" s="42">
        <v>1368.6831660318326</v>
      </c>
      <c r="N11" s="42">
        <v>881.80307518200709</v>
      </c>
      <c r="O11" s="42">
        <v>1448.0501286639237</v>
      </c>
      <c r="P11" s="42">
        <v>1927.0251942253863</v>
      </c>
      <c r="Q11" s="42">
        <v>1838.4187253502594</v>
      </c>
      <c r="R11" s="42">
        <v>1938.8461480978108</v>
      </c>
      <c r="S11" s="42">
        <v>2404.3809387531473</v>
      </c>
      <c r="T11" s="42">
        <v>2309.4883103268148</v>
      </c>
      <c r="U11" s="42">
        <v>2196.321749407663</v>
      </c>
      <c r="V11" s="42">
        <v>2046.7557468653633</v>
      </c>
      <c r="W11" s="42">
        <v>1900.598343174966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1263.95</v>
      </c>
      <c r="C13" s="43">
        <v>1246.56</v>
      </c>
      <c r="D13" s="43">
        <v>1137.33</v>
      </c>
      <c r="E13" s="43">
        <v>1220.4000000000001</v>
      </c>
      <c r="F13" s="43">
        <v>1344.48</v>
      </c>
      <c r="G13" s="43">
        <v>1338.02</v>
      </c>
      <c r="H13" s="43">
        <v>1189.3</v>
      </c>
      <c r="I13" s="43">
        <v>1236.5999999999999</v>
      </c>
      <c r="J13" s="43">
        <v>1267.83</v>
      </c>
      <c r="K13" s="43">
        <v>1153.8499999999999</v>
      </c>
      <c r="L13" s="43">
        <v>1298.28</v>
      </c>
      <c r="M13" s="43">
        <v>1089.29</v>
      </c>
      <c r="N13" s="43">
        <v>1347.73</v>
      </c>
      <c r="O13" s="43">
        <v>1336.17</v>
      </c>
      <c r="P13" s="43">
        <v>1138.56</v>
      </c>
      <c r="Q13" s="43">
        <v>1080.28</v>
      </c>
      <c r="R13" s="43">
        <v>1233.04</v>
      </c>
      <c r="S13" s="43">
        <v>1054.83</v>
      </c>
      <c r="T13" s="43">
        <v>1307.33</v>
      </c>
      <c r="U13" s="43">
        <v>1109.07</v>
      </c>
      <c r="V13" s="43">
        <v>1007.58</v>
      </c>
      <c r="W13" s="43">
        <v>1064.78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1209.5466666666669</v>
      </c>
      <c r="C14" s="44">
        <f t="shared" ref="C14:W14" si="0">AVERAGE($B$13:$V$13)</f>
        <v>1209.5466666666669</v>
      </c>
      <c r="D14" s="44">
        <f t="shared" si="0"/>
        <v>1209.5466666666669</v>
      </c>
      <c r="E14" s="44">
        <f t="shared" si="0"/>
        <v>1209.5466666666669</v>
      </c>
      <c r="F14" s="44">
        <f t="shared" si="0"/>
        <v>1209.5466666666669</v>
      </c>
      <c r="G14" s="44">
        <f t="shared" si="0"/>
        <v>1209.5466666666669</v>
      </c>
      <c r="H14" s="44">
        <f t="shared" si="0"/>
        <v>1209.5466666666669</v>
      </c>
      <c r="I14" s="44">
        <f t="shared" si="0"/>
        <v>1209.5466666666669</v>
      </c>
      <c r="J14" s="44">
        <f t="shared" si="0"/>
        <v>1209.5466666666669</v>
      </c>
      <c r="K14" s="44">
        <f t="shared" si="0"/>
        <v>1209.5466666666669</v>
      </c>
      <c r="L14" s="44">
        <f t="shared" si="0"/>
        <v>1209.5466666666669</v>
      </c>
      <c r="M14" s="44">
        <f t="shared" si="0"/>
        <v>1209.5466666666669</v>
      </c>
      <c r="N14" s="44">
        <f t="shared" si="0"/>
        <v>1209.5466666666669</v>
      </c>
      <c r="O14" s="44">
        <f t="shared" si="0"/>
        <v>1209.5466666666669</v>
      </c>
      <c r="P14" s="44">
        <f t="shared" si="0"/>
        <v>1209.5466666666669</v>
      </c>
      <c r="Q14" s="44">
        <f t="shared" si="0"/>
        <v>1209.5466666666669</v>
      </c>
      <c r="R14" s="44">
        <f t="shared" si="0"/>
        <v>1209.5466666666669</v>
      </c>
      <c r="S14" s="44">
        <f t="shared" si="0"/>
        <v>1209.5466666666669</v>
      </c>
      <c r="T14" s="44">
        <f t="shared" si="0"/>
        <v>1209.5466666666669</v>
      </c>
      <c r="U14" s="44">
        <f t="shared" si="0"/>
        <v>1209.5466666666669</v>
      </c>
      <c r="V14" s="44">
        <f t="shared" si="0"/>
        <v>1209.5466666666669</v>
      </c>
      <c r="W14" s="44">
        <f t="shared" si="0"/>
        <v>1209.5466666666669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1.0449782838749502</v>
      </c>
      <c r="C15" s="46">
        <f t="shared" ref="C15:W15" si="1">C13/C14</f>
        <v>1.030600996516601</v>
      </c>
      <c r="D15" s="46">
        <f t="shared" si="1"/>
        <v>0.94029443538074853</v>
      </c>
      <c r="E15" s="46">
        <f t="shared" si="1"/>
        <v>1.008973058776842</v>
      </c>
      <c r="F15" s="46">
        <f t="shared" si="1"/>
        <v>1.111556946955333</v>
      </c>
      <c r="G15" s="46">
        <f t="shared" si="1"/>
        <v>1.1062161030027777</v>
      </c>
      <c r="H15" s="46">
        <f t="shared" si="1"/>
        <v>0.98326094624983451</v>
      </c>
      <c r="I15" s="46">
        <f t="shared" si="1"/>
        <v>1.0223665064597203</v>
      </c>
      <c r="J15" s="46">
        <f t="shared" si="1"/>
        <v>1.0481860972706025</v>
      </c>
      <c r="K15" s="46">
        <f t="shared" si="1"/>
        <v>0.95395244499316523</v>
      </c>
      <c r="L15" s="46">
        <f t="shared" si="1"/>
        <v>1.0733608183782353</v>
      </c>
      <c r="M15" s="46">
        <f t="shared" si="1"/>
        <v>0.9005770757088053</v>
      </c>
      <c r="N15" s="46">
        <f t="shared" si="1"/>
        <v>1.1142439040522067</v>
      </c>
      <c r="O15" s="46">
        <f t="shared" si="1"/>
        <v>1.1046866043476342</v>
      </c>
      <c r="P15" s="46">
        <f t="shared" si="1"/>
        <v>0.94131134529741156</v>
      </c>
      <c r="Q15" s="46">
        <f t="shared" si="1"/>
        <v>0.89312800388024149</v>
      </c>
      <c r="R15" s="46">
        <f t="shared" si="1"/>
        <v>1.0194232549936062</v>
      </c>
      <c r="S15" s="46">
        <f t="shared" si="1"/>
        <v>0.8720870629216454</v>
      </c>
      <c r="T15" s="46">
        <f t="shared" si="1"/>
        <v>1.0808429604479912</v>
      </c>
      <c r="U15" s="46">
        <f t="shared" si="1"/>
        <v>0.91693030997839386</v>
      </c>
      <c r="V15" s="46">
        <f t="shared" si="1"/>
        <v>0.83302284051325004</v>
      </c>
      <c r="W15" s="46">
        <f t="shared" si="1"/>
        <v>0.88031328541822818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17007.505955322882</v>
      </c>
      <c r="C19" s="34">
        <f t="shared" si="2"/>
        <v>17200.779102594228</v>
      </c>
      <c r="D19" s="34">
        <f t="shared" ref="D19:W19" si="3">D4*1000000/D3</f>
        <v>17226.914122332189</v>
      </c>
      <c r="E19" s="34">
        <f t="shared" si="3"/>
        <v>16985.10620059758</v>
      </c>
      <c r="F19" s="34">
        <f t="shared" si="3"/>
        <v>17241.895866806481</v>
      </c>
      <c r="G19" s="34">
        <f t="shared" si="3"/>
        <v>17340.912657750745</v>
      </c>
      <c r="H19" s="34">
        <f t="shared" si="3"/>
        <v>17593.579017841646</v>
      </c>
      <c r="I19" s="34">
        <f t="shared" si="3"/>
        <v>17999.43323461961</v>
      </c>
      <c r="J19" s="34">
        <f t="shared" si="3"/>
        <v>18021.298521903645</v>
      </c>
      <c r="K19" s="34">
        <f t="shared" si="3"/>
        <v>17442.68982020803</v>
      </c>
      <c r="L19" s="34">
        <f t="shared" si="3"/>
        <v>17728.129116102489</v>
      </c>
      <c r="M19" s="34">
        <f t="shared" si="3"/>
        <v>17428.674070289515</v>
      </c>
      <c r="N19" s="34">
        <f t="shared" si="3"/>
        <v>16769.641480497565</v>
      </c>
      <c r="O19" s="34">
        <f t="shared" si="3"/>
        <v>16702.326232951658</v>
      </c>
      <c r="P19" s="34">
        <f t="shared" si="3"/>
        <v>16931.455002404255</v>
      </c>
      <c r="Q19" s="34">
        <f t="shared" si="3"/>
        <v>17322.051404833739</v>
      </c>
      <c r="R19" s="34">
        <f t="shared" si="3"/>
        <v>17729.036877708546</v>
      </c>
      <c r="S19" s="34">
        <f t="shared" si="3"/>
        <v>18407.181424564642</v>
      </c>
      <c r="T19" s="34">
        <f t="shared" si="3"/>
        <v>18965.780277436312</v>
      </c>
      <c r="U19" s="34">
        <f t="shared" si="3"/>
        <v>19501.921336578514</v>
      </c>
      <c r="V19" s="34">
        <f t="shared" si="3"/>
        <v>17849.663887172926</v>
      </c>
      <c r="W19" s="34">
        <f t="shared" si="3"/>
        <v>18869.600525500649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36497.412823979481</v>
      </c>
      <c r="C20" s="36">
        <f t="shared" si="4"/>
        <v>36443.39414202905</v>
      </c>
      <c r="D20" s="36">
        <f t="shared" ref="D20:W20" si="5">D5*1000000/D6</f>
        <v>36630.292828259575</v>
      </c>
      <c r="E20" s="36">
        <f t="shared" si="5"/>
        <v>36639.969814664655</v>
      </c>
      <c r="F20" s="36">
        <f t="shared" si="5"/>
        <v>36832.435896341558</v>
      </c>
      <c r="G20" s="36">
        <f t="shared" si="5"/>
        <v>37046.768590458443</v>
      </c>
      <c r="H20" s="36">
        <f t="shared" si="5"/>
        <v>37203.810476949999</v>
      </c>
      <c r="I20" s="36">
        <f t="shared" si="5"/>
        <v>38145.730150777534</v>
      </c>
      <c r="J20" s="36">
        <f t="shared" si="5"/>
        <v>38164.384846767018</v>
      </c>
      <c r="K20" s="36">
        <f t="shared" si="5"/>
        <v>37852.599408912916</v>
      </c>
      <c r="L20" s="36">
        <f t="shared" si="5"/>
        <v>38343.490063509278</v>
      </c>
      <c r="M20" s="36">
        <f t="shared" si="5"/>
        <v>38584.07349461141</v>
      </c>
      <c r="N20" s="36">
        <f t="shared" si="5"/>
        <v>38590.366724702362</v>
      </c>
      <c r="O20" s="36">
        <f t="shared" si="5"/>
        <v>39184.465845940766</v>
      </c>
      <c r="P20" s="36">
        <f t="shared" si="5"/>
        <v>38116.636936923969</v>
      </c>
      <c r="Q20" s="36">
        <f t="shared" si="5"/>
        <v>37546.644646227614</v>
      </c>
      <c r="R20" s="36">
        <f t="shared" si="5"/>
        <v>37292.295694391716</v>
      </c>
      <c r="S20" s="36">
        <f t="shared" si="5"/>
        <v>37173.064063117919</v>
      </c>
      <c r="T20" s="36">
        <f t="shared" si="5"/>
        <v>37153.000866545131</v>
      </c>
      <c r="U20" s="36">
        <f t="shared" si="5"/>
        <v>37669.274153846389</v>
      </c>
      <c r="V20" s="36">
        <f t="shared" si="5"/>
        <v>35185.201697492506</v>
      </c>
      <c r="W20" s="36">
        <f t="shared" si="5"/>
        <v>36264.55622356775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9946.1201240109731</v>
      </c>
      <c r="C21" s="36">
        <f t="shared" si="6"/>
        <v>10170.790325539256</v>
      </c>
      <c r="D21" s="36">
        <f t="shared" ref="D21:W21" si="7">D5*1000000/D3</f>
        <v>10313.297508556483</v>
      </c>
      <c r="E21" s="36">
        <f t="shared" si="7"/>
        <v>10333.331152185985</v>
      </c>
      <c r="F21" s="36">
        <f t="shared" si="7"/>
        <v>10552.286003971716</v>
      </c>
      <c r="G21" s="36">
        <f t="shared" si="7"/>
        <v>10743.369161818608</v>
      </c>
      <c r="H21" s="36">
        <f t="shared" si="7"/>
        <v>10932.808034801477</v>
      </c>
      <c r="I21" s="36">
        <f t="shared" si="7"/>
        <v>11282.63947462079</v>
      </c>
      <c r="J21" s="36">
        <f t="shared" si="7"/>
        <v>11498.889227486537</v>
      </c>
      <c r="K21" s="36">
        <f t="shared" si="7"/>
        <v>11346.734342716356</v>
      </c>
      <c r="L21" s="36">
        <f t="shared" si="7"/>
        <v>11469.852192166161</v>
      </c>
      <c r="M21" s="36">
        <f t="shared" si="7"/>
        <v>11459.148180852855</v>
      </c>
      <c r="N21" s="36">
        <f t="shared" si="7"/>
        <v>11138.695050683255</v>
      </c>
      <c r="O21" s="36">
        <f t="shared" si="7"/>
        <v>11156.186661470407</v>
      </c>
      <c r="P21" s="36">
        <f t="shared" si="7"/>
        <v>11225.568377627134</v>
      </c>
      <c r="Q21" s="36">
        <f t="shared" si="7"/>
        <v>11350.970647978345</v>
      </c>
      <c r="R21" s="36">
        <f t="shared" si="7"/>
        <v>11595.005957740681</v>
      </c>
      <c r="S21" s="36">
        <f t="shared" si="7"/>
        <v>12033.105520013381</v>
      </c>
      <c r="T21" s="36">
        <f t="shared" si="7"/>
        <v>12353.313300519063</v>
      </c>
      <c r="U21" s="36">
        <f t="shared" si="7"/>
        <v>12780.722320432964</v>
      </c>
      <c r="V21" s="36">
        <f t="shared" si="7"/>
        <v>11673.791711505748</v>
      </c>
      <c r="W21" s="36">
        <f t="shared" si="7"/>
        <v>12317.568900902348</v>
      </c>
      <c r="DA21" s="89"/>
    </row>
    <row r="22" spans="1:105" ht="12" customHeight="1" x14ac:dyDescent="0.25">
      <c r="A22" s="51" t="s">
        <v>152</v>
      </c>
      <c r="B22" s="52">
        <v>0.68364283681102311</v>
      </c>
      <c r="C22" s="52">
        <v>0.68132237903024739</v>
      </c>
      <c r="D22" s="52">
        <v>0.67770774062324624</v>
      </c>
      <c r="E22" s="52">
        <v>0.67148905556881044</v>
      </c>
      <c r="F22" s="52">
        <v>0.6700201528038181</v>
      </c>
      <c r="G22" s="52">
        <v>0.66862490485925452</v>
      </c>
      <c r="H22" s="52">
        <v>0.6611914344020442</v>
      </c>
      <c r="I22" s="52">
        <v>0.66219816239720741</v>
      </c>
      <c r="J22" s="52">
        <v>0.66613052569965248</v>
      </c>
      <c r="K22" s="52">
        <v>0.67241424564554642</v>
      </c>
      <c r="L22" s="52">
        <v>0.6706509906544923</v>
      </c>
      <c r="M22" s="52">
        <v>0.65754357119285911</v>
      </c>
      <c r="N22" s="52">
        <v>0.64110185008215759</v>
      </c>
      <c r="O22" s="52">
        <v>0.63967543763080481</v>
      </c>
      <c r="P22" s="52">
        <v>0.63533119868546961</v>
      </c>
      <c r="Q22" s="52">
        <v>0.63320699331524599</v>
      </c>
      <c r="R22" s="52">
        <v>0.63648678954730808</v>
      </c>
      <c r="S22" s="52">
        <v>0.64356620228521133</v>
      </c>
      <c r="T22" s="52">
        <v>0.64702611048671443</v>
      </c>
      <c r="U22" s="52">
        <v>0.6568806231651324</v>
      </c>
      <c r="V22" s="52">
        <v>0.63561544610348841</v>
      </c>
      <c r="W22" s="52">
        <v>0.63654109009222126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17.387626335542532</v>
      </c>
      <c r="C23" s="53">
        <f t="shared" si="8"/>
        <v>17.34052797764156</v>
      </c>
      <c r="D23" s="53">
        <f t="shared" ref="D23:W23" si="9">D6/D8</f>
        <v>17.341319900802031</v>
      </c>
      <c r="E23" s="53">
        <f t="shared" si="9"/>
        <v>17.284135371161536</v>
      </c>
      <c r="F23" s="53">
        <f t="shared" si="9"/>
        <v>17.306539616727839</v>
      </c>
      <c r="G23" s="53">
        <f t="shared" si="9"/>
        <v>17.217674311318138</v>
      </c>
      <c r="H23" s="53">
        <f t="shared" si="9"/>
        <v>17.065979870671875</v>
      </c>
      <c r="I23" s="53">
        <f t="shared" si="9"/>
        <v>16.871192947461843</v>
      </c>
      <c r="J23" s="53">
        <f t="shared" si="9"/>
        <v>17.02794815000604</v>
      </c>
      <c r="K23" s="53">
        <f t="shared" si="9"/>
        <v>16.879220272961369</v>
      </c>
      <c r="L23" s="53">
        <f t="shared" si="9"/>
        <v>16.79326660450802</v>
      </c>
      <c r="M23" s="53">
        <f t="shared" si="9"/>
        <v>16.604159956374666</v>
      </c>
      <c r="N23" s="53">
        <f t="shared" si="9"/>
        <v>16.071918159279193</v>
      </c>
      <c r="O23" s="53">
        <f t="shared" si="9"/>
        <v>15.699632267692373</v>
      </c>
      <c r="P23" s="53">
        <f t="shared" si="9"/>
        <v>16.030589064116604</v>
      </c>
      <c r="Q23" s="53">
        <f t="shared" si="9"/>
        <v>16.264535919650523</v>
      </c>
      <c r="R23" s="53">
        <f t="shared" si="9"/>
        <v>16.572940439203606</v>
      </c>
      <c r="S23" s="53">
        <f t="shared" si="9"/>
        <v>17.053485587951297</v>
      </c>
      <c r="T23" s="53">
        <f t="shared" si="9"/>
        <v>17.346274372719936</v>
      </c>
      <c r="U23" s="53">
        <f t="shared" si="9"/>
        <v>17.548125132501283</v>
      </c>
      <c r="V23" s="53">
        <f t="shared" si="9"/>
        <v>17.083732148478429</v>
      </c>
      <c r="W23" s="53">
        <f t="shared" si="9"/>
        <v>17.398342197666011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14.105673629451941</v>
      </c>
      <c r="C24" s="54">
        <f t="shared" si="10"/>
        <v>14.484919171285412</v>
      </c>
      <c r="D24" s="54">
        <f t="shared" ref="D24:W24" si="11">D9*1000/D3</f>
        <v>14.612264171925395</v>
      </c>
      <c r="E24" s="54">
        <f t="shared" si="11"/>
        <v>14.685207606788103</v>
      </c>
      <c r="F24" s="54">
        <f t="shared" si="11"/>
        <v>14.898700178810898</v>
      </c>
      <c r="G24" s="54">
        <f t="shared" si="11"/>
        <v>15.158568392728709</v>
      </c>
      <c r="H24" s="54">
        <f t="shared" si="11"/>
        <v>15.497283561513189</v>
      </c>
      <c r="I24" s="54">
        <f t="shared" si="11"/>
        <v>15.778346746173854</v>
      </c>
      <c r="J24" s="54">
        <f t="shared" si="11"/>
        <v>15.924940342106817</v>
      </c>
      <c r="K24" s="54">
        <f t="shared" si="11"/>
        <v>15.983257895787352</v>
      </c>
      <c r="L24" s="54">
        <f t="shared" si="11"/>
        <v>16.031475946724179</v>
      </c>
      <c r="M24" s="54">
        <f t="shared" si="11"/>
        <v>16.097923536277662</v>
      </c>
      <c r="N24" s="54">
        <f t="shared" si="11"/>
        <v>16.163306399828553</v>
      </c>
      <c r="O24" s="54">
        <f t="shared" si="11"/>
        <v>16.321304622224929</v>
      </c>
      <c r="P24" s="54">
        <f t="shared" si="11"/>
        <v>16.534337271130813</v>
      </c>
      <c r="Q24" s="54">
        <f t="shared" si="11"/>
        <v>16.728719600335566</v>
      </c>
      <c r="R24" s="54">
        <f t="shared" si="11"/>
        <v>16.884756303204135</v>
      </c>
      <c r="S24" s="54">
        <f t="shared" si="11"/>
        <v>17.08357331801475</v>
      </c>
      <c r="T24" s="54">
        <f t="shared" si="11"/>
        <v>17.251460027271705</v>
      </c>
      <c r="U24" s="54">
        <f t="shared" si="11"/>
        <v>17.401229474049675</v>
      </c>
      <c r="V24" s="54">
        <f t="shared" si="11"/>
        <v>17.478801531754019</v>
      </c>
      <c r="W24" s="54">
        <f t="shared" si="11"/>
        <v>17.570223015766437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51.760946700371917</v>
      </c>
      <c r="C25" s="54">
        <f t="shared" si="12"/>
        <v>51.901533861047213</v>
      </c>
      <c r="D25" s="54">
        <f t="shared" ref="D25:W25" si="13">D9*1000/D6</f>
        <v>51.899163682366265</v>
      </c>
      <c r="E25" s="54">
        <f t="shared" si="13"/>
        <v>52.070871968617183</v>
      </c>
      <c r="F25" s="54">
        <f t="shared" si="13"/>
        <v>52.003463426628308</v>
      </c>
      <c r="G25" s="54">
        <f t="shared" si="13"/>
        <v>52.271868065734054</v>
      </c>
      <c r="H25" s="54">
        <f t="shared" si="13"/>
        <v>52.736497219633002</v>
      </c>
      <c r="I25" s="54">
        <f t="shared" si="13"/>
        <v>53.345368214486506</v>
      </c>
      <c r="J25" s="54">
        <f t="shared" si="13"/>
        <v>52.854283562032151</v>
      </c>
      <c r="K25" s="54">
        <f t="shared" si="13"/>
        <v>53.319998521596382</v>
      </c>
      <c r="L25" s="54">
        <f t="shared" si="13"/>
        <v>53.592908467159205</v>
      </c>
      <c r="M25" s="54">
        <f t="shared" si="13"/>
        <v>54.203284138712014</v>
      </c>
      <c r="N25" s="54">
        <f t="shared" si="13"/>
        <v>55.998294110300769</v>
      </c>
      <c r="O25" s="54">
        <f t="shared" si="13"/>
        <v>57.326183483422916</v>
      </c>
      <c r="P25" s="54">
        <f t="shared" si="13"/>
        <v>56.142665525285622</v>
      </c>
      <c r="Q25" s="54">
        <f t="shared" si="13"/>
        <v>55.335117118997289</v>
      </c>
      <c r="R25" s="54">
        <f t="shared" si="13"/>
        <v>54.30539036217332</v>
      </c>
      <c r="S25" s="54">
        <f t="shared" si="13"/>
        <v>52.775134758132502</v>
      </c>
      <c r="T25" s="54">
        <f t="shared" si="13"/>
        <v>51.884340156374329</v>
      </c>
      <c r="U25" s="54">
        <f t="shared" si="13"/>
        <v>51.287530331835249</v>
      </c>
      <c r="V25" s="54">
        <f t="shared" si="13"/>
        <v>52.681696960471193</v>
      </c>
      <c r="W25" s="54">
        <f t="shared" si="13"/>
        <v>51.729066469375176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900</v>
      </c>
      <c r="H26" s="55">
        <f t="shared" si="15"/>
        <v>900</v>
      </c>
      <c r="I26" s="55">
        <f t="shared" si="15"/>
        <v>899.99999999999989</v>
      </c>
      <c r="J26" s="55">
        <f t="shared" si="15"/>
        <v>900</v>
      </c>
      <c r="K26" s="55">
        <f t="shared" si="15"/>
        <v>899.99999999999989</v>
      </c>
      <c r="L26" s="55">
        <f t="shared" si="15"/>
        <v>899.99999999999989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900.00000000000011</v>
      </c>
      <c r="R26" s="55">
        <f t="shared" si="15"/>
        <v>900</v>
      </c>
      <c r="S26" s="55">
        <f t="shared" si="15"/>
        <v>900.00000000000011</v>
      </c>
      <c r="T26" s="55">
        <f t="shared" si="15"/>
        <v>899.99999999999989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899.99999999999989</v>
      </c>
      <c r="F27" s="57">
        <f t="shared" si="17"/>
        <v>900.00000000000011</v>
      </c>
      <c r="G27" s="57">
        <f t="shared" si="17"/>
        <v>900.00000000000011</v>
      </c>
      <c r="H27" s="57">
        <f t="shared" si="17"/>
        <v>900</v>
      </c>
      <c r="I27" s="57">
        <f t="shared" si="17"/>
        <v>899.99999999999989</v>
      </c>
      <c r="J27" s="57">
        <f t="shared" si="17"/>
        <v>900</v>
      </c>
      <c r="K27" s="57">
        <f t="shared" si="17"/>
        <v>899.99999999999989</v>
      </c>
      <c r="L27" s="57">
        <f t="shared" si="17"/>
        <v>900</v>
      </c>
      <c r="M27" s="57">
        <f t="shared" si="17"/>
        <v>899.99999999999989</v>
      </c>
      <c r="N27" s="57">
        <f t="shared" si="17"/>
        <v>900.00000000000011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</v>
      </c>
      <c r="R27" s="57">
        <f t="shared" si="17"/>
        <v>900</v>
      </c>
      <c r="S27" s="57">
        <f t="shared" si="17"/>
        <v>899.99999999999989</v>
      </c>
      <c r="T27" s="57">
        <f t="shared" si="17"/>
        <v>899.99999999999977</v>
      </c>
      <c r="U27" s="57">
        <f t="shared" si="17"/>
        <v>900.00000000000011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1435.4321582115217</v>
      </c>
      <c r="C31" s="80">
        <f t="shared" ref="C31:W31" si="18">SUM(C32:C33,C36:C37,C44:C45)</f>
        <v>1542.0375562949905</v>
      </c>
      <c r="D31" s="80">
        <f t="shared" si="18"/>
        <v>1622.5525558007525</v>
      </c>
      <c r="E31" s="80">
        <f t="shared" si="18"/>
        <v>1722.0678132600835</v>
      </c>
      <c r="F31" s="80">
        <f t="shared" si="18"/>
        <v>1888.8659501289762</v>
      </c>
      <c r="G31" s="80">
        <f t="shared" si="18"/>
        <v>2028.79260533104</v>
      </c>
      <c r="H31" s="80">
        <f t="shared" si="18"/>
        <v>2070.3423043852108</v>
      </c>
      <c r="I31" s="80">
        <f t="shared" si="18"/>
        <v>2065.2779019776435</v>
      </c>
      <c r="J31" s="80">
        <f t="shared" si="18"/>
        <v>1975.9819667333127</v>
      </c>
      <c r="K31" s="80">
        <f t="shared" si="18"/>
        <v>2072.000207629625</v>
      </c>
      <c r="L31" s="80">
        <f t="shared" si="18"/>
        <v>1912.7170721330072</v>
      </c>
      <c r="M31" s="80">
        <f t="shared" si="18"/>
        <v>1881.8566964849506</v>
      </c>
      <c r="N31" s="80">
        <f t="shared" si="18"/>
        <v>1863.6594131520633</v>
      </c>
      <c r="O31" s="80">
        <f t="shared" si="18"/>
        <v>1817.0684487393396</v>
      </c>
      <c r="P31" s="80">
        <f t="shared" si="18"/>
        <v>1928.2097870272689</v>
      </c>
      <c r="Q31" s="80">
        <f t="shared" si="18"/>
        <v>2003.1935100740848</v>
      </c>
      <c r="R31" s="80">
        <f t="shared" si="18"/>
        <v>1922.4202848137174</v>
      </c>
      <c r="S31" s="80">
        <f t="shared" si="18"/>
        <v>1920.312246634026</v>
      </c>
      <c r="T31" s="80">
        <f t="shared" si="18"/>
        <v>1983.1387038391108</v>
      </c>
      <c r="U31" s="80">
        <f t="shared" si="18"/>
        <v>1937.5777945832465</v>
      </c>
      <c r="V31" s="80">
        <f t="shared" si="18"/>
        <v>1713.6196722421425</v>
      </c>
      <c r="W31" s="80">
        <f t="shared" si="18"/>
        <v>1715.7667796849364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379.34634565778151</v>
      </c>
      <c r="C33" s="55">
        <f t="shared" ref="C33:W33" si="19">SUM(C34:C35)</f>
        <v>407.17556145406195</v>
      </c>
      <c r="D33" s="55">
        <f t="shared" si="19"/>
        <v>430.35565124357333</v>
      </c>
      <c r="E33" s="55">
        <f t="shared" si="19"/>
        <v>450.54537129963666</v>
      </c>
      <c r="F33" s="55">
        <f t="shared" si="19"/>
        <v>547.33301805674967</v>
      </c>
      <c r="G33" s="55">
        <f t="shared" si="19"/>
        <v>632.47085124677551</v>
      </c>
      <c r="H33" s="55">
        <f t="shared" si="19"/>
        <v>581.83078245915738</v>
      </c>
      <c r="I33" s="55">
        <f t="shared" si="19"/>
        <v>526.50593293207214</v>
      </c>
      <c r="J33" s="55">
        <f t="shared" si="19"/>
        <v>410.64763542562332</v>
      </c>
      <c r="K33" s="55">
        <f t="shared" si="19"/>
        <v>466.63319002579533</v>
      </c>
      <c r="L33" s="55">
        <f t="shared" si="19"/>
        <v>267.84170249355117</v>
      </c>
      <c r="M33" s="55">
        <f t="shared" si="19"/>
        <v>209.70670679277728</v>
      </c>
      <c r="N33" s="55">
        <f t="shared" si="19"/>
        <v>164.44548581255373</v>
      </c>
      <c r="O33" s="55">
        <f t="shared" si="19"/>
        <v>157.6858985382631</v>
      </c>
      <c r="P33" s="55">
        <f t="shared" si="19"/>
        <v>179.20610490111778</v>
      </c>
      <c r="Q33" s="55">
        <f t="shared" si="19"/>
        <v>198.2182287188306</v>
      </c>
      <c r="R33" s="55">
        <f t="shared" si="19"/>
        <v>167.76534823731728</v>
      </c>
      <c r="S33" s="55">
        <f t="shared" si="19"/>
        <v>163.06208082545143</v>
      </c>
      <c r="T33" s="55">
        <f t="shared" si="19"/>
        <v>188.83319002579535</v>
      </c>
      <c r="U33" s="55">
        <f t="shared" si="19"/>
        <v>191.39097162510748</v>
      </c>
      <c r="V33" s="55">
        <f t="shared" si="19"/>
        <v>143.62037833190027</v>
      </c>
      <c r="W33" s="55">
        <f t="shared" si="19"/>
        <v>135.07343078245913</v>
      </c>
      <c r="DA33" s="101"/>
    </row>
    <row r="34" spans="1:105" ht="12" customHeight="1" x14ac:dyDescent="0.25">
      <c r="A34" s="61" t="s">
        <v>52</v>
      </c>
      <c r="B34" s="55">
        <v>55.357351676698187</v>
      </c>
      <c r="C34" s="55">
        <v>41.80042992261393</v>
      </c>
      <c r="D34" s="55">
        <v>62.135769561478931</v>
      </c>
      <c r="E34" s="55">
        <v>67.784436801375747</v>
      </c>
      <c r="F34" s="55">
        <v>79.098624247635428</v>
      </c>
      <c r="G34" s="55">
        <v>114.1279449699054</v>
      </c>
      <c r="H34" s="55">
        <v>102.8282029234738</v>
      </c>
      <c r="I34" s="55">
        <v>108.7704213241616</v>
      </c>
      <c r="J34" s="55">
        <v>121.9546861564918</v>
      </c>
      <c r="K34" s="55">
        <v>114.2638865004299</v>
      </c>
      <c r="L34" s="55">
        <v>52.737145313843499</v>
      </c>
      <c r="M34" s="55">
        <v>51.638521066208092</v>
      </c>
      <c r="N34" s="55">
        <v>46.145055889939812</v>
      </c>
      <c r="O34" s="55">
        <v>47.243680137575232</v>
      </c>
      <c r="P34" s="55">
        <v>75.809716251074803</v>
      </c>
      <c r="Q34" s="55">
        <v>81.303181427343077</v>
      </c>
      <c r="R34" s="55">
        <v>75.809716251074803</v>
      </c>
      <c r="S34" s="55">
        <v>75.83499570077386</v>
      </c>
      <c r="T34" s="55">
        <v>98.319690455717975</v>
      </c>
      <c r="U34" s="55">
        <v>93.377730008598448</v>
      </c>
      <c r="V34" s="55">
        <v>62.651762682717113</v>
      </c>
      <c r="W34" s="55">
        <v>54.407222699914009</v>
      </c>
      <c r="DA34" s="101" t="s">
        <v>200</v>
      </c>
    </row>
    <row r="35" spans="1:105" ht="12" customHeight="1" x14ac:dyDescent="0.25">
      <c r="A35" s="61" t="s">
        <v>170</v>
      </c>
      <c r="B35" s="55">
        <v>323.98899398108335</v>
      </c>
      <c r="C35" s="55">
        <v>365.37513153144801</v>
      </c>
      <c r="D35" s="55">
        <v>368.21988168209441</v>
      </c>
      <c r="E35" s="55">
        <v>382.76093449826089</v>
      </c>
      <c r="F35" s="55">
        <v>468.23439380911424</v>
      </c>
      <c r="G35" s="55">
        <v>518.34290627687005</v>
      </c>
      <c r="H35" s="55">
        <v>479.00257953568359</v>
      </c>
      <c r="I35" s="55">
        <v>417.73551160791055</v>
      </c>
      <c r="J35" s="55">
        <v>288.69294926913153</v>
      </c>
      <c r="K35" s="55">
        <v>352.36930352536541</v>
      </c>
      <c r="L35" s="55">
        <v>215.10455717970768</v>
      </c>
      <c r="M35" s="55">
        <v>158.0681857265692</v>
      </c>
      <c r="N35" s="55">
        <v>118.30042992261392</v>
      </c>
      <c r="O35" s="55">
        <v>110.44221840068786</v>
      </c>
      <c r="P35" s="55">
        <v>103.39638865004298</v>
      </c>
      <c r="Q35" s="55">
        <v>116.91504729148753</v>
      </c>
      <c r="R35" s="55">
        <v>91.95563198624248</v>
      </c>
      <c r="S35" s="55">
        <v>87.227085124677572</v>
      </c>
      <c r="T35" s="55">
        <v>90.513499570077371</v>
      </c>
      <c r="U35" s="55">
        <v>98.013241616509035</v>
      </c>
      <c r="V35" s="55">
        <v>80.968615649183164</v>
      </c>
      <c r="W35" s="55">
        <v>80.666208082545126</v>
      </c>
      <c r="DA35" s="101" t="s">
        <v>201</v>
      </c>
    </row>
    <row r="36" spans="1:105" ht="12" customHeight="1" x14ac:dyDescent="0.25">
      <c r="A36" s="60" t="s">
        <v>153</v>
      </c>
      <c r="B36" s="55">
        <v>73.000859845227865</v>
      </c>
      <c r="C36" s="55">
        <v>86.500429922613932</v>
      </c>
      <c r="D36" s="55">
        <v>109.82373172828895</v>
      </c>
      <c r="E36" s="55">
        <v>117.56233877901978</v>
      </c>
      <c r="F36" s="55">
        <v>140.0902837489252</v>
      </c>
      <c r="G36" s="55">
        <v>136.28546861564919</v>
      </c>
      <c r="H36" s="55">
        <v>155.41702493551159</v>
      </c>
      <c r="I36" s="55">
        <v>168.3791917454858</v>
      </c>
      <c r="J36" s="55">
        <v>180.00859845227859</v>
      </c>
      <c r="K36" s="55">
        <v>201.4402407566638</v>
      </c>
      <c r="L36" s="55">
        <v>196.2811693895099</v>
      </c>
      <c r="M36" s="55">
        <v>217.58383490971619</v>
      </c>
      <c r="N36" s="55">
        <v>217.86328460877041</v>
      </c>
      <c r="O36" s="55">
        <v>218.8521066208082</v>
      </c>
      <c r="P36" s="55">
        <v>215.8856405846947</v>
      </c>
      <c r="Q36" s="55">
        <v>233.65141874462589</v>
      </c>
      <c r="R36" s="55">
        <v>252.69819432502149</v>
      </c>
      <c r="S36" s="55">
        <v>255.48899398108341</v>
      </c>
      <c r="T36" s="55">
        <v>262.60937231298362</v>
      </c>
      <c r="U36" s="55">
        <v>247.52218400687869</v>
      </c>
      <c r="V36" s="55">
        <v>202.6967325881341</v>
      </c>
      <c r="W36" s="55">
        <v>237.66758383490969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8.3357695614789336</v>
      </c>
      <c r="C37" s="55">
        <f t="shared" ref="C37:W37" si="20">SUM(C38:C42)</f>
        <v>8.5746345657781582</v>
      </c>
      <c r="D37" s="55">
        <f t="shared" si="20"/>
        <v>8.8134135855545992</v>
      </c>
      <c r="E37" s="55">
        <f t="shared" si="20"/>
        <v>9.0761822871883044</v>
      </c>
      <c r="F37" s="55">
        <f t="shared" si="20"/>
        <v>9.3150472914875309</v>
      </c>
      <c r="G37" s="55">
        <f t="shared" si="20"/>
        <v>9.9121238177128106</v>
      </c>
      <c r="H37" s="55">
        <f t="shared" si="20"/>
        <v>10.365950128976783</v>
      </c>
      <c r="I37" s="55">
        <f t="shared" si="20"/>
        <v>15.572828890799657</v>
      </c>
      <c r="J37" s="55">
        <f t="shared" si="20"/>
        <v>17.507480653482368</v>
      </c>
      <c r="K37" s="55">
        <f t="shared" si="20"/>
        <v>19.370421324161647</v>
      </c>
      <c r="L37" s="55">
        <f t="shared" si="20"/>
        <v>21.997764402407562</v>
      </c>
      <c r="M37" s="55">
        <f t="shared" si="20"/>
        <v>39.194668959587268</v>
      </c>
      <c r="N37" s="55">
        <f t="shared" si="20"/>
        <v>80.74196044711951</v>
      </c>
      <c r="O37" s="55">
        <f t="shared" si="20"/>
        <v>64.78693035253653</v>
      </c>
      <c r="P37" s="55">
        <f t="shared" si="20"/>
        <v>66.936629406706828</v>
      </c>
      <c r="Q37" s="55">
        <f t="shared" si="20"/>
        <v>69.11014617368869</v>
      </c>
      <c r="R37" s="55">
        <f t="shared" si="20"/>
        <v>64.882545141874459</v>
      </c>
      <c r="S37" s="55">
        <f t="shared" si="20"/>
        <v>70.888048151332725</v>
      </c>
      <c r="T37" s="55">
        <f t="shared" si="20"/>
        <v>71.554084264832326</v>
      </c>
      <c r="U37" s="55">
        <f t="shared" si="20"/>
        <v>69.171625107480651</v>
      </c>
      <c r="V37" s="55">
        <f t="shared" si="20"/>
        <v>61.526827171109126</v>
      </c>
      <c r="W37" s="55">
        <f t="shared" si="20"/>
        <v>69.121582115219184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12.969303525365428</v>
      </c>
      <c r="N38" s="55">
        <v>51.363886500429921</v>
      </c>
      <c r="O38" s="55">
        <v>31.802321582115205</v>
      </c>
      <c r="P38" s="55">
        <v>33.115993121238205</v>
      </c>
      <c r="Q38" s="55">
        <v>32.829406706792724</v>
      </c>
      <c r="R38" s="55">
        <v>28.171883061049016</v>
      </c>
      <c r="S38" s="55">
        <v>32.760103181427326</v>
      </c>
      <c r="T38" s="55">
        <v>31.299054170249349</v>
      </c>
      <c r="U38" s="55">
        <v>27.544625967325885</v>
      </c>
      <c r="V38" s="55">
        <v>18.605417024935434</v>
      </c>
      <c r="W38" s="55">
        <v>23.858383490971562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4.4186586414445399</v>
      </c>
      <c r="J40" s="55">
        <v>4.4186586414445399</v>
      </c>
      <c r="K40" s="55">
        <v>4.4186586414445399</v>
      </c>
      <c r="L40" s="55">
        <v>1.7674978503869301</v>
      </c>
      <c r="M40" s="55">
        <v>0.88374892519346515</v>
      </c>
      <c r="N40" s="55">
        <v>0.88374892519346515</v>
      </c>
      <c r="O40" s="55">
        <v>2.651246775580395</v>
      </c>
      <c r="P40" s="55">
        <v>1.7674978503869301</v>
      </c>
      <c r="Q40" s="55">
        <v>2.651246775580395</v>
      </c>
      <c r="R40" s="55">
        <v>1.7674978503869303</v>
      </c>
      <c r="S40" s="55">
        <v>1.3883061049011176</v>
      </c>
      <c r="T40" s="55">
        <v>1.4838349097162511</v>
      </c>
      <c r="U40" s="55">
        <v>1.3750644883920891</v>
      </c>
      <c r="V40" s="55">
        <v>1.3309544282029229</v>
      </c>
      <c r="W40" s="55">
        <v>1.7098022355975924</v>
      </c>
      <c r="DA40" s="101" t="s">
        <v>205</v>
      </c>
    </row>
    <row r="41" spans="1:105" ht="12" customHeight="1" x14ac:dyDescent="0.25">
      <c r="A41" s="61" t="s">
        <v>26</v>
      </c>
      <c r="B41" s="55">
        <v>7.3325881341358556</v>
      </c>
      <c r="C41" s="55">
        <v>7.5714531384350812</v>
      </c>
      <c r="D41" s="55">
        <v>7.8102321582115213</v>
      </c>
      <c r="E41" s="55">
        <v>8.0730008598452265</v>
      </c>
      <c r="F41" s="55">
        <v>8.3118658641444529</v>
      </c>
      <c r="G41" s="55">
        <v>8.9089423903697327</v>
      </c>
      <c r="H41" s="55">
        <v>9.3627687016337049</v>
      </c>
      <c r="I41" s="55">
        <v>10.150988822012041</v>
      </c>
      <c r="J41" s="55">
        <v>12.085640584694749</v>
      </c>
      <c r="K41" s="55">
        <v>13.94858125537403</v>
      </c>
      <c r="L41" s="55">
        <v>19.227085124677551</v>
      </c>
      <c r="M41" s="55">
        <v>23.789079965606192</v>
      </c>
      <c r="N41" s="55">
        <v>26.941788478073949</v>
      </c>
      <c r="O41" s="55">
        <v>29.091401547721411</v>
      </c>
      <c r="P41" s="55">
        <v>30.739466895958721</v>
      </c>
      <c r="Q41" s="55">
        <v>32.100859845227859</v>
      </c>
      <c r="R41" s="55">
        <v>33.581771281169388</v>
      </c>
      <c r="S41" s="55">
        <v>35.18710232158211</v>
      </c>
      <c r="T41" s="55">
        <v>37.029234737747203</v>
      </c>
      <c r="U41" s="55">
        <v>38.532244196044708</v>
      </c>
      <c r="V41" s="55">
        <v>40.276784178847812</v>
      </c>
      <c r="W41" s="55">
        <v>42.192003439380898</v>
      </c>
      <c r="DA41" s="101" t="s">
        <v>206</v>
      </c>
    </row>
    <row r="42" spans="1:105" ht="12" customHeight="1" x14ac:dyDescent="0.25">
      <c r="A42" s="61" t="s">
        <v>25</v>
      </c>
      <c r="B42" s="55">
        <v>1.0031814273430779</v>
      </c>
      <c r="C42" s="55">
        <v>1.0031814273430779</v>
      </c>
      <c r="D42" s="55">
        <v>1.0031814273430779</v>
      </c>
      <c r="E42" s="55">
        <v>1.0031814273430779</v>
      </c>
      <c r="F42" s="55">
        <v>1.0031814273430779</v>
      </c>
      <c r="G42" s="55">
        <v>1.0031814273430779</v>
      </c>
      <c r="H42" s="55">
        <v>1.0031814273430779</v>
      </c>
      <c r="I42" s="55">
        <v>1.0031814273430779</v>
      </c>
      <c r="J42" s="55">
        <v>1.0031814273430779</v>
      </c>
      <c r="K42" s="55">
        <v>1.0031814273430779</v>
      </c>
      <c r="L42" s="55">
        <v>1.0031814273430779</v>
      </c>
      <c r="M42" s="55">
        <v>1.5525365434221841</v>
      </c>
      <c r="N42" s="55">
        <v>1.5525365434221841</v>
      </c>
      <c r="O42" s="55">
        <v>1.241960447119518</v>
      </c>
      <c r="P42" s="55">
        <v>1.3136715391229581</v>
      </c>
      <c r="Q42" s="55">
        <v>1.5286328460877039</v>
      </c>
      <c r="R42" s="55">
        <v>1.361392949269131</v>
      </c>
      <c r="S42" s="55">
        <v>1.5525365434221841</v>
      </c>
      <c r="T42" s="55">
        <v>1.741960447119518</v>
      </c>
      <c r="U42" s="55">
        <v>1.7196904557179711</v>
      </c>
      <c r="V42" s="55">
        <v>1.3136715391229581</v>
      </c>
      <c r="W42" s="55">
        <v>1.361392949269131</v>
      </c>
      <c r="DA42" s="101" t="s">
        <v>207</v>
      </c>
    </row>
    <row r="43" spans="1:105" ht="12" customHeight="1" x14ac:dyDescent="0.25">
      <c r="A43" s="61" t="s">
        <v>157</v>
      </c>
      <c r="B43" s="55">
        <v>2.3332298629292989</v>
      </c>
      <c r="C43" s="55">
        <v>3.5627528297294035</v>
      </c>
      <c r="D43" s="55">
        <v>6.5290493512828469</v>
      </c>
      <c r="E43" s="55">
        <v>19.172127088732879</v>
      </c>
      <c r="F43" s="55">
        <v>25.036867218881557</v>
      </c>
      <c r="G43" s="55">
        <v>46.225633392524479</v>
      </c>
      <c r="H43" s="55">
        <v>71.012078387109696</v>
      </c>
      <c r="I43" s="55">
        <v>99.213182517253856</v>
      </c>
      <c r="J43" s="55">
        <v>140.53673682609858</v>
      </c>
      <c r="K43" s="55">
        <v>159.6783404788938</v>
      </c>
      <c r="L43" s="55">
        <v>206.71104835430054</v>
      </c>
      <c r="M43" s="55">
        <v>237.22656707839747</v>
      </c>
      <c r="N43" s="55">
        <v>289.89287501489656</v>
      </c>
      <c r="O43" s="55">
        <v>324.23814153104155</v>
      </c>
      <c r="P43" s="55">
        <v>383.79079965606144</v>
      </c>
      <c r="Q43" s="55">
        <v>387.55442820292365</v>
      </c>
      <c r="R43" s="55">
        <v>389.84161650902774</v>
      </c>
      <c r="S43" s="55">
        <v>402.71324161650921</v>
      </c>
      <c r="T43" s="55">
        <v>419.11229578675835</v>
      </c>
      <c r="U43" s="55">
        <v>439.36190885640667</v>
      </c>
      <c r="V43" s="55">
        <v>463.45657781599363</v>
      </c>
      <c r="W43" s="55">
        <v>486.81564918314609</v>
      </c>
      <c r="DA43" s="101" t="s">
        <v>208</v>
      </c>
    </row>
    <row r="44" spans="1:105" ht="12" customHeight="1" x14ac:dyDescent="0.25">
      <c r="A44" s="60" t="s">
        <v>169</v>
      </c>
      <c r="B44" s="55">
        <v>4.1558899398108338</v>
      </c>
      <c r="C44" s="55">
        <v>6.8548581255374019</v>
      </c>
      <c r="D44" s="55">
        <v>10.533104041272569</v>
      </c>
      <c r="E44" s="55">
        <v>11.17798796216681</v>
      </c>
      <c r="F44" s="55">
        <v>13.7097162510748</v>
      </c>
      <c r="G44" s="55">
        <v>11.345141874462589</v>
      </c>
      <c r="H44" s="55">
        <v>12.32441960447119</v>
      </c>
      <c r="I44" s="55">
        <v>12.94548581255374</v>
      </c>
      <c r="J44" s="55">
        <v>11.416852966466029</v>
      </c>
      <c r="K44" s="55">
        <v>11.130180567497851</v>
      </c>
      <c r="L44" s="55">
        <v>16.958039552880479</v>
      </c>
      <c r="M44" s="55">
        <v>16.575924333619952</v>
      </c>
      <c r="N44" s="55">
        <v>24.553396388650039</v>
      </c>
      <c r="O44" s="55">
        <v>25.508770421324162</v>
      </c>
      <c r="P44" s="55">
        <v>25.771453138435081</v>
      </c>
      <c r="Q44" s="55">
        <v>24.29062768701634</v>
      </c>
      <c r="R44" s="55">
        <v>22.83370593293207</v>
      </c>
      <c r="S44" s="55">
        <v>25.351934651762679</v>
      </c>
      <c r="T44" s="55">
        <v>24.90223559759243</v>
      </c>
      <c r="U44" s="55">
        <v>23.8755803955288</v>
      </c>
      <c r="V44" s="55">
        <v>22.988478073946691</v>
      </c>
      <c r="W44" s="55">
        <v>24.269217540842639</v>
      </c>
      <c r="DA44" s="101" t="s">
        <v>209</v>
      </c>
    </row>
    <row r="45" spans="1:105" ht="12" customHeight="1" x14ac:dyDescent="0.25">
      <c r="A45" s="62" t="s">
        <v>24</v>
      </c>
      <c r="B45" s="63">
        <v>970.59329320722259</v>
      </c>
      <c r="C45" s="63">
        <v>1032.932072226999</v>
      </c>
      <c r="D45" s="63">
        <v>1063.026655202063</v>
      </c>
      <c r="E45" s="63">
        <v>1133.7059329320721</v>
      </c>
      <c r="F45" s="63">
        <v>1178.4178847807391</v>
      </c>
      <c r="G45" s="63">
        <v>1238.77901977644</v>
      </c>
      <c r="H45" s="63">
        <v>1310.4041272570939</v>
      </c>
      <c r="I45" s="63">
        <v>1341.874462596732</v>
      </c>
      <c r="J45" s="63">
        <v>1356.4013992354623</v>
      </c>
      <c r="K45" s="63">
        <v>1373.4261749555067</v>
      </c>
      <c r="L45" s="63">
        <v>1409.6383962946579</v>
      </c>
      <c r="M45" s="63">
        <v>1398.7955614892501</v>
      </c>
      <c r="N45" s="63">
        <v>1376.0552858949695</v>
      </c>
      <c r="O45" s="63">
        <v>1350.2347428064077</v>
      </c>
      <c r="P45" s="63">
        <v>1440.4099589963146</v>
      </c>
      <c r="Q45" s="63">
        <v>1477.9230887499232</v>
      </c>
      <c r="R45" s="63">
        <v>1414.240491176572</v>
      </c>
      <c r="S45" s="63">
        <v>1405.5211890243957</v>
      </c>
      <c r="T45" s="63">
        <v>1435.239821637907</v>
      </c>
      <c r="U45" s="63">
        <v>1405.6174334482509</v>
      </c>
      <c r="V45" s="63">
        <v>1282.7872560770525</v>
      </c>
      <c r="W45" s="63">
        <v>1249.6349654115058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1435.4321582115217</v>
      </c>
      <c r="C47" s="82">
        <f t="shared" ref="C47:W47" si="22">SUM(C48,C53)</f>
        <v>1542.0375562949903</v>
      </c>
      <c r="D47" s="82">
        <f t="shared" si="22"/>
        <v>1622.5525558007525</v>
      </c>
      <c r="E47" s="82">
        <f t="shared" si="22"/>
        <v>1722.0678132600833</v>
      </c>
      <c r="F47" s="82">
        <f t="shared" si="22"/>
        <v>1888.8659501289762</v>
      </c>
      <c r="G47" s="82">
        <f t="shared" si="22"/>
        <v>2028.79260533104</v>
      </c>
      <c r="H47" s="82">
        <f t="shared" si="22"/>
        <v>2070.3423043852108</v>
      </c>
      <c r="I47" s="82">
        <f t="shared" si="22"/>
        <v>2065.2779019776431</v>
      </c>
      <c r="J47" s="82">
        <f t="shared" si="22"/>
        <v>1975.9819667333127</v>
      </c>
      <c r="K47" s="82">
        <f t="shared" si="22"/>
        <v>2072.0002076296255</v>
      </c>
      <c r="L47" s="82">
        <f t="shared" si="22"/>
        <v>1912.7170721330072</v>
      </c>
      <c r="M47" s="82">
        <f t="shared" si="22"/>
        <v>1881.8566964849506</v>
      </c>
      <c r="N47" s="82">
        <f t="shared" si="22"/>
        <v>1863.6594131520633</v>
      </c>
      <c r="O47" s="82">
        <f t="shared" si="22"/>
        <v>1817.0684487393398</v>
      </c>
      <c r="P47" s="82">
        <f t="shared" si="22"/>
        <v>1928.2097870272692</v>
      </c>
      <c r="Q47" s="82">
        <f t="shared" si="22"/>
        <v>2003.1935100740848</v>
      </c>
      <c r="R47" s="82">
        <f t="shared" si="22"/>
        <v>1922.420284813717</v>
      </c>
      <c r="S47" s="82">
        <f t="shared" si="22"/>
        <v>1920.312246634026</v>
      </c>
      <c r="T47" s="82">
        <f t="shared" si="22"/>
        <v>1983.1387038391108</v>
      </c>
      <c r="U47" s="82">
        <f t="shared" si="22"/>
        <v>1937.5777945832463</v>
      </c>
      <c r="V47" s="82">
        <f t="shared" si="22"/>
        <v>1713.6196722421428</v>
      </c>
      <c r="W47" s="82">
        <f t="shared" si="22"/>
        <v>1715.7667796849362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831.74784062324784</v>
      </c>
      <c r="C48" s="64">
        <f t="shared" ref="C48:W48" si="24">SUM(C49:C52)</f>
        <v>910.78038947833249</v>
      </c>
      <c r="D48" s="64">
        <f t="shared" si="24"/>
        <v>971.58104001796289</v>
      </c>
      <c r="E48" s="64">
        <f t="shared" si="24"/>
        <v>1053.7307027244512</v>
      </c>
      <c r="F48" s="64">
        <f t="shared" si="24"/>
        <v>1200.9371392127057</v>
      </c>
      <c r="G48" s="64">
        <f t="shared" si="24"/>
        <v>1320.8887509186816</v>
      </c>
      <c r="H48" s="64">
        <f t="shared" si="24"/>
        <v>1343.7296609643836</v>
      </c>
      <c r="I48" s="64">
        <f t="shared" si="24"/>
        <v>1322.0948947376496</v>
      </c>
      <c r="J48" s="64">
        <f t="shared" si="24"/>
        <v>1220.5420448913162</v>
      </c>
      <c r="K48" s="64">
        <f t="shared" si="24"/>
        <v>1308.0346307581192</v>
      </c>
      <c r="L48" s="64">
        <f t="shared" si="24"/>
        <v>1139.4085744139118</v>
      </c>
      <c r="M48" s="64">
        <f t="shared" si="24"/>
        <v>1100.9959867448106</v>
      </c>
      <c r="N48" s="64">
        <f t="shared" si="24"/>
        <v>1076.1687690816934</v>
      </c>
      <c r="O48" s="64">
        <f t="shared" si="24"/>
        <v>1020.3132740289734</v>
      </c>
      <c r="P48" s="64">
        <f t="shared" si="24"/>
        <v>1117.1485783331618</v>
      </c>
      <c r="Q48" s="64">
        <f t="shared" si="24"/>
        <v>1177.3738923588148</v>
      </c>
      <c r="R48" s="64">
        <f t="shared" si="24"/>
        <v>1108.5202912895606</v>
      </c>
      <c r="S48" s="64">
        <f t="shared" si="24"/>
        <v>1105.342763781764</v>
      </c>
      <c r="T48" s="64">
        <f t="shared" si="24"/>
        <v>1177.5361789948402</v>
      </c>
      <c r="U48" s="64">
        <f t="shared" si="24"/>
        <v>1153.3290971572596</v>
      </c>
      <c r="V48" s="64">
        <f t="shared" si="24"/>
        <v>985.06989879764751</v>
      </c>
      <c r="W48" s="64">
        <f t="shared" si="24"/>
        <v>1018.7807944602642</v>
      </c>
      <c r="DA48" s="108" t="s">
        <v>212</v>
      </c>
    </row>
    <row r="49" spans="1:105" ht="12" customHeight="1" x14ac:dyDescent="0.25">
      <c r="A49" s="61" t="s">
        <v>32</v>
      </c>
      <c r="B49" s="65">
        <v>403.63535871077681</v>
      </c>
      <c r="C49" s="65">
        <v>465.60166778834895</v>
      </c>
      <c r="D49" s="65">
        <v>506.48615666250811</v>
      </c>
      <c r="E49" s="65">
        <v>556.3054370066219</v>
      </c>
      <c r="F49" s="65">
        <v>706.9298860789047</v>
      </c>
      <c r="G49" s="65">
        <v>804.59322310218249</v>
      </c>
      <c r="H49" s="65">
        <v>804.20381985953895</v>
      </c>
      <c r="I49" s="65">
        <v>802.61985045609958</v>
      </c>
      <c r="J49" s="65">
        <v>691.02512855868395</v>
      </c>
      <c r="K49" s="65">
        <v>763.57313337276764</v>
      </c>
      <c r="L49" s="65">
        <v>576.63115958915068</v>
      </c>
      <c r="M49" s="65">
        <v>568.9121001785677</v>
      </c>
      <c r="N49" s="65">
        <v>541.30662943886637</v>
      </c>
      <c r="O49" s="65">
        <v>482.36400537092004</v>
      </c>
      <c r="P49" s="65">
        <v>585.80230168144374</v>
      </c>
      <c r="Q49" s="65">
        <v>628.45095584317141</v>
      </c>
      <c r="R49" s="65">
        <v>524.34870934310095</v>
      </c>
      <c r="S49" s="65">
        <v>523.55650103101823</v>
      </c>
      <c r="T49" s="65">
        <v>604.30235509048384</v>
      </c>
      <c r="U49" s="65">
        <v>601.3313108541023</v>
      </c>
      <c r="V49" s="65">
        <v>462.59823129151243</v>
      </c>
      <c r="W49" s="65">
        <v>515.33299644455781</v>
      </c>
      <c r="DA49" s="109" t="s">
        <v>213</v>
      </c>
    </row>
    <row r="50" spans="1:105" ht="12" customHeight="1" x14ac:dyDescent="0.25">
      <c r="A50" s="61" t="s">
        <v>31</v>
      </c>
      <c r="B50" s="65">
        <v>64.412096992897787</v>
      </c>
      <c r="C50" s="65">
        <v>65.193626989662533</v>
      </c>
      <c r="D50" s="65">
        <v>58.912798656495525</v>
      </c>
      <c r="E50" s="65">
        <v>83.219562761737208</v>
      </c>
      <c r="F50" s="65">
        <v>67.232458204985036</v>
      </c>
      <c r="G50" s="65">
        <v>73.646273756748315</v>
      </c>
      <c r="H50" s="65">
        <v>90.218919357105463</v>
      </c>
      <c r="I50" s="65">
        <v>59.998351145488051</v>
      </c>
      <c r="J50" s="65">
        <v>58.413062933709163</v>
      </c>
      <c r="K50" s="65">
        <v>73.99045713658704</v>
      </c>
      <c r="L50" s="65">
        <v>104.34380564755786</v>
      </c>
      <c r="M50" s="65">
        <v>68.674880278117286</v>
      </c>
      <c r="N50" s="65">
        <v>72.138067153621947</v>
      </c>
      <c r="O50" s="65">
        <v>92.08534449965353</v>
      </c>
      <c r="P50" s="65">
        <v>61.775494633759052</v>
      </c>
      <c r="Q50" s="65">
        <v>71.445184142864434</v>
      </c>
      <c r="R50" s="65">
        <v>105.44542366133032</v>
      </c>
      <c r="S50" s="65">
        <v>99.823098548489639</v>
      </c>
      <c r="T50" s="65">
        <v>85.464573585876565</v>
      </c>
      <c r="U50" s="65">
        <v>67.000295287691458</v>
      </c>
      <c r="V50" s="65">
        <v>95.520705100221278</v>
      </c>
      <c r="W50" s="65">
        <v>59.22812311366814</v>
      </c>
      <c r="DA50" s="109" t="s">
        <v>214</v>
      </c>
    </row>
    <row r="51" spans="1:105" ht="12" customHeight="1" x14ac:dyDescent="0.25">
      <c r="A51" s="61" t="s">
        <v>35</v>
      </c>
      <c r="B51" s="65">
        <v>197.24355871248412</v>
      </c>
      <c r="C51" s="65">
        <v>204.57844317946797</v>
      </c>
      <c r="D51" s="65">
        <v>209.82578854566447</v>
      </c>
      <c r="E51" s="65">
        <v>208.88622853252565</v>
      </c>
      <c r="F51" s="65">
        <v>213.25218986390468</v>
      </c>
      <c r="G51" s="65">
        <v>216.94715027091721</v>
      </c>
      <c r="H51" s="65">
        <v>218.43670357389709</v>
      </c>
      <c r="I51" s="65">
        <v>224.22922545988089</v>
      </c>
      <c r="J51" s="65">
        <v>224.87378134981103</v>
      </c>
      <c r="K51" s="65">
        <v>227.03007969038035</v>
      </c>
      <c r="L51" s="65">
        <v>225.11199792093424</v>
      </c>
      <c r="M51" s="65">
        <v>230.87877193102881</v>
      </c>
      <c r="N51" s="65">
        <v>224.18472143820151</v>
      </c>
      <c r="O51" s="65">
        <v>221.2848906473975</v>
      </c>
      <c r="P51" s="65">
        <v>223.18938991289522</v>
      </c>
      <c r="Q51" s="65">
        <v>225.06341176303917</v>
      </c>
      <c r="R51" s="65">
        <v>223.04273266515969</v>
      </c>
      <c r="S51" s="65">
        <v>219.77395608701332</v>
      </c>
      <c r="T51" s="65">
        <v>217.04030635453398</v>
      </c>
      <c r="U51" s="65">
        <v>215.8484996296998</v>
      </c>
      <c r="V51" s="65">
        <v>184.00284561120529</v>
      </c>
      <c r="W51" s="65">
        <v>201.20217134962314</v>
      </c>
      <c r="DA51" s="109" t="s">
        <v>215</v>
      </c>
    </row>
    <row r="52" spans="1:105" ht="12" customHeight="1" x14ac:dyDescent="0.25">
      <c r="A52" s="66" t="s">
        <v>34</v>
      </c>
      <c r="B52" s="67">
        <v>166.45682620708902</v>
      </c>
      <c r="C52" s="67">
        <v>175.40665152085305</v>
      </c>
      <c r="D52" s="67">
        <v>196.35629615329469</v>
      </c>
      <c r="E52" s="67">
        <v>205.31947442356656</v>
      </c>
      <c r="F52" s="67">
        <v>213.52260506491129</v>
      </c>
      <c r="G52" s="67">
        <v>225.7021037888336</v>
      </c>
      <c r="H52" s="67">
        <v>230.87021817384203</v>
      </c>
      <c r="I52" s="67">
        <v>235.24746767618109</v>
      </c>
      <c r="J52" s="67">
        <v>246.23007204911218</v>
      </c>
      <c r="K52" s="67">
        <v>243.44096055838418</v>
      </c>
      <c r="L52" s="67">
        <v>233.32161125626911</v>
      </c>
      <c r="M52" s="67">
        <v>232.53023435709667</v>
      </c>
      <c r="N52" s="67">
        <v>238.53935105100365</v>
      </c>
      <c r="O52" s="67">
        <v>224.57903351100225</v>
      </c>
      <c r="P52" s="67">
        <v>246.38139210506384</v>
      </c>
      <c r="Q52" s="67">
        <v>252.41434060973984</v>
      </c>
      <c r="R52" s="67">
        <v>255.6834256199698</v>
      </c>
      <c r="S52" s="67">
        <v>262.18920811524299</v>
      </c>
      <c r="T52" s="67">
        <v>270.72894396394565</v>
      </c>
      <c r="U52" s="67">
        <v>269.14899138576607</v>
      </c>
      <c r="V52" s="67">
        <v>242.94811679470843</v>
      </c>
      <c r="W52" s="67">
        <v>243.01750355241515</v>
      </c>
      <c r="DA52" s="110" t="s">
        <v>216</v>
      </c>
    </row>
    <row r="53" spans="1:105" ht="12" customHeight="1" x14ac:dyDescent="0.25">
      <c r="A53" s="78" t="s">
        <v>33</v>
      </c>
      <c r="B53" s="68">
        <v>603.68431758827398</v>
      </c>
      <c r="C53" s="68">
        <v>631.2571668166579</v>
      </c>
      <c r="D53" s="68">
        <v>650.97151578278977</v>
      </c>
      <c r="E53" s="68">
        <v>668.33711053563218</v>
      </c>
      <c r="F53" s="68">
        <v>687.92881091627055</v>
      </c>
      <c r="G53" s="68">
        <v>707.90385441235844</v>
      </c>
      <c r="H53" s="68">
        <v>726.61264342082734</v>
      </c>
      <c r="I53" s="68">
        <v>743.18300723999357</v>
      </c>
      <c r="J53" s="68">
        <v>755.43992184199647</v>
      </c>
      <c r="K53" s="68">
        <v>763.96557687150641</v>
      </c>
      <c r="L53" s="68">
        <v>773.30849771909527</v>
      </c>
      <c r="M53" s="68">
        <v>780.8607097401399</v>
      </c>
      <c r="N53" s="68">
        <v>787.49064407036985</v>
      </c>
      <c r="O53" s="68">
        <v>796.75517471036642</v>
      </c>
      <c r="P53" s="68">
        <v>811.06120869410734</v>
      </c>
      <c r="Q53" s="68">
        <v>825.81961771527006</v>
      </c>
      <c r="R53" s="68">
        <v>813.89999352415646</v>
      </c>
      <c r="S53" s="68">
        <v>814.96948285226199</v>
      </c>
      <c r="T53" s="68">
        <v>805.60252484427076</v>
      </c>
      <c r="U53" s="68">
        <v>784.24869742598662</v>
      </c>
      <c r="V53" s="68">
        <v>728.54977344449526</v>
      </c>
      <c r="W53" s="68">
        <v>696.98598522467194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0.57944071815944609</v>
      </c>
      <c r="C56" s="70">
        <f t="shared" ref="C56:W56" si="28">IF(C48=0,0,C48/C$47)</f>
        <v>0.59063437577139077</v>
      </c>
      <c r="D56" s="70">
        <f t="shared" si="28"/>
        <v>0.59879788580313442</v>
      </c>
      <c r="E56" s="70">
        <f t="shared" si="28"/>
        <v>0.61189849471119906</v>
      </c>
      <c r="F56" s="70">
        <f t="shared" si="28"/>
        <v>0.63579797133338278</v>
      </c>
      <c r="G56" s="70">
        <f t="shared" si="28"/>
        <v>0.65107135517341408</v>
      </c>
      <c r="H56" s="70">
        <f t="shared" si="28"/>
        <v>0.64903743604051256</v>
      </c>
      <c r="I56" s="70">
        <f t="shared" si="28"/>
        <v>0.64015350838337759</v>
      </c>
      <c r="J56" s="70">
        <f t="shared" si="28"/>
        <v>0.61768885821823194</v>
      </c>
      <c r="K56" s="70">
        <f t="shared" si="28"/>
        <v>0.63129078170050701</v>
      </c>
      <c r="L56" s="70">
        <f t="shared" si="28"/>
        <v>0.59570157605341811</v>
      </c>
      <c r="M56" s="70">
        <f t="shared" si="28"/>
        <v>0.58505835688834307</v>
      </c>
      <c r="N56" s="70">
        <f t="shared" si="28"/>
        <v>0.57744927076645236</v>
      </c>
      <c r="O56" s="70">
        <f t="shared" si="28"/>
        <v>0.56151614692162777</v>
      </c>
      <c r="P56" s="70">
        <f t="shared" si="28"/>
        <v>0.57937086817481387</v>
      </c>
      <c r="Q56" s="70">
        <f t="shared" si="28"/>
        <v>0.58774845587197999</v>
      </c>
      <c r="R56" s="70">
        <f t="shared" si="28"/>
        <v>0.57662744200442961</v>
      </c>
      <c r="S56" s="70">
        <f t="shared" si="28"/>
        <v>0.57560574626300387</v>
      </c>
      <c r="T56" s="70">
        <f t="shared" si="28"/>
        <v>0.5937739890383239</v>
      </c>
      <c r="U56" s="70">
        <f t="shared" si="28"/>
        <v>0.59524273057915034</v>
      </c>
      <c r="V56" s="70">
        <f t="shared" si="28"/>
        <v>0.57484744996464554</v>
      </c>
      <c r="W56" s="70">
        <f t="shared" si="28"/>
        <v>0.59377580130519925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0.28119431238999604</v>
      </c>
      <c r="C57" s="71">
        <f t="shared" ref="C57:W57" si="30">IF(C49=0,0,C49/C$47)</f>
        <v>0.30193925296283758</v>
      </c>
      <c r="D57" s="71">
        <f t="shared" si="30"/>
        <v>0.31215392983837742</v>
      </c>
      <c r="E57" s="71">
        <f t="shared" si="30"/>
        <v>0.32304502338584923</v>
      </c>
      <c r="F57" s="71">
        <f t="shared" si="30"/>
        <v>0.37426154356302194</v>
      </c>
      <c r="G57" s="71">
        <f t="shared" si="30"/>
        <v>0.39658722187174783</v>
      </c>
      <c r="H57" s="71">
        <f t="shared" si="30"/>
        <v>0.38844002663528032</v>
      </c>
      <c r="I57" s="71">
        <f t="shared" si="30"/>
        <v>0.38862559352789128</v>
      </c>
      <c r="J57" s="71">
        <f t="shared" si="30"/>
        <v>0.34971226468280203</v>
      </c>
      <c r="K57" s="71">
        <f t="shared" si="30"/>
        <v>0.36851981508549059</v>
      </c>
      <c r="L57" s="71">
        <f t="shared" si="30"/>
        <v>0.30147227103803081</v>
      </c>
      <c r="M57" s="71">
        <f t="shared" si="30"/>
        <v>0.30231425232389758</v>
      </c>
      <c r="N57" s="71">
        <f t="shared" si="30"/>
        <v>0.29045362345651887</v>
      </c>
      <c r="O57" s="71">
        <f t="shared" si="30"/>
        <v>0.26546275992276369</v>
      </c>
      <c r="P57" s="71">
        <f t="shared" si="30"/>
        <v>0.30380631071506908</v>
      </c>
      <c r="Q57" s="71">
        <f t="shared" si="30"/>
        <v>0.31372453668738631</v>
      </c>
      <c r="R57" s="71">
        <f t="shared" si="30"/>
        <v>0.27275446138663195</v>
      </c>
      <c r="S57" s="71">
        <f t="shared" si="30"/>
        <v>0.27264133838063154</v>
      </c>
      <c r="T57" s="71">
        <f t="shared" si="30"/>
        <v>0.30472016602803897</v>
      </c>
      <c r="U57" s="71">
        <f t="shared" si="30"/>
        <v>0.31035208626729888</v>
      </c>
      <c r="V57" s="71">
        <f t="shared" si="30"/>
        <v>0.26995385194559385</v>
      </c>
      <c r="W57" s="71">
        <f t="shared" si="30"/>
        <v>0.30035142453287716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4.4872964998326437E-2</v>
      </c>
      <c r="C58" s="72">
        <f t="shared" ref="C58:W58" si="32">IF(C50=0,0,C50/C$47)</f>
        <v>4.2277587029917352E-2</v>
      </c>
      <c r="D58" s="72">
        <f t="shared" si="32"/>
        <v>3.6308715206714047E-2</v>
      </c>
      <c r="E58" s="72">
        <f t="shared" si="32"/>
        <v>4.8325369141063314E-2</v>
      </c>
      <c r="F58" s="72">
        <f t="shared" si="32"/>
        <v>3.5594086600160398E-2</v>
      </c>
      <c r="G58" s="72">
        <f t="shared" si="32"/>
        <v>3.6300543270528819E-2</v>
      </c>
      <c r="H58" s="72">
        <f t="shared" si="32"/>
        <v>4.3576812957940317E-2</v>
      </c>
      <c r="I58" s="72">
        <f t="shared" si="32"/>
        <v>2.905098199522475E-2</v>
      </c>
      <c r="J58" s="72">
        <f t="shared" si="32"/>
        <v>2.9561536449787273E-2</v>
      </c>
      <c r="K58" s="72">
        <f t="shared" si="32"/>
        <v>3.5709676506853416E-2</v>
      </c>
      <c r="L58" s="72">
        <f t="shared" si="32"/>
        <v>5.4552660802675138E-2</v>
      </c>
      <c r="M58" s="72">
        <f t="shared" si="32"/>
        <v>3.6493150836826478E-2</v>
      </c>
      <c r="N58" s="72">
        <f t="shared" si="32"/>
        <v>3.8707752416849955E-2</v>
      </c>
      <c r="O58" s="72">
        <f t="shared" si="32"/>
        <v>5.0677972292976214E-2</v>
      </c>
      <c r="P58" s="72">
        <f t="shared" si="32"/>
        <v>3.2037745607026838E-2</v>
      </c>
      <c r="Q58" s="72">
        <f t="shared" si="32"/>
        <v>3.5665642776679198E-2</v>
      </c>
      <c r="R58" s="72">
        <f t="shared" si="32"/>
        <v>5.4850349059622001E-2</v>
      </c>
      <c r="S58" s="72">
        <f t="shared" si="32"/>
        <v>5.1982743287432659E-2</v>
      </c>
      <c r="T58" s="72">
        <f t="shared" si="32"/>
        <v>4.309561072073665E-2</v>
      </c>
      <c r="U58" s="72">
        <f t="shared" si="32"/>
        <v>3.4579409133919478E-2</v>
      </c>
      <c r="V58" s="72">
        <f t="shared" si="32"/>
        <v>5.574206846916014E-2</v>
      </c>
      <c r="W58" s="72">
        <f t="shared" si="32"/>
        <v>3.4519914836295011E-2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0.13741057533380049</v>
      </c>
      <c r="C59" s="72">
        <f t="shared" ref="C59:W59" si="34">IF(C51=0,0,C51/C$47)</f>
        <v>0.13266761392699331</v>
      </c>
      <c r="D59" s="72">
        <f t="shared" si="34"/>
        <v>0.12931833104297352</v>
      </c>
      <c r="E59" s="72">
        <f t="shared" si="34"/>
        <v>0.12129965319837124</v>
      </c>
      <c r="F59" s="72">
        <f t="shared" si="34"/>
        <v>0.11289958922142851</v>
      </c>
      <c r="G59" s="72">
        <f t="shared" si="34"/>
        <v>0.1069341191903239</v>
      </c>
      <c r="H59" s="72">
        <f t="shared" si="34"/>
        <v>0.10550753037853901</v>
      </c>
      <c r="I59" s="72">
        <f t="shared" si="34"/>
        <v>0.10857097015620332</v>
      </c>
      <c r="J59" s="72">
        <f t="shared" si="34"/>
        <v>0.11380355951404338</v>
      </c>
      <c r="K59" s="72">
        <f t="shared" si="34"/>
        <v>0.10957049080130327</v>
      </c>
      <c r="L59" s="72">
        <f t="shared" si="34"/>
        <v>0.11769226154806879</v>
      </c>
      <c r="M59" s="72">
        <f t="shared" si="34"/>
        <v>0.1226866914798978</v>
      </c>
      <c r="N59" s="72">
        <f t="shared" si="34"/>
        <v>0.12029275298700159</v>
      </c>
      <c r="O59" s="72">
        <f t="shared" si="34"/>
        <v>0.1217812630013593</v>
      </c>
      <c r="P59" s="72">
        <f t="shared" si="34"/>
        <v>0.1157495369095639</v>
      </c>
      <c r="Q59" s="72">
        <f t="shared" si="34"/>
        <v>0.11235230676976164</v>
      </c>
      <c r="R59" s="72">
        <f t="shared" si="34"/>
        <v>0.11602183686215764</v>
      </c>
      <c r="S59" s="72">
        <f t="shared" si="34"/>
        <v>0.11444698979149819</v>
      </c>
      <c r="T59" s="72">
        <f t="shared" si="34"/>
        <v>0.10944282713779467</v>
      </c>
      <c r="U59" s="72">
        <f t="shared" si="34"/>
        <v>0.11140120424229298</v>
      </c>
      <c r="V59" s="72">
        <f t="shared" si="34"/>
        <v>0.10737671175918012</v>
      </c>
      <c r="W59" s="72">
        <f t="shared" si="34"/>
        <v>0.11726662022595497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0.11596286543732313</v>
      </c>
      <c r="C60" s="73">
        <f t="shared" ref="C60:W60" si="36">IF(C52=0,0,C52/C$47)</f>
        <v>0.11374992185164258</v>
      </c>
      <c r="D60" s="73">
        <f t="shared" si="36"/>
        <v>0.12101690971506934</v>
      </c>
      <c r="E60" s="73">
        <f t="shared" si="36"/>
        <v>0.11922844898591529</v>
      </c>
      <c r="F60" s="73">
        <f t="shared" si="36"/>
        <v>0.11304275194877193</v>
      </c>
      <c r="G60" s="73">
        <f t="shared" si="36"/>
        <v>0.11124947084081351</v>
      </c>
      <c r="H60" s="73">
        <f t="shared" si="36"/>
        <v>0.11151306606875284</v>
      </c>
      <c r="I60" s="73">
        <f t="shared" si="36"/>
        <v>0.11390596270405826</v>
      </c>
      <c r="J60" s="73">
        <f t="shared" si="36"/>
        <v>0.12461149757159928</v>
      </c>
      <c r="K60" s="73">
        <f t="shared" si="36"/>
        <v>0.11749079930685981</v>
      </c>
      <c r="L60" s="73">
        <f t="shared" si="36"/>
        <v>0.12198438266464341</v>
      </c>
      <c r="M60" s="73">
        <f t="shared" si="36"/>
        <v>0.12356426224772118</v>
      </c>
      <c r="N60" s="73">
        <f t="shared" si="36"/>
        <v>0.12799514190608188</v>
      </c>
      <c r="O60" s="73">
        <f t="shared" si="36"/>
        <v>0.1235941517045285</v>
      </c>
      <c r="P60" s="73">
        <f t="shared" si="36"/>
        <v>0.12777727494315402</v>
      </c>
      <c r="Q60" s="73">
        <f t="shared" si="36"/>
        <v>0.12600596963815278</v>
      </c>
      <c r="R60" s="73">
        <f t="shared" si="36"/>
        <v>0.13300079469601808</v>
      </c>
      <c r="S60" s="73">
        <f t="shared" si="36"/>
        <v>0.13653467480344156</v>
      </c>
      <c r="T60" s="73">
        <f t="shared" si="36"/>
        <v>0.13651538515175363</v>
      </c>
      <c r="U60" s="73">
        <f t="shared" si="36"/>
        <v>0.13891003093563908</v>
      </c>
      <c r="V60" s="73">
        <f t="shared" si="36"/>
        <v>0.14177481779071144</v>
      </c>
      <c r="W60" s="73">
        <f t="shared" si="36"/>
        <v>0.1416378417100721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0.42055928184055397</v>
      </c>
      <c r="C61" s="70">
        <f t="shared" ref="C61:W61" si="38">IF(C53=0,0,C53/C$47)</f>
        <v>0.40936562422860928</v>
      </c>
      <c r="D61" s="70">
        <f t="shared" si="38"/>
        <v>0.40120211419686569</v>
      </c>
      <c r="E61" s="70">
        <f t="shared" si="38"/>
        <v>0.388101505288801</v>
      </c>
      <c r="F61" s="70">
        <f t="shared" si="38"/>
        <v>0.36420202866661722</v>
      </c>
      <c r="G61" s="70">
        <f t="shared" si="38"/>
        <v>0.34892864482658598</v>
      </c>
      <c r="H61" s="70">
        <f t="shared" si="38"/>
        <v>0.35096256395948755</v>
      </c>
      <c r="I61" s="70">
        <f t="shared" si="38"/>
        <v>0.35984649161662247</v>
      </c>
      <c r="J61" s="70">
        <f t="shared" si="38"/>
        <v>0.38231114178176812</v>
      </c>
      <c r="K61" s="70">
        <f t="shared" si="38"/>
        <v>0.36870921829949299</v>
      </c>
      <c r="L61" s="70">
        <f t="shared" si="38"/>
        <v>0.40429842394658183</v>
      </c>
      <c r="M61" s="70">
        <f t="shared" si="38"/>
        <v>0.41494164311165682</v>
      </c>
      <c r="N61" s="70">
        <f t="shared" si="38"/>
        <v>0.42255072923354769</v>
      </c>
      <c r="O61" s="70">
        <f t="shared" si="38"/>
        <v>0.43848385307837223</v>
      </c>
      <c r="P61" s="70">
        <f t="shared" si="38"/>
        <v>0.42062913182518619</v>
      </c>
      <c r="Q61" s="70">
        <f t="shared" si="38"/>
        <v>0.41225154412802012</v>
      </c>
      <c r="R61" s="70">
        <f t="shared" si="38"/>
        <v>0.42337255799557044</v>
      </c>
      <c r="S61" s="70">
        <f t="shared" si="38"/>
        <v>0.42439425373699619</v>
      </c>
      <c r="T61" s="70">
        <f t="shared" si="38"/>
        <v>0.4062260109616761</v>
      </c>
      <c r="U61" s="70">
        <f t="shared" si="38"/>
        <v>0.40475726942084961</v>
      </c>
      <c r="V61" s="70">
        <f t="shared" si="38"/>
        <v>0.4251525500353544</v>
      </c>
      <c r="W61" s="70">
        <f t="shared" si="38"/>
        <v>0.40622419869480075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1311.0375902399999</v>
      </c>
      <c r="C65" s="80">
        <v>1443.8149843556371</v>
      </c>
      <c r="D65" s="80">
        <v>1562.6251958243054</v>
      </c>
      <c r="E65" s="80">
        <v>1640.6391438529731</v>
      </c>
      <c r="F65" s="80">
        <v>2003.69581668</v>
      </c>
      <c r="G65" s="80">
        <v>2251.4949338400002</v>
      </c>
      <c r="H65" s="80">
        <v>2143.5981544800002</v>
      </c>
      <c r="I65" s="80">
        <v>1988.2548237599999</v>
      </c>
      <c r="J65" s="80">
        <v>1645.3814184</v>
      </c>
      <c r="K65" s="80">
        <v>1870.89337836</v>
      </c>
      <c r="L65" s="80">
        <v>1275.3933451200003</v>
      </c>
      <c r="M65" s="80">
        <v>1139.4707889599999</v>
      </c>
      <c r="N65" s="80">
        <v>1002.6559022400002</v>
      </c>
      <c r="O65" s="80">
        <v>982.46300328000007</v>
      </c>
      <c r="P65" s="80">
        <v>1028.5562426399999</v>
      </c>
      <c r="Q65" s="80">
        <v>1128.0381746399999</v>
      </c>
      <c r="R65" s="80">
        <v>1080.5481597600001</v>
      </c>
      <c r="S65" s="80">
        <v>1072.0343199600002</v>
      </c>
      <c r="T65" s="80">
        <v>1157.5114452</v>
      </c>
      <c r="U65" s="80">
        <v>1132.27146036</v>
      </c>
      <c r="V65" s="80">
        <v>892.74212244</v>
      </c>
      <c r="W65" s="80">
        <v>951.13681092000002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1147.2920402399998</v>
      </c>
      <c r="C67" s="55">
        <f t="shared" ref="C67:W67" si="39">SUM(C68:C69)</f>
        <v>1241.243434355637</v>
      </c>
      <c r="D67" s="55">
        <f t="shared" si="39"/>
        <v>1304.6717858243053</v>
      </c>
      <c r="E67" s="55">
        <f t="shared" si="39"/>
        <v>1364.5093338529732</v>
      </c>
      <c r="F67" s="55">
        <f t="shared" si="39"/>
        <v>1674.65248668</v>
      </c>
      <c r="G67" s="55">
        <f t="shared" si="39"/>
        <v>1931.3883338400001</v>
      </c>
      <c r="H67" s="55">
        <f t="shared" si="39"/>
        <v>1778.5554544800002</v>
      </c>
      <c r="I67" s="55">
        <f t="shared" si="39"/>
        <v>1592.7666537599998</v>
      </c>
      <c r="J67" s="55">
        <f t="shared" si="39"/>
        <v>1222.5781583999999</v>
      </c>
      <c r="K67" s="55">
        <f t="shared" si="39"/>
        <v>1397.7515883599999</v>
      </c>
      <c r="L67" s="55">
        <f t="shared" si="39"/>
        <v>814.36915512000019</v>
      </c>
      <c r="M67" s="55">
        <f t="shared" si="39"/>
        <v>628.41100895999989</v>
      </c>
      <c r="N67" s="55">
        <f t="shared" si="39"/>
        <v>490.93975224000008</v>
      </c>
      <c r="O67" s="55">
        <f t="shared" si="39"/>
        <v>468.42431328000004</v>
      </c>
      <c r="P67" s="55">
        <f t="shared" si="39"/>
        <v>521.48517264000009</v>
      </c>
      <c r="Q67" s="55">
        <f t="shared" si="39"/>
        <v>579.23893728000007</v>
      </c>
      <c r="R67" s="55">
        <f t="shared" si="39"/>
        <v>487.01195496000014</v>
      </c>
      <c r="S67" s="55">
        <f t="shared" si="39"/>
        <v>471.94309944000008</v>
      </c>
      <c r="T67" s="55">
        <f t="shared" si="39"/>
        <v>540.69591708000007</v>
      </c>
      <c r="U67" s="55">
        <f t="shared" si="39"/>
        <v>550.89264168000011</v>
      </c>
      <c r="V67" s="55">
        <f t="shared" si="39"/>
        <v>416.64909096000008</v>
      </c>
      <c r="W67" s="55">
        <f t="shared" si="39"/>
        <v>392.90442588000002</v>
      </c>
      <c r="DA67" s="101"/>
    </row>
    <row r="68" spans="1:105" ht="12" customHeight="1" x14ac:dyDescent="0.25">
      <c r="A68" s="61" t="s">
        <v>52</v>
      </c>
      <c r="B68" s="55">
        <v>146.24697096</v>
      </c>
      <c r="C68" s="55">
        <v>110.43133524000002</v>
      </c>
      <c r="D68" s="55">
        <v>164.15467524000002</v>
      </c>
      <c r="E68" s="55">
        <v>179.07772428000001</v>
      </c>
      <c r="F68" s="55">
        <v>208.96834572000003</v>
      </c>
      <c r="G68" s="55">
        <v>301.51128527999998</v>
      </c>
      <c r="H68" s="55">
        <v>271.65882672000009</v>
      </c>
      <c r="I68" s="55">
        <v>287.35739999999993</v>
      </c>
      <c r="J68" s="55">
        <v>322.18852427999997</v>
      </c>
      <c r="K68" s="55">
        <v>301.87042523999997</v>
      </c>
      <c r="L68" s="55">
        <v>139.32472428</v>
      </c>
      <c r="M68" s="55">
        <v>136.42230096000006</v>
      </c>
      <c r="N68" s="55">
        <v>121.90927572000002</v>
      </c>
      <c r="O68" s="55">
        <v>124.81169904000001</v>
      </c>
      <c r="P68" s="55">
        <v>200.27947572000002</v>
      </c>
      <c r="Q68" s="55">
        <v>214.79250096000004</v>
      </c>
      <c r="R68" s="55">
        <v>200.27947572000002</v>
      </c>
      <c r="S68" s="55">
        <v>200.34626076000004</v>
      </c>
      <c r="T68" s="55">
        <v>259.74791928000008</v>
      </c>
      <c r="U68" s="55">
        <v>246.69189828000003</v>
      </c>
      <c r="V68" s="55">
        <v>165.51786240000004</v>
      </c>
      <c r="W68" s="55">
        <v>143.73685295999999</v>
      </c>
      <c r="DA68" s="101" t="s">
        <v>220</v>
      </c>
    </row>
    <row r="69" spans="1:105" ht="12" customHeight="1" x14ac:dyDescent="0.25">
      <c r="A69" s="61" t="s">
        <v>170</v>
      </c>
      <c r="B69" s="55">
        <v>1001.0450692799998</v>
      </c>
      <c r="C69" s="55">
        <v>1130.812099115637</v>
      </c>
      <c r="D69" s="55">
        <v>1140.5171105843053</v>
      </c>
      <c r="E69" s="55">
        <v>1185.4316095729732</v>
      </c>
      <c r="F69" s="55">
        <v>1465.6841409599999</v>
      </c>
      <c r="G69" s="55">
        <v>1629.87704856</v>
      </c>
      <c r="H69" s="55">
        <v>1506.8966277600002</v>
      </c>
      <c r="I69" s="55">
        <v>1305.40925376</v>
      </c>
      <c r="J69" s="55">
        <v>900.38963411999998</v>
      </c>
      <c r="K69" s="55">
        <v>1095.8811631199999</v>
      </c>
      <c r="L69" s="55">
        <v>675.04443084000013</v>
      </c>
      <c r="M69" s="55">
        <v>491.98870799999986</v>
      </c>
      <c r="N69" s="55">
        <v>369.03047652000004</v>
      </c>
      <c r="O69" s="55">
        <v>343.61261424000003</v>
      </c>
      <c r="P69" s="55">
        <v>321.20569692000004</v>
      </c>
      <c r="Q69" s="55">
        <v>364.44643632000003</v>
      </c>
      <c r="R69" s="55">
        <v>286.73247924000009</v>
      </c>
      <c r="S69" s="55">
        <v>271.59683868000002</v>
      </c>
      <c r="T69" s="55">
        <v>280.9479978</v>
      </c>
      <c r="U69" s="55">
        <v>304.20074340000008</v>
      </c>
      <c r="V69" s="55">
        <v>251.13122856000004</v>
      </c>
      <c r="W69" s="55">
        <v>249.16757292000003</v>
      </c>
      <c r="DA69" s="101" t="s">
        <v>221</v>
      </c>
    </row>
    <row r="70" spans="1:105" ht="12" customHeight="1" x14ac:dyDescent="0.25">
      <c r="A70" s="60" t="s">
        <v>153</v>
      </c>
      <c r="B70" s="55">
        <v>163.74555000000001</v>
      </c>
      <c r="C70" s="55">
        <v>202.57155</v>
      </c>
      <c r="D70" s="55">
        <v>257.95341000000013</v>
      </c>
      <c r="E70" s="55">
        <v>276.12981000000002</v>
      </c>
      <c r="F70" s="55">
        <v>329.04333000000008</v>
      </c>
      <c r="G70" s="55">
        <v>320.10660000000007</v>
      </c>
      <c r="H70" s="55">
        <v>365.04270000000002</v>
      </c>
      <c r="I70" s="55">
        <v>395.48817000000003</v>
      </c>
      <c r="J70" s="55">
        <v>422.80326000000008</v>
      </c>
      <c r="K70" s="55">
        <v>473.14179000000007</v>
      </c>
      <c r="L70" s="55">
        <v>461.02419000000009</v>
      </c>
      <c r="M70" s="55">
        <v>511.05977999999993</v>
      </c>
      <c r="N70" s="55">
        <v>511.71615000000003</v>
      </c>
      <c r="O70" s="55">
        <v>514.03868999999997</v>
      </c>
      <c r="P70" s="55">
        <v>507.07106999999991</v>
      </c>
      <c r="Q70" s="55">
        <v>548.79923735999989</v>
      </c>
      <c r="R70" s="55">
        <v>593.53620480000006</v>
      </c>
      <c r="S70" s="55">
        <v>600.09122052000009</v>
      </c>
      <c r="T70" s="55">
        <v>616.81552811999995</v>
      </c>
      <c r="U70" s="55">
        <v>581.37881867999988</v>
      </c>
      <c r="V70" s="55">
        <v>476.09303147999998</v>
      </c>
      <c r="W70" s="55">
        <v>558.23238504000005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1311.0375902399999</v>
      </c>
      <c r="C81" s="82">
        <f t="shared" ref="C81:W81" si="42">C82+C87</f>
        <v>1443.8149843556373</v>
      </c>
      <c r="D81" s="82">
        <f t="shared" si="42"/>
        <v>1562.6251958243058</v>
      </c>
      <c r="E81" s="82">
        <f t="shared" si="42"/>
        <v>1640.6391438529733</v>
      </c>
      <c r="F81" s="82">
        <f t="shared" si="42"/>
        <v>2003.69581668</v>
      </c>
      <c r="G81" s="82">
        <f t="shared" si="42"/>
        <v>2251.4949338400006</v>
      </c>
      <c r="H81" s="82">
        <f t="shared" si="42"/>
        <v>2143.5981544800006</v>
      </c>
      <c r="I81" s="82">
        <f t="shared" si="42"/>
        <v>1988.2548237599997</v>
      </c>
      <c r="J81" s="82">
        <f t="shared" si="42"/>
        <v>1645.3814184</v>
      </c>
      <c r="K81" s="82">
        <f t="shared" si="42"/>
        <v>1870.8933783600003</v>
      </c>
      <c r="L81" s="82">
        <f t="shared" si="42"/>
        <v>1275.393345120001</v>
      </c>
      <c r="M81" s="82">
        <f t="shared" si="42"/>
        <v>1139.4707889599995</v>
      </c>
      <c r="N81" s="82">
        <f t="shared" si="42"/>
        <v>1002.6559022400004</v>
      </c>
      <c r="O81" s="82">
        <f t="shared" si="42"/>
        <v>982.46300327999984</v>
      </c>
      <c r="P81" s="82">
        <f t="shared" si="42"/>
        <v>1028.5562426399999</v>
      </c>
      <c r="Q81" s="82">
        <f t="shared" si="42"/>
        <v>1128.0381746399996</v>
      </c>
      <c r="R81" s="82">
        <f t="shared" si="42"/>
        <v>1080.5481597600003</v>
      </c>
      <c r="S81" s="82">
        <f t="shared" si="42"/>
        <v>1072.0343199600006</v>
      </c>
      <c r="T81" s="82">
        <f t="shared" si="42"/>
        <v>1157.5114452</v>
      </c>
      <c r="U81" s="82">
        <f t="shared" si="42"/>
        <v>1132.2714603599995</v>
      </c>
      <c r="V81" s="82">
        <f t="shared" si="42"/>
        <v>892.74212244</v>
      </c>
      <c r="W81" s="82">
        <f t="shared" si="42"/>
        <v>951.13681092000024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1311.0375902399999</v>
      </c>
      <c r="C82" s="64">
        <f t="shared" ref="C82:W82" si="44">SUM(C83:C86)</f>
        <v>1443.8149843556373</v>
      </c>
      <c r="D82" s="64">
        <f t="shared" si="44"/>
        <v>1562.6251958243058</v>
      </c>
      <c r="E82" s="64">
        <f t="shared" si="44"/>
        <v>1640.6391438529733</v>
      </c>
      <c r="F82" s="64">
        <f t="shared" si="44"/>
        <v>2003.69581668</v>
      </c>
      <c r="G82" s="64">
        <f t="shared" si="44"/>
        <v>2251.4949338400006</v>
      </c>
      <c r="H82" s="64">
        <f t="shared" si="44"/>
        <v>2143.5981544800006</v>
      </c>
      <c r="I82" s="64">
        <f t="shared" si="44"/>
        <v>1988.2548237599997</v>
      </c>
      <c r="J82" s="64">
        <f t="shared" si="44"/>
        <v>1645.3814184</v>
      </c>
      <c r="K82" s="64">
        <f t="shared" si="44"/>
        <v>1870.8933783600003</v>
      </c>
      <c r="L82" s="64">
        <f t="shared" si="44"/>
        <v>1275.393345120001</v>
      </c>
      <c r="M82" s="64">
        <f t="shared" si="44"/>
        <v>1139.4707889599995</v>
      </c>
      <c r="N82" s="64">
        <f t="shared" si="44"/>
        <v>1002.6559022400004</v>
      </c>
      <c r="O82" s="64">
        <f t="shared" si="44"/>
        <v>982.46300327999984</v>
      </c>
      <c r="P82" s="64">
        <f t="shared" si="44"/>
        <v>1028.5562426399999</v>
      </c>
      <c r="Q82" s="64">
        <f t="shared" si="44"/>
        <v>1128.0381746399996</v>
      </c>
      <c r="R82" s="64">
        <f t="shared" si="44"/>
        <v>1080.5481597600003</v>
      </c>
      <c r="S82" s="64">
        <f t="shared" si="44"/>
        <v>1072.0343199600006</v>
      </c>
      <c r="T82" s="64">
        <f t="shared" si="44"/>
        <v>1157.5114452</v>
      </c>
      <c r="U82" s="64">
        <f t="shared" si="44"/>
        <v>1132.2714603599995</v>
      </c>
      <c r="V82" s="64">
        <f t="shared" si="44"/>
        <v>892.74212244</v>
      </c>
      <c r="W82" s="64">
        <f t="shared" si="44"/>
        <v>951.13681092000024</v>
      </c>
      <c r="DA82" s="108" t="s">
        <v>232</v>
      </c>
    </row>
    <row r="83" spans="1:105" ht="12" customHeight="1" x14ac:dyDescent="0.25">
      <c r="A83" s="61" t="s">
        <v>32</v>
      </c>
      <c r="B83" s="65">
        <v>883.85902405042646</v>
      </c>
      <c r="C83" s="65">
        <v>1055.0988040571272</v>
      </c>
      <c r="D83" s="65">
        <v>1128.2484279553062</v>
      </c>
      <c r="E83" s="65">
        <v>1197.4605718840692</v>
      </c>
      <c r="F83" s="65">
        <v>1529.3479498052268</v>
      </c>
      <c r="G83" s="65">
        <v>1681.4014578576978</v>
      </c>
      <c r="H83" s="65">
        <v>1600.1558690518777</v>
      </c>
      <c r="I83" s="65">
        <v>1427.7827789754349</v>
      </c>
      <c r="J83" s="65">
        <v>1052.1121491913341</v>
      </c>
      <c r="K83" s="65">
        <v>1293.7566031277888</v>
      </c>
      <c r="L83" s="65">
        <v>838.09559288465994</v>
      </c>
      <c r="M83" s="65">
        <v>696.16913124595578</v>
      </c>
      <c r="N83" s="65">
        <v>569.05138230363514</v>
      </c>
      <c r="O83" s="65">
        <v>519.70815134370116</v>
      </c>
      <c r="P83" s="65">
        <v>490.41193338439388</v>
      </c>
      <c r="Q83" s="65">
        <v>557.12098889107915</v>
      </c>
      <c r="R83" s="65">
        <v>511.46687068100493</v>
      </c>
      <c r="S83" s="65">
        <v>491.50205789754989</v>
      </c>
      <c r="T83" s="65">
        <v>509.12495597993569</v>
      </c>
      <c r="U83" s="65">
        <v>486.96459979707799</v>
      </c>
      <c r="V83" s="65">
        <v>362.73669233535384</v>
      </c>
      <c r="W83" s="65">
        <v>438.94795103093645</v>
      </c>
      <c r="DA83" s="109" t="s">
        <v>233</v>
      </c>
    </row>
    <row r="84" spans="1:105" ht="12" customHeight="1" x14ac:dyDescent="0.25">
      <c r="A84" s="61" t="s">
        <v>31</v>
      </c>
      <c r="B84" s="65">
        <v>0.53562237543176661</v>
      </c>
      <c r="C84" s="65">
        <v>0.57564374082428482</v>
      </c>
      <c r="D84" s="65">
        <v>0.49288711766913057</v>
      </c>
      <c r="E84" s="65">
        <v>0.66076563386450571</v>
      </c>
      <c r="F84" s="65">
        <v>0.62786433101526784</v>
      </c>
      <c r="G84" s="65">
        <v>0.72318810157252778</v>
      </c>
      <c r="H84" s="65">
        <v>0.96767210756346134</v>
      </c>
      <c r="I84" s="65">
        <v>0.84725691507988721</v>
      </c>
      <c r="J84" s="65">
        <v>0.99245134219355202</v>
      </c>
      <c r="K84" s="65">
        <v>1.5268123069546184</v>
      </c>
      <c r="L84" s="65">
        <v>2.2454917522685189</v>
      </c>
      <c r="M84" s="65">
        <v>1.7401307877483234</v>
      </c>
      <c r="N84" s="65">
        <v>1.9817332739610258</v>
      </c>
      <c r="O84" s="65">
        <v>2.9170350230533142</v>
      </c>
      <c r="P84" s="65">
        <v>2.2367369690899435</v>
      </c>
      <c r="Q84" s="65">
        <v>3.0985632039082294</v>
      </c>
      <c r="R84" s="65">
        <v>5.6522505102833129</v>
      </c>
      <c r="S84" s="65">
        <v>6.1105910981942273</v>
      </c>
      <c r="T84" s="65">
        <v>5.8427386565132888</v>
      </c>
      <c r="U84" s="65">
        <v>5.1819391733505054</v>
      </c>
      <c r="V84" s="65">
        <v>7.4648389872430894</v>
      </c>
      <c r="W84" s="65">
        <v>4.9441599226549808</v>
      </c>
      <c r="DA84" s="109" t="s">
        <v>234</v>
      </c>
    </row>
    <row r="85" spans="1:105" ht="12" customHeight="1" x14ac:dyDescent="0.25">
      <c r="A85" s="61" t="s">
        <v>35</v>
      </c>
      <c r="B85" s="65">
        <v>281.74126798616663</v>
      </c>
      <c r="C85" s="65">
        <v>272.49581810700772</v>
      </c>
      <c r="D85" s="65">
        <v>259.04977030723865</v>
      </c>
      <c r="E85" s="65">
        <v>250.06613259146687</v>
      </c>
      <c r="F85" s="65">
        <v>245.05987471110689</v>
      </c>
      <c r="G85" s="65">
        <v>243.22859213839334</v>
      </c>
      <c r="H85" s="65">
        <v>242.84123178359764</v>
      </c>
      <c r="I85" s="65">
        <v>242.71348677587457</v>
      </c>
      <c r="J85" s="65">
        <v>238.64028582077822</v>
      </c>
      <c r="K85" s="65">
        <v>234.94140314414932</v>
      </c>
      <c r="L85" s="65">
        <v>238.03639830389554</v>
      </c>
      <c r="M85" s="65">
        <v>243.02366565533799</v>
      </c>
      <c r="N85" s="65">
        <v>243.53958085562655</v>
      </c>
      <c r="O85" s="65">
        <v>243.85877272332343</v>
      </c>
      <c r="P85" s="65">
        <v>244.83080463878431</v>
      </c>
      <c r="Q85" s="65">
        <v>247.63532290129456</v>
      </c>
      <c r="R85" s="65">
        <v>251.72062914408451</v>
      </c>
      <c r="S85" s="65">
        <v>258.04715500219083</v>
      </c>
      <c r="T85" s="65">
        <v>261.28467018881304</v>
      </c>
      <c r="U85" s="65">
        <v>263.53572505820227</v>
      </c>
      <c r="V85" s="65">
        <v>235.69791002715615</v>
      </c>
      <c r="W85" s="65">
        <v>250.66052103904926</v>
      </c>
      <c r="DA85" s="109" t="s">
        <v>235</v>
      </c>
    </row>
    <row r="86" spans="1:105" ht="12" customHeight="1" x14ac:dyDescent="0.25">
      <c r="A86" s="66" t="s">
        <v>34</v>
      </c>
      <c r="B86" s="67">
        <v>144.90167582797491</v>
      </c>
      <c r="C86" s="67">
        <v>115.64471845067807</v>
      </c>
      <c r="D86" s="67">
        <v>174.83411044409166</v>
      </c>
      <c r="E86" s="67">
        <v>192.45167374357285</v>
      </c>
      <c r="F86" s="67">
        <v>228.66012783265109</v>
      </c>
      <c r="G86" s="67">
        <v>326.14169574233682</v>
      </c>
      <c r="H86" s="67">
        <v>299.63338153696179</v>
      </c>
      <c r="I86" s="67">
        <v>316.91130109361023</v>
      </c>
      <c r="J86" s="67">
        <v>353.63653204569414</v>
      </c>
      <c r="K86" s="67">
        <v>340.66855978110772</v>
      </c>
      <c r="L86" s="67">
        <v>197.01586217917696</v>
      </c>
      <c r="M86" s="67">
        <v>198.53786127095748</v>
      </c>
      <c r="N86" s="67">
        <v>188.08320580677758</v>
      </c>
      <c r="O86" s="67">
        <v>215.97904418992192</v>
      </c>
      <c r="P86" s="67">
        <v>291.0767676477318</v>
      </c>
      <c r="Q86" s="67">
        <v>320.1832996437177</v>
      </c>
      <c r="R86" s="67">
        <v>311.70840942462746</v>
      </c>
      <c r="S86" s="67">
        <v>316.37451596206563</v>
      </c>
      <c r="T86" s="67">
        <v>381.25908037473801</v>
      </c>
      <c r="U86" s="67">
        <v>376.58919633136884</v>
      </c>
      <c r="V86" s="67">
        <v>286.84268109024697</v>
      </c>
      <c r="W86" s="67">
        <v>256.58417892735957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0.67416756821490242</v>
      </c>
      <c r="C91" s="71">
        <f t="shared" ref="C91:W91" si="50">IF(C83=0,0,C83/C$81)</f>
        <v>0.73077147383119112</v>
      </c>
      <c r="D91" s="71">
        <f t="shared" si="50"/>
        <v>0.72202114171091425</v>
      </c>
      <c r="E91" s="71">
        <f t="shared" si="50"/>
        <v>0.72987443727075929</v>
      </c>
      <c r="F91" s="71">
        <f t="shared" si="50"/>
        <v>0.763263533852789</v>
      </c>
      <c r="G91" s="71">
        <f t="shared" si="50"/>
        <v>0.74679335608808628</v>
      </c>
      <c r="H91" s="71">
        <f t="shared" si="50"/>
        <v>0.74648126828605499</v>
      </c>
      <c r="I91" s="71">
        <f t="shared" si="50"/>
        <v>0.71810854519912437</v>
      </c>
      <c r="J91" s="71">
        <f t="shared" si="50"/>
        <v>0.63943359115750065</v>
      </c>
      <c r="K91" s="71">
        <f t="shared" si="50"/>
        <v>0.69151808333507403</v>
      </c>
      <c r="L91" s="71">
        <f t="shared" si="50"/>
        <v>0.65712714911947734</v>
      </c>
      <c r="M91" s="71">
        <f t="shared" si="50"/>
        <v>0.61095829572020244</v>
      </c>
      <c r="N91" s="71">
        <f t="shared" si="50"/>
        <v>0.56754404081433751</v>
      </c>
      <c r="O91" s="71">
        <f t="shared" si="50"/>
        <v>0.52898495883166141</v>
      </c>
      <c r="P91" s="71">
        <f t="shared" si="50"/>
        <v>0.47679641914928383</v>
      </c>
      <c r="Q91" s="71">
        <f t="shared" si="50"/>
        <v>0.493884871466232</v>
      </c>
      <c r="R91" s="71">
        <f t="shared" si="50"/>
        <v>0.47334018947809453</v>
      </c>
      <c r="S91" s="71">
        <f t="shared" si="50"/>
        <v>0.45847604759135757</v>
      </c>
      <c r="T91" s="71">
        <f t="shared" si="50"/>
        <v>0.43984442494386461</v>
      </c>
      <c r="U91" s="71">
        <f t="shared" si="50"/>
        <v>0.43007760669181777</v>
      </c>
      <c r="V91" s="71">
        <f t="shared" si="50"/>
        <v>0.40631743839300344</v>
      </c>
      <c r="W91" s="71">
        <f t="shared" si="50"/>
        <v>0.46149822611361024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4.0854845003621522E-4</v>
      </c>
      <c r="C92" s="72">
        <f t="shared" ref="C92:W92" si="52">IF(C84=0,0,C84/C$81)</f>
        <v>3.9869633371424654E-4</v>
      </c>
      <c r="D92" s="72">
        <f t="shared" si="52"/>
        <v>3.1542248197855661E-4</v>
      </c>
      <c r="E92" s="72">
        <f t="shared" si="52"/>
        <v>4.0274891425101856E-4</v>
      </c>
      <c r="F92" s="72">
        <f t="shared" si="52"/>
        <v>3.1335311766813001E-4</v>
      </c>
      <c r="G92" s="72">
        <f t="shared" si="52"/>
        <v>3.2120352158159469E-4</v>
      </c>
      <c r="H92" s="72">
        <f t="shared" si="52"/>
        <v>4.5142421192194095E-4</v>
      </c>
      <c r="I92" s="72">
        <f t="shared" si="52"/>
        <v>4.2613094908912884E-4</v>
      </c>
      <c r="J92" s="72">
        <f t="shared" si="52"/>
        <v>6.0317403071114689E-4</v>
      </c>
      <c r="K92" s="72">
        <f t="shared" si="52"/>
        <v>8.1608728996251055E-4</v>
      </c>
      <c r="L92" s="72">
        <f t="shared" si="52"/>
        <v>1.7606268378774095E-3</v>
      </c>
      <c r="M92" s="72">
        <f t="shared" si="52"/>
        <v>1.5271394445631637E-3</v>
      </c>
      <c r="N92" s="72">
        <f t="shared" si="52"/>
        <v>1.9764839258749698E-3</v>
      </c>
      <c r="O92" s="72">
        <f t="shared" si="52"/>
        <v>2.9691041935570629E-3</v>
      </c>
      <c r="P92" s="72">
        <f t="shared" si="52"/>
        <v>2.1746374931806362E-3</v>
      </c>
      <c r="Q92" s="72">
        <f t="shared" si="52"/>
        <v>2.7468602336061013E-3</v>
      </c>
      <c r="R92" s="72">
        <f t="shared" si="52"/>
        <v>5.23091031087289E-3</v>
      </c>
      <c r="S92" s="72">
        <f t="shared" si="52"/>
        <v>5.6999957785140902E-3</v>
      </c>
      <c r="T92" s="72">
        <f t="shared" si="52"/>
        <v>5.0476724707493098E-3</v>
      </c>
      <c r="U92" s="72">
        <f t="shared" si="52"/>
        <v>4.5765872891496678E-3</v>
      </c>
      <c r="V92" s="72">
        <f t="shared" si="52"/>
        <v>8.3616968434742939E-3</v>
      </c>
      <c r="W92" s="72">
        <f t="shared" si="52"/>
        <v>5.1981585255570896E-3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0.21489945832490645</v>
      </c>
      <c r="C93" s="72">
        <f t="shared" ref="C93:W93" si="54">IF(C85=0,0,C85/C$81)</f>
        <v>0.18873319716142187</v>
      </c>
      <c r="D93" s="72">
        <f t="shared" si="54"/>
        <v>0.16577856993441503</v>
      </c>
      <c r="E93" s="72">
        <f t="shared" si="54"/>
        <v>0.15241994775535886</v>
      </c>
      <c r="F93" s="72">
        <f t="shared" si="54"/>
        <v>0.12230393090162554</v>
      </c>
      <c r="G93" s="72">
        <f t="shared" si="54"/>
        <v>0.1080298198688632</v>
      </c>
      <c r="H93" s="72">
        <f t="shared" si="54"/>
        <v>0.11328673299894058</v>
      </c>
      <c r="I93" s="72">
        <f t="shared" si="54"/>
        <v>0.12207363154632149</v>
      </c>
      <c r="J93" s="72">
        <f t="shared" si="54"/>
        <v>0.14503645364661802</v>
      </c>
      <c r="K93" s="72">
        <f t="shared" si="54"/>
        <v>0.12557712046107927</v>
      </c>
      <c r="L93" s="72">
        <f t="shared" si="54"/>
        <v>0.18663763553000101</v>
      </c>
      <c r="M93" s="72">
        <f t="shared" si="54"/>
        <v>0.2132776618847306</v>
      </c>
      <c r="N93" s="72">
        <f t="shared" si="54"/>
        <v>0.24289447687042268</v>
      </c>
      <c r="O93" s="72">
        <f t="shared" si="54"/>
        <v>0.2482116597868716</v>
      </c>
      <c r="P93" s="72">
        <f t="shared" si="54"/>
        <v>0.23803346330422923</v>
      </c>
      <c r="Q93" s="72">
        <f t="shared" si="54"/>
        <v>0.21952743131261893</v>
      </c>
      <c r="R93" s="72">
        <f t="shared" si="54"/>
        <v>0.23295641834232911</v>
      </c>
      <c r="S93" s="72">
        <f t="shared" si="54"/>
        <v>0.24070792342899899</v>
      </c>
      <c r="T93" s="72">
        <f t="shared" si="54"/>
        <v>0.22572966450769485</v>
      </c>
      <c r="U93" s="72">
        <f t="shared" si="54"/>
        <v>0.23274959608574125</v>
      </c>
      <c r="V93" s="72">
        <f t="shared" si="54"/>
        <v>0.26401567048607266</v>
      </c>
      <c r="W93" s="72">
        <f t="shared" si="54"/>
        <v>0.26353781933494341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0.11052442501015479</v>
      </c>
      <c r="C94" s="73">
        <f t="shared" ref="C94:W94" si="56">IF(C86=0,0,C86/C$81)</f>
        <v>8.0096632673672757E-2</v>
      </c>
      <c r="D94" s="73">
        <f t="shared" si="56"/>
        <v>0.11188486587269209</v>
      </c>
      <c r="E94" s="73">
        <f t="shared" si="56"/>
        <v>0.1173028660596309</v>
      </c>
      <c r="F94" s="73">
        <f t="shared" si="56"/>
        <v>0.11411918212791738</v>
      </c>
      <c r="G94" s="73">
        <f t="shared" si="56"/>
        <v>0.14485562052146889</v>
      </c>
      <c r="H94" s="73">
        <f t="shared" si="56"/>
        <v>0.13978057450308246</v>
      </c>
      <c r="I94" s="73">
        <f t="shared" si="56"/>
        <v>0.1593916923054649</v>
      </c>
      <c r="J94" s="73">
        <f t="shared" si="56"/>
        <v>0.21492678116517019</v>
      </c>
      <c r="K94" s="73">
        <f t="shared" si="56"/>
        <v>0.18208870891388432</v>
      </c>
      <c r="L94" s="73">
        <f t="shared" si="56"/>
        <v>0.1544745885126442</v>
      </c>
      <c r="M94" s="73">
        <f t="shared" si="56"/>
        <v>0.17423690295050384</v>
      </c>
      <c r="N94" s="73">
        <f t="shared" si="56"/>
        <v>0.18758499838936479</v>
      </c>
      <c r="O94" s="73">
        <f t="shared" si="56"/>
        <v>0.2198342771879099</v>
      </c>
      <c r="P94" s="73">
        <f t="shared" si="56"/>
        <v>0.28299548005330633</v>
      </c>
      <c r="Q94" s="73">
        <f t="shared" si="56"/>
        <v>0.28384083698754303</v>
      </c>
      <c r="R94" s="73">
        <f t="shared" si="56"/>
        <v>0.28847248186870333</v>
      </c>
      <c r="S94" s="73">
        <f t="shared" si="56"/>
        <v>0.29511603320112934</v>
      </c>
      <c r="T94" s="73">
        <f t="shared" si="56"/>
        <v>0.32937823807769118</v>
      </c>
      <c r="U94" s="73">
        <f t="shared" si="56"/>
        <v>0.33259620993329142</v>
      </c>
      <c r="V94" s="73">
        <f t="shared" si="56"/>
        <v>0.32130519427744969</v>
      </c>
      <c r="W94" s="73">
        <f t="shared" si="56"/>
        <v>0.26976579602588924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103927.05942139635</v>
      </c>
      <c r="C99" s="82">
        <f t="shared" ref="C99:W99" si="60">C47*11630*1000/C$8</f>
        <v>107861.94274917449</v>
      </c>
      <c r="D99" s="82">
        <f t="shared" si="60"/>
        <v>111813.13320420949</v>
      </c>
      <c r="E99" s="82">
        <f t="shared" si="60"/>
        <v>117517.05608581116</v>
      </c>
      <c r="F99" s="82">
        <f t="shared" si="60"/>
        <v>126707.34898279415</v>
      </c>
      <c r="G99" s="82">
        <f t="shared" si="60"/>
        <v>133485.1089129918</v>
      </c>
      <c r="H99" s="82">
        <f t="shared" si="60"/>
        <v>133022.14435055322</v>
      </c>
      <c r="I99" s="82">
        <f t="shared" si="60"/>
        <v>130078.08363952182</v>
      </c>
      <c r="J99" s="82">
        <f t="shared" si="60"/>
        <v>123065.83363353119</v>
      </c>
      <c r="K99" s="82">
        <f t="shared" si="60"/>
        <v>128457.31977704854</v>
      </c>
      <c r="L99" s="82">
        <f t="shared" si="60"/>
        <v>118108.60596330992</v>
      </c>
      <c r="M99" s="82">
        <f t="shared" si="60"/>
        <v>115731.64890801912</v>
      </c>
      <c r="N99" s="82">
        <f t="shared" si="60"/>
        <v>114477.24201855811</v>
      </c>
      <c r="O99" s="82">
        <f t="shared" si="60"/>
        <v>111115.6944697273</v>
      </c>
      <c r="P99" s="82">
        <f t="shared" si="60"/>
        <v>117062.50264566216</v>
      </c>
      <c r="Q99" s="82">
        <f t="shared" si="60"/>
        <v>120809.69075136559</v>
      </c>
      <c r="R99" s="82">
        <f t="shared" si="60"/>
        <v>115238.97072065591</v>
      </c>
      <c r="S99" s="82">
        <f t="shared" si="60"/>
        <v>114123.39472975169</v>
      </c>
      <c r="T99" s="82">
        <f t="shared" si="60"/>
        <v>116920.52070529351</v>
      </c>
      <c r="U99" s="82">
        <f t="shared" si="60"/>
        <v>113409.9783493732</v>
      </c>
      <c r="V99" s="82">
        <f t="shared" si="60"/>
        <v>99669.049561019536</v>
      </c>
      <c r="W99" s="82">
        <f t="shared" si="60"/>
        <v>99252.096742134061</v>
      </c>
      <c r="DA99" s="107"/>
    </row>
    <row r="100" spans="1:105" ht="12" customHeight="1" x14ac:dyDescent="0.25">
      <c r="A100" s="77" t="s">
        <v>36</v>
      </c>
      <c r="B100" s="64">
        <f t="shared" si="59"/>
        <v>60219.56994733333</v>
      </c>
      <c r="C100" s="64">
        <f t="shared" ref="C100:W100" si="61">C48*11630*1000/C$8</f>
        <v>63706.971225148169</v>
      </c>
      <c r="D100" s="64">
        <f t="shared" si="61"/>
        <v>66953.467767704889</v>
      </c>
      <c r="E100" s="64">
        <f t="shared" si="61"/>
        <v>71908.509721799404</v>
      </c>
      <c r="F100" s="64">
        <f t="shared" si="61"/>
        <v>80560.2754362915</v>
      </c>
      <c r="G100" s="64">
        <f t="shared" si="61"/>
        <v>86908.330755452334</v>
      </c>
      <c r="H100" s="64">
        <f t="shared" si="61"/>
        <v>86336.35150589401</v>
      </c>
      <c r="I100" s="64">
        <f t="shared" si="61"/>
        <v>83269.941605626329</v>
      </c>
      <c r="J100" s="64">
        <f t="shared" si="61"/>
        <v>76016.394262770773</v>
      </c>
      <c r="K100" s="64">
        <f t="shared" si="61"/>
        <v>81093.921817204973</v>
      </c>
      <c r="L100" s="64">
        <f t="shared" si="61"/>
        <v>70357.482717815845</v>
      </c>
      <c r="M100" s="64">
        <f t="shared" si="61"/>
        <v>67709.768350104277</v>
      </c>
      <c r="N100" s="64">
        <f t="shared" si="61"/>
        <v>66104.799922971055</v>
      </c>
      <c r="O100" s="64">
        <f t="shared" si="61"/>
        <v>62393.256621162094</v>
      </c>
      <c r="P100" s="64">
        <f t="shared" si="61"/>
        <v>67822.603788533714</v>
      </c>
      <c r="Q100" s="64">
        <f t="shared" si="61"/>
        <v>71005.709193486546</v>
      </c>
      <c r="R100" s="64">
        <f t="shared" si="61"/>
        <v>66449.952905875165</v>
      </c>
      <c r="S100" s="64">
        <f t="shared" si="61"/>
        <v>65690.081789486081</v>
      </c>
      <c r="T100" s="64">
        <f t="shared" si="61"/>
        <v>69424.363979620073</v>
      </c>
      <c r="U100" s="64">
        <f t="shared" si="61"/>
        <v>67506.465187603229</v>
      </c>
      <c r="V100" s="64">
        <f t="shared" si="61"/>
        <v>57294.498980551958</v>
      </c>
      <c r="W100" s="64">
        <f t="shared" si="61"/>
        <v>58933.493274281813</v>
      </c>
      <c r="DA100" s="108"/>
    </row>
    <row r="101" spans="1:105" ht="12" customHeight="1" x14ac:dyDescent="0.25">
      <c r="A101" s="61" t="s">
        <v>32</v>
      </c>
      <c r="B101" s="65">
        <f t="shared" si="59"/>
        <v>29223.698012713805</v>
      </c>
      <c r="C101" s="65">
        <f t="shared" ref="C101:W101" si="62">C49*11630*1000/C$8</f>
        <v>32567.754416806099</v>
      </c>
      <c r="D101" s="65">
        <f t="shared" si="62"/>
        <v>34902.908937235974</v>
      </c>
      <c r="E101" s="65">
        <f t="shared" si="62"/>
        <v>37963.300131477023</v>
      </c>
      <c r="F101" s="65">
        <f t="shared" si="62"/>
        <v>47421.688011079037</v>
      </c>
      <c r="G101" s="65">
        <f t="shared" si="62"/>
        <v>52938.4885050511</v>
      </c>
      <c r="H101" s="65">
        <f t="shared" si="62"/>
        <v>51671.125294611003</v>
      </c>
      <c r="I101" s="65">
        <f t="shared" si="62"/>
        <v>50551.672459379857</v>
      </c>
      <c r="J101" s="65">
        <f t="shared" si="62"/>
        <v>43037.63138505914</v>
      </c>
      <c r="K101" s="65">
        <f t="shared" si="62"/>
        <v>47339.067730615658</v>
      </c>
      <c r="L101" s="65">
        <f t="shared" si="62"/>
        <v>35606.469668894948</v>
      </c>
      <c r="M101" s="65">
        <f t="shared" si="62"/>
        <v>34987.326909839619</v>
      </c>
      <c r="N101" s="65">
        <f t="shared" si="62"/>
        <v>33250.329747599062</v>
      </c>
      <c r="O101" s="65">
        <f t="shared" si="62"/>
        <v>29497.078924668378</v>
      </c>
      <c r="P101" s="65">
        <f t="shared" si="62"/>
        <v>35564.327051851629</v>
      </c>
      <c r="Q101" s="65">
        <f t="shared" si="62"/>
        <v>37900.964258318592</v>
      </c>
      <c r="R101" s="65">
        <f t="shared" si="62"/>
        <v>31431.943389662349</v>
      </c>
      <c r="S101" s="65">
        <f t="shared" si="62"/>
        <v>31114.755079660608</v>
      </c>
      <c r="T101" s="65">
        <f t="shared" si="62"/>
        <v>35628.040481401804</v>
      </c>
      <c r="U101" s="65">
        <f t="shared" si="62"/>
        <v>35197.023384257169</v>
      </c>
      <c r="V101" s="65">
        <f t="shared" si="62"/>
        <v>26906.043848753521</v>
      </c>
      <c r="W101" s="65">
        <f t="shared" si="62"/>
        <v>29810.508644374902</v>
      </c>
      <c r="DA101" s="109"/>
    </row>
    <row r="102" spans="1:105" ht="12" customHeight="1" x14ac:dyDescent="0.25">
      <c r="A102" s="61" t="s">
        <v>31</v>
      </c>
      <c r="B102" s="65">
        <f t="shared" si="59"/>
        <v>4663.5152997953101</v>
      </c>
      <c r="C102" s="65">
        <f t="shared" ref="C102:W102" si="63">C50*11630*1000/C$8</f>
        <v>4560.1426717941877</v>
      </c>
      <c r="D102" s="65">
        <f t="shared" si="63"/>
        <v>4059.7912098820248</v>
      </c>
      <c r="E102" s="65">
        <f t="shared" si="63"/>
        <v>5679.0551157178652</v>
      </c>
      <c r="F102" s="65">
        <f t="shared" si="63"/>
        <v>4510.0323525703207</v>
      </c>
      <c r="G102" s="65">
        <f t="shared" si="63"/>
        <v>4845.5819720673107</v>
      </c>
      <c r="H102" s="65">
        <f t="shared" si="63"/>
        <v>5796.6811036281943</v>
      </c>
      <c r="I102" s="65">
        <f t="shared" si="63"/>
        <v>3778.8960657850876</v>
      </c>
      <c r="J102" s="65">
        <f t="shared" si="63"/>
        <v>3638.015126681089</v>
      </c>
      <c r="K102" s="65">
        <f t="shared" si="63"/>
        <v>4587.1693341758273</v>
      </c>
      <c r="L102" s="65">
        <f t="shared" si="63"/>
        <v>6443.1387189932602</v>
      </c>
      <c r="M102" s="65">
        <f t="shared" si="63"/>
        <v>4223.4125201949855</v>
      </c>
      <c r="N102" s="65">
        <f t="shared" si="63"/>
        <v>4431.15674141816</v>
      </c>
      <c r="O102" s="65">
        <f t="shared" si="63"/>
        <v>5631.1180856516503</v>
      </c>
      <c r="P102" s="65">
        <f t="shared" si="63"/>
        <v>3750.4186798836304</v>
      </c>
      <c r="Q102" s="65">
        <f t="shared" si="63"/>
        <v>4308.7552742992893</v>
      </c>
      <c r="R102" s="65">
        <f t="shared" si="63"/>
        <v>6320.8977692995368</v>
      </c>
      <c r="S102" s="65">
        <f t="shared" si="63"/>
        <v>5932.447131327026</v>
      </c>
      <c r="T102" s="65">
        <f t="shared" si="63"/>
        <v>5038.7612455811577</v>
      </c>
      <c r="U102" s="65">
        <f t="shared" si="63"/>
        <v>3921.6500412119258</v>
      </c>
      <c r="V102" s="65">
        <f t="shared" si="63"/>
        <v>5555.7589848864654</v>
      </c>
      <c r="W102" s="65">
        <f t="shared" si="63"/>
        <v>3426.1739268621809</v>
      </c>
      <c r="DA102" s="109"/>
    </row>
    <row r="103" spans="1:105" ht="12" customHeight="1" x14ac:dyDescent="0.25">
      <c r="A103" s="61" t="s">
        <v>35</v>
      </c>
      <c r="B103" s="65">
        <f t="shared" si="59"/>
        <v>14280.67702784414</v>
      </c>
      <c r="C103" s="65">
        <f t="shared" ref="C103:W103" si="64">C51*11630*1000/C$8</f>
        <v>14309.786578062934</v>
      </c>
      <c r="D103" s="65">
        <f t="shared" si="64"/>
        <v>14459.487774654057</v>
      </c>
      <c r="E103" s="65">
        <f t="shared" si="64"/>
        <v>14254.778148102438</v>
      </c>
      <c r="F103" s="65">
        <f t="shared" si="64"/>
        <v>14305.207651493647</v>
      </c>
      <c r="G103" s="65">
        <f t="shared" si="64"/>
        <v>14274.112546635231</v>
      </c>
      <c r="H103" s="65">
        <f t="shared" si="64"/>
        <v>14034.837936084396</v>
      </c>
      <c r="I103" s="65">
        <f t="shared" si="64"/>
        <v>14122.703736802645</v>
      </c>
      <c r="J103" s="65">
        <f t="shared" si="64"/>
        <v>14005.329922058927</v>
      </c>
      <c r="K103" s="65">
        <f t="shared" si="64"/>
        <v>14075.131574991172</v>
      </c>
      <c r="L103" s="65">
        <f t="shared" si="64"/>
        <v>13900.468944111666</v>
      </c>
      <c r="M103" s="65">
        <f t="shared" si="64"/>
        <v>14198.733104037994</v>
      </c>
      <c r="N103" s="65">
        <f t="shared" si="64"/>
        <v>13770.782596771611</v>
      </c>
      <c r="O103" s="65">
        <f t="shared" si="64"/>
        <v>13531.809611796543</v>
      </c>
      <c r="P103" s="65">
        <f t="shared" si="64"/>
        <v>13549.930470709991</v>
      </c>
      <c r="Q103" s="65">
        <f t="shared" si="64"/>
        <v>13573.247436057462</v>
      </c>
      <c r="R103" s="65">
        <f t="shared" si="64"/>
        <v>13370.2370611149</v>
      </c>
      <c r="S103" s="65">
        <f t="shared" si="64"/>
        <v>13061.078991607008</v>
      </c>
      <c r="T103" s="65">
        <f t="shared" si="64"/>
        <v>12796.112336410379</v>
      </c>
      <c r="U103" s="65">
        <f t="shared" si="64"/>
        <v>12634.008161212547</v>
      </c>
      <c r="V103" s="65">
        <f t="shared" si="64"/>
        <v>10702.134806025031</v>
      </c>
      <c r="W103" s="65">
        <f t="shared" si="64"/>
        <v>11638.957935289576</v>
      </c>
      <c r="DA103" s="109"/>
    </row>
    <row r="104" spans="1:105" ht="12" customHeight="1" x14ac:dyDescent="0.25">
      <c r="A104" s="66" t="s">
        <v>34</v>
      </c>
      <c r="B104" s="67">
        <f t="shared" si="59"/>
        <v>12051.679606980071</v>
      </c>
      <c r="C104" s="67">
        <f t="shared" ref="C104:W104" si="65">C52*11630*1000/C$8</f>
        <v>12269.287558484946</v>
      </c>
      <c r="D104" s="67">
        <f t="shared" si="65"/>
        <v>13531.279845932846</v>
      </c>
      <c r="E104" s="67">
        <f t="shared" si="65"/>
        <v>14011.376326502084</v>
      </c>
      <c r="F104" s="67">
        <f t="shared" si="65"/>
        <v>14323.347421148481</v>
      </c>
      <c r="G104" s="67">
        <f t="shared" si="65"/>
        <v>14850.147731698693</v>
      </c>
      <c r="H104" s="67">
        <f t="shared" si="65"/>
        <v>14833.707171570421</v>
      </c>
      <c r="I104" s="67">
        <f t="shared" si="65"/>
        <v>14816.669343658743</v>
      </c>
      <c r="J104" s="67">
        <f t="shared" si="65"/>
        <v>15335.417828971615</v>
      </c>
      <c r="K104" s="67">
        <f t="shared" si="65"/>
        <v>15092.553177422325</v>
      </c>
      <c r="L104" s="67">
        <f t="shared" si="65"/>
        <v>14407.405385815982</v>
      </c>
      <c r="M104" s="67">
        <f t="shared" si="65"/>
        <v>14300.295816031668</v>
      </c>
      <c r="N104" s="67">
        <f t="shared" si="65"/>
        <v>14652.530837182225</v>
      </c>
      <c r="O104" s="67">
        <f t="shared" si="65"/>
        <v>13733.249999045513</v>
      </c>
      <c r="P104" s="67">
        <f t="shared" si="65"/>
        <v>14957.927586088468</v>
      </c>
      <c r="Q104" s="67">
        <f t="shared" si="65"/>
        <v>15222.742224811202</v>
      </c>
      <c r="R104" s="67">
        <f t="shared" si="65"/>
        <v>15326.874685798395</v>
      </c>
      <c r="S104" s="67">
        <f t="shared" si="65"/>
        <v>15581.800586891444</v>
      </c>
      <c r="T104" s="67">
        <f t="shared" si="65"/>
        <v>15961.449916226724</v>
      </c>
      <c r="U104" s="67">
        <f t="shared" si="65"/>
        <v>15753.783600921588</v>
      </c>
      <c r="V104" s="67">
        <f t="shared" si="65"/>
        <v>14130.561340886932</v>
      </c>
      <c r="W104" s="67">
        <f t="shared" si="65"/>
        <v>14057.852767755146</v>
      </c>
      <c r="DA104" s="110"/>
    </row>
    <row r="105" spans="1:105" ht="12" customHeight="1" x14ac:dyDescent="0.25">
      <c r="A105" s="78" t="s">
        <v>33</v>
      </c>
      <c r="B105" s="68">
        <f t="shared" si="59"/>
        <v>43707.489474063026</v>
      </c>
      <c r="C105" s="68">
        <f t="shared" ref="C105:W105" si="66">C53*11630*1000/C$8</f>
        <v>44154.971524026332</v>
      </c>
      <c r="D105" s="68">
        <f t="shared" si="66"/>
        <v>44859.665436504612</v>
      </c>
      <c r="E105" s="68">
        <f t="shared" si="66"/>
        <v>45608.546364011767</v>
      </c>
      <c r="F105" s="68">
        <f t="shared" si="66"/>
        <v>46147.073546502666</v>
      </c>
      <c r="G105" s="68">
        <f t="shared" si="66"/>
        <v>46576.778157539455</v>
      </c>
      <c r="H105" s="68">
        <f t="shared" si="66"/>
        <v>46685.792844659212</v>
      </c>
      <c r="I105" s="68">
        <f t="shared" si="66"/>
        <v>46808.142033895499</v>
      </c>
      <c r="J105" s="68">
        <f t="shared" si="66"/>
        <v>47049.439370760432</v>
      </c>
      <c r="K105" s="68">
        <f t="shared" si="66"/>
        <v>47363.397959843569</v>
      </c>
      <c r="L105" s="68">
        <f t="shared" si="66"/>
        <v>47751.123245494055</v>
      </c>
      <c r="M105" s="68">
        <f t="shared" si="66"/>
        <v>48021.880557914839</v>
      </c>
      <c r="N105" s="68">
        <f t="shared" si="66"/>
        <v>48372.442095587052</v>
      </c>
      <c r="O105" s="68">
        <f t="shared" si="66"/>
        <v>48722.437848565198</v>
      </c>
      <c r="P105" s="68">
        <f t="shared" si="66"/>
        <v>49239.898857128435</v>
      </c>
      <c r="Q105" s="68">
        <f t="shared" si="66"/>
        <v>49803.981557879059</v>
      </c>
      <c r="R105" s="68">
        <f t="shared" si="66"/>
        <v>48789.017814780738</v>
      </c>
      <c r="S105" s="68">
        <f t="shared" si="66"/>
        <v>48433.312940265605</v>
      </c>
      <c r="T105" s="68">
        <f t="shared" si="66"/>
        <v>47496.156725673427</v>
      </c>
      <c r="U105" s="68">
        <f t="shared" si="66"/>
        <v>45903.513161769966</v>
      </c>
      <c r="V105" s="68">
        <f t="shared" si="66"/>
        <v>42374.550580467578</v>
      </c>
      <c r="W105" s="68">
        <f t="shared" si="66"/>
        <v>40318.603467852248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38928.479679781012</v>
      </c>
      <c r="C107" s="85">
        <f t="shared" ref="C107:W107" si="68">SUM(C108:C111)</f>
        <v>41368.893509171154</v>
      </c>
      <c r="D107" s="85">
        <f t="shared" si="68"/>
        <v>43268.353018194233</v>
      </c>
      <c r="E107" s="85">
        <f t="shared" si="68"/>
        <v>50180.223775209488</v>
      </c>
      <c r="F107" s="85">
        <f t="shared" si="68"/>
        <v>53962.876429813608</v>
      </c>
      <c r="G107" s="85">
        <f t="shared" si="68"/>
        <v>60353.120994889767</v>
      </c>
      <c r="H107" s="85">
        <f t="shared" si="68"/>
        <v>65009.013615284392</v>
      </c>
      <c r="I107" s="85">
        <f t="shared" si="68"/>
        <v>63377.08908686474</v>
      </c>
      <c r="J107" s="85">
        <f t="shared" si="68"/>
        <v>63750.751269420784</v>
      </c>
      <c r="K107" s="85">
        <f t="shared" si="68"/>
        <v>69806.365750262616</v>
      </c>
      <c r="L107" s="85">
        <f t="shared" si="68"/>
        <v>72806.578764518577</v>
      </c>
      <c r="M107" s="85">
        <f t="shared" si="68"/>
        <v>69889.076607059542</v>
      </c>
      <c r="N107" s="85">
        <f t="shared" si="68"/>
        <v>73999.570361626465</v>
      </c>
      <c r="O107" s="85">
        <f t="shared" si="68"/>
        <v>77338.580883308547</v>
      </c>
      <c r="P107" s="85">
        <f t="shared" si="68"/>
        <v>81412.200678651338</v>
      </c>
      <c r="Q107" s="85">
        <f t="shared" si="68"/>
        <v>85234.498123156911</v>
      </c>
      <c r="R107" s="85">
        <f t="shared" si="68"/>
        <v>87888.478763618361</v>
      </c>
      <c r="S107" s="85">
        <f t="shared" si="68"/>
        <v>88089.746986138402</v>
      </c>
      <c r="T107" s="85">
        <f t="shared" si="68"/>
        <v>89990.709137355778</v>
      </c>
      <c r="U107" s="85">
        <f t="shared" si="68"/>
        <v>87482.778688675375</v>
      </c>
      <c r="V107" s="85">
        <f t="shared" si="68"/>
        <v>87114.798037473127</v>
      </c>
      <c r="W107" s="85">
        <f t="shared" si="68"/>
        <v>84165.275131292641</v>
      </c>
      <c r="DA107" s="117"/>
    </row>
    <row r="108" spans="1:105" ht="12" customHeight="1" x14ac:dyDescent="0.25">
      <c r="A108" s="61" t="s">
        <v>32</v>
      </c>
      <c r="B108" s="65">
        <v>15020.537928327958</v>
      </c>
      <c r="C108" s="65">
        <v>16882.828374542147</v>
      </c>
      <c r="D108" s="65">
        <v>18582.067921743881</v>
      </c>
      <c r="E108" s="65">
        <v>21751.424744380081</v>
      </c>
      <c r="F108" s="65">
        <v>27316.632114248419</v>
      </c>
      <c r="G108" s="65">
        <v>32474.499693478054</v>
      </c>
      <c r="H108" s="65">
        <v>34301.715602153054</v>
      </c>
      <c r="I108" s="65">
        <v>36645.94431882463</v>
      </c>
      <c r="J108" s="65">
        <v>36533.905540921209</v>
      </c>
      <c r="K108" s="65">
        <v>39894.237819840739</v>
      </c>
      <c r="L108" s="65">
        <v>37492.757128586039</v>
      </c>
      <c r="M108" s="65">
        <v>39880.820657105847</v>
      </c>
      <c r="N108" s="65">
        <v>43193.055872534431</v>
      </c>
      <c r="O108" s="65">
        <v>43354.52369722625</v>
      </c>
      <c r="P108" s="65">
        <v>51834.452375201188</v>
      </c>
      <c r="Q108" s="65">
        <v>53312.8655230519</v>
      </c>
      <c r="R108" s="65">
        <v>48840.048291119099</v>
      </c>
      <c r="S108" s="65">
        <v>49397.674756322129</v>
      </c>
      <c r="T108" s="65">
        <v>53654.893602460863</v>
      </c>
      <c r="U108" s="65">
        <v>54576.658811410431</v>
      </c>
      <c r="V108" s="65">
        <v>49843.271817672045</v>
      </c>
      <c r="W108" s="65">
        <v>53156.05039999845</v>
      </c>
      <c r="DA108" s="109"/>
    </row>
    <row r="109" spans="1:105" ht="12" customHeight="1" x14ac:dyDescent="0.25">
      <c r="A109" s="61" t="s">
        <v>31</v>
      </c>
      <c r="B109" s="65">
        <v>8217.3570075596945</v>
      </c>
      <c r="C109" s="65">
        <v>8357.1858847361091</v>
      </c>
      <c r="D109" s="65">
        <v>7740.6099237292447</v>
      </c>
      <c r="E109" s="65">
        <v>11257.36717477865</v>
      </c>
      <c r="F109" s="65">
        <v>9276.7489341893815</v>
      </c>
      <c r="G109" s="65">
        <v>10453.534800324951</v>
      </c>
      <c r="H109" s="65">
        <v>13211.941950301432</v>
      </c>
      <c r="I109" s="65">
        <v>9133.6721074658581</v>
      </c>
      <c r="J109" s="65">
        <v>9331.8766847431634</v>
      </c>
      <c r="K109" s="65">
        <v>11951.760757883883</v>
      </c>
      <c r="L109" s="65">
        <v>17159.690065878931</v>
      </c>
      <c r="M109" s="65">
        <v>11567.446065379609</v>
      </c>
      <c r="N109" s="65">
        <v>12482.087959693359</v>
      </c>
      <c r="O109" s="65">
        <v>16291.289712505017</v>
      </c>
      <c r="P109" s="65">
        <v>11201.347922593182</v>
      </c>
      <c r="Q109" s="65">
        <v>13325.165348842778</v>
      </c>
      <c r="R109" s="65">
        <v>20257.12325980674</v>
      </c>
      <c r="S109" s="65">
        <v>19699.515399463264</v>
      </c>
      <c r="T109" s="65">
        <v>17239.907971594585</v>
      </c>
      <c r="U109" s="65">
        <v>13728.126948956096</v>
      </c>
      <c r="V109" s="65">
        <v>19883.432616295682</v>
      </c>
      <c r="W109" s="65">
        <v>12514.881472293779</v>
      </c>
      <c r="DA109" s="109"/>
    </row>
    <row r="110" spans="1:105" ht="12" customHeight="1" x14ac:dyDescent="0.25">
      <c r="A110" s="61" t="s">
        <v>35</v>
      </c>
      <c r="B110" s="65">
        <v>8145.8093484080464</v>
      </c>
      <c r="C110" s="65">
        <v>8263.2667807874514</v>
      </c>
      <c r="D110" s="65">
        <v>8445.8421319439421</v>
      </c>
      <c r="E110" s="65">
        <v>8392.3214514177653</v>
      </c>
      <c r="F110" s="65">
        <v>8494.6185172508358</v>
      </c>
      <c r="G110" s="65">
        <v>8542.7721305247524</v>
      </c>
      <c r="H110" s="65">
        <v>8462.0451798190716</v>
      </c>
      <c r="I110" s="65">
        <v>8589.7672239395433</v>
      </c>
      <c r="J110" s="65">
        <v>8613.1765455992409</v>
      </c>
      <c r="K110" s="65">
        <v>8765.4778331304042</v>
      </c>
      <c r="L110" s="65">
        <v>8821.9860106727119</v>
      </c>
      <c r="M110" s="65">
        <v>9174.944145343241</v>
      </c>
      <c r="N110" s="65">
        <v>9062.7875723342859</v>
      </c>
      <c r="O110" s="65">
        <v>9063.4172336148058</v>
      </c>
      <c r="P110" s="65">
        <v>9162.5369309365087</v>
      </c>
      <c r="Q110" s="65">
        <v>9286.5479407832736</v>
      </c>
      <c r="R110" s="65">
        <v>9287.6098942996505</v>
      </c>
      <c r="S110" s="65">
        <v>9253.430809527641</v>
      </c>
      <c r="T110" s="65">
        <v>9263.0329852011255</v>
      </c>
      <c r="U110" s="65">
        <v>9339.3231408074607</v>
      </c>
      <c r="V110" s="65">
        <v>8115.835581777962</v>
      </c>
      <c r="W110" s="65">
        <v>9005.0230041538689</v>
      </c>
      <c r="DA110" s="109"/>
    </row>
    <row r="111" spans="1:105" ht="12" customHeight="1" x14ac:dyDescent="0.25">
      <c r="A111" s="74" t="s">
        <v>34</v>
      </c>
      <c r="B111" s="68">
        <v>7544.7753954853142</v>
      </c>
      <c r="C111" s="68">
        <v>7865.6124691054411</v>
      </c>
      <c r="D111" s="68">
        <v>8499.8330407771664</v>
      </c>
      <c r="E111" s="68">
        <v>8779.1104046329929</v>
      </c>
      <c r="F111" s="68">
        <v>8874.8768641249681</v>
      </c>
      <c r="G111" s="68">
        <v>8882.3143705620096</v>
      </c>
      <c r="H111" s="68">
        <v>9033.3108830108322</v>
      </c>
      <c r="I111" s="68">
        <v>9007.7054366347111</v>
      </c>
      <c r="J111" s="68">
        <v>9271.7924981571741</v>
      </c>
      <c r="K111" s="68">
        <v>9194.8893394075894</v>
      </c>
      <c r="L111" s="68">
        <v>9332.145559380886</v>
      </c>
      <c r="M111" s="68">
        <v>9265.8657392308505</v>
      </c>
      <c r="N111" s="68">
        <v>9261.6389570643823</v>
      </c>
      <c r="O111" s="68">
        <v>8629.350239962474</v>
      </c>
      <c r="P111" s="68">
        <v>9213.8634499204582</v>
      </c>
      <c r="Q111" s="68">
        <v>9309.9193104789592</v>
      </c>
      <c r="R111" s="68">
        <v>9503.6973183928712</v>
      </c>
      <c r="S111" s="68">
        <v>9739.1260208253789</v>
      </c>
      <c r="T111" s="68">
        <v>9832.8745780991976</v>
      </c>
      <c r="U111" s="68">
        <v>9838.6697875013706</v>
      </c>
      <c r="V111" s="68">
        <v>9272.2580217274408</v>
      </c>
      <c r="W111" s="68">
        <v>9489.320254846527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8161.7144635352543</v>
      </c>
      <c r="C113" s="82">
        <f t="shared" ref="C113:W113" si="70">C81*1000000/C$8</f>
        <v>8683.7061178557706</v>
      </c>
      <c r="D113" s="82">
        <f t="shared" si="70"/>
        <v>9259.1080546029752</v>
      </c>
      <c r="E113" s="82">
        <f t="shared" si="70"/>
        <v>9626.8456411829611</v>
      </c>
      <c r="F113" s="82">
        <f t="shared" si="70"/>
        <v>11557.203048603804</v>
      </c>
      <c r="G113" s="82">
        <f t="shared" si="70"/>
        <v>12737.565382282944</v>
      </c>
      <c r="H113" s="82">
        <f t="shared" si="70"/>
        <v>11842.556021587357</v>
      </c>
      <c r="I113" s="82">
        <f t="shared" si="70"/>
        <v>10767.576400467597</v>
      </c>
      <c r="J113" s="82">
        <f t="shared" si="70"/>
        <v>8811.3285423823545</v>
      </c>
      <c r="K113" s="82">
        <f t="shared" si="70"/>
        <v>9973.2885631425506</v>
      </c>
      <c r="L113" s="82">
        <f t="shared" si="70"/>
        <v>6771.6615090045761</v>
      </c>
      <c r="M113" s="82">
        <f t="shared" si="70"/>
        <v>6025.4442646705811</v>
      </c>
      <c r="N113" s="82">
        <f t="shared" si="70"/>
        <v>5295.7175118616888</v>
      </c>
      <c r="O113" s="82">
        <f t="shared" si="70"/>
        <v>5165.835921036577</v>
      </c>
      <c r="P113" s="82">
        <f t="shared" si="70"/>
        <v>5369.2280618364812</v>
      </c>
      <c r="Q113" s="82">
        <f t="shared" si="70"/>
        <v>5849.5566399815343</v>
      </c>
      <c r="R113" s="82">
        <f t="shared" si="70"/>
        <v>5569.4901934139507</v>
      </c>
      <c r="S113" s="82">
        <f t="shared" si="70"/>
        <v>5478.1233182991555</v>
      </c>
      <c r="T113" s="82">
        <f t="shared" si="70"/>
        <v>5867.9070995843585</v>
      </c>
      <c r="U113" s="82">
        <f t="shared" si="70"/>
        <v>5698.5316529691809</v>
      </c>
      <c r="V113" s="82">
        <f t="shared" si="70"/>
        <v>4464.6990469612301</v>
      </c>
      <c r="W113" s="82">
        <f t="shared" si="70"/>
        <v>4730.9102668131118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8161.7144635352543</v>
      </c>
      <c r="C114" s="64">
        <f t="shared" ref="C114:W114" si="72">C82*1000000/C$8</f>
        <v>8683.7061178557706</v>
      </c>
      <c r="D114" s="64">
        <f t="shared" si="72"/>
        <v>9259.1080546029752</v>
      </c>
      <c r="E114" s="64">
        <f t="shared" si="72"/>
        <v>9626.8456411829611</v>
      </c>
      <c r="F114" s="64">
        <f t="shared" si="72"/>
        <v>11557.203048603804</v>
      </c>
      <c r="G114" s="64">
        <f t="shared" si="72"/>
        <v>12737.565382282944</v>
      </c>
      <c r="H114" s="64">
        <f t="shared" si="72"/>
        <v>11842.556021587357</v>
      </c>
      <c r="I114" s="64">
        <f t="shared" si="72"/>
        <v>10767.576400467597</v>
      </c>
      <c r="J114" s="64">
        <f t="shared" si="72"/>
        <v>8811.3285423823545</v>
      </c>
      <c r="K114" s="64">
        <f t="shared" si="72"/>
        <v>9973.2885631425506</v>
      </c>
      <c r="L114" s="64">
        <f t="shared" si="72"/>
        <v>6771.6615090045761</v>
      </c>
      <c r="M114" s="64">
        <f t="shared" si="72"/>
        <v>6025.4442646705811</v>
      </c>
      <c r="N114" s="64">
        <f t="shared" si="72"/>
        <v>5295.7175118616888</v>
      </c>
      <c r="O114" s="64">
        <f t="shared" si="72"/>
        <v>5165.835921036577</v>
      </c>
      <c r="P114" s="64">
        <f t="shared" si="72"/>
        <v>5369.2280618364812</v>
      </c>
      <c r="Q114" s="64">
        <f t="shared" si="72"/>
        <v>5849.5566399815343</v>
      </c>
      <c r="R114" s="64">
        <f t="shared" si="72"/>
        <v>5569.4901934139507</v>
      </c>
      <c r="S114" s="64">
        <f t="shared" si="72"/>
        <v>5478.1233182991555</v>
      </c>
      <c r="T114" s="64">
        <f t="shared" si="72"/>
        <v>5867.9070995843585</v>
      </c>
      <c r="U114" s="64">
        <f t="shared" si="72"/>
        <v>5698.5316529691809</v>
      </c>
      <c r="V114" s="64">
        <f t="shared" si="72"/>
        <v>4464.6990469612301</v>
      </c>
      <c r="W114" s="64">
        <f t="shared" si="72"/>
        <v>4730.9102668131118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5502.3631923459598</v>
      </c>
      <c r="C115" s="65">
        <f t="shared" ref="C115:W115" si="74">C83*1000000/C$8</f>
        <v>6345.8047180623917</v>
      </c>
      <c r="D115" s="65">
        <f t="shared" si="74"/>
        <v>6685.2717688091607</v>
      </c>
      <c r="E115" s="65">
        <f t="shared" si="74"/>
        <v>7026.3885450508751</v>
      </c>
      <c r="F115" s="65">
        <f t="shared" si="74"/>
        <v>8821.1916403315645</v>
      </c>
      <c r="G115" s="65">
        <f t="shared" si="74"/>
        <v>9512.3292002265061</v>
      </c>
      <c r="H115" s="65">
        <f t="shared" si="74"/>
        <v>8840.2462387431879</v>
      </c>
      <c r="I115" s="65">
        <f t="shared" si="74"/>
        <v>7732.2886242602099</v>
      </c>
      <c r="J115" s="65">
        <f t="shared" si="74"/>
        <v>5634.2594527241345</v>
      </c>
      <c r="K115" s="65">
        <f t="shared" si="74"/>
        <v>6896.7093917319498</v>
      </c>
      <c r="L115" s="65">
        <f t="shared" si="74"/>
        <v>4449.8426222142743</v>
      </c>
      <c r="M115" s="65">
        <f t="shared" si="74"/>
        <v>3681.2951589002068</v>
      </c>
      <c r="N115" s="65">
        <f t="shared" si="74"/>
        <v>3005.5529156932316</v>
      </c>
      <c r="O115" s="65">
        <f t="shared" si="74"/>
        <v>2732.6495020206517</v>
      </c>
      <c r="P115" s="65">
        <f t="shared" si="74"/>
        <v>2560.0287134794835</v>
      </c>
      <c r="Q115" s="65">
        <f t="shared" si="74"/>
        <v>2889.0075292717238</v>
      </c>
      <c r="R115" s="65">
        <f t="shared" si="74"/>
        <v>2636.2635434469489</v>
      </c>
      <c r="S115" s="65">
        <f t="shared" si="74"/>
        <v>2511.5883271918487</v>
      </c>
      <c r="T115" s="65">
        <f t="shared" si="74"/>
        <v>2580.9662238407027</v>
      </c>
      <c r="U115" s="65">
        <f t="shared" si="74"/>
        <v>2450.810854966554</v>
      </c>
      <c r="V115" s="65">
        <f t="shared" si="74"/>
        <v>1814.085079956971</v>
      </c>
      <c r="W115" s="65">
        <f t="shared" si="74"/>
        <v>2183.3066960369179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3.3344557937154882</v>
      </c>
      <c r="C116" s="65">
        <f t="shared" ref="C116:W116" si="76">C84*1000000/C$8</f>
        <v>3.4621617922410683</v>
      </c>
      <c r="D116" s="65">
        <f t="shared" si="76"/>
        <v>2.9205308434905151</v>
      </c>
      <c r="E116" s="65">
        <f t="shared" si="76"/>
        <v>3.8772016296485878</v>
      </c>
      <c r="F116" s="65">
        <f t="shared" si="76"/>
        <v>3.6214856068036183</v>
      </c>
      <c r="G116" s="65">
        <f t="shared" si="76"/>
        <v>4.0913508571650929</v>
      </c>
      <c r="H116" s="65">
        <f t="shared" si="76"/>
        <v>5.3460165191865086</v>
      </c>
      <c r="I116" s="65">
        <f t="shared" si="76"/>
        <v>4.5883975509209627</v>
      </c>
      <c r="J116" s="65">
        <f t="shared" si="76"/>
        <v>5.3147645528289393</v>
      </c>
      <c r="K116" s="65">
        <f t="shared" si="76"/>
        <v>8.139074035509104</v>
      </c>
      <c r="L116" s="65">
        <f t="shared" si="76"/>
        <v>11.922368989774892</v>
      </c>
      <c r="M116" s="65">
        <f t="shared" si="76"/>
        <v>9.2016936075953311</v>
      </c>
      <c r="N116" s="65">
        <f t="shared" si="76"/>
        <v>10.466900538169217</v>
      </c>
      <c r="O116" s="65">
        <f t="shared" si="76"/>
        <v>15.337905096377414</v>
      </c>
      <c r="P116" s="65">
        <f t="shared" si="76"/>
        <v>11.676124652707211</v>
      </c>
      <c r="Q116" s="65">
        <f t="shared" si="76"/>
        <v>16.067914518591795</v>
      </c>
      <c r="R116" s="65">
        <f t="shared" si="76"/>
        <v>29.133503679034483</v>
      </c>
      <c r="S116" s="65">
        <f t="shared" si="76"/>
        <v>31.225279788484787</v>
      </c>
      <c r="T116" s="65">
        <f t="shared" si="76"/>
        <v>29.619273127486395</v>
      </c>
      <c r="U116" s="65">
        <f t="shared" si="76"/>
        <v>26.0798275297958</v>
      </c>
      <c r="V116" s="65">
        <f t="shared" si="76"/>
        <v>37.332459928038411</v>
      </c>
      <c r="W116" s="65">
        <f t="shared" si="76"/>
        <v>24.592021537080143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1753.9480172162807</v>
      </c>
      <c r="C117" s="65">
        <f t="shared" ref="C117:W117" si="78">C85*1000000/C$8</f>
        <v>1638.9036188331183</v>
      </c>
      <c r="D117" s="65">
        <f t="shared" si="78"/>
        <v>1534.9616921603047</v>
      </c>
      <c r="E117" s="65">
        <f t="shared" si="78"/>
        <v>1467.3233096780109</v>
      </c>
      <c r="F117" s="65">
        <f t="shared" si="78"/>
        <v>1413.4913630724957</v>
      </c>
      <c r="G117" s="65">
        <f t="shared" si="78"/>
        <v>1376.036893815894</v>
      </c>
      <c r="H117" s="65">
        <f t="shared" si="78"/>
        <v>1341.6044820425629</v>
      </c>
      <c r="I117" s="65">
        <f t="shared" si="78"/>
        <v>1314.4371541575481</v>
      </c>
      <c r="J117" s="65">
        <f t="shared" si="78"/>
        <v>1277.9638437023607</v>
      </c>
      <c r="K117" s="65">
        <f t="shared" si="78"/>
        <v>1252.4168592868564</v>
      </c>
      <c r="L117" s="65">
        <f t="shared" si="78"/>
        <v>1263.8468926501325</v>
      </c>
      <c r="M117" s="65">
        <f t="shared" si="78"/>
        <v>1285.0926645857014</v>
      </c>
      <c r="N117" s="65">
        <f t="shared" si="78"/>
        <v>1286.3005346971813</v>
      </c>
      <c r="O117" s="65">
        <f t="shared" si="78"/>
        <v>1282.2207081471315</v>
      </c>
      <c r="P117" s="65">
        <f t="shared" si="78"/>
        <v>1278.0559508291919</v>
      </c>
      <c r="Q117" s="65">
        <f t="shared" si="78"/>
        <v>1284.1381434928203</v>
      </c>
      <c r="R117" s="65">
        <f t="shared" si="78"/>
        <v>1297.4484874504399</v>
      </c>
      <c r="S117" s="65">
        <f t="shared" si="78"/>
        <v>1318.6276882357668</v>
      </c>
      <c r="T117" s="65">
        <f t="shared" si="78"/>
        <v>1324.5607009514979</v>
      </c>
      <c r="U117" s="65">
        <f t="shared" si="78"/>
        <v>1326.3309405103885</v>
      </c>
      <c r="V117" s="65">
        <f t="shared" si="78"/>
        <v>1178.7505124019985</v>
      </c>
      <c r="W117" s="65">
        <f t="shared" si="78"/>
        <v>1246.7737751852228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902.06879817929803</v>
      </c>
      <c r="C118" s="67">
        <f t="shared" ref="C118:W118" si="80">C86*1000000/C$8</f>
        <v>695.53561916801857</v>
      </c>
      <c r="D118" s="67">
        <f t="shared" si="80"/>
        <v>1035.9540627900169</v>
      </c>
      <c r="E118" s="67">
        <f t="shared" si="80"/>
        <v>1129.2565848244265</v>
      </c>
      <c r="F118" s="67">
        <f t="shared" si="80"/>
        <v>1318.8985595929394</v>
      </c>
      <c r="G118" s="67">
        <f t="shared" si="80"/>
        <v>1845.1079373833768</v>
      </c>
      <c r="H118" s="67">
        <f t="shared" si="80"/>
        <v>1655.3592842824191</v>
      </c>
      <c r="I118" s="67">
        <f t="shared" si="80"/>
        <v>1716.2622244989166</v>
      </c>
      <c r="J118" s="67">
        <f t="shared" si="80"/>
        <v>1893.7904814030303</v>
      </c>
      <c r="K118" s="67">
        <f t="shared" si="80"/>
        <v>1816.0232380882353</v>
      </c>
      <c r="L118" s="67">
        <f t="shared" si="80"/>
        <v>1046.049625150393</v>
      </c>
      <c r="M118" s="67">
        <f t="shared" si="80"/>
        <v>1049.8547475770779</v>
      </c>
      <c r="N118" s="67">
        <f t="shared" si="80"/>
        <v>993.39716093310585</v>
      </c>
      <c r="O118" s="67">
        <f t="shared" si="80"/>
        <v>1135.6278057724167</v>
      </c>
      <c r="P118" s="67">
        <f t="shared" si="80"/>
        <v>1519.4672728750984</v>
      </c>
      <c r="Q118" s="67">
        <f t="shared" si="80"/>
        <v>1660.3430526983984</v>
      </c>
      <c r="R118" s="67">
        <f t="shared" si="80"/>
        <v>1606.6446588375272</v>
      </c>
      <c r="S118" s="67">
        <f t="shared" si="80"/>
        <v>1616.6820230830542</v>
      </c>
      <c r="T118" s="67">
        <f t="shared" si="80"/>
        <v>1932.7609016646709</v>
      </c>
      <c r="U118" s="67">
        <f t="shared" si="80"/>
        <v>1895.3100299624441</v>
      </c>
      <c r="V118" s="67">
        <f t="shared" si="80"/>
        <v>1434.5309946742225</v>
      </c>
      <c r="W118" s="67">
        <f t="shared" si="80"/>
        <v>1276.2377740538911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0.64644233948908936</v>
      </c>
      <c r="C121" s="86">
        <f t="shared" ref="C121:W121" si="84">IF(C107=0,"",C107/C100)</f>
        <v>0.64936211396659338</v>
      </c>
      <c r="D121" s="86">
        <f t="shared" si="84"/>
        <v>0.64624513801605943</v>
      </c>
      <c r="E121" s="86">
        <f t="shared" si="84"/>
        <v>0.69783428928436153</v>
      </c>
      <c r="F121" s="86">
        <f t="shared" si="84"/>
        <v>0.66984473597646044</v>
      </c>
      <c r="G121" s="86">
        <f t="shared" si="84"/>
        <v>0.69444575071536985</v>
      </c>
      <c r="H121" s="86">
        <f t="shared" si="84"/>
        <v>0.75297383409636387</v>
      </c>
      <c r="I121" s="86">
        <f t="shared" si="84"/>
        <v>0.76110404144420007</v>
      </c>
      <c r="J121" s="86">
        <f t="shared" si="84"/>
        <v>0.83864476719389569</v>
      </c>
      <c r="K121" s="86">
        <f t="shared" si="84"/>
        <v>0.86080885208159241</v>
      </c>
      <c r="L121" s="86">
        <f t="shared" si="84"/>
        <v>1.0348093188115524</v>
      </c>
      <c r="M121" s="86">
        <f t="shared" si="84"/>
        <v>1.0321860244106404</v>
      </c>
      <c r="N121" s="86">
        <f t="shared" si="84"/>
        <v>1.119428096716953</v>
      </c>
      <c r="O121" s="86">
        <f t="shared" si="84"/>
        <v>1.2395342873812649</v>
      </c>
      <c r="P121" s="86">
        <f t="shared" si="84"/>
        <v>1.2003697311959456</v>
      </c>
      <c r="Q121" s="86">
        <f t="shared" si="84"/>
        <v>1.2003893643382635</v>
      </c>
      <c r="R121" s="86">
        <f t="shared" si="84"/>
        <v>1.3226266523937251</v>
      </c>
      <c r="S121" s="86">
        <f t="shared" si="84"/>
        <v>1.3409900640470425</v>
      </c>
      <c r="T121" s="86">
        <f t="shared" si="84"/>
        <v>1.2962410309408534</v>
      </c>
      <c r="U121" s="86">
        <f t="shared" si="84"/>
        <v>1.2959170421019255</v>
      </c>
      <c r="V121" s="86">
        <f t="shared" si="84"/>
        <v>1.5204740348116732</v>
      </c>
      <c r="W121" s="86">
        <f t="shared" si="84"/>
        <v>1.4281399329169209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0.51398484619548335</v>
      </c>
      <c r="C122" s="75">
        <f t="shared" ref="C122:W122" si="86">IF(C108=0,"",C108/C101)</f>
        <v>0.51839092614349913</v>
      </c>
      <c r="D122" s="75">
        <f t="shared" si="86"/>
        <v>0.53239310096356196</v>
      </c>
      <c r="E122" s="75">
        <f t="shared" si="86"/>
        <v>0.57295927037557592</v>
      </c>
      <c r="F122" s="75">
        <f t="shared" si="86"/>
        <v>0.57603668827365417</v>
      </c>
      <c r="G122" s="75">
        <f t="shared" si="86"/>
        <v>0.61343836234348692</v>
      </c>
      <c r="H122" s="75">
        <f t="shared" si="86"/>
        <v>0.66384688559764193</v>
      </c>
      <c r="I122" s="75">
        <f t="shared" si="86"/>
        <v>0.724920512734193</v>
      </c>
      <c r="J122" s="75">
        <f t="shared" si="86"/>
        <v>0.84888281174331193</v>
      </c>
      <c r="K122" s="75">
        <f t="shared" si="86"/>
        <v>0.8427339137065406</v>
      </c>
      <c r="L122" s="75">
        <f t="shared" si="86"/>
        <v>1.0529759753559311</v>
      </c>
      <c r="M122" s="75">
        <f t="shared" si="86"/>
        <v>1.1398647504531136</v>
      </c>
      <c r="N122" s="75">
        <f t="shared" si="86"/>
        <v>1.2990263916300955</v>
      </c>
      <c r="O122" s="75">
        <f t="shared" si="86"/>
        <v>1.4697904090078866</v>
      </c>
      <c r="P122" s="75">
        <f t="shared" si="86"/>
        <v>1.4574844140767305</v>
      </c>
      <c r="Q122" s="75">
        <f t="shared" si="86"/>
        <v>1.4066361256587467</v>
      </c>
      <c r="R122" s="75">
        <f t="shared" si="86"/>
        <v>1.55383482610821</v>
      </c>
      <c r="S122" s="75">
        <f t="shared" si="86"/>
        <v>1.5875964515823193</v>
      </c>
      <c r="T122" s="75">
        <f t="shared" si="86"/>
        <v>1.5059737464503347</v>
      </c>
      <c r="U122" s="75">
        <f t="shared" si="86"/>
        <v>1.5506043853646252</v>
      </c>
      <c r="V122" s="75">
        <f t="shared" si="86"/>
        <v>1.8524935177336053</v>
      </c>
      <c r="W122" s="75">
        <f t="shared" si="86"/>
        <v>1.7831312787757057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1.7620521171915891</v>
      </c>
      <c r="C123" s="76">
        <f t="shared" ref="C123:W123" si="88">IF(C109=0,"",C109/C102)</f>
        <v>1.8326588631596421</v>
      </c>
      <c r="D123" s="76">
        <f t="shared" si="88"/>
        <v>1.9066522201653278</v>
      </c>
      <c r="E123" s="76">
        <f t="shared" si="88"/>
        <v>1.9822605953623773</v>
      </c>
      <c r="F123" s="76">
        <f t="shared" si="88"/>
        <v>2.0569140549296621</v>
      </c>
      <c r="G123" s="76">
        <f t="shared" si="88"/>
        <v>2.1573331873415968</v>
      </c>
      <c r="H123" s="76">
        <f t="shared" si="88"/>
        <v>2.2792252521933558</v>
      </c>
      <c r="I123" s="76">
        <f t="shared" si="88"/>
        <v>2.4170212539487466</v>
      </c>
      <c r="J123" s="76">
        <f t="shared" si="88"/>
        <v>2.5651011223959661</v>
      </c>
      <c r="K123" s="76">
        <f t="shared" si="88"/>
        <v>2.6054762506453768</v>
      </c>
      <c r="L123" s="76">
        <f t="shared" si="88"/>
        <v>2.6632501354184921</v>
      </c>
      <c r="M123" s="76">
        <f t="shared" si="88"/>
        <v>2.7388861519133738</v>
      </c>
      <c r="N123" s="76">
        <f t="shared" si="88"/>
        <v>2.8168915450502787</v>
      </c>
      <c r="O123" s="76">
        <f t="shared" si="88"/>
        <v>2.8930825929607082</v>
      </c>
      <c r="P123" s="76">
        <f t="shared" si="88"/>
        <v>2.9866926545227059</v>
      </c>
      <c r="Q123" s="76">
        <f t="shared" si="88"/>
        <v>3.0925788309037303</v>
      </c>
      <c r="R123" s="76">
        <f t="shared" si="88"/>
        <v>3.2047857755578879</v>
      </c>
      <c r="S123" s="76">
        <f t="shared" si="88"/>
        <v>3.320639015127083</v>
      </c>
      <c r="T123" s="76">
        <f t="shared" si="88"/>
        <v>3.4214576026426071</v>
      </c>
      <c r="U123" s="76">
        <f t="shared" si="88"/>
        <v>3.5005996977521301</v>
      </c>
      <c r="V123" s="76">
        <f t="shared" si="88"/>
        <v>3.5788868218339407</v>
      </c>
      <c r="W123" s="76">
        <f t="shared" si="88"/>
        <v>3.6527280107333544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0.57040778476577347</v>
      </c>
      <c r="C124" s="76">
        <f t="shared" ref="C124:W124" si="90">IF(C110=0,"",C110/C103)</f>
        <v>0.57745562700810182</v>
      </c>
      <c r="D124" s="76">
        <f t="shared" si="90"/>
        <v>0.58410382605313338</v>
      </c>
      <c r="E124" s="76">
        <f t="shared" si="90"/>
        <v>0.58873742994975553</v>
      </c>
      <c r="F124" s="76">
        <f t="shared" si="90"/>
        <v>0.5938130172031364</v>
      </c>
      <c r="G124" s="76">
        <f t="shared" si="90"/>
        <v>0.59848008782433904</v>
      </c>
      <c r="H124" s="76">
        <f t="shared" si="90"/>
        <v>0.60293144946566535</v>
      </c>
      <c r="I124" s="76">
        <f t="shared" si="90"/>
        <v>0.6082239905348501</v>
      </c>
      <c r="J124" s="76">
        <f t="shared" si="90"/>
        <v>0.61499276300754335</v>
      </c>
      <c r="K124" s="76">
        <f t="shared" si="90"/>
        <v>0.62276347375004215</v>
      </c>
      <c r="L124" s="76">
        <f t="shared" si="90"/>
        <v>0.63465384125833868</v>
      </c>
      <c r="M124" s="76">
        <f t="shared" si="90"/>
        <v>0.64618047808321488</v>
      </c>
      <c r="N124" s="76">
        <f t="shared" si="90"/>
        <v>0.65811710472133544</v>
      </c>
      <c r="O124" s="76">
        <f t="shared" si="90"/>
        <v>0.66978604441150613</v>
      </c>
      <c r="P124" s="76">
        <f t="shared" si="90"/>
        <v>0.67620545734478654</v>
      </c>
      <c r="Q124" s="76">
        <f t="shared" si="90"/>
        <v>0.68418025859555687</v>
      </c>
      <c r="R124" s="76">
        <f t="shared" si="90"/>
        <v>0.69464810921798181</v>
      </c>
      <c r="S124" s="76">
        <f t="shared" si="90"/>
        <v>0.70847368854241333</v>
      </c>
      <c r="T124" s="76">
        <f t="shared" si="90"/>
        <v>0.72389431584184039</v>
      </c>
      <c r="U124" s="76">
        <f t="shared" si="90"/>
        <v>0.73922092036317955</v>
      </c>
      <c r="V124" s="76">
        <f t="shared" si="90"/>
        <v>0.75833800721786382</v>
      </c>
      <c r="W124" s="76">
        <f t="shared" si="90"/>
        <v>0.77369667063152114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0.62603517862485691</v>
      </c>
      <c r="C125" s="56">
        <f t="shared" ref="C125:W125" si="92">IF(C111=0,"",C111/C104)</f>
        <v>0.6410814345667446</v>
      </c>
      <c r="D125" s="56">
        <f t="shared" si="92"/>
        <v>0.62816179530364213</v>
      </c>
      <c r="E125" s="56">
        <f t="shared" si="92"/>
        <v>0.62657016698834767</v>
      </c>
      <c r="F125" s="56">
        <f t="shared" si="92"/>
        <v>0.61960913208187463</v>
      </c>
      <c r="G125" s="56">
        <f t="shared" si="92"/>
        <v>0.59812969749803091</v>
      </c>
      <c r="H125" s="56">
        <f t="shared" si="92"/>
        <v>0.60897190287830727</v>
      </c>
      <c r="I125" s="56">
        <f t="shared" si="92"/>
        <v>0.60794401411744003</v>
      </c>
      <c r="J125" s="56">
        <f t="shared" si="92"/>
        <v>0.60459992688565278</v>
      </c>
      <c r="K125" s="56">
        <f t="shared" si="92"/>
        <v>0.60923352273905951</v>
      </c>
      <c r="L125" s="56">
        <f t="shared" si="92"/>
        <v>0.64773255901915106</v>
      </c>
      <c r="M125" s="56">
        <f t="shared" si="92"/>
        <v>0.64794923534680615</v>
      </c>
      <c r="N125" s="56">
        <f t="shared" si="92"/>
        <v>0.63208459070852596</v>
      </c>
      <c r="O125" s="56">
        <f t="shared" si="92"/>
        <v>0.62835455850306599</v>
      </c>
      <c r="P125" s="56">
        <f t="shared" si="92"/>
        <v>0.61598529588348572</v>
      </c>
      <c r="Q125" s="56">
        <f t="shared" si="92"/>
        <v>0.6115796466227309</v>
      </c>
      <c r="R125" s="56">
        <f t="shared" si="92"/>
        <v>0.62006752930516396</v>
      </c>
      <c r="S125" s="56">
        <f t="shared" si="92"/>
        <v>0.62503213069089381</v>
      </c>
      <c r="T125" s="56">
        <f t="shared" si="92"/>
        <v>0.61603893316126024</v>
      </c>
      <c r="U125" s="56">
        <f t="shared" si="92"/>
        <v>0.62452741745962626</v>
      </c>
      <c r="V125" s="56">
        <f t="shared" si="92"/>
        <v>0.65618469061792062</v>
      </c>
      <c r="W125" s="56">
        <f t="shared" si="92"/>
        <v>0.67501918049763765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115.47451046821817</v>
      </c>
      <c r="C129" s="82">
        <f t="shared" ref="C129:W129" si="94">IF(C99=0,0,C99/C$26)</f>
        <v>119.84660305463832</v>
      </c>
      <c r="D129" s="82">
        <f t="shared" si="94"/>
        <v>124.23681467134388</v>
      </c>
      <c r="E129" s="82">
        <f t="shared" si="94"/>
        <v>130.57450676201239</v>
      </c>
      <c r="F129" s="82">
        <f t="shared" si="94"/>
        <v>140.7859433142157</v>
      </c>
      <c r="G129" s="82">
        <f t="shared" si="94"/>
        <v>148.316787681102</v>
      </c>
      <c r="H129" s="82">
        <f t="shared" si="94"/>
        <v>147.80238261172579</v>
      </c>
      <c r="I129" s="82">
        <f t="shared" si="94"/>
        <v>144.53120404391316</v>
      </c>
      <c r="J129" s="82">
        <f t="shared" si="94"/>
        <v>136.739815148368</v>
      </c>
      <c r="K129" s="82">
        <f t="shared" si="94"/>
        <v>142.73035530783173</v>
      </c>
      <c r="L129" s="82">
        <f t="shared" si="94"/>
        <v>131.23178440367769</v>
      </c>
      <c r="M129" s="82">
        <f t="shared" si="94"/>
        <v>128.59072100891015</v>
      </c>
      <c r="N129" s="82">
        <f t="shared" si="94"/>
        <v>127.19693557617568</v>
      </c>
      <c r="O129" s="82">
        <f t="shared" si="94"/>
        <v>123.46188274414145</v>
      </c>
      <c r="P129" s="82">
        <f t="shared" si="94"/>
        <v>130.06944738406906</v>
      </c>
      <c r="Q129" s="82">
        <f t="shared" si="94"/>
        <v>134.23298972373954</v>
      </c>
      <c r="R129" s="82">
        <f t="shared" si="94"/>
        <v>128.04330080072879</v>
      </c>
      <c r="S129" s="82">
        <f t="shared" si="94"/>
        <v>126.80377192194631</v>
      </c>
      <c r="T129" s="82">
        <f t="shared" si="94"/>
        <v>129.91168967254836</v>
      </c>
      <c r="U129" s="82">
        <f t="shared" si="94"/>
        <v>126.0110870548591</v>
      </c>
      <c r="V129" s="82">
        <f t="shared" si="94"/>
        <v>110.74338840113282</v>
      </c>
      <c r="W129" s="82">
        <f t="shared" si="94"/>
        <v>110.28010749126007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66.910633274814813</v>
      </c>
      <c r="C130" s="64">
        <f t="shared" ref="C130:W130" si="96">IF(C100=0,0,C100/C$26)</f>
        <v>70.785523583497962</v>
      </c>
      <c r="D130" s="64">
        <f t="shared" si="96"/>
        <v>74.392741964116539</v>
      </c>
      <c r="E130" s="64">
        <f t="shared" si="96"/>
        <v>79.898344135332678</v>
      </c>
      <c r="F130" s="64">
        <f t="shared" si="96"/>
        <v>89.511417151434983</v>
      </c>
      <c r="G130" s="64">
        <f t="shared" si="96"/>
        <v>96.564811950502587</v>
      </c>
      <c r="H130" s="64">
        <f t="shared" si="96"/>
        <v>95.929279450993349</v>
      </c>
      <c r="I130" s="64">
        <f t="shared" si="96"/>
        <v>92.522157339584822</v>
      </c>
      <c r="J130" s="64">
        <f t="shared" si="96"/>
        <v>84.462660291967524</v>
      </c>
      <c r="K130" s="64">
        <f t="shared" si="96"/>
        <v>90.104357574672207</v>
      </c>
      <c r="L130" s="64">
        <f t="shared" si="96"/>
        <v>78.17498079757317</v>
      </c>
      <c r="M130" s="64">
        <f t="shared" si="96"/>
        <v>75.233075944560312</v>
      </c>
      <c r="N130" s="64">
        <f t="shared" si="96"/>
        <v>73.449777692190068</v>
      </c>
      <c r="O130" s="64">
        <f t="shared" si="96"/>
        <v>69.325840690180101</v>
      </c>
      <c r="P130" s="64">
        <f t="shared" si="96"/>
        <v>75.358448653926345</v>
      </c>
      <c r="Q130" s="64">
        <f t="shared" si="96"/>
        <v>78.89523243720727</v>
      </c>
      <c r="R130" s="64">
        <f t="shared" si="96"/>
        <v>73.833281006527955</v>
      </c>
      <c r="S130" s="64">
        <f t="shared" si="96"/>
        <v>72.988979766095639</v>
      </c>
      <c r="T130" s="64">
        <f t="shared" si="96"/>
        <v>77.138182199577869</v>
      </c>
      <c r="U130" s="64">
        <f t="shared" si="96"/>
        <v>75.007183541781373</v>
      </c>
      <c r="V130" s="64">
        <f t="shared" si="96"/>
        <v>63.66055442283551</v>
      </c>
      <c r="W130" s="64">
        <f t="shared" si="96"/>
        <v>65.481659193646465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32.470775569682004</v>
      </c>
      <c r="C131" s="65">
        <f t="shared" ref="C131:W131" si="98">IF(C101=0,0,C101/C$26)</f>
        <v>36.18639379645122</v>
      </c>
      <c r="D131" s="65">
        <f t="shared" si="98"/>
        <v>38.781009930262194</v>
      </c>
      <c r="E131" s="65">
        <f t="shared" si="98"/>
        <v>42.181444590530027</v>
      </c>
      <c r="F131" s="65">
        <f t="shared" si="98"/>
        <v>52.690764456754479</v>
      </c>
      <c r="G131" s="65">
        <f t="shared" si="98"/>
        <v>58.82054278339011</v>
      </c>
      <c r="H131" s="65">
        <f t="shared" si="98"/>
        <v>57.412361438456671</v>
      </c>
      <c r="I131" s="65">
        <f t="shared" si="98"/>
        <v>56.168524954866513</v>
      </c>
      <c r="J131" s="65">
        <f t="shared" si="98"/>
        <v>47.819590427843487</v>
      </c>
      <c r="K131" s="65">
        <f t="shared" si="98"/>
        <v>52.598964145128512</v>
      </c>
      <c r="L131" s="65">
        <f t="shared" si="98"/>
        <v>39.562744076549947</v>
      </c>
      <c r="M131" s="65">
        <f t="shared" si="98"/>
        <v>38.874807677599577</v>
      </c>
      <c r="N131" s="65">
        <f t="shared" si="98"/>
        <v>36.944810830665624</v>
      </c>
      <c r="O131" s="65">
        <f t="shared" si="98"/>
        <v>32.774532138520421</v>
      </c>
      <c r="P131" s="65">
        <f t="shared" si="98"/>
        <v>39.515918946501813</v>
      </c>
      <c r="Q131" s="65">
        <f t="shared" si="98"/>
        <v>42.112182509242878</v>
      </c>
      <c r="R131" s="65">
        <f t="shared" si="98"/>
        <v>34.924381544069277</v>
      </c>
      <c r="S131" s="65">
        <f t="shared" si="98"/>
        <v>34.571950088511784</v>
      </c>
      <c r="T131" s="65">
        <f t="shared" si="98"/>
        <v>39.586711646002009</v>
      </c>
      <c r="U131" s="65">
        <f t="shared" si="98"/>
        <v>39.107803760285741</v>
      </c>
      <c r="V131" s="65">
        <f t="shared" si="98"/>
        <v>29.895604276392802</v>
      </c>
      <c r="W131" s="65">
        <f t="shared" si="98"/>
        <v>33.122787382638784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5.1816836664392332</v>
      </c>
      <c r="C132" s="65">
        <f t="shared" ref="C132:W132" si="100">IF(C102=0,0,C102/C$26)</f>
        <v>5.0668251908824304</v>
      </c>
      <c r="D132" s="65">
        <f t="shared" si="100"/>
        <v>4.5108791220911391</v>
      </c>
      <c r="E132" s="65">
        <f t="shared" si="100"/>
        <v>6.310061239686517</v>
      </c>
      <c r="F132" s="65">
        <f t="shared" si="100"/>
        <v>5.011147058411467</v>
      </c>
      <c r="G132" s="65">
        <f t="shared" si="100"/>
        <v>5.3839799689636783</v>
      </c>
      <c r="H132" s="65">
        <f t="shared" si="100"/>
        <v>6.4407567818091049</v>
      </c>
      <c r="I132" s="65">
        <f t="shared" si="100"/>
        <v>4.1987734064278754</v>
      </c>
      <c r="J132" s="65">
        <f t="shared" si="100"/>
        <v>4.0422390296456543</v>
      </c>
      <c r="K132" s="65">
        <f t="shared" si="100"/>
        <v>5.0968548157509197</v>
      </c>
      <c r="L132" s="65">
        <f t="shared" si="100"/>
        <v>7.1590430211036233</v>
      </c>
      <c r="M132" s="65">
        <f t="shared" si="100"/>
        <v>4.6926805779944285</v>
      </c>
      <c r="N132" s="65">
        <f t="shared" si="100"/>
        <v>4.9235074904646225</v>
      </c>
      <c r="O132" s="65">
        <f t="shared" si="100"/>
        <v>6.2567978729462785</v>
      </c>
      <c r="P132" s="65">
        <f t="shared" si="100"/>
        <v>4.1671318665373667</v>
      </c>
      <c r="Q132" s="65">
        <f t="shared" si="100"/>
        <v>4.7875058603325433</v>
      </c>
      <c r="R132" s="65">
        <f t="shared" si="100"/>
        <v>7.0232197436661519</v>
      </c>
      <c r="S132" s="65">
        <f t="shared" si="100"/>
        <v>6.5916079236966949</v>
      </c>
      <c r="T132" s="65">
        <f t="shared" si="100"/>
        <v>5.5986236062012873</v>
      </c>
      <c r="U132" s="65">
        <f t="shared" si="100"/>
        <v>4.3573889346799177</v>
      </c>
      <c r="V132" s="65">
        <f t="shared" si="100"/>
        <v>6.1730655387627396</v>
      </c>
      <c r="W132" s="65">
        <f t="shared" si="100"/>
        <v>3.8068599187357566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15.867418919826822</v>
      </c>
      <c r="C133" s="65">
        <f t="shared" ref="C133:W133" si="102">IF(C103=0,0,C103/C$26)</f>
        <v>15.899762864514372</v>
      </c>
      <c r="D133" s="65">
        <f t="shared" si="102"/>
        <v>16.066097527393396</v>
      </c>
      <c r="E133" s="65">
        <f t="shared" si="102"/>
        <v>15.838642386780487</v>
      </c>
      <c r="F133" s="65">
        <f t="shared" si="102"/>
        <v>15.894675168326273</v>
      </c>
      <c r="G133" s="65">
        <f t="shared" si="102"/>
        <v>15.860125051816924</v>
      </c>
      <c r="H133" s="65">
        <f t="shared" si="102"/>
        <v>15.594264373427107</v>
      </c>
      <c r="I133" s="65">
        <f t="shared" si="102"/>
        <v>15.691893040891829</v>
      </c>
      <c r="J133" s="65">
        <f t="shared" si="102"/>
        <v>15.561477691176586</v>
      </c>
      <c r="K133" s="65">
        <f t="shared" si="102"/>
        <v>15.639035083323526</v>
      </c>
      <c r="L133" s="65">
        <f t="shared" si="102"/>
        <v>15.444965493457408</v>
      </c>
      <c r="M133" s="65">
        <f t="shared" si="102"/>
        <v>15.776370115597771</v>
      </c>
      <c r="N133" s="65">
        <f t="shared" si="102"/>
        <v>15.300869551968457</v>
      </c>
      <c r="O133" s="65">
        <f t="shared" si="102"/>
        <v>15.03534401310727</v>
      </c>
      <c r="P133" s="65">
        <f t="shared" si="102"/>
        <v>15.055478300788879</v>
      </c>
      <c r="Q133" s="65">
        <f t="shared" si="102"/>
        <v>15.081386040063844</v>
      </c>
      <c r="R133" s="65">
        <f t="shared" si="102"/>
        <v>14.855818956794334</v>
      </c>
      <c r="S133" s="65">
        <f t="shared" si="102"/>
        <v>14.512309990674451</v>
      </c>
      <c r="T133" s="65">
        <f t="shared" si="102"/>
        <v>14.217902596011534</v>
      </c>
      <c r="U133" s="65">
        <f t="shared" si="102"/>
        <v>14.037786845791718</v>
      </c>
      <c r="V133" s="65">
        <f t="shared" si="102"/>
        <v>11.891260895583368</v>
      </c>
      <c r="W133" s="65">
        <f t="shared" si="102"/>
        <v>12.932175483655085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13.390755118866746</v>
      </c>
      <c r="C134" s="67">
        <f t="shared" ref="C134:W134" si="104">IF(C104=0,0,C104/C$26)</f>
        <v>13.63254173164994</v>
      </c>
      <c r="D134" s="67">
        <f t="shared" si="104"/>
        <v>15.034755384369829</v>
      </c>
      <c r="E134" s="67">
        <f t="shared" si="104"/>
        <v>15.568195918335649</v>
      </c>
      <c r="F134" s="67">
        <f t="shared" si="104"/>
        <v>15.914830467942755</v>
      </c>
      <c r="G134" s="67">
        <f t="shared" si="104"/>
        <v>16.50016414633188</v>
      </c>
      <c r="H134" s="67">
        <f t="shared" si="104"/>
        <v>16.481896857300466</v>
      </c>
      <c r="I134" s="67">
        <f t="shared" si="104"/>
        <v>16.462965937398604</v>
      </c>
      <c r="J134" s="67">
        <f t="shared" si="104"/>
        <v>17.039353143301796</v>
      </c>
      <c r="K134" s="67">
        <f t="shared" si="104"/>
        <v>16.769503530469251</v>
      </c>
      <c r="L134" s="67">
        <f t="shared" si="104"/>
        <v>16.008228206462206</v>
      </c>
      <c r="M134" s="67">
        <f t="shared" si="104"/>
        <v>15.889217573368521</v>
      </c>
      <c r="N134" s="67">
        <f t="shared" si="104"/>
        <v>16.280589819091361</v>
      </c>
      <c r="O134" s="67">
        <f t="shared" si="104"/>
        <v>15.259166665606125</v>
      </c>
      <c r="P134" s="67">
        <f t="shared" si="104"/>
        <v>16.619919540098298</v>
      </c>
      <c r="Q134" s="67">
        <f t="shared" si="104"/>
        <v>16.914158027568</v>
      </c>
      <c r="R134" s="67">
        <f t="shared" si="104"/>
        <v>17.029860761998219</v>
      </c>
      <c r="S134" s="67">
        <f t="shared" si="104"/>
        <v>17.313111763212714</v>
      </c>
      <c r="T134" s="67">
        <f t="shared" si="104"/>
        <v>17.73494435136303</v>
      </c>
      <c r="U134" s="67">
        <f t="shared" si="104"/>
        <v>17.504204001023986</v>
      </c>
      <c r="V134" s="67">
        <f t="shared" si="104"/>
        <v>15.700623712096592</v>
      </c>
      <c r="W134" s="67">
        <f t="shared" si="104"/>
        <v>15.619836408616829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48.563877193403364</v>
      </c>
      <c r="C135" s="68">
        <f t="shared" ref="C135:W135" si="106">IF(C105=0,0,C105/C$26)</f>
        <v>49.061079471140367</v>
      </c>
      <c r="D135" s="68">
        <f t="shared" si="106"/>
        <v>49.844072707227348</v>
      </c>
      <c r="E135" s="68">
        <f t="shared" si="106"/>
        <v>50.676162626679741</v>
      </c>
      <c r="F135" s="68">
        <f t="shared" si="106"/>
        <v>51.274526162780731</v>
      </c>
      <c r="G135" s="68">
        <f t="shared" si="106"/>
        <v>51.751975730599391</v>
      </c>
      <c r="H135" s="68">
        <f t="shared" si="106"/>
        <v>51.873103160732455</v>
      </c>
      <c r="I135" s="68">
        <f t="shared" si="106"/>
        <v>52.009046704328341</v>
      </c>
      <c r="J135" s="68">
        <f t="shared" si="106"/>
        <v>52.277154856400479</v>
      </c>
      <c r="K135" s="68">
        <f t="shared" si="106"/>
        <v>52.625997733159529</v>
      </c>
      <c r="L135" s="68">
        <f t="shared" si="106"/>
        <v>53.056803606104509</v>
      </c>
      <c r="M135" s="68">
        <f t="shared" si="106"/>
        <v>53.357645064349825</v>
      </c>
      <c r="N135" s="68">
        <f t="shared" si="106"/>
        <v>53.747157883985615</v>
      </c>
      <c r="O135" s="68">
        <f t="shared" si="106"/>
        <v>54.136042053961333</v>
      </c>
      <c r="P135" s="68">
        <f t="shared" si="106"/>
        <v>54.710998730142705</v>
      </c>
      <c r="Q135" s="68">
        <f t="shared" si="106"/>
        <v>55.33775728653228</v>
      </c>
      <c r="R135" s="68">
        <f t="shared" si="106"/>
        <v>54.210019794200818</v>
      </c>
      <c r="S135" s="68">
        <f t="shared" si="106"/>
        <v>53.814792155850668</v>
      </c>
      <c r="T135" s="68">
        <f t="shared" si="106"/>
        <v>52.773507472970479</v>
      </c>
      <c r="U135" s="68">
        <f t="shared" si="106"/>
        <v>51.003903513077738</v>
      </c>
      <c r="V135" s="68">
        <f t="shared" si="106"/>
        <v>47.082833978297309</v>
      </c>
      <c r="W135" s="68">
        <f t="shared" si="106"/>
        <v>44.798448297613611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43.253866310867792</v>
      </c>
      <c r="C137" s="85">
        <f t="shared" ref="C137:W137" si="108">IF(C107=0,0,C107/C$26)</f>
        <v>45.965437232412391</v>
      </c>
      <c r="D137" s="85">
        <f t="shared" si="108"/>
        <v>48.075947797993592</v>
      </c>
      <c r="E137" s="85">
        <f t="shared" si="108"/>
        <v>55.755804194677211</v>
      </c>
      <c r="F137" s="85">
        <f t="shared" si="108"/>
        <v>59.958751588681778</v>
      </c>
      <c r="G137" s="85">
        <f t="shared" si="108"/>
        <v>67.059023327655296</v>
      </c>
      <c r="H137" s="85">
        <f t="shared" si="108"/>
        <v>72.232237350315984</v>
      </c>
      <c r="I137" s="85">
        <f t="shared" si="108"/>
        <v>70.41898787429416</v>
      </c>
      <c r="J137" s="85">
        <f t="shared" si="108"/>
        <v>70.834168077134208</v>
      </c>
      <c r="K137" s="85">
        <f t="shared" si="108"/>
        <v>77.562628611402914</v>
      </c>
      <c r="L137" s="85">
        <f t="shared" si="108"/>
        <v>80.896198627242867</v>
      </c>
      <c r="M137" s="85">
        <f t="shared" si="108"/>
        <v>77.654529563399493</v>
      </c>
      <c r="N137" s="85">
        <f t="shared" si="108"/>
        <v>82.221744846251624</v>
      </c>
      <c r="O137" s="85">
        <f t="shared" si="108"/>
        <v>85.931756537009491</v>
      </c>
      <c r="P137" s="85">
        <f t="shared" si="108"/>
        <v>90.458000754057039</v>
      </c>
      <c r="Q137" s="85">
        <f t="shared" si="108"/>
        <v>94.704997914618772</v>
      </c>
      <c r="R137" s="85">
        <f t="shared" si="108"/>
        <v>97.653865292909288</v>
      </c>
      <c r="S137" s="85">
        <f t="shared" si="108"/>
        <v>97.877496651264877</v>
      </c>
      <c r="T137" s="85">
        <f t="shared" si="108"/>
        <v>99.989676819284213</v>
      </c>
      <c r="U137" s="85">
        <f t="shared" si="108"/>
        <v>97.203087431861533</v>
      </c>
      <c r="V137" s="85">
        <f t="shared" si="108"/>
        <v>96.794220041636805</v>
      </c>
      <c r="W137" s="85">
        <f t="shared" si="108"/>
        <v>93.516972368102941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16.689486587031066</v>
      </c>
      <c r="C138" s="65">
        <f t="shared" ref="C138:W138" si="110">IF(C108=0,0,C108/C$26)</f>
        <v>18.758698193935718</v>
      </c>
      <c r="D138" s="65">
        <f t="shared" si="110"/>
        <v>20.64674213527098</v>
      </c>
      <c r="E138" s="65">
        <f t="shared" si="110"/>
        <v>24.168249715977868</v>
      </c>
      <c r="F138" s="65">
        <f t="shared" si="110"/>
        <v>30.351813460276016</v>
      </c>
      <c r="G138" s="65">
        <f t="shared" si="110"/>
        <v>36.082777437197841</v>
      </c>
      <c r="H138" s="65">
        <f t="shared" si="110"/>
        <v>38.113017335725615</v>
      </c>
      <c r="I138" s="65">
        <f t="shared" si="110"/>
        <v>40.71771590980515</v>
      </c>
      <c r="J138" s="65">
        <f t="shared" si="110"/>
        <v>40.593228378801342</v>
      </c>
      <c r="K138" s="65">
        <f t="shared" si="110"/>
        <v>44.326930910934159</v>
      </c>
      <c r="L138" s="65">
        <f t="shared" si="110"/>
        <v>41.658619031762271</v>
      </c>
      <c r="M138" s="65">
        <f t="shared" si="110"/>
        <v>44.312022952339831</v>
      </c>
      <c r="N138" s="65">
        <f t="shared" si="110"/>
        <v>47.992284302816032</v>
      </c>
      <c r="O138" s="65">
        <f t="shared" si="110"/>
        <v>48.171692996918054</v>
      </c>
      <c r="P138" s="65">
        <f t="shared" si="110"/>
        <v>57.593835972445767</v>
      </c>
      <c r="Q138" s="65">
        <f t="shared" si="110"/>
        <v>59.236517247835437</v>
      </c>
      <c r="R138" s="65">
        <f t="shared" si="110"/>
        <v>54.266720323465663</v>
      </c>
      <c r="S138" s="65">
        <f t="shared" si="110"/>
        <v>54.886305284802361</v>
      </c>
      <c r="T138" s="65">
        <f t="shared" si="110"/>
        <v>59.616548447178744</v>
      </c>
      <c r="U138" s="65">
        <f t="shared" si="110"/>
        <v>60.640732012678257</v>
      </c>
      <c r="V138" s="65">
        <f t="shared" si="110"/>
        <v>55.381413130746715</v>
      </c>
      <c r="W138" s="65">
        <f t="shared" si="110"/>
        <v>59.062278222220499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9.1303966750663275</v>
      </c>
      <c r="C139" s="65">
        <f t="shared" ref="C139:W139" si="112">IF(C109=0,0,C109/C$26)</f>
        <v>9.2857620941512327</v>
      </c>
      <c r="D139" s="65">
        <f t="shared" si="112"/>
        <v>8.6006776930324946</v>
      </c>
      <c r="E139" s="65">
        <f t="shared" si="112"/>
        <v>12.508185749754055</v>
      </c>
      <c r="F139" s="65">
        <f t="shared" si="112"/>
        <v>10.307498815765978</v>
      </c>
      <c r="G139" s="65">
        <f t="shared" si="112"/>
        <v>11.615038667027724</v>
      </c>
      <c r="H139" s="65">
        <f t="shared" si="112"/>
        <v>14.679935500334924</v>
      </c>
      <c r="I139" s="65">
        <f t="shared" si="112"/>
        <v>10.148524563850955</v>
      </c>
      <c r="J139" s="65">
        <f t="shared" si="112"/>
        <v>10.368751871936848</v>
      </c>
      <c r="K139" s="65">
        <f t="shared" si="112"/>
        <v>13.279734175426539</v>
      </c>
      <c r="L139" s="65">
        <f t="shared" si="112"/>
        <v>19.066322295421038</v>
      </c>
      <c r="M139" s="65">
        <f t="shared" si="112"/>
        <v>12.852717850421786</v>
      </c>
      <c r="N139" s="65">
        <f t="shared" si="112"/>
        <v>13.868986621881509</v>
      </c>
      <c r="O139" s="65">
        <f t="shared" si="112"/>
        <v>18.101433013894464</v>
      </c>
      <c r="P139" s="65">
        <f t="shared" si="112"/>
        <v>12.445942136214647</v>
      </c>
      <c r="Q139" s="65">
        <f t="shared" si="112"/>
        <v>14.805739276491973</v>
      </c>
      <c r="R139" s="65">
        <f t="shared" si="112"/>
        <v>22.5079147331186</v>
      </c>
      <c r="S139" s="65">
        <f t="shared" si="112"/>
        <v>21.888350443848068</v>
      </c>
      <c r="T139" s="65">
        <f t="shared" si="112"/>
        <v>19.155453301771765</v>
      </c>
      <c r="U139" s="65">
        <f t="shared" si="112"/>
        <v>15.253474387728996</v>
      </c>
      <c r="V139" s="65">
        <f t="shared" si="112"/>
        <v>22.092702906995203</v>
      </c>
      <c r="W139" s="65">
        <f t="shared" si="112"/>
        <v>13.905423858104198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9.0508992760089413</v>
      </c>
      <c r="C140" s="65">
        <f t="shared" ref="C140:W140" si="114">IF(C110=0,0,C110/C$26)</f>
        <v>9.1814075342082795</v>
      </c>
      <c r="D140" s="65">
        <f t="shared" si="114"/>
        <v>9.3842690354932685</v>
      </c>
      <c r="E140" s="65">
        <f t="shared" si="114"/>
        <v>9.3248016126864055</v>
      </c>
      <c r="F140" s="65">
        <f t="shared" si="114"/>
        <v>9.4384650191675945</v>
      </c>
      <c r="G140" s="65">
        <f t="shared" si="114"/>
        <v>9.4919690339163907</v>
      </c>
      <c r="H140" s="65">
        <f t="shared" si="114"/>
        <v>9.4022724220211913</v>
      </c>
      <c r="I140" s="65">
        <f t="shared" si="114"/>
        <v>9.5441858043772712</v>
      </c>
      <c r="J140" s="65">
        <f t="shared" si="114"/>
        <v>9.5701961617769342</v>
      </c>
      <c r="K140" s="65">
        <f t="shared" si="114"/>
        <v>9.7394198145893398</v>
      </c>
      <c r="L140" s="65">
        <f t="shared" si="114"/>
        <v>9.802206678525236</v>
      </c>
      <c r="M140" s="65">
        <f t="shared" si="114"/>
        <v>10.194382383714713</v>
      </c>
      <c r="N140" s="65">
        <f t="shared" si="114"/>
        <v>10.069763969260318</v>
      </c>
      <c r="O140" s="65">
        <f t="shared" si="114"/>
        <v>10.070463592905339</v>
      </c>
      <c r="P140" s="65">
        <f t="shared" si="114"/>
        <v>10.180596589929454</v>
      </c>
      <c r="Q140" s="65">
        <f t="shared" si="114"/>
        <v>10.318386600870303</v>
      </c>
      <c r="R140" s="65">
        <f t="shared" si="114"/>
        <v>10.319566549221834</v>
      </c>
      <c r="S140" s="65">
        <f t="shared" si="114"/>
        <v>10.281589788364045</v>
      </c>
      <c r="T140" s="65">
        <f t="shared" si="114"/>
        <v>10.292258872445696</v>
      </c>
      <c r="U140" s="65">
        <f t="shared" si="114"/>
        <v>10.37702571200829</v>
      </c>
      <c r="V140" s="65">
        <f t="shared" si="114"/>
        <v>9.0175950908644023</v>
      </c>
      <c r="W140" s="65">
        <f t="shared" si="114"/>
        <v>10.005581115726521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8.3830837727614611</v>
      </c>
      <c r="C141" s="68">
        <f t="shared" ref="C141:W141" si="116">IF(C111=0,0,C111/C$26)</f>
        <v>8.7395694101171575</v>
      </c>
      <c r="D141" s="68">
        <f t="shared" si="116"/>
        <v>9.444258934196851</v>
      </c>
      <c r="E141" s="68">
        <f t="shared" si="116"/>
        <v>9.7545671162588814</v>
      </c>
      <c r="F141" s="68">
        <f t="shared" si="116"/>
        <v>9.8609742934721858</v>
      </c>
      <c r="G141" s="68">
        <f t="shared" si="116"/>
        <v>9.8692381895133448</v>
      </c>
      <c r="H141" s="68">
        <f t="shared" si="116"/>
        <v>10.037012092234258</v>
      </c>
      <c r="I141" s="68">
        <f t="shared" si="116"/>
        <v>10.008561596260792</v>
      </c>
      <c r="J141" s="68">
        <f t="shared" si="116"/>
        <v>10.301991664619083</v>
      </c>
      <c r="K141" s="68">
        <f t="shared" si="116"/>
        <v>10.216543710452878</v>
      </c>
      <c r="L141" s="68">
        <f t="shared" si="116"/>
        <v>10.369050621534319</v>
      </c>
      <c r="M141" s="68">
        <f t="shared" si="116"/>
        <v>10.295406376923168</v>
      </c>
      <c r="N141" s="68">
        <f t="shared" si="116"/>
        <v>10.290709952293758</v>
      </c>
      <c r="O141" s="68">
        <f t="shared" si="116"/>
        <v>9.5881669332916371</v>
      </c>
      <c r="P141" s="68">
        <f t="shared" si="116"/>
        <v>10.237626055467176</v>
      </c>
      <c r="Q141" s="68">
        <f t="shared" si="116"/>
        <v>10.344354789421065</v>
      </c>
      <c r="R141" s="68">
        <f t="shared" si="116"/>
        <v>10.559663687103191</v>
      </c>
      <c r="S141" s="68">
        <f t="shared" si="116"/>
        <v>10.821251134250419</v>
      </c>
      <c r="T141" s="68">
        <f t="shared" si="116"/>
        <v>10.925416197888</v>
      </c>
      <c r="U141" s="68">
        <f t="shared" si="116"/>
        <v>10.931855319445967</v>
      </c>
      <c r="V141" s="68">
        <f t="shared" si="116"/>
        <v>10.30250891303049</v>
      </c>
      <c r="W141" s="68">
        <f t="shared" si="116"/>
        <v>10.543689172051696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9.0685716261502822</v>
      </c>
      <c r="C143" s="82">
        <f t="shared" ref="C143:W143" si="118">IF(C113=0,0,C113/C$26)</f>
        <v>9.6485623531730784</v>
      </c>
      <c r="D143" s="82">
        <f t="shared" si="118"/>
        <v>10.28789783844775</v>
      </c>
      <c r="E143" s="82">
        <f t="shared" si="118"/>
        <v>10.696495156869958</v>
      </c>
      <c r="F143" s="82">
        <f t="shared" si="118"/>
        <v>12.841336720670892</v>
      </c>
      <c r="G143" s="82">
        <f t="shared" si="118"/>
        <v>14.152850424758828</v>
      </c>
      <c r="H143" s="82">
        <f t="shared" si="118"/>
        <v>13.158395579541509</v>
      </c>
      <c r="I143" s="82">
        <f t="shared" si="118"/>
        <v>11.963973778297332</v>
      </c>
      <c r="J143" s="82">
        <f t="shared" si="118"/>
        <v>9.7903650470915053</v>
      </c>
      <c r="K143" s="82">
        <f t="shared" si="118"/>
        <v>11.081431736825058</v>
      </c>
      <c r="L143" s="82">
        <f t="shared" si="118"/>
        <v>7.5240683433384188</v>
      </c>
      <c r="M143" s="82">
        <f t="shared" si="118"/>
        <v>6.6949380718562015</v>
      </c>
      <c r="N143" s="82">
        <f t="shared" si="118"/>
        <v>5.8841305687352099</v>
      </c>
      <c r="O143" s="82">
        <f t="shared" si="118"/>
        <v>5.739817690040641</v>
      </c>
      <c r="P143" s="82">
        <f t="shared" si="118"/>
        <v>5.9658089575960904</v>
      </c>
      <c r="Q143" s="82">
        <f t="shared" si="118"/>
        <v>6.4995073777572596</v>
      </c>
      <c r="R143" s="82">
        <f t="shared" si="118"/>
        <v>6.1883224371266117</v>
      </c>
      <c r="S143" s="82">
        <f t="shared" si="118"/>
        <v>6.0868036869990609</v>
      </c>
      <c r="T143" s="82">
        <f t="shared" si="118"/>
        <v>6.5198967773159548</v>
      </c>
      <c r="U143" s="82">
        <f t="shared" si="118"/>
        <v>6.3317018366324236</v>
      </c>
      <c r="V143" s="82">
        <f t="shared" si="118"/>
        <v>4.9607767188458114</v>
      </c>
      <c r="W143" s="82">
        <f t="shared" si="118"/>
        <v>5.2565669631256799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9.0685716261502822</v>
      </c>
      <c r="C144" s="64">
        <f t="shared" ref="C144:W144" si="120">IF(C114=0,0,C114/C$26)</f>
        <v>9.6485623531730784</v>
      </c>
      <c r="D144" s="64">
        <f t="shared" si="120"/>
        <v>10.28789783844775</v>
      </c>
      <c r="E144" s="64">
        <f t="shared" si="120"/>
        <v>10.696495156869958</v>
      </c>
      <c r="F144" s="64">
        <f t="shared" si="120"/>
        <v>12.841336720670892</v>
      </c>
      <c r="G144" s="64">
        <f t="shared" si="120"/>
        <v>14.152850424758828</v>
      </c>
      <c r="H144" s="64">
        <f t="shared" si="120"/>
        <v>13.158395579541509</v>
      </c>
      <c r="I144" s="64">
        <f t="shared" si="120"/>
        <v>11.963973778297332</v>
      </c>
      <c r="J144" s="64">
        <f t="shared" si="120"/>
        <v>9.7903650470915053</v>
      </c>
      <c r="K144" s="64">
        <f t="shared" si="120"/>
        <v>11.081431736825058</v>
      </c>
      <c r="L144" s="64">
        <f t="shared" si="120"/>
        <v>7.5240683433384188</v>
      </c>
      <c r="M144" s="64">
        <f t="shared" si="120"/>
        <v>6.6949380718562015</v>
      </c>
      <c r="N144" s="64">
        <f t="shared" si="120"/>
        <v>5.8841305687352099</v>
      </c>
      <c r="O144" s="64">
        <f t="shared" si="120"/>
        <v>5.739817690040641</v>
      </c>
      <c r="P144" s="64">
        <f t="shared" si="120"/>
        <v>5.9658089575960904</v>
      </c>
      <c r="Q144" s="64">
        <f t="shared" si="120"/>
        <v>6.4995073777572596</v>
      </c>
      <c r="R144" s="64">
        <f t="shared" si="120"/>
        <v>6.1883224371266117</v>
      </c>
      <c r="S144" s="64">
        <f t="shared" si="120"/>
        <v>6.0868036869990609</v>
      </c>
      <c r="T144" s="64">
        <f t="shared" si="120"/>
        <v>6.5198967773159548</v>
      </c>
      <c r="U144" s="64">
        <f t="shared" si="120"/>
        <v>6.3317018366324236</v>
      </c>
      <c r="V144" s="64">
        <f t="shared" si="120"/>
        <v>4.9607767188458114</v>
      </c>
      <c r="W144" s="64">
        <f t="shared" si="120"/>
        <v>5.2565669631256799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6.1137368803843994</v>
      </c>
      <c r="C145" s="65">
        <f t="shared" ref="C145:W145" si="122">IF(C115=0,0,C115/C$26)</f>
        <v>7.050894131180435</v>
      </c>
      <c r="D145" s="65">
        <f t="shared" si="122"/>
        <v>7.4280797431212893</v>
      </c>
      <c r="E145" s="65">
        <f t="shared" si="122"/>
        <v>7.8070983833898611</v>
      </c>
      <c r="F145" s="65">
        <f t="shared" si="122"/>
        <v>9.8013240448128478</v>
      </c>
      <c r="G145" s="65">
        <f t="shared" si="122"/>
        <v>10.56925466691834</v>
      </c>
      <c r="H145" s="65">
        <f t="shared" si="122"/>
        <v>9.8224958208257647</v>
      </c>
      <c r="I145" s="65">
        <f t="shared" si="122"/>
        <v>8.5914318047335669</v>
      </c>
      <c r="J145" s="65">
        <f t="shared" si="122"/>
        <v>6.2602882808045939</v>
      </c>
      <c r="K145" s="65">
        <f t="shared" si="122"/>
        <v>7.6630104352577231</v>
      </c>
      <c r="L145" s="65">
        <f t="shared" si="122"/>
        <v>4.9442695802380836</v>
      </c>
      <c r="M145" s="65">
        <f t="shared" si="122"/>
        <v>4.0903279543335636</v>
      </c>
      <c r="N145" s="65">
        <f t="shared" si="122"/>
        <v>3.3395032396591464</v>
      </c>
      <c r="O145" s="65">
        <f t="shared" si="122"/>
        <v>3.0362772244673906</v>
      </c>
      <c r="P145" s="65">
        <f t="shared" si="122"/>
        <v>2.8444763483105371</v>
      </c>
      <c r="Q145" s="65">
        <f t="shared" si="122"/>
        <v>3.2100083658574703</v>
      </c>
      <c r="R145" s="65">
        <f t="shared" si="122"/>
        <v>2.9291817149410542</v>
      </c>
      <c r="S145" s="65">
        <f t="shared" si="122"/>
        <v>2.7906536968798314</v>
      </c>
      <c r="T145" s="65">
        <f t="shared" si="122"/>
        <v>2.8677402487118924</v>
      </c>
      <c r="U145" s="65">
        <f t="shared" si="122"/>
        <v>2.7231231721850602</v>
      </c>
      <c r="V145" s="65">
        <f t="shared" si="122"/>
        <v>2.0156500888410789</v>
      </c>
      <c r="W145" s="65">
        <f t="shared" si="122"/>
        <v>2.4258963289299089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3.7049508819060979E-3</v>
      </c>
      <c r="C146" s="65">
        <f t="shared" ref="C146:W146" si="124">IF(C116=0,0,C116/C$26)</f>
        <v>3.8468464358234092E-3</v>
      </c>
      <c r="D146" s="65">
        <f t="shared" si="124"/>
        <v>3.2450342705450169E-3</v>
      </c>
      <c r="E146" s="65">
        <f t="shared" si="124"/>
        <v>4.3080018107206535E-3</v>
      </c>
      <c r="F146" s="65">
        <f t="shared" si="124"/>
        <v>4.0238728964484645E-3</v>
      </c>
      <c r="G146" s="65">
        <f t="shared" si="124"/>
        <v>4.5459453968501031E-3</v>
      </c>
      <c r="H146" s="65">
        <f t="shared" si="124"/>
        <v>5.9400183546516761E-3</v>
      </c>
      <c r="I146" s="65">
        <f t="shared" si="124"/>
        <v>5.0982195010232925E-3</v>
      </c>
      <c r="J146" s="65">
        <f t="shared" si="124"/>
        <v>5.9052939475877104E-3</v>
      </c>
      <c r="K146" s="65">
        <f t="shared" si="124"/>
        <v>9.0434155950101167E-3</v>
      </c>
      <c r="L146" s="65">
        <f t="shared" si="124"/>
        <v>1.3247076655305437E-2</v>
      </c>
      <c r="M146" s="65">
        <f t="shared" si="124"/>
        <v>1.0224104008439257E-2</v>
      </c>
      <c r="N146" s="65">
        <f t="shared" si="124"/>
        <v>1.1629889486854686E-2</v>
      </c>
      <c r="O146" s="65">
        <f t="shared" si="124"/>
        <v>1.7042116773752683E-2</v>
      </c>
      <c r="P146" s="65">
        <f t="shared" si="124"/>
        <v>1.2973471836341345E-2</v>
      </c>
      <c r="Q146" s="65">
        <f t="shared" si="124"/>
        <v>1.7853238353990882E-2</v>
      </c>
      <c r="R146" s="65">
        <f t="shared" si="124"/>
        <v>3.2370559643371648E-2</v>
      </c>
      <c r="S146" s="65">
        <f t="shared" si="124"/>
        <v>3.4694755320538645E-2</v>
      </c>
      <c r="T146" s="65">
        <f t="shared" si="124"/>
        <v>3.2910303474984887E-2</v>
      </c>
      <c r="U146" s="65">
        <f t="shared" si="124"/>
        <v>2.8977586144217554E-2</v>
      </c>
      <c r="V146" s="65">
        <f t="shared" si="124"/>
        <v>4.1480511031153793E-2</v>
      </c>
      <c r="W146" s="65">
        <f t="shared" si="124"/>
        <v>2.7324468374533492E-2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1.9488311302403118</v>
      </c>
      <c r="C147" s="65">
        <f t="shared" ref="C147:W147" si="126">IF(C117=0,0,C117/C$26)</f>
        <v>1.821004020925687</v>
      </c>
      <c r="D147" s="65">
        <f t="shared" si="126"/>
        <v>1.7055129912892275</v>
      </c>
      <c r="E147" s="65">
        <f t="shared" si="126"/>
        <v>1.6303592329755676</v>
      </c>
      <c r="F147" s="65">
        <f t="shared" si="126"/>
        <v>1.5705459589694395</v>
      </c>
      <c r="G147" s="65">
        <f t="shared" si="126"/>
        <v>1.52892988201766</v>
      </c>
      <c r="H147" s="65">
        <f t="shared" si="126"/>
        <v>1.4906716467139589</v>
      </c>
      <c r="I147" s="65">
        <f t="shared" si="126"/>
        <v>1.4604857268417202</v>
      </c>
      <c r="J147" s="65">
        <f t="shared" si="126"/>
        <v>1.4199598263359563</v>
      </c>
      <c r="K147" s="65">
        <f t="shared" si="126"/>
        <v>1.3915742880965072</v>
      </c>
      <c r="L147" s="65">
        <f t="shared" si="126"/>
        <v>1.4042743251668142</v>
      </c>
      <c r="M147" s="65">
        <f t="shared" si="126"/>
        <v>1.4278807384285572</v>
      </c>
      <c r="N147" s="65">
        <f t="shared" si="126"/>
        <v>1.4292228163302014</v>
      </c>
      <c r="O147" s="65">
        <f t="shared" si="126"/>
        <v>1.424689675719035</v>
      </c>
      <c r="P147" s="65">
        <f t="shared" si="126"/>
        <v>1.420062167587991</v>
      </c>
      <c r="Q147" s="65">
        <f t="shared" si="126"/>
        <v>1.4268201594364669</v>
      </c>
      <c r="R147" s="65">
        <f t="shared" si="126"/>
        <v>1.4416094305004887</v>
      </c>
      <c r="S147" s="65">
        <f t="shared" si="126"/>
        <v>1.4651418758175185</v>
      </c>
      <c r="T147" s="65">
        <f t="shared" si="126"/>
        <v>1.4717341121683312</v>
      </c>
      <c r="U147" s="65">
        <f t="shared" si="126"/>
        <v>1.4737010450115426</v>
      </c>
      <c r="V147" s="65">
        <f t="shared" si="126"/>
        <v>1.3097227915577763</v>
      </c>
      <c r="W147" s="65">
        <f t="shared" si="126"/>
        <v>1.3853041946502476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1.0022986646436645</v>
      </c>
      <c r="C148" s="67">
        <f t="shared" ref="C148:W148" si="128">IF(C118=0,0,C118/C$26)</f>
        <v>0.77281735463113177</v>
      </c>
      <c r="D148" s="67">
        <f t="shared" si="128"/>
        <v>1.1510600697666855</v>
      </c>
      <c r="E148" s="67">
        <f t="shared" si="128"/>
        <v>1.2547295386938071</v>
      </c>
      <c r="F148" s="67">
        <f t="shared" si="128"/>
        <v>1.4654428439921547</v>
      </c>
      <c r="G148" s="67">
        <f t="shared" si="128"/>
        <v>2.0501199304259741</v>
      </c>
      <c r="H148" s="67">
        <f t="shared" si="128"/>
        <v>1.8392880936471323</v>
      </c>
      <c r="I148" s="67">
        <f t="shared" si="128"/>
        <v>1.9069580272210187</v>
      </c>
      <c r="J148" s="67">
        <f t="shared" si="128"/>
        <v>2.1042116460033671</v>
      </c>
      <c r="K148" s="67">
        <f t="shared" si="128"/>
        <v>2.0178035978758171</v>
      </c>
      <c r="L148" s="67">
        <f t="shared" si="128"/>
        <v>1.1622773612782147</v>
      </c>
      <c r="M148" s="67">
        <f t="shared" si="128"/>
        <v>1.1665052750856422</v>
      </c>
      <c r="N148" s="67">
        <f t="shared" si="128"/>
        <v>1.1037746232590064</v>
      </c>
      <c r="O148" s="67">
        <f t="shared" si="128"/>
        <v>1.261808673080463</v>
      </c>
      <c r="P148" s="67">
        <f t="shared" si="128"/>
        <v>1.6882969698612205</v>
      </c>
      <c r="Q148" s="67">
        <f t="shared" si="128"/>
        <v>1.8448256141093313</v>
      </c>
      <c r="R148" s="67">
        <f t="shared" si="128"/>
        <v>1.7851607320416969</v>
      </c>
      <c r="S148" s="67">
        <f t="shared" si="128"/>
        <v>1.7963133589811711</v>
      </c>
      <c r="T148" s="67">
        <f t="shared" si="128"/>
        <v>2.1475121129607455</v>
      </c>
      <c r="U148" s="67">
        <f t="shared" si="128"/>
        <v>2.1059000332916047</v>
      </c>
      <c r="V148" s="67">
        <f t="shared" si="128"/>
        <v>1.5939233274158027</v>
      </c>
      <c r="W148" s="67">
        <f t="shared" si="128"/>
        <v>1.4180419711709902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5977.0699815969792</v>
      </c>
      <c r="C153" s="82">
        <f t="shared" ref="C153:W153" si="132">IF(C99=0,0,C99/C$23)</f>
        <v>6220.2225265717952</v>
      </c>
      <c r="D153" s="82">
        <f t="shared" si="132"/>
        <v>6447.7867800038775</v>
      </c>
      <c r="E153" s="82">
        <f t="shared" si="132"/>
        <v>6799.1284239700863</v>
      </c>
      <c r="F153" s="82">
        <f t="shared" si="132"/>
        <v>7321.3566541241826</v>
      </c>
      <c r="G153" s="82">
        <f t="shared" si="132"/>
        <v>7752.7955576000522</v>
      </c>
      <c r="H153" s="82">
        <f t="shared" si="132"/>
        <v>7794.5799396584098</v>
      </c>
      <c r="I153" s="82">
        <f t="shared" si="132"/>
        <v>7710.0702982056282</v>
      </c>
      <c r="J153" s="82">
        <f t="shared" si="132"/>
        <v>7227.2849640717013</v>
      </c>
      <c r="K153" s="82">
        <f t="shared" si="132"/>
        <v>7610.3823340005147</v>
      </c>
      <c r="L153" s="82">
        <f t="shared" si="132"/>
        <v>7033.0930095282711</v>
      </c>
      <c r="M153" s="82">
        <f t="shared" si="132"/>
        <v>6970.0393884477999</v>
      </c>
      <c r="N153" s="82">
        <f t="shared" si="132"/>
        <v>7122.8114083236651</v>
      </c>
      <c r="O153" s="82">
        <f t="shared" si="132"/>
        <v>7077.5985433994983</v>
      </c>
      <c r="P153" s="82">
        <f t="shared" si="132"/>
        <v>7302.4454795425263</v>
      </c>
      <c r="Q153" s="82">
        <f t="shared" si="132"/>
        <v>7427.7982075962873</v>
      </c>
      <c r="R153" s="82">
        <f t="shared" si="132"/>
        <v>6953.4414332447568</v>
      </c>
      <c r="S153" s="82">
        <f t="shared" si="132"/>
        <v>6692.0861510202139</v>
      </c>
      <c r="T153" s="82">
        <f t="shared" si="132"/>
        <v>6740.3822972598409</v>
      </c>
      <c r="U153" s="82">
        <f t="shared" si="132"/>
        <v>6462.7974494736181</v>
      </c>
      <c r="V153" s="82">
        <f t="shared" si="132"/>
        <v>5834.1496281242389</v>
      </c>
      <c r="W153" s="82">
        <f t="shared" si="132"/>
        <v>5704.6870106652314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3463.3577226258208</v>
      </c>
      <c r="C154" s="64">
        <f t="shared" ref="C154:W154" si="134">IF(C100=0,0,C100/C$23)</f>
        <v>3673.8772491408758</v>
      </c>
      <c r="D154" s="64">
        <f t="shared" si="134"/>
        <v>3860.9210919757215</v>
      </c>
      <c r="E154" s="64">
        <f t="shared" si="134"/>
        <v>4160.3764479754236</v>
      </c>
      <c r="F154" s="64">
        <f t="shared" si="134"/>
        <v>4654.9037081003198</v>
      </c>
      <c r="G154" s="64">
        <f t="shared" si="134"/>
        <v>5047.6231100690902</v>
      </c>
      <c r="H154" s="64">
        <f t="shared" si="134"/>
        <v>5058.9741790487069</v>
      </c>
      <c r="I154" s="64">
        <f t="shared" si="134"/>
        <v>4935.6285512788072</v>
      </c>
      <c r="J154" s="64">
        <f t="shared" si="134"/>
        <v>4464.2133974752451</v>
      </c>
      <c r="K154" s="64">
        <f t="shared" si="134"/>
        <v>4804.3642126709137</v>
      </c>
      <c r="L154" s="64">
        <f t="shared" si="134"/>
        <v>4189.6245903062681</v>
      </c>
      <c r="M154" s="64">
        <f t="shared" si="134"/>
        <v>4077.8797920523016</v>
      </c>
      <c r="N154" s="64">
        <f t="shared" si="134"/>
        <v>4113.0622535434677</v>
      </c>
      <c r="O154" s="64">
        <f t="shared" si="134"/>
        <v>3974.1858635478111</v>
      </c>
      <c r="P154" s="64">
        <f t="shared" si="134"/>
        <v>4230.8241772817973</v>
      </c>
      <c r="Q154" s="64">
        <f t="shared" si="134"/>
        <v>4365.6769270433788</v>
      </c>
      <c r="R154" s="64">
        <f t="shared" si="134"/>
        <v>4009.5451467795383</v>
      </c>
      <c r="S154" s="64">
        <f t="shared" si="134"/>
        <v>3852.0032430143033</v>
      </c>
      <c r="T154" s="64">
        <f t="shared" si="134"/>
        <v>4002.2636842872776</v>
      </c>
      <c r="U154" s="64">
        <f t="shared" si="134"/>
        <v>3846.9332010046455</v>
      </c>
      <c r="V154" s="64">
        <f t="shared" si="134"/>
        <v>3353.7460364394042</v>
      </c>
      <c r="W154" s="64">
        <f t="shared" si="134"/>
        <v>3387.3051009531096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1680.7180835820488</v>
      </c>
      <c r="C155" s="65">
        <f t="shared" ref="C155:W155" si="136">IF(C101=0,0,C101/C$23)</f>
        <v>1878.129342935702</v>
      </c>
      <c r="D155" s="65">
        <f t="shared" si="136"/>
        <v>2012.7019821381489</v>
      </c>
      <c r="E155" s="65">
        <f t="shared" si="136"/>
        <v>2196.4246007248089</v>
      </c>
      <c r="F155" s="65">
        <f t="shared" si="136"/>
        <v>2740.1022423479185</v>
      </c>
      <c r="G155" s="65">
        <f t="shared" si="136"/>
        <v>3074.6596519282325</v>
      </c>
      <c r="H155" s="65">
        <f t="shared" si="136"/>
        <v>3027.726839371735</v>
      </c>
      <c r="I155" s="65">
        <f t="shared" si="136"/>
        <v>2996.3306457819281</v>
      </c>
      <c r="J155" s="65">
        <f t="shared" si="136"/>
        <v>2527.4701922934782</v>
      </c>
      <c r="K155" s="65">
        <f t="shared" si="136"/>
        <v>2804.5766904557536</v>
      </c>
      <c r="L155" s="65">
        <f t="shared" si="136"/>
        <v>2120.2825220041868</v>
      </c>
      <c r="M155" s="65">
        <f t="shared" si="136"/>
        <v>2107.1422463867129</v>
      </c>
      <c r="N155" s="65">
        <f t="shared" si="136"/>
        <v>2068.8463827450391</v>
      </c>
      <c r="O155" s="65">
        <f t="shared" si="136"/>
        <v>1878.838842956163</v>
      </c>
      <c r="P155" s="65">
        <f t="shared" si="136"/>
        <v>2218.5290203377481</v>
      </c>
      <c r="Q155" s="65">
        <f t="shared" si="136"/>
        <v>2330.2825512855438</v>
      </c>
      <c r="R155" s="65">
        <f t="shared" si="136"/>
        <v>1896.5821729081636</v>
      </c>
      <c r="S155" s="65">
        <f t="shared" si="136"/>
        <v>1824.5393247726402</v>
      </c>
      <c r="T155" s="65">
        <f t="shared" si="136"/>
        <v>2053.9304127134733</v>
      </c>
      <c r="U155" s="65">
        <f t="shared" si="136"/>
        <v>2005.7426715671156</v>
      </c>
      <c r="V155" s="65">
        <f t="shared" si="136"/>
        <v>1574.9511649390922</v>
      </c>
      <c r="W155" s="65">
        <f t="shared" si="136"/>
        <v>1713.4108701675027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268.20885207674888</v>
      </c>
      <c r="C156" s="65">
        <f t="shared" ref="C156:W156" si="138">IF(C102=0,0,C102/C$23)</f>
        <v>262.97599921259149</v>
      </c>
      <c r="D156" s="65">
        <f t="shared" si="138"/>
        <v>234.11085390877662</v>
      </c>
      <c r="E156" s="65">
        <f t="shared" si="138"/>
        <v>328.57039092585046</v>
      </c>
      <c r="F156" s="65">
        <f t="shared" si="138"/>
        <v>260.59700277755672</v>
      </c>
      <c r="G156" s="65">
        <f t="shared" si="138"/>
        <v>281.43069060622429</v>
      </c>
      <c r="H156" s="65">
        <f t="shared" si="138"/>
        <v>339.6629521162082</v>
      </c>
      <c r="I156" s="65">
        <f t="shared" si="138"/>
        <v>223.98511341508882</v>
      </c>
      <c r="J156" s="65">
        <f t="shared" si="138"/>
        <v>213.64964789840511</v>
      </c>
      <c r="K156" s="65">
        <f t="shared" si="138"/>
        <v>271.76429124063043</v>
      </c>
      <c r="L156" s="65">
        <f t="shared" si="138"/>
        <v>383.67393734246144</v>
      </c>
      <c r="M156" s="65">
        <f t="shared" si="138"/>
        <v>254.35869874124731</v>
      </c>
      <c r="N156" s="65">
        <f t="shared" si="138"/>
        <v>275.70802050530676</v>
      </c>
      <c r="O156" s="65">
        <f t="shared" si="138"/>
        <v>358.67834288320859</v>
      </c>
      <c r="P156" s="65">
        <f t="shared" si="138"/>
        <v>233.95389058276658</v>
      </c>
      <c r="Q156" s="65">
        <f t="shared" si="138"/>
        <v>264.91719748938721</v>
      </c>
      <c r="R156" s="65">
        <f t="shared" si="138"/>
        <v>381.39868977911323</v>
      </c>
      <c r="S156" s="65">
        <f t="shared" si="138"/>
        <v>347.87299644586705</v>
      </c>
      <c r="T156" s="65">
        <f t="shared" si="138"/>
        <v>290.48089159165471</v>
      </c>
      <c r="U156" s="65">
        <f t="shared" si="138"/>
        <v>223.47971715499955</v>
      </c>
      <c r="V156" s="65">
        <f t="shared" si="138"/>
        <v>325.20756803022647</v>
      </c>
      <c r="W156" s="65">
        <f t="shared" si="138"/>
        <v>196.92530977588211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821.31262498162903</v>
      </c>
      <c r="C157" s="65">
        <f t="shared" ref="C157:W157" si="140">IF(C103=0,0,C103/C$23)</f>
        <v>825.22208069521366</v>
      </c>
      <c r="D157" s="65">
        <f t="shared" si="140"/>
        <v>833.81702531104975</v>
      </c>
      <c r="E157" s="65">
        <f t="shared" si="140"/>
        <v>824.73191987875998</v>
      </c>
      <c r="F157" s="65">
        <f t="shared" si="140"/>
        <v>826.57815879419252</v>
      </c>
      <c r="G157" s="65">
        <f t="shared" si="140"/>
        <v>829.03836421461756</v>
      </c>
      <c r="H157" s="65">
        <f t="shared" si="140"/>
        <v>822.38687977146049</v>
      </c>
      <c r="I157" s="65">
        <f t="shared" si="140"/>
        <v>837.08981224871297</v>
      </c>
      <c r="J157" s="65">
        <f t="shared" si="140"/>
        <v>822.49075453368459</v>
      </c>
      <c r="K157" s="65">
        <f t="shared" si="140"/>
        <v>833.87332752200439</v>
      </c>
      <c r="L157" s="65">
        <f t="shared" si="140"/>
        <v>827.74062196929538</v>
      </c>
      <c r="M157" s="65">
        <f t="shared" si="140"/>
        <v>855.13107205323081</v>
      </c>
      <c r="N157" s="65">
        <f t="shared" si="140"/>
        <v>856.82259331447563</v>
      </c>
      <c r="O157" s="65">
        <f t="shared" si="140"/>
        <v>861.91888963177166</v>
      </c>
      <c r="P157" s="65">
        <f t="shared" si="140"/>
        <v>845.25468256438558</v>
      </c>
      <c r="Q157" s="65">
        <f t="shared" si="140"/>
        <v>834.53026284374369</v>
      </c>
      <c r="R157" s="65">
        <f t="shared" si="140"/>
        <v>806.75104759849069</v>
      </c>
      <c r="S157" s="65">
        <f t="shared" si="140"/>
        <v>765.88911540963682</v>
      </c>
      <c r="T157" s="65">
        <f t="shared" si="140"/>
        <v>737.68649460166</v>
      </c>
      <c r="U157" s="65">
        <f t="shared" si="140"/>
        <v>719.96341864538067</v>
      </c>
      <c r="V157" s="65">
        <f t="shared" si="140"/>
        <v>626.45180297902425</v>
      </c>
      <c r="W157" s="65">
        <f t="shared" si="140"/>
        <v>668.96936518761788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693.11816198539395</v>
      </c>
      <c r="C158" s="67">
        <f t="shared" ref="C158:W158" si="142">IF(C104=0,0,C104/C$23)</f>
        <v>707.54982629736855</v>
      </c>
      <c r="D158" s="67">
        <f t="shared" si="142"/>
        <v>780.29123061774715</v>
      </c>
      <c r="E158" s="67">
        <f t="shared" si="142"/>
        <v>810.64953644600416</v>
      </c>
      <c r="F158" s="67">
        <f t="shared" si="142"/>
        <v>827.62630418065089</v>
      </c>
      <c r="G158" s="67">
        <f t="shared" si="142"/>
        <v>862.49440332001529</v>
      </c>
      <c r="H158" s="67">
        <f t="shared" si="142"/>
        <v>869.19750778930393</v>
      </c>
      <c r="I158" s="67">
        <f t="shared" si="142"/>
        <v>878.2229798330776</v>
      </c>
      <c r="J158" s="67">
        <f t="shared" si="142"/>
        <v>900.60280274967681</v>
      </c>
      <c r="K158" s="67">
        <f t="shared" si="142"/>
        <v>894.1499034525259</v>
      </c>
      <c r="L158" s="67">
        <f t="shared" si="142"/>
        <v>857.92750899032524</v>
      </c>
      <c r="M158" s="67">
        <f t="shared" si="142"/>
        <v>861.24777487110998</v>
      </c>
      <c r="N158" s="67">
        <f t="shared" si="142"/>
        <v>911.68525697864641</v>
      </c>
      <c r="O158" s="67">
        <f t="shared" si="142"/>
        <v>874.74978807666741</v>
      </c>
      <c r="P158" s="67">
        <f t="shared" si="142"/>
        <v>933.08658379689757</v>
      </c>
      <c r="Q158" s="67">
        <f t="shared" si="142"/>
        <v>935.94691542470355</v>
      </c>
      <c r="R158" s="67">
        <f t="shared" si="142"/>
        <v>924.81323649377157</v>
      </c>
      <c r="S158" s="67">
        <f t="shared" si="142"/>
        <v>913.70180638615989</v>
      </c>
      <c r="T158" s="67">
        <f t="shared" si="142"/>
        <v>920.16588538048882</v>
      </c>
      <c r="U158" s="67">
        <f t="shared" si="142"/>
        <v>897.74739363714957</v>
      </c>
      <c r="V158" s="67">
        <f t="shared" si="142"/>
        <v>827.13550049106084</v>
      </c>
      <c r="W158" s="67">
        <f t="shared" si="142"/>
        <v>807.99955582210634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2513.7122589711585</v>
      </c>
      <c r="C159" s="68">
        <f t="shared" ref="C159:W159" si="144">IF(C105=0,0,C105/C$23)</f>
        <v>2546.3452774309203</v>
      </c>
      <c r="D159" s="68">
        <f t="shared" si="144"/>
        <v>2586.8656880281569</v>
      </c>
      <c r="E159" s="68">
        <f t="shared" si="144"/>
        <v>2638.751975994664</v>
      </c>
      <c r="F159" s="68">
        <f t="shared" si="144"/>
        <v>2666.4529460238641</v>
      </c>
      <c r="G159" s="68">
        <f t="shared" si="144"/>
        <v>2705.172447530962</v>
      </c>
      <c r="H159" s="68">
        <f t="shared" si="144"/>
        <v>2735.6057606097029</v>
      </c>
      <c r="I159" s="68">
        <f t="shared" si="144"/>
        <v>2774.441746926821</v>
      </c>
      <c r="J159" s="68">
        <f t="shared" si="144"/>
        <v>2763.0715665964572</v>
      </c>
      <c r="K159" s="68">
        <f t="shared" si="144"/>
        <v>2806.0181213296005</v>
      </c>
      <c r="L159" s="68">
        <f t="shared" si="144"/>
        <v>2843.468419222002</v>
      </c>
      <c r="M159" s="68">
        <f t="shared" si="144"/>
        <v>2892.1595963954978</v>
      </c>
      <c r="N159" s="68">
        <f t="shared" si="144"/>
        <v>3009.7491547801969</v>
      </c>
      <c r="O159" s="68">
        <f t="shared" si="144"/>
        <v>3103.4126798516868</v>
      </c>
      <c r="P159" s="68">
        <f t="shared" si="144"/>
        <v>3071.6213022607285</v>
      </c>
      <c r="Q159" s="68">
        <f t="shared" si="144"/>
        <v>3062.1212805529099</v>
      </c>
      <c r="R159" s="68">
        <f t="shared" si="144"/>
        <v>2943.8962864652181</v>
      </c>
      <c r="S159" s="68">
        <f t="shared" si="144"/>
        <v>2840.0829080059107</v>
      </c>
      <c r="T159" s="68">
        <f t="shared" si="144"/>
        <v>2738.1186129725629</v>
      </c>
      <c r="U159" s="68">
        <f t="shared" si="144"/>
        <v>2615.8642484689731</v>
      </c>
      <c r="V159" s="68">
        <f t="shared" si="144"/>
        <v>2480.4035916848352</v>
      </c>
      <c r="W159" s="68">
        <f t="shared" si="144"/>
        <v>2317.3819097121213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2238.8610687018399</v>
      </c>
      <c r="C161" s="85">
        <f t="shared" ref="C161:W161" si="146">IF(C107=0,0,C107/C$23)</f>
        <v>2385.6766969558921</v>
      </c>
      <c r="D161" s="85">
        <f t="shared" si="146"/>
        <v>2495.1014839529653</v>
      </c>
      <c r="E161" s="85">
        <f t="shared" si="146"/>
        <v>2903.2533417283257</v>
      </c>
      <c r="F161" s="85">
        <f t="shared" si="146"/>
        <v>3118.0627453483048</v>
      </c>
      <c r="G161" s="85">
        <f t="shared" si="146"/>
        <v>3505.3004200001792</v>
      </c>
      <c r="H161" s="85">
        <f t="shared" si="146"/>
        <v>3809.2751841928098</v>
      </c>
      <c r="I161" s="85">
        <f t="shared" si="146"/>
        <v>3756.5268374456828</v>
      </c>
      <c r="J161" s="85">
        <f t="shared" si="146"/>
        <v>3743.889205429497</v>
      </c>
      <c r="K161" s="85">
        <f t="shared" si="146"/>
        <v>4135.6392428911331</v>
      </c>
      <c r="L161" s="85">
        <f t="shared" si="146"/>
        <v>4335.4625683709583</v>
      </c>
      <c r="M161" s="85">
        <f t="shared" si="146"/>
        <v>4209.1305305829546</v>
      </c>
      <c r="N161" s="85">
        <f t="shared" si="146"/>
        <v>4604.2774501625054</v>
      </c>
      <c r="O161" s="85">
        <f t="shared" si="146"/>
        <v>4926.1396422934331</v>
      </c>
      <c r="P161" s="85">
        <f t="shared" si="146"/>
        <v>5078.5532804210588</v>
      </c>
      <c r="Q161" s="85">
        <f t="shared" si="146"/>
        <v>5240.5121513598251</v>
      </c>
      <c r="R161" s="85">
        <f t="shared" si="146"/>
        <v>5303.1312751065279</v>
      </c>
      <c r="S161" s="85">
        <f t="shared" si="146"/>
        <v>5165.498075559166</v>
      </c>
      <c r="T161" s="85">
        <f t="shared" si="146"/>
        <v>5187.8984042176789</v>
      </c>
      <c r="U161" s="85">
        <f t="shared" si="146"/>
        <v>4985.3062950096319</v>
      </c>
      <c r="V161" s="85">
        <f t="shared" si="146"/>
        <v>5099.2837677586776</v>
      </c>
      <c r="W161" s="85">
        <f t="shared" si="146"/>
        <v>4837.5456796443177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863.86362568788695</v>
      </c>
      <c r="C162" s="65">
        <f t="shared" ref="C162:W162" si="148">IF(C108=0,0,C108/C$23)</f>
        <v>973.60520950171986</v>
      </c>
      <c r="D162" s="65">
        <f t="shared" si="148"/>
        <v>1071.5486495860368</v>
      </c>
      <c r="E162" s="65">
        <f t="shared" si="148"/>
        <v>1258.4618366662521</v>
      </c>
      <c r="F162" s="65">
        <f t="shared" si="148"/>
        <v>1578.3994212133086</v>
      </c>
      <c r="G162" s="65">
        <f t="shared" si="148"/>
        <v>1886.1141816424506</v>
      </c>
      <c r="H162" s="65">
        <f t="shared" si="148"/>
        <v>2009.9470327573181</v>
      </c>
      <c r="I162" s="65">
        <f t="shared" si="148"/>
        <v>2172.101548061411</v>
      </c>
      <c r="J162" s="65">
        <f t="shared" si="148"/>
        <v>2145.526003431497</v>
      </c>
      <c r="K162" s="65">
        <f t="shared" si="148"/>
        <v>2363.5118906379143</v>
      </c>
      <c r="L162" s="65">
        <f t="shared" si="148"/>
        <v>2232.6065566374923</v>
      </c>
      <c r="M162" s="65">
        <f t="shared" si="148"/>
        <v>2401.8571708468039</v>
      </c>
      <c r="N162" s="65">
        <f t="shared" si="148"/>
        <v>2687.4860514142633</v>
      </c>
      <c r="O162" s="65">
        <f t="shared" si="148"/>
        <v>2761.4993114484432</v>
      </c>
      <c r="P162" s="65">
        <f t="shared" si="148"/>
        <v>3233.4714693191859</v>
      </c>
      <c r="Q162" s="65">
        <f t="shared" si="148"/>
        <v>3277.8596196304775</v>
      </c>
      <c r="R162" s="65">
        <f t="shared" si="148"/>
        <v>2946.9754308406873</v>
      </c>
      <c r="S162" s="65">
        <f t="shared" si="148"/>
        <v>2896.6321577814442</v>
      </c>
      <c r="T162" s="65">
        <f t="shared" si="148"/>
        <v>3093.1652785823917</v>
      </c>
      <c r="U162" s="65">
        <f t="shared" si="148"/>
        <v>3110.1133824449289</v>
      </c>
      <c r="V162" s="65">
        <f t="shared" si="148"/>
        <v>2917.5868237966583</v>
      </c>
      <c r="W162" s="65">
        <f t="shared" si="148"/>
        <v>3055.2365159899741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472.59797565136108</v>
      </c>
      <c r="C163" s="65">
        <f t="shared" ref="C163:W163" si="150">IF(C109=0,0,C109/C$23)</f>
        <v>481.94529575521886</v>
      </c>
      <c r="D163" s="65">
        <f t="shared" si="150"/>
        <v>446.36797936996965</v>
      </c>
      <c r="E163" s="65">
        <f t="shared" si="150"/>
        <v>651.31213873512536</v>
      </c>
      <c r="F163" s="65">
        <f t="shared" si="150"/>
        <v>536.02563768570064</v>
      </c>
      <c r="G163" s="65">
        <f t="shared" si="150"/>
        <v>607.13976878127255</v>
      </c>
      <c r="H163" s="65">
        <f t="shared" si="150"/>
        <v>774.16837769780443</v>
      </c>
      <c r="I163" s="65">
        <f t="shared" si="150"/>
        <v>541.37677969239019</v>
      </c>
      <c r="J163" s="65">
        <f t="shared" si="150"/>
        <v>548.03295162370182</v>
      </c>
      <c r="K163" s="65">
        <f t="shared" si="150"/>
        <v>708.07540660093605</v>
      </c>
      <c r="L163" s="65">
        <f t="shared" si="150"/>
        <v>1021.8196655838566</v>
      </c>
      <c r="M163" s="65">
        <f t="shared" si="150"/>
        <v>696.65951760110795</v>
      </c>
      <c r="N163" s="65">
        <f t="shared" si="150"/>
        <v>776.63959186394754</v>
      </c>
      <c r="O163" s="65">
        <f t="shared" si="150"/>
        <v>1037.686070267403</v>
      </c>
      <c r="P163" s="65">
        <f t="shared" si="150"/>
        <v>698.74836650055772</v>
      </c>
      <c r="Q163" s="65">
        <f t="shared" si="150"/>
        <v>819.2773168980217</v>
      </c>
      <c r="R163" s="65">
        <f t="shared" si="150"/>
        <v>1222.3010958205177</v>
      </c>
      <c r="S163" s="65">
        <f t="shared" si="150"/>
        <v>1155.160644307311</v>
      </c>
      <c r="T163" s="65">
        <f t="shared" si="150"/>
        <v>993.86805495866986</v>
      </c>
      <c r="U163" s="65">
        <f t="shared" si="150"/>
        <v>782.31303032652295</v>
      </c>
      <c r="V163" s="65">
        <f t="shared" si="150"/>
        <v>1163.8810795840423</v>
      </c>
      <c r="W163" s="65">
        <f t="shared" si="150"/>
        <v>719.31459504070745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468.48311501593349</v>
      </c>
      <c r="C164" s="65">
        <f t="shared" ref="C164:W164" si="152">IF(C110=0,0,C110/C$23)</f>
        <v>476.52913402878499</v>
      </c>
      <c r="D164" s="65">
        <f t="shared" si="152"/>
        <v>487.03571471242651</v>
      </c>
      <c r="E164" s="65">
        <f t="shared" si="152"/>
        <v>485.5505509069489</v>
      </c>
      <c r="F164" s="65">
        <f t="shared" si="152"/>
        <v>490.83287042779267</v>
      </c>
      <c r="G164" s="65">
        <f t="shared" si="152"/>
        <v>496.16295302491068</v>
      </c>
      <c r="H164" s="65">
        <f t="shared" si="152"/>
        <v>495.84291344215251</v>
      </c>
      <c r="I164" s="65">
        <f t="shared" si="152"/>
        <v>509.13810604198062</v>
      </c>
      <c r="J164" s="65">
        <f t="shared" si="152"/>
        <v>505.82586167882982</v>
      </c>
      <c r="K164" s="65">
        <f t="shared" si="152"/>
        <v>519.30585011511005</v>
      </c>
      <c r="L164" s="65">
        <f t="shared" si="152"/>
        <v>525.32876529837972</v>
      </c>
      <c r="M164" s="65">
        <f t="shared" si="152"/>
        <v>552.56900496316882</v>
      </c>
      <c r="N164" s="65">
        <f t="shared" si="152"/>
        <v>563.88960437194896</v>
      </c>
      <c r="O164" s="65">
        <f t="shared" si="152"/>
        <v>577.30124369002192</v>
      </c>
      <c r="P164" s="65">
        <f t="shared" si="152"/>
        <v>571.56582919627272</v>
      </c>
      <c r="Q164" s="65">
        <f t="shared" si="152"/>
        <v>570.96913103825057</v>
      </c>
      <c r="R164" s="65">
        <f t="shared" si="152"/>
        <v>560.40808982391763</v>
      </c>
      <c r="S164" s="65">
        <f t="shared" si="152"/>
        <v>542.61228660875145</v>
      </c>
      <c r="T164" s="65">
        <f t="shared" si="152"/>
        <v>534.00706031543416</v>
      </c>
      <c r="U164" s="65">
        <f t="shared" si="152"/>
        <v>532.2120209588594</v>
      </c>
      <c r="V164" s="65">
        <f t="shared" si="152"/>
        <v>475.06221188915111</v>
      </c>
      <c r="W164" s="65">
        <f t="shared" si="152"/>
        <v>517.57937060014217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433.91635234665864</v>
      </c>
      <c r="C165" s="68">
        <f t="shared" ref="C165:W165" si="154">IF(C111=0,0,C111/C$23)</f>
        <v>453.59705767016806</v>
      </c>
      <c r="D165" s="68">
        <f t="shared" si="154"/>
        <v>490.14914028453228</v>
      </c>
      <c r="E165" s="68">
        <f t="shared" si="154"/>
        <v>507.92881541999952</v>
      </c>
      <c r="F165" s="68">
        <f t="shared" si="154"/>
        <v>512.80481602150269</v>
      </c>
      <c r="G165" s="68">
        <f t="shared" si="154"/>
        <v>515.88351655154543</v>
      </c>
      <c r="H165" s="68">
        <f t="shared" si="154"/>
        <v>529.31686029553475</v>
      </c>
      <c r="I165" s="68">
        <f t="shared" si="154"/>
        <v>533.91040364990079</v>
      </c>
      <c r="J165" s="68">
        <f t="shared" si="154"/>
        <v>544.50438869546861</v>
      </c>
      <c r="K165" s="68">
        <f t="shared" si="154"/>
        <v>544.74609553717232</v>
      </c>
      <c r="L165" s="68">
        <f t="shared" si="154"/>
        <v>555.70758085122907</v>
      </c>
      <c r="M165" s="68">
        <f t="shared" si="154"/>
        <v>558.04483717187395</v>
      </c>
      <c r="N165" s="68">
        <f t="shared" si="154"/>
        <v>576.26220251234508</v>
      </c>
      <c r="O165" s="68">
        <f t="shared" si="154"/>
        <v>549.65301688756483</v>
      </c>
      <c r="P165" s="68">
        <f t="shared" si="154"/>
        <v>574.76761540504287</v>
      </c>
      <c r="Q165" s="68">
        <f t="shared" si="154"/>
        <v>572.40608379307525</v>
      </c>
      <c r="R165" s="68">
        <f t="shared" si="154"/>
        <v>573.44665862140516</v>
      </c>
      <c r="S165" s="68">
        <f t="shared" si="154"/>
        <v>571.09298686166005</v>
      </c>
      <c r="T165" s="68">
        <f t="shared" si="154"/>
        <v>566.85801036118278</v>
      </c>
      <c r="U165" s="68">
        <f t="shared" si="154"/>
        <v>560.6678612793196</v>
      </c>
      <c r="V165" s="68">
        <f t="shared" si="154"/>
        <v>542.75365248882565</v>
      </c>
      <c r="W165" s="68">
        <f t="shared" si="154"/>
        <v>545.41519801349352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469.39785258966981</v>
      </c>
      <c r="C167" s="82">
        <f t="shared" ref="C167:W167" si="156">IF(C113=0,0,C113/C$23)</f>
        <v>500.77518568363791</v>
      </c>
      <c r="D167" s="82">
        <f t="shared" si="156"/>
        <v>533.93329386506184</v>
      </c>
      <c r="E167" s="82">
        <f t="shared" si="156"/>
        <v>556.97582982630934</v>
      </c>
      <c r="F167" s="82">
        <f t="shared" si="156"/>
        <v>667.79398450242786</v>
      </c>
      <c r="G167" s="82">
        <f t="shared" si="156"/>
        <v>739.79593015706143</v>
      </c>
      <c r="H167" s="82">
        <f t="shared" si="156"/>
        <v>693.92769189532191</v>
      </c>
      <c r="I167" s="82">
        <f t="shared" si="156"/>
        <v>638.22258651173252</v>
      </c>
      <c r="J167" s="82">
        <f t="shared" si="156"/>
        <v>517.46273037478261</v>
      </c>
      <c r="K167" s="82">
        <f t="shared" si="156"/>
        <v>590.86192382468334</v>
      </c>
      <c r="L167" s="82">
        <f t="shared" si="156"/>
        <v>403.23670602518615</v>
      </c>
      <c r="M167" s="82">
        <f t="shared" si="156"/>
        <v>362.88763059990237</v>
      </c>
      <c r="N167" s="82">
        <f t="shared" si="156"/>
        <v>329.50127417144563</v>
      </c>
      <c r="O167" s="82">
        <f t="shared" si="156"/>
        <v>329.04184206066651</v>
      </c>
      <c r="P167" s="82">
        <f t="shared" si="156"/>
        <v>334.93641689407019</v>
      </c>
      <c r="Q167" s="82">
        <f t="shared" si="156"/>
        <v>359.65100196398498</v>
      </c>
      <c r="R167" s="82">
        <f t="shared" si="156"/>
        <v>336.05926563515641</v>
      </c>
      <c r="S167" s="82">
        <f t="shared" si="156"/>
        <v>321.23188482767318</v>
      </c>
      <c r="T167" s="82">
        <f t="shared" si="156"/>
        <v>338.28054217870977</v>
      </c>
      <c r="U167" s="82">
        <f t="shared" si="156"/>
        <v>324.73734999842236</v>
      </c>
      <c r="V167" s="82">
        <f t="shared" si="156"/>
        <v>261.34213579079562</v>
      </c>
      <c r="W167" s="82">
        <f t="shared" si="156"/>
        <v>271.91730183624986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469.39785258966981</v>
      </c>
      <c r="C168" s="64">
        <f t="shared" ref="C168:W168" si="158">IF(C114=0,0,C114/C$23)</f>
        <v>500.77518568363791</v>
      </c>
      <c r="D168" s="64">
        <f t="shared" si="158"/>
        <v>533.93329386506184</v>
      </c>
      <c r="E168" s="64">
        <f t="shared" si="158"/>
        <v>556.97582982630934</v>
      </c>
      <c r="F168" s="64">
        <f t="shared" si="158"/>
        <v>667.79398450242786</v>
      </c>
      <c r="G168" s="64">
        <f t="shared" si="158"/>
        <v>739.79593015706143</v>
      </c>
      <c r="H168" s="64">
        <f t="shared" si="158"/>
        <v>693.92769189532191</v>
      </c>
      <c r="I168" s="64">
        <f t="shared" si="158"/>
        <v>638.22258651173252</v>
      </c>
      <c r="J168" s="64">
        <f t="shared" si="158"/>
        <v>517.46273037478261</v>
      </c>
      <c r="K168" s="64">
        <f t="shared" si="158"/>
        <v>590.86192382468334</v>
      </c>
      <c r="L168" s="64">
        <f t="shared" si="158"/>
        <v>403.23670602518615</v>
      </c>
      <c r="M168" s="64">
        <f t="shared" si="158"/>
        <v>362.88763059990237</v>
      </c>
      <c r="N168" s="64">
        <f t="shared" si="158"/>
        <v>329.50127417144563</v>
      </c>
      <c r="O168" s="64">
        <f t="shared" si="158"/>
        <v>329.04184206066651</v>
      </c>
      <c r="P168" s="64">
        <f t="shared" si="158"/>
        <v>334.93641689407019</v>
      </c>
      <c r="Q168" s="64">
        <f t="shared" si="158"/>
        <v>359.65100196398498</v>
      </c>
      <c r="R168" s="64">
        <f t="shared" si="158"/>
        <v>336.05926563515641</v>
      </c>
      <c r="S168" s="64">
        <f t="shared" si="158"/>
        <v>321.23188482767318</v>
      </c>
      <c r="T168" s="64">
        <f t="shared" si="158"/>
        <v>338.28054217870977</v>
      </c>
      <c r="U168" s="64">
        <f t="shared" si="158"/>
        <v>324.73734999842236</v>
      </c>
      <c r="V168" s="64">
        <f t="shared" si="158"/>
        <v>261.34213579079562</v>
      </c>
      <c r="W168" s="64">
        <f t="shared" si="158"/>
        <v>271.91730183624986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316.45280880567498</v>
      </c>
      <c r="C169" s="65">
        <f t="shared" ref="C169:W169" si="160">IF(C115=0,0,C115/C$23)</f>
        <v>365.9522205001204</v>
      </c>
      <c r="D169" s="65">
        <f t="shared" si="160"/>
        <v>385.51112643392094</v>
      </c>
      <c r="E169" s="65">
        <f t="shared" si="160"/>
        <v>406.52242036789164</v>
      </c>
      <c r="F169" s="65">
        <f t="shared" si="160"/>
        <v>509.7027964969576</v>
      </c>
      <c r="G169" s="65">
        <f t="shared" si="160"/>
        <v>552.47468550229928</v>
      </c>
      <c r="H169" s="65">
        <f t="shared" si="160"/>
        <v>518.00402354483469</v>
      </c>
      <c r="I169" s="65">
        <f t="shared" si="160"/>
        <v>458.31309311316249</v>
      </c>
      <c r="J169" s="65">
        <f t="shared" si="160"/>
        <v>330.88305197371278</v>
      </c>
      <c r="K169" s="65">
        <f t="shared" si="160"/>
        <v>408.59170507891946</v>
      </c>
      <c r="L169" s="65">
        <f t="shared" si="160"/>
        <v>264.97778705065929</v>
      </c>
      <c r="M169" s="65">
        <f t="shared" si="160"/>
        <v>221.70920832925876</v>
      </c>
      <c r="N169" s="65">
        <f t="shared" si="160"/>
        <v>187.00648459673511</v>
      </c>
      <c r="O169" s="65">
        <f t="shared" si="160"/>
        <v>174.05818527635572</v>
      </c>
      <c r="P169" s="65">
        <f t="shared" si="160"/>
        <v>159.69648421778433</v>
      </c>
      <c r="Q169" s="65">
        <f t="shared" si="160"/>
        <v>177.62618887768426</v>
      </c>
      <c r="R169" s="65">
        <f t="shared" si="160"/>
        <v>159.07035647161425</v>
      </c>
      <c r="S169" s="65">
        <f t="shared" si="160"/>
        <v>147.27712491611376</v>
      </c>
      <c r="T169" s="65">
        <f t="shared" si="160"/>
        <v>148.79081054429332</v>
      </c>
      <c r="U169" s="65">
        <f t="shared" si="160"/>
        <v>139.66226229076469</v>
      </c>
      <c r="V169" s="65">
        <f t="shared" si="160"/>
        <v>106.18786715867255</v>
      </c>
      <c r="W169" s="65">
        <f t="shared" si="160"/>
        <v>125.48935244702847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0.19177176512583746</v>
      </c>
      <c r="C170" s="65">
        <f t="shared" ref="C170:W170" si="162">IF(C116=0,0,C116/C$23)</f>
        <v>0.19965723054713747</v>
      </c>
      <c r="D170" s="65">
        <f t="shared" si="162"/>
        <v>0.16841456476190381</v>
      </c>
      <c r="E170" s="65">
        <f t="shared" si="162"/>
        <v>0.22432141072660614</v>
      </c>
      <c r="F170" s="65">
        <f t="shared" si="162"/>
        <v>0.20925532700385863</v>
      </c>
      <c r="G170" s="65">
        <f t="shared" si="162"/>
        <v>0.2376250580181796</v>
      </c>
      <c r="H170" s="65">
        <f t="shared" si="162"/>
        <v>0.31325576144465711</v>
      </c>
      <c r="I170" s="65">
        <f t="shared" si="162"/>
        <v>0.2719663965203632</v>
      </c>
      <c r="J170" s="65">
        <f t="shared" si="162"/>
        <v>0.31212008082295306</v>
      </c>
      <c r="K170" s="65">
        <f t="shared" si="162"/>
        <v>0.48219490615612109</v>
      </c>
      <c r="L170" s="65">
        <f t="shared" si="162"/>
        <v>0.7099493666452259</v>
      </c>
      <c r="M170" s="65">
        <f t="shared" si="162"/>
        <v>0.55418001463317745</v>
      </c>
      <c r="N170" s="65">
        <f t="shared" si="162"/>
        <v>0.65125397195518353</v>
      </c>
      <c r="O170" s="65">
        <f t="shared" si="162"/>
        <v>0.97695951311806573</v>
      </c>
      <c r="P170" s="65">
        <f t="shared" si="162"/>
        <v>0.72836529000942518</v>
      </c>
      <c r="Q170" s="65">
        <f t="shared" si="162"/>
        <v>0.98791103527145996</v>
      </c>
      <c r="R170" s="65">
        <f t="shared" si="162"/>
        <v>1.7578958776753113</v>
      </c>
      <c r="S170" s="65">
        <f t="shared" si="162"/>
        <v>1.8310203874418616</v>
      </c>
      <c r="T170" s="65">
        <f t="shared" si="162"/>
        <v>1.7075293801456239</v>
      </c>
      <c r="U170" s="65">
        <f t="shared" si="162"/>
        <v>1.4861888283149267</v>
      </c>
      <c r="V170" s="65">
        <f t="shared" si="162"/>
        <v>2.1852637119087261</v>
      </c>
      <c r="W170" s="65">
        <f t="shared" si="162"/>
        <v>1.4134692407865828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100.87334426039435</v>
      </c>
      <c r="C171" s="65">
        <f t="shared" ref="C171:W171" si="164">IF(C117=0,0,C117/C$23)</f>
        <v>94.512901853177681</v>
      </c>
      <c r="D171" s="65">
        <f t="shared" si="164"/>
        <v>88.51469789732171</v>
      </c>
      <c r="E171" s="65">
        <f t="shared" si="164"/>
        <v>84.894226883123693</v>
      </c>
      <c r="F171" s="65">
        <f t="shared" si="164"/>
        <v>81.673829337106127</v>
      </c>
      <c r="G171" s="65">
        <f t="shared" si="164"/>
        <v>79.920021074585449</v>
      </c>
      <c r="H171" s="65">
        <f t="shared" si="164"/>
        <v>78.612801152316436</v>
      </c>
      <c r="I171" s="65">
        <f t="shared" si="164"/>
        <v>77.910148870373519</v>
      </c>
      <c r="J171" s="65">
        <f t="shared" si="164"/>
        <v>75.050959307854569</v>
      </c>
      <c r="K171" s="65">
        <f t="shared" si="164"/>
        <v>74.198738983997302</v>
      </c>
      <c r="L171" s="65">
        <f t="shared" si="164"/>
        <v>75.259145371446834</v>
      </c>
      <c r="M171" s="65">
        <f t="shared" si="164"/>
        <v>77.395825381237003</v>
      </c>
      <c r="N171" s="65">
        <f t="shared" si="164"/>
        <v>80.034039618010993</v>
      </c>
      <c r="O171" s="65">
        <f t="shared" si="164"/>
        <v>81.672021757207702</v>
      </c>
      <c r="P171" s="65">
        <f t="shared" si="164"/>
        <v>79.72607530000468</v>
      </c>
      <c r="Q171" s="65">
        <f t="shared" si="164"/>
        <v>78.953260630163285</v>
      </c>
      <c r="R171" s="65">
        <f t="shared" si="164"/>
        <v>78.287162873119414</v>
      </c>
      <c r="S171" s="65">
        <f t="shared" si="164"/>
        <v>77.323059936052573</v>
      </c>
      <c r="T171" s="65">
        <f t="shared" si="164"/>
        <v>76.359953295481262</v>
      </c>
      <c r="U171" s="65">
        <f t="shared" si="164"/>
        <v>75.582487046086797</v>
      </c>
      <c r="V171" s="65">
        <f t="shared" si="164"/>
        <v>68.998419207069134</v>
      </c>
      <c r="W171" s="65">
        <f t="shared" si="164"/>
        <v>71.660492765366897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51.879927758474658</v>
      </c>
      <c r="C172" s="67">
        <f t="shared" ref="C172:W172" si="166">IF(C118=0,0,C118/C$23)</f>
        <v>40.11040609979262</v>
      </c>
      <c r="D172" s="67">
        <f t="shared" si="166"/>
        <v>59.739054969057136</v>
      </c>
      <c r="E172" s="67">
        <f t="shared" si="166"/>
        <v>65.334861164567329</v>
      </c>
      <c r="F172" s="67">
        <f t="shared" si="166"/>
        <v>76.208103341360186</v>
      </c>
      <c r="G172" s="67">
        <f t="shared" si="166"/>
        <v>107.16359852215838</v>
      </c>
      <c r="H172" s="67">
        <f t="shared" si="166"/>
        <v>96.997611436726075</v>
      </c>
      <c r="I172" s="67">
        <f t="shared" si="166"/>
        <v>101.72737813167602</v>
      </c>
      <c r="J172" s="67">
        <f t="shared" si="166"/>
        <v>111.21659901239238</v>
      </c>
      <c r="K172" s="67">
        <f t="shared" si="166"/>
        <v>107.58928485561044</v>
      </c>
      <c r="L172" s="67">
        <f t="shared" si="166"/>
        <v>62.289824236434697</v>
      </c>
      <c r="M172" s="67">
        <f t="shared" si="166"/>
        <v>63.228416874773473</v>
      </c>
      <c r="N172" s="67">
        <f t="shared" si="166"/>
        <v>61.809495984744274</v>
      </c>
      <c r="O172" s="67">
        <f t="shared" si="166"/>
        <v>72.334675513985019</v>
      </c>
      <c r="P172" s="67">
        <f t="shared" si="166"/>
        <v>94.785492086271717</v>
      </c>
      <c r="Q172" s="67">
        <f t="shared" si="166"/>
        <v>102.08364142086596</v>
      </c>
      <c r="R172" s="67">
        <f t="shared" si="166"/>
        <v>96.943850412747437</v>
      </c>
      <c r="S172" s="67">
        <f t="shared" si="166"/>
        <v>94.800679588064952</v>
      </c>
      <c r="T172" s="67">
        <f t="shared" si="166"/>
        <v>111.4222489587895</v>
      </c>
      <c r="U172" s="67">
        <f t="shared" si="166"/>
        <v>108.00641183325602</v>
      </c>
      <c r="V172" s="67">
        <f t="shared" si="166"/>
        <v>83.970585713145226</v>
      </c>
      <c r="W172" s="67">
        <f t="shared" si="166"/>
        <v>73.353987383067945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160632.62150341424</v>
      </c>
      <c r="C3" s="125">
        <f t="shared" si="0"/>
        <v>166267.1404075743</v>
      </c>
      <c r="D3" s="125">
        <f t="shared" si="0"/>
        <v>168766.27711969288</v>
      </c>
      <c r="E3" s="125">
        <f t="shared" si="0"/>
        <v>170423.33543133124</v>
      </c>
      <c r="F3" s="125">
        <f t="shared" si="0"/>
        <v>173372.03545299495</v>
      </c>
      <c r="G3" s="125">
        <f t="shared" si="0"/>
        <v>176760.22585694995</v>
      </c>
      <c r="H3" s="125">
        <f t="shared" si="0"/>
        <v>181008.06536802661</v>
      </c>
      <c r="I3" s="125">
        <f t="shared" si="0"/>
        <v>184652.02844287755</v>
      </c>
      <c r="J3" s="125">
        <f t="shared" si="0"/>
        <v>186734.77109447692</v>
      </c>
      <c r="K3" s="125">
        <f t="shared" si="0"/>
        <v>187590.41879868033</v>
      </c>
      <c r="L3" s="125">
        <f t="shared" si="0"/>
        <v>188342.74917965918</v>
      </c>
      <c r="M3" s="125">
        <f t="shared" si="0"/>
        <v>189109.83803155227</v>
      </c>
      <c r="N3" s="125">
        <f t="shared" si="0"/>
        <v>189333.34340326634</v>
      </c>
      <c r="O3" s="125">
        <f t="shared" si="0"/>
        <v>190184.70936700969</v>
      </c>
      <c r="P3" s="125">
        <f t="shared" si="0"/>
        <v>191565.01284622183</v>
      </c>
      <c r="Q3" s="125">
        <f t="shared" si="0"/>
        <v>192841.65349043641</v>
      </c>
      <c r="R3" s="125">
        <f t="shared" si="0"/>
        <v>194012.04100112666</v>
      </c>
      <c r="S3" s="125">
        <f t="shared" si="0"/>
        <v>195693.7180254726</v>
      </c>
      <c r="T3" s="125">
        <f t="shared" si="0"/>
        <v>197261.37881119325</v>
      </c>
      <c r="U3" s="125">
        <f t="shared" si="0"/>
        <v>198695.3007043555</v>
      </c>
      <c r="V3" s="125">
        <f t="shared" si="0"/>
        <v>199955.72222222228</v>
      </c>
      <c r="W3" s="125">
        <f t="shared" si="0"/>
        <v>201047.31590284736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160632.62150341424</v>
      </c>
      <c r="C4" s="140">
        <f t="shared" si="1"/>
        <v>166267.1404075743</v>
      </c>
      <c r="D4" s="140">
        <f t="shared" si="1"/>
        <v>168766.27711969288</v>
      </c>
      <c r="E4" s="140">
        <f t="shared" si="1"/>
        <v>170423.33543133124</v>
      </c>
      <c r="F4" s="140">
        <f t="shared" si="1"/>
        <v>173372.03545299495</v>
      </c>
      <c r="G4" s="140">
        <f t="shared" si="1"/>
        <v>176760.22585694995</v>
      </c>
      <c r="H4" s="140">
        <f t="shared" si="1"/>
        <v>181008.06536802661</v>
      </c>
      <c r="I4" s="140">
        <f t="shared" si="1"/>
        <v>184652.02844287755</v>
      </c>
      <c r="J4" s="140">
        <f t="shared" si="1"/>
        <v>186734.77109447692</v>
      </c>
      <c r="K4" s="140">
        <f t="shared" si="1"/>
        <v>187590.41879868033</v>
      </c>
      <c r="L4" s="140">
        <f t="shared" si="1"/>
        <v>188342.74917965918</v>
      </c>
      <c r="M4" s="140">
        <f t="shared" si="1"/>
        <v>189109.83803155227</v>
      </c>
      <c r="N4" s="140">
        <f t="shared" si="1"/>
        <v>189333.34340326634</v>
      </c>
      <c r="O4" s="140">
        <f t="shared" si="1"/>
        <v>190184.70936700969</v>
      </c>
      <c r="P4" s="140">
        <f t="shared" si="1"/>
        <v>191565.01284622183</v>
      </c>
      <c r="Q4" s="140">
        <f t="shared" si="1"/>
        <v>192841.65349043641</v>
      </c>
      <c r="R4" s="140">
        <f t="shared" ref="R4:W4" si="2">SUM(R5:R14)</f>
        <v>194012.04100112666</v>
      </c>
      <c r="S4" s="140">
        <f t="shared" si="2"/>
        <v>195693.7180254726</v>
      </c>
      <c r="T4" s="140">
        <f t="shared" si="2"/>
        <v>197261.37881119325</v>
      </c>
      <c r="U4" s="140">
        <f t="shared" si="2"/>
        <v>198695.3007043555</v>
      </c>
      <c r="V4" s="140">
        <f t="shared" si="2"/>
        <v>199955.72222222228</v>
      </c>
      <c r="W4" s="140">
        <f t="shared" si="2"/>
        <v>201047.31590284736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87872.332942640191</v>
      </c>
      <c r="C7" s="141">
        <v>91209.225385583093</v>
      </c>
      <c r="D7" s="141">
        <v>86676.84260823908</v>
      </c>
      <c r="E7" s="141">
        <v>81621.872942745293</v>
      </c>
      <c r="F7" s="141">
        <v>78310.94134045516</v>
      </c>
      <c r="G7" s="141">
        <v>73132.331647903498</v>
      </c>
      <c r="H7" s="141">
        <v>64954.031843160876</v>
      </c>
      <c r="I7" s="141">
        <v>54340.649060281583</v>
      </c>
      <c r="J7" s="141">
        <v>43041.872217229095</v>
      </c>
      <c r="K7" s="141">
        <v>36162.347938296691</v>
      </c>
      <c r="L7" s="141">
        <v>26182.544834026492</v>
      </c>
      <c r="M7" s="141">
        <v>18442.411897493392</v>
      </c>
      <c r="N7" s="141">
        <v>12258.615081123819</v>
      </c>
      <c r="O7" s="141">
        <v>9833.9625312644039</v>
      </c>
      <c r="P7" s="141">
        <v>8323.8479521353765</v>
      </c>
      <c r="Q7" s="141">
        <v>7948.3111403921021</v>
      </c>
      <c r="R7" s="141">
        <v>7051.3431480289446</v>
      </c>
      <c r="S7" s="141">
        <v>6781.4868740844531</v>
      </c>
      <c r="T7" s="141">
        <v>6653.4874212090417</v>
      </c>
      <c r="U7" s="141">
        <v>7811.5520045763196</v>
      </c>
      <c r="V7" s="141">
        <v>6546.1149620775714</v>
      </c>
      <c r="W7" s="141">
        <v>6961.9266269720529</v>
      </c>
      <c r="DA7" s="171" t="s">
        <v>248</v>
      </c>
    </row>
    <row r="8" spans="1:105" ht="12" customHeight="1" x14ac:dyDescent="0.25">
      <c r="A8" s="132" t="s">
        <v>73</v>
      </c>
      <c r="B8" s="141">
        <v>153.60261984384505</v>
      </c>
      <c r="C8" s="141">
        <v>170.52657275623881</v>
      </c>
      <c r="D8" s="141">
        <v>194.08119102341601</v>
      </c>
      <c r="E8" s="141">
        <v>201.90751720682178</v>
      </c>
      <c r="F8" s="141">
        <v>196.99218019176914</v>
      </c>
      <c r="G8" s="141">
        <v>196.01918243607631</v>
      </c>
      <c r="H8" s="141">
        <v>222.73207634491214</v>
      </c>
      <c r="I8" s="141">
        <v>266.92818300301002</v>
      </c>
      <c r="J8" s="141">
        <v>335.20815058549806</v>
      </c>
      <c r="K8" s="141">
        <v>404.80564462941595</v>
      </c>
      <c r="L8" s="141">
        <v>495.99883612253012</v>
      </c>
      <c r="M8" s="141">
        <v>583.87182716852112</v>
      </c>
      <c r="N8" s="141">
        <v>650.1656394952696</v>
      </c>
      <c r="O8" s="141">
        <v>706.16264399067495</v>
      </c>
      <c r="P8" s="141">
        <v>725.09644438966393</v>
      </c>
      <c r="Q8" s="141">
        <v>741.4214970127282</v>
      </c>
      <c r="R8" s="141">
        <v>738.19432517944642</v>
      </c>
      <c r="S8" s="141">
        <v>711.57617895971327</v>
      </c>
      <c r="T8" s="141">
        <v>678.89992655096489</v>
      </c>
      <c r="U8" s="141">
        <v>671.4443175045534</v>
      </c>
      <c r="V8" s="141">
        <v>692.37083419469616</v>
      </c>
      <c r="W8" s="141">
        <v>718.82750124169024</v>
      </c>
      <c r="DA8" s="171" t="s">
        <v>249</v>
      </c>
    </row>
    <row r="9" spans="1:105" ht="12" customHeight="1" x14ac:dyDescent="0.25">
      <c r="A9" s="132" t="s">
        <v>78</v>
      </c>
      <c r="B9" s="141">
        <v>16221.451346774131</v>
      </c>
      <c r="C9" s="141">
        <v>18721.443879689152</v>
      </c>
      <c r="D9" s="141">
        <v>21228.281338032739</v>
      </c>
      <c r="E9" s="141">
        <v>21594.094359856841</v>
      </c>
      <c r="F9" s="141">
        <v>21145.929253025817</v>
      </c>
      <c r="G9" s="141">
        <v>19629.047973844663</v>
      </c>
      <c r="H9" s="141">
        <v>19954.142780953931</v>
      </c>
      <c r="I9" s="141">
        <v>20807.529668167081</v>
      </c>
      <c r="J9" s="141">
        <v>22244.641462125823</v>
      </c>
      <c r="K9" s="141">
        <v>23336.925354185696</v>
      </c>
      <c r="L9" s="141">
        <v>23721.725145028428</v>
      </c>
      <c r="M9" s="141">
        <v>23972.781348516302</v>
      </c>
      <c r="N9" s="141">
        <v>22800.867785182338</v>
      </c>
      <c r="O9" s="141">
        <v>21304.304410430665</v>
      </c>
      <c r="P9" s="141">
        <v>19861.267872849814</v>
      </c>
      <c r="Q9" s="141">
        <v>20217.779103529563</v>
      </c>
      <c r="R9" s="141">
        <v>21664.995166829638</v>
      </c>
      <c r="S9" s="141">
        <v>22161.314614455252</v>
      </c>
      <c r="T9" s="141">
        <v>21263.258515252888</v>
      </c>
      <c r="U9" s="141">
        <v>19654.670954326157</v>
      </c>
      <c r="V9" s="141">
        <v>18811.8089710856</v>
      </c>
      <c r="W9" s="141">
        <v>17924.780071329737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1348.5574246612859</v>
      </c>
      <c r="N10" s="141">
        <v>1625.7448356002062</v>
      </c>
      <c r="O10" s="141">
        <v>1569.5493814814813</v>
      </c>
      <c r="P10" s="141">
        <v>1414.0853621947795</v>
      </c>
      <c r="Q10" s="141">
        <v>1368.6584035910164</v>
      </c>
      <c r="R10" s="141">
        <v>1419.3613211096238</v>
      </c>
      <c r="S10" s="141">
        <v>1488.8649475113668</v>
      </c>
      <c r="T10" s="141">
        <v>1331.2684530464496</v>
      </c>
      <c r="U10" s="141">
        <v>1136.0039209175252</v>
      </c>
      <c r="V10" s="141">
        <v>904.77039862949141</v>
      </c>
      <c r="W10" s="141">
        <v>905.77542100036601</v>
      </c>
      <c r="DA10" s="171" t="s">
        <v>251</v>
      </c>
    </row>
    <row r="11" spans="1:105" ht="12" customHeight="1" x14ac:dyDescent="0.25">
      <c r="A11" s="132" t="s">
        <v>25</v>
      </c>
      <c r="B11" s="141">
        <v>537.52577427208871</v>
      </c>
      <c r="C11" s="141">
        <v>500.63870701811862</v>
      </c>
      <c r="D11" s="141">
        <v>443.42014686625544</v>
      </c>
      <c r="E11" s="141">
        <v>381.31465292940555</v>
      </c>
      <c r="F11" s="141">
        <v>321.06811628043744</v>
      </c>
      <c r="G11" s="141">
        <v>274.95671054968591</v>
      </c>
      <c r="H11" s="141">
        <v>249.03620504402423</v>
      </c>
      <c r="I11" s="141">
        <v>234.31995084327158</v>
      </c>
      <c r="J11" s="141">
        <v>230.16353813671034</v>
      </c>
      <c r="K11" s="141">
        <v>239.01527696366418</v>
      </c>
      <c r="L11" s="141">
        <v>265.6282298041782</v>
      </c>
      <c r="M11" s="141">
        <v>304.23560340853919</v>
      </c>
      <c r="N11" s="141">
        <v>305.31356249845788</v>
      </c>
      <c r="O11" s="141">
        <v>284.23603632298028</v>
      </c>
      <c r="P11" s="141">
        <v>262.54913003913811</v>
      </c>
      <c r="Q11" s="141">
        <v>264.50804969528025</v>
      </c>
      <c r="R11" s="141">
        <v>272.65710968613519</v>
      </c>
      <c r="S11" s="141">
        <v>289.20027129405889</v>
      </c>
      <c r="T11" s="141">
        <v>292.80408371970901</v>
      </c>
      <c r="U11" s="141">
        <v>284.353972144529</v>
      </c>
      <c r="V11" s="141">
        <v>259.82911320895857</v>
      </c>
      <c r="W11" s="141">
        <v>244.77434717185855</v>
      </c>
      <c r="DA11" s="171" t="s">
        <v>252</v>
      </c>
    </row>
    <row r="12" spans="1:105" ht="12" customHeight="1" x14ac:dyDescent="0.25">
      <c r="A12" s="132" t="s">
        <v>169</v>
      </c>
      <c r="B12" s="141">
        <v>1958.4430307006483</v>
      </c>
      <c r="C12" s="141">
        <v>2639.1514315123773</v>
      </c>
      <c r="D12" s="141">
        <v>3242.3169001374604</v>
      </c>
      <c r="E12" s="141">
        <v>3344.8151891901093</v>
      </c>
      <c r="F12" s="141">
        <v>3250.5259448941774</v>
      </c>
      <c r="G12" s="141">
        <v>2819.5060344075318</v>
      </c>
      <c r="H12" s="141">
        <v>2635.721719836944</v>
      </c>
      <c r="I12" s="141">
        <v>2464.8775352543803</v>
      </c>
      <c r="J12" s="141">
        <v>2510.057574858115</v>
      </c>
      <c r="K12" s="141">
        <v>2642.4130342609501</v>
      </c>
      <c r="L12" s="141">
        <v>3267.9480844498116</v>
      </c>
      <c r="M12" s="141">
        <v>3699.4199652486682</v>
      </c>
      <c r="N12" s="141">
        <v>4260.047493910959</v>
      </c>
      <c r="O12" s="141">
        <v>4333.9162594652116</v>
      </c>
      <c r="P12" s="141">
        <v>4114.7951279322142</v>
      </c>
      <c r="Q12" s="141">
        <v>3880.579531360891</v>
      </c>
      <c r="R12" s="141">
        <v>3820.4240717986199</v>
      </c>
      <c r="S12" s="141">
        <v>3893.3882611241847</v>
      </c>
      <c r="T12" s="141">
        <v>3854.1948775232631</v>
      </c>
      <c r="U12" s="141">
        <v>3835.955697769055</v>
      </c>
      <c r="V12" s="141">
        <v>3890.6373453633505</v>
      </c>
      <c r="W12" s="141">
        <v>3951.4599502057722</v>
      </c>
      <c r="DA12" s="171" t="s">
        <v>253</v>
      </c>
    </row>
    <row r="13" spans="1:105" ht="12" customHeight="1" x14ac:dyDescent="0.25">
      <c r="A13" s="132" t="s">
        <v>77</v>
      </c>
      <c r="B13" s="141">
        <v>8583.9726665601975</v>
      </c>
      <c r="C13" s="141">
        <v>10142.624667324822</v>
      </c>
      <c r="D13" s="141">
        <v>16465.164474052319</v>
      </c>
      <c r="E13" s="141">
        <v>24497.516072882398</v>
      </c>
      <c r="F13" s="141">
        <v>31260.003583589125</v>
      </c>
      <c r="G13" s="141">
        <v>41372.551606024754</v>
      </c>
      <c r="H13" s="141">
        <v>54018.382497529667</v>
      </c>
      <c r="I13" s="141">
        <v>68446.136346455096</v>
      </c>
      <c r="J13" s="141">
        <v>84409.932817289111</v>
      </c>
      <c r="K13" s="141">
        <v>96529.606278378065</v>
      </c>
      <c r="L13" s="141">
        <v>113195.53834653404</v>
      </c>
      <c r="M13" s="141">
        <v>124513.79140527183</v>
      </c>
      <c r="N13" s="141">
        <v>135143.36019476186</v>
      </c>
      <c r="O13" s="141">
        <v>141841.31557280908</v>
      </c>
      <c r="P13" s="141">
        <v>144397.43754866789</v>
      </c>
      <c r="Q13" s="141">
        <v>145054.75503348946</v>
      </c>
      <c r="R13" s="141">
        <v>146809.89543506806</v>
      </c>
      <c r="S13" s="141">
        <v>146800.49901955968</v>
      </c>
      <c r="T13" s="141">
        <v>146097.5923421538</v>
      </c>
      <c r="U13" s="141">
        <v>147610.86755102713</v>
      </c>
      <c r="V13" s="141">
        <v>154144.52992823487</v>
      </c>
      <c r="W13" s="141">
        <v>156612.16322016774</v>
      </c>
      <c r="DA13" s="171" t="s">
        <v>254</v>
      </c>
    </row>
    <row r="14" spans="1:105" ht="12" customHeight="1" x14ac:dyDescent="0.25">
      <c r="A14" s="60" t="s">
        <v>76</v>
      </c>
      <c r="B14" s="142">
        <v>45305.293122623123</v>
      </c>
      <c r="C14" s="142">
        <v>42883.529763690516</v>
      </c>
      <c r="D14" s="142">
        <v>40516.170461341593</v>
      </c>
      <c r="E14" s="142">
        <v>38781.814696520407</v>
      </c>
      <c r="F14" s="142">
        <v>38886.575034558475</v>
      </c>
      <c r="G14" s="142">
        <v>39335.812701783747</v>
      </c>
      <c r="H14" s="142">
        <v>38974.01824515625</v>
      </c>
      <c r="I14" s="142">
        <v>38091.587698873125</v>
      </c>
      <c r="J14" s="142">
        <v>33962.895334252556</v>
      </c>
      <c r="K14" s="142">
        <v>28275.30527196587</v>
      </c>
      <c r="L14" s="142">
        <v>21213.365703693697</v>
      </c>
      <c r="M14" s="142">
        <v>16244.768559783719</v>
      </c>
      <c r="N14" s="142">
        <v>12289.228810693439</v>
      </c>
      <c r="O14" s="142">
        <v>10311.262531245171</v>
      </c>
      <c r="P14" s="142">
        <v>12465.933408012959</v>
      </c>
      <c r="Q14" s="142">
        <v>13365.640731365373</v>
      </c>
      <c r="R14" s="142">
        <v>12235.170423426189</v>
      </c>
      <c r="S14" s="142">
        <v>13567.38785848388</v>
      </c>
      <c r="T14" s="142">
        <v>17089.873191737122</v>
      </c>
      <c r="U14" s="142">
        <v>17690.45228609024</v>
      </c>
      <c r="V14" s="142">
        <v>14705.660669427742</v>
      </c>
      <c r="W14" s="142">
        <v>13727.608764758141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106743.35571423091</v>
      </c>
      <c r="C15" s="144">
        <f t="shared" si="3"/>
        <v>113240.98597655898</v>
      </c>
      <c r="D15" s="144">
        <f t="shared" si="3"/>
        <v>111784.94218429895</v>
      </c>
      <c r="E15" s="144">
        <f t="shared" si="3"/>
        <v>107144.00466192847</v>
      </c>
      <c r="F15" s="144">
        <f t="shared" si="3"/>
        <v>103225.45683484735</v>
      </c>
      <c r="G15" s="144">
        <f t="shared" si="3"/>
        <v>96051.861549141453</v>
      </c>
      <c r="H15" s="144">
        <f t="shared" si="3"/>
        <v>88015.664625340694</v>
      </c>
      <c r="I15" s="144">
        <f t="shared" si="3"/>
        <v>78114.30439754932</v>
      </c>
      <c r="J15" s="144">
        <f t="shared" si="3"/>
        <v>68361.942942935246</v>
      </c>
      <c r="K15" s="144">
        <f t="shared" si="3"/>
        <v>62785.507248336413</v>
      </c>
      <c r="L15" s="144">
        <f t="shared" si="3"/>
        <v>53933.845129431436</v>
      </c>
      <c r="M15" s="144">
        <f t="shared" si="3"/>
        <v>48351.278066496714</v>
      </c>
      <c r="N15" s="144">
        <f t="shared" si="3"/>
        <v>41900.754397811048</v>
      </c>
      <c r="O15" s="144">
        <f t="shared" si="3"/>
        <v>38032.131262955416</v>
      </c>
      <c r="P15" s="144">
        <f t="shared" si="3"/>
        <v>34701.641889540981</v>
      </c>
      <c r="Q15" s="144">
        <f t="shared" si="3"/>
        <v>34421.257725581585</v>
      </c>
      <c r="R15" s="144">
        <f t="shared" ref="R15:W15" si="4">SUM(R5:R12)</f>
        <v>34966.975142632407</v>
      </c>
      <c r="S15" s="144">
        <f t="shared" si="4"/>
        <v>35325.831147429031</v>
      </c>
      <c r="T15" s="144">
        <f t="shared" si="4"/>
        <v>34073.913277302316</v>
      </c>
      <c r="U15" s="144">
        <f t="shared" si="4"/>
        <v>33393.98086723814</v>
      </c>
      <c r="V15" s="144">
        <f t="shared" si="4"/>
        <v>31105.531624559666</v>
      </c>
      <c r="W15" s="144">
        <f t="shared" si="4"/>
        <v>30707.543917921474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56883.948836924843</v>
      </c>
      <c r="C16" s="140">
        <f t="shared" si="5"/>
        <v>60233.380818468198</v>
      </c>
      <c r="D16" s="140">
        <f t="shared" si="5"/>
        <v>63075.402787547799</v>
      </c>
      <c r="E16" s="140">
        <f t="shared" si="5"/>
        <v>64910.491221581622</v>
      </c>
      <c r="F16" s="140">
        <f t="shared" si="5"/>
        <v>65065.916818903381</v>
      </c>
      <c r="G16" s="140">
        <f t="shared" si="5"/>
        <v>67585.048727821166</v>
      </c>
      <c r="H16" s="140">
        <f t="shared" si="5"/>
        <v>72099.140989368985</v>
      </c>
      <c r="I16" s="140">
        <f t="shared" si="5"/>
        <v>77945.142508084289</v>
      </c>
      <c r="J16" s="140">
        <f t="shared" si="5"/>
        <v>82270.256988401627</v>
      </c>
      <c r="K16" s="140">
        <f t="shared" si="5"/>
        <v>86456.076723798324</v>
      </c>
      <c r="L16" s="140">
        <f t="shared" si="5"/>
        <v>90294.234099092326</v>
      </c>
      <c r="M16" s="140">
        <f t="shared" si="5"/>
        <v>92496.956625907842</v>
      </c>
      <c r="N16" s="140">
        <f t="shared" si="5"/>
        <v>94584.681709011624</v>
      </c>
      <c r="O16" s="140">
        <f t="shared" si="5"/>
        <v>95301.796800503434</v>
      </c>
      <c r="P16" s="140">
        <f t="shared" si="5"/>
        <v>97605.011494120816</v>
      </c>
      <c r="Q16" s="140">
        <f t="shared" si="5"/>
        <v>99132.962557205712</v>
      </c>
      <c r="R16" s="140">
        <f t="shared" ref="R16:W16" si="6">SUM(R17:R18)</f>
        <v>100854.897224099</v>
      </c>
      <c r="S16" s="140">
        <f t="shared" si="6"/>
        <v>103627.39683927329</v>
      </c>
      <c r="T16" s="140">
        <f t="shared" si="6"/>
        <v>106127.02107518144</v>
      </c>
      <c r="U16" s="140">
        <f t="shared" si="6"/>
        <v>107908.89616495158</v>
      </c>
      <c r="V16" s="140">
        <f t="shared" si="6"/>
        <v>106438.82138672742</v>
      </c>
      <c r="W16" s="140">
        <f t="shared" si="6"/>
        <v>106368.17064521184</v>
      </c>
      <c r="DA16" s="170" t="s">
        <v>256</v>
      </c>
    </row>
    <row r="17" spans="1:105" ht="12.95" customHeight="1" x14ac:dyDescent="0.25">
      <c r="A17" s="132" t="s">
        <v>73</v>
      </c>
      <c r="B17" s="141">
        <v>147.72522993627672</v>
      </c>
      <c r="C17" s="141">
        <v>153.55667441967356</v>
      </c>
      <c r="D17" s="141">
        <v>146.35901030872557</v>
      </c>
      <c r="E17" s="141">
        <v>137.84517684548865</v>
      </c>
      <c r="F17" s="141">
        <v>157.67963671570936</v>
      </c>
      <c r="G17" s="141">
        <v>164.97937396403898</v>
      </c>
      <c r="H17" s="141">
        <v>182.90712860338022</v>
      </c>
      <c r="I17" s="141">
        <v>246.92774537852478</v>
      </c>
      <c r="J17" s="141">
        <v>296.57168845823304</v>
      </c>
      <c r="K17" s="141">
        <v>373.06771466525373</v>
      </c>
      <c r="L17" s="141">
        <v>397.81294419577375</v>
      </c>
      <c r="M17" s="141">
        <v>467.51340082117883</v>
      </c>
      <c r="N17" s="141">
        <v>505.19580248630933</v>
      </c>
      <c r="O17" s="141">
        <v>575.05127837727093</v>
      </c>
      <c r="P17" s="141">
        <v>658.96591363949085</v>
      </c>
      <c r="Q17" s="141">
        <v>786.46918365434567</v>
      </c>
      <c r="R17" s="141">
        <v>973.10956434532943</v>
      </c>
      <c r="S17" s="141">
        <v>1120.7793622755789</v>
      </c>
      <c r="T17" s="141">
        <v>1277.219992079599</v>
      </c>
      <c r="U17" s="141">
        <v>1447.7325994017226</v>
      </c>
      <c r="V17" s="141">
        <v>1530.1672114053533</v>
      </c>
      <c r="W17" s="141">
        <v>1566.2936283448073</v>
      </c>
      <c r="DA17" s="171" t="s">
        <v>257</v>
      </c>
    </row>
    <row r="18" spans="1:105" ht="12" customHeight="1" x14ac:dyDescent="0.25">
      <c r="A18" s="132" t="s">
        <v>72</v>
      </c>
      <c r="B18" s="141">
        <v>56736.223606988569</v>
      </c>
      <c r="C18" s="141">
        <v>60079.824144048522</v>
      </c>
      <c r="D18" s="141">
        <v>62929.043777239072</v>
      </c>
      <c r="E18" s="141">
        <v>64772.646044736131</v>
      </c>
      <c r="F18" s="141">
        <v>64908.237182187673</v>
      </c>
      <c r="G18" s="141">
        <v>67420.069353857121</v>
      </c>
      <c r="H18" s="141">
        <v>71916.233860765598</v>
      </c>
      <c r="I18" s="141">
        <v>77698.214762705771</v>
      </c>
      <c r="J18" s="141">
        <v>81973.68529994339</v>
      </c>
      <c r="K18" s="141">
        <v>86083.009009133064</v>
      </c>
      <c r="L18" s="141">
        <v>89896.421154896554</v>
      </c>
      <c r="M18" s="141">
        <v>92029.443225086667</v>
      </c>
      <c r="N18" s="141">
        <v>94079.485906525311</v>
      </c>
      <c r="O18" s="141">
        <v>94726.745522126163</v>
      </c>
      <c r="P18" s="141">
        <v>96946.045580481325</v>
      </c>
      <c r="Q18" s="141">
        <v>98346.493373551362</v>
      </c>
      <c r="R18" s="141">
        <v>99881.787659753667</v>
      </c>
      <c r="S18" s="141">
        <v>102506.61747699771</v>
      </c>
      <c r="T18" s="141">
        <v>104849.80108310185</v>
      </c>
      <c r="U18" s="141">
        <v>106461.16356554987</v>
      </c>
      <c r="V18" s="141">
        <v>104908.65417532207</v>
      </c>
      <c r="W18" s="141">
        <v>104801.87701686703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160632.62150341421</v>
      </c>
      <c r="C19" s="140">
        <f t="shared" si="7"/>
        <v>166267.1404075743</v>
      </c>
      <c r="D19" s="140">
        <f t="shared" si="7"/>
        <v>168766.27711969288</v>
      </c>
      <c r="E19" s="140">
        <f t="shared" si="7"/>
        <v>170423.33543133133</v>
      </c>
      <c r="F19" s="140">
        <f t="shared" si="7"/>
        <v>173372.03545299495</v>
      </c>
      <c r="G19" s="140">
        <f t="shared" si="7"/>
        <v>176760.22585694995</v>
      </c>
      <c r="H19" s="140">
        <f t="shared" si="7"/>
        <v>181008.06536802655</v>
      </c>
      <c r="I19" s="140">
        <f t="shared" si="7"/>
        <v>184652.02844287755</v>
      </c>
      <c r="J19" s="140">
        <f t="shared" si="7"/>
        <v>186734.77109447695</v>
      </c>
      <c r="K19" s="140">
        <f t="shared" si="7"/>
        <v>187590.41879868042</v>
      </c>
      <c r="L19" s="140">
        <f t="shared" si="7"/>
        <v>188342.74917965909</v>
      </c>
      <c r="M19" s="140">
        <f t="shared" si="7"/>
        <v>189109.83803155232</v>
      </c>
      <c r="N19" s="140">
        <f t="shared" si="7"/>
        <v>189333.34340326634</v>
      </c>
      <c r="O19" s="140">
        <f t="shared" si="7"/>
        <v>190184.70936700964</v>
      </c>
      <c r="P19" s="140">
        <f t="shared" si="7"/>
        <v>191565.01284622186</v>
      </c>
      <c r="Q19" s="140">
        <f t="shared" si="7"/>
        <v>192841.65349043626</v>
      </c>
      <c r="R19" s="140">
        <f t="shared" ref="R19:W19" si="8">SUM(R20:R26)</f>
        <v>194012.04100112675</v>
      </c>
      <c r="S19" s="140">
        <f t="shared" si="8"/>
        <v>195693.71802547254</v>
      </c>
      <c r="T19" s="140">
        <f t="shared" si="8"/>
        <v>197261.37881119322</v>
      </c>
      <c r="U19" s="140">
        <f t="shared" si="8"/>
        <v>198695.30070435547</v>
      </c>
      <c r="V19" s="140">
        <f t="shared" si="8"/>
        <v>199955.72222222213</v>
      </c>
      <c r="W19" s="140">
        <f t="shared" si="8"/>
        <v>201047.31590284751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9335.083970444517</v>
      </c>
      <c r="C21" s="141">
        <v>8832.5174162955373</v>
      </c>
      <c r="D21" s="141">
        <v>8390.5179498466114</v>
      </c>
      <c r="E21" s="141">
        <v>8089.0348878405248</v>
      </c>
      <c r="F21" s="141">
        <v>7944.3488860257075</v>
      </c>
      <c r="G21" s="141">
        <v>7884.8055826837926</v>
      </c>
      <c r="H21" s="141">
        <v>7885.1844609170985</v>
      </c>
      <c r="I21" s="141">
        <v>7912.700336023785</v>
      </c>
      <c r="J21" s="141">
        <v>7907.635878629022</v>
      </c>
      <c r="K21" s="141">
        <v>7857.0102572532069</v>
      </c>
      <c r="L21" s="141">
        <v>7751.5684495015848</v>
      </c>
      <c r="M21" s="141">
        <v>7669.5836856560945</v>
      </c>
      <c r="N21" s="141">
        <v>7663.4285714437292</v>
      </c>
      <c r="O21" s="141">
        <v>7687.2911284141665</v>
      </c>
      <c r="P21" s="141">
        <v>7738.6636613884966</v>
      </c>
      <c r="Q21" s="141">
        <v>7822.1178337466654</v>
      </c>
      <c r="R21" s="141">
        <v>7946.1912573119907</v>
      </c>
      <c r="S21" s="141">
        <v>8092.3611394202517</v>
      </c>
      <c r="T21" s="141">
        <v>8364.6723621029505</v>
      </c>
      <c r="U21" s="141">
        <v>8619.2870183069263</v>
      </c>
      <c r="V21" s="141">
        <v>8766.5281998805949</v>
      </c>
      <c r="W21" s="141">
        <v>8816.932617797178</v>
      </c>
      <c r="DA21" s="171" t="s">
        <v>261</v>
      </c>
    </row>
    <row r="22" spans="1:105" ht="12" customHeight="1" x14ac:dyDescent="0.25">
      <c r="A22" s="132" t="s">
        <v>168</v>
      </c>
      <c r="B22" s="141">
        <v>46622.505575441224</v>
      </c>
      <c r="C22" s="141">
        <v>44289.638720627743</v>
      </c>
      <c r="D22" s="141">
        <v>41321.850416869413</v>
      </c>
      <c r="E22" s="141">
        <v>39020.271134354916</v>
      </c>
      <c r="F22" s="141">
        <v>37180.187323037782</v>
      </c>
      <c r="G22" s="141">
        <v>35951.120758781813</v>
      </c>
      <c r="H22" s="141">
        <v>35029.62177740979</v>
      </c>
      <c r="I22" s="141">
        <v>33940.390215462714</v>
      </c>
      <c r="J22" s="141">
        <v>32748.03110247611</v>
      </c>
      <c r="K22" s="141">
        <v>31520.746528437499</v>
      </c>
      <c r="L22" s="141">
        <v>30870.061970933009</v>
      </c>
      <c r="M22" s="141">
        <v>30692.473922538811</v>
      </c>
      <c r="N22" s="141">
        <v>31024.925806123738</v>
      </c>
      <c r="O22" s="141">
        <v>31486.692920726182</v>
      </c>
      <c r="P22" s="141">
        <v>31657.259486400555</v>
      </c>
      <c r="Q22" s="141">
        <v>31841.869286346315</v>
      </c>
      <c r="R22" s="141">
        <v>32253.333505554489</v>
      </c>
      <c r="S22" s="141">
        <v>33209.680219886992</v>
      </c>
      <c r="T22" s="141">
        <v>34783.861880608289</v>
      </c>
      <c r="U22" s="141">
        <v>36540.146994832474</v>
      </c>
      <c r="V22" s="141">
        <v>39116.67822483513</v>
      </c>
      <c r="W22" s="141">
        <v>40094.642022989348</v>
      </c>
      <c r="DA22" s="171" t="s">
        <v>262</v>
      </c>
    </row>
    <row r="23" spans="1:105" ht="12" customHeight="1" x14ac:dyDescent="0.25">
      <c r="A23" s="132" t="s">
        <v>153</v>
      </c>
      <c r="B23" s="141">
        <v>12768.36690917351</v>
      </c>
      <c r="C23" s="141">
        <v>13148.576653788152</v>
      </c>
      <c r="D23" s="141">
        <v>13561.77393217401</v>
      </c>
      <c r="E23" s="141">
        <v>14065.012244701416</v>
      </c>
      <c r="F23" s="141">
        <v>14719.744531500766</v>
      </c>
      <c r="G23" s="141">
        <v>15773.255571572307</v>
      </c>
      <c r="H23" s="141">
        <v>17184.673164620657</v>
      </c>
      <c r="I23" s="141">
        <v>18792.164843993502</v>
      </c>
      <c r="J23" s="141">
        <v>20361.82456863773</v>
      </c>
      <c r="K23" s="141">
        <v>21799.652491775531</v>
      </c>
      <c r="L23" s="141">
        <v>23430.229642719631</v>
      </c>
      <c r="M23" s="141">
        <v>25025.032723665259</v>
      </c>
      <c r="N23" s="141">
        <v>26723.202669643571</v>
      </c>
      <c r="O23" s="141">
        <v>28150.770179444135</v>
      </c>
      <c r="P23" s="141">
        <v>29403.831740216603</v>
      </c>
      <c r="Q23" s="141">
        <v>31012.076764316756</v>
      </c>
      <c r="R23" s="141">
        <v>33273.963585487269</v>
      </c>
      <c r="S23" s="141">
        <v>35757.450667997393</v>
      </c>
      <c r="T23" s="141">
        <v>37753.464228338089</v>
      </c>
      <c r="U23" s="141">
        <v>39022.680509768528</v>
      </c>
      <c r="V23" s="141">
        <v>39596.97371749083</v>
      </c>
      <c r="W23" s="141">
        <v>39709.150402442363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1616.7747310030295</v>
      </c>
      <c r="C25" s="141">
        <v>2057.9962461437958</v>
      </c>
      <c r="D25" s="141">
        <v>2485.3054948441863</v>
      </c>
      <c r="E25" s="141">
        <v>2727.2921925741662</v>
      </c>
      <c r="F25" s="141">
        <v>2700.5555158418415</v>
      </c>
      <c r="G25" s="141">
        <v>2558.7551689210859</v>
      </c>
      <c r="H25" s="141">
        <v>2420.1719375523953</v>
      </c>
      <c r="I25" s="141">
        <v>2293.8839883410269</v>
      </c>
      <c r="J25" s="141">
        <v>1967.1521375779782</v>
      </c>
      <c r="K25" s="141">
        <v>1843.4323336225536</v>
      </c>
      <c r="L25" s="141">
        <v>1825.8858940029781</v>
      </c>
      <c r="M25" s="141">
        <v>2051.0437336709465</v>
      </c>
      <c r="N25" s="141">
        <v>2476.8462054427632</v>
      </c>
      <c r="O25" s="141">
        <v>2923.1965616082084</v>
      </c>
      <c r="P25" s="141">
        <v>3179.6246497731581</v>
      </c>
      <c r="Q25" s="141">
        <v>3320.0863395037927</v>
      </c>
      <c r="R25" s="141">
        <v>3315.4628790460565</v>
      </c>
      <c r="S25" s="141">
        <v>3250.900829213113</v>
      </c>
      <c r="T25" s="141">
        <v>3023.6263084044772</v>
      </c>
      <c r="U25" s="141">
        <v>2656.092995645301</v>
      </c>
      <c r="V25" s="141">
        <v>2324.4165321099013</v>
      </c>
      <c r="W25" s="141">
        <v>2226.2394937387285</v>
      </c>
      <c r="DA25" s="171" t="s">
        <v>265</v>
      </c>
    </row>
    <row r="26" spans="1:105" ht="12" customHeight="1" x14ac:dyDescent="0.25">
      <c r="A26" s="132" t="s">
        <v>24</v>
      </c>
      <c r="B26" s="142">
        <v>90289.890317351936</v>
      </c>
      <c r="C26" s="142">
        <v>97938.411370719085</v>
      </c>
      <c r="D26" s="142">
        <v>103006.82932595866</v>
      </c>
      <c r="E26" s="142">
        <v>106521.72497186031</v>
      </c>
      <c r="F26" s="142">
        <v>110827.19919658886</v>
      </c>
      <c r="G26" s="142">
        <v>114592.28877499096</v>
      </c>
      <c r="H26" s="142">
        <v>118488.41402752663</v>
      </c>
      <c r="I26" s="142">
        <v>121712.88905905651</v>
      </c>
      <c r="J26" s="142">
        <v>123750.12740715611</v>
      </c>
      <c r="K26" s="142">
        <v>124569.57718759163</v>
      </c>
      <c r="L26" s="142">
        <v>124465.00322250189</v>
      </c>
      <c r="M26" s="142">
        <v>123671.7039660212</v>
      </c>
      <c r="N26" s="142">
        <v>121444.94015061253</v>
      </c>
      <c r="O26" s="142">
        <v>119936.75857681694</v>
      </c>
      <c r="P26" s="142">
        <v>119585.63330844302</v>
      </c>
      <c r="Q26" s="142">
        <v>118845.50326652273</v>
      </c>
      <c r="R26" s="142">
        <v>117223.08977372696</v>
      </c>
      <c r="S26" s="142">
        <v>115383.32516895481</v>
      </c>
      <c r="T26" s="142">
        <v>113335.75403173942</v>
      </c>
      <c r="U26" s="142">
        <v>111857.09318580222</v>
      </c>
      <c r="V26" s="142">
        <v>110151.1255479057</v>
      </c>
      <c r="W26" s="142">
        <v>110200.35136587989</v>
      </c>
      <c r="DA26" s="172" t="s">
        <v>266</v>
      </c>
    </row>
    <row r="27" spans="1:105" ht="12" customHeight="1" x14ac:dyDescent="0.25">
      <c r="A27" s="145" t="s">
        <v>26</v>
      </c>
      <c r="B27" s="151">
        <v>12604.719397076864</v>
      </c>
      <c r="C27" s="151">
        <v>13156.822590570748</v>
      </c>
      <c r="D27" s="151">
        <v>13480.18634858312</v>
      </c>
      <c r="E27" s="151">
        <v>13211.582192325806</v>
      </c>
      <c r="F27" s="151">
        <v>13463.030166747423</v>
      </c>
      <c r="G27" s="151">
        <v>15224.822127083851</v>
      </c>
      <c r="H27" s="151">
        <v>15627.365997291034</v>
      </c>
      <c r="I27" s="151">
        <v>16821.057988314056</v>
      </c>
      <c r="J27" s="151">
        <v>19843.456513030571</v>
      </c>
      <c r="K27" s="151">
        <v>22867.123639613565</v>
      </c>
      <c r="L27" s="151">
        <v>29443.572588370542</v>
      </c>
      <c r="M27" s="151">
        <v>33639.420493748803</v>
      </c>
      <c r="N27" s="151">
        <v>38543.356887154201</v>
      </c>
      <c r="O27" s="151">
        <v>41062.11808867615</v>
      </c>
      <c r="P27" s="151">
        <v>43273.855644896837</v>
      </c>
      <c r="Q27" s="151">
        <v>44872.877229933889</v>
      </c>
      <c r="R27" s="151">
        <v>47350.679953734732</v>
      </c>
      <c r="S27" s="151">
        <v>49735.620413469049</v>
      </c>
      <c r="T27" s="151">
        <v>50776.0394751114</v>
      </c>
      <c r="U27" s="151">
        <v>52613.603508697379</v>
      </c>
      <c r="V27" s="151">
        <v>63352.521408854802</v>
      </c>
      <c r="W27" s="151">
        <v>58847.191432375112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160632.62150341421</v>
      </c>
      <c r="C29" s="140">
        <f t="shared" si="9"/>
        <v>166267.1404075743</v>
      </c>
      <c r="D29" s="140">
        <f t="shared" si="9"/>
        <v>168766.27711969285</v>
      </c>
      <c r="E29" s="140">
        <f t="shared" si="9"/>
        <v>170423.3354313313</v>
      </c>
      <c r="F29" s="140">
        <f t="shared" si="9"/>
        <v>173372.03545299493</v>
      </c>
      <c r="G29" s="140">
        <f t="shared" si="9"/>
        <v>176760.22585694995</v>
      </c>
      <c r="H29" s="140">
        <f t="shared" si="9"/>
        <v>181008.06536802661</v>
      </c>
      <c r="I29" s="140">
        <f t="shared" si="9"/>
        <v>184652.02844287758</v>
      </c>
      <c r="J29" s="140">
        <f t="shared" si="9"/>
        <v>186734.77109447692</v>
      </c>
      <c r="K29" s="140">
        <f t="shared" si="9"/>
        <v>187590.41879868045</v>
      </c>
      <c r="L29" s="140">
        <f t="shared" si="9"/>
        <v>188342.74917965915</v>
      </c>
      <c r="M29" s="140">
        <f t="shared" si="9"/>
        <v>189109.83803155224</v>
      </c>
      <c r="N29" s="140">
        <f t="shared" si="9"/>
        <v>189333.34340326634</v>
      </c>
      <c r="O29" s="140">
        <f t="shared" si="9"/>
        <v>190184.70936700967</v>
      </c>
      <c r="P29" s="140">
        <f t="shared" si="9"/>
        <v>191565.01284622174</v>
      </c>
      <c r="Q29" s="140">
        <f t="shared" si="9"/>
        <v>192841.65349043629</v>
      </c>
      <c r="R29" s="140">
        <f t="shared" ref="R29:W29" si="10">SUM(R30:R33)</f>
        <v>194012.04100112669</v>
      </c>
      <c r="S29" s="140">
        <f t="shared" si="10"/>
        <v>195693.71802547248</v>
      </c>
      <c r="T29" s="140">
        <f t="shared" si="10"/>
        <v>197261.37881119316</v>
      </c>
      <c r="U29" s="140">
        <f t="shared" si="10"/>
        <v>198695.30070435553</v>
      </c>
      <c r="V29" s="140">
        <f t="shared" si="10"/>
        <v>199955.72222222222</v>
      </c>
      <c r="W29" s="140">
        <f t="shared" si="10"/>
        <v>201047.31590284745</v>
      </c>
      <c r="DA29" s="170" t="s">
        <v>268</v>
      </c>
    </row>
    <row r="30" spans="1:105" ht="12" customHeight="1" x14ac:dyDescent="0.25">
      <c r="A30" s="132" t="s">
        <v>52</v>
      </c>
      <c r="B30" s="141">
        <v>29358.394313502573</v>
      </c>
      <c r="C30" s="141">
        <v>29080.444426317568</v>
      </c>
      <c r="D30" s="141">
        <v>35074.164276806405</v>
      </c>
      <c r="E30" s="141">
        <v>41808.744635261326</v>
      </c>
      <c r="F30" s="141">
        <v>50763.003029793326</v>
      </c>
      <c r="G30" s="141">
        <v>61000.973822330729</v>
      </c>
      <c r="H30" s="141">
        <v>64695.274517499769</v>
      </c>
      <c r="I30" s="141">
        <v>68025.485140274614</v>
      </c>
      <c r="J30" s="141">
        <v>65752.260464917199</v>
      </c>
      <c r="K30" s="141">
        <v>57430.836917819426</v>
      </c>
      <c r="L30" s="141">
        <v>40215.6501609447</v>
      </c>
      <c r="M30" s="141">
        <v>32844.244595179291</v>
      </c>
      <c r="N30" s="141">
        <v>32511.339436734175</v>
      </c>
      <c r="O30" s="141">
        <v>33708.051999897638</v>
      </c>
      <c r="P30" s="141">
        <v>39165.577185892267</v>
      </c>
      <c r="Q30" s="141">
        <v>43299.633169928697</v>
      </c>
      <c r="R30" s="141">
        <v>45204.248602199681</v>
      </c>
      <c r="S30" s="141">
        <v>46865.861232435855</v>
      </c>
      <c r="T30" s="141">
        <v>49615.839123107762</v>
      </c>
      <c r="U30" s="141">
        <v>47089.615907349806</v>
      </c>
      <c r="V30" s="141">
        <v>38929.255048465209</v>
      </c>
      <c r="W30" s="141">
        <v>32152.458815322065</v>
      </c>
      <c r="DA30" s="171" t="s">
        <v>269</v>
      </c>
    </row>
    <row r="31" spans="1:105" ht="12" customHeight="1" x14ac:dyDescent="0.25">
      <c r="A31" s="132" t="s">
        <v>153</v>
      </c>
      <c r="B31" s="141">
        <v>11824.327949981762</v>
      </c>
      <c r="C31" s="141">
        <v>12058.500577206987</v>
      </c>
      <c r="D31" s="141">
        <v>12488.338093577851</v>
      </c>
      <c r="E31" s="141">
        <v>13136.607514072659</v>
      </c>
      <c r="F31" s="141">
        <v>14236.265271408445</v>
      </c>
      <c r="G31" s="141">
        <v>15353.485324287922</v>
      </c>
      <c r="H31" s="141">
        <v>16210.603973917718</v>
      </c>
      <c r="I31" s="141">
        <v>17008.299400542346</v>
      </c>
      <c r="J31" s="141">
        <v>18193.31141966084</v>
      </c>
      <c r="K31" s="141">
        <v>20344.755672445091</v>
      </c>
      <c r="L31" s="141">
        <v>23167.658075182306</v>
      </c>
      <c r="M31" s="141">
        <v>26135.096034008726</v>
      </c>
      <c r="N31" s="141">
        <v>29008.231818190423</v>
      </c>
      <c r="O31" s="141">
        <v>33105.213720079664</v>
      </c>
      <c r="P31" s="141">
        <v>35060.209094573707</v>
      </c>
      <c r="Q31" s="141">
        <v>37343.643105326635</v>
      </c>
      <c r="R31" s="141">
        <v>38458.916316005016</v>
      </c>
      <c r="S31" s="141">
        <v>39640.635731689355</v>
      </c>
      <c r="T31" s="141">
        <v>40736.798002126117</v>
      </c>
      <c r="U31" s="141">
        <v>41602.513680892502</v>
      </c>
      <c r="V31" s="141">
        <v>41875.948383263669</v>
      </c>
      <c r="W31" s="141">
        <v>42337.565078846528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15767.628958301666</v>
      </c>
      <c r="O32" s="141">
        <v>16916.002505887594</v>
      </c>
      <c r="P32" s="141">
        <v>16814.413320311847</v>
      </c>
      <c r="Q32" s="141">
        <v>14912.046880049029</v>
      </c>
      <c r="R32" s="141">
        <v>13581.780495599343</v>
      </c>
      <c r="S32" s="141">
        <v>13067.457694283086</v>
      </c>
      <c r="T32" s="141">
        <v>12469.379294914595</v>
      </c>
      <c r="U32" s="141">
        <v>11745.583403780296</v>
      </c>
      <c r="V32" s="141">
        <v>10271.96930879922</v>
      </c>
      <c r="W32" s="141">
        <v>10308.777277663805</v>
      </c>
      <c r="DA32" s="171" t="s">
        <v>271</v>
      </c>
    </row>
    <row r="33" spans="1:105" ht="12" customHeight="1" x14ac:dyDescent="0.25">
      <c r="A33" s="62" t="s">
        <v>24</v>
      </c>
      <c r="B33" s="153">
        <v>119449.89923992987</v>
      </c>
      <c r="C33" s="153">
        <v>125128.19540404975</v>
      </c>
      <c r="D33" s="153">
        <v>121203.77474930859</v>
      </c>
      <c r="E33" s="153">
        <v>115477.98328199732</v>
      </c>
      <c r="F33" s="153">
        <v>108372.76715179314</v>
      </c>
      <c r="G33" s="153">
        <v>100405.7667103313</v>
      </c>
      <c r="H33" s="153">
        <v>100102.18687660911</v>
      </c>
      <c r="I33" s="153">
        <v>99618.243902060596</v>
      </c>
      <c r="J33" s="153">
        <v>102789.19920989887</v>
      </c>
      <c r="K33" s="153">
        <v>109814.82620841594</v>
      </c>
      <c r="L33" s="153">
        <v>124959.44094353214</v>
      </c>
      <c r="M33" s="153">
        <v>130130.49740236423</v>
      </c>
      <c r="N33" s="153">
        <v>112046.14319004008</v>
      </c>
      <c r="O33" s="153">
        <v>106455.44114114478</v>
      </c>
      <c r="P33" s="153">
        <v>100524.81324544393</v>
      </c>
      <c r="Q33" s="153">
        <v>97286.330335131919</v>
      </c>
      <c r="R33" s="153">
        <v>96767.095587322663</v>
      </c>
      <c r="S33" s="153">
        <v>96119.763367064181</v>
      </c>
      <c r="T33" s="153">
        <v>94439.362391044662</v>
      </c>
      <c r="U33" s="153">
        <v>98257.587712332941</v>
      </c>
      <c r="V33" s="153">
        <v>108878.54948169412</v>
      </c>
      <c r="W33" s="153">
        <v>116248.51473101506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831.74784062324784</v>
      </c>
      <c r="C3" s="126">
        <f t="shared" si="0"/>
        <v>910.78038947833249</v>
      </c>
      <c r="D3" s="126">
        <f t="shared" si="0"/>
        <v>971.58104001796278</v>
      </c>
      <c r="E3" s="126">
        <f t="shared" si="0"/>
        <v>1053.7307027244512</v>
      </c>
      <c r="F3" s="126">
        <f t="shared" si="0"/>
        <v>1200.9371392127057</v>
      </c>
      <c r="G3" s="126">
        <f t="shared" si="0"/>
        <v>1320.8887509186816</v>
      </c>
      <c r="H3" s="126">
        <f t="shared" si="0"/>
        <v>1343.7296609643836</v>
      </c>
      <c r="I3" s="126">
        <f t="shared" si="0"/>
        <v>1322.0948947376496</v>
      </c>
      <c r="J3" s="126">
        <f t="shared" si="0"/>
        <v>1220.5420448913162</v>
      </c>
      <c r="K3" s="126">
        <f t="shared" si="0"/>
        <v>1308.0346307581192</v>
      </c>
      <c r="L3" s="126">
        <f t="shared" si="0"/>
        <v>1139.4085744139118</v>
      </c>
      <c r="M3" s="126">
        <f t="shared" si="0"/>
        <v>1100.9959867448106</v>
      </c>
      <c r="N3" s="126">
        <f t="shared" si="0"/>
        <v>1076.1687690816934</v>
      </c>
      <c r="O3" s="126">
        <f t="shared" si="0"/>
        <v>1020.3132740289734</v>
      </c>
      <c r="P3" s="126">
        <f t="shared" si="0"/>
        <v>1117.148578333162</v>
      </c>
      <c r="Q3" s="126">
        <f t="shared" si="0"/>
        <v>1177.3738923588148</v>
      </c>
      <c r="R3" s="126">
        <f t="shared" ref="R3:W3" si="1">SUM(R4,R16,R19,R29)</f>
        <v>1108.5202912895606</v>
      </c>
      <c r="S3" s="126">
        <f t="shared" si="1"/>
        <v>1105.3427637817642</v>
      </c>
      <c r="T3" s="126">
        <f t="shared" si="1"/>
        <v>1177.5361789948402</v>
      </c>
      <c r="U3" s="126">
        <f t="shared" si="1"/>
        <v>1153.3290971572596</v>
      </c>
      <c r="V3" s="126">
        <f t="shared" si="1"/>
        <v>985.0698987976474</v>
      </c>
      <c r="W3" s="126">
        <f t="shared" si="1"/>
        <v>1018.7807944602642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403.63535871077681</v>
      </c>
      <c r="C4" s="131">
        <f t="shared" si="2"/>
        <v>465.60166778834895</v>
      </c>
      <c r="D4" s="131">
        <f t="shared" si="2"/>
        <v>506.48615666250805</v>
      </c>
      <c r="E4" s="131">
        <f t="shared" si="2"/>
        <v>556.3054370066219</v>
      </c>
      <c r="F4" s="131">
        <f t="shared" si="2"/>
        <v>706.9298860789047</v>
      </c>
      <c r="G4" s="131">
        <f t="shared" si="2"/>
        <v>804.59322310218238</v>
      </c>
      <c r="H4" s="131">
        <f t="shared" si="2"/>
        <v>804.20381985953907</v>
      </c>
      <c r="I4" s="131">
        <f t="shared" si="2"/>
        <v>802.61985045609958</v>
      </c>
      <c r="J4" s="131">
        <f t="shared" si="2"/>
        <v>691.02512855868395</v>
      </c>
      <c r="K4" s="131">
        <f t="shared" si="2"/>
        <v>763.57313337276776</v>
      </c>
      <c r="L4" s="131">
        <f t="shared" si="2"/>
        <v>576.63115958915068</v>
      </c>
      <c r="M4" s="131">
        <f t="shared" si="2"/>
        <v>568.91210017856781</v>
      </c>
      <c r="N4" s="131">
        <f t="shared" si="2"/>
        <v>541.30662943886637</v>
      </c>
      <c r="O4" s="131">
        <f t="shared" si="2"/>
        <v>482.36400537092004</v>
      </c>
      <c r="P4" s="131">
        <f t="shared" si="2"/>
        <v>585.80230168144385</v>
      </c>
      <c r="Q4" s="131">
        <f t="shared" si="2"/>
        <v>628.45095584317141</v>
      </c>
      <c r="R4" s="131">
        <f t="shared" ref="R4:W4" si="3">SUM(R5:R15)</f>
        <v>524.34870934310095</v>
      </c>
      <c r="S4" s="131">
        <f t="shared" si="3"/>
        <v>523.55650103101823</v>
      </c>
      <c r="T4" s="131">
        <f t="shared" si="3"/>
        <v>604.30235509048384</v>
      </c>
      <c r="U4" s="131">
        <f t="shared" si="3"/>
        <v>601.33131085410241</v>
      </c>
      <c r="V4" s="131">
        <f t="shared" si="3"/>
        <v>462.59823129151249</v>
      </c>
      <c r="W4" s="131">
        <f t="shared" si="3"/>
        <v>515.33299644455781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256.40479747641319</v>
      </c>
      <c r="C7" s="133">
        <v>301.43962208611146</v>
      </c>
      <c r="D7" s="133">
        <v>308.74459501176614</v>
      </c>
      <c r="E7" s="133">
        <v>326.07850502293576</v>
      </c>
      <c r="F7" s="133">
        <v>414.16794617002819</v>
      </c>
      <c r="G7" s="133">
        <v>465.92599072481551</v>
      </c>
      <c r="H7" s="133">
        <v>427.73364930634807</v>
      </c>
      <c r="I7" s="133">
        <v>372.15686202451258</v>
      </c>
      <c r="J7" s="133">
        <v>245.31556268601054</v>
      </c>
      <c r="K7" s="133">
        <v>311.31008716475174</v>
      </c>
      <c r="L7" s="133">
        <v>172.33982901388083</v>
      </c>
      <c r="M7" s="133">
        <v>114.17311119751518</v>
      </c>
      <c r="N7" s="133">
        <v>75.254225245986746</v>
      </c>
      <c r="O7" s="133">
        <v>68.98826737826576</v>
      </c>
      <c r="P7" s="133">
        <v>61.335618083444814</v>
      </c>
      <c r="Q7" s="133">
        <v>75.76146609436266</v>
      </c>
      <c r="R7" s="133">
        <v>50.68313334405682</v>
      </c>
      <c r="S7" s="133">
        <v>45.153302465285499</v>
      </c>
      <c r="T7" s="133">
        <v>48.107617329919961</v>
      </c>
      <c r="U7" s="133">
        <v>55.542190491119179</v>
      </c>
      <c r="V7" s="133">
        <v>41.228107298810649</v>
      </c>
      <c r="W7" s="133">
        <v>38.594866249649336</v>
      </c>
      <c r="DA7" s="157" t="s">
        <v>276</v>
      </c>
    </row>
    <row r="8" spans="1:105" ht="12" customHeight="1" x14ac:dyDescent="0.25">
      <c r="A8" s="132" t="s">
        <v>73</v>
      </c>
      <c r="B8" s="133">
        <v>0.19022698471776059</v>
      </c>
      <c r="C8" s="133">
        <v>0.22999766605853392</v>
      </c>
      <c r="D8" s="133">
        <v>0.31540046961667889</v>
      </c>
      <c r="E8" s="133">
        <v>0.38667032825437175</v>
      </c>
      <c r="F8" s="133">
        <v>0.41598126687385056</v>
      </c>
      <c r="G8" s="133">
        <v>0.43013359606090218</v>
      </c>
      <c r="H8" s="133">
        <v>0.53325438421166438</v>
      </c>
      <c r="I8" s="133">
        <v>0.64045973995895289</v>
      </c>
      <c r="J8" s="133">
        <v>0.81153109256660616</v>
      </c>
      <c r="K8" s="133">
        <v>0.89179042850160783</v>
      </c>
      <c r="L8" s="133">
        <v>1.0629456167335907</v>
      </c>
      <c r="M8" s="133">
        <v>1.2854333652365699</v>
      </c>
      <c r="N8" s="133">
        <v>1.4126906935479941</v>
      </c>
      <c r="O8" s="133">
        <v>1.5880468740374285</v>
      </c>
      <c r="P8" s="133">
        <v>1.7670698261776943</v>
      </c>
      <c r="Q8" s="133">
        <v>1.8541257953247656</v>
      </c>
      <c r="R8" s="133">
        <v>1.7325831113314438</v>
      </c>
      <c r="S8" s="133">
        <v>1.6065126997784869</v>
      </c>
      <c r="T8" s="133">
        <v>1.5348372183437076</v>
      </c>
      <c r="U8" s="133">
        <v>1.5191885921803878</v>
      </c>
      <c r="V8" s="133">
        <v>1.4595374088746809</v>
      </c>
      <c r="W8" s="133">
        <v>1.5659368000883842</v>
      </c>
      <c r="DA8" s="157" t="s">
        <v>277</v>
      </c>
    </row>
    <row r="9" spans="1:105" ht="12" customHeight="1" x14ac:dyDescent="0.25">
      <c r="A9" s="132" t="s">
        <v>78</v>
      </c>
      <c r="B9" s="133">
        <v>40.661157530945317</v>
      </c>
      <c r="C9" s="133">
        <v>51.935002758187785</v>
      </c>
      <c r="D9" s="133">
        <v>72.891895151188891</v>
      </c>
      <c r="E9" s="133">
        <v>79.474522984470724</v>
      </c>
      <c r="F9" s="133">
        <v>98.743190878580677</v>
      </c>
      <c r="G9" s="133">
        <v>91.678431840170632</v>
      </c>
      <c r="H9" s="133">
        <v>107.83995350464123</v>
      </c>
      <c r="I9" s="133">
        <v>117.28302141692473</v>
      </c>
      <c r="J9" s="133">
        <v>126.29362900819646</v>
      </c>
      <c r="K9" s="133">
        <v>142.82515638213576</v>
      </c>
      <c r="L9" s="133">
        <v>127.37054224893757</v>
      </c>
      <c r="M9" s="133">
        <v>144.65325362801732</v>
      </c>
      <c r="N9" s="133">
        <v>141.65702605018188</v>
      </c>
      <c r="O9" s="133">
        <v>130.43738496581875</v>
      </c>
      <c r="P9" s="133">
        <v>127.26609774901644</v>
      </c>
      <c r="Q9" s="133">
        <v>137.02336807325796</v>
      </c>
      <c r="R9" s="133">
        <v>150.00868025346162</v>
      </c>
      <c r="S9" s="133">
        <v>148.73098917293552</v>
      </c>
      <c r="T9" s="133">
        <v>152.67637587828662</v>
      </c>
      <c r="U9" s="133">
        <v>133.4287285443329</v>
      </c>
      <c r="V9" s="133">
        <v>99.414358983668762</v>
      </c>
      <c r="W9" s="133">
        <v>135.61411172814005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12.969303525365424</v>
      </c>
      <c r="N10" s="133">
        <v>14.020292347377479</v>
      </c>
      <c r="O10" s="133">
        <v>9.9598452278589775</v>
      </c>
      <c r="P10" s="133">
        <v>11.273516766981976</v>
      </c>
      <c r="Q10" s="133">
        <v>10.986930352536493</v>
      </c>
      <c r="R10" s="133">
        <v>10.557007738607055</v>
      </c>
      <c r="S10" s="133">
        <v>14.115821152192581</v>
      </c>
      <c r="T10" s="133">
        <v>11.785984522785876</v>
      </c>
      <c r="U10" s="133">
        <v>9.4232575474417928</v>
      </c>
      <c r="V10" s="133">
        <v>6.3244186554033401</v>
      </c>
      <c r="W10" s="133">
        <v>8.2271709921637601</v>
      </c>
      <c r="DA10" s="157" t="s">
        <v>279</v>
      </c>
    </row>
    <row r="11" spans="1:105" ht="12" customHeight="1" x14ac:dyDescent="0.25">
      <c r="A11" s="132" t="s">
        <v>25</v>
      </c>
      <c r="B11" s="133">
        <v>1.0031814273430779</v>
      </c>
      <c r="C11" s="133">
        <v>1.0031814273430779</v>
      </c>
      <c r="D11" s="133">
        <v>1.0031814273430779</v>
      </c>
      <c r="E11" s="133">
        <v>1.0031814273430779</v>
      </c>
      <c r="F11" s="133">
        <v>1.0031814273430779</v>
      </c>
      <c r="G11" s="133">
        <v>1.0031814273430779</v>
      </c>
      <c r="H11" s="133">
        <v>1.0031814273430779</v>
      </c>
      <c r="I11" s="133">
        <v>1.0031814273430777</v>
      </c>
      <c r="J11" s="133">
        <v>1.0031814273430781</v>
      </c>
      <c r="K11" s="133">
        <v>1.0031814273430779</v>
      </c>
      <c r="L11" s="133">
        <v>1.0031814273430777</v>
      </c>
      <c r="M11" s="133">
        <v>1.5525365434221843</v>
      </c>
      <c r="N11" s="133">
        <v>1.5525365434221845</v>
      </c>
      <c r="O11" s="133">
        <v>1.2419604471195171</v>
      </c>
      <c r="P11" s="133">
        <v>1.3136715391229583</v>
      </c>
      <c r="Q11" s="133">
        <v>1.5286328460877048</v>
      </c>
      <c r="R11" s="133">
        <v>1.3613929492691292</v>
      </c>
      <c r="S11" s="133">
        <v>1.5525365434221849</v>
      </c>
      <c r="T11" s="133">
        <v>1.7419604471195191</v>
      </c>
      <c r="U11" s="133">
        <v>1.7196904557179744</v>
      </c>
      <c r="V11" s="133">
        <v>1.3136715391229563</v>
      </c>
      <c r="W11" s="133">
        <v>1.3613929492691301</v>
      </c>
      <c r="DA11" s="157" t="s">
        <v>280</v>
      </c>
    </row>
    <row r="12" spans="1:105" ht="12" customHeight="1" x14ac:dyDescent="0.25">
      <c r="A12" s="132" t="s">
        <v>169</v>
      </c>
      <c r="B12" s="133">
        <v>2.894169009286129</v>
      </c>
      <c r="C12" s="133">
        <v>4.8713346855459694</v>
      </c>
      <c r="D12" s="133">
        <v>8.0543224181981454</v>
      </c>
      <c r="E12" s="133">
        <v>8.3864719065971141</v>
      </c>
      <c r="F12" s="133">
        <v>11.036703333763953</v>
      </c>
      <c r="G12" s="133">
        <v>9.0914361153770891</v>
      </c>
      <c r="H12" s="133">
        <v>10.044195385903897</v>
      </c>
      <c r="I12" s="133">
        <v>10.409886131823557</v>
      </c>
      <c r="J12" s="133">
        <v>9.8495757209200789</v>
      </c>
      <c r="K12" s="133">
        <v>9.3817271538403304</v>
      </c>
      <c r="L12" s="133">
        <v>15.27988295014212</v>
      </c>
      <c r="M12" s="133">
        <v>14.822445809796356</v>
      </c>
      <c r="N12" s="133">
        <v>22.165999164621088</v>
      </c>
      <c r="O12" s="133">
        <v>22.520367040375326</v>
      </c>
      <c r="P12" s="133">
        <v>22.700388800035729</v>
      </c>
      <c r="Q12" s="133">
        <v>21.02349202372833</v>
      </c>
      <c r="R12" s="133">
        <v>19.734138422231613</v>
      </c>
      <c r="S12" s="133">
        <v>22.152102317460578</v>
      </c>
      <c r="T12" s="133">
        <v>21.906083935401796</v>
      </c>
      <c r="U12" s="133">
        <v>21.567890233992745</v>
      </c>
      <c r="V12" s="133">
        <v>21.144728081034952</v>
      </c>
      <c r="W12" s="133">
        <v>22.336160686807897</v>
      </c>
      <c r="DA12" s="157" t="s">
        <v>281</v>
      </c>
    </row>
    <row r="13" spans="1:105" ht="12" customHeight="1" x14ac:dyDescent="0.25">
      <c r="A13" s="132" t="s">
        <v>77</v>
      </c>
      <c r="B13" s="133">
        <v>8.0053381515954509</v>
      </c>
      <c r="C13" s="133">
        <v>10.587559108560649</v>
      </c>
      <c r="D13" s="133">
        <v>14.381475987464821</v>
      </c>
      <c r="E13" s="133">
        <v>34.462438504518325</v>
      </c>
      <c r="F13" s="133">
        <v>39.630419317997813</v>
      </c>
      <c r="G13" s="133">
        <v>63.7755620085114</v>
      </c>
      <c r="H13" s="133">
        <v>86.433886591156849</v>
      </c>
      <c r="I13" s="133">
        <v>108.22076100571869</v>
      </c>
      <c r="J13" s="133">
        <v>138.9961933841372</v>
      </c>
      <c r="K13" s="133">
        <v>147.12969769382491</v>
      </c>
      <c r="L13" s="133">
        <v>175.22608929276771</v>
      </c>
      <c r="M13" s="133">
        <v>189.09815006121397</v>
      </c>
      <c r="N13" s="133">
        <v>217.33412091674933</v>
      </c>
      <c r="O13" s="133">
        <v>230.90352308440464</v>
      </c>
      <c r="P13" s="133">
        <v>263.51877506181216</v>
      </c>
      <c r="Q13" s="133">
        <v>255.80965112441962</v>
      </c>
      <c r="R13" s="133">
        <v>244.24502966031207</v>
      </c>
      <c r="S13" s="133">
        <v>238.34850836363671</v>
      </c>
      <c r="T13" s="133">
        <v>232.97115378161362</v>
      </c>
      <c r="U13" s="133">
        <v>228.24169142134738</v>
      </c>
      <c r="V13" s="133">
        <v>223.78208003284115</v>
      </c>
      <c r="W13" s="133">
        <v>220.58470153283702</v>
      </c>
      <c r="DA13" s="157" t="s">
        <v>282</v>
      </c>
    </row>
    <row r="14" spans="1:105" ht="12" customHeight="1" x14ac:dyDescent="0.25">
      <c r="A14" s="60" t="s">
        <v>76</v>
      </c>
      <c r="B14" s="65">
        <v>91.844641434120035</v>
      </c>
      <c r="C14" s="65">
        <v>92.409789110613474</v>
      </c>
      <c r="D14" s="65">
        <v>97.729092982878925</v>
      </c>
      <c r="E14" s="65">
        <v>102.97963677102715</v>
      </c>
      <c r="F14" s="65">
        <v>137.5077462422833</v>
      </c>
      <c r="G14" s="65">
        <v>167.96168451393743</v>
      </c>
      <c r="H14" s="65">
        <v>166.0888983102561</v>
      </c>
      <c r="I14" s="65">
        <v>188.76399486856801</v>
      </c>
      <c r="J14" s="65">
        <v>165.55381613475538</v>
      </c>
      <c r="K14" s="65">
        <v>147.16216268672005</v>
      </c>
      <c r="L14" s="65">
        <v>81.697843105329852</v>
      </c>
      <c r="M14" s="65">
        <v>87.921033755253788</v>
      </c>
      <c r="N14" s="65">
        <v>65.758080037451222</v>
      </c>
      <c r="O14" s="65">
        <v>14.686313561136554</v>
      </c>
      <c r="P14" s="65">
        <v>94.689562646024314</v>
      </c>
      <c r="Q14" s="65">
        <v>122.30410183206476</v>
      </c>
      <c r="R14" s="65">
        <v>43.921778382405151</v>
      </c>
      <c r="S14" s="65">
        <v>49.768477298958977</v>
      </c>
      <c r="T14" s="65">
        <v>131.36566019113062</v>
      </c>
      <c r="U14" s="65">
        <v>147.79272019792592</v>
      </c>
      <c r="V14" s="65">
        <v>66.334338036490877</v>
      </c>
      <c r="W14" s="65">
        <v>85.052106937799977</v>
      </c>
      <c r="DA14" s="109" t="s">
        <v>283</v>
      </c>
    </row>
    <row r="15" spans="1:105" ht="12" customHeight="1" x14ac:dyDescent="0.25">
      <c r="A15" s="134" t="s">
        <v>80</v>
      </c>
      <c r="B15" s="135">
        <v>2.6318466963558684</v>
      </c>
      <c r="C15" s="135">
        <v>3.1251809459280135</v>
      </c>
      <c r="D15" s="135">
        <v>3.3661932140514441</v>
      </c>
      <c r="E15" s="135">
        <v>3.5340100614753158</v>
      </c>
      <c r="F15" s="135">
        <v>4.4247174420338657</v>
      </c>
      <c r="G15" s="135">
        <v>4.7268028759664222</v>
      </c>
      <c r="H15" s="135">
        <v>4.5268009496782131</v>
      </c>
      <c r="I15" s="135">
        <v>4.1416838412499919</v>
      </c>
      <c r="J15" s="135">
        <v>3.2016391047546002</v>
      </c>
      <c r="K15" s="135">
        <v>3.8693304356502201</v>
      </c>
      <c r="L15" s="135">
        <v>2.6508459340159161</v>
      </c>
      <c r="M15" s="135">
        <v>2.4368322927469483</v>
      </c>
      <c r="N15" s="135">
        <v>2.1516584395283944</v>
      </c>
      <c r="O15" s="135">
        <v>2.0382967919031327</v>
      </c>
      <c r="P15" s="135">
        <v>1.9376012088276353</v>
      </c>
      <c r="Q15" s="135">
        <v>2.1591877013891523</v>
      </c>
      <c r="R15" s="135">
        <v>2.1049654814259924</v>
      </c>
      <c r="S15" s="135">
        <v>2.1282510173477203</v>
      </c>
      <c r="T15" s="135">
        <v>2.2126817858821468</v>
      </c>
      <c r="U15" s="135">
        <v>2.0959533700440227</v>
      </c>
      <c r="V15" s="135">
        <v>1.5969912552651009</v>
      </c>
      <c r="W15" s="135">
        <v>1.9965485678022381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64.412096992897787</v>
      </c>
      <c r="C16" s="131">
        <f t="shared" si="4"/>
        <v>65.193626989662533</v>
      </c>
      <c r="D16" s="131">
        <f t="shared" si="4"/>
        <v>58.912798656495525</v>
      </c>
      <c r="E16" s="131">
        <f t="shared" si="4"/>
        <v>83.219562761737208</v>
      </c>
      <c r="F16" s="131">
        <f t="shared" si="4"/>
        <v>67.232458204985036</v>
      </c>
      <c r="G16" s="131">
        <f t="shared" si="4"/>
        <v>73.646273756748315</v>
      </c>
      <c r="H16" s="131">
        <f t="shared" si="4"/>
        <v>90.218919357105463</v>
      </c>
      <c r="I16" s="131">
        <f t="shared" si="4"/>
        <v>59.998351145488051</v>
      </c>
      <c r="J16" s="131">
        <f t="shared" si="4"/>
        <v>58.413062933709163</v>
      </c>
      <c r="K16" s="131">
        <f t="shared" si="4"/>
        <v>73.99045713658704</v>
      </c>
      <c r="L16" s="131">
        <f t="shared" si="4"/>
        <v>104.34380564755786</v>
      </c>
      <c r="M16" s="131">
        <f t="shared" si="4"/>
        <v>68.674880278117286</v>
      </c>
      <c r="N16" s="131">
        <f t="shared" si="4"/>
        <v>72.138067153621947</v>
      </c>
      <c r="O16" s="131">
        <f t="shared" si="4"/>
        <v>92.08534449965353</v>
      </c>
      <c r="P16" s="131">
        <f t="shared" si="4"/>
        <v>61.775494633759052</v>
      </c>
      <c r="Q16" s="131">
        <f t="shared" si="4"/>
        <v>71.445184142864434</v>
      </c>
      <c r="R16" s="131">
        <f t="shared" ref="R16:W16" si="5">SUM(R17:R18)</f>
        <v>105.44542366133032</v>
      </c>
      <c r="S16" s="131">
        <f t="shared" si="5"/>
        <v>99.823098548489639</v>
      </c>
      <c r="T16" s="131">
        <f t="shared" si="5"/>
        <v>85.464573585876565</v>
      </c>
      <c r="U16" s="131">
        <f t="shared" si="5"/>
        <v>67.000295287691458</v>
      </c>
      <c r="V16" s="131">
        <f t="shared" si="5"/>
        <v>95.520705100221278</v>
      </c>
      <c r="W16" s="131">
        <f t="shared" si="5"/>
        <v>59.22812311366814</v>
      </c>
      <c r="DA16" s="156" t="s">
        <v>214</v>
      </c>
    </row>
    <row r="17" spans="1:105" ht="12.95" customHeight="1" x14ac:dyDescent="0.25">
      <c r="A17" s="132" t="s">
        <v>73</v>
      </c>
      <c r="B17" s="133">
        <v>0.23879057451553592</v>
      </c>
      <c r="C17" s="133">
        <v>0.24580663505592162</v>
      </c>
      <c r="D17" s="133">
        <v>0.2098468191725946</v>
      </c>
      <c r="E17" s="133">
        <v>0.281321141320862</v>
      </c>
      <c r="F17" s="133">
        <v>0.26731340303344836</v>
      </c>
      <c r="G17" s="133">
        <v>0.30789752326279318</v>
      </c>
      <c r="H17" s="133">
        <v>0.41198665271374973</v>
      </c>
      <c r="I17" s="133">
        <v>0.36071985304117971</v>
      </c>
      <c r="J17" s="133">
        <v>0.42253641833401195</v>
      </c>
      <c r="K17" s="133">
        <v>0.65004073874593826</v>
      </c>
      <c r="L17" s="133">
        <v>0.95601870042820192</v>
      </c>
      <c r="M17" s="133">
        <v>0.74086113769850104</v>
      </c>
      <c r="N17" s="133">
        <v>0.84372345935073834</v>
      </c>
      <c r="O17" s="133">
        <v>1.2419284234848076</v>
      </c>
      <c r="P17" s="133">
        <v>0.95229134920170266</v>
      </c>
      <c r="Q17" s="133">
        <v>1.3192140939294608</v>
      </c>
      <c r="R17" s="133">
        <v>2.4064471320710146</v>
      </c>
      <c r="S17" s="133">
        <v>2.6015857571696883</v>
      </c>
      <c r="T17" s="133">
        <v>2.4875475101159488</v>
      </c>
      <c r="U17" s="133">
        <v>2.2062119574474979</v>
      </c>
      <c r="V17" s="133">
        <v>3.1781571498894192</v>
      </c>
      <c r="W17" s="133">
        <v>2.104977379315971</v>
      </c>
      <c r="DA17" s="157" t="s">
        <v>285</v>
      </c>
    </row>
    <row r="18" spans="1:105" ht="12" customHeight="1" x14ac:dyDescent="0.25">
      <c r="A18" s="132" t="s">
        <v>72</v>
      </c>
      <c r="B18" s="133">
        <v>64.173306418382253</v>
      </c>
      <c r="C18" s="133">
        <v>64.947820354606606</v>
      </c>
      <c r="D18" s="133">
        <v>58.702951837322928</v>
      </c>
      <c r="E18" s="133">
        <v>82.938241620416349</v>
      </c>
      <c r="F18" s="133">
        <v>66.965144801951581</v>
      </c>
      <c r="G18" s="133">
        <v>73.338376233485519</v>
      </c>
      <c r="H18" s="133">
        <v>89.806932704391713</v>
      </c>
      <c r="I18" s="133">
        <v>59.637631292446869</v>
      </c>
      <c r="J18" s="133">
        <v>57.990526515375151</v>
      </c>
      <c r="K18" s="133">
        <v>73.340416397841096</v>
      </c>
      <c r="L18" s="133">
        <v>103.38778694712965</v>
      </c>
      <c r="M18" s="133">
        <v>67.934019140418783</v>
      </c>
      <c r="N18" s="133">
        <v>71.294343694271205</v>
      </c>
      <c r="O18" s="133">
        <v>90.843416076168722</v>
      </c>
      <c r="P18" s="133">
        <v>60.823203284557351</v>
      </c>
      <c r="Q18" s="133">
        <v>70.125970048934974</v>
      </c>
      <c r="R18" s="133">
        <v>103.03897652925932</v>
      </c>
      <c r="S18" s="133">
        <v>97.221512791319952</v>
      </c>
      <c r="T18" s="133">
        <v>82.97702607576062</v>
      </c>
      <c r="U18" s="133">
        <v>64.794083330243964</v>
      </c>
      <c r="V18" s="133">
        <v>92.342547950331863</v>
      </c>
      <c r="W18" s="133">
        <v>57.123145734352171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197.24355871248412</v>
      </c>
      <c r="C19" s="131">
        <f t="shared" si="6"/>
        <v>204.578443179468</v>
      </c>
      <c r="D19" s="131">
        <f t="shared" si="6"/>
        <v>209.82578854566452</v>
      </c>
      <c r="E19" s="131">
        <f t="shared" si="6"/>
        <v>208.88622853252568</v>
      </c>
      <c r="F19" s="131">
        <f t="shared" si="6"/>
        <v>213.25218986390468</v>
      </c>
      <c r="G19" s="131">
        <f t="shared" si="6"/>
        <v>216.94715027091723</v>
      </c>
      <c r="H19" s="131">
        <f t="shared" si="6"/>
        <v>218.43670357389709</v>
      </c>
      <c r="I19" s="131">
        <f t="shared" si="6"/>
        <v>224.22922545988095</v>
      </c>
      <c r="J19" s="131">
        <f t="shared" si="6"/>
        <v>224.87378134981097</v>
      </c>
      <c r="K19" s="131">
        <f t="shared" si="6"/>
        <v>227.03007969038035</v>
      </c>
      <c r="L19" s="131">
        <f t="shared" si="6"/>
        <v>225.11199792093421</v>
      </c>
      <c r="M19" s="131">
        <f t="shared" si="6"/>
        <v>230.87877193102881</v>
      </c>
      <c r="N19" s="131">
        <f t="shared" si="6"/>
        <v>224.18472143820151</v>
      </c>
      <c r="O19" s="131">
        <f t="shared" si="6"/>
        <v>221.28489064739753</v>
      </c>
      <c r="P19" s="131">
        <f t="shared" si="6"/>
        <v>223.18938991289517</v>
      </c>
      <c r="Q19" s="131">
        <f t="shared" si="6"/>
        <v>225.06341176303914</v>
      </c>
      <c r="R19" s="131">
        <f t="shared" ref="R19:W19" si="7">SUM(R20:R27)</f>
        <v>223.04273266515969</v>
      </c>
      <c r="S19" s="131">
        <f t="shared" si="7"/>
        <v>219.77395608701335</v>
      </c>
      <c r="T19" s="131">
        <f t="shared" si="7"/>
        <v>217.04030635453401</v>
      </c>
      <c r="U19" s="131">
        <f t="shared" si="7"/>
        <v>215.84849962969977</v>
      </c>
      <c r="V19" s="131">
        <f t="shared" si="7"/>
        <v>184.00284561120526</v>
      </c>
      <c r="W19" s="131">
        <f t="shared" si="7"/>
        <v>201.20217134962314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12.860667286292008</v>
      </c>
      <c r="C21" s="133">
        <v>11.84659766240312</v>
      </c>
      <c r="D21" s="133">
        <v>11.356555397918042</v>
      </c>
      <c r="E21" s="133">
        <v>10.987472967927975</v>
      </c>
      <c r="F21" s="133">
        <v>10.955967231100805</v>
      </c>
      <c r="G21" s="133">
        <v>10.842300689335884</v>
      </c>
      <c r="H21" s="133">
        <v>10.720321709602555</v>
      </c>
      <c r="I21" s="133">
        <v>10.918744592241499</v>
      </c>
      <c r="J21" s="133">
        <v>10.8444438860462</v>
      </c>
      <c r="K21" s="133">
        <v>10.939996929311539</v>
      </c>
      <c r="L21" s="133">
        <v>10.563483987912727</v>
      </c>
      <c r="M21" s="133">
        <v>10.586817878267505</v>
      </c>
      <c r="N21" s="133">
        <v>10.366286051771821</v>
      </c>
      <c r="O21" s="133">
        <v>10.154002916823492</v>
      </c>
      <c r="P21" s="133">
        <v>10.18155493108817</v>
      </c>
      <c r="Q21" s="133">
        <v>10.288900433874948</v>
      </c>
      <c r="R21" s="133">
        <v>10.303331012530572</v>
      </c>
      <c r="S21" s="133">
        <v>10.15608823041409</v>
      </c>
      <c r="T21" s="133">
        <v>9.9924899958882794</v>
      </c>
      <c r="U21" s="133">
        <v>10.033218732378572</v>
      </c>
      <c r="V21" s="133">
        <v>9.4818995325125606</v>
      </c>
      <c r="W21" s="133">
        <v>8.9203000940584616</v>
      </c>
      <c r="DA21" s="157" t="s">
        <v>288</v>
      </c>
    </row>
    <row r="22" spans="1:105" ht="12" customHeight="1" x14ac:dyDescent="0.25">
      <c r="A22" s="132" t="s">
        <v>168</v>
      </c>
      <c r="B22" s="133">
        <v>67.584196504670146</v>
      </c>
      <c r="C22" s="133">
        <v>63.935509445336635</v>
      </c>
      <c r="D22" s="133">
        <v>59.475286670328344</v>
      </c>
      <c r="E22" s="133">
        <v>56.682429475325179</v>
      </c>
      <c r="F22" s="133">
        <v>54.066447639086029</v>
      </c>
      <c r="G22" s="133">
        <v>52.416915552054725</v>
      </c>
      <c r="H22" s="133">
        <v>51.268930229335602</v>
      </c>
      <c r="I22" s="133">
        <v>49.997308224842428</v>
      </c>
      <c r="J22" s="133">
        <v>47.796045224565582</v>
      </c>
      <c r="K22" s="133">
        <v>45.477875002058312</v>
      </c>
      <c r="L22" s="133">
        <v>44.532226016213919</v>
      </c>
      <c r="M22" s="133">
        <v>44.77882345424743</v>
      </c>
      <c r="N22" s="133">
        <v>43.929953601820628</v>
      </c>
      <c r="O22" s="133">
        <v>44.105197798002472</v>
      </c>
      <c r="P22" s="133">
        <v>43.828268416985075</v>
      </c>
      <c r="Q22" s="133">
        <v>43.804827972705205</v>
      </c>
      <c r="R22" s="133">
        <v>43.039996492572584</v>
      </c>
      <c r="S22" s="133">
        <v>43.46208876429322</v>
      </c>
      <c r="T22" s="133">
        <v>43.889717149873647</v>
      </c>
      <c r="U22" s="133">
        <v>43.846115613781926</v>
      </c>
      <c r="V22" s="133">
        <v>41.071462778575437</v>
      </c>
      <c r="W22" s="133">
        <v>43.781144068493383</v>
      </c>
      <c r="DA22" s="157" t="s">
        <v>289</v>
      </c>
    </row>
    <row r="23" spans="1:105" ht="12" customHeight="1" x14ac:dyDescent="0.25">
      <c r="A23" s="132" t="s">
        <v>153</v>
      </c>
      <c r="B23" s="133">
        <v>17.363201339000423</v>
      </c>
      <c r="C23" s="133">
        <v>18.499183570052431</v>
      </c>
      <c r="D23" s="133">
        <v>19.086222563029505</v>
      </c>
      <c r="E23" s="133">
        <v>19.367402945579084</v>
      </c>
      <c r="F23" s="133">
        <v>19.956994853353393</v>
      </c>
      <c r="G23" s="133">
        <v>21.187429531108425</v>
      </c>
      <c r="H23" s="133">
        <v>22.663683109147374</v>
      </c>
      <c r="I23" s="133">
        <v>25.23125482959291</v>
      </c>
      <c r="J23" s="133">
        <v>26.894321355568604</v>
      </c>
      <c r="K23" s="133">
        <v>28.249878351058442</v>
      </c>
      <c r="L23" s="133">
        <v>30.448080015278052</v>
      </c>
      <c r="M23" s="133">
        <v>32.550759544937165</v>
      </c>
      <c r="N23" s="133">
        <v>34.116514345779635</v>
      </c>
      <c r="O23" s="133">
        <v>35.349234528595275</v>
      </c>
      <c r="P23" s="133">
        <v>35.791230210487413</v>
      </c>
      <c r="Q23" s="133">
        <v>37.011830244367559</v>
      </c>
      <c r="R23" s="133">
        <v>39.520634541465199</v>
      </c>
      <c r="S23" s="133">
        <v>41.727510056631999</v>
      </c>
      <c r="T23" s="133">
        <v>42.937878356279633</v>
      </c>
      <c r="U23" s="133">
        <v>43.779110808284699</v>
      </c>
      <c r="V23" s="133">
        <v>36.32558152652863</v>
      </c>
      <c r="W23" s="133">
        <v>40.304429385404248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1.2617209305247044</v>
      </c>
      <c r="C25" s="133">
        <v>1.9835234399914337</v>
      </c>
      <c r="D25" s="133">
        <v>2.478781623074426</v>
      </c>
      <c r="E25" s="133">
        <v>2.7915160555696965</v>
      </c>
      <c r="F25" s="133">
        <v>2.6730129173108521</v>
      </c>
      <c r="G25" s="133">
        <v>2.2537057590854994</v>
      </c>
      <c r="H25" s="133">
        <v>2.2802242185672967</v>
      </c>
      <c r="I25" s="133">
        <v>2.5355996807301859</v>
      </c>
      <c r="J25" s="133">
        <v>1.5672772455459514</v>
      </c>
      <c r="K25" s="133">
        <v>1.7484534136575272</v>
      </c>
      <c r="L25" s="133">
        <v>1.678156602738359</v>
      </c>
      <c r="M25" s="133">
        <v>1.7534785238235964</v>
      </c>
      <c r="N25" s="133">
        <v>2.3873972240289585</v>
      </c>
      <c r="O25" s="133">
        <v>2.9884033809488466</v>
      </c>
      <c r="P25" s="133">
        <v>3.0710643383993665</v>
      </c>
      <c r="Q25" s="133">
        <v>3.2671356632880113</v>
      </c>
      <c r="R25" s="133">
        <v>3.0995675107004708</v>
      </c>
      <c r="S25" s="133">
        <v>3.1998323343020978</v>
      </c>
      <c r="T25" s="133">
        <v>2.9961516621906372</v>
      </c>
      <c r="U25" s="133">
        <v>2.3076901615360317</v>
      </c>
      <c r="V25" s="133">
        <v>1.8437499929117411</v>
      </c>
      <c r="W25" s="133">
        <v>1.9330568540347606</v>
      </c>
      <c r="DA25" s="157" t="s">
        <v>292</v>
      </c>
    </row>
    <row r="26" spans="1:105" ht="12" customHeight="1" x14ac:dyDescent="0.25">
      <c r="A26" s="132" t="s">
        <v>24</v>
      </c>
      <c r="B26" s="65">
        <v>90.841184517860981</v>
      </c>
      <c r="C26" s="65">
        <v>100.74217592324931</v>
      </c>
      <c r="D26" s="65">
        <v>109.61871013310267</v>
      </c>
      <c r="E26" s="65">
        <v>110.98440622827853</v>
      </c>
      <c r="F26" s="65">
        <v>117.28790135890914</v>
      </c>
      <c r="G26" s="65">
        <v>121.33785634896296</v>
      </c>
      <c r="H26" s="65">
        <v>122.14077560561056</v>
      </c>
      <c r="I26" s="65">
        <v>125.39532931046189</v>
      </c>
      <c r="J26" s="65">
        <v>125.6860530533899</v>
      </c>
      <c r="K26" s="65">
        <v>126.66529473892047</v>
      </c>
      <c r="L26" s="65">
        <v>118.66296617411365</v>
      </c>
      <c r="M26" s="65">
        <v>117.41981256414691</v>
      </c>
      <c r="N26" s="65">
        <v>106.4427817367265</v>
      </c>
      <c r="O26" s="65">
        <v>99.596650475306049</v>
      </c>
      <c r="P26" s="65">
        <v>99.577805119976489</v>
      </c>
      <c r="Q26" s="65">
        <v>98.589857603575553</v>
      </c>
      <c r="R26" s="65">
        <v>93.497431826721495</v>
      </c>
      <c r="S26" s="65">
        <v>86.041334379789859</v>
      </c>
      <c r="T26" s="65">
        <v>80.194834452554588</v>
      </c>
      <c r="U26" s="65">
        <v>77.350120117673853</v>
      </c>
      <c r="V26" s="65">
        <v>55.003367601829098</v>
      </c>
      <c r="W26" s="65">
        <v>64.071237508251443</v>
      </c>
      <c r="DA26" s="109" t="s">
        <v>293</v>
      </c>
    </row>
    <row r="27" spans="1:105" ht="12" customHeight="1" x14ac:dyDescent="0.25">
      <c r="A27" s="145" t="s">
        <v>26</v>
      </c>
      <c r="B27" s="146">
        <v>7.3325881341358565</v>
      </c>
      <c r="C27" s="146">
        <v>7.5714531384350812</v>
      </c>
      <c r="D27" s="146">
        <v>7.8102321582115213</v>
      </c>
      <c r="E27" s="146">
        <v>8.0730008598452248</v>
      </c>
      <c r="F27" s="146">
        <v>8.3118658641444529</v>
      </c>
      <c r="G27" s="146">
        <v>8.9089423903697345</v>
      </c>
      <c r="H27" s="146">
        <v>9.3627687016337031</v>
      </c>
      <c r="I27" s="146">
        <v>10.150988822012046</v>
      </c>
      <c r="J27" s="146">
        <v>12.085640584694751</v>
      </c>
      <c r="K27" s="146">
        <v>13.948581255374043</v>
      </c>
      <c r="L27" s="146">
        <v>19.227085124677536</v>
      </c>
      <c r="M27" s="146">
        <v>23.789079965606199</v>
      </c>
      <c r="N27" s="146">
        <v>26.941788478073953</v>
      </c>
      <c r="O27" s="146">
        <v>29.091401547721397</v>
      </c>
      <c r="P27" s="146">
        <v>30.739466895958664</v>
      </c>
      <c r="Q27" s="146">
        <v>32.100859845227873</v>
      </c>
      <c r="R27" s="146">
        <v>33.581771281169388</v>
      </c>
      <c r="S27" s="146">
        <v>35.187102321582088</v>
      </c>
      <c r="T27" s="146">
        <v>37.02923473774721</v>
      </c>
      <c r="U27" s="146">
        <v>38.532244196044708</v>
      </c>
      <c r="V27" s="146">
        <v>40.276784178847812</v>
      </c>
      <c r="W27" s="146">
        <v>42.192003439380827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166.45682620708902</v>
      </c>
      <c r="C29" s="131">
        <f t="shared" si="8"/>
        <v>175.40665152085305</v>
      </c>
      <c r="D29" s="131">
        <f t="shared" si="8"/>
        <v>196.35629615329469</v>
      </c>
      <c r="E29" s="131">
        <f t="shared" si="8"/>
        <v>205.31947442356656</v>
      </c>
      <c r="F29" s="131">
        <f t="shared" si="8"/>
        <v>213.52260506491129</v>
      </c>
      <c r="G29" s="131">
        <f t="shared" si="8"/>
        <v>225.7021037888336</v>
      </c>
      <c r="H29" s="131">
        <f t="shared" si="8"/>
        <v>230.87021817384203</v>
      </c>
      <c r="I29" s="131">
        <f t="shared" si="8"/>
        <v>235.24746767618109</v>
      </c>
      <c r="J29" s="131">
        <f t="shared" si="8"/>
        <v>246.23007204911218</v>
      </c>
      <c r="K29" s="131">
        <f t="shared" si="8"/>
        <v>243.44096055838418</v>
      </c>
      <c r="L29" s="131">
        <f t="shared" si="8"/>
        <v>233.32161125626911</v>
      </c>
      <c r="M29" s="131">
        <f t="shared" si="8"/>
        <v>232.53023435709667</v>
      </c>
      <c r="N29" s="131">
        <f t="shared" si="8"/>
        <v>238.53935105100365</v>
      </c>
      <c r="O29" s="131">
        <f t="shared" si="8"/>
        <v>224.57903351100225</v>
      </c>
      <c r="P29" s="131">
        <f t="shared" si="8"/>
        <v>246.38139210506384</v>
      </c>
      <c r="Q29" s="131">
        <f t="shared" si="8"/>
        <v>252.41434060973984</v>
      </c>
      <c r="R29" s="131">
        <f t="shared" ref="R29:W29" si="9">SUM(R30:R33)</f>
        <v>255.6834256199698</v>
      </c>
      <c r="S29" s="131">
        <f t="shared" si="9"/>
        <v>262.18920811524299</v>
      </c>
      <c r="T29" s="131">
        <f t="shared" si="9"/>
        <v>270.72894396394565</v>
      </c>
      <c r="U29" s="131">
        <f t="shared" si="9"/>
        <v>269.14899138576607</v>
      </c>
      <c r="V29" s="131">
        <f t="shared" si="9"/>
        <v>242.94811679470843</v>
      </c>
      <c r="W29" s="131">
        <f t="shared" si="9"/>
        <v>243.01750355241515</v>
      </c>
      <c r="DA29" s="156" t="s">
        <v>216</v>
      </c>
    </row>
    <row r="30" spans="1:105" ht="12" customHeight="1" x14ac:dyDescent="0.25">
      <c r="A30" s="132" t="s">
        <v>52</v>
      </c>
      <c r="B30" s="133">
        <v>42.49668439040618</v>
      </c>
      <c r="C30" s="133">
        <v>29.95383226021081</v>
      </c>
      <c r="D30" s="133">
        <v>50.779214163560908</v>
      </c>
      <c r="E30" s="133">
        <v>56.796963833447755</v>
      </c>
      <c r="F30" s="133">
        <v>68.142657016534642</v>
      </c>
      <c r="G30" s="133">
        <v>103.28564428056951</v>
      </c>
      <c r="H30" s="133">
        <v>92.107881213871266</v>
      </c>
      <c r="I30" s="133">
        <v>97.851676731920136</v>
      </c>
      <c r="J30" s="133">
        <v>111.11024227044558</v>
      </c>
      <c r="K30" s="133">
        <v>103.32388957111841</v>
      </c>
      <c r="L30" s="133">
        <v>42.17366132593078</v>
      </c>
      <c r="M30" s="133">
        <v>41.051703187940568</v>
      </c>
      <c r="N30" s="133">
        <v>35.778769838167953</v>
      </c>
      <c r="O30" s="133">
        <v>37.089677220751703</v>
      </c>
      <c r="P30" s="133">
        <v>65.628161319986631</v>
      </c>
      <c r="Q30" s="133">
        <v>71.014280993468091</v>
      </c>
      <c r="R30" s="133">
        <v>65.506385238544212</v>
      </c>
      <c r="S30" s="133">
        <v>65.678907470359789</v>
      </c>
      <c r="T30" s="133">
        <v>88.327200459829783</v>
      </c>
      <c r="U30" s="133">
        <v>83.34451127621972</v>
      </c>
      <c r="V30" s="133">
        <v>53.169863150204549</v>
      </c>
      <c r="W30" s="133">
        <v>45.486922605855511</v>
      </c>
      <c r="DA30" s="157" t="s">
        <v>295</v>
      </c>
    </row>
    <row r="31" spans="1:105" ht="12" customHeight="1" x14ac:dyDescent="0.25">
      <c r="A31" s="132" t="s">
        <v>153</v>
      </c>
      <c r="B31" s="133">
        <v>14.54748341604882</v>
      </c>
      <c r="C31" s="133">
        <v>15.590439293259251</v>
      </c>
      <c r="D31" s="133">
        <v>17.320366725281264</v>
      </c>
      <c r="E31" s="133">
        <v>18.052421379394712</v>
      </c>
      <c r="F31" s="133">
        <v>20.706803347083824</v>
      </c>
      <c r="G31" s="133">
        <v>22.681576125046426</v>
      </c>
      <c r="H31" s="133">
        <v>23.968147284797595</v>
      </c>
      <c r="I31" s="133">
        <v>24.863735905968007</v>
      </c>
      <c r="J31" s="133">
        <v>25.58658057761291</v>
      </c>
      <c r="K31" s="133">
        <v>28.823374856222184</v>
      </c>
      <c r="L31" s="133">
        <v>36.443582808132554</v>
      </c>
      <c r="M31" s="133">
        <v>38.353527233826618</v>
      </c>
      <c r="N31" s="133">
        <v>39.83333005991026</v>
      </c>
      <c r="O31" s="133">
        <v>50.235511828871907</v>
      </c>
      <c r="P31" s="133">
        <v>50.108951449811471</v>
      </c>
      <c r="Q31" s="133">
        <v>56.442880537746127</v>
      </c>
      <c r="R31" s="133">
        <v>59.029849286692254</v>
      </c>
      <c r="S31" s="133">
        <v>60.822396294567845</v>
      </c>
      <c r="T31" s="133">
        <v>62.972733349957615</v>
      </c>
      <c r="U31" s="133">
        <v>66.588944104633214</v>
      </c>
      <c r="V31" s="133">
        <v>62.319097519172594</v>
      </c>
      <c r="W31" s="133">
        <v>58.078128541961149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37.343594153052443</v>
      </c>
      <c r="O32" s="133">
        <v>21.842476354256245</v>
      </c>
      <c r="P32" s="133">
        <v>21.842476354256235</v>
      </c>
      <c r="Q32" s="133">
        <v>21.842476354256235</v>
      </c>
      <c r="R32" s="133">
        <v>17.614875322441964</v>
      </c>
      <c r="S32" s="133">
        <v>18.644282029234734</v>
      </c>
      <c r="T32" s="133">
        <v>19.513069647463471</v>
      </c>
      <c r="U32" s="133">
        <v>18.121368419884075</v>
      </c>
      <c r="V32" s="133">
        <v>12.280998369532094</v>
      </c>
      <c r="W32" s="133">
        <v>15.631212498807802</v>
      </c>
      <c r="DA32" s="157" t="s">
        <v>297</v>
      </c>
    </row>
    <row r="33" spans="1:105" ht="12" customHeight="1" x14ac:dyDescent="0.25">
      <c r="A33" s="62" t="s">
        <v>24</v>
      </c>
      <c r="B33" s="68">
        <v>109.41265840063403</v>
      </c>
      <c r="C33" s="68">
        <v>129.86237996738299</v>
      </c>
      <c r="D33" s="68">
        <v>128.25671526445251</v>
      </c>
      <c r="E33" s="68">
        <v>130.4700892107241</v>
      </c>
      <c r="F33" s="68">
        <v>124.67314470129283</v>
      </c>
      <c r="G33" s="68">
        <v>99.73488338321765</v>
      </c>
      <c r="H33" s="68">
        <v>114.79418967517319</v>
      </c>
      <c r="I33" s="68">
        <v>112.53205503829294</v>
      </c>
      <c r="J33" s="68">
        <v>109.53324920105368</v>
      </c>
      <c r="K33" s="68">
        <v>111.29369613104359</v>
      </c>
      <c r="L33" s="68">
        <v>154.70436712220578</v>
      </c>
      <c r="M33" s="68">
        <v>153.12500393532949</v>
      </c>
      <c r="N33" s="68">
        <v>125.583656999873</v>
      </c>
      <c r="O33" s="68">
        <v>115.41136810712239</v>
      </c>
      <c r="P33" s="68">
        <v>108.8018029810095</v>
      </c>
      <c r="Q33" s="68">
        <v>103.11470272426938</v>
      </c>
      <c r="R33" s="68">
        <v>113.53231577229137</v>
      </c>
      <c r="S33" s="68">
        <v>117.04362232108065</v>
      </c>
      <c r="T33" s="68">
        <v>99.915940506694781</v>
      </c>
      <c r="U33" s="68">
        <v>101.09416758502904</v>
      </c>
      <c r="V33" s="68">
        <v>115.17815775579918</v>
      </c>
      <c r="W33" s="68">
        <v>123.82123990579069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537.67701995749053</v>
      </c>
      <c r="C3" s="126">
        <f t="shared" si="0"/>
        <v>591.42627907096721</v>
      </c>
      <c r="D3" s="126">
        <f t="shared" si="0"/>
        <v>627.87952330019493</v>
      </c>
      <c r="E3" s="126">
        <f t="shared" si="0"/>
        <v>735.32941603282825</v>
      </c>
      <c r="F3" s="126">
        <f t="shared" si="0"/>
        <v>804.44142094026051</v>
      </c>
      <c r="G3" s="126">
        <f t="shared" si="0"/>
        <v>917.28558024321103</v>
      </c>
      <c r="H3" s="126">
        <f t="shared" si="0"/>
        <v>1011.7932748053593</v>
      </c>
      <c r="I3" s="126">
        <f t="shared" si="0"/>
        <v>1006.2517675575693</v>
      </c>
      <c r="J3" s="126">
        <f t="shared" si="0"/>
        <v>1023.6011990882394</v>
      </c>
      <c r="K3" s="126">
        <f t="shared" si="0"/>
        <v>1125.9677889858663</v>
      </c>
      <c r="L3" s="126">
        <f t="shared" si="0"/>
        <v>1179.0706107373016</v>
      </c>
      <c r="M3" s="126">
        <f t="shared" si="0"/>
        <v>1136.4326704501962</v>
      </c>
      <c r="N3" s="126">
        <f t="shared" si="0"/>
        <v>1204.6935569193456</v>
      </c>
      <c r="O3" s="126">
        <f t="shared" si="0"/>
        <v>1264.7132870291489</v>
      </c>
      <c r="P3" s="126">
        <f t="shared" si="0"/>
        <v>1340.9913386797105</v>
      </c>
      <c r="Q3" s="126">
        <f t="shared" si="0"/>
        <v>1413.3070982370659</v>
      </c>
      <c r="R3" s="126">
        <f t="shared" ref="R3:W3" si="1">SUM(R4,R16,R19,R29)</f>
        <v>1466.1584819788284</v>
      </c>
      <c r="S3" s="126">
        <f t="shared" si="1"/>
        <v>1482.2536635976435</v>
      </c>
      <c r="T3" s="126">
        <f t="shared" si="1"/>
        <v>1526.3707106304253</v>
      </c>
      <c r="U3" s="126">
        <f t="shared" si="1"/>
        <v>1494.6188321581199</v>
      </c>
      <c r="V3" s="126">
        <f t="shared" si="1"/>
        <v>1497.7732035963861</v>
      </c>
      <c r="W3" s="126">
        <f t="shared" si="1"/>
        <v>1454.9615354575285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207.46245776601739</v>
      </c>
      <c r="C4" s="131">
        <f t="shared" si="2"/>
        <v>241.36367977876003</v>
      </c>
      <c r="D4" s="131">
        <f t="shared" si="2"/>
        <v>269.64973554066921</v>
      </c>
      <c r="E4" s="131">
        <f t="shared" si="2"/>
        <v>318.74035729328006</v>
      </c>
      <c r="F4" s="131">
        <f t="shared" si="2"/>
        <v>407.21755041856386</v>
      </c>
      <c r="G4" s="131">
        <f t="shared" si="2"/>
        <v>493.56834913247059</v>
      </c>
      <c r="H4" s="131">
        <f t="shared" si="2"/>
        <v>533.8682011994822</v>
      </c>
      <c r="I4" s="131">
        <f t="shared" si="2"/>
        <v>581.835593523277</v>
      </c>
      <c r="J4" s="131">
        <f t="shared" si="2"/>
        <v>586.59935411617914</v>
      </c>
      <c r="K4" s="131">
        <f t="shared" si="2"/>
        <v>643.48897508839877</v>
      </c>
      <c r="L4" s="131">
        <f t="shared" si="2"/>
        <v>607.17875768900763</v>
      </c>
      <c r="M4" s="131">
        <f t="shared" si="2"/>
        <v>648.48284909979975</v>
      </c>
      <c r="N4" s="131">
        <f t="shared" si="2"/>
        <v>703.17159760541972</v>
      </c>
      <c r="O4" s="131">
        <f t="shared" si="2"/>
        <v>708.97398874480712</v>
      </c>
      <c r="P4" s="131">
        <f t="shared" si="2"/>
        <v>853.7977244309792</v>
      </c>
      <c r="Q4" s="131">
        <f t="shared" si="2"/>
        <v>884.00181769377548</v>
      </c>
      <c r="R4" s="131">
        <f t="shared" ref="R4:W4" si="3">SUM(R5:R15)</f>
        <v>814.75128560220151</v>
      </c>
      <c r="S4" s="131">
        <f t="shared" si="3"/>
        <v>831.19644323969965</v>
      </c>
      <c r="T4" s="131">
        <f t="shared" si="3"/>
        <v>910.06348168437682</v>
      </c>
      <c r="U4" s="131">
        <f t="shared" si="3"/>
        <v>932.42696766742984</v>
      </c>
      <c r="V4" s="131">
        <f t="shared" si="3"/>
        <v>856.96022478255816</v>
      </c>
      <c r="W4" s="131">
        <f t="shared" si="3"/>
        <v>918.90638494550001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111.40773756170381</v>
      </c>
      <c r="C7" s="133">
        <v>132.8115437818291</v>
      </c>
      <c r="D7" s="133">
        <v>136.62958048026559</v>
      </c>
      <c r="E7" s="133">
        <v>144.93945873797099</v>
      </c>
      <c r="F7" s="133">
        <v>185.60486211732501</v>
      </c>
      <c r="G7" s="133">
        <v>210.09730677113799</v>
      </c>
      <c r="H7" s="133">
        <v>193.58522533984052</v>
      </c>
      <c r="I7" s="133">
        <v>169.14527511443197</v>
      </c>
      <c r="J7" s="133">
        <v>111.88715642937825</v>
      </c>
      <c r="K7" s="133">
        <v>142.33096134116764</v>
      </c>
      <c r="L7" s="133">
        <v>79.275402495688411</v>
      </c>
      <c r="M7" s="133">
        <v>52.948911166270648</v>
      </c>
      <c r="N7" s="133">
        <v>35.657964675643065</v>
      </c>
      <c r="O7" s="133">
        <v>36.294878938090356</v>
      </c>
      <c r="P7" s="133">
        <v>32.268531721905063</v>
      </c>
      <c r="Q7" s="133">
        <v>39.857938150032815</v>
      </c>
      <c r="R7" s="133">
        <v>27.283965393263436</v>
      </c>
      <c r="S7" s="133">
        <v>26.554881509920467</v>
      </c>
      <c r="T7" s="133">
        <v>29.135597131537669</v>
      </c>
      <c r="U7" s="133">
        <v>35.546883975872809</v>
      </c>
      <c r="V7" s="133">
        <v>27.239310508349298</v>
      </c>
      <c r="W7" s="133">
        <v>25.989588793733347</v>
      </c>
      <c r="DA7" s="157" t="s">
        <v>304</v>
      </c>
    </row>
    <row r="8" spans="1:105" ht="12" customHeight="1" x14ac:dyDescent="0.25">
      <c r="A8" s="132" t="s">
        <v>73</v>
      </c>
      <c r="B8" s="133">
        <v>0.19159720506501868</v>
      </c>
      <c r="C8" s="133">
        <v>0.23492936776428672</v>
      </c>
      <c r="D8" s="133">
        <v>0.33037075671982563</v>
      </c>
      <c r="E8" s="133">
        <v>0.41271245652483252</v>
      </c>
      <c r="F8" s="133">
        <v>0.44893170521034637</v>
      </c>
      <c r="G8" s="133">
        <v>0.47280334880372288</v>
      </c>
      <c r="H8" s="133">
        <v>0.61834420605903284</v>
      </c>
      <c r="I8" s="133">
        <v>0.7941884262891985</v>
      </c>
      <c r="J8" s="133">
        <v>1.0854483076055681</v>
      </c>
      <c r="K8" s="133">
        <v>1.2716425879272626</v>
      </c>
      <c r="L8" s="133">
        <v>1.6173966982559616</v>
      </c>
      <c r="M8" s="133">
        <v>2.0681723065030511</v>
      </c>
      <c r="N8" s="133">
        <v>2.3808299408611235</v>
      </c>
      <c r="O8" s="133">
        <v>2.7885632523564103</v>
      </c>
      <c r="P8" s="133">
        <v>3.1627312582358016</v>
      </c>
      <c r="Q8" s="133">
        <v>3.3943121088186681</v>
      </c>
      <c r="R8" s="133">
        <v>3.2382937654053578</v>
      </c>
      <c r="S8" s="133">
        <v>3.0605469605363691</v>
      </c>
      <c r="T8" s="133">
        <v>2.972602064070708</v>
      </c>
      <c r="U8" s="133">
        <v>3.0095465679206619</v>
      </c>
      <c r="V8" s="133">
        <v>2.986675143159744</v>
      </c>
      <c r="W8" s="133">
        <v>3.3254180195836174</v>
      </c>
      <c r="DA8" s="157" t="s">
        <v>305</v>
      </c>
    </row>
    <row r="9" spans="1:105" ht="12" customHeight="1" x14ac:dyDescent="0.25">
      <c r="A9" s="132" t="s">
        <v>78</v>
      </c>
      <c r="B9" s="133">
        <v>19.420058929610711</v>
      </c>
      <c r="C9" s="133">
        <v>25.613853584754395</v>
      </c>
      <c r="D9" s="133">
        <v>36.948076609119461</v>
      </c>
      <c r="E9" s="133">
        <v>40.8294353853437</v>
      </c>
      <c r="F9" s="133">
        <v>51.216070633984366</v>
      </c>
      <c r="G9" s="133">
        <v>47.803282465407271</v>
      </c>
      <c r="H9" s="133">
        <v>57.120884125832248</v>
      </c>
      <c r="I9" s="133">
        <v>63.431132132225208</v>
      </c>
      <c r="J9" s="133">
        <v>69.959994837051582</v>
      </c>
      <c r="K9" s="133">
        <v>80.871580116821477</v>
      </c>
      <c r="L9" s="133">
        <v>73.542741161126571</v>
      </c>
      <c r="M9" s="133">
        <v>85.268118781864843</v>
      </c>
      <c r="N9" s="133">
        <v>85.022152556883213</v>
      </c>
      <c r="O9" s="133">
        <v>79.615714235840784</v>
      </c>
      <c r="P9" s="133">
        <v>77.920769650349712</v>
      </c>
      <c r="Q9" s="133">
        <v>85.157768868412504</v>
      </c>
      <c r="R9" s="133">
        <v>95.64367096082951</v>
      </c>
      <c r="S9" s="133">
        <v>97.082717538535647</v>
      </c>
      <c r="T9" s="133">
        <v>100.98942818747011</v>
      </c>
      <c r="U9" s="133">
        <v>88.80430942487645</v>
      </c>
      <c r="V9" s="133">
        <v>66.717007783043954</v>
      </c>
      <c r="W9" s="133">
        <v>91.932272424256837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6.8354031899902381</v>
      </c>
      <c r="N10" s="133">
        <v>7.4066534267633637</v>
      </c>
      <c r="O10" s="133">
        <v>5.2616115585322651</v>
      </c>
      <c r="P10" s="133">
        <v>5.9556011935348865</v>
      </c>
      <c r="Q10" s="133">
        <v>5.8042026169237895</v>
      </c>
      <c r="R10" s="133">
        <v>5.5884540998905949</v>
      </c>
      <c r="S10" s="133">
        <v>7.4974364771832338</v>
      </c>
      <c r="T10" s="133">
        <v>6.2599498882893778</v>
      </c>
      <c r="U10" s="133">
        <v>5.0050226960154633</v>
      </c>
      <c r="V10" s="133">
        <v>3.359120638487763</v>
      </c>
      <c r="W10" s="133">
        <v>4.3703173687838124</v>
      </c>
      <c r="DA10" s="157" t="s">
        <v>307</v>
      </c>
    </row>
    <row r="11" spans="1:105" ht="12" customHeight="1" x14ac:dyDescent="0.25">
      <c r="A11" s="132" t="s">
        <v>25</v>
      </c>
      <c r="B11" s="133">
        <v>0.71702519435788969</v>
      </c>
      <c r="C11" s="133">
        <v>0.71749611478792219</v>
      </c>
      <c r="D11" s="133">
        <v>0.71753914136165375</v>
      </c>
      <c r="E11" s="133">
        <v>0.71757241347233847</v>
      </c>
      <c r="F11" s="133">
        <v>0.71758302232272175</v>
      </c>
      <c r="G11" s="133">
        <v>0.71758302232272186</v>
      </c>
      <c r="H11" s="133">
        <v>0.71758302232272175</v>
      </c>
      <c r="I11" s="133">
        <v>0.71758859424336652</v>
      </c>
      <c r="J11" s="133">
        <v>0.7256603320173628</v>
      </c>
      <c r="K11" s="133">
        <v>0.7420621427599694</v>
      </c>
      <c r="L11" s="133">
        <v>0.76182324236882615</v>
      </c>
      <c r="M11" s="133">
        <v>1.2086382484694262</v>
      </c>
      <c r="N11" s="133">
        <v>1.2311820347245837</v>
      </c>
      <c r="O11" s="133">
        <v>0.99936960953957499</v>
      </c>
      <c r="P11" s="133">
        <v>1.0572151362583975</v>
      </c>
      <c r="Q11" s="133">
        <v>1.230620515378916</v>
      </c>
      <c r="R11" s="133">
        <v>1.0972046900125041</v>
      </c>
      <c r="S11" s="133">
        <v>1.2543533485188654</v>
      </c>
      <c r="T11" s="133">
        <v>1.4095594008305288</v>
      </c>
      <c r="U11" s="133">
        <v>1.3928524890105791</v>
      </c>
      <c r="V11" s="133">
        <v>1.0645612175334771</v>
      </c>
      <c r="W11" s="133">
        <v>1.1040954630726212</v>
      </c>
      <c r="DA11" s="157" t="s">
        <v>308</v>
      </c>
    </row>
    <row r="12" spans="1:105" ht="12" customHeight="1" x14ac:dyDescent="0.25">
      <c r="A12" s="132" t="s">
        <v>169</v>
      </c>
      <c r="B12" s="133">
        <v>2.1495309064927008</v>
      </c>
      <c r="C12" s="133">
        <v>3.6548587809535178</v>
      </c>
      <c r="D12" s="133">
        <v>6.0804518445263236</v>
      </c>
      <c r="E12" s="133">
        <v>6.3460058548591789</v>
      </c>
      <c r="F12" s="133">
        <v>8.3620472293007335</v>
      </c>
      <c r="G12" s="133">
        <v>6.8947533429665091</v>
      </c>
      <c r="H12" s="133">
        <v>7.620211895450316</v>
      </c>
      <c r="I12" s="133">
        <v>7.904556070942915</v>
      </c>
      <c r="J12" s="133">
        <v>7.5017885784988891</v>
      </c>
      <c r="K12" s="133">
        <v>7.1768454517281191</v>
      </c>
      <c r="L12" s="133">
        <v>11.777624715119892</v>
      </c>
      <c r="M12" s="133">
        <v>11.488759017643943</v>
      </c>
      <c r="N12" s="133">
        <v>17.287491315320093</v>
      </c>
      <c r="O12" s="133">
        <v>17.632671992254664</v>
      </c>
      <c r="P12" s="133">
        <v>17.789355239679331</v>
      </c>
      <c r="Q12" s="133">
        <v>16.497281146612785</v>
      </c>
      <c r="R12" s="133">
        <v>15.54690195833232</v>
      </c>
      <c r="S12" s="133">
        <v>17.566674962395766</v>
      </c>
      <c r="T12" s="133">
        <v>17.442519908238538</v>
      </c>
      <c r="U12" s="133">
        <v>17.218743719491844</v>
      </c>
      <c r="V12" s="133">
        <v>16.936180398655729</v>
      </c>
      <c r="W12" s="133">
        <v>17.96091615898294</v>
      </c>
      <c r="DA12" s="157" t="s">
        <v>309</v>
      </c>
    </row>
    <row r="13" spans="1:105" ht="12" customHeight="1" x14ac:dyDescent="0.25">
      <c r="A13" s="132" t="s">
        <v>77</v>
      </c>
      <c r="B13" s="133">
        <v>10.337197794177492</v>
      </c>
      <c r="C13" s="133">
        <v>14.1453802365843</v>
      </c>
      <c r="D13" s="133">
        <v>20.895555051644521</v>
      </c>
      <c r="E13" s="133">
        <v>53.608523464980742</v>
      </c>
      <c r="F13" s="133">
        <v>64.634336098542875</v>
      </c>
      <c r="G13" s="133">
        <v>109.95852564829306</v>
      </c>
      <c r="H13" s="133">
        <v>157.36087515641918</v>
      </c>
      <c r="I13" s="133">
        <v>207.2802148366423</v>
      </c>
      <c r="J13" s="133">
        <v>279.25901299519683</v>
      </c>
      <c r="K13" s="133">
        <v>306.42818601329304</v>
      </c>
      <c r="L13" s="133">
        <v>381.3826865655459</v>
      </c>
      <c r="M13" s="133">
        <v>425.54197819834496</v>
      </c>
      <c r="N13" s="133">
        <v>506.25885668433278</v>
      </c>
      <c r="O13" s="133">
        <v>553.94114823712721</v>
      </c>
      <c r="P13" s="133">
        <v>645.91391328581551</v>
      </c>
      <c r="Q13" s="133">
        <v>641.82389301384933</v>
      </c>
      <c r="R13" s="133">
        <v>632.58093551526588</v>
      </c>
      <c r="S13" s="133">
        <v>639.60771571938801</v>
      </c>
      <c r="T13" s="133">
        <v>650.645684722645</v>
      </c>
      <c r="U13" s="133">
        <v>666.11324230201376</v>
      </c>
      <c r="V13" s="133">
        <v>685.71152011454967</v>
      </c>
      <c r="W13" s="133">
        <v>705.64086949648788</v>
      </c>
      <c r="DA13" s="157" t="s">
        <v>310</v>
      </c>
    </row>
    <row r="14" spans="1:105" ht="12" customHeight="1" x14ac:dyDescent="0.25">
      <c r="A14" s="60" t="s">
        <v>76</v>
      </c>
      <c r="B14" s="65">
        <v>60.607463478253877</v>
      </c>
      <c r="C14" s="65">
        <v>61.060436966158491</v>
      </c>
      <c r="D14" s="65">
        <v>64.681968442980406</v>
      </c>
      <c r="E14" s="65">
        <v>68.352638918652929</v>
      </c>
      <c r="F14" s="65">
        <v>91.80900216984395</v>
      </c>
      <c r="G14" s="65">
        <v>112.89729165757286</v>
      </c>
      <c r="H14" s="65">
        <v>112.31827650387999</v>
      </c>
      <c r="I14" s="65">
        <v>128.42095450725205</v>
      </c>
      <c r="J14" s="65">
        <v>112.97865353167603</v>
      </c>
      <c r="K14" s="65">
        <v>100.79836699905108</v>
      </c>
      <c r="L14" s="65">
        <v>56.170236876886186</v>
      </c>
      <c r="M14" s="65">
        <v>60.686035897965631</v>
      </c>
      <c r="N14" s="65">
        <v>45.774808531363128</v>
      </c>
      <c r="O14" s="65">
        <v>10.401734129162731</v>
      </c>
      <c r="P14" s="65">
        <v>67.792005736372857</v>
      </c>
      <c r="Q14" s="65">
        <v>88.076613572357573</v>
      </c>
      <c r="R14" s="65">
        <v>31.666893737775911</v>
      </c>
      <c r="S14" s="65">
        <v>36.443865705873655</v>
      </c>
      <c r="T14" s="65">
        <v>98.995458595412728</v>
      </c>
      <c r="U14" s="65">
        <v>113.24041312218421</v>
      </c>
      <c r="V14" s="65">
        <v>51.348857723513284</v>
      </c>
      <c r="W14" s="65">
        <v>66.586358652796619</v>
      </c>
      <c r="DA14" s="109" t="s">
        <v>311</v>
      </c>
    </row>
    <row r="15" spans="1:105" ht="12" customHeight="1" x14ac:dyDescent="0.25">
      <c r="A15" s="134" t="s">
        <v>80</v>
      </c>
      <c r="B15" s="135">
        <v>2.6318466963558684</v>
      </c>
      <c r="C15" s="135">
        <v>3.1251809459280135</v>
      </c>
      <c r="D15" s="135">
        <v>3.3661932140514441</v>
      </c>
      <c r="E15" s="135">
        <v>3.5340100614753158</v>
      </c>
      <c r="F15" s="135">
        <v>4.4247174420338657</v>
      </c>
      <c r="G15" s="135">
        <v>4.7268028759664222</v>
      </c>
      <c r="H15" s="135">
        <v>4.5268009496782131</v>
      </c>
      <c r="I15" s="135">
        <v>4.1416838412499919</v>
      </c>
      <c r="J15" s="135">
        <v>3.2016391047546002</v>
      </c>
      <c r="K15" s="135">
        <v>3.8693304356502201</v>
      </c>
      <c r="L15" s="135">
        <v>2.6508459340159161</v>
      </c>
      <c r="M15" s="135">
        <v>2.4368322927469483</v>
      </c>
      <c r="N15" s="135">
        <v>2.1516584395283944</v>
      </c>
      <c r="O15" s="135">
        <v>2.0382967919031327</v>
      </c>
      <c r="P15" s="135">
        <v>1.9376012088276353</v>
      </c>
      <c r="Q15" s="135">
        <v>2.1591877013891523</v>
      </c>
      <c r="R15" s="135">
        <v>2.1049654814259924</v>
      </c>
      <c r="S15" s="135">
        <v>2.1282510173477203</v>
      </c>
      <c r="T15" s="135">
        <v>2.2126817858821468</v>
      </c>
      <c r="U15" s="135">
        <v>2.0959533700440227</v>
      </c>
      <c r="V15" s="135">
        <v>1.5969912552651009</v>
      </c>
      <c r="W15" s="135">
        <v>1.9965485678022381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113.49747187908555</v>
      </c>
      <c r="C16" s="131">
        <f t="shared" si="4"/>
        <v>119.47767832412872</v>
      </c>
      <c r="D16" s="131">
        <f t="shared" si="4"/>
        <v>112.32621835456013</v>
      </c>
      <c r="E16" s="131">
        <f t="shared" si="4"/>
        <v>164.96286002587792</v>
      </c>
      <c r="F16" s="131">
        <f t="shared" si="4"/>
        <v>138.2913882293048</v>
      </c>
      <c r="G16" s="131">
        <f t="shared" si="4"/>
        <v>158.8795504994776</v>
      </c>
      <c r="H16" s="131">
        <f t="shared" si="4"/>
        <v>205.62923922431082</v>
      </c>
      <c r="I16" s="131">
        <f t="shared" si="4"/>
        <v>145.01728992052475</v>
      </c>
      <c r="J16" s="131">
        <f t="shared" si="4"/>
        <v>149.83541329384357</v>
      </c>
      <c r="K16" s="131">
        <f t="shared" si="4"/>
        <v>192.78037884377221</v>
      </c>
      <c r="L16" s="131">
        <f t="shared" si="4"/>
        <v>277.89365452093932</v>
      </c>
      <c r="M16" s="131">
        <f t="shared" si="4"/>
        <v>188.09267857804426</v>
      </c>
      <c r="N16" s="131">
        <f t="shared" si="4"/>
        <v>203.20511144130688</v>
      </c>
      <c r="O16" s="131">
        <f t="shared" si="4"/>
        <v>266.41050723873781</v>
      </c>
      <c r="P16" s="131">
        <f t="shared" si="4"/>
        <v>184.50441605215505</v>
      </c>
      <c r="Q16" s="131">
        <f t="shared" si="4"/>
        <v>220.94986405024156</v>
      </c>
      <c r="R16" s="131">
        <f t="shared" ref="R16:W16" si="5">SUM(R17:R18)</f>
        <v>337.92999384750658</v>
      </c>
      <c r="S16" s="131">
        <f t="shared" si="5"/>
        <v>331.47647565099044</v>
      </c>
      <c r="T16" s="131">
        <f t="shared" si="5"/>
        <v>292.41341505200597</v>
      </c>
      <c r="U16" s="131">
        <f t="shared" si="5"/>
        <v>234.54121343339619</v>
      </c>
      <c r="V16" s="131">
        <f t="shared" si="5"/>
        <v>341.85779269546805</v>
      </c>
      <c r="W16" s="131">
        <f t="shared" si="5"/>
        <v>216.34422432045903</v>
      </c>
      <c r="DA16" s="156" t="s">
        <v>313</v>
      </c>
    </row>
    <row r="17" spans="1:105" ht="12.95" customHeight="1" x14ac:dyDescent="0.25">
      <c r="A17" s="132" t="s">
        <v>73</v>
      </c>
      <c r="B17" s="133">
        <v>0.29474817542273868</v>
      </c>
      <c r="C17" s="133">
        <v>0.30459261516064523</v>
      </c>
      <c r="D17" s="133">
        <v>0.2606398815582453</v>
      </c>
      <c r="E17" s="133">
        <v>0.35031810220004961</v>
      </c>
      <c r="F17" s="133">
        <v>0.33513251913581898</v>
      </c>
      <c r="G17" s="133">
        <v>0.38783441271454416</v>
      </c>
      <c r="H17" s="133">
        <v>0.52165692403038599</v>
      </c>
      <c r="I17" s="133">
        <v>0.45941011358776773</v>
      </c>
      <c r="J17" s="133">
        <v>0.54013399766420234</v>
      </c>
      <c r="K17" s="133">
        <v>0.83186978749975016</v>
      </c>
      <c r="L17" s="133">
        <v>1.224328839274313</v>
      </c>
      <c r="M17" s="133">
        <v>0.95069066530872559</v>
      </c>
      <c r="N17" s="133">
        <v>1.0853589586186194</v>
      </c>
      <c r="O17" s="133">
        <v>1.6075186307806368</v>
      </c>
      <c r="P17" s="133">
        <v>1.2456512118296281</v>
      </c>
      <c r="Q17" s="133">
        <v>1.75289681068364</v>
      </c>
      <c r="R17" s="133">
        <v>3.260551294182275</v>
      </c>
      <c r="S17" s="133">
        <v>3.5850770654437536</v>
      </c>
      <c r="T17" s="133">
        <v>3.4862998212994789</v>
      </c>
      <c r="U17" s="133">
        <v>3.146670379139703</v>
      </c>
      <c r="V17" s="133">
        <v>4.5933887034474079</v>
      </c>
      <c r="W17" s="133">
        <v>3.0840223950635122</v>
      </c>
      <c r="DA17" s="157" t="s">
        <v>314</v>
      </c>
    </row>
    <row r="18" spans="1:105" ht="12" customHeight="1" x14ac:dyDescent="0.25">
      <c r="A18" s="132" t="s">
        <v>72</v>
      </c>
      <c r="B18" s="133">
        <v>113.20272370366281</v>
      </c>
      <c r="C18" s="133">
        <v>119.17308570896807</v>
      </c>
      <c r="D18" s="133">
        <v>112.06557847300188</v>
      </c>
      <c r="E18" s="133">
        <v>164.61254192367787</v>
      </c>
      <c r="F18" s="133">
        <v>137.95625571016899</v>
      </c>
      <c r="G18" s="133">
        <v>158.49171608676306</v>
      </c>
      <c r="H18" s="133">
        <v>205.10758230028043</v>
      </c>
      <c r="I18" s="133">
        <v>144.55787980693697</v>
      </c>
      <c r="J18" s="133">
        <v>149.29527929617936</v>
      </c>
      <c r="K18" s="133">
        <v>191.94850905627246</v>
      </c>
      <c r="L18" s="133">
        <v>276.66932568166499</v>
      </c>
      <c r="M18" s="133">
        <v>187.14198791273554</v>
      </c>
      <c r="N18" s="133">
        <v>202.11975248268826</v>
      </c>
      <c r="O18" s="133">
        <v>264.80298860795716</v>
      </c>
      <c r="P18" s="133">
        <v>183.25876484032543</v>
      </c>
      <c r="Q18" s="133">
        <v>219.19696723955792</v>
      </c>
      <c r="R18" s="133">
        <v>334.6694425533243</v>
      </c>
      <c r="S18" s="133">
        <v>327.89139858554671</v>
      </c>
      <c r="T18" s="133">
        <v>288.92711523070648</v>
      </c>
      <c r="U18" s="133">
        <v>231.3945430542565</v>
      </c>
      <c r="V18" s="133">
        <v>337.26440399202062</v>
      </c>
      <c r="W18" s="133">
        <v>213.26020192539553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112.50926138450583</v>
      </c>
      <c r="C19" s="131">
        <f t="shared" si="6"/>
        <v>118.13497317854099</v>
      </c>
      <c r="D19" s="131">
        <f t="shared" si="6"/>
        <v>122.56004589413836</v>
      </c>
      <c r="E19" s="131">
        <f t="shared" si="6"/>
        <v>122.97914133813646</v>
      </c>
      <c r="F19" s="131">
        <f t="shared" si="6"/>
        <v>126.63192628826131</v>
      </c>
      <c r="G19" s="131">
        <f t="shared" si="6"/>
        <v>129.83854954737859</v>
      </c>
      <c r="H19" s="131">
        <f t="shared" si="6"/>
        <v>131.70235830231164</v>
      </c>
      <c r="I19" s="131">
        <f t="shared" si="6"/>
        <v>136.38159430374733</v>
      </c>
      <c r="J19" s="131">
        <f t="shared" si="6"/>
        <v>138.29574812027442</v>
      </c>
      <c r="K19" s="131">
        <f t="shared" si="6"/>
        <v>141.38604107373021</v>
      </c>
      <c r="L19" s="131">
        <f t="shared" si="6"/>
        <v>142.86819419386001</v>
      </c>
      <c r="M19" s="131">
        <f t="shared" si="6"/>
        <v>149.18935522565775</v>
      </c>
      <c r="N19" s="131">
        <f t="shared" si="6"/>
        <v>147.53979979566824</v>
      </c>
      <c r="O19" s="131">
        <f t="shared" si="6"/>
        <v>148.21353159475305</v>
      </c>
      <c r="P19" s="131">
        <f t="shared" si="6"/>
        <v>150.92188348055325</v>
      </c>
      <c r="Q19" s="131">
        <f t="shared" si="6"/>
        <v>153.98394326043444</v>
      </c>
      <c r="R19" s="131">
        <f t="shared" ref="R19:W19" si="7">SUM(R20:R27)</f>
        <v>154.93621252066498</v>
      </c>
      <c r="S19" s="131">
        <f t="shared" si="7"/>
        <v>155.70406531452477</v>
      </c>
      <c r="T19" s="131">
        <f t="shared" si="7"/>
        <v>157.11424407861884</v>
      </c>
      <c r="U19" s="131">
        <f t="shared" si="7"/>
        <v>159.55972655527808</v>
      </c>
      <c r="V19" s="131">
        <f t="shared" si="7"/>
        <v>139.53635126321763</v>
      </c>
      <c r="W19" s="131">
        <f t="shared" si="7"/>
        <v>155.66945009703628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6.6645664880660327</v>
      </c>
      <c r="C21" s="133">
        <v>6.1445088508714454</v>
      </c>
      <c r="D21" s="133">
        <v>5.8983587950971286</v>
      </c>
      <c r="E21" s="133">
        <v>5.7201159386872806</v>
      </c>
      <c r="F21" s="133">
        <v>5.7240503302110843</v>
      </c>
      <c r="G21" s="133">
        <v>5.6899345285317038</v>
      </c>
      <c r="H21" s="133">
        <v>5.6561962544675692</v>
      </c>
      <c r="I21" s="133">
        <v>5.7961357376841045</v>
      </c>
      <c r="J21" s="133">
        <v>5.7927791934573811</v>
      </c>
      <c r="K21" s="133">
        <v>5.8850863030535541</v>
      </c>
      <c r="L21" s="133">
        <v>5.7250992906245717</v>
      </c>
      <c r="M21" s="133">
        <v>5.8003333778402881</v>
      </c>
      <c r="N21" s="133">
        <v>5.7687069717504498</v>
      </c>
      <c r="O21" s="133">
        <v>5.7596682786208717</v>
      </c>
      <c r="P21" s="133">
        <v>5.816926641427834</v>
      </c>
      <c r="Q21" s="133">
        <v>5.9485419039585938</v>
      </c>
      <c r="R21" s="133">
        <v>6.0559306593151518</v>
      </c>
      <c r="S21" s="133">
        <v>6.1031111590944152</v>
      </c>
      <c r="T21" s="133">
        <v>6.1843742152905277</v>
      </c>
      <c r="U21" s="133">
        <v>6.4064460342637135</v>
      </c>
      <c r="V21" s="133">
        <v>6.2106269698576577</v>
      </c>
      <c r="W21" s="133">
        <v>6.0336669541298749</v>
      </c>
      <c r="DA21" s="157" t="s">
        <v>318</v>
      </c>
    </row>
    <row r="22" spans="1:105" ht="12" customHeight="1" x14ac:dyDescent="0.25">
      <c r="A22" s="132" t="s">
        <v>168</v>
      </c>
      <c r="B22" s="133">
        <v>33.005299327401438</v>
      </c>
      <c r="C22" s="133">
        <v>31.255734061590434</v>
      </c>
      <c r="D22" s="133">
        <v>29.096073195557167</v>
      </c>
      <c r="E22" s="133">
        <v>27.774836874666672</v>
      </c>
      <c r="F22" s="133">
        <v>26.560721006808272</v>
      </c>
      <c r="G22" s="133">
        <v>25.8488185216125</v>
      </c>
      <c r="H22" s="133">
        <v>25.408620542201668</v>
      </c>
      <c r="I22" s="133">
        <v>24.916959105742482</v>
      </c>
      <c r="J22" s="133">
        <v>23.964859467937565</v>
      </c>
      <c r="K22" s="133">
        <v>22.972469156728216</v>
      </c>
      <c r="L22" s="133">
        <v>22.70765719359806</v>
      </c>
      <c r="M22" s="133">
        <v>23.171913484303069</v>
      </c>
      <c r="N22" s="133">
        <v>23.224742733166121</v>
      </c>
      <c r="O22" s="133">
        <v>23.92421740719594</v>
      </c>
      <c r="P22" s="133">
        <v>23.937813827282344</v>
      </c>
      <c r="Q22" s="133">
        <v>24.184193161725378</v>
      </c>
      <c r="R22" s="133">
        <v>24.140681611906423</v>
      </c>
      <c r="S22" s="133">
        <v>24.979548286415689</v>
      </c>
      <c r="T22" s="133">
        <v>26.022912341178298</v>
      </c>
      <c r="U22" s="133">
        <v>26.901765549078515</v>
      </c>
      <c r="V22" s="133">
        <v>26.01194824386566</v>
      </c>
      <c r="W22" s="133">
        <v>28.698304631714343</v>
      </c>
      <c r="DA22" s="157" t="s">
        <v>319</v>
      </c>
    </row>
    <row r="23" spans="1:105" ht="12" customHeight="1" x14ac:dyDescent="0.25">
      <c r="A23" s="132" t="s">
        <v>153</v>
      </c>
      <c r="B23" s="133">
        <v>8.6628230118754015</v>
      </c>
      <c r="C23" s="133">
        <v>9.3238306470938781</v>
      </c>
      <c r="D23" s="133">
        <v>9.7255230869569171</v>
      </c>
      <c r="E23" s="133">
        <v>9.9879594034026624</v>
      </c>
      <c r="F23" s="133">
        <v>10.429071742493459</v>
      </c>
      <c r="G23" s="133">
        <v>11.243867105346181</v>
      </c>
      <c r="H23" s="133">
        <v>12.23038605075933</v>
      </c>
      <c r="I23" s="133">
        <v>13.845262984297632</v>
      </c>
      <c r="J23" s="133">
        <v>14.979919382252675</v>
      </c>
      <c r="K23" s="133">
        <v>15.965695081729811</v>
      </c>
      <c r="L23" s="133">
        <v>17.457379384635036</v>
      </c>
      <c r="M23" s="133">
        <v>18.980976339800815</v>
      </c>
      <c r="N23" s="133">
        <v>20.276595906056329</v>
      </c>
      <c r="O23" s="133">
        <v>21.420610269401827</v>
      </c>
      <c r="P23" s="133">
        <v>21.952339995666048</v>
      </c>
      <c r="Q23" s="133">
        <v>23.101961792298098</v>
      </c>
      <c r="R23" s="133">
        <v>25.229770736750861</v>
      </c>
      <c r="S23" s="133">
        <v>27.338941876590056</v>
      </c>
      <c r="T23" s="133">
        <v>28.819313046363661</v>
      </c>
      <c r="U23" s="133">
        <v>30.012482394966867</v>
      </c>
      <c r="V23" s="133">
        <v>25.316100673740181</v>
      </c>
      <c r="W23" s="133">
        <v>28.663846209657528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0.94228420192135487</v>
      </c>
      <c r="C25" s="133">
        <v>1.4945829651217337</v>
      </c>
      <c r="D25" s="133">
        <v>1.879580644210066</v>
      </c>
      <c r="E25" s="133">
        <v>2.1247209835041874</v>
      </c>
      <c r="F25" s="133">
        <v>2.0380089546707478</v>
      </c>
      <c r="G25" s="133">
        <v>1.7200131867915187</v>
      </c>
      <c r="H25" s="133">
        <v>1.7421042483674296</v>
      </c>
      <c r="I25" s="133">
        <v>1.9397920859421696</v>
      </c>
      <c r="J25" s="133">
        <v>1.2005292167754467</v>
      </c>
      <c r="K25" s="133">
        <v>1.3407580205515608</v>
      </c>
      <c r="L25" s="133">
        <v>1.2905642724895943</v>
      </c>
      <c r="M25" s="133">
        <v>1.3591294574045913</v>
      </c>
      <c r="N25" s="133">
        <v>1.8692956915048025</v>
      </c>
      <c r="O25" s="133">
        <v>2.3615555212159931</v>
      </c>
      <c r="P25" s="133">
        <v>2.4387820359618448</v>
      </c>
      <c r="Q25" s="133">
        <v>2.6073549699137319</v>
      </c>
      <c r="R25" s="133">
        <v>2.4849835257300259</v>
      </c>
      <c r="S25" s="133">
        <v>2.5794384319934665</v>
      </c>
      <c r="T25" s="133">
        <v>2.4215064966890401</v>
      </c>
      <c r="U25" s="133">
        <v>1.8677669731691933</v>
      </c>
      <c r="V25" s="133">
        <v>1.4927496250325278</v>
      </c>
      <c r="W25" s="133">
        <v>1.5651257235276088</v>
      </c>
      <c r="DA25" s="157" t="s">
        <v>322</v>
      </c>
    </row>
    <row r="26" spans="1:105" ht="12" customHeight="1" x14ac:dyDescent="0.25">
      <c r="A26" s="132" t="s">
        <v>24</v>
      </c>
      <c r="B26" s="65">
        <v>55.901700221105742</v>
      </c>
      <c r="C26" s="65">
        <v>62.344863515428429</v>
      </c>
      <c r="D26" s="65">
        <v>68.150278014105552</v>
      </c>
      <c r="E26" s="65">
        <v>69.298507278030428</v>
      </c>
      <c r="F26" s="65">
        <v>73.568208389933304</v>
      </c>
      <c r="G26" s="65">
        <v>76.426973814726949</v>
      </c>
      <c r="H26" s="65">
        <v>77.302282504881916</v>
      </c>
      <c r="I26" s="65">
        <v>79.7324555680689</v>
      </c>
      <c r="J26" s="65">
        <v>80.272020275156621</v>
      </c>
      <c r="K26" s="65">
        <v>81.273451256293015</v>
      </c>
      <c r="L26" s="65">
        <v>76.460408927835218</v>
      </c>
      <c r="M26" s="65">
        <v>76.087922600702782</v>
      </c>
      <c r="N26" s="65">
        <v>69.458670015116581</v>
      </c>
      <c r="O26" s="65">
        <v>65.656078570597018</v>
      </c>
      <c r="P26" s="65">
        <v>66.036554084256522</v>
      </c>
      <c r="Q26" s="65">
        <v>66.041031587310783</v>
      </c>
      <c r="R26" s="65">
        <v>63.44307470579313</v>
      </c>
      <c r="S26" s="65">
        <v>59.515923238849055</v>
      </c>
      <c r="T26" s="65">
        <v>56.636903241350112</v>
      </c>
      <c r="U26" s="65">
        <v>55.839021407755084</v>
      </c>
      <c r="V26" s="65">
        <v>40.228141571873778</v>
      </c>
      <c r="W26" s="65">
        <v>48.516503138626092</v>
      </c>
      <c r="DA26" s="109" t="s">
        <v>323</v>
      </c>
    </row>
    <row r="27" spans="1:105" ht="12" customHeight="1" x14ac:dyDescent="0.25">
      <c r="A27" s="145" t="s">
        <v>26</v>
      </c>
      <c r="B27" s="146">
        <v>7.3325881341358565</v>
      </c>
      <c r="C27" s="146">
        <v>7.5714531384350812</v>
      </c>
      <c r="D27" s="146">
        <v>7.8102321582115213</v>
      </c>
      <c r="E27" s="146">
        <v>8.0730008598452248</v>
      </c>
      <c r="F27" s="146">
        <v>8.3118658641444529</v>
      </c>
      <c r="G27" s="146">
        <v>8.9089423903697345</v>
      </c>
      <c r="H27" s="146">
        <v>9.3627687016337031</v>
      </c>
      <c r="I27" s="146">
        <v>10.150988822012046</v>
      </c>
      <c r="J27" s="146">
        <v>12.085640584694751</v>
      </c>
      <c r="K27" s="146">
        <v>13.948581255374043</v>
      </c>
      <c r="L27" s="146">
        <v>19.227085124677536</v>
      </c>
      <c r="M27" s="146">
        <v>23.789079965606199</v>
      </c>
      <c r="N27" s="146">
        <v>26.941788478073953</v>
      </c>
      <c r="O27" s="146">
        <v>29.091401547721397</v>
      </c>
      <c r="P27" s="146">
        <v>30.739466895958664</v>
      </c>
      <c r="Q27" s="146">
        <v>32.100859845227873</v>
      </c>
      <c r="R27" s="146">
        <v>33.581771281169388</v>
      </c>
      <c r="S27" s="146">
        <v>35.187102321582088</v>
      </c>
      <c r="T27" s="146">
        <v>37.02923473774721</v>
      </c>
      <c r="U27" s="146">
        <v>38.532244196044708</v>
      </c>
      <c r="V27" s="146">
        <v>40.276784178847812</v>
      </c>
      <c r="W27" s="146">
        <v>42.192003439380827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104.20782892788176</v>
      </c>
      <c r="C29" s="131">
        <f t="shared" si="8"/>
        <v>112.44994778953753</v>
      </c>
      <c r="D29" s="131">
        <f t="shared" si="8"/>
        <v>123.34352351082725</v>
      </c>
      <c r="E29" s="131">
        <f t="shared" si="8"/>
        <v>128.6470573755339</v>
      </c>
      <c r="F29" s="131">
        <f t="shared" si="8"/>
        <v>132.30055600413056</v>
      </c>
      <c r="G29" s="131">
        <f t="shared" si="8"/>
        <v>134.99913106388419</v>
      </c>
      <c r="H29" s="131">
        <f t="shared" si="8"/>
        <v>140.59347607925457</v>
      </c>
      <c r="I29" s="131">
        <f t="shared" si="8"/>
        <v>143.01728981002026</v>
      </c>
      <c r="J29" s="131">
        <f t="shared" si="8"/>
        <v>148.87068355794224</v>
      </c>
      <c r="K29" s="131">
        <f t="shared" si="8"/>
        <v>148.3123939799649</v>
      </c>
      <c r="L29" s="131">
        <f t="shared" si="8"/>
        <v>151.13000433349478</v>
      </c>
      <c r="M29" s="131">
        <f t="shared" si="8"/>
        <v>150.66778754669434</v>
      </c>
      <c r="N29" s="131">
        <f t="shared" si="8"/>
        <v>150.77704807695102</v>
      </c>
      <c r="O29" s="131">
        <f t="shared" si="8"/>
        <v>141.11525945085108</v>
      </c>
      <c r="P29" s="131">
        <f t="shared" si="8"/>
        <v>151.76731471602284</v>
      </c>
      <c r="Q29" s="131">
        <f t="shared" si="8"/>
        <v>154.37147323261433</v>
      </c>
      <c r="R29" s="131">
        <f t="shared" ref="R29:W29" si="9">SUM(R30:R33)</f>
        <v>158.54099000845534</v>
      </c>
      <c r="S29" s="131">
        <f t="shared" si="9"/>
        <v>163.87667939242851</v>
      </c>
      <c r="T29" s="131">
        <f t="shared" si="9"/>
        <v>166.77956981542363</v>
      </c>
      <c r="U29" s="131">
        <f t="shared" si="9"/>
        <v>168.0909245020157</v>
      </c>
      <c r="V29" s="131">
        <f t="shared" si="9"/>
        <v>159.41883485514219</v>
      </c>
      <c r="W29" s="131">
        <f t="shared" si="9"/>
        <v>164.04147609453298</v>
      </c>
      <c r="DA29" s="156" t="s">
        <v>325</v>
      </c>
    </row>
    <row r="30" spans="1:105" ht="12" customHeight="1" x14ac:dyDescent="0.25">
      <c r="A30" s="132" t="s">
        <v>52</v>
      </c>
      <c r="B30" s="133">
        <v>22.074104104132509</v>
      </c>
      <c r="C30" s="133">
        <v>15.577282052276953</v>
      </c>
      <c r="D30" s="133">
        <v>26.502029926152925</v>
      </c>
      <c r="E30" s="133">
        <v>29.73790200363845</v>
      </c>
      <c r="F30" s="133">
        <v>35.791115037131298</v>
      </c>
      <c r="G30" s="133">
        <v>54.404013035157256</v>
      </c>
      <c r="H30" s="133">
        <v>48.600790512886903</v>
      </c>
      <c r="I30" s="133">
        <v>51.724101738043082</v>
      </c>
      <c r="J30" s="133">
        <v>58.803031395848912</v>
      </c>
      <c r="K30" s="133">
        <v>54.737755440295658</v>
      </c>
      <c r="L30" s="133">
        <v>22.358705720716845</v>
      </c>
      <c r="M30" s="133">
        <v>21.763952583543535</v>
      </c>
      <c r="N30" s="133">
        <v>18.970114878186816</v>
      </c>
      <c r="O30" s="133">
        <v>19.705678412301861</v>
      </c>
      <c r="P30" s="133">
        <v>34.995207272589077</v>
      </c>
      <c r="Q30" s="133">
        <v>37.96913185968031</v>
      </c>
      <c r="R30" s="133">
        <v>35.132996408229431</v>
      </c>
      <c r="S30" s="133">
        <v>35.365280148303299</v>
      </c>
      <c r="T30" s="133">
        <v>47.765009970879852</v>
      </c>
      <c r="U30" s="133">
        <v>45.121172144556326</v>
      </c>
      <c r="V30" s="133">
        <v>28.795687045362516</v>
      </c>
      <c r="W30" s="133">
        <v>24.634768625978936</v>
      </c>
      <c r="DA30" s="157" t="s">
        <v>326</v>
      </c>
    </row>
    <row r="31" spans="1:105" ht="12" customHeight="1" x14ac:dyDescent="0.25">
      <c r="A31" s="132" t="s">
        <v>153</v>
      </c>
      <c r="B31" s="133">
        <v>7.596270444372851</v>
      </c>
      <c r="C31" s="133">
        <v>8.1530001636985059</v>
      </c>
      <c r="D31" s="133">
        <v>9.0746898820874868</v>
      </c>
      <c r="E31" s="133">
        <v>9.4793441486198677</v>
      </c>
      <c r="F31" s="133">
        <v>10.902338650381921</v>
      </c>
      <c r="G31" s="133">
        <v>11.973883078272554</v>
      </c>
      <c r="H31" s="133">
        <v>12.684630141658978</v>
      </c>
      <c r="I31" s="133">
        <v>13.192010951709868</v>
      </c>
      <c r="J31" s="133">
        <v>13.61414472906319</v>
      </c>
      <c r="K31" s="133">
        <v>15.386458130690421</v>
      </c>
      <c r="L31" s="133">
        <v>19.505240965346054</v>
      </c>
      <c r="M31" s="133">
        <v>20.557997935138943</v>
      </c>
      <c r="N31" s="133">
        <v>21.37974973217721</v>
      </c>
      <c r="O31" s="133">
        <v>27.000831880545746</v>
      </c>
      <c r="P31" s="133">
        <v>26.957249417033449</v>
      </c>
      <c r="Q31" s="133">
        <v>30.387982591964636</v>
      </c>
      <c r="R31" s="133">
        <v>31.819024918566342</v>
      </c>
      <c r="S31" s="133">
        <v>32.855222074370531</v>
      </c>
      <c r="T31" s="133">
        <v>34.126239534048558</v>
      </c>
      <c r="U31" s="133">
        <v>36.243760771649612</v>
      </c>
      <c r="V31" s="133">
        <v>34.098409935083957</v>
      </c>
      <c r="W31" s="133">
        <v>31.995343909912883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21.490533357201933</v>
      </c>
      <c r="O32" s="133">
        <v>12.569932737892861</v>
      </c>
      <c r="P32" s="133">
        <v>12.569932737892859</v>
      </c>
      <c r="Q32" s="133">
        <v>12.56993273789285</v>
      </c>
      <c r="R32" s="133">
        <v>10.137028164680546</v>
      </c>
      <c r="S32" s="133">
        <v>10.729432288391521</v>
      </c>
      <c r="T32" s="133">
        <v>11.229403159254854</v>
      </c>
      <c r="U32" s="133">
        <v>10.428505379250764</v>
      </c>
      <c r="V32" s="133">
        <v>7.0674826862801856</v>
      </c>
      <c r="W32" s="133">
        <v>9.0034853560795725</v>
      </c>
      <c r="DA32" s="157" t="s">
        <v>328</v>
      </c>
    </row>
    <row r="33" spans="1:105" ht="12" customHeight="1" x14ac:dyDescent="0.25">
      <c r="A33" s="62" t="s">
        <v>24</v>
      </c>
      <c r="B33" s="68">
        <v>74.537454379376399</v>
      </c>
      <c r="C33" s="68">
        <v>88.719665573562068</v>
      </c>
      <c r="D33" s="68">
        <v>87.766803702586841</v>
      </c>
      <c r="E33" s="68">
        <v>89.429811223275593</v>
      </c>
      <c r="F33" s="68">
        <v>85.607102316617329</v>
      </c>
      <c r="G33" s="68">
        <v>68.621234950454365</v>
      </c>
      <c r="H33" s="68">
        <v>79.308055424708698</v>
      </c>
      <c r="I33" s="68">
        <v>78.101177120267323</v>
      </c>
      <c r="J33" s="68">
        <v>76.453507433030154</v>
      </c>
      <c r="K33" s="68">
        <v>78.188180408978795</v>
      </c>
      <c r="L33" s="68">
        <v>109.26605764743188</v>
      </c>
      <c r="M33" s="68">
        <v>108.34583702801187</v>
      </c>
      <c r="N33" s="68">
        <v>88.93665010938507</v>
      </c>
      <c r="O33" s="68">
        <v>81.838816420110618</v>
      </c>
      <c r="P33" s="68">
        <v>77.24492528850746</v>
      </c>
      <c r="Q33" s="68">
        <v>73.444426043076547</v>
      </c>
      <c r="R33" s="68">
        <v>81.451940516979022</v>
      </c>
      <c r="S33" s="68">
        <v>84.926744881363149</v>
      </c>
      <c r="T33" s="68">
        <v>73.65891715124036</v>
      </c>
      <c r="U33" s="68">
        <v>76.297486206559014</v>
      </c>
      <c r="V33" s="68">
        <v>89.45725518841553</v>
      </c>
      <c r="W33" s="68">
        <v>98.407878202561591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0.64644233948908936</v>
      </c>
      <c r="C3" s="127">
        <f>IF(SER_hh_tes!C3=0,"",SER_hh_tes!C3/SER_hh_fec!C3)</f>
        <v>0.64936211396659338</v>
      </c>
      <c r="D3" s="127">
        <f>IF(SER_hh_tes!D3=0,"",SER_hh_tes!D3/SER_hh_fec!D3)</f>
        <v>0.64624513801605943</v>
      </c>
      <c r="E3" s="127">
        <f>IF(SER_hh_tes!E3=0,"",SER_hh_tes!E3/SER_hh_fec!E3)</f>
        <v>0.69783428928436153</v>
      </c>
      <c r="F3" s="127">
        <f>IF(SER_hh_tes!F3=0,"",SER_hh_tes!F3/SER_hh_fec!F3)</f>
        <v>0.66984473597646044</v>
      </c>
      <c r="G3" s="127">
        <f>IF(SER_hh_tes!G3=0,"",SER_hh_tes!G3/SER_hh_fec!G3)</f>
        <v>0.69444575071536985</v>
      </c>
      <c r="H3" s="127">
        <f>IF(SER_hh_tes!H3=0,"",SER_hh_tes!H3/SER_hh_fec!H3)</f>
        <v>0.75297383409636409</v>
      </c>
      <c r="I3" s="127">
        <f>IF(SER_hh_tes!I3=0,"",SER_hh_tes!I3/SER_hh_fec!I3)</f>
        <v>0.76110404144420007</v>
      </c>
      <c r="J3" s="127">
        <f>IF(SER_hh_tes!J3=0,"",SER_hh_tes!J3/SER_hh_fec!J3)</f>
        <v>0.8386447671938958</v>
      </c>
      <c r="K3" s="127">
        <f>IF(SER_hh_tes!K3=0,"",SER_hh_tes!K3/SER_hh_fec!K3)</f>
        <v>0.86080885208159252</v>
      </c>
      <c r="L3" s="127">
        <f>IF(SER_hh_tes!L3=0,"",SER_hh_tes!L3/SER_hh_fec!L3)</f>
        <v>1.0348093188115521</v>
      </c>
      <c r="M3" s="127">
        <f>IF(SER_hh_tes!M3=0,"",SER_hh_tes!M3/SER_hh_fec!M3)</f>
        <v>1.0321860244106404</v>
      </c>
      <c r="N3" s="127">
        <f>IF(SER_hh_tes!N3=0,"",SER_hh_tes!N3/SER_hh_fec!N3)</f>
        <v>1.1194280967169525</v>
      </c>
      <c r="O3" s="127">
        <f>IF(SER_hh_tes!O3=0,"",SER_hh_tes!O3/SER_hh_fec!O3)</f>
        <v>1.2395342873812649</v>
      </c>
      <c r="P3" s="127">
        <f>IF(SER_hh_tes!P3=0,"",SER_hh_tes!P3/SER_hh_fec!P3)</f>
        <v>1.2003697311959456</v>
      </c>
      <c r="Q3" s="127">
        <f>IF(SER_hh_tes!Q3=0,"",SER_hh_tes!Q3/SER_hh_fec!Q3)</f>
        <v>1.2003893643382644</v>
      </c>
      <c r="R3" s="127">
        <f>IF(SER_hh_tes!R3=0,"",SER_hh_tes!R3/SER_hh_fec!R3)</f>
        <v>1.3226266523937249</v>
      </c>
      <c r="S3" s="127">
        <f>IF(SER_hh_tes!S3=0,"",SER_hh_tes!S3/SER_hh_fec!S3)</f>
        <v>1.3409900640470429</v>
      </c>
      <c r="T3" s="127">
        <f>IF(SER_hh_tes!T3=0,"",SER_hh_tes!T3/SER_hh_fec!T3)</f>
        <v>1.2962410309408536</v>
      </c>
      <c r="U3" s="127">
        <f>IF(SER_hh_tes!U3=0,"",SER_hh_tes!U3/SER_hh_fec!U3)</f>
        <v>1.2959170421019253</v>
      </c>
      <c r="V3" s="127">
        <f>IF(SER_hh_tes!V3=0,"",SER_hh_tes!V3/SER_hh_fec!V3)</f>
        <v>1.5204740348116739</v>
      </c>
      <c r="W3" s="127">
        <f>IF(SER_hh_tes!W3=0,"",SER_hh_tes!W3/SER_hh_fec!W3)</f>
        <v>1.4281399329169202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0.51398484619548346</v>
      </c>
      <c r="C4" s="136">
        <f>IF(SER_hh_tes!C4=0,"",SER_hh_tes!C4/SER_hh_fec!C4)</f>
        <v>0.51839092614349913</v>
      </c>
      <c r="D4" s="136">
        <f>IF(SER_hh_tes!D4=0,"",SER_hh_tes!D4/SER_hh_fec!D4)</f>
        <v>0.53239310096356218</v>
      </c>
      <c r="E4" s="136">
        <f>IF(SER_hh_tes!E4=0,"",SER_hh_tes!E4/SER_hh_fec!E4)</f>
        <v>0.57295927037557604</v>
      </c>
      <c r="F4" s="136">
        <f>IF(SER_hh_tes!F4=0,"",SER_hh_tes!F4/SER_hh_fec!F4)</f>
        <v>0.57603668827365417</v>
      </c>
      <c r="G4" s="136">
        <f>IF(SER_hh_tes!G4=0,"",SER_hh_tes!G4/SER_hh_fec!G4)</f>
        <v>0.61343836234348692</v>
      </c>
      <c r="H4" s="136">
        <f>IF(SER_hh_tes!H4=0,"",SER_hh_tes!H4/SER_hh_fec!H4)</f>
        <v>0.66384688559764204</v>
      </c>
      <c r="I4" s="136">
        <f>IF(SER_hh_tes!I4=0,"",SER_hh_tes!I4/SER_hh_fec!I4)</f>
        <v>0.724920512734193</v>
      </c>
      <c r="J4" s="136">
        <f>IF(SER_hh_tes!J4=0,"",SER_hh_tes!J4/SER_hh_fec!J4)</f>
        <v>0.84888281174331182</v>
      </c>
      <c r="K4" s="136">
        <f>IF(SER_hh_tes!K4=0,"",SER_hh_tes!K4/SER_hh_fec!K4)</f>
        <v>0.84273391370654049</v>
      </c>
      <c r="L4" s="136">
        <f>IF(SER_hh_tes!L4=0,"",SER_hh_tes!L4/SER_hh_fec!L4)</f>
        <v>1.0529759753559313</v>
      </c>
      <c r="M4" s="136">
        <f>IF(SER_hh_tes!M4=0,"",SER_hh_tes!M4/SER_hh_fec!M4)</f>
        <v>1.1398647504531132</v>
      </c>
      <c r="N4" s="136">
        <f>IF(SER_hh_tes!N4=0,"",SER_hh_tes!N4/SER_hh_fec!N4)</f>
        <v>1.2990263916300953</v>
      </c>
      <c r="O4" s="136">
        <f>IF(SER_hh_tes!O4=0,"",SER_hh_tes!O4/SER_hh_fec!O4)</f>
        <v>1.4697904090078868</v>
      </c>
      <c r="P4" s="136">
        <f>IF(SER_hh_tes!P4=0,"",SER_hh_tes!P4/SER_hh_fec!P4)</f>
        <v>1.4574844140767302</v>
      </c>
      <c r="Q4" s="136">
        <f>IF(SER_hh_tes!Q4=0,"",SER_hh_tes!Q4/SER_hh_fec!Q4)</f>
        <v>1.4066361256587478</v>
      </c>
      <c r="R4" s="136">
        <f>IF(SER_hh_tes!R4=0,"",SER_hh_tes!R4/SER_hh_fec!R4)</f>
        <v>1.5538348261082098</v>
      </c>
      <c r="S4" s="136">
        <f>IF(SER_hh_tes!S4=0,"",SER_hh_tes!S4/SER_hh_fec!S4)</f>
        <v>1.5875964515823198</v>
      </c>
      <c r="T4" s="136">
        <f>IF(SER_hh_tes!T4=0,"",SER_hh_tes!T4/SER_hh_fec!T4)</f>
        <v>1.5059737464503353</v>
      </c>
      <c r="U4" s="136">
        <f>IF(SER_hh_tes!U4=0,"",SER_hh_tes!U4/SER_hh_fec!U4)</f>
        <v>1.5506043853646252</v>
      </c>
      <c r="V4" s="136">
        <f>IF(SER_hh_tes!V4=0,"",SER_hh_tes!V4/SER_hh_fec!V4)</f>
        <v>1.8524935177336057</v>
      </c>
      <c r="W4" s="136">
        <f>IF(SER_hh_tes!W4=0,"",SER_hh_tes!W4/SER_hh_fec!W4)</f>
        <v>1.7831312787757045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0.43449942691478799</v>
      </c>
      <c r="C7" s="137">
        <f>IF(SER_hh_tes!C7=0,"",SER_hh_tes!C7/SER_hh_fec!C7)</f>
        <v>0.44059086480638293</v>
      </c>
      <c r="D7" s="137">
        <f>IF(SER_hh_tes!D7=0,"",SER_hh_tes!D7/SER_hh_fec!D7)</f>
        <v>0.44253270401400446</v>
      </c>
      <c r="E7" s="137">
        <f>IF(SER_hh_tes!E7=0,"",SER_hh_tes!E7/SER_hh_fec!E7)</f>
        <v>0.44449252712249837</v>
      </c>
      <c r="F7" s="137">
        <f>IF(SER_hh_tes!F7=0,"",SER_hh_tes!F7/SER_hh_fec!F7)</f>
        <v>0.44813912769852238</v>
      </c>
      <c r="G7" s="137">
        <f>IF(SER_hh_tes!G7=0,"",SER_hh_tes!G7/SER_hh_fec!G7)</f>
        <v>0.45092420460232568</v>
      </c>
      <c r="H7" s="137">
        <f>IF(SER_hh_tes!H7=0,"",SER_hh_tes!H7/SER_hh_fec!H7)</f>
        <v>0.45258357777971409</v>
      </c>
      <c r="I7" s="137">
        <f>IF(SER_hh_tes!I7=0,"",SER_hh_tes!I7/SER_hh_fec!I7)</f>
        <v>0.45449994981764169</v>
      </c>
      <c r="J7" s="137">
        <f>IF(SER_hh_tes!J7=0,"",SER_hh_tes!J7/SER_hh_fec!J7)</f>
        <v>0.45609481601698143</v>
      </c>
      <c r="K7" s="137">
        <f>IF(SER_hh_tes!K7=0,"",SER_hh_tes!K7/SER_hh_fec!K7)</f>
        <v>0.45719996623766046</v>
      </c>
      <c r="L7" s="137">
        <f>IF(SER_hh_tes!L7=0,"",SER_hh_tes!L7/SER_hh_fec!L7)</f>
        <v>0.45999466837873737</v>
      </c>
      <c r="M7" s="137">
        <f>IF(SER_hh_tes!M7=0,"",SER_hh_tes!M7/SER_hh_fec!M7)</f>
        <v>0.46375990468255723</v>
      </c>
      <c r="N7" s="137">
        <f>IF(SER_hh_tes!N7=0,"",SER_hh_tes!N7/SER_hh_fec!N7)</f>
        <v>0.47383339020614895</v>
      </c>
      <c r="O7" s="137">
        <f>IF(SER_hh_tes!O7=0,"",SER_hh_tes!O7/SER_hh_fec!O7)</f>
        <v>0.526102195596302</v>
      </c>
      <c r="P7" s="137">
        <f>IF(SER_hh_tes!P7=0,"",SER_hh_tes!P7/SER_hh_fec!P7)</f>
        <v>0.52609776717347057</v>
      </c>
      <c r="Q7" s="137">
        <f>IF(SER_hh_tes!Q7=0,"",SER_hh_tes!Q7/SER_hh_fec!Q7)</f>
        <v>0.5260977671734709</v>
      </c>
      <c r="R7" s="137">
        <f>IF(SER_hh_tes!R7=0,"",SER_hh_tes!R7/SER_hh_fec!R7)</f>
        <v>0.53832436144090123</v>
      </c>
      <c r="S7" s="137">
        <f>IF(SER_hh_tes!S7=0,"",SER_hh_tes!S7/SER_hh_fec!S7)</f>
        <v>0.58810496818779179</v>
      </c>
      <c r="T7" s="137">
        <f>IF(SER_hh_tes!T7=0,"",SER_hh_tes!T7/SER_hh_fec!T7)</f>
        <v>0.60563375923872931</v>
      </c>
      <c r="U7" s="137">
        <f>IF(SER_hh_tes!U7=0,"",SER_hh_tes!U7/SER_hh_fec!U7)</f>
        <v>0.6399978765971881</v>
      </c>
      <c r="V7" s="137">
        <f>IF(SER_hh_tes!V7=0,"",SER_hh_tes!V7/SER_hh_fec!V7)</f>
        <v>0.66069757485896274</v>
      </c>
      <c r="W7" s="137">
        <f>IF(SER_hh_tes!W7=0,"",SER_hh_tes!W7/SER_hh_fec!W7)</f>
        <v>0.67339496982890779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1.0072030808315187</v>
      </c>
      <c r="C8" s="137">
        <f>IF(SER_hh_tes!C8=0,"",SER_hh_tes!C8/SER_hh_fec!C8)</f>
        <v>1.0214423989176382</v>
      </c>
      <c r="D8" s="137">
        <f>IF(SER_hh_tes!D8=0,"",SER_hh_tes!D8/SER_hh_fec!D8)</f>
        <v>1.0474643779742649</v>
      </c>
      <c r="E8" s="137">
        <f>IF(SER_hh_tes!E8=0,"",SER_hh_tes!E8/SER_hh_fec!E8)</f>
        <v>1.0673496939577141</v>
      </c>
      <c r="F8" s="137">
        <f>IF(SER_hh_tes!F8=0,"",SER_hh_tes!F8/SER_hh_fec!F8)</f>
        <v>1.0792113514729216</v>
      </c>
      <c r="G8" s="137">
        <f>IF(SER_hh_tes!G8=0,"",SER_hh_tes!G8/SER_hh_fec!G8)</f>
        <v>1.099201162461114</v>
      </c>
      <c r="H8" s="137">
        <f>IF(SER_hh_tes!H8=0,"",SER_hh_tes!H8/SER_hh_fec!H8)</f>
        <v>1.1595670366089177</v>
      </c>
      <c r="I8" s="137">
        <f>IF(SER_hh_tes!I8=0,"",SER_hh_tes!I8/SER_hh_fec!I8)</f>
        <v>1.2400286493263388</v>
      </c>
      <c r="J8" s="137">
        <f>IF(SER_hh_tes!J8=0,"",SER_hh_tes!J8/SER_hh_fec!J8)</f>
        <v>1.3375313867182239</v>
      </c>
      <c r="K8" s="137">
        <f>IF(SER_hh_tes!K8=0,"",SER_hh_tes!K8/SER_hh_fec!K8)</f>
        <v>1.425943301571295</v>
      </c>
      <c r="L8" s="137">
        <f>IF(SER_hh_tes!L8=0,"",SER_hh_tes!L8/SER_hh_fec!L8)</f>
        <v>1.521617543544878</v>
      </c>
      <c r="M8" s="137">
        <f>IF(SER_hh_tes!M8=0,"",SER_hh_tes!M8/SER_hh_fec!M8)</f>
        <v>1.6089300016904622</v>
      </c>
      <c r="N8" s="137">
        <f>IF(SER_hh_tes!N8=0,"",SER_hh_tes!N8/SER_hh_fec!N8)</f>
        <v>1.6853157961150242</v>
      </c>
      <c r="O8" s="137">
        <f>IF(SER_hh_tes!O8=0,"",SER_hh_tes!O8/SER_hh_fec!O8)</f>
        <v>1.7559703670879723</v>
      </c>
      <c r="P8" s="137">
        <f>IF(SER_hh_tes!P8=0,"",SER_hh_tes!P8/SER_hh_fec!P8)</f>
        <v>1.7898167980588682</v>
      </c>
      <c r="Q8" s="137">
        <f>IF(SER_hh_tes!Q8=0,"",SER_hh_tes!Q8/SER_hh_fec!Q8)</f>
        <v>1.8306805921030433</v>
      </c>
      <c r="R8" s="137">
        <f>IF(SER_hh_tes!R8=0,"",SER_hh_tes!R8/SER_hh_fec!R8)</f>
        <v>1.8690553683839246</v>
      </c>
      <c r="S8" s="137">
        <f>IF(SER_hh_tes!S8=0,"",SER_hh_tes!S8/SER_hh_fec!S8)</f>
        <v>1.9050873117644018</v>
      </c>
      <c r="T8" s="137">
        <f>IF(SER_hh_tes!T8=0,"",SER_hh_tes!T8/SER_hh_fec!T8)</f>
        <v>1.93675396227265</v>
      </c>
      <c r="U8" s="137">
        <f>IF(SER_hh_tes!U8=0,"",SER_hh_tes!U8/SER_hh_fec!U8)</f>
        <v>1.9810223585218376</v>
      </c>
      <c r="V8" s="137">
        <f>IF(SER_hh_tes!V8=0,"",SER_hh_tes!V8/SER_hh_fec!V8)</f>
        <v>2.0463162677430122</v>
      </c>
      <c r="W8" s="137">
        <f>IF(SER_hh_tes!W8=0,"",SER_hh_tes!W8/SER_hh_fec!W8)</f>
        <v>2.1235965713277349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0.47760713439677677</v>
      </c>
      <c r="C9" s="137">
        <f>IF(SER_hh_tes!C9=0,"",SER_hh_tes!C9/SER_hh_fec!C9)</f>
        <v>0.49319056945108675</v>
      </c>
      <c r="D9" s="137">
        <f>IF(SER_hh_tes!D9=0,"",SER_hh_tes!D9/SER_hh_fec!D9)</f>
        <v>0.50688868127908493</v>
      </c>
      <c r="E9" s="137">
        <f>IF(SER_hh_tes!E9=0,"",SER_hh_tes!E9/SER_hh_fec!E9)</f>
        <v>0.51374244037075567</v>
      </c>
      <c r="F9" s="137">
        <f>IF(SER_hh_tes!F9=0,"",SER_hh_tes!F9/SER_hh_fec!F9)</f>
        <v>0.51867951783087585</v>
      </c>
      <c r="G9" s="137">
        <f>IF(SER_hh_tes!G9=0,"",SER_hh_tes!G9/SER_hh_fec!G9)</f>
        <v>0.52142343085390086</v>
      </c>
      <c r="H9" s="137">
        <f>IF(SER_hh_tes!H9=0,"",SER_hh_tes!H9/SER_hh_fec!H9)</f>
        <v>0.52968201737377296</v>
      </c>
      <c r="I9" s="137">
        <f>IF(SER_hh_tes!I9=0,"",SER_hh_tes!I9/SER_hh_fec!I9)</f>
        <v>0.54083814831761889</v>
      </c>
      <c r="J9" s="137">
        <f>IF(SER_hh_tes!J9=0,"",SER_hh_tes!J9/SER_hh_fec!J9)</f>
        <v>0.55394714196162009</v>
      </c>
      <c r="K9" s="137">
        <f>IF(SER_hh_tes!K9=0,"",SER_hh_tes!K9/SER_hh_fec!K9)</f>
        <v>0.56622784224682077</v>
      </c>
      <c r="L9" s="137">
        <f>IF(SER_hh_tes!L9=0,"",SER_hh_tes!L9/SER_hh_fec!L9)</f>
        <v>0.57739207090279943</v>
      </c>
      <c r="M9" s="137">
        <f>IF(SER_hh_tes!M9=0,"",SER_hh_tes!M9/SER_hh_fec!M9)</f>
        <v>0.58946561272058107</v>
      </c>
      <c r="N9" s="137">
        <f>IF(SER_hh_tes!N9=0,"",SER_hh_tes!N9/SER_hh_fec!N9)</f>
        <v>0.60019721525682879</v>
      </c>
      <c r="O9" s="137">
        <f>IF(SER_hh_tes!O9=0,"",SER_hh_tes!O9/SER_hh_fec!O9)</f>
        <v>0.61037496463689578</v>
      </c>
      <c r="P9" s="137">
        <f>IF(SER_hh_tes!P9=0,"",SER_hh_tes!P9/SER_hh_fec!P9)</f>
        <v>0.61226651110194752</v>
      </c>
      <c r="Q9" s="137">
        <f>IF(SER_hh_tes!Q9=0,"",SER_hh_tes!Q9/SER_hh_fec!Q9)</f>
        <v>0.62148354741129919</v>
      </c>
      <c r="R9" s="137">
        <f>IF(SER_hh_tes!R9=0,"",SER_hh_tes!R9/SER_hh_fec!R9)</f>
        <v>0.63758757692705204</v>
      </c>
      <c r="S9" s="137">
        <f>IF(SER_hh_tes!S9=0,"",SER_hh_tes!S9/SER_hh_fec!S9)</f>
        <v>0.65274034737746311</v>
      </c>
      <c r="T9" s="137">
        <f>IF(SER_hh_tes!T9=0,"",SER_hh_tes!T9/SER_hh_fec!T9)</f>
        <v>0.66146073750125389</v>
      </c>
      <c r="U9" s="137">
        <f>IF(SER_hh_tes!U9=0,"",SER_hh_tes!U9/SER_hh_fec!U9)</f>
        <v>0.66555613917410905</v>
      </c>
      <c r="V9" s="137">
        <f>IF(SER_hh_tes!V9=0,"",SER_hh_tes!V9/SER_hh_fec!V9)</f>
        <v>0.67110031654485502</v>
      </c>
      <c r="W9" s="137">
        <f>IF(SER_hh_tes!W9=0,"",SER_hh_tes!W9/SER_hh_fec!W9)</f>
        <v>0.67789606297425475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 t="str">
        <f>IF(SER_hh_tes!I10=0,"",SER_hh_tes!I10/SER_hh_fec!I10)</f>
        <v/>
      </c>
      <c r="J10" s="137" t="str">
        <f>IF(SER_hh_tes!J10=0,"",SER_hh_tes!J10/SER_hh_fec!J10)</f>
        <v/>
      </c>
      <c r="K10" s="137" t="str">
        <f>IF(SER_hh_tes!K10=0,"",SER_hh_tes!K10/SER_hh_fec!K10)</f>
        <v/>
      </c>
      <c r="L10" s="137" t="str">
        <f>IF(SER_hh_tes!L10=0,"",SER_hh_tes!L10/SER_hh_fec!L10)</f>
        <v/>
      </c>
      <c r="M10" s="137">
        <f>IF(SER_hh_tes!M10=0,"",SER_hh_tes!M10/SER_hh_fec!M10)</f>
        <v>0.52704473888065961</v>
      </c>
      <c r="N10" s="137">
        <f>IF(SER_hh_tes!N10=0,"",SER_hh_tes!N10/SER_hh_fec!N10)</f>
        <v>0.5282809547226589</v>
      </c>
      <c r="O10" s="137">
        <f>IF(SER_hh_tes!O10=0,"",SER_hh_tes!O10/SER_hh_fec!O10)</f>
        <v>0.52828246204216667</v>
      </c>
      <c r="P10" s="137">
        <f>IF(SER_hh_tes!P10=0,"",SER_hh_tes!P10/SER_hh_fec!P10)</f>
        <v>0.52828246204216678</v>
      </c>
      <c r="Q10" s="137">
        <f>IF(SER_hh_tes!Q10=0,"",SER_hh_tes!Q10/SER_hh_fec!Q10)</f>
        <v>0.52828246204216667</v>
      </c>
      <c r="R10" s="137">
        <f>IF(SER_hh_tes!R10=0,"",SER_hh_tes!R10/SER_hh_fec!R10)</f>
        <v>0.5293596668925018</v>
      </c>
      <c r="S10" s="137">
        <f>IF(SER_hh_tes!S10=0,"",SER_hh_tes!S10/SER_hh_fec!S10)</f>
        <v>0.5311371117803283</v>
      </c>
      <c r="T10" s="137">
        <f>IF(SER_hh_tes!T10=0,"",SER_hh_tes!T10/SER_hh_fec!T10)</f>
        <v>0.53113508474298432</v>
      </c>
      <c r="U10" s="137">
        <f>IF(SER_hh_tes!U10=0,"",SER_hh_tes!U10/SER_hh_fec!U10)</f>
        <v>0.53113508474298432</v>
      </c>
      <c r="V10" s="137">
        <f>IF(SER_hh_tes!V10=0,"",SER_hh_tes!V10/SER_hh_fec!V10)</f>
        <v>0.53113508474298421</v>
      </c>
      <c r="W10" s="137">
        <f>IF(SER_hh_tes!W10=0,"",SER_hh_tes!W10/SER_hh_fec!W10)</f>
        <v>0.53120536487529735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0.7147512651394754</v>
      </c>
      <c r="C11" s="137">
        <f>IF(SER_hh_tes!C11=0,"",SER_hh_tes!C11/SER_hh_fec!C11)</f>
        <v>0.71522069212167116</v>
      </c>
      <c r="D11" s="137">
        <f>IF(SER_hh_tes!D11=0,"",SER_hh_tes!D11/SER_hh_fec!D11)</f>
        <v>0.7152635822435961</v>
      </c>
      <c r="E11" s="137">
        <f>IF(SER_hh_tes!E11=0,"",SER_hh_tes!E11/SER_hh_fec!E11)</f>
        <v>0.7152967488371732</v>
      </c>
      <c r="F11" s="137">
        <f>IF(SER_hh_tes!F11=0,"",SER_hh_tes!F11/SER_hh_fec!F11)</f>
        <v>0.71530732404330644</v>
      </c>
      <c r="G11" s="137">
        <f>IF(SER_hh_tes!G11=0,"",SER_hh_tes!G11/SER_hh_fec!G11)</f>
        <v>0.71530732404330655</v>
      </c>
      <c r="H11" s="137">
        <f>IF(SER_hh_tes!H11=0,"",SER_hh_tes!H11/SER_hh_fec!H11)</f>
        <v>0.71530732404330644</v>
      </c>
      <c r="I11" s="137">
        <f>IF(SER_hh_tes!I11=0,"",SER_hh_tes!I11/SER_hh_fec!I11)</f>
        <v>0.71531287829350798</v>
      </c>
      <c r="J11" s="137">
        <f>IF(SER_hh_tes!J11=0,"",SER_hh_tes!J11/SER_hh_fec!J11)</f>
        <v>0.72335901785908374</v>
      </c>
      <c r="K11" s="137">
        <f>IF(SER_hh_tes!K11=0,"",SER_hh_tes!K11/SER_hh_fec!K11)</f>
        <v>0.7397088129166407</v>
      </c>
      <c r="L11" s="137">
        <f>IF(SER_hh_tes!L11=0,"",SER_hh_tes!L11/SER_hh_fec!L11)</f>
        <v>0.75940724340014165</v>
      </c>
      <c r="M11" s="137">
        <f>IF(SER_hh_tes!M11=0,"",SER_hh_tes!M11/SER_hh_fec!M11)</f>
        <v>0.77849262459567037</v>
      </c>
      <c r="N11" s="137">
        <f>IF(SER_hh_tes!N11=0,"",SER_hh_tes!N11/SER_hh_fec!N11)</f>
        <v>0.7930132401333021</v>
      </c>
      <c r="O11" s="137">
        <f>IF(SER_hh_tes!O11=0,"",SER_hh_tes!O11/SER_hh_fec!O11)</f>
        <v>0.80467104395910205</v>
      </c>
      <c r="P11" s="137">
        <f>IF(SER_hh_tes!P11=0,"",SER_hh_tes!P11/SER_hh_fec!P11)</f>
        <v>0.80477890003175534</v>
      </c>
      <c r="Q11" s="137">
        <f>IF(SER_hh_tes!Q11=0,"",SER_hh_tes!Q11/SER_hh_fec!Q11)</f>
        <v>0.80504649532325279</v>
      </c>
      <c r="R11" s="137">
        <f>IF(SER_hh_tes!R11=0,"",SER_hh_tes!R11/SER_hh_fec!R11)</f>
        <v>0.80594268583625617</v>
      </c>
      <c r="S11" s="137">
        <f>IF(SER_hh_tes!S11=0,"",SER_hh_tes!S11/SER_hh_fec!S11)</f>
        <v>0.80793805069087254</v>
      </c>
      <c r="T11" s="137">
        <f>IF(SER_hh_tes!T11=0,"",SER_hh_tes!T11/SER_hh_fec!T11)</f>
        <v>0.80917991172609915</v>
      </c>
      <c r="U11" s="137">
        <f>IF(SER_hh_tes!U11=0,"",SER_hh_tes!U11/SER_hh_fec!U11)</f>
        <v>0.80994372235965006</v>
      </c>
      <c r="V11" s="137">
        <f>IF(SER_hh_tes!V11=0,"",SER_hh_tes!V11/SER_hh_fec!V11)</f>
        <v>0.81037092289006107</v>
      </c>
      <c r="W11" s="137">
        <f>IF(SER_hh_tes!W11=0,"",SER_hh_tes!W11/SER_hh_fec!W11)</f>
        <v>0.81100424654421766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0.74271091273377321</v>
      </c>
      <c r="C12" s="137">
        <f>IF(SER_hh_tes!C12=0,"",SER_hh_tes!C12/SER_hh_fec!C12)</f>
        <v>0.7502787258280712</v>
      </c>
      <c r="D12" s="137">
        <f>IF(SER_hh_tes!D12=0,"",SER_hh_tes!D12/SER_hh_fec!D12)</f>
        <v>0.75493027579675631</v>
      </c>
      <c r="E12" s="137">
        <f>IF(SER_hh_tes!E12=0,"",SER_hh_tes!E12/SER_hh_fec!E12)</f>
        <v>0.75669553604146367</v>
      </c>
      <c r="F12" s="137">
        <f>IF(SER_hh_tes!F12=0,"",SER_hh_tes!F12/SER_hh_fec!F12)</f>
        <v>0.75765805933364205</v>
      </c>
      <c r="G12" s="137">
        <f>IF(SER_hh_tes!G12=0,"",SER_hh_tes!G12/SER_hh_fec!G12)</f>
        <v>0.75837890246017892</v>
      </c>
      <c r="H12" s="137">
        <f>IF(SER_hh_tes!H12=0,"",SER_hh_tes!H12/SER_hh_fec!H12)</f>
        <v>0.75866822604273321</v>
      </c>
      <c r="I12" s="137">
        <f>IF(SER_hh_tes!I12=0,"",SER_hh_tes!I12/SER_hh_fec!I12)</f>
        <v>0.75933165558634508</v>
      </c>
      <c r="J12" s="137">
        <f>IF(SER_hh_tes!J12=0,"",SER_hh_tes!J12/SER_hh_fec!J12)</f>
        <v>0.76163570808084757</v>
      </c>
      <c r="K12" s="137">
        <f>IF(SER_hh_tes!K12=0,"",SER_hh_tes!K12/SER_hh_fec!K12)</f>
        <v>0.76498125921199256</v>
      </c>
      <c r="L12" s="137">
        <f>IF(SER_hh_tes!L12=0,"",SER_hh_tes!L12/SER_hh_fec!L12)</f>
        <v>0.77079286232427235</v>
      </c>
      <c r="M12" s="137">
        <f>IF(SER_hh_tes!M12=0,"",SER_hh_tes!M12/SER_hh_fec!M12)</f>
        <v>0.77509198988272676</v>
      </c>
      <c r="N12" s="137">
        <f>IF(SER_hh_tes!N12=0,"",SER_hh_tes!N12/SER_hh_fec!N12)</f>
        <v>0.77991031159617075</v>
      </c>
      <c r="O12" s="137">
        <f>IF(SER_hh_tes!O12=0,"",SER_hh_tes!O12/SER_hh_fec!O12)</f>
        <v>0.78296556892888003</v>
      </c>
      <c r="P12" s="137">
        <f>IF(SER_hh_tes!P12=0,"",SER_hh_tes!P12/SER_hh_fec!P12)</f>
        <v>0.78365861467761877</v>
      </c>
      <c r="Q12" s="137">
        <f>IF(SER_hh_tes!Q12=0,"",SER_hh_tes!Q12/SER_hh_fec!Q12)</f>
        <v>0.78470699006582723</v>
      </c>
      <c r="R12" s="137">
        <f>IF(SER_hh_tes!R12=0,"",SER_hh_tes!R12/SER_hh_fec!R12)</f>
        <v>0.78781761968477249</v>
      </c>
      <c r="S12" s="137">
        <f>IF(SER_hh_tes!S12=0,"",SER_hh_tes!S12/SER_hh_fec!S12)</f>
        <v>0.79300261034590303</v>
      </c>
      <c r="T12" s="137">
        <f>IF(SER_hh_tes!T12=0,"",SER_hh_tes!T12/SER_hh_fec!T12)</f>
        <v>0.79624089634981177</v>
      </c>
      <c r="U12" s="137">
        <f>IF(SER_hh_tes!U12=0,"",SER_hh_tes!U12/SER_hh_fec!U12)</f>
        <v>0.79835086012973611</v>
      </c>
      <c r="V12" s="137">
        <f>IF(SER_hh_tes!V12=0,"",SER_hh_tes!V12/SER_hh_fec!V12)</f>
        <v>0.80096468177550428</v>
      </c>
      <c r="W12" s="137">
        <f>IF(SER_hh_tes!W12=0,"",SER_hh_tes!W12/SER_hh_fec!W12)</f>
        <v>0.80411832681661144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1.2912880878264092</v>
      </c>
      <c r="C13" s="137">
        <f>IF(SER_hh_tes!C13=0,"",SER_hh_tes!C13/SER_hh_fec!C13)</f>
        <v>1.3360378999109388</v>
      </c>
      <c r="D13" s="137">
        <f>IF(SER_hh_tes!D13=0,"",SER_hh_tes!D13/SER_hh_fec!D13)</f>
        <v>1.4529492709828602</v>
      </c>
      <c r="E13" s="137">
        <f>IF(SER_hh_tes!E13=0,"",SER_hh_tes!E13/SER_hh_fec!E13)</f>
        <v>1.5555638483896663</v>
      </c>
      <c r="F13" s="137">
        <f>IF(SER_hh_tes!F13=0,"",SER_hh_tes!F13/SER_hh_fec!F13)</f>
        <v>1.6309273838339062</v>
      </c>
      <c r="G13" s="137">
        <f>IF(SER_hh_tes!G13=0,"",SER_hh_tes!G13/SER_hh_fec!G13)</f>
        <v>1.7241482816508642</v>
      </c>
      <c r="H13" s="137">
        <f>IF(SER_hh_tes!H13=0,"",SER_hh_tes!H13/SER_hh_fec!H13)</f>
        <v>1.8205923783198124</v>
      </c>
      <c r="I13" s="137">
        <f>IF(SER_hh_tes!I13=0,"",SER_hh_tes!I13/SER_hh_fec!I13)</f>
        <v>1.9153461213018919</v>
      </c>
      <c r="J13" s="137">
        <f>IF(SER_hh_tes!J13=0,"",SER_hh_tes!J13/SER_hh_fec!J13)</f>
        <v>2.0091126684557605</v>
      </c>
      <c r="K13" s="137">
        <f>IF(SER_hh_tes!K13=0,"",SER_hh_tes!K13/SER_hh_fec!K13)</f>
        <v>2.0827079156443746</v>
      </c>
      <c r="L13" s="137">
        <f>IF(SER_hh_tes!L13=0,"",SER_hh_tes!L13/SER_hh_fec!L13)</f>
        <v>2.1765177098047985</v>
      </c>
      <c r="M13" s="137">
        <f>IF(SER_hh_tes!M13=0,"",SER_hh_tes!M13/SER_hh_fec!M13)</f>
        <v>2.2503762097122078</v>
      </c>
      <c r="N13" s="137">
        <f>IF(SER_hh_tes!N13=0,"",SER_hh_tes!N13/SER_hh_fec!N13)</f>
        <v>2.3294034758502424</v>
      </c>
      <c r="O13" s="137">
        <f>IF(SER_hh_tes!O13=0,"",SER_hh_tes!O13/SER_hh_fec!O13)</f>
        <v>2.3990155751527409</v>
      </c>
      <c r="P13" s="137">
        <f>IF(SER_hh_tes!P13=0,"",SER_hh_tes!P13/SER_hh_fec!P13)</f>
        <v>2.4511115503413636</v>
      </c>
      <c r="Q13" s="137">
        <f>IF(SER_hh_tes!Q13=0,"",SER_hh_tes!Q13/SER_hh_fec!Q13)</f>
        <v>2.5089901424465091</v>
      </c>
      <c r="R13" s="137">
        <f>IF(SER_hh_tes!R13=0,"",SER_hh_tes!R13/SER_hh_fec!R13)</f>
        <v>2.5899439443866621</v>
      </c>
      <c r="S13" s="137">
        <f>IF(SER_hh_tes!S13=0,"",SER_hh_tes!S13/SER_hh_fec!S13)</f>
        <v>2.6834978750677543</v>
      </c>
      <c r="T13" s="137">
        <f>IF(SER_hh_tes!T13=0,"",SER_hh_tes!T13/SER_hh_fec!T13)</f>
        <v>2.7928165103760358</v>
      </c>
      <c r="U13" s="137">
        <f>IF(SER_hh_tes!U13=0,"",SER_hh_tes!U13/SER_hh_fec!U13)</f>
        <v>2.9184555992109704</v>
      </c>
      <c r="V13" s="137">
        <f>IF(SER_hh_tes!V13=0,"",SER_hh_tes!V13/SER_hh_fec!V13)</f>
        <v>3.0641931651270649</v>
      </c>
      <c r="W13" s="137">
        <f>IF(SER_hh_tes!W13=0,"",SER_hh_tes!W13/SER_hh_fec!W13)</f>
        <v>3.1989565214314903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0.65989112191948052</v>
      </c>
      <c r="C14" s="138">
        <f>IF(SER_hh_tes!C14=0,"",SER_hh_tes!C14/SER_hh_fec!C14)</f>
        <v>0.66075723745100035</v>
      </c>
      <c r="D14" s="138">
        <f>IF(SER_hh_tes!D14=0,"",SER_hh_tes!D14/SER_hh_fec!D14)</f>
        <v>0.66184967514547566</v>
      </c>
      <c r="E14" s="138">
        <f>IF(SER_hh_tes!E14=0,"",SER_hh_tes!E14/SER_hh_fec!E14)</f>
        <v>0.66374907760291924</v>
      </c>
      <c r="F14" s="138">
        <f>IF(SER_hh_tes!F14=0,"",SER_hh_tes!F14/SER_hh_fec!F14)</f>
        <v>0.66766422022567407</v>
      </c>
      <c r="G14" s="138">
        <f>IF(SER_hh_tes!G14=0,"",SER_hh_tes!G14/SER_hh_fec!G14)</f>
        <v>0.67216098709824901</v>
      </c>
      <c r="H14" s="138">
        <f>IF(SER_hh_tes!H14=0,"",SER_hh_tes!H14/SER_hh_fec!H14)</f>
        <v>0.67625396788452452</v>
      </c>
      <c r="I14" s="138">
        <f>IF(SER_hh_tes!I14=0,"",SER_hh_tes!I14/SER_hh_fec!I14)</f>
        <v>0.68032547518751429</v>
      </c>
      <c r="J14" s="138">
        <f>IF(SER_hh_tes!J14=0,"",SER_hh_tes!J14/SER_hh_fec!J14)</f>
        <v>0.68242856715374722</v>
      </c>
      <c r="K14" s="138">
        <f>IF(SER_hh_tes!K14=0,"",SER_hh_tes!K14/SER_hh_fec!K14)</f>
        <v>0.68494757863562683</v>
      </c>
      <c r="L14" s="138">
        <f>IF(SER_hh_tes!L14=0,"",SER_hh_tes!L14/SER_hh_fec!L14)</f>
        <v>0.68753635031059612</v>
      </c>
      <c r="M14" s="138">
        <f>IF(SER_hh_tes!M14=0,"",SER_hh_tes!M14/SER_hh_fec!M14)</f>
        <v>0.69023342090014139</v>
      </c>
      <c r="N14" s="138">
        <f>IF(SER_hh_tes!N14=0,"",SER_hh_tes!N14/SER_hh_fec!N14)</f>
        <v>0.69610926148228458</v>
      </c>
      <c r="O14" s="138">
        <f>IF(SER_hh_tes!O14=0,"",SER_hh_tes!O14/SER_hh_fec!O14)</f>
        <v>0.70826038718716799</v>
      </c>
      <c r="P14" s="138">
        <f>IF(SER_hh_tes!P14=0,"",SER_hh_tes!P14/SER_hh_fec!P14)</f>
        <v>0.71593958026607496</v>
      </c>
      <c r="Q14" s="138">
        <f>IF(SER_hh_tes!Q14=0,"",SER_hh_tes!Q14/SER_hh_fec!Q14)</f>
        <v>0.72014439624678483</v>
      </c>
      <c r="R14" s="138">
        <f>IF(SER_hh_tes!R14=0,"",SER_hh_tes!R14/SER_hh_fec!R14)</f>
        <v>0.72098386959808336</v>
      </c>
      <c r="S14" s="138">
        <f>IF(SER_hh_tes!S14=0,"",SER_hh_tes!S14/SER_hh_fec!S14)</f>
        <v>0.73226804764300002</v>
      </c>
      <c r="T14" s="138">
        <f>IF(SER_hh_tes!T14=0,"",SER_hh_tes!T14/SER_hh_fec!T14)</f>
        <v>0.75358703675967653</v>
      </c>
      <c r="U14" s="138">
        <f>IF(SER_hh_tes!U14=0,"",SER_hh_tes!U14/SER_hh_fec!U14)</f>
        <v>0.76621103509382049</v>
      </c>
      <c r="V14" s="138">
        <f>IF(SER_hh_tes!V14=0,"",SER_hh_tes!V14/SER_hh_fec!V14)</f>
        <v>0.77409165815849401</v>
      </c>
      <c r="W14" s="138">
        <f>IF(SER_hh_tes!W14=0,"",SER_hh_tes!W14/SER_hh_fec!W14)</f>
        <v>0.78288899652412292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1.7620521171915893</v>
      </c>
      <c r="C16" s="136">
        <f>IF(SER_hh_tes!C16=0,"",SER_hh_tes!C16/SER_hh_fec!C16)</f>
        <v>1.8326588631596423</v>
      </c>
      <c r="D16" s="136">
        <f>IF(SER_hh_tes!D16=0,"",SER_hh_tes!D16/SER_hh_fec!D16)</f>
        <v>1.9066522201653278</v>
      </c>
      <c r="E16" s="136">
        <f>IF(SER_hh_tes!E16=0,"",SER_hh_tes!E16/SER_hh_fec!E16)</f>
        <v>1.9822605953623773</v>
      </c>
      <c r="F16" s="136">
        <f>IF(SER_hh_tes!F16=0,"",SER_hh_tes!F16/SER_hh_fec!F16)</f>
        <v>2.0569140549296621</v>
      </c>
      <c r="G16" s="136">
        <f>IF(SER_hh_tes!G16=0,"",SER_hh_tes!G16/SER_hh_fec!G16)</f>
        <v>2.1573331873415964</v>
      </c>
      <c r="H16" s="136">
        <f>IF(SER_hh_tes!H16=0,"",SER_hh_tes!H16/SER_hh_fec!H16)</f>
        <v>2.2792252521933567</v>
      </c>
      <c r="I16" s="136">
        <f>IF(SER_hh_tes!I16=0,"",SER_hh_tes!I16/SER_hh_fec!I16)</f>
        <v>2.4170212539487466</v>
      </c>
      <c r="J16" s="136">
        <f>IF(SER_hh_tes!J16=0,"",SER_hh_tes!J16/SER_hh_fec!J16)</f>
        <v>2.5651011223959661</v>
      </c>
      <c r="K16" s="136">
        <f>IF(SER_hh_tes!K16=0,"",SER_hh_tes!K16/SER_hh_fec!K16)</f>
        <v>2.6054762506453759</v>
      </c>
      <c r="L16" s="136">
        <f>IF(SER_hh_tes!L16=0,"",SER_hh_tes!L16/SER_hh_fec!L16)</f>
        <v>2.6632501354184925</v>
      </c>
      <c r="M16" s="136">
        <f>IF(SER_hh_tes!M16=0,"",SER_hh_tes!M16/SER_hh_fec!M16)</f>
        <v>2.7388861519133734</v>
      </c>
      <c r="N16" s="136">
        <f>IF(SER_hh_tes!N16=0,"",SER_hh_tes!N16/SER_hh_fec!N16)</f>
        <v>2.8168915450502787</v>
      </c>
      <c r="O16" s="136">
        <f>IF(SER_hh_tes!O16=0,"",SER_hh_tes!O16/SER_hh_fec!O16)</f>
        <v>2.8930825929607091</v>
      </c>
      <c r="P16" s="136">
        <f>IF(SER_hh_tes!P16=0,"",SER_hh_tes!P16/SER_hh_fec!P16)</f>
        <v>2.9866926545227068</v>
      </c>
      <c r="Q16" s="136">
        <f>IF(SER_hh_tes!Q16=0,"",SER_hh_tes!Q16/SER_hh_fec!Q16)</f>
        <v>3.0925788309037321</v>
      </c>
      <c r="R16" s="136">
        <f>IF(SER_hh_tes!R16=0,"",SER_hh_tes!R16/SER_hh_fec!R16)</f>
        <v>3.2047857755578879</v>
      </c>
      <c r="S16" s="136">
        <f>IF(SER_hh_tes!S16=0,"",SER_hh_tes!S16/SER_hh_fec!S16)</f>
        <v>3.3206390151270835</v>
      </c>
      <c r="T16" s="136">
        <f>IF(SER_hh_tes!T16=0,"",SER_hh_tes!T16/SER_hh_fec!T16)</f>
        <v>3.421457602642608</v>
      </c>
      <c r="U16" s="136">
        <f>IF(SER_hh_tes!U16=0,"",SER_hh_tes!U16/SER_hh_fec!U16)</f>
        <v>3.5005996977521301</v>
      </c>
      <c r="V16" s="136">
        <f>IF(SER_hh_tes!V16=0,"",SER_hh_tes!V16/SER_hh_fec!V16)</f>
        <v>3.5788868218339411</v>
      </c>
      <c r="W16" s="136">
        <f>IF(SER_hh_tes!W16=0,"",SER_hh_tes!W16/SER_hh_fec!W16)</f>
        <v>3.6527280107333508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1.2343375613578169</v>
      </c>
      <c r="C17" s="137">
        <f>IF(SER_hh_tes!C17=0,"",SER_hh_tes!C17/SER_hh_fec!C17)</f>
        <v>1.2391553836264413</v>
      </c>
      <c r="D17" s="137">
        <f>IF(SER_hh_tes!D17=0,"",SER_hh_tes!D17/SER_hh_fec!D17)</f>
        <v>1.2420482835333067</v>
      </c>
      <c r="E17" s="137">
        <f>IF(SER_hh_tes!E17=0,"",SER_hh_tes!E17/SER_hh_fec!E17)</f>
        <v>1.2452604896853197</v>
      </c>
      <c r="F17" s="137">
        <f>IF(SER_hh_tes!F17=0,"",SER_hh_tes!F17/SER_hh_fec!F17)</f>
        <v>1.2537063810971145</v>
      </c>
      <c r="G17" s="137">
        <f>IF(SER_hh_tes!G17=0,"",SER_hh_tes!G17/SER_hh_fec!G17)</f>
        <v>1.2596217358446373</v>
      </c>
      <c r="H17" s="137">
        <f>IF(SER_hh_tes!H17=0,"",SER_hh_tes!H17/SER_hh_fec!H17)</f>
        <v>1.266198602780551</v>
      </c>
      <c r="I17" s="137">
        <f>IF(SER_hh_tes!I17=0,"",SER_hh_tes!I17/SER_hh_fec!I17)</f>
        <v>1.2735925392365959</v>
      </c>
      <c r="J17" s="137">
        <f>IF(SER_hh_tes!J17=0,"",SER_hh_tes!J17/SER_hh_fec!J17)</f>
        <v>1.2783134760167119</v>
      </c>
      <c r="K17" s="137">
        <f>IF(SER_hh_tes!K17=0,"",SER_hh_tes!K17/SER_hh_fec!K17)</f>
        <v>1.279719466666962</v>
      </c>
      <c r="L17" s="137">
        <f>IF(SER_hh_tes!L17=0,"",SER_hh_tes!L17/SER_hh_fec!L17)</f>
        <v>1.2806536511534081</v>
      </c>
      <c r="M17" s="137">
        <f>IF(SER_hh_tes!M17=0,"",SER_hh_tes!M17/SER_hh_fec!M17)</f>
        <v>1.2832238282359687</v>
      </c>
      <c r="N17" s="137">
        <f>IF(SER_hh_tes!N17=0,"",SER_hh_tes!N17/SER_hh_fec!N17)</f>
        <v>1.2863918225692388</v>
      </c>
      <c r="O17" s="137">
        <f>IF(SER_hh_tes!O17=0,"",SER_hh_tes!O17/SER_hh_fec!O17)</f>
        <v>1.2943730092512062</v>
      </c>
      <c r="P17" s="137">
        <f>IF(SER_hh_tes!P17=0,"",SER_hh_tes!P17/SER_hh_fec!P17)</f>
        <v>1.3080568387750728</v>
      </c>
      <c r="Q17" s="137">
        <f>IF(SER_hh_tes!Q17=0,"",SER_hh_tes!Q17/SER_hh_fec!Q17)</f>
        <v>1.3287432409567392</v>
      </c>
      <c r="R17" s="137">
        <f>IF(SER_hh_tes!R17=0,"",SER_hh_tes!R17/SER_hh_fec!R17)</f>
        <v>1.3549233019618465</v>
      </c>
      <c r="S17" s="137">
        <f>IF(SER_hh_tes!S17=0,"",SER_hh_tes!S17/SER_hh_fec!S17)</f>
        <v>1.3780353215586569</v>
      </c>
      <c r="T17" s="137">
        <f>IF(SER_hh_tes!T17=0,"",SER_hh_tes!T17/SER_hh_fec!T17)</f>
        <v>1.4015007983252454</v>
      </c>
      <c r="U17" s="137">
        <f>IF(SER_hh_tes!U17=0,"",SER_hh_tes!U17/SER_hh_fec!U17)</f>
        <v>1.426277456487127</v>
      </c>
      <c r="V17" s="137">
        <f>IF(SER_hh_tes!V17=0,"",SER_hh_tes!V17/SER_hh_fec!V17)</f>
        <v>1.4452994256773082</v>
      </c>
      <c r="W17" s="137">
        <f>IF(SER_hh_tes!W17=0,"",SER_hh_tes!W17/SER_hh_fec!W17)</f>
        <v>1.4651095186902625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1.7640157570443686</v>
      </c>
      <c r="C18" s="137">
        <f>IF(SER_hh_tes!C18=0,"",SER_hh_tes!C18/SER_hh_fec!C18)</f>
        <v>1.8349050831621232</v>
      </c>
      <c r="D18" s="137">
        <f>IF(SER_hh_tes!D18=0,"",SER_hh_tes!D18/SER_hh_fec!D18)</f>
        <v>1.9090279954499896</v>
      </c>
      <c r="E18" s="137">
        <f>IF(SER_hh_tes!E18=0,"",SER_hh_tes!E18/SER_hh_fec!E18)</f>
        <v>1.9847604519644928</v>
      </c>
      <c r="F18" s="137">
        <f>IF(SER_hh_tes!F18=0,"",SER_hh_tes!F18/SER_hh_fec!F18)</f>
        <v>2.0601203225673976</v>
      </c>
      <c r="G18" s="137">
        <f>IF(SER_hh_tes!G18=0,"",SER_hh_tes!G18/SER_hh_fec!G18)</f>
        <v>2.1611020617933647</v>
      </c>
      <c r="H18" s="137">
        <f>IF(SER_hh_tes!H18=0,"",SER_hh_tes!H18/SER_hh_fec!H18)</f>
        <v>2.2838724820433636</v>
      </c>
      <c r="I18" s="137">
        <f>IF(SER_hh_tes!I18=0,"",SER_hh_tes!I18/SER_hh_fec!I18)</f>
        <v>2.4239373139765408</v>
      </c>
      <c r="J18" s="137">
        <f>IF(SER_hh_tes!J18=0,"",SER_hh_tes!J18/SER_hh_fec!J18)</f>
        <v>2.5744770442219798</v>
      </c>
      <c r="K18" s="137">
        <f>IF(SER_hh_tes!K18=0,"",SER_hh_tes!K18/SER_hh_fec!K18)</f>
        <v>2.6172268782199444</v>
      </c>
      <c r="L18" s="137">
        <f>IF(SER_hh_tes!L18=0,"",SER_hh_tes!L18/SER_hh_fec!L18)</f>
        <v>2.6760348959122986</v>
      </c>
      <c r="M18" s="137">
        <f>IF(SER_hh_tes!M18=0,"",SER_hh_tes!M18/SER_hh_fec!M18)</f>
        <v>2.7547610207768711</v>
      </c>
      <c r="N18" s="137">
        <f>IF(SER_hh_tes!N18=0,"",SER_hh_tes!N18/SER_hh_fec!N18)</f>
        <v>2.835004041126048</v>
      </c>
      <c r="O18" s="137">
        <f>IF(SER_hh_tes!O18=0,"",SER_hh_tes!O18/SER_hh_fec!O18)</f>
        <v>2.9149386939162438</v>
      </c>
      <c r="P18" s="137">
        <f>IF(SER_hh_tes!P18=0,"",SER_hh_tes!P18/SER_hh_fec!P18)</f>
        <v>3.0129745712826299</v>
      </c>
      <c r="Q18" s="137">
        <f>IF(SER_hh_tes!Q18=0,"",SER_hh_tes!Q18/SER_hh_fec!Q18)</f>
        <v>3.1257602153182185</v>
      </c>
      <c r="R18" s="137">
        <f>IF(SER_hh_tes!R18=0,"",SER_hh_tes!R18/SER_hh_fec!R18)</f>
        <v>3.2479888079855916</v>
      </c>
      <c r="S18" s="137">
        <f>IF(SER_hh_tes!S18=0,"",SER_hh_tes!S18/SER_hh_fec!S18)</f>
        <v>3.3726218526278808</v>
      </c>
      <c r="T18" s="137">
        <f>IF(SER_hh_tes!T18=0,"",SER_hh_tes!T18/SER_hh_fec!T18)</f>
        <v>3.4820133824380135</v>
      </c>
      <c r="U18" s="137">
        <f>IF(SER_hh_tes!U18=0,"",SER_hh_tes!U18/SER_hh_fec!U18)</f>
        <v>3.5712295191349419</v>
      </c>
      <c r="V18" s="137">
        <f>IF(SER_hh_tes!V18=0,"",SER_hh_tes!V18/SER_hh_fec!V18)</f>
        <v>3.6523185842069732</v>
      </c>
      <c r="W18" s="137">
        <f>IF(SER_hh_tes!W18=0,"",SER_hh_tes!W18/SER_hh_fec!W18)</f>
        <v>3.7333413484815692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0.57040778476577347</v>
      </c>
      <c r="C19" s="136">
        <f>IF(SER_hh_tes!C19=0,"",SER_hh_tes!C19/SER_hh_fec!C19)</f>
        <v>0.5774556270081016</v>
      </c>
      <c r="D19" s="136">
        <f>IF(SER_hh_tes!D19=0,"",SER_hh_tes!D19/SER_hh_fec!D19)</f>
        <v>0.58410382605313327</v>
      </c>
      <c r="E19" s="136">
        <f>IF(SER_hh_tes!E19=0,"",SER_hh_tes!E19/SER_hh_fec!E19)</f>
        <v>0.58873742994975553</v>
      </c>
      <c r="F19" s="136">
        <f>IF(SER_hh_tes!F19=0,"",SER_hh_tes!F19/SER_hh_fec!F19)</f>
        <v>0.59381301720313628</v>
      </c>
      <c r="G19" s="136">
        <f>IF(SER_hh_tes!G19=0,"",SER_hh_tes!G19/SER_hh_fec!G19)</f>
        <v>0.59848008782433892</v>
      </c>
      <c r="H19" s="136">
        <f>IF(SER_hh_tes!H19=0,"",SER_hh_tes!H19/SER_hh_fec!H19)</f>
        <v>0.60293144946566524</v>
      </c>
      <c r="I19" s="136">
        <f>IF(SER_hh_tes!I19=0,"",SER_hh_tes!I19/SER_hh_fec!I19)</f>
        <v>0.60822399053484977</v>
      </c>
      <c r="J19" s="136">
        <f>IF(SER_hh_tes!J19=0,"",SER_hh_tes!J19/SER_hh_fec!J19)</f>
        <v>0.61499276300754335</v>
      </c>
      <c r="K19" s="136">
        <f>IF(SER_hh_tes!K19=0,"",SER_hh_tes!K19/SER_hh_fec!K19)</f>
        <v>0.62276347375004237</v>
      </c>
      <c r="L19" s="136">
        <f>IF(SER_hh_tes!L19=0,"",SER_hh_tes!L19/SER_hh_fec!L19)</f>
        <v>0.63465384125833846</v>
      </c>
      <c r="M19" s="136">
        <f>IF(SER_hh_tes!M19=0,"",SER_hh_tes!M19/SER_hh_fec!M19)</f>
        <v>0.64618047808321499</v>
      </c>
      <c r="N19" s="136">
        <f>IF(SER_hh_tes!N19=0,"",SER_hh_tes!N19/SER_hh_fec!N19)</f>
        <v>0.65811710472133533</v>
      </c>
      <c r="O19" s="136">
        <f>IF(SER_hh_tes!O19=0,"",SER_hh_tes!O19/SER_hh_fec!O19)</f>
        <v>0.66978604441150602</v>
      </c>
      <c r="P19" s="136">
        <f>IF(SER_hh_tes!P19=0,"",SER_hh_tes!P19/SER_hh_fec!P19)</f>
        <v>0.67620545734478688</v>
      </c>
      <c r="Q19" s="136">
        <f>IF(SER_hh_tes!Q19=0,"",SER_hh_tes!Q19/SER_hh_fec!Q19)</f>
        <v>0.68418025859555698</v>
      </c>
      <c r="R19" s="136">
        <f>IF(SER_hh_tes!R19=0,"",SER_hh_tes!R19/SER_hh_fec!R19)</f>
        <v>0.69464810921798192</v>
      </c>
      <c r="S19" s="136">
        <f>IF(SER_hh_tes!S19=0,"",SER_hh_tes!S19/SER_hh_fec!S19)</f>
        <v>0.70847368854241355</v>
      </c>
      <c r="T19" s="136">
        <f>IF(SER_hh_tes!T19=0,"",SER_hh_tes!T19/SER_hh_fec!T19)</f>
        <v>0.72389431584184039</v>
      </c>
      <c r="U19" s="136">
        <f>IF(SER_hh_tes!U19=0,"",SER_hh_tes!U19/SER_hh_fec!U19)</f>
        <v>0.73922092036317955</v>
      </c>
      <c r="V19" s="136">
        <f>IF(SER_hh_tes!V19=0,"",SER_hh_tes!V19/SER_hh_fec!V19)</f>
        <v>0.7583380072178636</v>
      </c>
      <c r="W19" s="136">
        <f>IF(SER_hh_tes!W19=0,"",SER_hh_tes!W19/SER_hh_fec!W19)</f>
        <v>0.77369667063152125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0.51821311753937482</v>
      </c>
      <c r="C21" s="137">
        <f>IF(SER_hh_tes!C21=0,"",SER_hh_tes!C21/SER_hh_fec!C21)</f>
        <v>0.51867287350965985</v>
      </c>
      <c r="D21" s="137">
        <f>IF(SER_hh_tes!D21=0,"",SER_hh_tes!D21/SER_hh_fec!D21)</f>
        <v>0.51937921213138749</v>
      </c>
      <c r="E21" s="137">
        <f>IF(SER_hh_tes!E21=0,"",SER_hh_tes!E21/SER_hh_fec!E21)</f>
        <v>0.52060341403196952</v>
      </c>
      <c r="F21" s="137">
        <f>IF(SER_hh_tes!F21=0,"",SER_hh_tes!F21/SER_hh_fec!F21)</f>
        <v>0.52245960666641733</v>
      </c>
      <c r="G21" s="137">
        <f>IF(SER_hh_tes!G21=0,"",SER_hh_tes!G21/SER_hh_fec!G21)</f>
        <v>0.52479032740054232</v>
      </c>
      <c r="H21" s="137">
        <f>IF(SER_hh_tes!H21=0,"",SER_hh_tes!H21/SER_hh_fec!H21)</f>
        <v>0.52761441379143714</v>
      </c>
      <c r="I21" s="137">
        <f>IF(SER_hh_tes!I21=0,"",SER_hh_tes!I21/SER_hh_fec!I21)</f>
        <v>0.53084268880166385</v>
      </c>
      <c r="J21" s="137">
        <f>IF(SER_hh_tes!J21=0,"",SER_hh_tes!J21/SER_hh_fec!J21)</f>
        <v>0.53417024001674129</v>
      </c>
      <c r="K21" s="137">
        <f>IF(SER_hh_tes!K21=0,"",SER_hh_tes!K21/SER_hh_fec!K21)</f>
        <v>0.53794222622546084</v>
      </c>
      <c r="L21" s="137">
        <f>IF(SER_hh_tes!L21=0,"",SER_hh_tes!L21/SER_hh_fec!L21)</f>
        <v>0.54197074536919065</v>
      </c>
      <c r="M21" s="137">
        <f>IF(SER_hh_tes!M21=0,"",SER_hh_tes!M21/SER_hh_fec!M21)</f>
        <v>0.54788260689240198</v>
      </c>
      <c r="N21" s="137">
        <f>IF(SER_hh_tes!N21=0,"",SER_hh_tes!N21/SER_hh_fec!N21)</f>
        <v>0.55648734203745553</v>
      </c>
      <c r="O21" s="137">
        <f>IF(SER_hh_tes!O21=0,"",SER_hh_tes!O21/SER_hh_fec!O21)</f>
        <v>0.56723130038480296</v>
      </c>
      <c r="P21" s="137">
        <f>IF(SER_hh_tes!P21=0,"",SER_hh_tes!P21/SER_hh_fec!P21)</f>
        <v>0.57132006661050749</v>
      </c>
      <c r="Q21" s="137">
        <f>IF(SER_hh_tes!Q21=0,"",SER_hh_tes!Q21/SER_hh_fec!Q21)</f>
        <v>0.57815137216934731</v>
      </c>
      <c r="R21" s="137">
        <f>IF(SER_hh_tes!R21=0,"",SER_hh_tes!R21/SER_hh_fec!R21)</f>
        <v>0.58776435037854535</v>
      </c>
      <c r="S21" s="137">
        <f>IF(SER_hh_tes!S21=0,"",SER_hh_tes!S21/SER_hh_fec!S21)</f>
        <v>0.6009312858091993</v>
      </c>
      <c r="T21" s="137">
        <f>IF(SER_hh_tes!T21=0,"",SER_hh_tes!T21/SER_hh_fec!T21)</f>
        <v>0.61890221734875694</v>
      </c>
      <c r="U21" s="137">
        <f>IF(SER_hh_tes!U21=0,"",SER_hh_tes!U21/SER_hh_fec!U21)</f>
        <v>0.63852350926918744</v>
      </c>
      <c r="V21" s="137">
        <f>IF(SER_hh_tes!V21=0,"",SER_hh_tes!V21/SER_hh_fec!V21)</f>
        <v>0.65499818349287398</v>
      </c>
      <c r="W21" s="137">
        <f>IF(SER_hh_tes!W21=0,"",SER_hh_tes!W21/SER_hh_fec!W21)</f>
        <v>0.67639730620147132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0.48835824104412834</v>
      </c>
      <c r="C22" s="137">
        <f>IF(SER_hh_tes!C22=0,"",SER_hh_tes!C22/SER_hh_fec!C22)</f>
        <v>0.48886345526523656</v>
      </c>
      <c r="D22" s="137">
        <f>IF(SER_hh_tes!D22=0,"",SER_hh_tes!D22/SER_hh_fec!D22)</f>
        <v>0.48921282812534844</v>
      </c>
      <c r="E22" s="137">
        <f>IF(SER_hh_tes!E22=0,"",SER_hh_tes!E22/SER_hh_fec!E22)</f>
        <v>0.49000787601663276</v>
      </c>
      <c r="F22" s="137">
        <f>IF(SER_hh_tes!F22=0,"",SER_hh_tes!F22/SER_hh_fec!F22)</f>
        <v>0.49126070172227926</v>
      </c>
      <c r="G22" s="137">
        <f>IF(SER_hh_tes!G22=0,"",SER_hh_tes!G22/SER_hh_fec!G22)</f>
        <v>0.49313887033170223</v>
      </c>
      <c r="H22" s="137">
        <f>IF(SER_hh_tes!H22=0,"",SER_hh_tes!H22/SER_hh_fec!H22)</f>
        <v>0.49559490374665732</v>
      </c>
      <c r="I22" s="137">
        <f>IF(SER_hh_tes!I22=0,"",SER_hh_tes!I22/SER_hh_fec!I22)</f>
        <v>0.49836601189985386</v>
      </c>
      <c r="J22" s="137">
        <f>IF(SER_hh_tes!J22=0,"",SER_hh_tes!J22/SER_hh_fec!J22)</f>
        <v>0.50139837627445427</v>
      </c>
      <c r="K22" s="137">
        <f>IF(SER_hh_tes!K22=0,"",SER_hh_tes!K22/SER_hh_fec!K22)</f>
        <v>0.50513506085516291</v>
      </c>
      <c r="L22" s="137">
        <f>IF(SER_hh_tes!L22=0,"",SER_hh_tes!L22/SER_hh_fec!L22)</f>
        <v>0.50991516088439726</v>
      </c>
      <c r="M22" s="137">
        <f>IF(SER_hh_tes!M22=0,"",SER_hh_tes!M22/SER_hh_fec!M22)</f>
        <v>0.51747481726443467</v>
      </c>
      <c r="N22" s="137">
        <f>IF(SER_hh_tes!N22=0,"",SER_hh_tes!N22/SER_hh_fec!N22)</f>
        <v>0.52867669617123381</v>
      </c>
      <c r="O22" s="137">
        <f>IF(SER_hh_tes!O22=0,"",SER_hh_tes!O22/SER_hh_fec!O22)</f>
        <v>0.5424353273908108</v>
      </c>
      <c r="P22" s="137">
        <f>IF(SER_hh_tes!P22=0,"",SER_hh_tes!P22/SER_hh_fec!P22)</f>
        <v>0.54617293112144849</v>
      </c>
      <c r="Q22" s="137">
        <f>IF(SER_hh_tes!Q22=0,"",SER_hh_tes!Q22/SER_hh_fec!Q22)</f>
        <v>0.55208967323863367</v>
      </c>
      <c r="R22" s="137">
        <f>IF(SER_hh_tes!R22=0,"",SER_hh_tes!R22/SER_hh_fec!R22)</f>
        <v>0.56088948836397756</v>
      </c>
      <c r="S22" s="137">
        <f>IF(SER_hh_tes!S22=0,"",SER_hh_tes!S22/SER_hh_fec!S22)</f>
        <v>0.57474339123199081</v>
      </c>
      <c r="T22" s="137">
        <f>IF(SER_hh_tes!T22=0,"",SER_hh_tes!T22/SER_hh_fec!T22)</f>
        <v>0.59291592726186471</v>
      </c>
      <c r="U22" s="137">
        <f>IF(SER_hh_tes!U22=0,"",SER_hh_tes!U22/SER_hh_fec!U22)</f>
        <v>0.61354957383323194</v>
      </c>
      <c r="V22" s="137">
        <f>IF(SER_hh_tes!V22=0,"",SER_hh_tes!V22/SER_hh_fec!V22)</f>
        <v>0.63333386453999296</v>
      </c>
      <c r="W22" s="137">
        <f>IF(SER_hh_tes!W22=0,"",SER_hh_tes!W22/SER_hh_fec!W22)</f>
        <v>0.6554946254217866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0.49891853712583334</v>
      </c>
      <c r="C23" s="137">
        <f>IF(SER_hh_tes!C23=0,"",SER_hh_tes!C23/SER_hh_fec!C23)</f>
        <v>0.50401308856612703</v>
      </c>
      <c r="D23" s="137">
        <f>IF(SER_hh_tes!D23=0,"",SER_hh_tes!D23/SER_hh_fec!D23)</f>
        <v>0.50955725025419651</v>
      </c>
      <c r="E23" s="137">
        <f>IF(SER_hh_tes!E23=0,"",SER_hh_tes!E23/SER_hh_fec!E23)</f>
        <v>0.51570979503385472</v>
      </c>
      <c r="F23" s="137">
        <f>IF(SER_hh_tes!F23=0,"",SER_hh_tes!F23/SER_hh_fec!F23)</f>
        <v>0.52257726271553617</v>
      </c>
      <c r="G23" s="137">
        <f>IF(SER_hh_tes!G23=0,"",SER_hh_tes!G23/SER_hh_fec!G23)</f>
        <v>0.53068575821514274</v>
      </c>
      <c r="H23" s="137">
        <f>IF(SER_hh_tes!H23=0,"",SER_hh_tes!H23/SER_hh_fec!H23)</f>
        <v>0.53964688757155177</v>
      </c>
      <c r="I23" s="137">
        <f>IF(SER_hh_tes!I23=0,"",SER_hh_tes!I23/SER_hh_fec!I23)</f>
        <v>0.54873461814744851</v>
      </c>
      <c r="J23" s="137">
        <f>IF(SER_hh_tes!J23=0,"",SER_hh_tes!J23/SER_hh_fec!J23)</f>
        <v>0.55699190859675685</v>
      </c>
      <c r="K23" s="137">
        <f>IF(SER_hh_tes!K23=0,"",SER_hh_tes!K23/SER_hh_fec!K23)</f>
        <v>0.56515978169271031</v>
      </c>
      <c r="L23" s="137">
        <f>IF(SER_hh_tes!L23=0,"",SER_hh_tes!L23/SER_hh_fec!L23)</f>
        <v>0.57334910365039038</v>
      </c>
      <c r="M23" s="137">
        <f>IF(SER_hh_tes!M23=0,"",SER_hh_tes!M23/SER_hh_fec!M23)</f>
        <v>0.58311930674296819</v>
      </c>
      <c r="N23" s="137">
        <f>IF(SER_hh_tes!N23=0,"",SER_hh_tes!N23/SER_hh_fec!N23)</f>
        <v>0.59433374994138677</v>
      </c>
      <c r="O23" s="137">
        <f>IF(SER_hh_tes!O23=0,"",SER_hh_tes!O23/SER_hh_fec!O23)</f>
        <v>0.60597097943023126</v>
      </c>
      <c r="P23" s="137">
        <f>IF(SER_hh_tes!P23=0,"",SER_hh_tes!P23/SER_hh_fec!P23)</f>
        <v>0.6133441031941298</v>
      </c>
      <c r="Q23" s="137">
        <f>IF(SER_hh_tes!Q23=0,"",SER_hh_tes!Q23/SER_hh_fec!Q23)</f>
        <v>0.62417777342458614</v>
      </c>
      <c r="R23" s="137">
        <f>IF(SER_hh_tes!R23=0,"",SER_hh_tes!R23/SER_hh_fec!R23)</f>
        <v>0.63839487977551801</v>
      </c>
      <c r="S23" s="137">
        <f>IF(SER_hh_tes!S23=0,"",SER_hh_tes!S23/SER_hh_fec!S23)</f>
        <v>0.65517788718967473</v>
      </c>
      <c r="T23" s="137">
        <f>IF(SER_hh_tes!T23=0,"",SER_hh_tes!T23/SER_hh_fec!T23)</f>
        <v>0.6711862381097099</v>
      </c>
      <c r="U23" s="137">
        <f>IF(SER_hh_tes!U23=0,"",SER_hh_tes!U23/SER_hh_fec!U23)</f>
        <v>0.68554344391314925</v>
      </c>
      <c r="V23" s="137">
        <f>IF(SER_hh_tes!V23=0,"",SER_hh_tes!V23/SER_hh_fec!V23)</f>
        <v>0.69692210309838509</v>
      </c>
      <c r="W23" s="137">
        <f>IF(SER_hh_tes!W23=0,"",SER_hh_tes!W23/SER_hh_fec!W23)</f>
        <v>0.7111835261470737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0.74682457833959592</v>
      </c>
      <c r="C25" s="137">
        <f>IF(SER_hh_tes!C25=0,"",SER_hh_tes!C25/SER_hh_fec!C25)</f>
        <v>0.75349901845787537</v>
      </c>
      <c r="D25" s="137">
        <f>IF(SER_hh_tes!D25=0,"",SER_hh_tes!D25/SER_hh_fec!D25)</f>
        <v>0.75826794370002926</v>
      </c>
      <c r="E25" s="137">
        <f>IF(SER_hh_tes!E25=0,"",SER_hh_tes!E25/SER_hh_fec!E25)</f>
        <v>0.76113514706995711</v>
      </c>
      <c r="F25" s="137">
        <f>IF(SER_hh_tes!F25=0,"",SER_hh_tes!F25/SER_hh_fec!F25)</f>
        <v>0.76243887243203401</v>
      </c>
      <c r="G25" s="137">
        <f>IF(SER_hh_tes!G25=0,"",SER_hh_tes!G25/SER_hh_fec!G25)</f>
        <v>0.7631933227563209</v>
      </c>
      <c r="H25" s="137">
        <f>IF(SER_hh_tes!H25=0,"",SER_hh_tes!H25/SER_hh_fec!H25)</f>
        <v>0.76400567724082113</v>
      </c>
      <c r="I25" s="137">
        <f>IF(SER_hh_tes!I25=0,"",SER_hh_tes!I25/SER_hh_fec!I25)</f>
        <v>0.76502300449239702</v>
      </c>
      <c r="J25" s="137">
        <f>IF(SER_hh_tes!J25=0,"",SER_hh_tes!J25/SER_hh_fec!J25)</f>
        <v>0.7659967119328972</v>
      </c>
      <c r="K25" s="137">
        <f>IF(SER_hh_tes!K25=0,"",SER_hh_tes!K25/SER_hh_fec!K25)</f>
        <v>0.76682513247343376</v>
      </c>
      <c r="L25" s="137">
        <f>IF(SER_hh_tes!L25=0,"",SER_hh_tes!L25/SER_hh_fec!L25)</f>
        <v>0.76903685292760837</v>
      </c>
      <c r="M25" s="137">
        <f>IF(SER_hh_tes!M25=0,"",SER_hh_tes!M25/SER_hh_fec!M25)</f>
        <v>0.77510470698033063</v>
      </c>
      <c r="N25" s="137">
        <f>IF(SER_hh_tes!N25=0,"",SER_hh_tes!N25/SER_hh_fec!N25)</f>
        <v>0.782984780534422</v>
      </c>
      <c r="O25" s="137">
        <f>IF(SER_hh_tes!O25=0,"",SER_hh_tes!O25/SER_hh_fec!O25)</f>
        <v>0.79023987734419465</v>
      </c>
      <c r="P25" s="137">
        <f>IF(SER_hh_tes!P25=0,"",SER_hh_tes!P25/SER_hh_fec!P25)</f>
        <v>0.79411623047693425</v>
      </c>
      <c r="Q25" s="137">
        <f>IF(SER_hh_tes!Q25=0,"",SER_hh_tes!Q25/SER_hh_fec!Q25)</f>
        <v>0.79805531163334587</v>
      </c>
      <c r="R25" s="137">
        <f>IF(SER_hh_tes!R25=0,"",SER_hh_tes!R25/SER_hh_fec!R25)</f>
        <v>0.80171943897051778</v>
      </c>
      <c r="S25" s="137">
        <f>IF(SER_hh_tes!S25=0,"",SER_hh_tes!S25/SER_hh_fec!S25)</f>
        <v>0.8061167469126338</v>
      </c>
      <c r="T25" s="137">
        <f>IF(SER_hh_tes!T25=0,"",SER_hh_tes!T25/SER_hh_fec!T25)</f>
        <v>0.80820558159547728</v>
      </c>
      <c r="U25" s="137">
        <f>IF(SER_hh_tes!U25=0,"",SER_hh_tes!U25/SER_hh_fec!U25)</f>
        <v>0.80936644108495948</v>
      </c>
      <c r="V25" s="137">
        <f>IF(SER_hh_tes!V25=0,"",SER_hh_tes!V25/SER_hh_fec!V25)</f>
        <v>0.80962691838447354</v>
      </c>
      <c r="W25" s="137">
        <f>IF(SER_hh_tes!W25=0,"",SER_hh_tes!W25/SER_hh_fec!W25)</f>
        <v>0.80966357521291221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0.61537837180133292</v>
      </c>
      <c r="C26" s="138">
        <f>IF(SER_hh_tes!C26=0,"",SER_hh_tes!C26/SER_hh_fec!C26)</f>
        <v>0.61885563761225515</v>
      </c>
      <c r="D26" s="138">
        <f>IF(SER_hh_tes!D26=0,"",SER_hh_tes!D26/SER_hh_fec!D26)</f>
        <v>0.62170297325479595</v>
      </c>
      <c r="E26" s="138">
        <f>IF(SER_hh_tes!E26=0,"",SER_hh_tes!E26/SER_hh_fec!E26)</f>
        <v>0.62439859465926806</v>
      </c>
      <c r="F26" s="138">
        <f>IF(SER_hh_tes!F26=0,"",SER_hh_tes!F26/SER_hh_fec!F26)</f>
        <v>0.62724464789261991</v>
      </c>
      <c r="G26" s="138">
        <f>IF(SER_hh_tes!G26=0,"",SER_hh_tes!G26/SER_hh_fec!G26)</f>
        <v>0.62986916131867321</v>
      </c>
      <c r="H26" s="138">
        <f>IF(SER_hh_tes!H26=0,"",SER_hh_tes!H26/SER_hh_fec!H26)</f>
        <v>0.63289496993607619</v>
      </c>
      <c r="I26" s="138">
        <f>IF(SER_hh_tes!I26=0,"",SER_hh_tes!I26/SER_hh_fec!I26)</f>
        <v>0.63584868755886526</v>
      </c>
      <c r="J26" s="138">
        <f>IF(SER_hh_tes!J26=0,"",SER_hh_tes!J26/SER_hh_fec!J26)</f>
        <v>0.63867086542257834</v>
      </c>
      <c r="K26" s="138">
        <f>IF(SER_hh_tes!K26=0,"",SER_hh_tes!K26/SER_hh_fec!K26)</f>
        <v>0.64163945952055723</v>
      </c>
      <c r="L26" s="138">
        <f>IF(SER_hh_tes!L26=0,"",SER_hh_tes!L26/SER_hh_fec!L26)</f>
        <v>0.64434938206116643</v>
      </c>
      <c r="M26" s="138">
        <f>IF(SER_hh_tes!M26=0,"",SER_hh_tes!M26/SER_hh_fec!M26)</f>
        <v>0.64799901259538839</v>
      </c>
      <c r="N26" s="138">
        <f>IF(SER_hh_tes!N26=0,"",SER_hh_tes!N26/SER_hh_fec!N26)</f>
        <v>0.65254467124801663</v>
      </c>
      <c r="O26" s="138">
        <f>IF(SER_hh_tes!O26=0,"",SER_hh_tes!O26/SER_hh_fec!O26)</f>
        <v>0.65921974541579342</v>
      </c>
      <c r="P26" s="138">
        <f>IF(SER_hh_tes!P26=0,"",SER_hh_tes!P26/SER_hh_fec!P26)</f>
        <v>0.66316539117017359</v>
      </c>
      <c r="Q26" s="138">
        <f>IF(SER_hh_tes!Q26=0,"",SER_hh_tes!Q26/SER_hh_fec!Q26)</f>
        <v>0.6698562427471817</v>
      </c>
      <c r="R26" s="138">
        <f>IF(SER_hh_tes!R26=0,"",SER_hh_tes!R26/SER_hh_fec!R26)</f>
        <v>0.67855419626254532</v>
      </c>
      <c r="S26" s="138">
        <f>IF(SER_hh_tes!S26=0,"",SER_hh_tes!S26/SER_hh_fec!S26)</f>
        <v>0.69171315935365918</v>
      </c>
      <c r="T26" s="138">
        <f>IF(SER_hh_tes!T26=0,"",SER_hh_tes!T26/SER_hh_fec!T26)</f>
        <v>0.70624128883086634</v>
      </c>
      <c r="U26" s="138">
        <f>IF(SER_hh_tes!U26=0,"",SER_hh_tes!U26/SER_hh_fec!U26)</f>
        <v>0.72189960820754218</v>
      </c>
      <c r="V26" s="138">
        <f>IF(SER_hh_tes!V26=0,"",SER_hh_tes!V26/SER_hh_fec!V26)</f>
        <v>0.73137597434190593</v>
      </c>
      <c r="W26" s="138">
        <f>IF(SER_hh_tes!W26=0,"",SER_hh_tes!W26/SER_hh_fec!W26)</f>
        <v>0.75722750215926249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0.62603517862485702</v>
      </c>
      <c r="C29" s="136">
        <f>IF(SER_hh_tes!C29=0,"",SER_hh_tes!C29/SER_hh_fec!C29)</f>
        <v>0.6410814345667446</v>
      </c>
      <c r="D29" s="136">
        <f>IF(SER_hh_tes!D29=0,"",SER_hh_tes!D29/SER_hh_fec!D29)</f>
        <v>0.62816179530364225</v>
      </c>
      <c r="E29" s="136">
        <f>IF(SER_hh_tes!E29=0,"",SER_hh_tes!E29/SER_hh_fec!E29)</f>
        <v>0.62657016698834778</v>
      </c>
      <c r="F29" s="136">
        <f>IF(SER_hh_tes!F29=0,"",SER_hh_tes!F29/SER_hh_fec!F29)</f>
        <v>0.61960913208187451</v>
      </c>
      <c r="G29" s="136">
        <f>IF(SER_hh_tes!G29=0,"",SER_hh_tes!G29/SER_hh_fec!G29)</f>
        <v>0.5981296974980308</v>
      </c>
      <c r="H29" s="136">
        <f>IF(SER_hh_tes!H29=0,"",SER_hh_tes!H29/SER_hh_fec!H29)</f>
        <v>0.60897190287830738</v>
      </c>
      <c r="I29" s="136">
        <f>IF(SER_hh_tes!I29=0,"",SER_hh_tes!I29/SER_hh_fec!I29)</f>
        <v>0.60794401411744003</v>
      </c>
      <c r="J29" s="136">
        <f>IF(SER_hh_tes!J29=0,"",SER_hh_tes!J29/SER_hh_fec!J29)</f>
        <v>0.60459992688565278</v>
      </c>
      <c r="K29" s="136">
        <f>IF(SER_hh_tes!K29=0,"",SER_hh_tes!K29/SER_hh_fec!K29)</f>
        <v>0.60923352273905973</v>
      </c>
      <c r="L29" s="136">
        <f>IF(SER_hh_tes!L29=0,"",SER_hh_tes!L29/SER_hh_fec!L29)</f>
        <v>0.64773255901915117</v>
      </c>
      <c r="M29" s="136">
        <f>IF(SER_hh_tes!M29=0,"",SER_hh_tes!M29/SER_hh_fec!M29)</f>
        <v>0.64794923534680582</v>
      </c>
      <c r="N29" s="136">
        <f>IF(SER_hh_tes!N29=0,"",SER_hh_tes!N29/SER_hh_fec!N29)</f>
        <v>0.63208459070852585</v>
      </c>
      <c r="O29" s="136">
        <f>IF(SER_hh_tes!O29=0,"",SER_hh_tes!O29/SER_hh_fec!O29)</f>
        <v>0.62835455850306599</v>
      </c>
      <c r="P29" s="136">
        <f>IF(SER_hh_tes!P29=0,"",SER_hh_tes!P29/SER_hh_fec!P29)</f>
        <v>0.61598529588348561</v>
      </c>
      <c r="Q29" s="136">
        <f>IF(SER_hh_tes!Q29=0,"",SER_hh_tes!Q29/SER_hh_fec!Q29)</f>
        <v>0.6115796466227309</v>
      </c>
      <c r="R29" s="136">
        <f>IF(SER_hh_tes!R29=0,"",SER_hh_tes!R29/SER_hh_fec!R29)</f>
        <v>0.62006752930516396</v>
      </c>
      <c r="S29" s="136">
        <f>IF(SER_hh_tes!S29=0,"",SER_hh_tes!S29/SER_hh_fec!S29)</f>
        <v>0.62503213069089381</v>
      </c>
      <c r="T29" s="136">
        <f>IF(SER_hh_tes!T29=0,"",SER_hh_tes!T29/SER_hh_fec!T29)</f>
        <v>0.61603893316126002</v>
      </c>
      <c r="U29" s="136">
        <f>IF(SER_hh_tes!U29=0,"",SER_hh_tes!U29/SER_hh_fec!U29)</f>
        <v>0.62452741745962637</v>
      </c>
      <c r="V29" s="136">
        <f>IF(SER_hh_tes!V29=0,"",SER_hh_tes!V29/SER_hh_fec!V29)</f>
        <v>0.65618469061792062</v>
      </c>
      <c r="W29" s="136">
        <f>IF(SER_hh_tes!W29=0,"",SER_hh_tes!W29/SER_hh_fec!W29)</f>
        <v>0.67501918049763754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0.51943120788773434</v>
      </c>
      <c r="C30" s="137">
        <f>IF(SER_hh_tes!C30=0,"",SER_hh_tes!C30/SER_hh_fec!C30)</f>
        <v>0.52004304213751784</v>
      </c>
      <c r="D30" s="137">
        <f>IF(SER_hh_tes!D30=0,"",SER_hh_tes!D30/SER_hh_fec!D30)</f>
        <v>0.52190705119597425</v>
      </c>
      <c r="E30" s="137">
        <f>IF(SER_hh_tes!E30=0,"",SER_hh_tes!E30/SER_hh_fec!E30)</f>
        <v>0.52358260013409008</v>
      </c>
      <c r="F30" s="137">
        <f>IF(SER_hh_tes!F30=0,"",SER_hh_tes!F30/SER_hh_fec!F30)</f>
        <v>0.52523803156731441</v>
      </c>
      <c r="G30" s="137">
        <f>IF(SER_hh_tes!G30=0,"",SER_hh_tes!G30/SER_hh_fec!G30)</f>
        <v>0.52673353992324323</v>
      </c>
      <c r="H30" s="137">
        <f>IF(SER_hh_tes!H30=0,"",SER_hh_tes!H30/SER_hh_fec!H30)</f>
        <v>0.52765072730353635</v>
      </c>
      <c r="I30" s="137">
        <f>IF(SER_hh_tes!I30=0,"",SER_hh_tes!I30/SER_hh_fec!I30)</f>
        <v>0.52859698950023404</v>
      </c>
      <c r="J30" s="137">
        <f>IF(SER_hh_tes!J30=0,"",SER_hh_tes!J30/SER_hh_fec!J30)</f>
        <v>0.52923142092265996</v>
      </c>
      <c r="K30" s="137">
        <f>IF(SER_hh_tes!K30=0,"",SER_hh_tes!K30/SER_hh_fec!K30)</f>
        <v>0.52976863015420406</v>
      </c>
      <c r="L30" s="137">
        <f>IF(SER_hh_tes!L30=0,"",SER_hh_tes!L30/SER_hh_fec!L30)</f>
        <v>0.53015804219420315</v>
      </c>
      <c r="M30" s="137">
        <f>IF(SER_hh_tes!M30=0,"",SER_hh_tes!M30/SER_hh_fec!M30)</f>
        <v>0.53015955230663747</v>
      </c>
      <c r="N30" s="137">
        <f>IF(SER_hh_tes!N30=0,"",SER_hh_tes!N30/SER_hh_fec!N30)</f>
        <v>0.53020590042617799</v>
      </c>
      <c r="O30" s="137">
        <f>IF(SER_hh_tes!O30=0,"",SER_hh_tes!O30/SER_hh_fec!O30)</f>
        <v>0.53129819100384401</v>
      </c>
      <c r="P30" s="137">
        <f>IF(SER_hh_tes!P30=0,"",SER_hh_tes!P30/SER_hh_fec!P30)</f>
        <v>0.53323461405479777</v>
      </c>
      <c r="Q30" s="137">
        <f>IF(SER_hh_tes!Q30=0,"",SER_hh_tes!Q30/SER_hh_fec!Q30)</f>
        <v>0.53466896134839015</v>
      </c>
      <c r="R30" s="137">
        <f>IF(SER_hh_tes!R30=0,"",SER_hh_tes!R30/SER_hh_fec!R30)</f>
        <v>0.53632934072443739</v>
      </c>
      <c r="S30" s="137">
        <f>IF(SER_hh_tes!S30=0,"",SER_hh_tes!S30/SER_hh_fec!S30)</f>
        <v>0.5384571928859091</v>
      </c>
      <c r="T30" s="137">
        <f>IF(SER_hh_tes!T30=0,"",SER_hh_tes!T30/SER_hh_fec!T30)</f>
        <v>0.54077350716671746</v>
      </c>
      <c r="U30" s="137">
        <f>IF(SER_hh_tes!U30=0,"",SER_hh_tes!U30/SER_hh_fec!U30)</f>
        <v>0.54138144736389526</v>
      </c>
      <c r="V30" s="137">
        <f>IF(SER_hh_tes!V30=0,"",SER_hh_tes!V30/SER_hh_fec!V30)</f>
        <v>0.54157910777417029</v>
      </c>
      <c r="W30" s="137">
        <f>IF(SER_hh_tes!W30=0,"",SER_hh_tes!W30/SER_hh_fec!W30)</f>
        <v>0.54157914439363974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0.52217075813900748</v>
      </c>
      <c r="C31" s="137">
        <f>IF(SER_hh_tes!C31=0,"",SER_hh_tes!C31/SER_hh_fec!C31)</f>
        <v>0.5229487130117989</v>
      </c>
      <c r="D31" s="137">
        <f>IF(SER_hh_tes!D31=0,"",SER_hh_tes!D31/SER_hh_fec!D31)</f>
        <v>0.52393174036216161</v>
      </c>
      <c r="E31" s="137">
        <f>IF(SER_hh_tes!E31=0,"",SER_hh_tes!E31/SER_hh_fec!E31)</f>
        <v>0.52510097949739443</v>
      </c>
      <c r="F31" s="137">
        <f>IF(SER_hh_tes!F31=0,"",SER_hh_tes!F31/SER_hh_fec!F31)</f>
        <v>0.5265099816537987</v>
      </c>
      <c r="G31" s="137">
        <f>IF(SER_hh_tes!G31=0,"",SER_hh_tes!G31/SER_hh_fec!G31)</f>
        <v>0.52791230257804866</v>
      </c>
      <c r="H31" s="137">
        <f>IF(SER_hh_tes!H31=0,"",SER_hh_tes!H31/SER_hh_fec!H31)</f>
        <v>0.5292286462919279</v>
      </c>
      <c r="I31" s="137">
        <f>IF(SER_hh_tes!I31=0,"",SER_hh_tes!I31/SER_hh_fec!I31)</f>
        <v>0.53057235652762091</v>
      </c>
      <c r="J31" s="137">
        <f>IF(SER_hh_tes!J31=0,"",SER_hh_tes!J31/SER_hh_fec!J31)</f>
        <v>0.53208144354290721</v>
      </c>
      <c r="K31" s="137">
        <f>IF(SER_hh_tes!K31=0,"",SER_hh_tes!K31/SER_hh_fec!K31)</f>
        <v>0.53381875673621548</v>
      </c>
      <c r="L31" s="137">
        <f>IF(SER_hh_tes!L31=0,"",SER_hh_tes!L31/SER_hh_fec!L31)</f>
        <v>0.53521743644242825</v>
      </c>
      <c r="M31" s="137">
        <f>IF(SER_hh_tes!M31=0,"",SER_hh_tes!M31/SER_hh_fec!M31)</f>
        <v>0.53601322793089623</v>
      </c>
      <c r="N31" s="137">
        <f>IF(SER_hh_tes!N31=0,"",SER_hh_tes!N31/SER_hh_fec!N31)</f>
        <v>0.53673016290683118</v>
      </c>
      <c r="O31" s="137">
        <f>IF(SER_hh_tes!O31=0,"",SER_hh_tes!O31/SER_hh_fec!O31)</f>
        <v>0.53748495630988136</v>
      </c>
      <c r="P31" s="137">
        <f>IF(SER_hh_tes!P31=0,"",SER_hh_tes!P31/SER_hh_fec!P31)</f>
        <v>0.53797273016246427</v>
      </c>
      <c r="Q31" s="137">
        <f>IF(SER_hh_tes!Q31=0,"",SER_hh_tes!Q31/SER_hh_fec!Q31)</f>
        <v>0.5383846873591559</v>
      </c>
      <c r="R31" s="137">
        <f>IF(SER_hh_tes!R31=0,"",SER_hh_tes!R31/SER_hh_fec!R31)</f>
        <v>0.53903279955925032</v>
      </c>
      <c r="S31" s="137">
        <f>IF(SER_hh_tes!S31=0,"",SER_hh_tes!S31/SER_hh_fec!S31)</f>
        <v>0.54018296015911638</v>
      </c>
      <c r="T31" s="137">
        <f>IF(SER_hh_tes!T31=0,"",SER_hh_tes!T31/SER_hh_fec!T31)</f>
        <v>0.5419208873211715</v>
      </c>
      <c r="U31" s="137">
        <f>IF(SER_hh_tes!U31=0,"",SER_hh_tes!U31/SER_hh_fec!U31)</f>
        <v>0.54429096690133272</v>
      </c>
      <c r="V31" s="137">
        <f>IF(SER_hh_tes!V31=0,"",SER_hh_tes!V31/SER_hh_fec!V31)</f>
        <v>0.5471582755927028</v>
      </c>
      <c r="W31" s="137">
        <f>IF(SER_hh_tes!W31=0,"",SER_hh_tes!W31/SER_hh_fec!W31)</f>
        <v>0.5509017716849538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>
        <f>IF(SER_hh_tes!N32=0,"",SER_hh_tes!N32/SER_hh_fec!N32)</f>
        <v>0.57548111917463385</v>
      </c>
      <c r="O32" s="137">
        <f>IF(SER_hh_tes!O32=0,"",SER_hh_tes!O32/SER_hh_fec!O32)</f>
        <v>0.57548111917463385</v>
      </c>
      <c r="P32" s="137">
        <f>IF(SER_hh_tes!P32=0,"",SER_hh_tes!P32/SER_hh_fec!P32)</f>
        <v>0.57548111917463407</v>
      </c>
      <c r="Q32" s="137">
        <f>IF(SER_hh_tes!Q32=0,"",SER_hh_tes!Q32/SER_hh_fec!Q32)</f>
        <v>0.57548111917463374</v>
      </c>
      <c r="R32" s="137">
        <f>IF(SER_hh_tes!R32=0,"",SER_hh_tes!R32/SER_hh_fec!R32)</f>
        <v>0.57548111917463407</v>
      </c>
      <c r="S32" s="137">
        <f>IF(SER_hh_tes!S32=0,"",SER_hh_tes!S32/SER_hh_fec!S32)</f>
        <v>0.57548111917463407</v>
      </c>
      <c r="T32" s="137">
        <f>IF(SER_hh_tes!T32=0,"",SER_hh_tes!T32/SER_hh_fec!T32)</f>
        <v>0.57548111917463374</v>
      </c>
      <c r="U32" s="137">
        <f>IF(SER_hh_tes!U32=0,"",SER_hh_tes!U32/SER_hh_fec!U32)</f>
        <v>0.5754811191746344</v>
      </c>
      <c r="V32" s="137">
        <f>IF(SER_hh_tes!V32=0,"",SER_hh_tes!V32/SER_hh_fec!V32)</f>
        <v>0.57548111917463407</v>
      </c>
      <c r="W32" s="137">
        <f>IF(SER_hh_tes!W32=0,"",SER_hh_tes!W32/SER_hh_fec!W32)</f>
        <v>0.57599404759971573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0.68125073889023124</v>
      </c>
      <c r="C33" s="150">
        <f>IF(SER_hh_tes!C33=0,"",SER_hh_tes!C33/SER_hh_fec!C33)</f>
        <v>0.68318219330221286</v>
      </c>
      <c r="D33" s="150">
        <f>IF(SER_hh_tes!D33=0,"",SER_hh_tes!D33/SER_hh_fec!D33)</f>
        <v>0.68430571858651201</v>
      </c>
      <c r="E33" s="150">
        <f>IF(SER_hh_tes!E33=0,"",SER_hh_tes!E33/SER_hh_fec!E33)</f>
        <v>0.68544301428993604</v>
      </c>
      <c r="F33" s="150">
        <f>IF(SER_hh_tes!F33=0,"",SER_hh_tes!F33/SER_hh_fec!F33)</f>
        <v>0.68665230608985839</v>
      </c>
      <c r="G33" s="150">
        <f>IF(SER_hh_tes!G33=0,"",SER_hh_tes!G33/SER_hh_fec!G33)</f>
        <v>0.68803644845892742</v>
      </c>
      <c r="H33" s="150">
        <f>IF(SER_hh_tes!H33=0,"",SER_hh_tes!H33/SER_hh_fec!H33)</f>
        <v>0.69087168652980036</v>
      </c>
      <c r="I33" s="150">
        <f>IF(SER_hh_tes!I33=0,"",SER_hh_tes!I33/SER_hh_fec!I33)</f>
        <v>0.69403493159074259</v>
      </c>
      <c r="J33" s="150">
        <f>IF(SER_hh_tes!J33=0,"",SER_hh_tes!J33/SER_hh_fec!J33)</f>
        <v>0.69799360459668258</v>
      </c>
      <c r="K33" s="150">
        <f>IF(SER_hh_tes!K33=0,"",SER_hh_tes!K33/SER_hh_fec!K33)</f>
        <v>0.70253916553292961</v>
      </c>
      <c r="L33" s="150">
        <f>IF(SER_hh_tes!L33=0,"",SER_hh_tes!L33/SER_hh_fec!L33)</f>
        <v>0.70628941949078416</v>
      </c>
      <c r="M33" s="150">
        <f>IF(SER_hh_tes!M33=0,"",SER_hh_tes!M33/SER_hh_fec!M33)</f>
        <v>0.70756463179436346</v>
      </c>
      <c r="N33" s="150">
        <f>IF(SER_hh_tes!N33=0,"",SER_hh_tes!N33/SER_hh_fec!N33)</f>
        <v>0.70818649682637458</v>
      </c>
      <c r="O33" s="150">
        <f>IF(SER_hh_tes!O33=0,"",SER_hh_tes!O33/SER_hh_fec!O33)</f>
        <v>0.70910533132359688</v>
      </c>
      <c r="P33" s="150">
        <f>IF(SER_hh_tes!P33=0,"",SER_hh_tes!P33/SER_hh_fec!P33)</f>
        <v>0.70995997467054806</v>
      </c>
      <c r="Q33" s="150">
        <f>IF(SER_hh_tes!Q33=0,"",SER_hh_tes!Q33/SER_hh_fec!Q33)</f>
        <v>0.71225949455014481</v>
      </c>
      <c r="R33" s="150">
        <f>IF(SER_hh_tes!R33=0,"",SER_hh_tes!R33/SER_hh_fec!R33)</f>
        <v>0.71743397430864464</v>
      </c>
      <c r="S33" s="150">
        <f>IF(SER_hh_tes!S33=0,"",SER_hh_tes!S33/SER_hh_fec!S33)</f>
        <v>0.72559908175421406</v>
      </c>
      <c r="T33" s="150">
        <f>IF(SER_hh_tes!T33=0,"",SER_hh_tes!T33/SER_hh_fec!T33)</f>
        <v>0.73720886554938558</v>
      </c>
      <c r="U33" s="150">
        <f>IF(SER_hh_tes!U33=0,"",SER_hh_tes!U33/SER_hh_fec!U33)</f>
        <v>0.75471699336547926</v>
      </c>
      <c r="V33" s="150">
        <f>IF(SER_hh_tes!V33=0,"",SER_hh_tes!V33/SER_hh_fec!V33)</f>
        <v>0.77668593534967689</v>
      </c>
      <c r="W33" s="150">
        <f>IF(SER_hh_tes!W33=0,"",SER_hh_tes!W33/SER_hh_fec!W33)</f>
        <v>0.79475765448185753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1311.0375902399996</v>
      </c>
      <c r="C3" s="126">
        <f t="shared" si="0"/>
        <v>1443.8149843556373</v>
      </c>
      <c r="D3" s="126">
        <f t="shared" si="0"/>
        <v>1562.6251958243058</v>
      </c>
      <c r="E3" s="126">
        <f t="shared" si="0"/>
        <v>1640.6391438529733</v>
      </c>
      <c r="F3" s="126">
        <f t="shared" si="0"/>
        <v>2003.69581668</v>
      </c>
      <c r="G3" s="126">
        <f t="shared" si="0"/>
        <v>2251.4949338400006</v>
      </c>
      <c r="H3" s="126">
        <f t="shared" si="0"/>
        <v>2143.5981544800006</v>
      </c>
      <c r="I3" s="126">
        <f t="shared" si="0"/>
        <v>1988.2548237599997</v>
      </c>
      <c r="J3" s="126">
        <f t="shared" si="0"/>
        <v>1645.3814184</v>
      </c>
      <c r="K3" s="126">
        <f t="shared" si="0"/>
        <v>1870.8933783600003</v>
      </c>
      <c r="L3" s="126">
        <f t="shared" si="0"/>
        <v>1275.393345120001</v>
      </c>
      <c r="M3" s="126">
        <f t="shared" si="0"/>
        <v>1139.4707889599995</v>
      </c>
      <c r="N3" s="126">
        <f t="shared" si="0"/>
        <v>1002.6559022400004</v>
      </c>
      <c r="O3" s="126">
        <f t="shared" si="0"/>
        <v>982.46300327999984</v>
      </c>
      <c r="P3" s="126">
        <f t="shared" si="0"/>
        <v>1028.5562426399997</v>
      </c>
      <c r="Q3" s="126">
        <f t="shared" si="0"/>
        <v>1128.0381746399996</v>
      </c>
      <c r="R3" s="126">
        <f t="shared" ref="R3:W3" si="1">SUM(R4,R16,R19,R29)</f>
        <v>1080.5481597600003</v>
      </c>
      <c r="S3" s="126">
        <f t="shared" si="1"/>
        <v>1072.0343199600006</v>
      </c>
      <c r="T3" s="126">
        <f t="shared" si="1"/>
        <v>1157.5114452</v>
      </c>
      <c r="U3" s="126">
        <f t="shared" si="1"/>
        <v>1132.2714603599995</v>
      </c>
      <c r="V3" s="126">
        <f t="shared" si="1"/>
        <v>892.74212244</v>
      </c>
      <c r="W3" s="126">
        <f t="shared" si="1"/>
        <v>951.13681092000024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883.85902405042646</v>
      </c>
      <c r="C4" s="131">
        <f t="shared" si="2"/>
        <v>1055.0988040571272</v>
      </c>
      <c r="D4" s="131">
        <f t="shared" si="2"/>
        <v>1128.2484279553062</v>
      </c>
      <c r="E4" s="131">
        <f t="shared" si="2"/>
        <v>1197.4605718840692</v>
      </c>
      <c r="F4" s="131">
        <f t="shared" si="2"/>
        <v>1529.3479498052268</v>
      </c>
      <c r="G4" s="131">
        <f t="shared" si="2"/>
        <v>1681.4014578576978</v>
      </c>
      <c r="H4" s="131">
        <f t="shared" si="2"/>
        <v>1600.1558690518777</v>
      </c>
      <c r="I4" s="131">
        <f t="shared" si="2"/>
        <v>1427.7827789754349</v>
      </c>
      <c r="J4" s="131">
        <f t="shared" si="2"/>
        <v>1052.1121491913341</v>
      </c>
      <c r="K4" s="131">
        <f t="shared" si="2"/>
        <v>1293.7566031277888</v>
      </c>
      <c r="L4" s="131">
        <f t="shared" si="2"/>
        <v>838.09559288465994</v>
      </c>
      <c r="M4" s="131">
        <f t="shared" si="2"/>
        <v>696.16913124595578</v>
      </c>
      <c r="N4" s="131">
        <f t="shared" si="2"/>
        <v>569.05138230363514</v>
      </c>
      <c r="O4" s="131">
        <f t="shared" si="2"/>
        <v>519.70815134370116</v>
      </c>
      <c r="P4" s="131">
        <f t="shared" si="2"/>
        <v>490.41193338439388</v>
      </c>
      <c r="Q4" s="131">
        <f t="shared" si="2"/>
        <v>557.12098889107915</v>
      </c>
      <c r="R4" s="131">
        <f t="shared" ref="R4:W4" si="3">SUM(R5:R15)</f>
        <v>511.46687068100493</v>
      </c>
      <c r="S4" s="131">
        <f t="shared" si="3"/>
        <v>491.50205789754989</v>
      </c>
      <c r="T4" s="131">
        <f t="shared" si="3"/>
        <v>509.12495597993569</v>
      </c>
      <c r="U4" s="131">
        <f t="shared" si="3"/>
        <v>486.96459979707799</v>
      </c>
      <c r="V4" s="131">
        <f t="shared" si="3"/>
        <v>362.73669233535384</v>
      </c>
      <c r="W4" s="131">
        <f t="shared" si="3"/>
        <v>438.94795103093645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792.22678245819247</v>
      </c>
      <c r="C7" s="133">
        <v>932.93588531621515</v>
      </c>
      <c r="D7" s="133">
        <v>956.2995126790953</v>
      </c>
      <c r="E7" s="133">
        <v>1009.8830163093456</v>
      </c>
      <c r="F7" s="133">
        <v>1296.4434018976783</v>
      </c>
      <c r="G7" s="133">
        <v>1465.0573383256174</v>
      </c>
      <c r="H7" s="133">
        <v>1345.6094419032211</v>
      </c>
      <c r="I7" s="133">
        <v>1150.8047196362486</v>
      </c>
      <c r="J7" s="133">
        <v>753.56821009349437</v>
      </c>
      <c r="K7" s="133">
        <v>956.19498578708726</v>
      </c>
      <c r="L7" s="133">
        <v>536.43168443990828</v>
      </c>
      <c r="M7" s="133">
        <v>353.38910211737334</v>
      </c>
      <c r="N7" s="133">
        <v>233.00997557848936</v>
      </c>
      <c r="O7" s="133">
        <v>209.60750357049244</v>
      </c>
      <c r="P7" s="133">
        <v>187.33950035624929</v>
      </c>
      <c r="Q7" s="133">
        <v>230.9262534555202</v>
      </c>
      <c r="R7" s="133">
        <v>155.0577803443484</v>
      </c>
      <c r="S7" s="133">
        <v>138.39011525392888</v>
      </c>
      <c r="T7" s="133">
        <v>146.91446055687845</v>
      </c>
      <c r="U7" s="133">
        <v>169.99963375600461</v>
      </c>
      <c r="V7" s="133">
        <v>125.80460903280898</v>
      </c>
      <c r="W7" s="133">
        <v>116.74016638408578</v>
      </c>
      <c r="DA7" s="157" t="s">
        <v>359</v>
      </c>
    </row>
    <row r="8" spans="1:105" ht="12" customHeight="1" x14ac:dyDescent="0.25">
      <c r="A8" s="132" t="s">
        <v>73</v>
      </c>
      <c r="B8" s="133">
        <v>0.42669116916555788</v>
      </c>
      <c r="C8" s="133">
        <v>0.53862141207322789</v>
      </c>
      <c r="D8" s="133">
        <v>0.74081098295321346</v>
      </c>
      <c r="E8" s="133">
        <v>0.90820925631816141</v>
      </c>
      <c r="F8" s="133">
        <v>0.97705463653071256</v>
      </c>
      <c r="G8" s="133">
        <v>1.0102955537331477</v>
      </c>
      <c r="H8" s="133">
        <v>1.2525051247135595</v>
      </c>
      <c r="I8" s="133">
        <v>1.5043085068249409</v>
      </c>
      <c r="J8" s="133">
        <v>1.9061200102587634</v>
      </c>
      <c r="K8" s="133">
        <v>2.0946327211543485</v>
      </c>
      <c r="L8" s="133">
        <v>2.4966411372666513</v>
      </c>
      <c r="M8" s="133">
        <v>3.0192192040141568</v>
      </c>
      <c r="N8" s="133">
        <v>3.3181205550139228</v>
      </c>
      <c r="O8" s="133">
        <v>3.7299962398953674</v>
      </c>
      <c r="P8" s="133">
        <v>4.1504844189630727</v>
      </c>
      <c r="Q8" s="133">
        <v>4.3549610266046743</v>
      </c>
      <c r="R8" s="133">
        <v>4.0694822024631172</v>
      </c>
      <c r="S8" s="133">
        <v>3.7733686753736717</v>
      </c>
      <c r="T8" s="133">
        <v>3.6050176772921656</v>
      </c>
      <c r="U8" s="133">
        <v>3.5682622655326162</v>
      </c>
      <c r="V8" s="133">
        <v>3.4281538763703248</v>
      </c>
      <c r="W8" s="133">
        <v>3.6780642131762367</v>
      </c>
      <c r="DA8" s="157" t="s">
        <v>360</v>
      </c>
    </row>
    <row r="9" spans="1:105" ht="12" customHeight="1" x14ac:dyDescent="0.25">
      <c r="A9" s="132" t="s">
        <v>78</v>
      </c>
      <c r="B9" s="133">
        <v>91.205550423068459</v>
      </c>
      <c r="C9" s="133">
        <v>121.62429732883872</v>
      </c>
      <c r="D9" s="133">
        <v>171.20810429325769</v>
      </c>
      <c r="E9" s="133">
        <v>186.6693463184053</v>
      </c>
      <c r="F9" s="133">
        <v>231.92749327101777</v>
      </c>
      <c r="G9" s="133">
        <v>215.33382397834723</v>
      </c>
      <c r="H9" s="133">
        <v>253.29392202394314</v>
      </c>
      <c r="I9" s="133">
        <v>275.47375083236147</v>
      </c>
      <c r="J9" s="133">
        <v>296.63781908758102</v>
      </c>
      <c r="K9" s="133">
        <v>335.4669846195473</v>
      </c>
      <c r="L9" s="133">
        <v>299.16726730748491</v>
      </c>
      <c r="M9" s="133">
        <v>339.76080992456826</v>
      </c>
      <c r="N9" s="133">
        <v>332.72328617013181</v>
      </c>
      <c r="O9" s="133">
        <v>306.37065153331332</v>
      </c>
      <c r="P9" s="133">
        <v>298.92194860918153</v>
      </c>
      <c r="Q9" s="133">
        <v>321.83977440895433</v>
      </c>
      <c r="R9" s="133">
        <v>352.33960813419338</v>
      </c>
      <c r="S9" s="133">
        <v>349.33857396824732</v>
      </c>
      <c r="T9" s="133">
        <v>358.60547774576509</v>
      </c>
      <c r="U9" s="133">
        <v>313.39670377554074</v>
      </c>
      <c r="V9" s="133">
        <v>233.50392942617449</v>
      </c>
      <c r="W9" s="133">
        <v>318.52972043367441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0.53562237543176661</v>
      </c>
      <c r="C16" s="131">
        <f t="shared" si="4"/>
        <v>0.57564374082428482</v>
      </c>
      <c r="D16" s="131">
        <f t="shared" si="4"/>
        <v>0.49288711766913057</v>
      </c>
      <c r="E16" s="131">
        <f t="shared" si="4"/>
        <v>0.66076563386450571</v>
      </c>
      <c r="F16" s="131">
        <f t="shared" si="4"/>
        <v>0.62786433101526784</v>
      </c>
      <c r="G16" s="131">
        <f t="shared" si="4"/>
        <v>0.72318810157252778</v>
      </c>
      <c r="H16" s="131">
        <f t="shared" si="4"/>
        <v>0.96767210756346134</v>
      </c>
      <c r="I16" s="131">
        <f t="shared" si="4"/>
        <v>0.84725691507988721</v>
      </c>
      <c r="J16" s="131">
        <f t="shared" si="4"/>
        <v>0.99245134219355202</v>
      </c>
      <c r="K16" s="131">
        <f t="shared" si="4"/>
        <v>1.5268123069546184</v>
      </c>
      <c r="L16" s="131">
        <f t="shared" si="4"/>
        <v>2.2454917522685189</v>
      </c>
      <c r="M16" s="131">
        <f t="shared" si="4"/>
        <v>1.7401307877483234</v>
      </c>
      <c r="N16" s="131">
        <f t="shared" si="4"/>
        <v>1.9817332739610258</v>
      </c>
      <c r="O16" s="131">
        <f t="shared" si="4"/>
        <v>2.9170350230533142</v>
      </c>
      <c r="P16" s="131">
        <f t="shared" si="4"/>
        <v>2.2367369690899435</v>
      </c>
      <c r="Q16" s="131">
        <f t="shared" si="4"/>
        <v>3.0985632039082294</v>
      </c>
      <c r="R16" s="131">
        <f t="shared" ref="R16:W16" si="5">SUM(R17:R18)</f>
        <v>5.6522505102833129</v>
      </c>
      <c r="S16" s="131">
        <f t="shared" si="5"/>
        <v>6.1105910981942273</v>
      </c>
      <c r="T16" s="131">
        <f t="shared" si="5"/>
        <v>5.8427386565132888</v>
      </c>
      <c r="U16" s="131">
        <f t="shared" si="5"/>
        <v>5.1819391733505054</v>
      </c>
      <c r="V16" s="131">
        <f t="shared" si="5"/>
        <v>7.4648389872430894</v>
      </c>
      <c r="W16" s="131">
        <f t="shared" si="5"/>
        <v>4.9441599226549808</v>
      </c>
      <c r="DA16" s="156" t="s">
        <v>234</v>
      </c>
    </row>
    <row r="17" spans="1:105" ht="12.95" customHeight="1" x14ac:dyDescent="0.25">
      <c r="A17" s="132" t="s">
        <v>73</v>
      </c>
      <c r="B17" s="133">
        <v>0.53562237543176661</v>
      </c>
      <c r="C17" s="133">
        <v>0.57564374082428482</v>
      </c>
      <c r="D17" s="133">
        <v>0.49288711766913057</v>
      </c>
      <c r="E17" s="133">
        <v>0.66076563386450571</v>
      </c>
      <c r="F17" s="133">
        <v>0.62786433101526784</v>
      </c>
      <c r="G17" s="133">
        <v>0.72318810157252778</v>
      </c>
      <c r="H17" s="133">
        <v>0.96767210756346134</v>
      </c>
      <c r="I17" s="133">
        <v>0.84725691507988721</v>
      </c>
      <c r="J17" s="133">
        <v>0.99245134219355202</v>
      </c>
      <c r="K17" s="133">
        <v>1.5268123069546184</v>
      </c>
      <c r="L17" s="133">
        <v>2.2454917522685189</v>
      </c>
      <c r="M17" s="133">
        <v>1.7401307877483234</v>
      </c>
      <c r="N17" s="133">
        <v>1.9817332739610258</v>
      </c>
      <c r="O17" s="133">
        <v>2.9170350230533142</v>
      </c>
      <c r="P17" s="133">
        <v>2.2367369690899435</v>
      </c>
      <c r="Q17" s="133">
        <v>3.0985632039082294</v>
      </c>
      <c r="R17" s="133">
        <v>5.6522505102833129</v>
      </c>
      <c r="S17" s="133">
        <v>6.1105910981942273</v>
      </c>
      <c r="T17" s="133">
        <v>5.8427386565132888</v>
      </c>
      <c r="U17" s="133">
        <v>5.1819391733505054</v>
      </c>
      <c r="V17" s="133">
        <v>7.4648389872430894</v>
      </c>
      <c r="W17" s="133">
        <v>4.9441599226549808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281.74126798616658</v>
      </c>
      <c r="C19" s="131">
        <f t="shared" si="6"/>
        <v>272.49581810700772</v>
      </c>
      <c r="D19" s="131">
        <f t="shared" si="6"/>
        <v>259.04977030723865</v>
      </c>
      <c r="E19" s="131">
        <f t="shared" si="6"/>
        <v>250.06613259146687</v>
      </c>
      <c r="F19" s="131">
        <f t="shared" si="6"/>
        <v>245.05987471110689</v>
      </c>
      <c r="G19" s="131">
        <f t="shared" si="6"/>
        <v>243.22859213839337</v>
      </c>
      <c r="H19" s="131">
        <f t="shared" si="6"/>
        <v>242.84123178359764</v>
      </c>
      <c r="I19" s="131">
        <f t="shared" si="6"/>
        <v>242.71348677587457</v>
      </c>
      <c r="J19" s="131">
        <f t="shared" si="6"/>
        <v>238.64028582077822</v>
      </c>
      <c r="K19" s="131">
        <f t="shared" si="6"/>
        <v>234.94140314414935</v>
      </c>
      <c r="L19" s="131">
        <f t="shared" si="6"/>
        <v>238.03639830389554</v>
      </c>
      <c r="M19" s="131">
        <f t="shared" si="6"/>
        <v>243.02366565533799</v>
      </c>
      <c r="N19" s="131">
        <f t="shared" si="6"/>
        <v>243.53958085562658</v>
      </c>
      <c r="O19" s="131">
        <f t="shared" si="6"/>
        <v>243.8587727233234</v>
      </c>
      <c r="P19" s="131">
        <f t="shared" si="6"/>
        <v>244.83080463878429</v>
      </c>
      <c r="Q19" s="131">
        <f t="shared" si="6"/>
        <v>247.63532290129456</v>
      </c>
      <c r="R19" s="131">
        <f t="shared" ref="R19:W19" si="7">SUM(R20:R27)</f>
        <v>251.72062914408451</v>
      </c>
      <c r="S19" s="131">
        <f t="shared" si="7"/>
        <v>258.04715500219089</v>
      </c>
      <c r="T19" s="131">
        <f t="shared" si="7"/>
        <v>261.28467018881304</v>
      </c>
      <c r="U19" s="131">
        <f t="shared" si="7"/>
        <v>263.53572505820227</v>
      </c>
      <c r="V19" s="131">
        <f t="shared" si="7"/>
        <v>235.69791002715615</v>
      </c>
      <c r="W19" s="131">
        <f t="shared" si="7"/>
        <v>250.66052103904923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33.976221372170102</v>
      </c>
      <c r="C21" s="133">
        <v>31.297180443651065</v>
      </c>
      <c r="D21" s="133">
        <v>30.002552094342061</v>
      </c>
      <c r="E21" s="133">
        <v>29.027483999758257</v>
      </c>
      <c r="F21" s="133">
        <v>28.944249913602075</v>
      </c>
      <c r="G21" s="133">
        <v>28.643957595976349</v>
      </c>
      <c r="H21" s="133">
        <v>28.321704891205073</v>
      </c>
      <c r="I21" s="133">
        <v>28.845912510900725</v>
      </c>
      <c r="J21" s="133">
        <v>28.649619644783986</v>
      </c>
      <c r="K21" s="133">
        <v>28.902058439637823</v>
      </c>
      <c r="L21" s="133">
        <v>27.907359893934192</v>
      </c>
      <c r="M21" s="133">
        <v>27.969005017512881</v>
      </c>
      <c r="N21" s="133">
        <v>27.386388424623267</v>
      </c>
      <c r="O21" s="133">
        <v>26.825563809070818</v>
      </c>
      <c r="P21" s="133">
        <v>26.898352671037856</v>
      </c>
      <c r="Q21" s="133">
        <v>27.18194562036156</v>
      </c>
      <c r="R21" s="133">
        <v>27.220069344738956</v>
      </c>
      <c r="S21" s="133">
        <v>26.831072938154662</v>
      </c>
      <c r="T21" s="133">
        <v>26.398867539429371</v>
      </c>
      <c r="U21" s="133">
        <v>26.506467599083969</v>
      </c>
      <c r="V21" s="133">
        <v>25.049953503478591</v>
      </c>
      <c r="W21" s="133">
        <v>23.566280345730306</v>
      </c>
      <c r="DA21" s="157" t="s">
        <v>371</v>
      </c>
    </row>
    <row r="22" spans="1:105" ht="12" customHeight="1" x14ac:dyDescent="0.25">
      <c r="A22" s="132" t="s">
        <v>168</v>
      </c>
      <c r="B22" s="133">
        <v>208.81828682180728</v>
      </c>
      <c r="C22" s="133">
        <v>197.87621379942203</v>
      </c>
      <c r="D22" s="133">
        <v>184.21759790521017</v>
      </c>
      <c r="E22" s="133">
        <v>175.54859326362777</v>
      </c>
      <c r="F22" s="133">
        <v>169.24073906232158</v>
      </c>
      <c r="G22" s="133">
        <v>164.81971023438311</v>
      </c>
      <c r="H22" s="133">
        <v>161.28718585677939</v>
      </c>
      <c r="I22" s="133">
        <v>154.60453412375114</v>
      </c>
      <c r="J22" s="133">
        <v>146.82142402650572</v>
      </c>
      <c r="K22" s="133">
        <v>139.68617733291288</v>
      </c>
      <c r="L22" s="133">
        <v>138.61274640009233</v>
      </c>
      <c r="M22" s="133">
        <v>138.59960588262632</v>
      </c>
      <c r="N22" s="133">
        <v>136.02050094151068</v>
      </c>
      <c r="O22" s="133">
        <v>134.00511066950753</v>
      </c>
      <c r="P22" s="133">
        <v>133.86619656375069</v>
      </c>
      <c r="Q22" s="133">
        <v>133.52018286447972</v>
      </c>
      <c r="R22" s="133">
        <v>131.67469889565169</v>
      </c>
      <c r="S22" s="133">
        <v>133.20672342607125</v>
      </c>
      <c r="T22" s="133">
        <v>134.03353724312149</v>
      </c>
      <c r="U22" s="133">
        <v>134.20110964399541</v>
      </c>
      <c r="V22" s="133">
        <v>125.32661952719104</v>
      </c>
      <c r="W22" s="133">
        <v>132.42740653591423</v>
      </c>
      <c r="DA22" s="157" t="s">
        <v>372</v>
      </c>
    </row>
    <row r="23" spans="1:105" ht="12" customHeight="1" x14ac:dyDescent="0.25">
      <c r="A23" s="132" t="s">
        <v>153</v>
      </c>
      <c r="B23" s="133">
        <v>38.946759792189212</v>
      </c>
      <c r="C23" s="133">
        <v>43.322423863934631</v>
      </c>
      <c r="D23" s="133">
        <v>44.829620307686383</v>
      </c>
      <c r="E23" s="133">
        <v>45.490055328080835</v>
      </c>
      <c r="F23" s="133">
        <v>46.874885735183213</v>
      </c>
      <c r="G23" s="133">
        <v>49.764924308033912</v>
      </c>
      <c r="H23" s="133">
        <v>53.232341035613196</v>
      </c>
      <c r="I23" s="133">
        <v>59.263040141222717</v>
      </c>
      <c r="J23" s="133">
        <v>63.16924214948849</v>
      </c>
      <c r="K23" s="133">
        <v>66.353167371598659</v>
      </c>
      <c r="L23" s="133">
        <v>71.516292009869005</v>
      </c>
      <c r="M23" s="133">
        <v>76.455054755198802</v>
      </c>
      <c r="N23" s="133">
        <v>80.132691489492615</v>
      </c>
      <c r="O23" s="133">
        <v>83.028098244745038</v>
      </c>
      <c r="P23" s="133">
        <v>84.066255403995754</v>
      </c>
      <c r="Q23" s="133">
        <v>86.933194416453276</v>
      </c>
      <c r="R23" s="133">
        <v>92.825860903693865</v>
      </c>
      <c r="S23" s="133">
        <v>98.009358637964965</v>
      </c>
      <c r="T23" s="133">
        <v>100.85226540626216</v>
      </c>
      <c r="U23" s="133">
        <v>102.82814781512292</v>
      </c>
      <c r="V23" s="133">
        <v>85.321336996486508</v>
      </c>
      <c r="W23" s="133">
        <v>94.666834157404708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144.90167582797491</v>
      </c>
      <c r="C29" s="131">
        <f t="shared" si="8"/>
        <v>115.64471845067807</v>
      </c>
      <c r="D29" s="131">
        <f t="shared" si="8"/>
        <v>174.83411044409166</v>
      </c>
      <c r="E29" s="131">
        <f t="shared" si="8"/>
        <v>192.45167374357285</v>
      </c>
      <c r="F29" s="131">
        <f t="shared" si="8"/>
        <v>228.66012783265109</v>
      </c>
      <c r="G29" s="131">
        <f t="shared" si="8"/>
        <v>326.14169574233682</v>
      </c>
      <c r="H29" s="131">
        <f t="shared" si="8"/>
        <v>299.63338153696179</v>
      </c>
      <c r="I29" s="131">
        <f t="shared" si="8"/>
        <v>316.91130109361023</v>
      </c>
      <c r="J29" s="131">
        <f t="shared" si="8"/>
        <v>353.63653204569414</v>
      </c>
      <c r="K29" s="131">
        <f t="shared" si="8"/>
        <v>340.66855978110772</v>
      </c>
      <c r="L29" s="131">
        <f t="shared" si="8"/>
        <v>197.01586217917696</v>
      </c>
      <c r="M29" s="131">
        <f t="shared" si="8"/>
        <v>198.53786127095748</v>
      </c>
      <c r="N29" s="131">
        <f t="shared" si="8"/>
        <v>188.08320580677758</v>
      </c>
      <c r="O29" s="131">
        <f t="shared" si="8"/>
        <v>215.97904418992192</v>
      </c>
      <c r="P29" s="131">
        <f t="shared" si="8"/>
        <v>291.0767676477318</v>
      </c>
      <c r="Q29" s="131">
        <f t="shared" si="8"/>
        <v>320.1832996437177</v>
      </c>
      <c r="R29" s="131">
        <f t="shared" ref="R29:W29" si="9">SUM(R30:R33)</f>
        <v>311.70840942462746</v>
      </c>
      <c r="S29" s="131">
        <f t="shared" si="9"/>
        <v>316.37451596206563</v>
      </c>
      <c r="T29" s="131">
        <f t="shared" si="9"/>
        <v>381.25908037473801</v>
      </c>
      <c r="U29" s="131">
        <f t="shared" si="9"/>
        <v>376.58919633136884</v>
      </c>
      <c r="V29" s="131">
        <f t="shared" si="9"/>
        <v>286.84268109024697</v>
      </c>
      <c r="W29" s="131">
        <f t="shared" si="9"/>
        <v>256.58417892735957</v>
      </c>
      <c r="DA29" s="156" t="s">
        <v>236</v>
      </c>
    </row>
    <row r="30" spans="1:105" ht="12" customHeight="1" x14ac:dyDescent="0.25">
      <c r="A30" s="132" t="s">
        <v>52</v>
      </c>
      <c r="B30" s="133">
        <v>112.27074958782991</v>
      </c>
      <c r="C30" s="133">
        <v>79.134154796348952</v>
      </c>
      <c r="D30" s="133">
        <v>134.15212314565801</v>
      </c>
      <c r="E30" s="133">
        <v>150.05024028024172</v>
      </c>
      <c r="F30" s="133">
        <v>180.02409580639801</v>
      </c>
      <c r="G30" s="133">
        <v>272.86732768402362</v>
      </c>
      <c r="H30" s="133">
        <v>243.33712182879509</v>
      </c>
      <c r="I30" s="133">
        <v>258.5114874890993</v>
      </c>
      <c r="J30" s="133">
        <v>293.53890463521594</v>
      </c>
      <c r="K30" s="133">
        <v>272.96836680036228</v>
      </c>
      <c r="L30" s="133">
        <v>111.41736438606583</v>
      </c>
      <c r="M30" s="133">
        <v>108.45329594248712</v>
      </c>
      <c r="N30" s="133">
        <v>94.522887295376663</v>
      </c>
      <c r="O30" s="133">
        <v>97.986135230929094</v>
      </c>
      <c r="P30" s="133">
        <v>173.38112304896217</v>
      </c>
      <c r="Q30" s="133">
        <v>187.61055533963838</v>
      </c>
      <c r="R30" s="133">
        <v>173.05940637526101</v>
      </c>
      <c r="S30" s="133">
        <v>173.51518782184542</v>
      </c>
      <c r="T30" s="133">
        <v>233.34905174057096</v>
      </c>
      <c r="U30" s="133">
        <v>220.18543068091566</v>
      </c>
      <c r="V30" s="133">
        <v>140.46790889652144</v>
      </c>
      <c r="W30" s="133">
        <v>120.1705726142696</v>
      </c>
      <c r="DA30" s="157" t="s">
        <v>378</v>
      </c>
    </row>
    <row r="31" spans="1:105" ht="12" customHeight="1" x14ac:dyDescent="0.25">
      <c r="A31" s="132" t="s">
        <v>153</v>
      </c>
      <c r="B31" s="133">
        <v>32.630926240144994</v>
      </c>
      <c r="C31" s="133">
        <v>36.510563654329118</v>
      </c>
      <c r="D31" s="133">
        <v>40.681987298433668</v>
      </c>
      <c r="E31" s="133">
        <v>42.401433463331124</v>
      </c>
      <c r="F31" s="133">
        <v>48.636032026253083</v>
      </c>
      <c r="G31" s="133">
        <v>53.2743680583132</v>
      </c>
      <c r="H31" s="133">
        <v>56.296259708166716</v>
      </c>
      <c r="I31" s="133">
        <v>58.399813604510953</v>
      </c>
      <c r="J31" s="133">
        <v>60.097627410478204</v>
      </c>
      <c r="K31" s="133">
        <v>67.700192980745427</v>
      </c>
      <c r="L31" s="133">
        <v>85.59849779311115</v>
      </c>
      <c r="M31" s="133">
        <v>90.084565328470362</v>
      </c>
      <c r="N31" s="133">
        <v>93.560318511400922</v>
      </c>
      <c r="O31" s="133">
        <v>117.99290895899284</v>
      </c>
      <c r="P31" s="133">
        <v>117.69564459876966</v>
      </c>
      <c r="Q31" s="133">
        <v>132.57274430407932</v>
      </c>
      <c r="R31" s="133">
        <v>138.64900304936648</v>
      </c>
      <c r="S31" s="133">
        <v>142.85932814022024</v>
      </c>
      <c r="T31" s="133">
        <v>147.91002863416705</v>
      </c>
      <c r="U31" s="133">
        <v>156.40376565045318</v>
      </c>
      <c r="V31" s="133">
        <v>146.37477219372551</v>
      </c>
      <c r="W31" s="133">
        <v>136.41360631308996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60219.569947333322</v>
      </c>
      <c r="C3" s="126">
        <f>IF(SER_hh_fec!C3=0,0,11630*1000*SER_hh_fec!C3/SER_hh_num!C3)</f>
        <v>63706.971225148169</v>
      </c>
      <c r="D3" s="126">
        <f>IF(SER_hh_fec!D3=0,0,11630*1000*SER_hh_fec!D3/SER_hh_num!D3)</f>
        <v>66953.467767704875</v>
      </c>
      <c r="E3" s="126">
        <f>IF(SER_hh_fec!E3=0,0,11630*1000*SER_hh_fec!E3/SER_hh_num!E3)</f>
        <v>71908.509721799433</v>
      </c>
      <c r="F3" s="126">
        <f>IF(SER_hh_fec!F3=0,0,11630*1000*SER_hh_fec!F3/SER_hh_num!F3)</f>
        <v>80560.2754362915</v>
      </c>
      <c r="G3" s="126">
        <f>IF(SER_hh_fec!G3=0,0,11630*1000*SER_hh_fec!G3/SER_hh_num!G3)</f>
        <v>86908.330755452349</v>
      </c>
      <c r="H3" s="126">
        <f>IF(SER_hh_fec!H3=0,0,11630*1000*SER_hh_fec!H3/SER_hh_num!H3)</f>
        <v>86336.351505893981</v>
      </c>
      <c r="I3" s="126">
        <f>IF(SER_hh_fec!I3=0,0,11630*1000*SER_hh_fec!I3/SER_hh_num!I3)</f>
        <v>83269.941605626329</v>
      </c>
      <c r="J3" s="126">
        <f>IF(SER_hh_fec!J3=0,0,11630*1000*SER_hh_fec!J3/SER_hh_num!J3)</f>
        <v>76016.394262770773</v>
      </c>
      <c r="K3" s="126">
        <f>IF(SER_hh_fec!K3=0,0,11630*1000*SER_hh_fec!K3/SER_hh_num!K3)</f>
        <v>81093.921817205002</v>
      </c>
      <c r="L3" s="126">
        <f>IF(SER_hh_fec!L3=0,0,11630*1000*SER_hh_fec!L3/SER_hh_num!L3)</f>
        <v>70357.482717815845</v>
      </c>
      <c r="M3" s="126">
        <f>IF(SER_hh_fec!M3=0,0,11630*1000*SER_hh_fec!M3/SER_hh_num!M3)</f>
        <v>67709.768350104292</v>
      </c>
      <c r="N3" s="126">
        <f>IF(SER_hh_fec!N3=0,0,11630*1000*SER_hh_fec!N3/SER_hh_num!N3)</f>
        <v>66104.799922971069</v>
      </c>
      <c r="O3" s="126">
        <f>IF(SER_hh_fec!O3=0,0,11630*1000*SER_hh_fec!O3/SER_hh_num!O3)</f>
        <v>62393.256621162065</v>
      </c>
      <c r="P3" s="126">
        <f>IF(SER_hh_fec!P3=0,0,11630*1000*SER_hh_fec!P3/SER_hh_num!P3)</f>
        <v>67822.603788533714</v>
      </c>
      <c r="Q3" s="126">
        <f>IF(SER_hh_fec!Q3=0,0,11630*1000*SER_hh_fec!Q3/SER_hh_num!Q3)</f>
        <v>71005.709193486487</v>
      </c>
      <c r="R3" s="126">
        <f>IF(SER_hh_fec!R3=0,0,11630*1000*SER_hh_fec!R3/SER_hh_num!R3)</f>
        <v>66449.952905875165</v>
      </c>
      <c r="S3" s="126">
        <f>IF(SER_hh_fec!S3=0,0,11630*1000*SER_hh_fec!S3/SER_hh_num!S3)</f>
        <v>65690.081789486067</v>
      </c>
      <c r="T3" s="126">
        <f>IF(SER_hh_fec!T3=0,0,11630*1000*SER_hh_fec!T3/SER_hh_num!T3)</f>
        <v>69424.363979620059</v>
      </c>
      <c r="U3" s="126">
        <f>IF(SER_hh_fec!U3=0,0,11630*1000*SER_hh_fec!U3/SER_hh_num!U3)</f>
        <v>67506.465187603229</v>
      </c>
      <c r="V3" s="126">
        <f>IF(SER_hh_fec!V3=0,0,11630*1000*SER_hh_fec!V3/SER_hh_num!V3)</f>
        <v>57294.498980551936</v>
      </c>
      <c r="W3" s="126">
        <f>IF(SER_hh_fec!W3=0,0,11630*1000*SER_hh_fec!W3/SER_hh_num!W3)</f>
        <v>58933.493274281856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29223.698012713798</v>
      </c>
      <c r="C4" s="131">
        <f>IF(SER_hh_fec!C4=0,0,11630*1000*SER_hh_fec!C4/SER_hh_num!C4)</f>
        <v>32567.754416806099</v>
      </c>
      <c r="D4" s="131">
        <f>IF(SER_hh_fec!D4=0,0,11630*1000*SER_hh_fec!D4/SER_hh_num!D4)</f>
        <v>34902.908937235952</v>
      </c>
      <c r="E4" s="131">
        <f>IF(SER_hh_fec!E4=0,0,11630*1000*SER_hh_fec!E4/SER_hh_num!E4)</f>
        <v>37963.300131477037</v>
      </c>
      <c r="F4" s="131">
        <f>IF(SER_hh_fec!F4=0,0,11630*1000*SER_hh_fec!F4/SER_hh_num!F4)</f>
        <v>47421.688011079044</v>
      </c>
      <c r="G4" s="131">
        <f>IF(SER_hh_fec!G4=0,0,11630*1000*SER_hh_fec!G4/SER_hh_num!G4)</f>
        <v>52938.4885050511</v>
      </c>
      <c r="H4" s="131">
        <f>IF(SER_hh_fec!H4=0,0,11630*1000*SER_hh_fec!H4/SER_hh_num!H4)</f>
        <v>51671.125294610996</v>
      </c>
      <c r="I4" s="131">
        <f>IF(SER_hh_fec!I4=0,0,11630*1000*SER_hh_fec!I4/SER_hh_num!I4)</f>
        <v>50551.67245937985</v>
      </c>
      <c r="J4" s="131">
        <f>IF(SER_hh_fec!J4=0,0,11630*1000*SER_hh_fec!J4/SER_hh_num!J4)</f>
        <v>43037.63138505914</v>
      </c>
      <c r="K4" s="131">
        <f>IF(SER_hh_fec!K4=0,0,11630*1000*SER_hh_fec!K4/SER_hh_num!K4)</f>
        <v>47339.067730615687</v>
      </c>
      <c r="L4" s="131">
        <f>IF(SER_hh_fec!L4=0,0,11630*1000*SER_hh_fec!L4/SER_hh_num!L4)</f>
        <v>35606.469668894948</v>
      </c>
      <c r="M4" s="131">
        <f>IF(SER_hh_fec!M4=0,0,11630*1000*SER_hh_fec!M4/SER_hh_num!M4)</f>
        <v>34987.326909839641</v>
      </c>
      <c r="N4" s="131">
        <f>IF(SER_hh_fec!N4=0,0,11630*1000*SER_hh_fec!N4/SER_hh_num!N4)</f>
        <v>33250.329747599062</v>
      </c>
      <c r="O4" s="131">
        <f>IF(SER_hh_fec!O4=0,0,11630*1000*SER_hh_fec!O4/SER_hh_num!O4)</f>
        <v>29497.078924668367</v>
      </c>
      <c r="P4" s="131">
        <f>IF(SER_hh_fec!P4=0,0,11630*1000*SER_hh_fec!P4/SER_hh_num!P4)</f>
        <v>35564.327051851629</v>
      </c>
      <c r="Q4" s="131">
        <f>IF(SER_hh_fec!Q4=0,0,11630*1000*SER_hh_fec!Q4/SER_hh_num!Q4)</f>
        <v>37900.964258318563</v>
      </c>
      <c r="R4" s="131">
        <f>IF(SER_hh_fec!R4=0,0,11630*1000*SER_hh_fec!R4/SER_hh_num!R4)</f>
        <v>31431.943389662349</v>
      </c>
      <c r="S4" s="131">
        <f>IF(SER_hh_fec!S4=0,0,11630*1000*SER_hh_fec!S4/SER_hh_num!S4)</f>
        <v>31114.755079660594</v>
      </c>
      <c r="T4" s="131">
        <f>IF(SER_hh_fec!T4=0,0,11630*1000*SER_hh_fec!T4/SER_hh_num!T4)</f>
        <v>35628.040481401789</v>
      </c>
      <c r="U4" s="131">
        <f>IF(SER_hh_fec!U4=0,0,11630*1000*SER_hh_fec!U4/SER_hh_num!U4)</f>
        <v>35197.023384257176</v>
      </c>
      <c r="V4" s="131">
        <f>IF(SER_hh_fec!V4=0,0,11630*1000*SER_hh_fec!V4/SER_hh_num!V4)</f>
        <v>26906.043848753514</v>
      </c>
      <c r="W4" s="131">
        <f>IF(SER_hh_fec!W4=0,0,11630*1000*SER_hh_fec!W4/SER_hh_num!W4)</f>
        <v>29810.508644374924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33935.457211511806</v>
      </c>
      <c r="C7" s="133">
        <f>IF(SER_hh_fec!C7=0,0,11630*1000*SER_hh_fec!C7/SER_hh_num!C7)</f>
        <v>38436.274291784619</v>
      </c>
      <c r="D7" s="133">
        <f>IF(SER_hh_fec!D7=0,0,11630*1000*SER_hh_fec!D7/SER_hh_num!D7)</f>
        <v>41426.285636822744</v>
      </c>
      <c r="E7" s="133">
        <f>IF(SER_hh_fec!E7=0,0,11630*1000*SER_hh_fec!E7/SER_hh_num!E7)</f>
        <v>46461.724984881141</v>
      </c>
      <c r="F7" s="133">
        <f>IF(SER_hh_fec!F7=0,0,11630*1000*SER_hh_fec!F7/SER_hh_num!F7)</f>
        <v>61508.304350685918</v>
      </c>
      <c r="G7" s="133">
        <f>IF(SER_hh_fec!G7=0,0,11630*1000*SER_hh_fec!G7/SER_hh_num!G7)</f>
        <v>74094.715019043753</v>
      </c>
      <c r="H7" s="133">
        <f>IF(SER_hh_fec!H7=0,0,11630*1000*SER_hh_fec!H7/SER_hh_num!H7)</f>
        <v>76585.582145915803</v>
      </c>
      <c r="I7" s="133">
        <f>IF(SER_hh_fec!I7=0,0,11630*1000*SER_hh_fec!I7/SER_hh_num!I7)</f>
        <v>79649.109463961446</v>
      </c>
      <c r="J7" s="133">
        <f>IF(SER_hh_fec!J7=0,0,11630*1000*SER_hh_fec!J7/SER_hh_num!J7)</f>
        <v>66284.755914875743</v>
      </c>
      <c r="K7" s="133">
        <f>IF(SER_hh_fec!K7=0,0,11630*1000*SER_hh_fec!K7/SER_hh_num!K7)</f>
        <v>100118.95023806898</v>
      </c>
      <c r="L7" s="133">
        <f>IF(SER_hh_fec!L7=0,0,11630*1000*SER_hh_fec!L7/SER_hh_num!L7)</f>
        <v>76551.466793504966</v>
      </c>
      <c r="M7" s="133">
        <f>IF(SER_hh_fec!M7=0,0,11630*1000*SER_hh_fec!M7/SER_hh_num!M7)</f>
        <v>71998.895296746661</v>
      </c>
      <c r="N7" s="133">
        <f>IF(SER_hh_fec!N7=0,0,11630*1000*SER_hh_fec!N7/SER_hh_num!N7)</f>
        <v>71395.229707350489</v>
      </c>
      <c r="O7" s="133">
        <f>IF(SER_hh_fec!O7=0,0,11630*1000*SER_hh_fec!O7/SER_hh_num!O7)</f>
        <v>81588.021823189774</v>
      </c>
      <c r="P7" s="133">
        <f>IF(SER_hh_fec!P7=0,0,11630*1000*SER_hh_fec!P7/SER_hh_num!P7)</f>
        <v>85697.533449955285</v>
      </c>
      <c r="Q7" s="133">
        <f>IF(SER_hh_fec!Q7=0,0,11630*1000*SER_hh_fec!Q7/SER_hh_num!Q7)</f>
        <v>110854.4740026334</v>
      </c>
      <c r="R7" s="133">
        <f>IF(SER_hh_fec!R7=0,0,11630*1000*SER_hh_fec!R7/SER_hh_num!R7)</f>
        <v>83593.271298411812</v>
      </c>
      <c r="S7" s="133">
        <f>IF(SER_hh_fec!S7=0,0,11630*1000*SER_hh_fec!S7/SER_hh_num!S7)</f>
        <v>77436.249221107122</v>
      </c>
      <c r="T7" s="133">
        <f>IF(SER_hh_fec!T7=0,0,11630*1000*SER_hh_fec!T7/SER_hh_num!T7)</f>
        <v>84089.974794797294</v>
      </c>
      <c r="U7" s="133">
        <f>IF(SER_hh_fec!U7=0,0,11630*1000*SER_hh_fec!U7/SER_hh_num!U7)</f>
        <v>82692.360626068854</v>
      </c>
      <c r="V7" s="133">
        <f>IF(SER_hh_fec!V7=0,0,11630*1000*SER_hh_fec!V7/SER_hh_num!V7)</f>
        <v>73246.939698259142</v>
      </c>
      <c r="W7" s="133">
        <f>IF(SER_hh_fec!W7=0,0,11630*1000*SER_hh_fec!W7/SER_hh_num!W7)</f>
        <v>64473.28714216045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14403.00845465173</v>
      </c>
      <c r="C8" s="133">
        <f>IF(SER_hh_fec!C8=0,0,11630*1000*SER_hh_fec!C8/SER_hh_num!C8)</f>
        <v>15685.959161827392</v>
      </c>
      <c r="D8" s="133">
        <f>IF(SER_hh_fec!D8=0,0,11630*1000*SER_hh_fec!D8/SER_hh_num!D8)</f>
        <v>18899.860632035263</v>
      </c>
      <c r="E8" s="133">
        <f>IF(SER_hh_fec!E8=0,0,11630*1000*SER_hh_fec!E8/SER_hh_num!E8)</f>
        <v>22272.454140436559</v>
      </c>
      <c r="F8" s="133">
        <f>IF(SER_hh_fec!F8=0,0,11630*1000*SER_hh_fec!F8/SER_hh_num!F8)</f>
        <v>24558.650648128725</v>
      </c>
      <c r="G8" s="133">
        <f>IF(SER_hh_fec!G8=0,0,11630*1000*SER_hh_fec!G8/SER_hh_num!G8)</f>
        <v>25520.225418854807</v>
      </c>
      <c r="H8" s="133">
        <f>IF(SER_hh_fec!H8=0,0,11630*1000*SER_hh_fec!H8/SER_hh_num!H8)</f>
        <v>27843.984531343067</v>
      </c>
      <c r="I8" s="133">
        <f>IF(SER_hh_fec!I8=0,0,11630*1000*SER_hh_fec!I8/SER_hh_num!I8)</f>
        <v>27904.684668080285</v>
      </c>
      <c r="J8" s="133">
        <f>IF(SER_hh_fec!J8=0,0,11630*1000*SER_hh_fec!J8/SER_hh_num!J8)</f>
        <v>28155.957992263528</v>
      </c>
      <c r="K8" s="133">
        <f>IF(SER_hh_fec!K8=0,0,11630*1000*SER_hh_fec!K8/SER_hh_num!K8)</f>
        <v>25620.993237306338</v>
      </c>
      <c r="L8" s="133">
        <f>IF(SER_hh_fec!L8=0,0,11630*1000*SER_hh_fec!L8/SER_hh_num!L8)</f>
        <v>24923.561553595606</v>
      </c>
      <c r="M8" s="133">
        <f>IF(SER_hh_fec!M8=0,0,11630*1000*SER_hh_fec!M8/SER_hh_num!M8)</f>
        <v>25604.232542267284</v>
      </c>
      <c r="N8" s="133">
        <f>IF(SER_hh_fec!N8=0,0,11630*1000*SER_hh_fec!N8/SER_hh_num!N8)</f>
        <v>25269.857045533256</v>
      </c>
      <c r="O8" s="133">
        <f>IF(SER_hh_fec!O8=0,0,11630*1000*SER_hh_fec!O8/SER_hh_num!O8)</f>
        <v>26154.01041420591</v>
      </c>
      <c r="P8" s="133">
        <f>IF(SER_hh_fec!P8=0,0,11630*1000*SER_hh_fec!P8/SER_hh_num!P8)</f>
        <v>28342.467043463461</v>
      </c>
      <c r="Q8" s="133">
        <f>IF(SER_hh_fec!Q8=0,0,11630*1000*SER_hh_fec!Q8/SER_hh_num!Q8)</f>
        <v>29083.973268253965</v>
      </c>
      <c r="R8" s="133">
        <f>IF(SER_hh_fec!R8=0,0,11630*1000*SER_hh_fec!R8/SER_hh_num!R8)</f>
        <v>27296.25641579739</v>
      </c>
      <c r="S8" s="133">
        <f>IF(SER_hh_fec!S8=0,0,11630*1000*SER_hh_fec!S8/SER_hh_num!S8)</f>
        <v>26256.841151903714</v>
      </c>
      <c r="T8" s="133">
        <f>IF(SER_hh_fec!T8=0,0,11630*1000*SER_hh_fec!T8/SER_hh_num!T8)</f>
        <v>26292.765916210941</v>
      </c>
      <c r="U8" s="133">
        <f>IF(SER_hh_fec!U8=0,0,11630*1000*SER_hh_fec!U8/SER_hh_num!U8)</f>
        <v>26313.668708556899</v>
      </c>
      <c r="V8" s="133">
        <f>IF(SER_hh_fec!V8=0,0,11630*1000*SER_hh_fec!V8/SER_hh_num!V8)</f>
        <v>24516.370746546054</v>
      </c>
      <c r="W8" s="133">
        <f>IF(SER_hh_fec!W8=0,0,11630*1000*SER_hh_fec!W8/SER_hh_num!W8)</f>
        <v>25335.487239385086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29152.093236030629</v>
      </c>
      <c r="C9" s="133">
        <f>IF(SER_hh_fec!C9=0,0,11630*1000*SER_hh_fec!C9/SER_hh_num!C9)</f>
        <v>32262.686893130423</v>
      </c>
      <c r="D9" s="133">
        <f>IF(SER_hh_fec!D9=0,0,11630*1000*SER_hh_fec!D9/SER_hh_num!D9)</f>
        <v>39934.120294963439</v>
      </c>
      <c r="E9" s="133">
        <f>IF(SER_hh_fec!E9=0,0,11630*1000*SER_hh_fec!E9/SER_hh_num!E9)</f>
        <v>42802.846320225217</v>
      </c>
      <c r="F9" s="133">
        <f>IF(SER_hh_fec!F9=0,0,11630*1000*SER_hh_fec!F9/SER_hh_num!F9)</f>
        <v>54307.535799287158</v>
      </c>
      <c r="G9" s="133">
        <f>IF(SER_hh_fec!G9=0,0,11630*1000*SER_hh_fec!G9/SER_hh_num!G9)</f>
        <v>54318.485732059075</v>
      </c>
      <c r="H9" s="133">
        <f>IF(SER_hh_fec!H9=0,0,11630*1000*SER_hh_fec!H9/SER_hh_num!H9)</f>
        <v>62853.046258448187</v>
      </c>
      <c r="I9" s="133">
        <f>IF(SER_hh_fec!I9=0,0,11630*1000*SER_hh_fec!I9/SER_hh_num!I9)</f>
        <v>65553.266573762783</v>
      </c>
      <c r="J9" s="133">
        <f>IF(SER_hh_fec!J9=0,0,11630*1000*SER_hh_fec!J9/SER_hh_num!J9)</f>
        <v>66029.156184248903</v>
      </c>
      <c r="K9" s="133">
        <f>IF(SER_hh_fec!K9=0,0,11630*1000*SER_hh_fec!K9/SER_hh_num!K9)</f>
        <v>71177.181377336528</v>
      </c>
      <c r="L9" s="133">
        <f>IF(SER_hh_fec!L9=0,0,11630*1000*SER_hh_fec!L9/SER_hh_num!L9)</f>
        <v>62445.686276977933</v>
      </c>
      <c r="M9" s="133">
        <f>IF(SER_hh_fec!M9=0,0,11630*1000*SER_hh_fec!M9/SER_hh_num!M9)</f>
        <v>70176.143320055839</v>
      </c>
      <c r="N9" s="133">
        <f>IF(SER_hh_fec!N9=0,0,11630*1000*SER_hh_fec!N9/SER_hh_num!N9)</f>
        <v>72254.759269919625</v>
      </c>
      <c r="O9" s="133">
        <f>IF(SER_hh_fec!O9=0,0,11630*1000*SER_hh_fec!O9/SER_hh_num!O9)</f>
        <v>71205.647362499658</v>
      </c>
      <c r="P9" s="133">
        <f>IF(SER_hh_fec!P9=0,0,11630*1000*SER_hh_fec!P9/SER_hh_num!P9)</f>
        <v>74522.16677689302</v>
      </c>
      <c r="Q9" s="133">
        <f>IF(SER_hh_fec!Q9=0,0,11630*1000*SER_hh_fec!Q9/SER_hh_num!Q9)</f>
        <v>78820.812243110675</v>
      </c>
      <c r="R9" s="133">
        <f>IF(SER_hh_fec!R9=0,0,11630*1000*SER_hh_fec!R9/SER_hh_num!R9)</f>
        <v>80526.256198701754</v>
      </c>
      <c r="S9" s="133">
        <f>IF(SER_hh_fec!S9=0,0,11630*1000*SER_hh_fec!S9/SER_hh_num!S9)</f>
        <v>78052.292211626045</v>
      </c>
      <c r="T9" s="133">
        <f>IF(SER_hh_fec!T9=0,0,11630*1000*SER_hh_fec!T9/SER_hh_num!T9)</f>
        <v>83506.780025777989</v>
      </c>
      <c r="U9" s="133">
        <f>IF(SER_hh_fec!U9=0,0,11630*1000*SER_hh_fec!U9/SER_hh_num!U9)</f>
        <v>78952.027056399675</v>
      </c>
      <c r="V9" s="133">
        <f>IF(SER_hh_fec!V9=0,0,11630*1000*SER_hh_fec!V9/SER_hh_num!V9)</f>
        <v>61460.808833279676</v>
      </c>
      <c r="W9" s="133">
        <f>IF(SER_hh_fec!W9=0,0,11630*1000*SER_hh_fec!W9/SER_hh_num!W9)</f>
        <v>87989.482332391359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0</v>
      </c>
      <c r="J10" s="133">
        <f>IF(SER_hh_fec!J10=0,0,11630*1000*SER_hh_fec!J10/SER_hh_num!J10)</f>
        <v>0</v>
      </c>
      <c r="K10" s="133">
        <f>IF(SER_hh_fec!K10=0,0,11630*1000*SER_hh_fec!K10/SER_hh_num!K10)</f>
        <v>0</v>
      </c>
      <c r="L10" s="133">
        <f>IF(SER_hh_fec!L10=0,0,11630*1000*SER_hh_fec!L10/SER_hh_num!L10)</f>
        <v>0</v>
      </c>
      <c r="M10" s="133">
        <f>IF(SER_hh_fec!M10=0,0,11630*1000*SER_hh_fec!M10/SER_hh_num!M10)</f>
        <v>111847.66569201475</v>
      </c>
      <c r="N10" s="133">
        <f>IF(SER_hh_fec!N10=0,0,11630*1000*SER_hh_fec!N10/SER_hh_num!N10)</f>
        <v>100296.18205110379</v>
      </c>
      <c r="O10" s="133">
        <f>IF(SER_hh_fec!O10=0,0,11630*1000*SER_hh_fec!O10/SER_hh_num!O10)</f>
        <v>73800.162879020951</v>
      </c>
      <c r="P10" s="133">
        <f>IF(SER_hh_fec!P10=0,0,11630*1000*SER_hh_fec!P10/SER_hh_num!P10)</f>
        <v>92717.882176861705</v>
      </c>
      <c r="Q10" s="133">
        <f>IF(SER_hh_fec!Q10=0,0,11630*1000*SER_hh_fec!Q10/SER_hh_num!Q10)</f>
        <v>93360.037584792517</v>
      </c>
      <c r="R10" s="133">
        <f>IF(SER_hh_fec!R10=0,0,11630*1000*SER_hh_fec!R10/SER_hh_num!R10)</f>
        <v>86502.286749659383</v>
      </c>
      <c r="S10" s="133">
        <f>IF(SER_hh_fec!S10=0,0,11630*1000*SER_hh_fec!S10/SER_hh_num!S10)</f>
        <v>110263.19094583047</v>
      </c>
      <c r="T10" s="133">
        <f>IF(SER_hh_fec!T10=0,0,11630*1000*SER_hh_fec!T10/SER_hh_num!T10)</f>
        <v>102962.7042437076</v>
      </c>
      <c r="U10" s="133">
        <f>IF(SER_hh_fec!U10=0,0,11630*1000*SER_hh_fec!U10/SER_hh_num!U10)</f>
        <v>96471.925192153052</v>
      </c>
      <c r="V10" s="133">
        <f>IF(SER_hh_fec!V10=0,0,11630*1000*SER_hh_fec!V10/SER_hh_num!V10)</f>
        <v>81294.645662320356</v>
      </c>
      <c r="W10" s="133">
        <f>IF(SER_hh_fec!W10=0,0,11630*1000*SER_hh_fec!W10/SER_hh_num!W10)</f>
        <v>105635.45490469415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21705.005710283036</v>
      </c>
      <c r="C11" s="133">
        <f>IF(SER_hh_fec!C11=0,0,11630*1000*SER_hh_fec!C11/SER_hh_num!C11)</f>
        <v>23304.23084841052</v>
      </c>
      <c r="D11" s="133">
        <f>IF(SER_hh_fec!D11=0,0,11630*1000*SER_hh_fec!D11/SER_hh_num!D11)</f>
        <v>26311.389057202676</v>
      </c>
      <c r="E11" s="133">
        <f>IF(SER_hh_fec!E11=0,0,11630*1000*SER_hh_fec!E11/SER_hh_num!E11)</f>
        <v>30596.778566912191</v>
      </c>
      <c r="F11" s="133">
        <f>IF(SER_hh_fec!F11=0,0,11630*1000*SER_hh_fec!F11/SER_hh_num!F11)</f>
        <v>36338.083442111201</v>
      </c>
      <c r="G11" s="133">
        <f>IF(SER_hh_fec!G11=0,0,11630*1000*SER_hh_fec!G11/SER_hh_num!G11)</f>
        <v>42432.134050031549</v>
      </c>
      <c r="H11" s="133">
        <f>IF(SER_hh_fec!H11=0,0,11630*1000*SER_hh_fec!H11/SER_hh_num!H11)</f>
        <v>46848.609815337986</v>
      </c>
      <c r="I11" s="133">
        <f>IF(SER_hh_fec!I11=0,0,11630*1000*SER_hh_fec!I11/SER_hh_num!I11)</f>
        <v>49790.894706202984</v>
      </c>
      <c r="J11" s="133">
        <f>IF(SER_hh_fec!J11=0,0,11630*1000*SER_hh_fec!J11/SER_hh_num!J11)</f>
        <v>50690.044541590876</v>
      </c>
      <c r="K11" s="133">
        <f>IF(SER_hh_fec!K11=0,0,11630*1000*SER_hh_fec!K11/SER_hh_num!K11)</f>
        <v>48812.779451640024</v>
      </c>
      <c r="L11" s="133">
        <f>IF(SER_hh_fec!L11=0,0,11630*1000*SER_hh_fec!L11/SER_hh_num!L11)</f>
        <v>43922.289466751841</v>
      </c>
      <c r="M11" s="133">
        <f>IF(SER_hh_fec!M11=0,0,11630*1000*SER_hh_fec!M11/SER_hh_num!M11)</f>
        <v>59348.740902469974</v>
      </c>
      <c r="N11" s="133">
        <f>IF(SER_hh_fec!N11=0,0,11630*1000*SER_hh_fec!N11/SER_hh_num!N11)</f>
        <v>59139.200539416612</v>
      </c>
      <c r="O11" s="133">
        <f>IF(SER_hh_fec!O11=0,0,11630*1000*SER_hh_fec!O11/SER_hh_num!O11)</f>
        <v>50816.920285178487</v>
      </c>
      <c r="P11" s="133">
        <f>IF(SER_hh_fec!P11=0,0,11630*1000*SER_hh_fec!P11/SER_hh_num!P11)</f>
        <v>58191.013612280949</v>
      </c>
      <c r="Q11" s="133">
        <f>IF(SER_hh_fec!Q11=0,0,11630*1000*SER_hh_fec!Q11/SER_hh_num!Q11)</f>
        <v>67211.565094070669</v>
      </c>
      <c r="R11" s="133">
        <f>IF(SER_hh_fec!R11=0,0,11630*1000*SER_hh_fec!R11/SER_hh_num!R11)</f>
        <v>58069.272494767785</v>
      </c>
      <c r="S11" s="133">
        <f>IF(SER_hh_fec!S11=0,0,11630*1000*SER_hh_fec!S11/SER_hh_num!S11)</f>
        <v>62434.242952838264</v>
      </c>
      <c r="T11" s="133">
        <f>IF(SER_hh_fec!T11=0,0,11630*1000*SER_hh_fec!T11/SER_hh_num!T11)</f>
        <v>69189.608774012973</v>
      </c>
      <c r="U11" s="133">
        <f>IF(SER_hh_fec!U11=0,0,11630*1000*SER_hh_fec!U11/SER_hh_num!U11)</f>
        <v>70334.87117892137</v>
      </c>
      <c r="V11" s="133">
        <f>IF(SER_hh_fec!V11=0,0,11630*1000*SER_hh_fec!V11/SER_hh_num!V11)</f>
        <v>58800.185288371358</v>
      </c>
      <c r="W11" s="133">
        <f>IF(SER_hh_fec!W11=0,0,11630*1000*SER_hh_fec!W11/SER_hh_num!W11)</f>
        <v>64684.065887359815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17186.706506318871</v>
      </c>
      <c r="C12" s="133">
        <f>IF(SER_hh_fec!C12=0,0,11630*1000*SER_hh_fec!C12/SER_hh_num!C12)</f>
        <v>21466.605408252006</v>
      </c>
      <c r="D12" s="133">
        <f>IF(SER_hh_fec!D12=0,0,11630*1000*SER_hh_fec!D12/SER_hh_num!D12)</f>
        <v>28890.38073967204</v>
      </c>
      <c r="E12" s="133">
        <f>IF(SER_hh_fec!E12=0,0,11630*1000*SER_hh_fec!E12/SER_hh_num!E12)</f>
        <v>29159.957353978894</v>
      </c>
      <c r="F12" s="133">
        <f>IF(SER_hh_fec!F12=0,0,11630*1000*SER_hh_fec!F12/SER_hh_num!F12)</f>
        <v>39488.028075362272</v>
      </c>
      <c r="G12" s="133">
        <f>IF(SER_hh_fec!G12=0,0,11630*1000*SER_hh_fec!G12/SER_hh_num!G12)</f>
        <v>37500.683003167789</v>
      </c>
      <c r="H12" s="133">
        <f>IF(SER_hh_fec!H12=0,0,11630*1000*SER_hh_fec!H12/SER_hh_num!H12)</f>
        <v>44319.546884975738</v>
      </c>
      <c r="I12" s="133">
        <f>IF(SER_hh_fec!I12=0,0,11630*1000*SER_hh_fec!I12/SER_hh_num!I12)</f>
        <v>49116.831964884455</v>
      </c>
      <c r="J12" s="133">
        <f>IF(SER_hh_fec!J12=0,0,11630*1000*SER_hh_fec!J12/SER_hh_num!J12)</f>
        <v>45636.628729831296</v>
      </c>
      <c r="K12" s="133">
        <f>IF(SER_hh_fec!K12=0,0,11630*1000*SER_hh_fec!K12/SER_hh_num!K12)</f>
        <v>41291.609367829056</v>
      </c>
      <c r="L12" s="133">
        <f>IF(SER_hh_fec!L12=0,0,11630*1000*SER_hh_fec!L12/SER_hh_num!L12)</f>
        <v>54378.170680171956</v>
      </c>
      <c r="M12" s="133">
        <f>IF(SER_hh_fec!M12=0,0,11630*1000*SER_hh_fec!M12/SER_hh_num!M12)</f>
        <v>46597.857606670565</v>
      </c>
      <c r="N12" s="133">
        <f>IF(SER_hh_fec!N12=0,0,11630*1000*SER_hh_fec!N12/SER_hh_num!N12)</f>
        <v>60513.543722930954</v>
      </c>
      <c r="O12" s="133">
        <f>IF(SER_hh_fec!O12=0,0,11630*1000*SER_hh_fec!O12/SER_hh_num!O12)</f>
        <v>60433.070922298793</v>
      </c>
      <c r="P12" s="133">
        <f>IF(SER_hh_fec!P12=0,0,11630*1000*SER_hh_fec!P12/SER_hh_num!P12)</f>
        <v>64160.06472649947</v>
      </c>
      <c r="Q12" s="133">
        <f>IF(SER_hh_fec!Q12=0,0,11630*1000*SER_hh_fec!Q12/SER_hh_num!Q12)</f>
        <v>63006.880869212589</v>
      </c>
      <c r="R12" s="133">
        <f>IF(SER_hh_fec!R12=0,0,11630*1000*SER_hh_fec!R12/SER_hh_num!R12)</f>
        <v>60073.967061594667</v>
      </c>
      <c r="S12" s="133">
        <f>IF(SER_hh_fec!S12=0,0,11630*1000*SER_hh_fec!S12/SER_hh_num!S12)</f>
        <v>66170.885787198175</v>
      </c>
      <c r="T12" s="133">
        <f>IF(SER_hh_fec!T12=0,0,11630*1000*SER_hh_fec!T12/SER_hh_num!T12)</f>
        <v>66101.420469023797</v>
      </c>
      <c r="U12" s="133">
        <f>IF(SER_hh_fec!U12=0,0,11630*1000*SER_hh_fec!U12/SER_hh_num!U12)</f>
        <v>65390.370271277628</v>
      </c>
      <c r="V12" s="133">
        <f>IF(SER_hh_fec!V12=0,0,11630*1000*SER_hh_fec!V12/SER_hh_num!V12)</f>
        <v>63206.401870249465</v>
      </c>
      <c r="W12" s="133">
        <f>IF(SER_hh_fec!W12=0,0,11630*1000*SER_hh_fec!W12/SER_hh_num!W12)</f>
        <v>65740.144670844587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10846.036715114951</v>
      </c>
      <c r="C13" s="133">
        <f>IF(SER_hh_fec!C13=0,0,11630*1000*SER_hh_fec!C13/SER_hh_num!C13)</f>
        <v>12140.182297117133</v>
      </c>
      <c r="D13" s="133">
        <f>IF(SER_hh_fec!D13=0,0,11630*1000*SER_hh_fec!D13/SER_hh_num!D13)</f>
        <v>10158.208015340375</v>
      </c>
      <c r="E13" s="133">
        <f>IF(SER_hh_fec!E13=0,0,11630*1000*SER_hh_fec!E13/SER_hh_num!E13)</f>
        <v>16360.767296371443</v>
      </c>
      <c r="F13" s="133">
        <f>IF(SER_hh_fec!F13=0,0,11630*1000*SER_hh_fec!F13/SER_hh_num!F13)</f>
        <v>14744.137038751933</v>
      </c>
      <c r="G13" s="133">
        <f>IF(SER_hh_fec!G13=0,0,11630*1000*SER_hh_fec!G13/SER_hh_num!G13)</f>
        <v>17927.581388308146</v>
      </c>
      <c r="H13" s="133">
        <f>IF(SER_hh_fec!H13=0,0,11630*1000*SER_hh_fec!H13/SER_hh_num!H13)</f>
        <v>18608.963367259737</v>
      </c>
      <c r="I13" s="133">
        <f>IF(SER_hh_fec!I13=0,0,11630*1000*SER_hh_fec!I13/SER_hh_num!I13)</f>
        <v>18388.290671745024</v>
      </c>
      <c r="J13" s="133">
        <f>IF(SER_hh_fec!J13=0,0,11630*1000*SER_hh_fec!J13/SER_hh_num!J13)</f>
        <v>19150.894629386716</v>
      </c>
      <c r="K13" s="133">
        <f>IF(SER_hh_fec!K13=0,0,11630*1000*SER_hh_fec!K13/SER_hh_num!K13)</f>
        <v>17726.358266131891</v>
      </c>
      <c r="L13" s="133">
        <f>IF(SER_hh_fec!L13=0,0,11630*1000*SER_hh_fec!L13/SER_hh_num!L13)</f>
        <v>18003.177936538228</v>
      </c>
      <c r="M13" s="133">
        <f>IF(SER_hh_fec!M13=0,0,11630*1000*SER_hh_fec!M13/SER_hh_num!M13)</f>
        <v>17662.392738920367</v>
      </c>
      <c r="N13" s="133">
        <f>IF(SER_hh_fec!N13=0,0,11630*1000*SER_hh_fec!N13/SER_hh_num!N13)</f>
        <v>18703.070743683966</v>
      </c>
      <c r="O13" s="133">
        <f>IF(SER_hh_fec!O13=0,0,11630*1000*SER_hh_fec!O13/SER_hh_num!O13)</f>
        <v>18932.480727684517</v>
      </c>
      <c r="P13" s="133">
        <f>IF(SER_hh_fec!P13=0,0,11630*1000*SER_hh_fec!P13/SER_hh_num!P13)</f>
        <v>21224.222576220836</v>
      </c>
      <c r="Q13" s="133">
        <f>IF(SER_hh_fec!Q13=0,0,11630*1000*SER_hh_fec!Q13/SER_hh_num!Q13)</f>
        <v>20509.953237245707</v>
      </c>
      <c r="R13" s="133">
        <f>IF(SER_hh_fec!R13=0,0,11630*1000*SER_hh_fec!R13/SER_hh_num!R13)</f>
        <v>19348.625557776337</v>
      </c>
      <c r="S13" s="133">
        <f>IF(SER_hh_fec!S13=0,0,11630*1000*SER_hh_fec!S13/SER_hh_num!S13)</f>
        <v>18882.722952459138</v>
      </c>
      <c r="T13" s="133">
        <f>IF(SER_hh_fec!T13=0,0,11630*1000*SER_hh_fec!T13/SER_hh_num!T13)</f>
        <v>18545.511086416464</v>
      </c>
      <c r="U13" s="133">
        <f>IF(SER_hh_fec!U13=0,0,11630*1000*SER_hh_fec!U13/SER_hh_num!U13)</f>
        <v>17982.76045164941</v>
      </c>
      <c r="V13" s="133">
        <f>IF(SER_hh_fec!V13=0,0,11630*1000*SER_hh_fec!V13/SER_hh_num!V13)</f>
        <v>16884.060640968764</v>
      </c>
      <c r="W13" s="133">
        <f>IF(SER_hh_fec!W13=0,0,11630*1000*SER_hh_fec!W13/SER_hh_num!W13)</f>
        <v>16380.592835694481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23576.785542204903</v>
      </c>
      <c r="C14" s="65">
        <f>IF(SER_hh_fec!C14=0,0,11630*1000*SER_hh_fec!C14/SER_hh_num!C14)</f>
        <v>25061.506207131413</v>
      </c>
      <c r="D14" s="65">
        <f>IF(SER_hh_fec!D14=0,0,11630*1000*SER_hh_fec!D14/SER_hh_num!D14)</f>
        <v>28052.733968906457</v>
      </c>
      <c r="E14" s="65">
        <f>IF(SER_hh_fec!E14=0,0,11630*1000*SER_hh_fec!E14/SER_hh_num!E14)</f>
        <v>30881.823994546128</v>
      </c>
      <c r="F14" s="65">
        <f>IF(SER_hh_fec!F14=0,0,11630*1000*SER_hh_fec!F14/SER_hh_num!F14)</f>
        <v>41125.120620073467</v>
      </c>
      <c r="G14" s="65">
        <f>IF(SER_hh_fec!G14=0,0,11630*1000*SER_hh_fec!G14/SER_hh_num!G14)</f>
        <v>49659.438987732225</v>
      </c>
      <c r="H14" s="65">
        <f>IF(SER_hh_fec!H14=0,0,11630*1000*SER_hh_fec!H14/SER_hh_num!H14)</f>
        <v>49561.579080656957</v>
      </c>
      <c r="I14" s="65">
        <f>IF(SER_hh_fec!I14=0,0,11630*1000*SER_hh_fec!I14/SER_hh_num!I14)</f>
        <v>57632.81062675135</v>
      </c>
      <c r="J14" s="65">
        <f>IF(SER_hh_fec!J14=0,0,11630*1000*SER_hh_fec!J14/SER_hh_num!J14)</f>
        <v>56691.0112550208</v>
      </c>
      <c r="K14" s="65">
        <f>IF(SER_hh_fec!K14=0,0,11630*1000*SER_hh_fec!K14/SER_hh_num!K14)</f>
        <v>60529.707304113595</v>
      </c>
      <c r="L14" s="65">
        <f>IF(SER_hh_fec!L14=0,0,11630*1000*SER_hh_fec!L14/SER_hh_num!L14)</f>
        <v>44789.96537308296</v>
      </c>
      <c r="M14" s="65">
        <f>IF(SER_hh_fec!M14=0,0,11630*1000*SER_hh_fec!M14/SER_hh_num!M14)</f>
        <v>62944.671622161623</v>
      </c>
      <c r="N14" s="65">
        <f>IF(SER_hh_fec!N14=0,0,11630*1000*SER_hh_fec!N14/SER_hh_num!N14)</f>
        <v>62230.631605629984</v>
      </c>
      <c r="O14" s="65">
        <f>IF(SER_hh_fec!O14=0,0,11630*1000*SER_hh_fec!O14/SER_hh_num!O14)</f>
        <v>16564.589079024485</v>
      </c>
      <c r="P14" s="65">
        <f>IF(SER_hh_fec!P14=0,0,11630*1000*SER_hh_fec!P14/SER_hh_num!P14)</f>
        <v>88339.924298440295</v>
      </c>
      <c r="Q14" s="65">
        <f>IF(SER_hh_fec!Q14=0,0,11630*1000*SER_hh_fec!Q14/SER_hh_num!Q14)</f>
        <v>106421.88675391753</v>
      </c>
      <c r="R14" s="65">
        <f>IF(SER_hh_fec!R14=0,0,11630*1000*SER_hh_fec!R14/SER_hh_num!R14)</f>
        <v>41749.339396968593</v>
      </c>
      <c r="S14" s="65">
        <f>IF(SER_hh_fec!S14=0,0,11630*1000*SER_hh_fec!S14/SER_hh_num!S14)</f>
        <v>42661.667597639767</v>
      </c>
      <c r="T14" s="65">
        <f>IF(SER_hh_fec!T14=0,0,11630*1000*SER_hh_fec!T14/SER_hh_num!T14)</f>
        <v>89396.955195754475</v>
      </c>
      <c r="U14" s="65">
        <f>IF(SER_hh_fec!U14=0,0,11630*1000*SER_hh_fec!U14/SER_hh_num!U14)</f>
        <v>97161.41272732582</v>
      </c>
      <c r="V14" s="65">
        <f>IF(SER_hh_fec!V14=0,0,11630*1000*SER_hh_fec!V14/SER_hh_num!V14)</f>
        <v>52460.63870957047</v>
      </c>
      <c r="W14" s="65">
        <f>IF(SER_hh_fec!W14=0,0,11630*1000*SER_hh_fec!W14/SER_hh_num!W14)</f>
        <v>72055.958225295559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286.74737527047853</v>
      </c>
      <c r="C15" s="135">
        <f>IF(SER_hh_fec!C15=0,0,11630*1000*SER_hh_fec!C15/SER_hh_num!C15)</f>
        <v>320.96024321676634</v>
      </c>
      <c r="D15" s="135">
        <f>IF(SER_hh_fec!D15=0,0,11630*1000*SER_hh_fec!D15/SER_hh_num!D15)</f>
        <v>350.21556852329837</v>
      </c>
      <c r="E15" s="135">
        <f>IF(SER_hh_fec!E15=0,0,11630*1000*SER_hh_fec!E15/SER_hh_num!E15)</f>
        <v>383.60090370564797</v>
      </c>
      <c r="F15" s="135">
        <f>IF(SER_hh_fec!F15=0,0,11630*1000*SER_hh_fec!F15/SER_hh_num!F15)</f>
        <v>498.51524448261802</v>
      </c>
      <c r="G15" s="135">
        <f>IF(SER_hh_fec!G15=0,0,11630*1000*SER_hh_fec!G15/SER_hh_num!G15)</f>
        <v>572.32329036501494</v>
      </c>
      <c r="H15" s="135">
        <f>IF(SER_hh_fec!H15=0,0,11630*1000*SER_hh_fec!H15/SER_hh_num!H15)</f>
        <v>598.15142303203208</v>
      </c>
      <c r="I15" s="135">
        <f>IF(SER_hh_fec!I15=0,0,11630*1000*SER_hh_fec!I15/SER_hh_num!I15)</f>
        <v>616.63204255901394</v>
      </c>
      <c r="J15" s="135">
        <f>IF(SER_hh_fec!J15=0,0,11630*1000*SER_hh_fec!J15/SER_hh_num!J15)</f>
        <v>544.67531473436566</v>
      </c>
      <c r="K15" s="135">
        <f>IF(SER_hh_fec!K15=0,0,11630*1000*SER_hh_fec!K15/SER_hh_num!K15)</f>
        <v>716.73089760383198</v>
      </c>
      <c r="L15" s="135">
        <f>IF(SER_hh_fec!L15=0,0,11630*1000*SER_hh_fec!L15/SER_hh_num!L15)</f>
        <v>571.61394924875628</v>
      </c>
      <c r="M15" s="135">
        <f>IF(SER_hh_fec!M15=0,0,11630*1000*SER_hh_fec!M15/SER_hh_num!M15)</f>
        <v>586.13465244229906</v>
      </c>
      <c r="N15" s="135">
        <f>IF(SER_hh_fec!N15=0,0,11630*1000*SER_hh_fec!N15/SER_hh_num!N15)</f>
        <v>597.21568290003154</v>
      </c>
      <c r="O15" s="135">
        <f>IF(SER_hh_fec!O15=0,0,11630*1000*SER_hh_fec!O15/SER_hh_num!O15)</f>
        <v>623.29906062675184</v>
      </c>
      <c r="P15" s="135">
        <f>IF(SER_hh_fec!P15=0,0,11630*1000*SER_hh_fec!P15/SER_hh_num!P15)</f>
        <v>649.37279136227846</v>
      </c>
      <c r="Q15" s="135">
        <f>IF(SER_hh_fec!Q15=0,0,11630*1000*SER_hh_fec!Q15/SER_hh_num!Q15)</f>
        <v>729.53037240394895</v>
      </c>
      <c r="R15" s="135">
        <f>IF(SER_hh_fec!R15=0,0,11630*1000*SER_hh_fec!R15/SER_hh_num!R15)</f>
        <v>700.11056001057682</v>
      </c>
      <c r="S15" s="135">
        <f>IF(SER_hh_fec!S15=0,0,11630*1000*SER_hh_fec!S15/SER_hh_num!S15)</f>
        <v>700.66459946704958</v>
      </c>
      <c r="T15" s="135">
        <f>IF(SER_hh_fec!T15=0,0,11630*1000*SER_hh_fec!T15/SER_hh_num!T15)</f>
        <v>755.22552870237064</v>
      </c>
      <c r="U15" s="135">
        <f>IF(SER_hh_fec!U15=0,0,11630*1000*SER_hh_fec!U15/SER_hh_num!U15)</f>
        <v>729.95004071307062</v>
      </c>
      <c r="V15" s="135">
        <f>IF(SER_hh_fec!V15=0,0,11630*1000*SER_hh_fec!V15/SER_hh_num!V15)</f>
        <v>597.09663615164288</v>
      </c>
      <c r="W15" s="135">
        <f>IF(SER_hh_fec!W15=0,0,11630*1000*SER_hh_fec!W15/SER_hh_num!W15)</f>
        <v>756.1614144590867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13169.140035881841</v>
      </c>
      <c r="C16" s="131">
        <f>IF(SER_hh_fec!C16=0,0,11630*1000*SER_hh_fec!C16/SER_hh_num!C16)</f>
        <v>12587.735763576839</v>
      </c>
      <c r="D16" s="131">
        <f>IF(SER_hh_fec!D16=0,0,11630*1000*SER_hh_fec!D16/SER_hh_num!D16)</f>
        <v>10862.488673798922</v>
      </c>
      <c r="E16" s="131">
        <f>IF(SER_hh_fec!E16=0,0,11630*1000*SER_hh_fec!E16/SER_hh_num!E16)</f>
        <v>14910.432762172848</v>
      </c>
      <c r="F16" s="131">
        <f>IF(SER_hh_fec!F16=0,0,11630*1000*SER_hh_fec!F16/SER_hh_num!F16)</f>
        <v>12017.25153739491</v>
      </c>
      <c r="G16" s="131">
        <f>IF(SER_hh_fec!G16=0,0,11630*1000*SER_hh_fec!G16/SER_hh_num!G16)</f>
        <v>12673.012447476491</v>
      </c>
      <c r="H16" s="131">
        <f>IF(SER_hh_fec!H16=0,0,11630*1000*SER_hh_fec!H16/SER_hh_num!H16)</f>
        <v>14552.822928609479</v>
      </c>
      <c r="I16" s="131">
        <f>IF(SER_hh_fec!I16=0,0,11630*1000*SER_hh_fec!I16/SER_hh_num!I16)</f>
        <v>8952.2040934065117</v>
      </c>
      <c r="J16" s="131">
        <f>IF(SER_hh_fec!J16=0,0,11630*1000*SER_hh_fec!J16/SER_hh_num!J16)</f>
        <v>8257.4668754810227</v>
      </c>
      <c r="K16" s="131">
        <f>IF(SER_hh_fec!K16=0,0,11630*1000*SER_hh_fec!K16/SER_hh_num!K16)</f>
        <v>9953.1351537912124</v>
      </c>
      <c r="L16" s="131">
        <f>IF(SER_hh_fec!L16=0,0,11630*1000*SER_hh_fec!L16/SER_hh_num!L16)</f>
        <v>13439.600787236721</v>
      </c>
      <c r="M16" s="131">
        <f>IF(SER_hh_fec!M16=0,0,11630*1000*SER_hh_fec!M16/SER_hh_num!M16)</f>
        <v>8634.7582317189026</v>
      </c>
      <c r="N16" s="131">
        <f>IF(SER_hh_fec!N16=0,0,11630*1000*SER_hh_fec!N16/SER_hh_num!N16)</f>
        <v>8869.9957100631673</v>
      </c>
      <c r="O16" s="131">
        <f>IF(SER_hh_fec!O16=0,0,11630*1000*SER_hh_fec!O16/SER_hh_num!O16)</f>
        <v>11237.485467066381</v>
      </c>
      <c r="P16" s="131">
        <f>IF(SER_hh_fec!P16=0,0,11630*1000*SER_hh_fec!P16/SER_hh_num!P16)</f>
        <v>7360.7798574348117</v>
      </c>
      <c r="Q16" s="131">
        <f>IF(SER_hh_fec!Q16=0,0,11630*1000*SER_hh_fec!Q16/SER_hh_num!Q16)</f>
        <v>8381.7478076682073</v>
      </c>
      <c r="R16" s="131">
        <f>IF(SER_hh_fec!R16=0,0,11630*1000*SER_hh_fec!R16/SER_hh_num!R16)</f>
        <v>12159.35280223798</v>
      </c>
      <c r="S16" s="131">
        <f>IF(SER_hh_fec!S16=0,0,11630*1000*SER_hh_fec!S16/SER_hh_num!S16)</f>
        <v>11203.047374813084</v>
      </c>
      <c r="T16" s="131">
        <f>IF(SER_hh_fec!T16=0,0,11630*1000*SER_hh_fec!T16/SER_hh_num!T16)</f>
        <v>9365.6919862060222</v>
      </c>
      <c r="U16" s="131">
        <f>IF(SER_hh_fec!U16=0,0,11630*1000*SER_hh_fec!U16/SER_hh_num!U16)</f>
        <v>7221.0305349128148</v>
      </c>
      <c r="V16" s="131">
        <f>IF(SER_hh_fec!V16=0,0,11630*1000*SER_hh_fec!V16/SER_hh_num!V16)</f>
        <v>10437.035903275229</v>
      </c>
      <c r="W16" s="131">
        <f>IF(SER_hh_fec!W16=0,0,11630*1000*SER_hh_fec!W16/SER_hh_num!W16)</f>
        <v>6475.8382853975299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18799.323465691254</v>
      </c>
      <c r="C17" s="133">
        <f>IF(SER_hh_fec!C17=0,0,11630*1000*SER_hh_fec!C17/SER_hh_num!C17)</f>
        <v>18616.782217407217</v>
      </c>
      <c r="D17" s="133">
        <f>IF(SER_hh_fec!D17=0,0,11630*1000*SER_hh_fec!D17/SER_hh_num!D17)</f>
        <v>16674.877083613192</v>
      </c>
      <c r="E17" s="133">
        <f>IF(SER_hh_fec!E17=0,0,11630*1000*SER_hh_fec!E17/SER_hh_num!E17)</f>
        <v>23735.069651577018</v>
      </c>
      <c r="F17" s="133">
        <f>IF(SER_hh_fec!F17=0,0,11630*1000*SER_hh_fec!F17/SER_hh_num!F17)</f>
        <v>19716.273718236404</v>
      </c>
      <c r="G17" s="133">
        <f>IF(SER_hh_fec!G17=0,0,11630*1000*SER_hh_fec!G17/SER_hh_num!G17)</f>
        <v>21704.823515252352</v>
      </c>
      <c r="H17" s="133">
        <f>IF(SER_hh_fec!H17=0,0,11630*1000*SER_hh_fec!H17/SER_hh_num!H17)</f>
        <v>26195.833960362994</v>
      </c>
      <c r="I17" s="133">
        <f>IF(SER_hh_fec!I17=0,0,11630*1000*SER_hh_fec!I17/SER_hh_num!I17)</f>
        <v>16989.471492715344</v>
      </c>
      <c r="J17" s="133">
        <f>IF(SER_hh_fec!J17=0,0,11630*1000*SER_hh_fec!J17/SER_hh_num!J17)</f>
        <v>16569.681923352651</v>
      </c>
      <c r="K17" s="133">
        <f>IF(SER_hh_fec!K17=0,0,11630*1000*SER_hh_fec!K17/SER_hh_num!K17)</f>
        <v>20264.347448019395</v>
      </c>
      <c r="L17" s="133">
        <f>IF(SER_hh_fec!L17=0,0,11630*1000*SER_hh_fec!L17/SER_hh_num!L17)</f>
        <v>27949.059094739503</v>
      </c>
      <c r="M17" s="133">
        <f>IF(SER_hh_fec!M17=0,0,11630*1000*SER_hh_fec!M17/SER_hh_num!M17)</f>
        <v>18429.878194505956</v>
      </c>
      <c r="N17" s="133">
        <f>IF(SER_hh_fec!N17=0,0,11630*1000*SER_hh_fec!N17/SER_hh_num!N17)</f>
        <v>19423.169757066622</v>
      </c>
      <c r="O17" s="133">
        <f>IF(SER_hh_fec!O17=0,0,11630*1000*SER_hh_fec!O17/SER_hh_num!O17)</f>
        <v>25117.11234846148</v>
      </c>
      <c r="P17" s="133">
        <f>IF(SER_hh_fec!P17=0,0,11630*1000*SER_hh_fec!P17/SER_hh_num!P17)</f>
        <v>16806.860813251151</v>
      </c>
      <c r="Q17" s="133">
        <f>IF(SER_hh_fec!Q17=0,0,11630*1000*SER_hh_fec!Q17/SER_hh_num!Q17)</f>
        <v>19508.024257365771</v>
      </c>
      <c r="R17" s="133">
        <f>IF(SER_hh_fec!R17=0,0,11630*1000*SER_hh_fec!R17/SER_hh_num!R17)</f>
        <v>28760.35872159417</v>
      </c>
      <c r="S17" s="133">
        <f>IF(SER_hh_fec!S17=0,0,11630*1000*SER_hh_fec!S17/SER_hh_num!S17)</f>
        <v>26995.895333450986</v>
      </c>
      <c r="T17" s="133">
        <f>IF(SER_hh_fec!T17=0,0,11630*1000*SER_hh_fec!T17/SER_hh_num!T17)</f>
        <v>22650.896260669786</v>
      </c>
      <c r="U17" s="133">
        <f>IF(SER_hh_fec!U17=0,0,11630*1000*SER_hh_fec!U17/SER_hh_num!U17)</f>
        <v>17723.055401057976</v>
      </c>
      <c r="V17" s="133">
        <f>IF(SER_hh_fec!V17=0,0,11630*1000*SER_hh_fec!V17/SER_hh_num!V17)</f>
        <v>24155.50887361318</v>
      </c>
      <c r="W17" s="133">
        <f>IF(SER_hh_fec!W17=0,0,11630*1000*SER_hh_fec!W17/SER_hh_num!W17)</f>
        <v>15629.819644554838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13154.480615693545</v>
      </c>
      <c r="C18" s="133">
        <f>IF(SER_hh_fec!C18=0,0,11630*1000*SER_hh_fec!C18/SER_hh_num!C18)</f>
        <v>12572.326259029151</v>
      </c>
      <c r="D18" s="133">
        <f>IF(SER_hh_fec!D18=0,0,11630*1000*SER_hh_fec!D18/SER_hh_num!D18)</f>
        <v>10848.970346423701</v>
      </c>
      <c r="E18" s="133">
        <f>IF(SER_hh_fec!E18=0,0,11630*1000*SER_hh_fec!E18/SER_hh_num!E18)</f>
        <v>14891.652710609462</v>
      </c>
      <c r="F18" s="133">
        <f>IF(SER_hh_fec!F18=0,0,11630*1000*SER_hh_fec!F18/SER_hh_num!F18)</f>
        <v>11998.548533381199</v>
      </c>
      <c r="G18" s="133">
        <f>IF(SER_hh_fec!G18=0,0,11630*1000*SER_hh_fec!G18/SER_hh_num!G18)</f>
        <v>12650.911275674036</v>
      </c>
      <c r="H18" s="133">
        <f>IF(SER_hh_fec!H18=0,0,11630*1000*SER_hh_fec!H18/SER_hh_num!H18)</f>
        <v>14523.21084241155</v>
      </c>
      <c r="I18" s="133">
        <f>IF(SER_hh_fec!I18=0,0,11630*1000*SER_hh_fec!I18/SER_hh_num!I18)</f>
        <v>8926.6613660224029</v>
      </c>
      <c r="J18" s="133">
        <f>IF(SER_hh_fec!J18=0,0,11630*1000*SER_hh_fec!J18/SER_hh_num!J18)</f>
        <v>8227.3942046897191</v>
      </c>
      <c r="K18" s="133">
        <f>IF(SER_hh_fec!K18=0,0,11630*1000*SER_hh_fec!K18/SER_hh_num!K18)</f>
        <v>9908.4482817787812</v>
      </c>
      <c r="L18" s="133">
        <f>IF(SER_hh_fec!L18=0,0,11630*1000*SER_hh_fec!L18/SER_hh_num!L18)</f>
        <v>13375.392999497897</v>
      </c>
      <c r="M18" s="133">
        <f>IF(SER_hh_fec!M18=0,0,11630*1000*SER_hh_fec!M18/SER_hh_num!M18)</f>
        <v>8584.9986147444324</v>
      </c>
      <c r="N18" s="133">
        <f>IF(SER_hh_fec!N18=0,0,11630*1000*SER_hh_fec!N18/SER_hh_num!N18)</f>
        <v>8813.3264034648</v>
      </c>
      <c r="O18" s="133">
        <f>IF(SER_hh_fec!O18=0,0,11630*1000*SER_hh_fec!O18/SER_hh_num!O18)</f>
        <v>11153.227350337547</v>
      </c>
      <c r="P18" s="133">
        <f>IF(SER_hh_fec!P18=0,0,11630*1000*SER_hh_fec!P18/SER_hh_num!P18)</f>
        <v>7296.5725416016494</v>
      </c>
      <c r="Q18" s="133">
        <f>IF(SER_hh_fec!Q18=0,0,11630*1000*SER_hh_fec!Q18/SER_hh_num!Q18)</f>
        <v>8292.77184872609</v>
      </c>
      <c r="R18" s="133">
        <f>IF(SER_hh_fec!R18=0,0,11630*1000*SER_hh_fec!R18/SER_hh_num!R18)</f>
        <v>11997.615632565876</v>
      </c>
      <c r="S18" s="133">
        <f>IF(SER_hh_fec!S18=0,0,11630*1000*SER_hh_fec!S18/SER_hh_num!S18)</f>
        <v>11030.372688053772</v>
      </c>
      <c r="T18" s="133">
        <f>IF(SER_hh_fec!T18=0,0,11630*1000*SER_hh_fec!T18/SER_hh_num!T18)</f>
        <v>9203.8592662301598</v>
      </c>
      <c r="U18" s="133">
        <f>IF(SER_hh_fec!U18=0,0,11630*1000*SER_hh_fec!U18/SER_hh_num!U18)</f>
        <v>7078.2167308058879</v>
      </c>
      <c r="V18" s="133">
        <f>IF(SER_hh_fec!V18=0,0,11630*1000*SER_hh_fec!V18/SER_hh_num!V18)</f>
        <v>10236.942234218328</v>
      </c>
      <c r="W18" s="133">
        <f>IF(SER_hh_fec!W18=0,0,11630*1000*SER_hh_fec!W18/SER_hh_num!W18)</f>
        <v>6339.0294506232476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14280.677027844144</v>
      </c>
      <c r="C19" s="131">
        <f>IF(SER_hh_fec!C19=0,0,11630*1000*SER_hh_fec!C19/SER_hh_num!C19)</f>
        <v>14309.786578062938</v>
      </c>
      <c r="D19" s="131">
        <f>IF(SER_hh_fec!D19=0,0,11630*1000*SER_hh_fec!D19/SER_hh_num!D19)</f>
        <v>14459.487774654061</v>
      </c>
      <c r="E19" s="131">
        <f>IF(SER_hh_fec!E19=0,0,11630*1000*SER_hh_fec!E19/SER_hh_num!E19)</f>
        <v>14254.778148102436</v>
      </c>
      <c r="F19" s="131">
        <f>IF(SER_hh_fec!F19=0,0,11630*1000*SER_hh_fec!F19/SER_hh_num!F19)</f>
        <v>14305.207651493647</v>
      </c>
      <c r="G19" s="131">
        <f>IF(SER_hh_fec!G19=0,0,11630*1000*SER_hh_fec!G19/SER_hh_num!G19)</f>
        <v>14274.112546635235</v>
      </c>
      <c r="H19" s="131">
        <f>IF(SER_hh_fec!H19=0,0,11630*1000*SER_hh_fec!H19/SER_hh_num!H19)</f>
        <v>14034.837936084396</v>
      </c>
      <c r="I19" s="131">
        <f>IF(SER_hh_fec!I19=0,0,11630*1000*SER_hh_fec!I19/SER_hh_num!I19)</f>
        <v>14122.703736802647</v>
      </c>
      <c r="J19" s="131">
        <f>IF(SER_hh_fec!J19=0,0,11630*1000*SER_hh_fec!J19/SER_hh_num!J19)</f>
        <v>14005.329922058922</v>
      </c>
      <c r="K19" s="131">
        <f>IF(SER_hh_fec!K19=0,0,11630*1000*SER_hh_fec!K19/SER_hh_num!K19)</f>
        <v>14075.131574991166</v>
      </c>
      <c r="L19" s="131">
        <f>IF(SER_hh_fec!L19=0,0,11630*1000*SER_hh_fec!L19/SER_hh_num!L19)</f>
        <v>13900.468944111672</v>
      </c>
      <c r="M19" s="131">
        <f>IF(SER_hh_fec!M19=0,0,11630*1000*SER_hh_fec!M19/SER_hh_num!M19)</f>
        <v>14198.733104037994</v>
      </c>
      <c r="N19" s="131">
        <f>IF(SER_hh_fec!N19=0,0,11630*1000*SER_hh_fec!N19/SER_hh_num!N19)</f>
        <v>13770.782596771613</v>
      </c>
      <c r="O19" s="131">
        <f>IF(SER_hh_fec!O19=0,0,11630*1000*SER_hh_fec!O19/SER_hh_num!O19)</f>
        <v>13531.809611796545</v>
      </c>
      <c r="P19" s="131">
        <f>IF(SER_hh_fec!P19=0,0,11630*1000*SER_hh_fec!P19/SER_hh_num!P19)</f>
        <v>13549.930470709982</v>
      </c>
      <c r="Q19" s="131">
        <f>IF(SER_hh_fec!Q19=0,0,11630*1000*SER_hh_fec!Q19/SER_hh_num!Q19)</f>
        <v>13573.247436057462</v>
      </c>
      <c r="R19" s="131">
        <f>IF(SER_hh_fec!R19=0,0,11630*1000*SER_hh_fec!R19/SER_hh_num!R19)</f>
        <v>13370.237061114894</v>
      </c>
      <c r="S19" s="131">
        <f>IF(SER_hh_fec!S19=0,0,11630*1000*SER_hh_fec!S19/SER_hh_num!S19)</f>
        <v>13061.078991607008</v>
      </c>
      <c r="T19" s="131">
        <f>IF(SER_hh_fec!T19=0,0,11630*1000*SER_hh_fec!T19/SER_hh_num!T19)</f>
        <v>12796.112336410381</v>
      </c>
      <c r="U19" s="131">
        <f>IF(SER_hh_fec!U19=0,0,11630*1000*SER_hh_fec!U19/SER_hh_num!U19)</f>
        <v>12634.008161212549</v>
      </c>
      <c r="V19" s="131">
        <f>IF(SER_hh_fec!V19=0,0,11630*1000*SER_hh_fec!V19/SER_hh_num!V19)</f>
        <v>10702.134806025037</v>
      </c>
      <c r="W19" s="131">
        <f>IF(SER_hh_fec!W19=0,0,11630*1000*SER_hh_fec!W19/SER_hh_num!W19)</f>
        <v>11638.957935289576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16022.304781951936</v>
      </c>
      <c r="C21" s="133">
        <f>IF(SER_hh_fec!C21=0,0,11630*1000*SER_hh_fec!C21/SER_hh_num!C21)</f>
        <v>15598.716008140422</v>
      </c>
      <c r="D21" s="133">
        <f>IF(SER_hh_fec!D21=0,0,11630*1000*SER_hh_fec!D21/SER_hh_num!D21)</f>
        <v>15741.190242039986</v>
      </c>
      <c r="E21" s="133">
        <f>IF(SER_hh_fec!E21=0,0,11630*1000*SER_hh_fec!E21/SER_hh_num!E21)</f>
        <v>15797.225798727648</v>
      </c>
      <c r="F21" s="133">
        <f>IF(SER_hh_fec!F21=0,0,11630*1000*SER_hh_fec!F21/SER_hh_num!F21)</f>
        <v>16038.809564599231</v>
      </c>
      <c r="G21" s="133">
        <f>IF(SER_hh_fec!G21=0,0,11630*1000*SER_hh_fec!G21/SER_hh_num!G21)</f>
        <v>15992.272186634738</v>
      </c>
      <c r="H21" s="133">
        <f>IF(SER_hh_fec!H21=0,0,11630*1000*SER_hh_fec!H21/SER_hh_num!H21)</f>
        <v>15811.594782676388</v>
      </c>
      <c r="I21" s="133">
        <f>IF(SER_hh_fec!I21=0,0,11630*1000*SER_hh_fec!I21/SER_hh_num!I21)</f>
        <v>16048.250813903553</v>
      </c>
      <c r="J21" s="133">
        <f>IF(SER_hh_fec!J21=0,0,11630*1000*SER_hh_fec!J21/SER_hh_num!J21)</f>
        <v>15949.25263763958</v>
      </c>
      <c r="K21" s="133">
        <f>IF(SER_hh_fec!K21=0,0,11630*1000*SER_hh_fec!K21/SER_hh_num!K21)</f>
        <v>16193.457832187338</v>
      </c>
      <c r="L21" s="133">
        <f>IF(SER_hh_fec!L21=0,0,11630*1000*SER_hh_fec!L21/SER_hh_num!L21)</f>
        <v>15848.833636671856</v>
      </c>
      <c r="M21" s="133">
        <f>IF(SER_hh_fec!M21=0,0,11630*1000*SER_hh_fec!M21/SER_hh_num!M21)</f>
        <v>16053.634326270263</v>
      </c>
      <c r="N21" s="133">
        <f>IF(SER_hh_fec!N21=0,0,11630*1000*SER_hh_fec!N21/SER_hh_num!N21)</f>
        <v>15731.849740382424</v>
      </c>
      <c r="O21" s="133">
        <f>IF(SER_hh_fec!O21=0,0,11630*1000*SER_hh_fec!O21/SER_hh_num!O21)</f>
        <v>15361.85529466458</v>
      </c>
      <c r="P21" s="133">
        <f>IF(SER_hh_fec!P21=0,0,11630*1000*SER_hh_fec!P21/SER_hh_num!P21)</f>
        <v>15301.283145223246</v>
      </c>
      <c r="Q21" s="133">
        <f>IF(SER_hh_fec!Q21=0,0,11630*1000*SER_hh_fec!Q21/SER_hh_num!Q21)</f>
        <v>15297.636086447259</v>
      </c>
      <c r="R21" s="133">
        <f>IF(SER_hh_fec!R21=0,0,11630*1000*SER_hh_fec!R21/SER_hh_num!R21)</f>
        <v>15079.896241544211</v>
      </c>
      <c r="S21" s="133">
        <f>IF(SER_hh_fec!S21=0,0,11630*1000*SER_hh_fec!S21/SER_hh_num!S21)</f>
        <v>14595.901503251227</v>
      </c>
      <c r="T21" s="133">
        <f>IF(SER_hh_fec!T21=0,0,11630*1000*SER_hh_fec!T21/SER_hh_num!T21)</f>
        <v>13893.270844497707</v>
      </c>
      <c r="U21" s="133">
        <f>IF(SER_hh_fec!U21=0,0,11630*1000*SER_hh_fec!U21/SER_hh_num!U21)</f>
        <v>13537.817409923462</v>
      </c>
      <c r="V21" s="133">
        <f>IF(SER_hh_fec!V21=0,0,11630*1000*SER_hh_fec!V21/SER_hh_num!V21)</f>
        <v>12579.038023812333</v>
      </c>
      <c r="W21" s="133">
        <f>IF(SER_hh_fec!W21=0,0,11630*1000*SER_hh_fec!W21/SER_hh_num!W21)</f>
        <v>11766.347163013601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16858.900988868085</v>
      </c>
      <c r="C22" s="133">
        <f>IF(SER_hh_fec!C22=0,0,11630*1000*SER_hh_fec!C22/SER_hh_num!C22)</f>
        <v>16788.801993612786</v>
      </c>
      <c r="D22" s="133">
        <f>IF(SER_hh_fec!D22=0,0,11630*1000*SER_hh_fec!D22/SER_hh_num!D22)</f>
        <v>16739.269345342218</v>
      </c>
      <c r="E22" s="133">
        <f>IF(SER_hh_fec!E22=0,0,11630*1000*SER_hh_fec!E22/SER_hh_num!E22)</f>
        <v>16894.209999930848</v>
      </c>
      <c r="F22" s="133">
        <f>IF(SER_hh_fec!F22=0,0,11630*1000*SER_hh_fec!F22/SER_hh_num!F22)</f>
        <v>16912.039215384873</v>
      </c>
      <c r="G22" s="133">
        <f>IF(SER_hh_fec!G22=0,0,11630*1000*SER_hh_fec!G22/SER_hh_num!G22)</f>
        <v>16956.598709693546</v>
      </c>
      <c r="H22" s="133">
        <f>IF(SER_hh_fec!H22=0,0,11630*1000*SER_hh_fec!H22/SER_hh_num!H22)</f>
        <v>17021.527162239956</v>
      </c>
      <c r="I22" s="133">
        <f>IF(SER_hh_fec!I22=0,0,11630*1000*SER_hh_fec!I22/SER_hh_num!I22)</f>
        <v>17132.056849187589</v>
      </c>
      <c r="J22" s="133">
        <f>IF(SER_hh_fec!J22=0,0,11630*1000*SER_hh_fec!J22/SER_hh_num!J22)</f>
        <v>16974.08934974622</v>
      </c>
      <c r="K22" s="133">
        <f>IF(SER_hh_fec!K22=0,0,11630*1000*SER_hh_fec!K22/SER_hh_num!K22)</f>
        <v>16779.668774556667</v>
      </c>
      <c r="L22" s="133">
        <f>IF(SER_hh_fec!L22=0,0,11630*1000*SER_hh_fec!L22/SER_hh_num!L22)</f>
        <v>16777.089370802929</v>
      </c>
      <c r="M22" s="133">
        <f>IF(SER_hh_fec!M22=0,0,11630*1000*SER_hh_fec!M22/SER_hh_num!M22)</f>
        <v>16967.60313577942</v>
      </c>
      <c r="N22" s="133">
        <f>IF(SER_hh_fec!N22=0,0,11630*1000*SER_hh_fec!N22/SER_hh_num!N22)</f>
        <v>16467.577185578019</v>
      </c>
      <c r="O22" s="133">
        <f>IF(SER_hh_fec!O22=0,0,11630*1000*SER_hh_fec!O22/SER_hh_num!O22)</f>
        <v>16290.801059425414</v>
      </c>
      <c r="P22" s="133">
        <f>IF(SER_hh_fec!P22=0,0,11630*1000*SER_hh_fec!P22/SER_hh_num!P22)</f>
        <v>16101.291456024646</v>
      </c>
      <c r="Q22" s="133">
        <f>IF(SER_hh_fec!Q22=0,0,11630*1000*SER_hh_fec!Q22/SER_hh_num!Q22)</f>
        <v>15999.379456689498</v>
      </c>
      <c r="R22" s="133">
        <f>IF(SER_hh_fec!R22=0,0,11630*1000*SER_hh_fec!R22/SER_hh_num!R22)</f>
        <v>15519.486043897334</v>
      </c>
      <c r="S22" s="133">
        <f>IF(SER_hh_fec!S22=0,0,11630*1000*SER_hh_fec!S22/SER_hh_num!S22)</f>
        <v>15220.38420671219</v>
      </c>
      <c r="T22" s="133">
        <f>IF(SER_hh_fec!T22=0,0,11630*1000*SER_hh_fec!T22/SER_hh_num!T22)</f>
        <v>14674.546840286159</v>
      </c>
      <c r="U22" s="133">
        <f>IF(SER_hh_fec!U22=0,0,11630*1000*SER_hh_fec!U22/SER_hh_num!U22)</f>
        <v>13955.344094822563</v>
      </c>
      <c r="V22" s="133">
        <f>IF(SER_hh_fec!V22=0,0,11630*1000*SER_hh_fec!V22/SER_hh_num!V22)</f>
        <v>12211.188009608799</v>
      </c>
      <c r="W22" s="133">
        <f>IF(SER_hh_fec!W22=0,0,11630*1000*SER_hh_fec!W22/SER_hh_num!W22)</f>
        <v>12699.320403574844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15815.180830016265</v>
      </c>
      <c r="C23" s="133">
        <f>IF(SER_hh_fec!C23=0,0,11630*1000*SER_hh_fec!C23/SER_hh_num!C23)</f>
        <v>16362.64597945859</v>
      </c>
      <c r="D23" s="133">
        <f>IF(SER_hh_fec!D23=0,0,11630*1000*SER_hh_fec!D23/SER_hh_num!D23)</f>
        <v>16367.53197024056</v>
      </c>
      <c r="E23" s="133">
        <f>IF(SER_hh_fec!E23=0,0,11630*1000*SER_hh_fec!E23/SER_hh_num!E23)</f>
        <v>16014.411671908672</v>
      </c>
      <c r="F23" s="133">
        <f>IF(SER_hh_fec!F23=0,0,11630*1000*SER_hh_fec!F23/SER_hh_num!F23)</f>
        <v>15767.926518547803</v>
      </c>
      <c r="G23" s="133">
        <f>IF(SER_hh_fec!G23=0,0,11630*1000*SER_hh_fec!G23/SER_hh_num!G23)</f>
        <v>15622.000437936758</v>
      </c>
      <c r="H23" s="133">
        <f>IF(SER_hh_fec!H23=0,0,11630*1000*SER_hh_fec!H23/SER_hh_num!H23)</f>
        <v>15338.006841004841</v>
      </c>
      <c r="I23" s="133">
        <f>IF(SER_hh_fec!I23=0,0,11630*1000*SER_hh_fec!I23/SER_hh_num!I23)</f>
        <v>15614.991466082045</v>
      </c>
      <c r="J23" s="133">
        <f>IF(SER_hh_fec!J23=0,0,11630*1000*SER_hh_fec!J23/SER_hh_num!J23)</f>
        <v>15361.145869364933</v>
      </c>
      <c r="K23" s="133">
        <f>IF(SER_hh_fec!K23=0,0,11630*1000*SER_hh_fec!K23/SER_hh_num!K23)</f>
        <v>15071.161586028125</v>
      </c>
      <c r="L23" s="133">
        <f>IF(SER_hh_fec!L23=0,0,11630*1000*SER_hh_fec!L23/SER_hh_num!L23)</f>
        <v>15113.431493306558</v>
      </c>
      <c r="M23" s="133">
        <f>IF(SER_hh_fec!M23=0,0,11630*1000*SER_hh_fec!M23/SER_hh_num!M23)</f>
        <v>15127.466073186142</v>
      </c>
      <c r="N23" s="133">
        <f>IF(SER_hh_fec!N23=0,0,11630*1000*SER_hh_fec!N23/SER_hh_num!N23)</f>
        <v>14847.586449364351</v>
      </c>
      <c r="O23" s="133">
        <f>IF(SER_hh_fec!O23=0,0,11630*1000*SER_hh_fec!O23/SER_hh_num!O23)</f>
        <v>14603.920068508793</v>
      </c>
      <c r="P23" s="133">
        <f>IF(SER_hh_fec!P23=0,0,11630*1000*SER_hh_fec!P23/SER_hh_num!P23)</f>
        <v>14156.386522190809</v>
      </c>
      <c r="Q23" s="133">
        <f>IF(SER_hh_fec!Q23=0,0,11630*1000*SER_hh_fec!Q23/SER_hh_num!Q23)</f>
        <v>13879.99871834698</v>
      </c>
      <c r="R23" s="133">
        <f>IF(SER_hh_fec!R23=0,0,11630*1000*SER_hh_fec!R23/SER_hh_num!R23)</f>
        <v>13813.35224871466</v>
      </c>
      <c r="S23" s="133">
        <f>IF(SER_hh_fec!S23=0,0,11630*1000*SER_hh_fec!S23/SER_hh_num!S23)</f>
        <v>13571.743312029828</v>
      </c>
      <c r="T23" s="133">
        <f>IF(SER_hh_fec!T23=0,0,11630*1000*SER_hh_fec!T23/SER_hh_num!T23)</f>
        <v>13227.064998943923</v>
      </c>
      <c r="U23" s="133">
        <f>IF(SER_hh_fec!U23=0,0,11630*1000*SER_hh_fec!U23/SER_hh_num!U23)</f>
        <v>13047.567518404983</v>
      </c>
      <c r="V23" s="133">
        <f>IF(SER_hh_fec!V23=0,0,11630*1000*SER_hh_fec!V23/SER_hh_num!V23)</f>
        <v>10669.161642696838</v>
      </c>
      <c r="W23" s="133">
        <f>IF(SER_hh_fec!W23=0,0,11630*1000*SER_hh_fec!W23/SER_hh_num!W23)</f>
        <v>11804.345069125953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9075.9795663671939</v>
      </c>
      <c r="C25" s="133">
        <f>IF(SER_hh_fec!C25=0,0,11630*1000*SER_hh_fec!C25/SER_hh_num!C25)</f>
        <v>11209.144647530395</v>
      </c>
      <c r="D25" s="133">
        <f>IF(SER_hh_fec!D25=0,0,11630*1000*SER_hh_fec!D25/SER_hh_num!D25)</f>
        <v>11599.471508094392</v>
      </c>
      <c r="E25" s="133">
        <f>IF(SER_hh_fec!E25=0,0,11630*1000*SER_hh_fec!E25/SER_hh_num!E25)</f>
        <v>11903.870005081131</v>
      </c>
      <c r="F25" s="133">
        <f>IF(SER_hh_fec!F25=0,0,11630*1000*SER_hh_fec!F25/SER_hh_num!F25)</f>
        <v>11511.387211247329</v>
      </c>
      <c r="G25" s="133">
        <f>IF(SER_hh_fec!G25=0,0,11630*1000*SER_hh_fec!G25/SER_hh_num!G25)</f>
        <v>10243.495859440203</v>
      </c>
      <c r="H25" s="133">
        <f>IF(SER_hh_fec!H25=0,0,11630*1000*SER_hh_fec!H25/SER_hh_num!H25)</f>
        <v>10957.489114908614</v>
      </c>
      <c r="I25" s="133">
        <f>IF(SER_hh_fec!I25=0,0,11630*1000*SER_hh_fec!I25/SER_hh_num!I25)</f>
        <v>12855.499422278539</v>
      </c>
      <c r="J25" s="133">
        <f>IF(SER_hh_fec!J25=0,0,11630*1000*SER_hh_fec!J25/SER_hh_num!J25)</f>
        <v>9265.8996818322466</v>
      </c>
      <c r="K25" s="133">
        <f>IF(SER_hh_fec!K25=0,0,11630*1000*SER_hh_fec!K25/SER_hh_num!K25)</f>
        <v>11030.789050378333</v>
      </c>
      <c r="L25" s="133">
        <f>IF(SER_hh_fec!L25=0,0,11630*1000*SER_hh_fec!L25/SER_hh_num!L25)</f>
        <v>10689.036677455859</v>
      </c>
      <c r="M25" s="133">
        <f>IF(SER_hh_fec!M25=0,0,11630*1000*SER_hh_fec!M25/SER_hh_num!M25)</f>
        <v>9942.7208193017086</v>
      </c>
      <c r="N25" s="133">
        <f>IF(SER_hh_fec!N25=0,0,11630*1000*SER_hh_fec!N25/SER_hh_num!N25)</f>
        <v>11209.993440223881</v>
      </c>
      <c r="O25" s="133">
        <f>IF(SER_hh_fec!O25=0,0,11630*1000*SER_hh_fec!O25/SER_hh_num!O25)</f>
        <v>11889.426724460298</v>
      </c>
      <c r="P25" s="133">
        <f>IF(SER_hh_fec!P25=0,0,11630*1000*SER_hh_fec!P25/SER_hh_num!P25)</f>
        <v>11232.922809971527</v>
      </c>
      <c r="Q25" s="133">
        <f>IF(SER_hh_fec!Q25=0,0,11630*1000*SER_hh_fec!Q25/SER_hh_num!Q25)</f>
        <v>11444.517966878662</v>
      </c>
      <c r="R25" s="133">
        <f>IF(SER_hh_fec!R25=0,0,11630*1000*SER_hh_fec!R25/SER_hh_num!R25)</f>
        <v>10872.680969306582</v>
      </c>
      <c r="S25" s="133">
        <f>IF(SER_hh_fec!S25=0,0,11630*1000*SER_hh_fec!S25/SER_hh_num!S25)</f>
        <v>11447.303994487318</v>
      </c>
      <c r="T25" s="133">
        <f>IF(SER_hh_fec!T25=0,0,11630*1000*SER_hh_fec!T25/SER_hh_num!T25)</f>
        <v>11524.322213502775</v>
      </c>
      <c r="U25" s="133">
        <f>IF(SER_hh_fec!U25=0,0,11630*1000*SER_hh_fec!U25/SER_hh_num!U25)</f>
        <v>10104.479256812927</v>
      </c>
      <c r="V25" s="133">
        <f>IF(SER_hh_fec!V25=0,0,11630*1000*SER_hh_fec!V25/SER_hh_num!V25)</f>
        <v>9225.0300758701142</v>
      </c>
      <c r="W25" s="133">
        <f>IF(SER_hh_fec!W25=0,0,11630*1000*SER_hh_fec!W25/SER_hh_num!W25)</f>
        <v>10098.39744360527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11701.010735857411</v>
      </c>
      <c r="C26" s="65">
        <f>IF(SER_hh_fec!C26=0,0,11630*1000*SER_hh_fec!C26/SER_hh_num!C26)</f>
        <v>11962.941705808342</v>
      </c>
      <c r="D26" s="65">
        <f>IF(SER_hh_fec!D26=0,0,11630*1000*SER_hh_fec!D26/SER_hh_num!D26)</f>
        <v>12376.515296997946</v>
      </c>
      <c r="E26" s="65">
        <f>IF(SER_hh_fec!E26=0,0,11630*1000*SER_hh_fec!E26/SER_hh_num!E26)</f>
        <v>12117.233782834952</v>
      </c>
      <c r="F26" s="65">
        <f>IF(SER_hh_fec!F26=0,0,11630*1000*SER_hh_fec!F26/SER_hh_num!F26)</f>
        <v>12307.974059549251</v>
      </c>
      <c r="G26" s="65">
        <f>IF(SER_hh_fec!G26=0,0,11630*1000*SER_hh_fec!G26/SER_hh_num!G26)</f>
        <v>12314.609337364207</v>
      </c>
      <c r="H26" s="65">
        <f>IF(SER_hh_fec!H26=0,0,11630*1000*SER_hh_fec!H26/SER_hh_num!H26)</f>
        <v>11988.490452435697</v>
      </c>
      <c r="I26" s="65">
        <f>IF(SER_hh_fec!I26=0,0,11630*1000*SER_hh_fec!I26/SER_hh_num!I26)</f>
        <v>11981.867254609859</v>
      </c>
      <c r="J26" s="65">
        <f>IF(SER_hh_fec!J26=0,0,11630*1000*SER_hh_fec!J26/SER_hh_num!J26)</f>
        <v>11811.937713822485</v>
      </c>
      <c r="K26" s="65">
        <f>IF(SER_hh_fec!K26=0,0,11630*1000*SER_hh_fec!K26/SER_hh_num!K26)</f>
        <v>11825.659290753234</v>
      </c>
      <c r="L26" s="65">
        <f>IF(SER_hh_fec!L26=0,0,11630*1000*SER_hh_fec!L26/SER_hh_num!L26)</f>
        <v>11087.858119746901</v>
      </c>
      <c r="M26" s="65">
        <f>IF(SER_hh_fec!M26=0,0,11630*1000*SER_hh_fec!M26/SER_hh_num!M26)</f>
        <v>11042.076532690333</v>
      </c>
      <c r="N26" s="65">
        <f>IF(SER_hh_fec!N26=0,0,11630*1000*SER_hh_fec!N26/SER_hh_num!N26)</f>
        <v>10193.33987947859</v>
      </c>
      <c r="O26" s="65">
        <f>IF(SER_hh_fec!O26=0,0,11630*1000*SER_hh_fec!O26/SER_hh_num!O26)</f>
        <v>9657.6650792670625</v>
      </c>
      <c r="P26" s="65">
        <f>IF(SER_hh_fec!P26=0,0,11630*1000*SER_hh_fec!P26/SER_hh_num!P26)</f>
        <v>9684.1889908155263</v>
      </c>
      <c r="Q26" s="65">
        <f>IF(SER_hh_fec!Q26=0,0,11630*1000*SER_hh_fec!Q26/SER_hh_num!Q26)</f>
        <v>9647.8201733743372</v>
      </c>
      <c r="R26" s="65">
        <f>IF(SER_hh_fec!R26=0,0,11630*1000*SER_hh_fec!R26/SER_hh_num!R26)</f>
        <v>9276.1173096845196</v>
      </c>
      <c r="S26" s="65">
        <f>IF(SER_hh_fec!S26=0,0,11630*1000*SER_hh_fec!S26/SER_hh_num!S26)</f>
        <v>8672.4898712331014</v>
      </c>
      <c r="T26" s="65">
        <f>IF(SER_hh_fec!T26=0,0,11630*1000*SER_hh_fec!T26/SER_hh_num!T26)</f>
        <v>8229.2294488288226</v>
      </c>
      <c r="U26" s="65">
        <f>IF(SER_hh_fec!U26=0,0,11630*1000*SER_hh_fec!U26/SER_hh_num!U26)</f>
        <v>8042.2427523150482</v>
      </c>
      <c r="V26" s="65">
        <f>IF(SER_hh_fec!V26=0,0,11630*1000*SER_hh_fec!V26/SER_hh_num!V26)</f>
        <v>5807.3774736969517</v>
      </c>
      <c r="W26" s="65">
        <f>IF(SER_hh_fec!W26=0,0,11630*1000*SER_hh_fec!W26/SER_hh_num!W26)</f>
        <v>6761.7614915488948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530.88842852625328</v>
      </c>
      <c r="C27" s="146">
        <f>IF(SER_hh_fec!C27=0,0,11630*1000*SER_hh_fec!C27/SER_hh_num!C19)</f>
        <v>529.60554794017855</v>
      </c>
      <c r="D27" s="146">
        <f>IF(SER_hh_fec!D27=0,0,11630*1000*SER_hh_fec!D27/SER_hh_num!D19)</f>
        <v>538.21771476050958</v>
      </c>
      <c r="E27" s="146">
        <f>IF(SER_hh_fec!E27=0,0,11630*1000*SER_hh_fec!E27/SER_hh_num!E19)</f>
        <v>550.91633878877258</v>
      </c>
      <c r="F27" s="146">
        <f>IF(SER_hh_fec!F27=0,0,11630*1000*SER_hh_fec!F27/SER_hh_num!F19)</f>
        <v>557.56973578480347</v>
      </c>
      <c r="G27" s="146">
        <f>IF(SER_hh_fec!G27=0,0,11630*1000*SER_hh_fec!G27/SER_hh_num!G19)</f>
        <v>586.1669360156352</v>
      </c>
      <c r="H27" s="146">
        <f>IF(SER_hh_fec!H27=0,0,11630*1000*SER_hh_fec!H27/SER_hh_num!H19)</f>
        <v>601.56987910238297</v>
      </c>
      <c r="I27" s="146">
        <f>IF(SER_hh_fec!I27=0,0,11630*1000*SER_hh_fec!I27/SER_hh_num!I19)</f>
        <v>639.34309845137136</v>
      </c>
      <c r="J27" s="146">
        <f>IF(SER_hh_fec!J27=0,0,11630*1000*SER_hh_fec!J27/SER_hh_num!J19)</f>
        <v>752.70395104341208</v>
      </c>
      <c r="K27" s="146">
        <f>IF(SER_hh_fec!K27=0,0,11630*1000*SER_hh_fec!K27/SER_hh_num!K19)</f>
        <v>864.76698031200965</v>
      </c>
      <c r="L27" s="146">
        <f>IF(SER_hh_fec!L27=0,0,11630*1000*SER_hh_fec!L27/SER_hh_num!L19)</f>
        <v>1187.2556866348939</v>
      </c>
      <c r="M27" s="146">
        <f>IF(SER_hh_fec!M27=0,0,11630*1000*SER_hh_fec!M27/SER_hh_num!M19)</f>
        <v>1462.996335250624</v>
      </c>
      <c r="N27" s="146">
        <f>IF(SER_hh_fec!N27=0,0,11630*1000*SER_hh_fec!N27/SER_hh_num!N19)</f>
        <v>1654.9277288819826</v>
      </c>
      <c r="O27" s="146">
        <f>IF(SER_hh_fec!O27=0,0,11630*1000*SER_hh_fec!O27/SER_hh_num!O19)</f>
        <v>1778.9705656467918</v>
      </c>
      <c r="P27" s="146">
        <f>IF(SER_hh_fec!P27=0,0,11630*1000*SER_hh_fec!P27/SER_hh_num!P19)</f>
        <v>1866.207167417263</v>
      </c>
      <c r="Q27" s="146">
        <f>IF(SER_hh_fec!Q27=0,0,11630*1000*SER_hh_fec!Q27/SER_hh_num!Q19)</f>
        <v>1935.9562275196688</v>
      </c>
      <c r="R27" s="146">
        <f>IF(SER_hh_fec!R27=0,0,11630*1000*SER_hh_fec!R27/SER_hh_num!R19)</f>
        <v>2013.050313705693</v>
      </c>
      <c r="S27" s="146">
        <f>IF(SER_hh_fec!S27=0,0,11630*1000*SER_hh_fec!S27/SER_hh_num!S19)</f>
        <v>2091.1555267539688</v>
      </c>
      <c r="T27" s="146">
        <f>IF(SER_hh_fec!T27=0,0,11630*1000*SER_hh_fec!T27/SER_hh_num!T19)</f>
        <v>2183.1440223896661</v>
      </c>
      <c r="U27" s="146">
        <f>IF(SER_hh_fec!U27=0,0,11630*1000*SER_hh_fec!U27/SER_hh_num!U19)</f>
        <v>2255.3628516196545</v>
      </c>
      <c r="V27" s="146">
        <f>IF(SER_hh_fec!V27=0,0,11630*1000*SER_hh_fec!V27/SER_hh_num!V19)</f>
        <v>2342.6136286283395</v>
      </c>
      <c r="W27" s="146">
        <f>IF(SER_hh_fec!W27=0,0,11630*1000*SER_hh_fec!W27/SER_hh_num!W19)</f>
        <v>2440.6841633096833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6765.5611611454569</v>
      </c>
      <c r="C28" s="147">
        <f>IF(SER_hh_fec!C27=0,0,11630*1000*SER_hh_fec!C27/SER_hh_num!C27)</f>
        <v>6692.8013503129632</v>
      </c>
      <c r="D28" s="147">
        <f>IF(SER_hh_fec!D27=0,0,11630*1000*SER_hh_fec!D27/SER_hh_num!D27)</f>
        <v>6738.2599654898158</v>
      </c>
      <c r="E28" s="147">
        <f>IF(SER_hh_fec!E27=0,0,11630*1000*SER_hh_fec!E27/SER_hh_num!E27)</f>
        <v>7106.5674521963874</v>
      </c>
      <c r="F28" s="147">
        <f>IF(SER_hh_fec!F27=0,0,11630*1000*SER_hh_fec!F27/SER_hh_num!F27)</f>
        <v>7180.1814898075118</v>
      </c>
      <c r="G28" s="147">
        <f>IF(SER_hh_fec!G27=0,0,11630*1000*SER_hh_fec!G27/SER_hh_num!G27)</f>
        <v>6805.399704189882</v>
      </c>
      <c r="H28" s="147">
        <f>IF(SER_hh_fec!H27=0,0,11630*1000*SER_hh_fec!H27/SER_hh_num!H27)</f>
        <v>6967.840902867164</v>
      </c>
      <c r="I28" s="147">
        <f>IF(SER_hh_fec!I27=0,0,11630*1000*SER_hh_fec!I27/SER_hh_num!I27)</f>
        <v>7018.3456998968841</v>
      </c>
      <c r="J28" s="147">
        <f>IF(SER_hh_fec!J27=0,0,11630*1000*SER_hh_fec!J27/SER_hh_num!J27)</f>
        <v>7083.2417682726418</v>
      </c>
      <c r="K28" s="147">
        <f>IF(SER_hh_fec!K27=0,0,11630*1000*SER_hh_fec!K27/SER_hh_num!K27)</f>
        <v>7094.114789276643</v>
      </c>
      <c r="L28" s="147">
        <f>IF(SER_hh_fec!L27=0,0,11630*1000*SER_hh_fec!L27/SER_hh_num!L27)</f>
        <v>7594.5607255663126</v>
      </c>
      <c r="M28" s="147">
        <f>IF(SER_hh_fec!M27=0,0,11630*1000*SER_hh_fec!M27/SER_hh_num!M27)</f>
        <v>8224.4876974445215</v>
      </c>
      <c r="N28" s="147">
        <f>IF(SER_hh_fec!N27=0,0,11630*1000*SER_hh_fec!N27/SER_hh_num!N27)</f>
        <v>8129.3645729240634</v>
      </c>
      <c r="O28" s="147">
        <f>IF(SER_hh_fec!O27=0,0,11630*1000*SER_hh_fec!O27/SER_hh_num!O27)</f>
        <v>8239.5408651192574</v>
      </c>
      <c r="P28" s="147">
        <f>IF(SER_hh_fec!P27=0,0,11630*1000*SER_hh_fec!P27/SER_hh_num!P27)</f>
        <v>8261.3392005932401</v>
      </c>
      <c r="Q28" s="147">
        <f>IF(SER_hh_fec!Q27=0,0,11630*1000*SER_hh_fec!Q27/SER_hh_num!Q27)</f>
        <v>8319.79188869477</v>
      </c>
      <c r="R28" s="147">
        <f>IF(SER_hh_fec!R27=0,0,11630*1000*SER_hh_fec!R27/SER_hh_num!R27)</f>
        <v>8248.1603301494997</v>
      </c>
      <c r="S28" s="147">
        <f>IF(SER_hh_fec!S27=0,0,11630*1000*SER_hh_fec!S27/SER_hh_num!S27)</f>
        <v>8228.026444587711</v>
      </c>
      <c r="T28" s="147">
        <f>IF(SER_hh_fec!T27=0,0,11630*1000*SER_hh_fec!T27/SER_hh_num!T27)</f>
        <v>8481.3625570597978</v>
      </c>
      <c r="U28" s="147">
        <f>IF(SER_hh_fec!U27=0,0,11630*1000*SER_hh_fec!U27/SER_hh_num!U27)</f>
        <v>8517.378968842555</v>
      </c>
      <c r="V28" s="147">
        <f>IF(SER_hh_fec!V27=0,0,11630*1000*SER_hh_fec!V27/SER_hh_num!V27)</f>
        <v>7393.8493620007521</v>
      </c>
      <c r="W28" s="147">
        <f>IF(SER_hh_fec!W27=0,0,11630*1000*SER_hh_fec!W27/SER_hh_num!W27)</f>
        <v>8338.4268315317004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12051.679606980069</v>
      </c>
      <c r="C29" s="131">
        <f>IF(SER_hh_fec!C29=0,0,11630*1000*SER_hh_fec!C29/SER_hh_num!C29)</f>
        <v>12269.287558484946</v>
      </c>
      <c r="D29" s="131">
        <f>IF(SER_hh_fec!D29=0,0,11630*1000*SER_hh_fec!D29/SER_hh_num!D29)</f>
        <v>13531.279845932846</v>
      </c>
      <c r="E29" s="131">
        <f>IF(SER_hh_fec!E29=0,0,11630*1000*SER_hh_fec!E29/SER_hh_num!E29)</f>
        <v>14011.376326502084</v>
      </c>
      <c r="F29" s="131">
        <f>IF(SER_hh_fec!F29=0,0,11630*1000*SER_hh_fec!F29/SER_hh_num!F29)</f>
        <v>14323.347421148483</v>
      </c>
      <c r="G29" s="131">
        <f>IF(SER_hh_fec!G29=0,0,11630*1000*SER_hh_fec!G29/SER_hh_num!G29)</f>
        <v>14850.147731698697</v>
      </c>
      <c r="H29" s="131">
        <f>IF(SER_hh_fec!H29=0,0,11630*1000*SER_hh_fec!H29/SER_hh_num!H29)</f>
        <v>14833.707171570417</v>
      </c>
      <c r="I29" s="131">
        <f>IF(SER_hh_fec!I29=0,0,11630*1000*SER_hh_fec!I29/SER_hh_num!I29)</f>
        <v>14816.669343658741</v>
      </c>
      <c r="J29" s="131">
        <f>IF(SER_hh_fec!J29=0,0,11630*1000*SER_hh_fec!J29/SER_hh_num!J29)</f>
        <v>15335.417828971615</v>
      </c>
      <c r="K29" s="131">
        <f>IF(SER_hh_fec!K29=0,0,11630*1000*SER_hh_fec!K29/SER_hh_num!K29)</f>
        <v>15092.553177422318</v>
      </c>
      <c r="L29" s="131">
        <f>IF(SER_hh_fec!L29=0,0,11630*1000*SER_hh_fec!L29/SER_hh_num!L29)</f>
        <v>14407.405385815982</v>
      </c>
      <c r="M29" s="131">
        <f>IF(SER_hh_fec!M29=0,0,11630*1000*SER_hh_fec!M29/SER_hh_num!M29)</f>
        <v>14300.295816031676</v>
      </c>
      <c r="N29" s="131">
        <f>IF(SER_hh_fec!N29=0,0,11630*1000*SER_hh_fec!N29/SER_hh_num!N29)</f>
        <v>14652.53083718223</v>
      </c>
      <c r="O29" s="131">
        <f>IF(SER_hh_fec!O29=0,0,11630*1000*SER_hh_fec!O29/SER_hh_num!O29)</f>
        <v>13733.249999045513</v>
      </c>
      <c r="P29" s="131">
        <f>IF(SER_hh_fec!P29=0,0,11630*1000*SER_hh_fec!P29/SER_hh_num!P29)</f>
        <v>14957.92758608847</v>
      </c>
      <c r="Q29" s="131">
        <f>IF(SER_hh_fec!Q29=0,0,11630*1000*SER_hh_fec!Q29/SER_hh_num!Q29)</f>
        <v>15222.7422248112</v>
      </c>
      <c r="R29" s="131">
        <f>IF(SER_hh_fec!R29=0,0,11630*1000*SER_hh_fec!R29/SER_hh_num!R29)</f>
        <v>15326.874685798395</v>
      </c>
      <c r="S29" s="131">
        <f>IF(SER_hh_fec!S29=0,0,11630*1000*SER_hh_fec!S29/SER_hh_num!S29)</f>
        <v>15581.800586891446</v>
      </c>
      <c r="T29" s="131">
        <f>IF(SER_hh_fec!T29=0,0,11630*1000*SER_hh_fec!T29/SER_hh_num!T29)</f>
        <v>15961.449916226728</v>
      </c>
      <c r="U29" s="131">
        <f>IF(SER_hh_fec!U29=0,0,11630*1000*SER_hh_fec!U29/SER_hh_num!U29)</f>
        <v>15753.783600921584</v>
      </c>
      <c r="V29" s="131">
        <f>IF(SER_hh_fec!V29=0,0,11630*1000*SER_hh_fec!V29/SER_hh_num!V29)</f>
        <v>14130.561340886932</v>
      </c>
      <c r="W29" s="131">
        <f>IF(SER_hh_fec!W29=0,0,11630*1000*SER_hh_fec!W29/SER_hh_num!W29)</f>
        <v>14057.85276775515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16834.586870887339</v>
      </c>
      <c r="C30" s="133">
        <f>IF(SER_hh_fec!C30=0,0,11630*1000*SER_hh_fec!C30/SER_hh_num!C30)</f>
        <v>11979.289727463241</v>
      </c>
      <c r="D30" s="133">
        <f>IF(SER_hh_fec!D30=0,0,11630*1000*SER_hh_fec!D30/SER_hh_num!D30)</f>
        <v>16837.529073008769</v>
      </c>
      <c r="E30" s="133">
        <f>IF(SER_hh_fec!E30=0,0,11630*1000*SER_hh_fec!E30/SER_hh_num!E30)</f>
        <v>15799.294983516278</v>
      </c>
      <c r="F30" s="133">
        <f>IF(SER_hh_fec!F30=0,0,11630*1000*SER_hh_fec!F30/SER_hh_num!F30)</f>
        <v>15611.745834602654</v>
      </c>
      <c r="G30" s="133">
        <f>IF(SER_hh_fec!G30=0,0,11630*1000*SER_hh_fec!G30/SER_hh_num!G30)</f>
        <v>19691.686340641561</v>
      </c>
      <c r="H30" s="133">
        <f>IF(SER_hh_fec!H30=0,0,11630*1000*SER_hh_fec!H30/SER_hh_num!H30)</f>
        <v>16557.85011357459</v>
      </c>
      <c r="I30" s="133">
        <f>IF(SER_hh_fec!I30=0,0,11630*1000*SER_hh_fec!I30/SER_hh_num!I30)</f>
        <v>16729.244900577229</v>
      </c>
      <c r="J30" s="133">
        <f>IF(SER_hh_fec!J30=0,0,11630*1000*SER_hh_fec!J30/SER_hh_num!J30)</f>
        <v>19652.74058212425</v>
      </c>
      <c r="K30" s="133">
        <f>IF(SER_hh_fec!K30=0,0,11630*1000*SER_hh_fec!K30/SER_hh_num!K30)</f>
        <v>20923.547351949899</v>
      </c>
      <c r="L30" s="133">
        <f>IF(SER_hh_fec!L30=0,0,11630*1000*SER_hh_fec!L30/SER_hh_num!L30)</f>
        <v>12196.239007890086</v>
      </c>
      <c r="M30" s="133">
        <f>IF(SER_hh_fec!M30=0,0,11630*1000*SER_hh_fec!M30/SER_hh_num!M30)</f>
        <v>14536.224351033597</v>
      </c>
      <c r="N30" s="133">
        <f>IF(SER_hh_fec!N30=0,0,11630*1000*SER_hh_fec!N30/SER_hh_num!N30)</f>
        <v>12798.829590753152</v>
      </c>
      <c r="O30" s="133">
        <f>IF(SER_hh_fec!O30=0,0,11630*1000*SER_hh_fec!O30/SER_hh_num!O30)</f>
        <v>12796.733138973805</v>
      </c>
      <c r="P30" s="133">
        <f>IF(SER_hh_fec!P30=0,0,11630*1000*SER_hh_fec!P30/SER_hh_num!P30)</f>
        <v>19487.91696669735</v>
      </c>
      <c r="Q30" s="133">
        <f>IF(SER_hh_fec!Q30=0,0,11630*1000*SER_hh_fec!Q30/SER_hh_num!Q30)</f>
        <v>19073.97424622094</v>
      </c>
      <c r="R30" s="133">
        <f>IF(SER_hh_fec!R30=0,0,11630*1000*SER_hh_fec!R30/SER_hh_num!R30)</f>
        <v>16853.266758806327</v>
      </c>
      <c r="S30" s="133">
        <f>IF(SER_hh_fec!S30=0,0,11630*1000*SER_hh_fec!S30/SER_hh_num!S30)</f>
        <v>16298.552374657458</v>
      </c>
      <c r="T30" s="133">
        <f>IF(SER_hh_fec!T30=0,0,11630*1000*SER_hh_fec!T30/SER_hh_num!T30)</f>
        <v>20703.980009266794</v>
      </c>
      <c r="U30" s="133">
        <f>IF(SER_hh_fec!U30=0,0,11630*1000*SER_hh_fec!U30/SER_hh_num!U30)</f>
        <v>20584.085205739517</v>
      </c>
      <c r="V30" s="133">
        <f>IF(SER_hh_fec!V30=0,0,11630*1000*SER_hh_fec!V30/SER_hh_num!V30)</f>
        <v>15884.339622400714</v>
      </c>
      <c r="W30" s="133">
        <f>IF(SER_hh_fec!W30=0,0,11630*1000*SER_hh_fec!W30/SER_hh_num!W30)</f>
        <v>16453.264521530204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14308.40152982299</v>
      </c>
      <c r="C31" s="133">
        <f>IF(SER_hh_fec!C31=0,0,11630*1000*SER_hh_fec!C31/SER_hh_num!C31)</f>
        <v>15036.430758508288</v>
      </c>
      <c r="D31" s="133">
        <f>IF(SER_hh_fec!D31=0,0,11630*1000*SER_hh_fec!D31/SER_hh_num!D31)</f>
        <v>16129.917648418716</v>
      </c>
      <c r="E31" s="133">
        <f>IF(SER_hh_fec!E31=0,0,11630*1000*SER_hh_fec!E31/SER_hh_num!E31)</f>
        <v>15982.030399968246</v>
      </c>
      <c r="F31" s="133">
        <f>IF(SER_hh_fec!F31=0,0,11630*1000*SER_hh_fec!F31/SER_hh_num!F31)</f>
        <v>16915.962040285842</v>
      </c>
      <c r="G31" s="133">
        <f>IF(SER_hh_fec!G31=0,0,11630*1000*SER_hh_fec!G31/SER_hh_num!G31)</f>
        <v>17180.902235728947</v>
      </c>
      <c r="H31" s="133">
        <f>IF(SER_hh_fec!H31=0,0,11630*1000*SER_hh_fec!H31/SER_hh_num!H31)</f>
        <v>17195.506926866765</v>
      </c>
      <c r="I31" s="133">
        <f>IF(SER_hh_fec!I31=0,0,11630*1000*SER_hh_fec!I31/SER_hh_num!I31)</f>
        <v>17001.420411095729</v>
      </c>
      <c r="J31" s="133">
        <f>IF(SER_hh_fec!J31=0,0,11630*1000*SER_hh_fec!J31/SER_hh_num!J31)</f>
        <v>16356.117105545896</v>
      </c>
      <c r="K31" s="133">
        <f>IF(SER_hh_fec!K31=0,0,11630*1000*SER_hh_fec!K31/SER_hh_num!K31)</f>
        <v>16476.76949160318</v>
      </c>
      <c r="L31" s="133">
        <f>IF(SER_hh_fec!L31=0,0,11630*1000*SER_hh_fec!L31/SER_hh_num!L31)</f>
        <v>18294.420035169929</v>
      </c>
      <c r="M31" s="133">
        <f>IF(SER_hh_fec!M31=0,0,11630*1000*SER_hh_fec!M31/SER_hh_num!M31)</f>
        <v>17067.146841510421</v>
      </c>
      <c r="N31" s="133">
        <f>IF(SER_hh_fec!N31=0,0,11630*1000*SER_hh_fec!N31/SER_hh_num!N31)</f>
        <v>15970.00573837993</v>
      </c>
      <c r="O31" s="133">
        <f>IF(SER_hh_fec!O31=0,0,11630*1000*SER_hh_fec!O31/SER_hh_num!O31)</f>
        <v>17647.945351140126</v>
      </c>
      <c r="P31" s="133">
        <f>IF(SER_hh_fec!P31=0,0,11630*1000*SER_hh_fec!P31/SER_hh_num!P31)</f>
        <v>16621.894746529128</v>
      </c>
      <c r="Q31" s="133">
        <f>IF(SER_hh_fec!Q31=0,0,11630*1000*SER_hh_fec!Q31/SER_hh_num!Q31)</f>
        <v>17578.110919776736</v>
      </c>
      <c r="R31" s="133">
        <f>IF(SER_hh_fec!R31=0,0,11630*1000*SER_hh_fec!R31/SER_hh_num!R31)</f>
        <v>17850.662810239683</v>
      </c>
      <c r="S31" s="133">
        <f>IF(SER_hh_fec!S31=0,0,11630*1000*SER_hh_fec!S31/SER_hh_num!S31)</f>
        <v>17844.427967645977</v>
      </c>
      <c r="T31" s="133">
        <f>IF(SER_hh_fec!T31=0,0,11630*1000*SER_hh_fec!T31/SER_hh_num!T31)</f>
        <v>17978.165314362297</v>
      </c>
      <c r="U31" s="133">
        <f>IF(SER_hh_fec!U31=0,0,11630*1000*SER_hh_fec!U31/SER_hh_num!U31)</f>
        <v>18614.967015624581</v>
      </c>
      <c r="V31" s="133">
        <f>IF(SER_hh_fec!V31=0,0,11630*1000*SER_hh_fec!V31/SER_hh_num!V31)</f>
        <v>17307.574684986539</v>
      </c>
      <c r="W31" s="133">
        <f>IF(SER_hh_fec!W31=0,0,11630*1000*SER_hh_fec!W31/SER_hh_num!W31)</f>
        <v>15953.884775496648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27544.153984631757</v>
      </c>
      <c r="O32" s="133">
        <f>IF(SER_hh_fec!O32=0,0,11630*1000*SER_hh_fec!O32/SER_hh_num!O32)</f>
        <v>15017.023076911108</v>
      </c>
      <c r="P32" s="133">
        <f>IF(SER_hh_fec!P32=0,0,11630*1000*SER_hh_fec!P32/SER_hh_num!P32)</f>
        <v>15107.752804740065</v>
      </c>
      <c r="Q32" s="133">
        <f>IF(SER_hh_fec!Q32=0,0,11630*1000*SER_hh_fec!Q32/SER_hh_num!Q32)</f>
        <v>17035.085930414189</v>
      </c>
      <c r="R32" s="133">
        <f>IF(SER_hh_fec!R32=0,0,11630*1000*SER_hh_fec!R32/SER_hh_num!R32)</f>
        <v>15083.515748644108</v>
      </c>
      <c r="S32" s="133">
        <f>IF(SER_hh_fec!S32=0,0,11630*1000*SER_hh_fec!S32/SER_hh_num!S32)</f>
        <v>16593.357719065949</v>
      </c>
      <c r="T32" s="133">
        <f>IF(SER_hh_fec!T32=0,0,11630*1000*SER_hh_fec!T32/SER_hh_num!T32)</f>
        <v>18199.542626195693</v>
      </c>
      <c r="U32" s="133">
        <f>IF(SER_hh_fec!U32=0,0,11630*1000*SER_hh_fec!U32/SER_hh_num!U32)</f>
        <v>17943.043566096665</v>
      </c>
      <c r="V32" s="133">
        <f>IF(SER_hh_fec!V32=0,0,11630*1000*SER_hh_fec!V32/SER_hh_num!V32)</f>
        <v>13904.637635093815</v>
      </c>
      <c r="W32" s="133">
        <f>IF(SER_hh_fec!W32=0,0,11630*1000*SER_hh_fec!W32/SER_hh_num!W32)</f>
        <v>17634.584244537346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10652.744165513795</v>
      </c>
      <c r="C33" s="68">
        <f>IF(SER_hh_fec!C33=0,0,11630*1000*SER_hh_fec!C33/SER_hh_num!C33)</f>
        <v>12070.017266242647</v>
      </c>
      <c r="D33" s="68">
        <f>IF(SER_hh_fec!D33=0,0,11630*1000*SER_hh_fec!D33/SER_hh_num!D33)</f>
        <v>12306.758610536524</v>
      </c>
      <c r="E33" s="68">
        <f>IF(SER_hh_fec!E33=0,0,11630*1000*SER_hh_fec!E33/SER_hh_num!E33)</f>
        <v>13139.882550730987</v>
      </c>
      <c r="F33" s="68">
        <f>IF(SER_hh_fec!F33=0,0,11630*1000*SER_hh_fec!F33/SER_hh_num!F33)</f>
        <v>13379.2714810461</v>
      </c>
      <c r="G33" s="68">
        <f>IF(SER_hh_fec!G33=0,0,11630*1000*SER_hh_fec!G33/SER_hh_num!G33)</f>
        <v>11552.291583940178</v>
      </c>
      <c r="H33" s="68">
        <f>IF(SER_hh_fec!H33=0,0,11630*1000*SER_hh_fec!H33/SER_hh_num!H33)</f>
        <v>13336.935661235058</v>
      </c>
      <c r="I33" s="68">
        <f>IF(SER_hh_fec!I33=0,0,11630*1000*SER_hh_fec!I33/SER_hh_num!I33)</f>
        <v>13137.631711135549</v>
      </c>
      <c r="J33" s="68">
        <f>IF(SER_hh_fec!J33=0,0,11630*1000*SER_hh_fec!J33/SER_hh_num!J33)</f>
        <v>12393.050028602394</v>
      </c>
      <c r="K33" s="68">
        <f>IF(SER_hh_fec!K33=0,0,11630*1000*SER_hh_fec!K33/SER_hh_num!K33)</f>
        <v>11786.620538355333</v>
      </c>
      <c r="L33" s="68">
        <f>IF(SER_hh_fec!L33=0,0,11630*1000*SER_hh_fec!L33/SER_hh_num!L33)</f>
        <v>14398.36619022886</v>
      </c>
      <c r="M33" s="68">
        <f>IF(SER_hh_fec!M33=0,0,11630*1000*SER_hh_fec!M33/SER_hh_num!M33)</f>
        <v>13685.061006579441</v>
      </c>
      <c r="N33" s="68">
        <f>IF(SER_hh_fec!N33=0,0,11630*1000*SER_hh_fec!N33/SER_hh_num!N33)</f>
        <v>13035.146854018194</v>
      </c>
      <c r="O33" s="68">
        <f>IF(SER_hh_fec!O33=0,0,11630*1000*SER_hh_fec!O33/SER_hh_num!O33)</f>
        <v>12608.413404686582</v>
      </c>
      <c r="P33" s="68">
        <f>IF(SER_hh_fec!P33=0,0,11630*1000*SER_hh_fec!P33/SER_hh_num!P33)</f>
        <v>12587.588355718637</v>
      </c>
      <c r="Q33" s="68">
        <f>IF(SER_hh_fec!Q33=0,0,11630*1000*SER_hh_fec!Q33/SER_hh_num!Q33)</f>
        <v>12326.747124207135</v>
      </c>
      <c r="R33" s="68">
        <f>IF(SER_hh_fec!R33=0,0,11630*1000*SER_hh_fec!R33/SER_hh_num!R33)</f>
        <v>13644.936064452162</v>
      </c>
      <c r="S33" s="68">
        <f>IF(SER_hh_fec!S33=0,0,11630*1000*SER_hh_fec!S33/SER_hh_num!S33)</f>
        <v>14161.679969975816</v>
      </c>
      <c r="T33" s="68">
        <f>IF(SER_hh_fec!T33=0,0,11630*1000*SER_hh_fec!T33/SER_hh_num!T33)</f>
        <v>12304.428563179823</v>
      </c>
      <c r="U33" s="68">
        <f>IF(SER_hh_fec!U33=0,0,11630*1000*SER_hh_fec!U33/SER_hh_num!U33)</f>
        <v>11965.74428894019</v>
      </c>
      <c r="V33" s="68">
        <f>IF(SER_hh_fec!V33=0,0,11630*1000*SER_hh_fec!V33/SER_hh_num!V33)</f>
        <v>12302.900627135557</v>
      </c>
      <c r="W33" s="68">
        <f>IF(SER_hh_fec!W33=0,0,11630*1000*SER_hh_fec!W33/SER_hh_num!W33)</f>
        <v>12387.607905670242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38928.479679781005</v>
      </c>
      <c r="C3" s="126">
        <f>IF(SER_hh_tes!C3=0,0,11630*1000*SER_hh_tes!C3/SER_hh_num!C3)</f>
        <v>41368.893509171146</v>
      </c>
      <c r="D3" s="126">
        <f>IF(SER_hh_tes!D3=0,0,11630*1000*SER_hh_tes!D3/SER_hh_num!D3)</f>
        <v>43268.353018194226</v>
      </c>
      <c r="E3" s="126">
        <f>IF(SER_hh_tes!E3=0,0,11630*1000*SER_hh_tes!E3/SER_hh_num!E3)</f>
        <v>50180.22377520951</v>
      </c>
      <c r="F3" s="126">
        <f>IF(SER_hh_tes!F3=0,0,11630*1000*SER_hh_tes!F3/SER_hh_num!F3)</f>
        <v>53962.876429813608</v>
      </c>
      <c r="G3" s="126">
        <f>IF(SER_hh_tes!G3=0,0,11630*1000*SER_hh_tes!G3/SER_hh_num!G3)</f>
        <v>60353.120994889774</v>
      </c>
      <c r="H3" s="126">
        <f>IF(SER_hh_tes!H3=0,0,11630*1000*SER_hh_tes!H3/SER_hh_num!H3)</f>
        <v>65009.013615284384</v>
      </c>
      <c r="I3" s="126">
        <f>IF(SER_hh_tes!I3=0,0,11630*1000*SER_hh_tes!I3/SER_hh_num!I3)</f>
        <v>63377.089086864733</v>
      </c>
      <c r="J3" s="126">
        <f>IF(SER_hh_tes!J3=0,0,11630*1000*SER_hh_tes!J3/SER_hh_num!J3)</f>
        <v>63750.751269420776</v>
      </c>
      <c r="K3" s="126">
        <f>IF(SER_hh_tes!K3=0,0,11630*1000*SER_hh_tes!K3/SER_hh_num!K3)</f>
        <v>69806.365750262645</v>
      </c>
      <c r="L3" s="126">
        <f>IF(SER_hh_tes!L3=0,0,11630*1000*SER_hh_tes!L3/SER_hh_num!L3)</f>
        <v>72806.578764518563</v>
      </c>
      <c r="M3" s="126">
        <f>IF(SER_hh_tes!M3=0,0,11630*1000*SER_hh_tes!M3/SER_hh_num!M3)</f>
        <v>69889.076607059556</v>
      </c>
      <c r="N3" s="126">
        <f>IF(SER_hh_tes!N3=0,0,11630*1000*SER_hh_tes!N3/SER_hh_num!N3)</f>
        <v>73999.570361626436</v>
      </c>
      <c r="O3" s="126">
        <f>IF(SER_hh_tes!O3=0,0,11630*1000*SER_hh_tes!O3/SER_hh_num!O3)</f>
        <v>77338.580883308518</v>
      </c>
      <c r="P3" s="126">
        <f>IF(SER_hh_tes!P3=0,0,11630*1000*SER_hh_tes!P3/SER_hh_num!P3)</f>
        <v>81412.200678651338</v>
      </c>
      <c r="Q3" s="126">
        <f>IF(SER_hh_tes!Q3=0,0,11630*1000*SER_hh_tes!Q3/SER_hh_num!Q3)</f>
        <v>85234.498123156896</v>
      </c>
      <c r="R3" s="126">
        <f>IF(SER_hh_tes!R3=0,0,11630*1000*SER_hh_tes!R3/SER_hh_num!R3)</f>
        <v>87888.478763618361</v>
      </c>
      <c r="S3" s="126">
        <f>IF(SER_hh_tes!S3=0,0,11630*1000*SER_hh_tes!S3/SER_hh_num!S3)</f>
        <v>88089.746986138416</v>
      </c>
      <c r="T3" s="126">
        <f>IF(SER_hh_tes!T3=0,0,11630*1000*SER_hh_tes!T3/SER_hh_num!T3)</f>
        <v>89990.709137355778</v>
      </c>
      <c r="U3" s="126">
        <f>IF(SER_hh_tes!U3=0,0,11630*1000*SER_hh_tes!U3/SER_hh_num!U3)</f>
        <v>87482.778688675375</v>
      </c>
      <c r="V3" s="126">
        <f>IF(SER_hh_tes!V3=0,0,11630*1000*SER_hh_tes!V3/SER_hh_num!V3)</f>
        <v>87114.798037473127</v>
      </c>
      <c r="W3" s="126">
        <f>IF(SER_hh_tes!W3=0,0,11630*1000*SER_hh_tes!W3/SER_hh_num!W3)</f>
        <v>84165.275131292641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15020.537928327956</v>
      </c>
      <c r="C4" s="131">
        <f>IF(SER_hh_tes!C4=0,0,11630*1000*SER_hh_tes!C4/SER_hh_num!C4)</f>
        <v>16882.82837454215</v>
      </c>
      <c r="D4" s="131">
        <f>IF(SER_hh_tes!D4=0,0,11630*1000*SER_hh_tes!D4/SER_hh_num!D4)</f>
        <v>18582.067921743881</v>
      </c>
      <c r="E4" s="131">
        <f>IF(SER_hh_tes!E4=0,0,11630*1000*SER_hh_tes!E4/SER_hh_num!E4)</f>
        <v>21751.424744380092</v>
      </c>
      <c r="F4" s="131">
        <f>IF(SER_hh_tes!F4=0,0,11630*1000*SER_hh_tes!F4/SER_hh_num!F4)</f>
        <v>27316.632114248423</v>
      </c>
      <c r="G4" s="131">
        <f>IF(SER_hh_tes!G4=0,0,11630*1000*SER_hh_tes!G4/SER_hh_num!G4)</f>
        <v>32474.499693478054</v>
      </c>
      <c r="H4" s="131">
        <f>IF(SER_hh_tes!H4=0,0,11630*1000*SER_hh_tes!H4/SER_hh_num!H4)</f>
        <v>34301.715602153054</v>
      </c>
      <c r="I4" s="131">
        <f>IF(SER_hh_tes!I4=0,0,11630*1000*SER_hh_tes!I4/SER_hh_num!I4)</f>
        <v>36645.944318824622</v>
      </c>
      <c r="J4" s="131">
        <f>IF(SER_hh_tes!J4=0,0,11630*1000*SER_hh_tes!J4/SER_hh_num!J4)</f>
        <v>36533.905540921209</v>
      </c>
      <c r="K4" s="131">
        <f>IF(SER_hh_tes!K4=0,0,11630*1000*SER_hh_tes!K4/SER_hh_num!K4)</f>
        <v>39894.237819840753</v>
      </c>
      <c r="L4" s="131">
        <f>IF(SER_hh_tes!L4=0,0,11630*1000*SER_hh_tes!L4/SER_hh_num!L4)</f>
        <v>37492.757128586039</v>
      </c>
      <c r="M4" s="131">
        <f>IF(SER_hh_tes!M4=0,0,11630*1000*SER_hh_tes!M4/SER_hh_num!M4)</f>
        <v>39880.820657105847</v>
      </c>
      <c r="N4" s="131">
        <f>IF(SER_hh_tes!N4=0,0,11630*1000*SER_hh_tes!N4/SER_hh_num!N4)</f>
        <v>43193.055872534431</v>
      </c>
      <c r="O4" s="131">
        <f>IF(SER_hh_tes!O4=0,0,11630*1000*SER_hh_tes!O4/SER_hh_num!O4)</f>
        <v>43354.523697226243</v>
      </c>
      <c r="P4" s="131">
        <f>IF(SER_hh_tes!P4=0,0,11630*1000*SER_hh_tes!P4/SER_hh_num!P4)</f>
        <v>51834.452375201181</v>
      </c>
      <c r="Q4" s="131">
        <f>IF(SER_hh_tes!Q4=0,0,11630*1000*SER_hh_tes!Q4/SER_hh_num!Q4)</f>
        <v>53312.8655230519</v>
      </c>
      <c r="R4" s="131">
        <f>IF(SER_hh_tes!R4=0,0,11630*1000*SER_hh_tes!R4/SER_hh_num!R4)</f>
        <v>48840.048291119092</v>
      </c>
      <c r="S4" s="131">
        <f>IF(SER_hh_tes!S4=0,0,11630*1000*SER_hh_tes!S4/SER_hh_num!S4)</f>
        <v>49397.674756322122</v>
      </c>
      <c r="T4" s="131">
        <f>IF(SER_hh_tes!T4=0,0,11630*1000*SER_hh_tes!T4/SER_hh_num!T4)</f>
        <v>53654.893602460863</v>
      </c>
      <c r="U4" s="131">
        <f>IF(SER_hh_tes!U4=0,0,11630*1000*SER_hh_tes!U4/SER_hh_num!U4)</f>
        <v>54576.658811410438</v>
      </c>
      <c r="V4" s="131">
        <f>IF(SER_hh_tes!V4=0,0,11630*1000*SER_hh_tes!V4/SER_hh_num!V4)</f>
        <v>49843.271817672045</v>
      </c>
      <c r="W4" s="131">
        <f>IF(SER_hh_tes!W4=0,0,11630*1000*SER_hh_tes!W4/SER_hh_num!W4)</f>
        <v>53156.05039999845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14744.93671049319</v>
      </c>
      <c r="C7" s="133">
        <f>IF(SER_hh_tes!C7=0,0,11630*1000*SER_hh_tes!C7/SER_hh_num!C7)</f>
        <v>16934.671330152731</v>
      </c>
      <c r="D7" s="133">
        <f>IF(SER_hh_tes!D7=0,0,11630*1000*SER_hh_tes!D7/SER_hh_num!D7)</f>
        <v>18332.486200119685</v>
      </c>
      <c r="E7" s="133">
        <f>IF(SER_hh_tes!E7=0,0,11630*1000*SER_hh_tes!E7/SER_hh_num!E7)</f>
        <v>20651.889553000339</v>
      </c>
      <c r="F7" s="133">
        <f>IF(SER_hh_tes!F7=0,0,11630*1000*SER_hh_tes!F7/SER_hh_num!F7)</f>
        <v>27564.277857931618</v>
      </c>
      <c r="G7" s="133">
        <f>IF(SER_hh_tes!G7=0,0,11630*1000*SER_hh_tes!G7/SER_hh_num!G7)</f>
        <v>33411.100435198299</v>
      </c>
      <c r="H7" s="133">
        <f>IF(SER_hh_tes!H7=0,0,11630*1000*SER_hh_tes!H7/SER_hh_num!H7)</f>
        <v>34661.37677394077</v>
      </c>
      <c r="I7" s="133">
        <f>IF(SER_hh_tes!I7=0,0,11630*1000*SER_hh_tes!I7/SER_hh_num!I7)</f>
        <v>36200.516254390321</v>
      </c>
      <c r="J7" s="133">
        <f>IF(SER_hh_tes!J7=0,0,11630*1000*SER_hh_tes!J7/SER_hh_num!J7)</f>
        <v>30232.133553725776</v>
      </c>
      <c r="K7" s="133">
        <f>IF(SER_hh_tes!K7=0,0,11630*1000*SER_hh_tes!K7/SER_hh_num!K7)</f>
        <v>45774.380668595149</v>
      </c>
      <c r="L7" s="133">
        <f>IF(SER_hh_tes!L7=0,0,11630*1000*SER_hh_tes!L7/SER_hh_num!L7)</f>
        <v>35213.266581584241</v>
      </c>
      <c r="M7" s="133">
        <f>IF(SER_hh_tes!M7=0,0,11630*1000*SER_hh_tes!M7/SER_hh_num!M7)</f>
        <v>33390.200820068654</v>
      </c>
      <c r="N7" s="133">
        <f>IF(SER_hh_tes!N7=0,0,11630*1000*SER_hh_tes!N7/SER_hh_num!N7)</f>
        <v>33829.443736780639</v>
      </c>
      <c r="O7" s="133">
        <f>IF(SER_hh_tes!O7=0,0,11630*1000*SER_hh_tes!O7/SER_hh_num!O7)</f>
        <v>42923.637415539146</v>
      </c>
      <c r="P7" s="133">
        <f>IF(SER_hh_tes!P7=0,0,11630*1000*SER_hh_tes!P7/SER_hh_num!P7)</f>
        <v>45085.281000295276</v>
      </c>
      <c r="Q7" s="133">
        <f>IF(SER_hh_tes!Q7=0,0,11630*1000*SER_hh_tes!Q7/SER_hh_num!Q7)</f>
        <v>58320.29125397501</v>
      </c>
      <c r="R7" s="133">
        <f>IF(SER_hh_tes!R7=0,0,11630*1000*SER_hh_tes!R7/SER_hh_num!R7)</f>
        <v>45000.294392473559</v>
      </c>
      <c r="S7" s="133">
        <f>IF(SER_hh_tes!S7=0,0,11630*1000*SER_hh_tes!S7/SER_hh_num!S7)</f>
        <v>45540.64288476111</v>
      </c>
      <c r="T7" s="133">
        <f>IF(SER_hh_tes!T7=0,0,11630*1000*SER_hh_tes!T7/SER_hh_num!T7)</f>
        <v>50927.72754926308</v>
      </c>
      <c r="U7" s="133">
        <f>IF(SER_hh_tes!U7=0,0,11630*1000*SER_hh_tes!U7/SER_hh_num!U7)</f>
        <v>52922.935211492993</v>
      </c>
      <c r="V7" s="133">
        <f>IF(SER_hh_tes!V7=0,0,11630*1000*SER_hh_tes!V7/SER_hh_num!V7)</f>
        <v>48394.075424480507</v>
      </c>
      <c r="W7" s="133">
        <f>IF(SER_hh_tes!W7=0,0,11630*1000*SER_hh_tes!W7/SER_hh_num!W7)</f>
        <v>43415.987249865648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14506.75448876763</v>
      </c>
      <c r="C8" s="133">
        <f>IF(SER_hh_tes!C8=0,0,11630*1000*SER_hh_tes!C8/SER_hh_num!C8)</f>
        <v>16022.303755581073</v>
      </c>
      <c r="D8" s="133">
        <f>IF(SER_hh_tes!D8=0,0,11630*1000*SER_hh_tes!D8/SER_hh_num!D8)</f>
        <v>19796.930760735115</v>
      </c>
      <c r="E8" s="133">
        <f>IF(SER_hh_tes!E8=0,0,11630*1000*SER_hh_tes!E8/SER_hh_num!E8)</f>
        <v>23772.497110482178</v>
      </c>
      <c r="F8" s="133">
        <f>IF(SER_hh_tes!F8=0,0,11630*1000*SER_hh_tes!F8/SER_hh_num!F8)</f>
        <v>26503.974556318346</v>
      </c>
      <c r="G8" s="133">
        <f>IF(SER_hh_tes!G8=0,0,11630*1000*SER_hh_tes!G8/SER_hh_num!G8)</f>
        <v>28051.861446674873</v>
      </c>
      <c r="H8" s="133">
        <f>IF(SER_hh_tes!H8=0,0,11630*1000*SER_hh_tes!H8/SER_hh_num!H8)</f>
        <v>32286.966630394021</v>
      </c>
      <c r="I8" s="133">
        <f>IF(SER_hh_tes!I8=0,0,11630*1000*SER_hh_tes!I8/SER_hh_num!I8)</f>
        <v>34602.608438836985</v>
      </c>
      <c r="J8" s="133">
        <f>IF(SER_hh_tes!J8=0,0,11630*1000*SER_hh_tes!J8/SER_hh_num!J8)</f>
        <v>37659.477537772291</v>
      </c>
      <c r="K8" s="133">
        <f>IF(SER_hh_tes!K8=0,0,11630*1000*SER_hh_tes!K8/SER_hh_num!K8)</f>
        <v>36534.083686340426</v>
      </c>
      <c r="L8" s="133">
        <f>IF(SER_hh_tes!L8=0,0,11630*1000*SER_hh_tes!L8/SER_hh_num!L8)</f>
        <v>37924.12850757171</v>
      </c>
      <c r="M8" s="133">
        <f>IF(SER_hh_tes!M8=0,0,11630*1000*SER_hh_tes!M8/SER_hh_num!M8)</f>
        <v>41195.417907513096</v>
      </c>
      <c r="N8" s="133">
        <f>IF(SER_hh_tes!N8=0,0,11630*1000*SER_hh_tes!N8/SER_hh_num!N8)</f>
        <v>42587.68924440573</v>
      </c>
      <c r="O8" s="133">
        <f>IF(SER_hh_tes!O8=0,0,11630*1000*SER_hh_tes!O8/SER_hh_num!O8)</f>
        <v>45925.66726785581</v>
      </c>
      <c r="P8" s="133">
        <f>IF(SER_hh_tes!P8=0,0,11630*1000*SER_hh_tes!P8/SER_hh_num!P8)</f>
        <v>50727.823612820757</v>
      </c>
      <c r="Q8" s="133">
        <f>IF(SER_hh_tes!Q8=0,0,11630*1000*SER_hh_tes!Q8/SER_hh_num!Q8)</f>
        <v>53243.465403436247</v>
      </c>
      <c r="R8" s="133">
        <f>IF(SER_hh_tes!R8=0,0,11630*1000*SER_hh_tes!R8/SER_hh_num!R8)</f>
        <v>51018.214590730262</v>
      </c>
      <c r="S8" s="133">
        <f>IF(SER_hh_tes!S8=0,0,11630*1000*SER_hh_tes!S8/SER_hh_num!S8)</f>
        <v>50021.574925505178</v>
      </c>
      <c r="T8" s="133">
        <f>IF(SER_hh_tes!T8=0,0,11630*1000*SER_hh_tes!T8/SER_hh_num!T8)</f>
        <v>50922.618567328813</v>
      </c>
      <c r="U8" s="133">
        <f>IF(SER_hh_tes!U8=0,0,11630*1000*SER_hh_tes!U8/SER_hh_num!U8)</f>
        <v>52127.966046387664</v>
      </c>
      <c r="V8" s="133">
        <f>IF(SER_hh_tes!V8=0,0,11630*1000*SER_hh_tes!V8/SER_hh_num!V8)</f>
        <v>50168.248284676098</v>
      </c>
      <c r="W8" s="133">
        <f>IF(SER_hh_tes!W8=0,0,11630*1000*SER_hh_tes!W8/SER_hh_num!W8)</f>
        <v>53802.353834475747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13923.247712128246</v>
      </c>
      <c r="C9" s="133">
        <f>IF(SER_hh_tes!C9=0,0,11630*1000*SER_hh_tes!C9/SER_hh_num!C9)</f>
        <v>15911.652920845105</v>
      </c>
      <c r="D9" s="133">
        <f>IF(SER_hh_tes!D9=0,0,11630*1000*SER_hh_tes!D9/SER_hh_num!D9)</f>
        <v>20242.153574354361</v>
      </c>
      <c r="E9" s="133">
        <f>IF(SER_hh_tes!E9=0,0,11630*1000*SER_hh_tes!E9/SER_hh_num!E9)</f>
        <v>21989.638723366923</v>
      </c>
      <c r="F9" s="133">
        <f>IF(SER_hh_tes!F9=0,0,11630*1000*SER_hh_tes!F9/SER_hh_num!F9)</f>
        <v>28168.206482957299</v>
      </c>
      <c r="G9" s="133">
        <f>IF(SER_hh_tes!G9=0,0,11630*1000*SER_hh_tes!G9/SER_hh_num!G9)</f>
        <v>28322.931189198905</v>
      </c>
      <c r="H9" s="133">
        <f>IF(SER_hh_tes!H9=0,0,11630*1000*SER_hh_tes!H9/SER_hh_num!H9)</f>
        <v>33292.128340261916</v>
      </c>
      <c r="I9" s="133">
        <f>IF(SER_hh_tes!I9=0,0,11630*1000*SER_hh_tes!I9/SER_hh_num!I9)</f>
        <v>35453.707309925128</v>
      </c>
      <c r="J9" s="133">
        <f>IF(SER_hh_tes!J9=0,0,11630*1000*SER_hh_tes!J9/SER_hh_num!J9)</f>
        <v>36576.662354402113</v>
      </c>
      <c r="K9" s="133">
        <f>IF(SER_hh_tes!K9=0,0,11630*1000*SER_hh_tes!K9/SER_hh_num!K9)</f>
        <v>40302.501828499859</v>
      </c>
      <c r="L9" s="133">
        <f>IF(SER_hh_tes!L9=0,0,11630*1000*SER_hh_tes!L9/SER_hh_num!L9)</f>
        <v>36055.644118410812</v>
      </c>
      <c r="M9" s="133">
        <f>IF(SER_hh_tes!M9=0,0,11630*1000*SER_hh_tes!M9/SER_hh_num!M9)</f>
        <v>41366.423320524023</v>
      </c>
      <c r="N9" s="133">
        <f>IF(SER_hh_tes!N9=0,0,11630*1000*SER_hh_tes!N9/SER_hh_num!N9)</f>
        <v>43367.10530285829</v>
      </c>
      <c r="O9" s="133">
        <f>IF(SER_hh_tes!O9=0,0,11630*1000*SER_hh_tes!O9/SER_hh_num!O9)</f>
        <v>43462.144490833001</v>
      </c>
      <c r="P9" s="133">
        <f>IF(SER_hh_tes!P9=0,0,11630*1000*SER_hh_tes!P9/SER_hh_num!P9)</f>
        <v>45627.427052245759</v>
      </c>
      <c r="Q9" s="133">
        <f>IF(SER_hh_tes!Q9=0,0,11630*1000*SER_hh_tes!Q9/SER_hh_num!Q9)</f>
        <v>48985.838002688375</v>
      </c>
      <c r="R9" s="133">
        <f>IF(SER_hh_tes!R9=0,0,11630*1000*SER_hh_tes!R9/SER_hh_num!R9)</f>
        <v>51342.540568737255</v>
      </c>
      <c r="S9" s="133">
        <f>IF(SER_hh_tes!S9=0,0,11630*1000*SER_hh_tes!S9/SER_hh_num!S9)</f>
        <v>50947.880331824046</v>
      </c>
      <c r="T9" s="133">
        <f>IF(SER_hh_tes!T9=0,0,11630*1000*SER_hh_tes!T9/SER_hh_num!T9)</f>
        <v>55236.456302206076</v>
      </c>
      <c r="U9" s="133">
        <f>IF(SER_hh_tes!U9=0,0,11630*1000*SER_hh_tes!U9/SER_hh_num!U9)</f>
        <v>52547.006307627169</v>
      </c>
      <c r="V9" s="133">
        <f>IF(SER_hh_tes!V9=0,0,11630*1000*SER_hh_tes!V9/SER_hh_num!V9)</f>
        <v>41246.368263116812</v>
      </c>
      <c r="W9" s="133">
        <f>IF(SER_hh_tes!W9=0,0,11630*1000*SER_hh_tes!W9/SER_hh_num!W9)</f>
        <v>59647.723656270849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0</v>
      </c>
      <c r="J10" s="133">
        <f>IF(SER_hh_tes!J10=0,0,11630*1000*SER_hh_tes!J10/SER_hh_num!J10)</f>
        <v>0</v>
      </c>
      <c r="K10" s="133">
        <f>IF(SER_hh_tes!K10=0,0,11630*1000*SER_hh_tes!K10/SER_hh_num!K10)</f>
        <v>0</v>
      </c>
      <c r="L10" s="133">
        <f>IF(SER_hh_tes!L10=0,0,11630*1000*SER_hh_tes!L10/SER_hh_num!L10)</f>
        <v>0</v>
      </c>
      <c r="M10" s="133">
        <f>IF(SER_hh_tes!M10=0,0,11630*1000*SER_hh_tes!M10/SER_hh_num!M10)</f>
        <v>58948.723759059227</v>
      </c>
      <c r="N10" s="133">
        <f>IF(SER_hh_tes!N10=0,0,11630*1000*SER_hh_tes!N10/SER_hh_num!N10)</f>
        <v>52984.56280899472</v>
      </c>
      <c r="O10" s="133">
        <f>IF(SER_hh_tes!O10=0,0,11630*1000*SER_hh_tes!O10/SER_hh_num!O10)</f>
        <v>38987.3317448421</v>
      </c>
      <c r="P10" s="133">
        <f>IF(SER_hh_tes!P10=0,0,11630*1000*SER_hh_tes!P10/SER_hh_num!P10)</f>
        <v>48981.231071728034</v>
      </c>
      <c r="Q10" s="133">
        <f>IF(SER_hh_tes!Q10=0,0,11630*1000*SER_hh_tes!Q10/SER_hh_num!Q10)</f>
        <v>49320.470511643412</v>
      </c>
      <c r="R10" s="133">
        <f>IF(SER_hh_tes!R10=0,0,11630*1000*SER_hh_tes!R10/SER_hh_num!R10)</f>
        <v>45790.821699239372</v>
      </c>
      <c r="S10" s="133">
        <f>IF(SER_hh_tes!S10=0,0,11630*1000*SER_hh_tes!S10/SER_hh_num!S10)</f>
        <v>58564.872774651245</v>
      </c>
      <c r="T10" s="133">
        <f>IF(SER_hh_tes!T10=0,0,11630*1000*SER_hh_tes!T10/SER_hh_num!T10)</f>
        <v>54687.104643848477</v>
      </c>
      <c r="U10" s="133">
        <f>IF(SER_hh_tes!U10=0,0,11630*1000*SER_hh_tes!U10/SER_hh_num!U10)</f>
        <v>51239.624162253065</v>
      </c>
      <c r="V10" s="133">
        <f>IF(SER_hh_tes!V10=0,0,11630*1000*SER_hh_tes!V10/SER_hh_num!V10)</f>
        <v>43178.438513007393</v>
      </c>
      <c r="W10" s="133">
        <f>IF(SER_hh_tes!W10=0,0,11630*1000*SER_hh_tes!W10/SER_hh_num!W10)</f>
        <v>56114.120366416086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15513.68029128434</v>
      </c>
      <c r="C11" s="133">
        <f>IF(SER_hh_tes!C11=0,0,11630*1000*SER_hh_tes!C11/SER_hh_num!C11)</f>
        <v>16667.668116763372</v>
      </c>
      <c r="D11" s="133">
        <f>IF(SER_hh_tes!D11=0,0,11630*1000*SER_hh_tes!D11/SER_hh_num!D11)</f>
        <v>18819.57839085974</v>
      </c>
      <c r="E11" s="133">
        <f>IF(SER_hh_tes!E11=0,0,11630*1000*SER_hh_tes!E11/SER_hh_num!E11)</f>
        <v>21885.77623380319</v>
      </c>
      <c r="F11" s="133">
        <f>IF(SER_hh_tes!F11=0,0,11630*1000*SER_hh_tes!F11/SER_hh_num!F11)</f>
        <v>25992.897227838945</v>
      </c>
      <c r="G11" s="133">
        <f>IF(SER_hh_tes!G11=0,0,11630*1000*SER_hh_tes!G11/SER_hh_num!G11)</f>
        <v>30352.016260774941</v>
      </c>
      <c r="H11" s="133">
        <f>IF(SER_hh_tes!H11=0,0,11630*1000*SER_hh_tes!H11/SER_hh_num!H11)</f>
        <v>33511.153722158393</v>
      </c>
      <c r="I11" s="133">
        <f>IF(SER_hh_tes!I11=0,0,11630*1000*SER_hh_tes!I11/SER_hh_num!I11)</f>
        <v>35616.068205103038</v>
      </c>
      <c r="J11" s="133">
        <f>IF(SER_hh_tes!J11=0,0,11630*1000*SER_hh_tes!J11/SER_hh_num!J11)</f>
        <v>36667.100834838391</v>
      </c>
      <c r="K11" s="133">
        <f>IF(SER_hh_tes!K11=0,0,11630*1000*SER_hh_tes!K11/SER_hh_num!K11)</f>
        <v>36107.243143334439</v>
      </c>
      <c r="L11" s="133">
        <f>IF(SER_hh_tes!L11=0,0,11630*1000*SER_hh_tes!L11/SER_hh_num!L11)</f>
        <v>33354.904767769098</v>
      </c>
      <c r="M11" s="133">
        <f>IF(SER_hh_tes!M11=0,0,11630*1000*SER_hh_tes!M11/SER_hh_num!M11)</f>
        <v>46202.557071612267</v>
      </c>
      <c r="N11" s="133">
        <f>IF(SER_hh_tes!N11=0,0,11630*1000*SER_hh_tes!N11/SER_hh_num!N11)</f>
        <v>46898.169038655891</v>
      </c>
      <c r="O11" s="133">
        <f>IF(SER_hh_tes!O11=0,0,11630*1000*SER_hh_tes!O11/SER_hh_num!O11)</f>
        <v>40890.904296661036</v>
      </c>
      <c r="P11" s="133">
        <f>IF(SER_hh_tes!P11=0,0,11630*1000*SER_hh_tes!P11/SER_hh_num!P11)</f>
        <v>46830.899926624363</v>
      </c>
      <c r="Q11" s="133">
        <f>IF(SER_hh_tes!Q11=0,0,11630*1000*SER_hh_tes!Q11/SER_hh_num!Q11)</f>
        <v>54108.434924172259</v>
      </c>
      <c r="R11" s="133">
        <f>IF(SER_hh_tes!R11=0,0,11630*1000*SER_hh_tes!R11/SER_hh_num!R11)</f>
        <v>46800.505438990585</v>
      </c>
      <c r="S11" s="133">
        <f>IF(SER_hh_tes!S11=0,0,11630*1000*SER_hh_tes!S11/SER_hh_num!S11)</f>
        <v>50443.0005476765</v>
      </c>
      <c r="T11" s="133">
        <f>IF(SER_hh_tes!T11=0,0,11630*1000*SER_hh_tes!T11/SER_hh_num!T11)</f>
        <v>55986.841520119153</v>
      </c>
      <c r="U11" s="133">
        <f>IF(SER_hh_tes!U11=0,0,11630*1000*SER_hh_tes!U11/SER_hh_num!U11)</f>
        <v>56967.287374342042</v>
      </c>
      <c r="V11" s="133">
        <f>IF(SER_hh_tes!V11=0,0,11630*1000*SER_hh_tes!V11/SER_hh_num!V11)</f>
        <v>47649.960418244089</v>
      </c>
      <c r="W11" s="133">
        <f>IF(SER_hh_tes!W11=0,0,11630*1000*SER_hh_tes!W11/SER_hh_num!W11)</f>
        <v>52459.052118394771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12764.754476195565</v>
      </c>
      <c r="C12" s="133">
        <f>IF(SER_hh_tes!C12=0,0,11630*1000*SER_hh_tes!C12/SER_hh_num!C12)</f>
        <v>16105.9373535573</v>
      </c>
      <c r="D12" s="133">
        <f>IF(SER_hh_tes!D12=0,0,11630*1000*SER_hh_tes!D12/SER_hh_num!D12)</f>
        <v>21810.223099673909</v>
      </c>
      <c r="E12" s="133">
        <f>IF(SER_hh_tes!E12=0,0,11630*1000*SER_hh_tes!E12/SER_hh_num!E12)</f>
        <v>22065.209560915282</v>
      </c>
      <c r="F12" s="133">
        <f>IF(SER_hh_tes!F12=0,0,11630*1000*SER_hh_tes!F12/SER_hh_num!F12)</f>
        <v>29918.422718491354</v>
      </c>
      <c r="G12" s="133">
        <f>IF(SER_hh_tes!G12=0,0,11630*1000*SER_hh_tes!G12/SER_hh_num!G12)</f>
        <v>28439.726817449471</v>
      </c>
      <c r="H12" s="133">
        <f>IF(SER_hh_tes!H12=0,0,11630*1000*SER_hh_tes!H12/SER_hh_num!H12)</f>
        <v>33623.832014242282</v>
      </c>
      <c r="I12" s="133">
        <f>IF(SER_hh_tes!I12=0,0,11630*1000*SER_hh_tes!I12/SER_hh_num!I12)</f>
        <v>37295.96533305203</v>
      </c>
      <c r="J12" s="133">
        <f>IF(SER_hh_tes!J12=0,0,11630*1000*SER_hh_tes!J12/SER_hh_num!J12)</f>
        <v>34758.486037067807</v>
      </c>
      <c r="K12" s="133">
        <f>IF(SER_hh_tes!K12=0,0,11630*1000*SER_hh_tes!K12/SER_hh_num!K12)</f>
        <v>31587.307329091578</v>
      </c>
      <c r="L12" s="133">
        <f>IF(SER_hh_tes!L12=0,0,11630*1000*SER_hh_tes!L12/SER_hh_num!L12)</f>
        <v>41914.305826527569</v>
      </c>
      <c r="M12" s="133">
        <f>IF(SER_hh_tes!M12=0,0,11630*1000*SER_hh_tes!M12/SER_hh_num!M12)</f>
        <v>36117.626176626247</v>
      </c>
      <c r="N12" s="133">
        <f>IF(SER_hh_tes!N12=0,0,11630*1000*SER_hh_tes!N12/SER_hh_num!N12)</f>
        <v>47195.136740739581</v>
      </c>
      <c r="O12" s="133">
        <f>IF(SER_hh_tes!O12=0,0,11630*1000*SER_hh_tes!O12/SER_hh_num!O12)</f>
        <v>47317.013756797031</v>
      </c>
      <c r="P12" s="133">
        <f>IF(SER_hh_tes!P12=0,0,11630*1000*SER_hh_tes!P12/SER_hh_num!P12)</f>
        <v>50279.587441194926</v>
      </c>
      <c r="Q12" s="133">
        <f>IF(SER_hh_tes!Q12=0,0,11630*1000*SER_hh_tes!Q12/SER_hh_num!Q12)</f>
        <v>49441.939840315958</v>
      </c>
      <c r="R12" s="133">
        <f>IF(SER_hh_tes!R12=0,0,11630*1000*SER_hh_tes!R12/SER_hh_num!R12)</f>
        <v>47327.329735486928</v>
      </c>
      <c r="S12" s="133">
        <f>IF(SER_hh_tes!S12=0,0,11630*1000*SER_hh_tes!S12/SER_hh_num!S12)</f>
        <v>52473.685158148764</v>
      </c>
      <c r="T12" s="133">
        <f>IF(SER_hh_tes!T12=0,0,11630*1000*SER_hh_tes!T12/SER_hh_num!T12)</f>
        <v>52632.654284251301</v>
      </c>
      <c r="U12" s="133">
        <f>IF(SER_hh_tes!U12=0,0,11630*1000*SER_hh_tes!U12/SER_hh_num!U12)</f>
        <v>52204.458350276422</v>
      </c>
      <c r="V12" s="133">
        <f>IF(SER_hh_tes!V12=0,0,11630*1000*SER_hh_tes!V12/SER_hh_num!V12)</f>
        <v>50626.095560179005</v>
      </c>
      <c r="W12" s="133">
        <f>IF(SER_hh_tes!W12=0,0,11630*1000*SER_hh_tes!W12/SER_hh_num!W12)</f>
        <v>52862.85513740153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14005.358010355814</v>
      </c>
      <c r="C13" s="133">
        <f>IF(SER_hh_tes!C13=0,0,11630*1000*SER_hh_tes!C13/SER_hh_num!C13)</f>
        <v>16219.743660776328</v>
      </c>
      <c r="D13" s="133">
        <f>IF(SER_hh_tes!D13=0,0,11630*1000*SER_hh_tes!D13/SER_hh_num!D13)</f>
        <v>14759.360930381046</v>
      </c>
      <c r="E13" s="133">
        <f>IF(SER_hh_tes!E13=0,0,11630*1000*SER_hh_tes!E13/SER_hh_num!E13)</f>
        <v>25450.218138151358</v>
      </c>
      <c r="F13" s="133">
        <f>IF(SER_hh_tes!F13=0,0,11630*1000*SER_hh_tes!F13/SER_hh_num!F13)</f>
        <v>24046.616847500289</v>
      </c>
      <c r="G13" s="133">
        <f>IF(SER_hh_tes!G13=0,0,11630*1000*SER_hh_tes!G13/SER_hh_num!G13)</f>
        <v>30909.808644807497</v>
      </c>
      <c r="H13" s="133">
        <f>IF(SER_hh_tes!H13=0,0,11630*1000*SER_hh_tes!H13/SER_hh_num!H13)</f>
        <v>33879.336874865672</v>
      </c>
      <c r="I13" s="133">
        <f>IF(SER_hh_tes!I13=0,0,11630*1000*SER_hh_tes!I13/SER_hh_num!I13)</f>
        <v>35219.941215498591</v>
      </c>
      <c r="J13" s="133">
        <f>IF(SER_hh_tes!J13=0,0,11630*1000*SER_hh_tes!J13/SER_hh_num!J13)</f>
        <v>38476.305012162244</v>
      </c>
      <c r="K13" s="133">
        <f>IF(SER_hh_tes!K13=0,0,11630*1000*SER_hh_tes!K13/SER_hh_num!K13)</f>
        <v>36918.826676420977</v>
      </c>
      <c r="L13" s="133">
        <f>IF(SER_hh_tes!L13=0,0,11630*1000*SER_hh_tes!L13/SER_hh_num!L13)</f>
        <v>39184.235611642456</v>
      </c>
      <c r="M13" s="133">
        <f>IF(SER_hh_tes!M13=0,0,11630*1000*SER_hh_tes!M13/SER_hh_num!M13)</f>
        <v>39747.028426260033</v>
      </c>
      <c r="N13" s="133">
        <f>IF(SER_hh_tes!N13=0,0,11630*1000*SER_hh_tes!N13/SER_hh_num!N13)</f>
        <v>43566.997999410414</v>
      </c>
      <c r="O13" s="133">
        <f>IF(SER_hh_tes!O13=0,0,11630*1000*SER_hh_tes!O13/SER_hh_num!O13)</f>
        <v>45419.316141994263</v>
      </c>
      <c r="P13" s="133">
        <f>IF(SER_hh_tes!P13=0,0,11630*1000*SER_hh_tes!P13/SER_hh_num!P13)</f>
        <v>52022.937103590826</v>
      </c>
      <c r="Q13" s="133">
        <f>IF(SER_hh_tes!Q13=0,0,11630*1000*SER_hh_tes!Q13/SER_hh_num!Q13)</f>
        <v>51459.270494288343</v>
      </c>
      <c r="R13" s="133">
        <f>IF(SER_hh_tes!R13=0,0,11630*1000*SER_hh_tes!R13/SER_hh_num!R13)</f>
        <v>50111.855595567824</v>
      </c>
      <c r="S13" s="133">
        <f>IF(SER_hh_tes!S13=0,0,11630*1000*SER_hh_tes!S13/SER_hh_num!S13)</f>
        <v>50671.746918417215</v>
      </c>
      <c r="T13" s="133">
        <f>IF(SER_hh_tes!T13=0,0,11630*1000*SER_hh_tes!T13/SER_hh_num!T13)</f>
        <v>51794.209555505717</v>
      </c>
      <c r="U13" s="133">
        <f>IF(SER_hh_tes!U13=0,0,11630*1000*SER_hh_tes!U13/SER_hh_num!U13)</f>
        <v>52481.887929385819</v>
      </c>
      <c r="V13" s="133">
        <f>IF(SER_hh_tes!V13=0,0,11630*1000*SER_hh_tes!V13/SER_hh_num!V13)</f>
        <v>51736.023215647387</v>
      </c>
      <c r="W13" s="133">
        <f>IF(SER_hh_tes!W13=0,0,11630*1000*SER_hh_tes!W13/SER_hh_num!W13)</f>
        <v>52400.804276658811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15558.111462700581</v>
      </c>
      <c r="C14" s="65">
        <f>IF(SER_hh_tes!C14=0,0,11630*1000*SER_hh_tes!C14/SER_hh_num!C14)</f>
        <v>16559.571607785252</v>
      </c>
      <c r="D14" s="65">
        <f>IF(SER_hh_tes!D14=0,0,11630*1000*SER_hh_tes!D14/SER_hh_num!D14)</f>
        <v>18566.69286426319</v>
      </c>
      <c r="E14" s="65">
        <f>IF(SER_hh_tes!E14=0,0,11630*1000*SER_hh_tes!E14/SER_hh_num!E14)</f>
        <v>20497.782191075694</v>
      </c>
      <c r="F14" s="65">
        <f>IF(SER_hh_tes!F14=0,0,11630*1000*SER_hh_tes!F14/SER_hh_num!F14)</f>
        <v>27457.771590488144</v>
      </c>
      <c r="G14" s="65">
        <f>IF(SER_hh_tes!G14=0,0,11630*1000*SER_hh_tes!G14/SER_hh_num!G14)</f>
        <v>33379.137528739368</v>
      </c>
      <c r="H14" s="65">
        <f>IF(SER_hh_tes!H14=0,0,11630*1000*SER_hh_tes!H14/SER_hh_num!H14)</f>
        <v>33516.214507916906</v>
      </c>
      <c r="I14" s="65">
        <f>IF(SER_hh_tes!I14=0,0,11630*1000*SER_hh_tes!I14/SER_hh_num!I14)</f>
        <v>39209.069276036636</v>
      </c>
      <c r="J14" s="65">
        <f>IF(SER_hh_tes!J14=0,0,11630*1000*SER_hh_tes!J14/SER_hh_num!J14)</f>
        <v>38687.565581260795</v>
      </c>
      <c r="K14" s="65">
        <f>IF(SER_hh_tes!K14=0,0,11630*1000*SER_hh_tes!K14/SER_hh_num!K14)</f>
        <v>41459.676453475819</v>
      </c>
      <c r="L14" s="65">
        <f>IF(SER_hh_tes!L14=0,0,11630*1000*SER_hh_tes!L14/SER_hh_num!L14)</f>
        <v>30794.729323147432</v>
      </c>
      <c r="M14" s="65">
        <f>IF(SER_hh_tes!M14=0,0,11630*1000*SER_hh_tes!M14/SER_hh_num!M14)</f>
        <v>43446.516021200667</v>
      </c>
      <c r="N14" s="65">
        <f>IF(SER_hh_tes!N14=0,0,11630*1000*SER_hh_tes!N14/SER_hh_num!N14)</f>
        <v>43319.319008571205</v>
      </c>
      <c r="O14" s="65">
        <f>IF(SER_hh_tes!O14=0,0,11630*1000*SER_hh_tes!O14/SER_hh_num!O14)</f>
        <v>11732.042274706215</v>
      </c>
      <c r="P14" s="65">
        <f>IF(SER_hh_tes!P14=0,0,11630*1000*SER_hh_tes!P14/SER_hh_num!P14)</f>
        <v>63246.04832296219</v>
      </c>
      <c r="Q14" s="65">
        <f>IF(SER_hh_tes!Q14=0,0,11630*1000*SER_hh_tes!Q14/SER_hh_num!Q14)</f>
        <v>76639.125383843653</v>
      </c>
      <c r="R14" s="65">
        <f>IF(SER_hh_tes!R14=0,0,11630*1000*SER_hh_tes!R14/SER_hh_num!R14)</f>
        <v>30100.60027159013</v>
      </c>
      <c r="S14" s="65">
        <f>IF(SER_hh_tes!S14=0,0,11630*1000*SER_hh_tes!S14/SER_hh_num!S14)</f>
        <v>31239.776040918307</v>
      </c>
      <c r="T14" s="65">
        <f>IF(SER_hh_tes!T14=0,0,11630*1000*SER_hh_tes!T14/SER_hh_num!T14)</f>
        <v>67368.386561306179</v>
      </c>
      <c r="U14" s="65">
        <f>IF(SER_hh_tes!U14=0,0,11630*1000*SER_hh_tes!U14/SER_hh_num!U14)</f>
        <v>74446.146616982223</v>
      </c>
      <c r="V14" s="65">
        <f>IF(SER_hh_tes!V14=0,0,11630*1000*SER_hh_tes!V14/SER_hh_num!V14)</f>
        <v>40609.342806745073</v>
      </c>
      <c r="W14" s="65">
        <f>IF(SER_hh_tes!W14=0,0,11630*1000*SER_hh_tes!W14/SER_hh_num!W14)</f>
        <v>56411.816828585761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286.74737527047853</v>
      </c>
      <c r="C15" s="135">
        <f>IF(SER_hh_tes!C15=0,0,11630*1000*SER_hh_tes!C15/SER_hh_num!C15)</f>
        <v>320.96024321676634</v>
      </c>
      <c r="D15" s="135">
        <f>IF(SER_hh_tes!D15=0,0,11630*1000*SER_hh_tes!D15/SER_hh_num!D15)</f>
        <v>350.21556852329837</v>
      </c>
      <c r="E15" s="135">
        <f>IF(SER_hh_tes!E15=0,0,11630*1000*SER_hh_tes!E15/SER_hh_num!E15)</f>
        <v>383.60090370564797</v>
      </c>
      <c r="F15" s="135">
        <f>IF(SER_hh_tes!F15=0,0,11630*1000*SER_hh_tes!F15/SER_hh_num!F15)</f>
        <v>498.51524448261802</v>
      </c>
      <c r="G15" s="135">
        <f>IF(SER_hh_tes!G15=0,0,11630*1000*SER_hh_tes!G15/SER_hh_num!G15)</f>
        <v>572.32329036501494</v>
      </c>
      <c r="H15" s="135">
        <f>IF(SER_hh_tes!H15=0,0,11630*1000*SER_hh_tes!H15/SER_hh_num!H15)</f>
        <v>598.15142303203208</v>
      </c>
      <c r="I15" s="135">
        <f>IF(SER_hh_tes!I15=0,0,11630*1000*SER_hh_tes!I15/SER_hh_num!I15)</f>
        <v>616.63204255901394</v>
      </c>
      <c r="J15" s="135">
        <f>IF(SER_hh_tes!J15=0,0,11630*1000*SER_hh_tes!J15/SER_hh_num!J15)</f>
        <v>544.67531473436566</v>
      </c>
      <c r="K15" s="135">
        <f>IF(SER_hh_tes!K15=0,0,11630*1000*SER_hh_tes!K15/SER_hh_num!K15)</f>
        <v>716.73089760383198</v>
      </c>
      <c r="L15" s="135">
        <f>IF(SER_hh_tes!L15=0,0,11630*1000*SER_hh_tes!L15/SER_hh_num!L15)</f>
        <v>571.61394924875628</v>
      </c>
      <c r="M15" s="135">
        <f>IF(SER_hh_tes!M15=0,0,11630*1000*SER_hh_tes!M15/SER_hh_num!M15)</f>
        <v>586.13465244229906</v>
      </c>
      <c r="N15" s="135">
        <f>IF(SER_hh_tes!N15=0,0,11630*1000*SER_hh_tes!N15/SER_hh_num!N15)</f>
        <v>597.21568290003154</v>
      </c>
      <c r="O15" s="135">
        <f>IF(SER_hh_tes!O15=0,0,11630*1000*SER_hh_tes!O15/SER_hh_num!O15)</f>
        <v>623.29906062675184</v>
      </c>
      <c r="P15" s="135">
        <f>IF(SER_hh_tes!P15=0,0,11630*1000*SER_hh_tes!P15/SER_hh_num!P15)</f>
        <v>649.37279136227846</v>
      </c>
      <c r="Q15" s="135">
        <f>IF(SER_hh_tes!Q15=0,0,11630*1000*SER_hh_tes!Q15/SER_hh_num!Q15)</f>
        <v>729.53037240394895</v>
      </c>
      <c r="R15" s="135">
        <f>IF(SER_hh_tes!R15=0,0,11630*1000*SER_hh_tes!R15/SER_hh_num!R15)</f>
        <v>700.11056001057682</v>
      </c>
      <c r="S15" s="135">
        <f>IF(SER_hh_tes!S15=0,0,11630*1000*SER_hh_tes!S15/SER_hh_num!S15)</f>
        <v>700.66459946704958</v>
      </c>
      <c r="T15" s="135">
        <f>IF(SER_hh_tes!T15=0,0,11630*1000*SER_hh_tes!T15/SER_hh_num!T15)</f>
        <v>755.22552870237064</v>
      </c>
      <c r="U15" s="135">
        <f>IF(SER_hh_tes!U15=0,0,11630*1000*SER_hh_tes!U15/SER_hh_num!U15)</f>
        <v>729.95004071307062</v>
      </c>
      <c r="V15" s="135">
        <f>IF(SER_hh_tes!V15=0,0,11630*1000*SER_hh_tes!V15/SER_hh_num!V15)</f>
        <v>597.09663615164288</v>
      </c>
      <c r="W15" s="135">
        <f>IF(SER_hh_tes!W15=0,0,11630*1000*SER_hh_tes!W15/SER_hh_num!W15)</f>
        <v>756.1614144590867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23204.711081818121</v>
      </c>
      <c r="C16" s="131">
        <f>IF(SER_hh_tes!C16=0,0,11630*1000*SER_hh_tes!C16/SER_hh_num!C16)</f>
        <v>23069.0255142307</v>
      </c>
      <c r="D16" s="131">
        <f>IF(SER_hh_tes!D16=0,0,11630*1000*SER_hh_tes!D16/SER_hh_num!D16)</f>
        <v>20710.988146419444</v>
      </c>
      <c r="E16" s="131">
        <f>IF(SER_hh_tes!E16=0,0,11630*1000*SER_hh_tes!E16/SER_hh_num!E16)</f>
        <v>29556.363324255446</v>
      </c>
      <c r="F16" s="131">
        <f>IF(SER_hh_tes!F16=0,0,11630*1000*SER_hh_tes!F16/SER_hh_num!F16)</f>
        <v>24718.45358889268</v>
      </c>
      <c r="G16" s="131">
        <f>IF(SER_hh_tes!G16=0,0,11630*1000*SER_hh_tes!G16/SER_hh_num!G16)</f>
        <v>27339.910336534183</v>
      </c>
      <c r="H16" s="131">
        <f>IF(SER_hh_tes!H16=0,0,11630*1000*SER_hh_tes!H16/SER_hh_num!H16)</f>
        <v>33169.161509585203</v>
      </c>
      <c r="I16" s="131">
        <f>IF(SER_hh_tes!I16=0,0,11630*1000*SER_hh_tes!I16/SER_hh_num!I16)</f>
        <v>21637.667563450508</v>
      </c>
      <c r="J16" s="131">
        <f>IF(SER_hh_tes!J16=0,0,11630*1000*SER_hh_tes!J16/SER_hh_num!J16)</f>
        <v>21181.237550443882</v>
      </c>
      <c r="K16" s="131">
        <f>IF(SER_hh_tes!K16=0,0,11630*1000*SER_hh_tes!K16/SER_hh_num!K16)</f>
        <v>25932.657262666613</v>
      </c>
      <c r="L16" s="131">
        <f>IF(SER_hh_tes!L16=0,0,11630*1000*SER_hh_tes!L16/SER_hh_num!L16)</f>
        <v>35793.018616578673</v>
      </c>
      <c r="M16" s="131">
        <f>IF(SER_hh_tes!M16=0,0,11630*1000*SER_hh_tes!M16/SER_hh_num!M16)</f>
        <v>23649.619745974909</v>
      </c>
      <c r="N16" s="131">
        <f>IF(SER_hh_tes!N16=0,0,11630*1000*SER_hh_tes!N16/SER_hh_num!N16)</f>
        <v>24985.815920309178</v>
      </c>
      <c r="O16" s="131">
        <f>IF(SER_hh_tes!O16=0,0,11630*1000*SER_hh_tes!O16/SER_hh_num!O16)</f>
        <v>32510.973593418687</v>
      </c>
      <c r="P16" s="131">
        <f>IF(SER_hh_tes!P16=0,0,11630*1000*SER_hh_tes!P16/SER_hh_num!P16)</f>
        <v>21984.387131759249</v>
      </c>
      <c r="Q16" s="131">
        <f>IF(SER_hh_tes!Q16=0,0,11630*1000*SER_hh_tes!Q16/SER_hh_num!Q16)</f>
        <v>25921.215835968462</v>
      </c>
      <c r="R16" s="131">
        <f>IF(SER_hh_tes!R16=0,0,11630*1000*SER_hh_tes!R16/SER_hh_num!R16)</f>
        <v>38968.120900602225</v>
      </c>
      <c r="S16" s="131">
        <f>IF(SER_hh_tes!S16=0,0,11630*1000*SER_hh_tes!S16/SER_hh_num!S16)</f>
        <v>37201.276201121385</v>
      </c>
      <c r="T16" s="131">
        <f>IF(SER_hh_tes!T16=0,0,11630*1000*SER_hh_tes!T16/SER_hh_num!T16)</f>
        <v>32044.31805021354</v>
      </c>
      <c r="U16" s="131">
        <f>IF(SER_hh_tes!U16=0,0,11630*1000*SER_hh_tes!U16/SER_hh_num!U16)</f>
        <v>25277.937307974702</v>
      </c>
      <c r="V16" s="131">
        <f>IF(SER_hh_tes!V16=0,0,11630*1000*SER_hh_tes!V16/SER_hh_num!V16)</f>
        <v>37352.970253239422</v>
      </c>
      <c r="W16" s="131">
        <f>IF(SER_hh_tes!W16=0,0,11630*1000*SER_hh_tes!W16/SER_hh_num!W16)</f>
        <v>23654.475898050994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23204.711081818125</v>
      </c>
      <c r="C17" s="133">
        <f>IF(SER_hh_tes!C17=0,0,11630*1000*SER_hh_tes!C17/SER_hh_num!C17)</f>
        <v>23069.085910501155</v>
      </c>
      <c r="D17" s="133">
        <f>IF(SER_hh_tes!D17=0,0,11630*1000*SER_hh_tes!D17/SER_hh_num!D17)</f>
        <v>20711.002459830637</v>
      </c>
      <c r="E17" s="133">
        <f>IF(SER_hh_tes!E17=0,0,11630*1000*SER_hh_tes!E17/SER_hh_num!E17)</f>
        <v>29556.344457037969</v>
      </c>
      <c r="F17" s="133">
        <f>IF(SER_hh_tes!F17=0,0,11630*1000*SER_hh_tes!F17/SER_hh_num!F17)</f>
        <v>24718.418172010315</v>
      </c>
      <c r="G17" s="133">
        <f>IF(SER_hh_tes!G17=0,0,11630*1000*SER_hh_tes!G17/SER_hh_num!G17)</f>
        <v>27339.867472483667</v>
      </c>
      <c r="H17" s="133">
        <f>IF(SER_hh_tes!H17=0,0,11630*1000*SER_hh_tes!H17/SER_hh_num!H17)</f>
        <v>33169.128359282935</v>
      </c>
      <c r="I17" s="133">
        <f>IF(SER_hh_tes!I17=0,0,11630*1000*SER_hh_tes!I17/SER_hh_num!I17)</f>
        <v>21637.664138695091</v>
      </c>
      <c r="J17" s="133">
        <f>IF(SER_hh_tes!J17=0,0,11630*1000*SER_hh_tes!J17/SER_hh_num!J17)</f>
        <v>21181.247695932208</v>
      </c>
      <c r="K17" s="133">
        <f>IF(SER_hh_tes!K17=0,0,11630*1000*SER_hh_tes!K17/SER_hh_num!K17)</f>
        <v>25932.679908533391</v>
      </c>
      <c r="L17" s="133">
        <f>IF(SER_hh_tes!L17=0,0,11630*1000*SER_hh_tes!L17/SER_hh_num!L17)</f>
        <v>35793.064575980505</v>
      </c>
      <c r="M17" s="133">
        <f>IF(SER_hh_tes!M17=0,0,11630*1000*SER_hh_tes!M17/SER_hh_num!M17)</f>
        <v>23649.658850676537</v>
      </c>
      <c r="N17" s="133">
        <f>IF(SER_hh_tes!N17=0,0,11630*1000*SER_hh_tes!N17/SER_hh_num!N17)</f>
        <v>24985.806743864658</v>
      </c>
      <c r="O17" s="133">
        <f>IF(SER_hh_tes!O17=0,0,11630*1000*SER_hh_tes!O17/SER_hh_num!O17)</f>
        <v>32510.912294178717</v>
      </c>
      <c r="P17" s="133">
        <f>IF(SER_hh_tes!P17=0,0,11630*1000*SER_hh_tes!P17/SER_hh_num!P17)</f>
        <v>21984.32922511395</v>
      </c>
      <c r="Q17" s="133">
        <f>IF(SER_hh_tes!Q17=0,0,11630*1000*SER_hh_tes!Q17/SER_hh_num!Q17)</f>
        <v>25921.15537639488</v>
      </c>
      <c r="R17" s="133">
        <f>IF(SER_hh_tes!R17=0,0,11630*1000*SER_hh_tes!R17/SER_hh_num!R17)</f>
        <v>38968.080204669568</v>
      </c>
      <c r="S17" s="133">
        <f>IF(SER_hh_tes!S17=0,0,11630*1000*SER_hh_tes!S17/SER_hh_num!S17)</f>
        <v>37201.297306595981</v>
      </c>
      <c r="T17" s="133">
        <f>IF(SER_hh_tes!T17=0,0,11630*1000*SER_hh_tes!T17/SER_hh_num!T17)</f>
        <v>31745.249192111027</v>
      </c>
      <c r="U17" s="133">
        <f>IF(SER_hh_tes!U17=0,0,11630*1000*SER_hh_tes!U17/SER_hh_num!U17)</f>
        <v>25277.994378601408</v>
      </c>
      <c r="V17" s="133">
        <f>IF(SER_hh_tes!V17=0,0,11630*1000*SER_hh_tes!V17/SER_hh_num!V17)</f>
        <v>34911.943101976249</v>
      </c>
      <c r="W17" s="133">
        <f>IF(SER_hh_tes!W17=0,0,11630*1000*SER_hh_tes!W17/SER_hh_num!W17)</f>
        <v>22899.397536649343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23204.711081818121</v>
      </c>
      <c r="C18" s="133">
        <f>IF(SER_hh_tes!C18=0,0,11630*1000*SER_hh_tes!C18/SER_hh_num!C18)</f>
        <v>23069.025359865231</v>
      </c>
      <c r="D18" s="133">
        <f>IF(SER_hh_tes!D18=0,0,11630*1000*SER_hh_tes!D18/SER_hh_num!D18)</f>
        <v>20710.988113129621</v>
      </c>
      <c r="E18" s="133">
        <f>IF(SER_hh_tes!E18=0,0,11630*1000*SER_hh_tes!E18/SER_hh_num!E18)</f>
        <v>29556.363364407505</v>
      </c>
      <c r="F18" s="133">
        <f>IF(SER_hh_tes!F18=0,0,11630*1000*SER_hh_tes!F18/SER_hh_num!F18)</f>
        <v>24718.45367492985</v>
      </c>
      <c r="G18" s="133">
        <f>IF(SER_hh_tes!G18=0,0,11630*1000*SER_hh_tes!G18/SER_hh_num!G18)</f>
        <v>27339.910441424086</v>
      </c>
      <c r="H18" s="133">
        <f>IF(SER_hh_tes!H18=0,0,11630*1000*SER_hh_tes!H18/SER_hh_num!H18)</f>
        <v>33169.161593897559</v>
      </c>
      <c r="I18" s="133">
        <f>IF(SER_hh_tes!I18=0,0,11630*1000*SER_hh_tes!I18/SER_hh_num!I18)</f>
        <v>21637.6675743345</v>
      </c>
      <c r="J18" s="133">
        <f>IF(SER_hh_tes!J18=0,0,11630*1000*SER_hh_tes!J18/SER_hh_num!J18)</f>
        <v>21181.237513738633</v>
      </c>
      <c r="K18" s="133">
        <f>IF(SER_hh_tes!K18=0,0,11630*1000*SER_hh_tes!K18/SER_hh_num!K18)</f>
        <v>25932.657164523651</v>
      </c>
      <c r="L18" s="133">
        <f>IF(SER_hh_tes!L18=0,0,11630*1000*SER_hh_tes!L18/SER_hh_num!L18)</f>
        <v>35793.018413197438</v>
      </c>
      <c r="M18" s="133">
        <f>IF(SER_hh_tes!M18=0,0,11630*1000*SER_hh_tes!M18/SER_hh_num!M18)</f>
        <v>23649.619547321396</v>
      </c>
      <c r="N18" s="133">
        <f>IF(SER_hh_tes!N18=0,0,11630*1000*SER_hh_tes!N18/SER_hh_num!N18)</f>
        <v>24985.815969585608</v>
      </c>
      <c r="O18" s="133">
        <f>IF(SER_hh_tes!O18=0,0,11630*1000*SER_hh_tes!O18/SER_hh_num!O18)</f>
        <v>32510.973965543857</v>
      </c>
      <c r="P18" s="133">
        <f>IF(SER_hh_tes!P18=0,0,11630*1000*SER_hh_tes!P18/SER_hh_num!P18)</f>
        <v>21984.38752536484</v>
      </c>
      <c r="Q18" s="133">
        <f>IF(SER_hh_tes!Q18=0,0,11630*1000*SER_hh_tes!Q18/SER_hh_num!Q18)</f>
        <v>25921.216319458923</v>
      </c>
      <c r="R18" s="133">
        <f>IF(SER_hh_tes!R18=0,0,11630*1000*SER_hh_tes!R18/SER_hh_num!R18)</f>
        <v>38968.121297086931</v>
      </c>
      <c r="S18" s="133">
        <f>IF(SER_hh_tes!S18=0,0,11630*1000*SER_hh_tes!S18/SER_hh_num!S18)</f>
        <v>37201.275970359893</v>
      </c>
      <c r="T18" s="133">
        <f>IF(SER_hh_tes!T18=0,0,11630*1000*SER_hh_tes!T18/SER_hh_num!T18)</f>
        <v>32047.961135089532</v>
      </c>
      <c r="U18" s="133">
        <f>IF(SER_hh_tes!U18=0,0,11630*1000*SER_hh_tes!U18/SER_hh_num!U18)</f>
        <v>25277.936531888812</v>
      </c>
      <c r="V18" s="133">
        <f>IF(SER_hh_tes!V18=0,0,11630*1000*SER_hh_tes!V18/SER_hh_num!V18)</f>
        <v>37388.574367488858</v>
      </c>
      <c r="W18" s="133">
        <f>IF(SER_hh_tes!W18=0,0,11630*1000*SER_hh_tes!W18/SER_hh_num!W18)</f>
        <v>23665.760757254178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8145.8093484080464</v>
      </c>
      <c r="C19" s="131">
        <f>IF(SER_hh_tes!C19=0,0,11630*1000*SER_hh_tes!C19/SER_hh_num!C19)</f>
        <v>8263.2667807874514</v>
      </c>
      <c r="D19" s="131">
        <f>IF(SER_hh_tes!D19=0,0,11630*1000*SER_hh_tes!D19/SER_hh_num!D19)</f>
        <v>8445.8421319439421</v>
      </c>
      <c r="E19" s="131">
        <f>IF(SER_hh_tes!E19=0,0,11630*1000*SER_hh_tes!E19/SER_hh_num!E19)</f>
        <v>8392.3214514177635</v>
      </c>
      <c r="F19" s="131">
        <f>IF(SER_hh_tes!F19=0,0,11630*1000*SER_hh_tes!F19/SER_hh_num!F19)</f>
        <v>8494.618517250834</v>
      </c>
      <c r="G19" s="131">
        <f>IF(SER_hh_tes!G19=0,0,11630*1000*SER_hh_tes!G19/SER_hh_num!G19)</f>
        <v>8542.7721305247524</v>
      </c>
      <c r="H19" s="131">
        <f>IF(SER_hh_tes!H19=0,0,11630*1000*SER_hh_tes!H19/SER_hh_num!H19)</f>
        <v>8462.0451798190716</v>
      </c>
      <c r="I19" s="131">
        <f>IF(SER_hh_tes!I19=0,0,11630*1000*SER_hh_tes!I19/SER_hh_num!I19)</f>
        <v>8589.7672239395415</v>
      </c>
      <c r="J19" s="131">
        <f>IF(SER_hh_tes!J19=0,0,11630*1000*SER_hh_tes!J19/SER_hh_num!J19)</f>
        <v>8613.176545599239</v>
      </c>
      <c r="K19" s="131">
        <f>IF(SER_hh_tes!K19=0,0,11630*1000*SER_hh_tes!K19/SER_hh_num!K19)</f>
        <v>8765.4778331304042</v>
      </c>
      <c r="L19" s="131">
        <f>IF(SER_hh_tes!L19=0,0,11630*1000*SER_hh_tes!L19/SER_hh_num!L19)</f>
        <v>8821.9860106727119</v>
      </c>
      <c r="M19" s="131">
        <f>IF(SER_hh_tes!M19=0,0,11630*1000*SER_hh_tes!M19/SER_hh_num!M19)</f>
        <v>9174.944145343241</v>
      </c>
      <c r="N19" s="131">
        <f>IF(SER_hh_tes!N19=0,0,11630*1000*SER_hh_tes!N19/SER_hh_num!N19)</f>
        <v>9062.7875723342859</v>
      </c>
      <c r="O19" s="131">
        <f>IF(SER_hh_tes!O19=0,0,11630*1000*SER_hh_tes!O19/SER_hh_num!O19)</f>
        <v>9063.417233614804</v>
      </c>
      <c r="P19" s="131">
        <f>IF(SER_hh_tes!P19=0,0,11630*1000*SER_hh_tes!P19/SER_hh_num!P19)</f>
        <v>9162.5369309365069</v>
      </c>
      <c r="Q19" s="131">
        <f>IF(SER_hh_tes!Q19=0,0,11630*1000*SER_hh_tes!Q19/SER_hh_num!Q19)</f>
        <v>9286.5479407832736</v>
      </c>
      <c r="R19" s="131">
        <f>IF(SER_hh_tes!R19=0,0,11630*1000*SER_hh_tes!R19/SER_hh_num!R19)</f>
        <v>9287.6098942996487</v>
      </c>
      <c r="S19" s="131">
        <f>IF(SER_hh_tes!S19=0,0,11630*1000*SER_hh_tes!S19/SER_hh_num!S19)</f>
        <v>9253.4308095276447</v>
      </c>
      <c r="T19" s="131">
        <f>IF(SER_hh_tes!T19=0,0,11630*1000*SER_hh_tes!T19/SER_hh_num!T19)</f>
        <v>9263.0329852011255</v>
      </c>
      <c r="U19" s="131">
        <f>IF(SER_hh_tes!U19=0,0,11630*1000*SER_hh_tes!U19/SER_hh_num!U19)</f>
        <v>9339.3231408074607</v>
      </c>
      <c r="V19" s="131">
        <f>IF(SER_hh_tes!V19=0,0,11630*1000*SER_hh_tes!V19/SER_hh_num!V19)</f>
        <v>8115.8355817779639</v>
      </c>
      <c r="W19" s="131">
        <f>IF(SER_hh_tes!W19=0,0,11630*1000*SER_hh_tes!W19/SER_hh_num!W19)</f>
        <v>9005.0230041538707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8302.9685112213447</v>
      </c>
      <c r="C21" s="133">
        <f>IF(SER_hh_tes!C21=0,0,11630*1000*SER_hh_tes!C21/SER_hh_num!C21)</f>
        <v>8090.6308550033236</v>
      </c>
      <c r="D21" s="133">
        <f>IF(SER_hh_tes!D21=0,0,11630*1000*SER_hh_tes!D21/SER_hh_num!D21)</f>
        <v>8175.6469859210129</v>
      </c>
      <c r="E21" s="133">
        <f>IF(SER_hh_tes!E21=0,0,11630*1000*SER_hh_tes!E21/SER_hh_num!E21)</f>
        <v>8224.0896830515194</v>
      </c>
      <c r="F21" s="133">
        <f>IF(SER_hh_tes!F21=0,0,11630*1000*SER_hh_tes!F21/SER_hh_num!F21)</f>
        <v>8379.6301365180861</v>
      </c>
      <c r="G21" s="133">
        <f>IF(SER_hh_tes!G21=0,0,11630*1000*SER_hh_tes!G21/SER_hh_num!G21)</f>
        <v>8392.5897567026313</v>
      </c>
      <c r="H21" s="133">
        <f>IF(SER_hh_tes!H21=0,0,11630*1000*SER_hh_tes!H21/SER_hh_num!H21)</f>
        <v>8342.4253123695489</v>
      </c>
      <c r="I21" s="133">
        <f>IF(SER_hh_tes!I21=0,0,11630*1000*SER_hh_tes!I21/SER_hh_num!I21)</f>
        <v>8519.0966126160547</v>
      </c>
      <c r="J21" s="133">
        <f>IF(SER_hh_tes!J21=0,0,11630*1000*SER_hh_tes!J21/SER_hh_num!J21)</f>
        <v>8519.6161095355783</v>
      </c>
      <c r="K21" s="133">
        <f>IF(SER_hh_tes!K21=0,0,11630*1000*SER_hh_tes!K21/SER_hh_num!K21)</f>
        <v>8711.1447565349808</v>
      </c>
      <c r="L21" s="133">
        <f>IF(SER_hh_tes!L21=0,0,11630*1000*SER_hh_tes!L21/SER_hh_num!L21)</f>
        <v>8589.6041792993456</v>
      </c>
      <c r="M21" s="133">
        <f>IF(SER_hh_tes!M21=0,0,11630*1000*SER_hh_tes!M21/SER_hh_num!M21)</f>
        <v>8795.5070247743006</v>
      </c>
      <c r="N21" s="133">
        <f>IF(SER_hh_tes!N21=0,0,11630*1000*SER_hh_tes!N21/SER_hh_num!N21)</f>
        <v>8754.5752473580505</v>
      </c>
      <c r="O21" s="133">
        <f>IF(SER_hh_tes!O21=0,0,11630*1000*SER_hh_tes!O21/SER_hh_num!O21)</f>
        <v>8713.7251551157606</v>
      </c>
      <c r="P21" s="133">
        <f>IF(SER_hh_tes!P21=0,0,11630*1000*SER_hh_tes!P21/SER_hh_num!P21)</f>
        <v>8741.9301057551802</v>
      </c>
      <c r="Q21" s="133">
        <f>IF(SER_hh_tes!Q21=0,0,11630*1000*SER_hh_tes!Q21/SER_hh_num!Q21)</f>
        <v>8844.3492943268047</v>
      </c>
      <c r="R21" s="133">
        <f>IF(SER_hh_tes!R21=0,0,11630*1000*SER_hh_tes!R21/SER_hh_num!R21)</f>
        <v>8863.4254181871001</v>
      </c>
      <c r="S21" s="133">
        <f>IF(SER_hh_tes!S21=0,0,11630*1000*SER_hh_tes!S21/SER_hh_num!S21)</f>
        <v>8771.1338578931845</v>
      </c>
      <c r="T21" s="133">
        <f>IF(SER_hh_tes!T21=0,0,11630*1000*SER_hh_tes!T21/SER_hh_num!T21)</f>
        <v>8598.5761318864697</v>
      </c>
      <c r="U21" s="133">
        <f>IF(SER_hh_tes!U21=0,0,11630*1000*SER_hh_tes!U21/SER_hh_num!U21)</f>
        <v>8644.21468042983</v>
      </c>
      <c r="V21" s="133">
        <f>IF(SER_hh_tes!V21=0,0,11630*1000*SER_hh_tes!V21/SER_hh_num!V21)</f>
        <v>8239.2470556848675</v>
      </c>
      <c r="W21" s="133">
        <f>IF(SER_hh_tes!W21=0,0,11630*1000*SER_hh_tes!W21/SER_hh_num!W21)</f>
        <v>7958.7255248937254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8233.1832328607325</v>
      </c>
      <c r="C22" s="133">
        <f>IF(SER_hh_tes!C22=0,0,11630*1000*SER_hh_tes!C22/SER_hh_num!C22)</f>
        <v>8207.4317523614372</v>
      </c>
      <c r="D22" s="133">
        <f>IF(SER_hh_tes!D22=0,0,11630*1000*SER_hh_tes!D22/SER_hh_num!D22)</f>
        <v>8189.0652971868158</v>
      </c>
      <c r="E22" s="133">
        <f>IF(SER_hh_tes!E22=0,0,11630*1000*SER_hh_tes!E22/SER_hh_num!E22)</f>
        <v>8278.2959590450737</v>
      </c>
      <c r="F22" s="133">
        <f>IF(SER_hh_tes!F22=0,0,11630*1000*SER_hh_tes!F22/SER_hh_num!F22)</f>
        <v>8308.2202525046778</v>
      </c>
      <c r="G22" s="133">
        <f>IF(SER_hh_tes!G22=0,0,11630*1000*SER_hh_tes!G22/SER_hh_num!G22)</f>
        <v>8361.9579323662729</v>
      </c>
      <c r="H22" s="133">
        <f>IF(SER_hh_tes!H22=0,0,11630*1000*SER_hh_tes!H22/SER_hh_num!H22)</f>
        <v>8435.7821155914244</v>
      </c>
      <c r="I22" s="133">
        <f>IF(SER_hh_tes!I22=0,0,11630*1000*SER_hh_tes!I22/SER_hh_num!I22)</f>
        <v>8538.0348475711944</v>
      </c>
      <c r="J22" s="133">
        <f>IF(SER_hh_tes!J22=0,0,11630*1000*SER_hh_tes!J22/SER_hh_num!J22)</f>
        <v>8510.7808387002624</v>
      </c>
      <c r="K22" s="133">
        <f>IF(SER_hh_tes!K22=0,0,11630*1000*SER_hh_tes!K22/SER_hh_num!K22)</f>
        <v>8475.9990075651585</v>
      </c>
      <c r="L22" s="133">
        <f>IF(SER_hh_tes!L22=0,0,11630*1000*SER_hh_tes!L22/SER_hh_num!L22)</f>
        <v>8554.8922256848855</v>
      </c>
      <c r="M22" s="133">
        <f>IF(SER_hh_tes!M22=0,0,11630*1000*SER_hh_tes!M22/SER_hh_num!M22)</f>
        <v>8780.3073321029024</v>
      </c>
      <c r="N22" s="133">
        <f>IF(SER_hh_tes!N22=0,0,11630*1000*SER_hh_tes!N22/SER_hh_num!N22)</f>
        <v>8706.0243004161694</v>
      </c>
      <c r="O22" s="133">
        <f>IF(SER_hh_tes!O22=0,0,11630*1000*SER_hh_tes!O22/SER_hh_num!O22)</f>
        <v>8836.7060061279917</v>
      </c>
      <c r="P22" s="133">
        <f>IF(SER_hh_tes!P22=0,0,11630*1000*SER_hh_tes!P22/SER_hh_num!P22)</f>
        <v>8794.0895493777152</v>
      </c>
      <c r="Q22" s="133">
        <f>IF(SER_hh_tes!Q22=0,0,11630*1000*SER_hh_tes!Q22/SER_hh_num!Q22)</f>
        <v>8833.092176264614</v>
      </c>
      <c r="R22" s="133">
        <f>IF(SER_hh_tes!R22=0,0,11630*1000*SER_hh_tes!R22/SER_hh_num!R22)</f>
        <v>8704.716586833465</v>
      </c>
      <c r="S22" s="133">
        <f>IF(SER_hh_tes!S22=0,0,11630*1000*SER_hh_tes!S22/SER_hh_num!S22)</f>
        <v>8747.8152348195981</v>
      </c>
      <c r="T22" s="133">
        <f>IF(SER_hh_tes!T22=0,0,11630*1000*SER_hh_tes!T22/SER_hh_num!T22)</f>
        <v>8700.7725469559336</v>
      </c>
      <c r="U22" s="133">
        <f>IF(SER_hh_tes!U22=0,0,11630*1000*SER_hh_tes!U22/SER_hh_num!U22)</f>
        <v>8562.2954220744923</v>
      </c>
      <c r="V22" s="133">
        <f>IF(SER_hh_tes!V22=0,0,11630*1000*SER_hh_tes!V22/SER_hh_num!V22)</f>
        <v>7733.7588927499655</v>
      </c>
      <c r="W22" s="133">
        <f>IF(SER_hh_tes!W22=0,0,11630*1000*SER_hh_tes!W22/SER_hh_num!W22)</f>
        <v>8324.3362710525453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7890.4868840922372</v>
      </c>
      <c r="C23" s="133">
        <f>IF(SER_hh_tes!C23=0,0,11630*1000*SER_hh_tes!C23/SER_hh_num!C23)</f>
        <v>8246.9877372210449</v>
      </c>
      <c r="D23" s="133">
        <f>IF(SER_hh_tes!D23=0,0,11630*1000*SER_hh_tes!D23/SER_hh_num!D23)</f>
        <v>8340.1945842034311</v>
      </c>
      <c r="E23" s="133">
        <f>IF(SER_hh_tes!E23=0,0,11630*1000*SER_hh_tes!E23/SER_hh_num!E23)</f>
        <v>8258.7889609077902</v>
      </c>
      <c r="F23" s="133">
        <f>IF(SER_hh_tes!F23=0,0,11630*1000*SER_hh_tes!F23/SER_hh_num!F23)</f>
        <v>8239.9598787624254</v>
      </c>
      <c r="G23" s="133">
        <f>IF(SER_hh_tes!G23=0,0,11630*1000*SER_hh_tes!G23/SER_hh_num!G23)</f>
        <v>8290.3731472437612</v>
      </c>
      <c r="H23" s="133">
        <f>IF(SER_hh_tes!H23=0,0,11630*1000*SER_hh_tes!H23/SER_hh_num!H23)</f>
        <v>8277.1076532994321</v>
      </c>
      <c r="I23" s="133">
        <f>IF(SER_hh_tes!I23=0,0,11630*1000*SER_hh_tes!I23/SER_hh_num!I23)</f>
        <v>8568.4863795161982</v>
      </c>
      <c r="J23" s="133">
        <f>IF(SER_hh_tes!J23=0,0,11630*1000*SER_hh_tes!J23/SER_hh_num!J23)</f>
        <v>8556.0339560107623</v>
      </c>
      <c r="K23" s="133">
        <f>IF(SER_hh_tes!K23=0,0,11630*1000*SER_hh_tes!K23/SER_hh_num!K23)</f>
        <v>8517.6143918152175</v>
      </c>
      <c r="L23" s="133">
        <f>IF(SER_hh_tes!L23=0,0,11630*1000*SER_hh_tes!L23/SER_hh_num!L23)</f>
        <v>8665.2723997688972</v>
      </c>
      <c r="M23" s="133">
        <f>IF(SER_hh_tes!M23=0,0,11630*1000*SER_hh_tes!M23/SER_hh_num!M23)</f>
        <v>8821.1175293740762</v>
      </c>
      <c r="N23" s="133">
        <f>IF(SER_hh_tes!N23=0,0,11630*1000*SER_hh_tes!N23/SER_hh_num!N23)</f>
        <v>8824.4217320296357</v>
      </c>
      <c r="O23" s="133">
        <f>IF(SER_hh_tes!O23=0,0,11630*1000*SER_hh_tes!O23/SER_hh_num!O23)</f>
        <v>8849.5517474350836</v>
      </c>
      <c r="P23" s="133">
        <f>IF(SER_hh_tes!P23=0,0,11630*1000*SER_hh_tes!P23/SER_hh_num!P23)</f>
        <v>8682.7361959225873</v>
      </c>
      <c r="Q23" s="133">
        <f>IF(SER_hh_tes!Q23=0,0,11630*1000*SER_hh_tes!Q23/SER_hh_num!Q23)</f>
        <v>8663.5866951539265</v>
      </c>
      <c r="R23" s="133">
        <f>IF(SER_hh_tes!R23=0,0,11630*1000*SER_hh_tes!R23/SER_hh_num!R23)</f>
        <v>8818.3733481150775</v>
      </c>
      <c r="S23" s="133">
        <f>IF(SER_hh_tes!S23=0,0,11630*1000*SER_hh_tes!S23/SER_hh_num!S23)</f>
        <v>8891.9061086563015</v>
      </c>
      <c r="T23" s="133">
        <f>IF(SER_hh_tes!T23=0,0,11630*1000*SER_hh_tes!T23/SER_hh_num!T23)</f>
        <v>8877.8239978737838</v>
      </c>
      <c r="U23" s="133">
        <f>IF(SER_hh_tes!U23=0,0,11630*1000*SER_hh_tes!U23/SER_hh_num!U23)</f>
        <v>8944.6743712566931</v>
      </c>
      <c r="V23" s="133">
        <f>IF(SER_hh_tes!V23=0,0,11630*1000*SER_hh_tes!V23/SER_hh_num!V23)</f>
        <v>7435.5745703249013</v>
      </c>
      <c r="W23" s="133">
        <f>IF(SER_hh_tes!W23=0,0,11630*1000*SER_hh_tes!W23/SER_hh_num!W23)</f>
        <v>8395.0557501178191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6778.1646126709684</v>
      </c>
      <c r="C25" s="133">
        <f>IF(SER_hh_tes!C25=0,0,11630*1000*SER_hh_tes!C25/SER_hh_num!C25)</f>
        <v>8446.0794896664993</v>
      </c>
      <c r="D25" s="133">
        <f>IF(SER_hh_tes!D25=0,0,11630*1000*SER_hh_tes!D25/SER_hh_num!D25)</f>
        <v>8795.5074084498119</v>
      </c>
      <c r="E25" s="133">
        <f>IF(SER_hh_tes!E25=0,0,11630*1000*SER_hh_tes!E25/SER_hh_num!E25)</f>
        <v>9060.4538470190782</v>
      </c>
      <c r="F25" s="133">
        <f>IF(SER_hh_tes!F25=0,0,11630*1000*SER_hh_tes!F25/SER_hh_num!F25)</f>
        <v>8776.7290854719504</v>
      </c>
      <c r="G25" s="133">
        <f>IF(SER_hh_tes!G25=0,0,11630*1000*SER_hh_tes!G25/SER_hh_num!G25)</f>
        <v>7817.7676416067825</v>
      </c>
      <c r="H25" s="133">
        <f>IF(SER_hh_tes!H25=0,0,11630*1000*SER_hh_tes!H25/SER_hh_num!H25)</f>
        <v>8371.5838920946808</v>
      </c>
      <c r="I25" s="133">
        <f>IF(SER_hh_tes!I25=0,0,11630*1000*SER_hh_tes!I25/SER_hh_num!I25)</f>
        <v>9834.7527922818026</v>
      </c>
      <c r="J25" s="133">
        <f>IF(SER_hh_tes!J25=0,0,11630*1000*SER_hh_tes!J25/SER_hh_num!J25)</f>
        <v>7097.648689383579</v>
      </c>
      <c r="K25" s="133">
        <f>IF(SER_hh_tes!K25=0,0,11630*1000*SER_hh_tes!K25/SER_hh_num!K25)</f>
        <v>8458.6862748428684</v>
      </c>
      <c r="L25" s="133">
        <f>IF(SER_hh_tes!L25=0,0,11630*1000*SER_hh_tes!L25/SER_hh_num!L25)</f>
        <v>8220.2631272584331</v>
      </c>
      <c r="M25" s="133">
        <f>IF(SER_hh_tes!M25=0,0,11630*1000*SER_hh_tes!M25/SER_hh_num!M25)</f>
        <v>7706.6497072320826</v>
      </c>
      <c r="N25" s="133">
        <f>IF(SER_hh_tes!N25=0,0,11630*1000*SER_hh_tes!N25/SER_hh_num!N25)</f>
        <v>8777.2542535860066</v>
      </c>
      <c r="O25" s="133">
        <f>IF(SER_hh_tes!O25=0,0,11630*1000*SER_hh_tes!O25/SER_hh_num!O25)</f>
        <v>9395.4991164302955</v>
      </c>
      <c r="P25" s="133">
        <f>IF(SER_hh_tes!P25=0,0,11630*1000*SER_hh_tes!P25/SER_hh_num!P25)</f>
        <v>8920.2463190929593</v>
      </c>
      <c r="Q25" s="133">
        <f>IF(SER_hh_tes!Q25=0,0,11630*1000*SER_hh_tes!Q25/SER_hh_num!Q25)</f>
        <v>9133.3583525507784</v>
      </c>
      <c r="R25" s="133">
        <f>IF(SER_hh_tes!R25=0,0,11630*1000*SER_hh_tes!R25/SER_hh_num!R25)</f>
        <v>8716.8396868179007</v>
      </c>
      <c r="S25" s="133">
        <f>IF(SER_hh_tes!S25=0,0,11630*1000*SER_hh_tes!S25/SER_hh_num!S25)</f>
        <v>9227.8634569561145</v>
      </c>
      <c r="T25" s="133">
        <f>IF(SER_hh_tes!T25=0,0,11630*1000*SER_hh_tes!T25/SER_hh_num!T25)</f>
        <v>9314.0215370576898</v>
      </c>
      <c r="U25" s="133">
        <f>IF(SER_hh_tes!U25=0,0,11630*1000*SER_hh_tes!U25/SER_hh_num!U25)</f>
        <v>8178.2264151034733</v>
      </c>
      <c r="V25" s="133">
        <f>IF(SER_hh_tes!V25=0,0,11630*1000*SER_hh_tes!V25/SER_hh_num!V25)</f>
        <v>7468.8326723308055</v>
      </c>
      <c r="W25" s="133">
        <f>IF(SER_hh_tes!W25=0,0,11630*1000*SER_hh_tes!W25/SER_hh_num!W25)</f>
        <v>8176.3045781103765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7200.5489350618509</v>
      </c>
      <c r="C26" s="65">
        <f>IF(SER_hh_tes!C26=0,0,11630*1000*SER_hh_tes!C26/SER_hh_num!C26)</f>
        <v>7403.3339170662621</v>
      </c>
      <c r="D26" s="65">
        <f>IF(SER_hh_tes!D26=0,0,11630*1000*SER_hh_tes!D26/SER_hh_num!D26)</f>
        <v>7694.5163586770868</v>
      </c>
      <c r="E26" s="65">
        <f>IF(SER_hh_tes!E26=0,0,11630*1000*SER_hh_tes!E26/SER_hh_num!E26)</f>
        <v>7565.9837451599506</v>
      </c>
      <c r="F26" s="65">
        <f>IF(SER_hh_tes!F26=0,0,11630*1000*SER_hh_tes!F26/SER_hh_num!F26)</f>
        <v>7720.1108552534706</v>
      </c>
      <c r="G26" s="65">
        <f>IF(SER_hh_tes!G26=0,0,11630*1000*SER_hh_tes!G26/SER_hh_num!G26)</f>
        <v>7756.5926552926958</v>
      </c>
      <c r="H26" s="65">
        <f>IF(SER_hh_tes!H26=0,0,11630*1000*SER_hh_tes!H26/SER_hh_num!H26)</f>
        <v>7587.4553044732256</v>
      </c>
      <c r="I26" s="65">
        <f>IF(SER_hh_tes!I26=0,0,11630*1000*SER_hh_tes!I26/SER_hh_num!I26)</f>
        <v>7618.6545683482227</v>
      </c>
      <c r="J26" s="65">
        <f>IF(SER_hh_tes!J26=0,0,11630*1000*SER_hh_tes!J26/SER_hh_num!J26)</f>
        <v>7543.9404820045966</v>
      </c>
      <c r="K26" s="65">
        <f>IF(SER_hh_tes!K26=0,0,11630*1000*SER_hh_tes!K26/SER_hh_num!K26)</f>
        <v>7587.8096357931618</v>
      </c>
      <c r="L26" s="65">
        <f>IF(SER_hh_tes!L26=0,0,11630*1000*SER_hh_tes!L26/SER_hh_num!L26)</f>
        <v>7144.4545278408004</v>
      </c>
      <c r="M26" s="65">
        <f>IF(SER_hh_tes!M26=0,0,11630*1000*SER_hh_tes!M26/SER_hh_num!M26)</f>
        <v>7155.254690186046</v>
      </c>
      <c r="N26" s="65">
        <f>IF(SER_hh_tes!N26=0,0,11630*1000*SER_hh_tes!N26/SER_hh_num!N26)</f>
        <v>6651.609620573653</v>
      </c>
      <c r="O26" s="65">
        <f>IF(SER_hh_tes!O26=0,0,11630*1000*SER_hh_tes!O26/SER_hh_num!O26)</f>
        <v>6366.5235148654319</v>
      </c>
      <c r="P26" s="65">
        <f>IF(SER_hh_tes!P26=0,0,11630*1000*SER_hh_tes!P26/SER_hh_num!P26)</f>
        <v>6422.2189802600678</v>
      </c>
      <c r="Q26" s="65">
        <f>IF(SER_hh_tes!Q26=0,0,11630*1000*SER_hh_tes!Q26/SER_hh_num!Q26)</f>
        <v>6462.6525720369964</v>
      </c>
      <c r="R26" s="65">
        <f>IF(SER_hh_tes!R26=0,0,11630*1000*SER_hh_tes!R26/SER_hh_num!R26)</f>
        <v>6294.3483255100637</v>
      </c>
      <c r="S26" s="65">
        <f>IF(SER_hh_tes!S26=0,0,11630*1000*SER_hh_tes!S26/SER_hh_num!S26)</f>
        <v>5998.8753682932584</v>
      </c>
      <c r="T26" s="65">
        <f>IF(SER_hh_tes!T26=0,0,11630*1000*SER_hh_tes!T26/SER_hh_num!T26)</f>
        <v>5811.8216120257866</v>
      </c>
      <c r="U26" s="65">
        <f>IF(SER_hh_tes!U26=0,0,11630*1000*SER_hh_tes!U26/SER_hh_num!U26)</f>
        <v>5805.6918920061789</v>
      </c>
      <c r="V26" s="65">
        <f>IF(SER_hh_tes!V26=0,0,11630*1000*SER_hh_tes!V26/SER_hh_num!V26)</f>
        <v>4247.3763581963449</v>
      </c>
      <c r="W26" s="65">
        <f>IF(SER_hh_tes!W26=0,0,11630*1000*SER_hh_tes!W26/SER_hh_num!W26)</f>
        <v>5120.1917644422592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530.88842852625328</v>
      </c>
      <c r="C27" s="146">
        <f>IF(SER_hh_tes!C27=0,0,11630*1000*SER_hh_tes!C27/SER_hh_num!C19)</f>
        <v>529.60554794017855</v>
      </c>
      <c r="D27" s="146">
        <f>IF(SER_hh_tes!D27=0,0,11630*1000*SER_hh_tes!D27/SER_hh_num!D19)</f>
        <v>538.21771476050958</v>
      </c>
      <c r="E27" s="146">
        <f>IF(SER_hh_tes!E27=0,0,11630*1000*SER_hh_tes!E27/SER_hh_num!E19)</f>
        <v>550.91633878877258</v>
      </c>
      <c r="F27" s="146">
        <f>IF(SER_hh_tes!F27=0,0,11630*1000*SER_hh_tes!F27/SER_hh_num!F19)</f>
        <v>557.56973578480347</v>
      </c>
      <c r="G27" s="146">
        <f>IF(SER_hh_tes!G27=0,0,11630*1000*SER_hh_tes!G27/SER_hh_num!G19)</f>
        <v>586.1669360156352</v>
      </c>
      <c r="H27" s="146">
        <f>IF(SER_hh_tes!H27=0,0,11630*1000*SER_hh_tes!H27/SER_hh_num!H19)</f>
        <v>601.56987910238297</v>
      </c>
      <c r="I27" s="146">
        <f>IF(SER_hh_tes!I27=0,0,11630*1000*SER_hh_tes!I27/SER_hh_num!I19)</f>
        <v>639.34309845137136</v>
      </c>
      <c r="J27" s="146">
        <f>IF(SER_hh_tes!J27=0,0,11630*1000*SER_hh_tes!J27/SER_hh_num!J19)</f>
        <v>752.70395104341208</v>
      </c>
      <c r="K27" s="146">
        <f>IF(SER_hh_tes!K27=0,0,11630*1000*SER_hh_tes!K27/SER_hh_num!K19)</f>
        <v>864.76698031200965</v>
      </c>
      <c r="L27" s="146">
        <f>IF(SER_hh_tes!L27=0,0,11630*1000*SER_hh_tes!L27/SER_hh_num!L19)</f>
        <v>1187.2556866348939</v>
      </c>
      <c r="M27" s="146">
        <f>IF(SER_hh_tes!M27=0,0,11630*1000*SER_hh_tes!M27/SER_hh_num!M19)</f>
        <v>1462.996335250624</v>
      </c>
      <c r="N27" s="146">
        <f>IF(SER_hh_tes!N27=0,0,11630*1000*SER_hh_tes!N27/SER_hh_num!N19)</f>
        <v>1654.9277288819826</v>
      </c>
      <c r="O27" s="146">
        <f>IF(SER_hh_tes!O27=0,0,11630*1000*SER_hh_tes!O27/SER_hh_num!O19)</f>
        <v>1778.9705656467918</v>
      </c>
      <c r="P27" s="146">
        <f>IF(SER_hh_tes!P27=0,0,11630*1000*SER_hh_tes!P27/SER_hh_num!P19)</f>
        <v>1866.207167417263</v>
      </c>
      <c r="Q27" s="146">
        <f>IF(SER_hh_tes!Q27=0,0,11630*1000*SER_hh_tes!Q27/SER_hh_num!Q19)</f>
        <v>1935.9562275196688</v>
      </c>
      <c r="R27" s="146">
        <f>IF(SER_hh_tes!R27=0,0,11630*1000*SER_hh_tes!R27/SER_hh_num!R19)</f>
        <v>2013.050313705693</v>
      </c>
      <c r="S27" s="146">
        <f>IF(SER_hh_tes!S27=0,0,11630*1000*SER_hh_tes!S27/SER_hh_num!S19)</f>
        <v>2091.1555267539688</v>
      </c>
      <c r="T27" s="146">
        <f>IF(SER_hh_tes!T27=0,0,11630*1000*SER_hh_tes!T27/SER_hh_num!T19)</f>
        <v>2183.1440223896661</v>
      </c>
      <c r="U27" s="146">
        <f>IF(SER_hh_tes!U27=0,0,11630*1000*SER_hh_tes!U27/SER_hh_num!U19)</f>
        <v>2255.3628516196545</v>
      </c>
      <c r="V27" s="146">
        <f>IF(SER_hh_tes!V27=0,0,11630*1000*SER_hh_tes!V27/SER_hh_num!V19)</f>
        <v>2342.6136286283395</v>
      </c>
      <c r="W27" s="146">
        <f>IF(SER_hh_tes!W27=0,0,11630*1000*SER_hh_tes!W27/SER_hh_num!W19)</f>
        <v>2440.6841633096833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6765.5611611454569</v>
      </c>
      <c r="C28" s="147">
        <f>IF(SER_hh_tes!C27=0,0,11630*1000*SER_hh_tes!C27/SER_hh_num!C27)</f>
        <v>6692.8013503129632</v>
      </c>
      <c r="D28" s="147">
        <f>IF(SER_hh_tes!D27=0,0,11630*1000*SER_hh_tes!D27/SER_hh_num!D27)</f>
        <v>6738.2599654898158</v>
      </c>
      <c r="E28" s="147">
        <f>IF(SER_hh_tes!E27=0,0,11630*1000*SER_hh_tes!E27/SER_hh_num!E27)</f>
        <v>7106.5674521963874</v>
      </c>
      <c r="F28" s="147">
        <f>IF(SER_hh_tes!F27=0,0,11630*1000*SER_hh_tes!F27/SER_hh_num!F27)</f>
        <v>7180.1814898075118</v>
      </c>
      <c r="G28" s="147">
        <f>IF(SER_hh_tes!G27=0,0,11630*1000*SER_hh_tes!G27/SER_hh_num!G27)</f>
        <v>6805.399704189882</v>
      </c>
      <c r="H28" s="147">
        <f>IF(SER_hh_tes!H27=0,0,11630*1000*SER_hh_tes!H27/SER_hh_num!H27)</f>
        <v>6967.840902867164</v>
      </c>
      <c r="I28" s="147">
        <f>IF(SER_hh_tes!I27=0,0,11630*1000*SER_hh_tes!I27/SER_hh_num!I27)</f>
        <v>7018.3456998968841</v>
      </c>
      <c r="J28" s="147">
        <f>IF(SER_hh_tes!J27=0,0,11630*1000*SER_hh_tes!J27/SER_hh_num!J27)</f>
        <v>7083.2417682726418</v>
      </c>
      <c r="K28" s="147">
        <f>IF(SER_hh_tes!K27=0,0,11630*1000*SER_hh_tes!K27/SER_hh_num!K27)</f>
        <v>7094.114789276643</v>
      </c>
      <c r="L28" s="147">
        <f>IF(SER_hh_tes!L27=0,0,11630*1000*SER_hh_tes!L27/SER_hh_num!L27)</f>
        <v>7594.5607255663126</v>
      </c>
      <c r="M28" s="147">
        <f>IF(SER_hh_tes!M27=0,0,11630*1000*SER_hh_tes!M27/SER_hh_num!M27)</f>
        <v>8224.4876974445215</v>
      </c>
      <c r="N28" s="147">
        <f>IF(SER_hh_tes!N27=0,0,11630*1000*SER_hh_tes!N27/SER_hh_num!N27)</f>
        <v>8129.3645729240634</v>
      </c>
      <c r="O28" s="147">
        <f>IF(SER_hh_tes!O27=0,0,11630*1000*SER_hh_tes!O27/SER_hh_num!O27)</f>
        <v>8239.5408651192574</v>
      </c>
      <c r="P28" s="147">
        <f>IF(SER_hh_tes!P27=0,0,11630*1000*SER_hh_tes!P27/SER_hh_num!P27)</f>
        <v>8261.3392005932401</v>
      </c>
      <c r="Q28" s="147">
        <f>IF(SER_hh_tes!Q27=0,0,11630*1000*SER_hh_tes!Q27/SER_hh_num!Q27)</f>
        <v>8319.79188869477</v>
      </c>
      <c r="R28" s="147">
        <f>IF(SER_hh_tes!R27=0,0,11630*1000*SER_hh_tes!R27/SER_hh_num!R27)</f>
        <v>8248.1603301494997</v>
      </c>
      <c r="S28" s="147">
        <f>IF(SER_hh_tes!S27=0,0,11630*1000*SER_hh_tes!S27/SER_hh_num!S27)</f>
        <v>8228.026444587711</v>
      </c>
      <c r="T28" s="147">
        <f>IF(SER_hh_tes!T27=0,0,11630*1000*SER_hh_tes!T27/SER_hh_num!T27)</f>
        <v>8481.3625570597978</v>
      </c>
      <c r="U28" s="147">
        <f>IF(SER_hh_tes!U27=0,0,11630*1000*SER_hh_tes!U27/SER_hh_num!U27)</f>
        <v>8517.378968842555</v>
      </c>
      <c r="V28" s="147">
        <f>IF(SER_hh_tes!V27=0,0,11630*1000*SER_hh_tes!V27/SER_hh_num!V27)</f>
        <v>7393.8493620007521</v>
      </c>
      <c r="W28" s="147">
        <f>IF(SER_hh_tes!W27=0,0,11630*1000*SER_hh_tes!W27/SER_hh_num!W27)</f>
        <v>8338.4268315317004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7544.7753954853151</v>
      </c>
      <c r="C29" s="131">
        <f>IF(SER_hh_tes!C29=0,0,11630*1000*SER_hh_tes!C29/SER_hh_num!C29)</f>
        <v>7865.6124691054401</v>
      </c>
      <c r="D29" s="131">
        <f>IF(SER_hh_tes!D29=0,0,11630*1000*SER_hh_tes!D29/SER_hh_num!D29)</f>
        <v>8499.8330407771682</v>
      </c>
      <c r="E29" s="131">
        <f>IF(SER_hh_tes!E29=0,0,11630*1000*SER_hh_tes!E29/SER_hh_num!E29)</f>
        <v>8779.1104046329947</v>
      </c>
      <c r="F29" s="131">
        <f>IF(SER_hh_tes!F29=0,0,11630*1000*SER_hh_tes!F29/SER_hh_num!F29)</f>
        <v>8874.8768641249681</v>
      </c>
      <c r="G29" s="131">
        <f>IF(SER_hh_tes!G29=0,0,11630*1000*SER_hh_tes!G29/SER_hh_num!G29)</f>
        <v>8882.3143705620096</v>
      </c>
      <c r="H29" s="131">
        <f>IF(SER_hh_tes!H29=0,0,11630*1000*SER_hh_tes!H29/SER_hh_num!H29)</f>
        <v>9033.3108830108304</v>
      </c>
      <c r="I29" s="131">
        <f>IF(SER_hh_tes!I29=0,0,11630*1000*SER_hh_tes!I29/SER_hh_num!I29)</f>
        <v>9007.7054366347111</v>
      </c>
      <c r="J29" s="131">
        <f>IF(SER_hh_tes!J29=0,0,11630*1000*SER_hh_tes!J29/SER_hh_num!J29)</f>
        <v>9271.7924981571741</v>
      </c>
      <c r="K29" s="131">
        <f>IF(SER_hh_tes!K29=0,0,11630*1000*SER_hh_tes!K29/SER_hh_num!K29)</f>
        <v>9194.8893394075876</v>
      </c>
      <c r="L29" s="131">
        <f>IF(SER_hh_tes!L29=0,0,11630*1000*SER_hh_tes!L29/SER_hh_num!L29)</f>
        <v>9332.1455593808878</v>
      </c>
      <c r="M29" s="131">
        <f>IF(SER_hh_tes!M29=0,0,11630*1000*SER_hh_tes!M29/SER_hh_num!M29)</f>
        <v>9265.8657392308505</v>
      </c>
      <c r="N29" s="131">
        <f>IF(SER_hh_tes!N29=0,0,11630*1000*SER_hh_tes!N29/SER_hh_num!N29)</f>
        <v>9261.6389570643842</v>
      </c>
      <c r="O29" s="131">
        <f>IF(SER_hh_tes!O29=0,0,11630*1000*SER_hh_tes!O29/SER_hh_num!O29)</f>
        <v>8629.3502399624722</v>
      </c>
      <c r="P29" s="131">
        <f>IF(SER_hh_tes!P29=0,0,11630*1000*SER_hh_tes!P29/SER_hh_num!P29)</f>
        <v>9213.8634499204582</v>
      </c>
      <c r="Q29" s="131">
        <f>IF(SER_hh_tes!Q29=0,0,11630*1000*SER_hh_tes!Q29/SER_hh_num!Q29)</f>
        <v>9309.9193104789574</v>
      </c>
      <c r="R29" s="131">
        <f>IF(SER_hh_tes!R29=0,0,11630*1000*SER_hh_tes!R29/SER_hh_num!R29)</f>
        <v>9503.6973183928712</v>
      </c>
      <c r="S29" s="131">
        <f>IF(SER_hh_tes!S29=0,0,11630*1000*SER_hh_tes!S29/SER_hh_num!S29)</f>
        <v>9739.1260208253789</v>
      </c>
      <c r="T29" s="131">
        <f>IF(SER_hh_tes!T29=0,0,11630*1000*SER_hh_tes!T29/SER_hh_num!T29)</f>
        <v>9832.8745780991958</v>
      </c>
      <c r="U29" s="131">
        <f>IF(SER_hh_tes!U29=0,0,11630*1000*SER_hh_tes!U29/SER_hh_num!U29)</f>
        <v>9838.6697875013706</v>
      </c>
      <c r="V29" s="131">
        <f>IF(SER_hh_tes!V29=0,0,11630*1000*SER_hh_tes!V29/SER_hh_num!V29)</f>
        <v>9272.2580217274408</v>
      </c>
      <c r="W29" s="131">
        <f>IF(SER_hh_tes!W29=0,0,11630*1000*SER_hh_tes!W29/SER_hh_num!W29)</f>
        <v>9489.320254846527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8744.4097926360046</v>
      </c>
      <c r="C30" s="133">
        <f>IF(SER_hh_tes!C30=0,0,11630*1000*SER_hh_tes!C30/SER_hh_num!C30)</f>
        <v>6229.7462725167015</v>
      </c>
      <c r="D30" s="133">
        <f>IF(SER_hh_tes!D30=0,0,11630*1000*SER_hh_tes!D30/SER_hh_num!D30)</f>
        <v>8787.6251479204911</v>
      </c>
      <c r="E30" s="133">
        <f>IF(SER_hh_tes!E30=0,0,11630*1000*SER_hh_tes!E30/SER_hh_num!E30)</f>
        <v>8272.235947754938</v>
      </c>
      <c r="F30" s="133">
        <f>IF(SER_hh_tes!F30=0,0,11630*1000*SER_hh_tes!F30/SER_hh_num!F30)</f>
        <v>8199.8826514959183</v>
      </c>
      <c r="G30" s="133">
        <f>IF(SER_hh_tes!G30=0,0,11630*1000*SER_hh_tes!G30/SER_hh_num!G30)</f>
        <v>10372.271653264304</v>
      </c>
      <c r="H30" s="133">
        <f>IF(SER_hh_tes!H30=0,0,11630*1000*SER_hh_tes!H30/SER_hh_num!H30)</f>
        <v>8736.761655010574</v>
      </c>
      <c r="I30" s="133">
        <f>IF(SER_hh_tes!I30=0,0,11630*1000*SER_hh_tes!I30/SER_hh_num!I30)</f>
        <v>8843.0284910572645</v>
      </c>
      <c r="J30" s="133">
        <f>IF(SER_hh_tes!J30=0,0,11630*1000*SER_hh_tes!J30/SER_hh_num!J30)</f>
        <v>10400.847823302041</v>
      </c>
      <c r="K30" s="133">
        <f>IF(SER_hh_tes!K30=0,0,11630*1000*SER_hh_tes!K30/SER_hh_num!K30)</f>
        <v>11084.639018609123</v>
      </c>
      <c r="L30" s="133">
        <f>IF(SER_hh_tes!L30=0,0,11630*1000*SER_hh_tes!L30/SER_hh_num!L30)</f>
        <v>6465.9341945555789</v>
      </c>
      <c r="M30" s="133">
        <f>IF(SER_hh_tes!M30=0,0,11630*1000*SER_hh_tes!M30/SER_hh_num!M30)</f>
        <v>7706.5181941728142</v>
      </c>
      <c r="N30" s="133">
        <f>IF(SER_hh_tes!N30=0,0,11630*1000*SER_hh_tes!N30/SER_hh_num!N30)</f>
        <v>6786.0149675664861</v>
      </c>
      <c r="O30" s="133">
        <f>IF(SER_hh_tes!O30=0,0,11630*1000*SER_hh_tes!O30/SER_hh_num!O30)</f>
        <v>6798.8811674957242</v>
      </c>
      <c r="P30" s="133">
        <f>IF(SER_hh_tes!P30=0,0,11630*1000*SER_hh_tes!P30/SER_hh_num!P30)</f>
        <v>10391.631882468806</v>
      </c>
      <c r="Q30" s="133">
        <f>IF(SER_hh_tes!Q30=0,0,11630*1000*SER_hh_tes!Q30/SER_hh_num!Q30)</f>
        <v>10198.261999012893</v>
      </c>
      <c r="R30" s="133">
        <f>IF(SER_hh_tes!R30=0,0,11630*1000*SER_hh_tes!R30/SER_hh_num!R30)</f>
        <v>9038.9014498036722</v>
      </c>
      <c r="S30" s="133">
        <f>IF(SER_hh_tes!S30=0,0,11630*1000*SER_hh_tes!S30/SER_hh_num!S30)</f>
        <v>8776.0727597620244</v>
      </c>
      <c r="T30" s="133">
        <f>IF(SER_hh_tes!T30=0,0,11630*1000*SER_hh_tes!T30/SER_hh_num!T30)</f>
        <v>11196.163881920811</v>
      </c>
      <c r="U30" s="133">
        <f>IF(SER_hh_tes!U30=0,0,11630*1000*SER_hh_tes!U30/SER_hh_num!U30)</f>
        <v>11143.841841345005</v>
      </c>
      <c r="V30" s="133">
        <f>IF(SER_hh_tes!V30=0,0,11630*1000*SER_hh_tes!V30/SER_hh_num!V30)</f>
        <v>8602.6264802816804</v>
      </c>
      <c r="W30" s="133">
        <f>IF(SER_hh_tes!W30=0,0,11630*1000*SER_hh_tes!W30/SER_hh_num!W30)</f>
        <v>8910.7449220525559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7471.4288745850054</v>
      </c>
      <c r="C31" s="133">
        <f>IF(SER_hh_tes!C31=0,0,11630*1000*SER_hh_tes!C31/SER_hh_num!C31)</f>
        <v>7863.2821134529377</v>
      </c>
      <c r="D31" s="133">
        <f>IF(SER_hh_tes!D31=0,0,11630*1000*SER_hh_tes!D31/SER_hh_num!D31)</f>
        <v>8450.9758254343633</v>
      </c>
      <c r="E31" s="133">
        <f>IF(SER_hh_tes!E31=0,0,11630*1000*SER_hh_tes!E31/SER_hh_num!E31)</f>
        <v>8392.17981738046</v>
      </c>
      <c r="F31" s="133">
        <f>IF(SER_hh_tes!F31=0,0,11630*1000*SER_hh_tes!F31/SER_hh_num!F31)</f>
        <v>8906.4228634872525</v>
      </c>
      <c r="G31" s="133">
        <f>IF(SER_hh_tes!G31=0,0,11630*1000*SER_hh_tes!G31/SER_hh_num!G31)</f>
        <v>9070.0096596320145</v>
      </c>
      <c r="H31" s="133">
        <f>IF(SER_hh_tes!H31=0,0,11630*1000*SER_hh_tes!H31/SER_hh_num!H31)</f>
        <v>9100.3548532091663</v>
      </c>
      <c r="I31" s="133">
        <f>IF(SER_hh_tes!I31=0,0,11630*1000*SER_hh_tes!I31/SER_hh_num!I31)</f>
        <v>9020.483691831856</v>
      </c>
      <c r="J31" s="133">
        <f>IF(SER_hh_tes!J31=0,0,11630*1000*SER_hh_tes!J31/SER_hh_num!J31)</f>
        <v>8702.786400275696</v>
      </c>
      <c r="K31" s="133">
        <f>IF(SER_hh_tes!K31=0,0,11630*1000*SER_hh_tes!K31/SER_hh_num!K31)</f>
        <v>8795.6086050368158</v>
      </c>
      <c r="L31" s="133">
        <f>IF(SER_hh_tes!L31=0,0,11630*1000*SER_hh_tes!L31/SER_hh_num!L31)</f>
        <v>9791.4925924246472</v>
      </c>
      <c r="M31" s="133">
        <f>IF(SER_hh_tes!M31=0,0,11630*1000*SER_hh_tes!M31/SER_hh_num!M31)</f>
        <v>9148.2164700886005</v>
      </c>
      <c r="N31" s="133">
        <f>IF(SER_hh_tes!N31=0,0,11630*1000*SER_hh_tes!N31/SER_hh_num!N31)</f>
        <v>8571.5837815836894</v>
      </c>
      <c r="O31" s="133">
        <f>IF(SER_hh_tes!O31=0,0,11630*1000*SER_hh_tes!O31/SER_hh_num!O31)</f>
        <v>9485.5051360167254</v>
      </c>
      <c r="P31" s="133">
        <f>IF(SER_hh_tes!P31=0,0,11630*1000*SER_hh_tes!P31/SER_hh_num!P31)</f>
        <v>8942.1260972633972</v>
      </c>
      <c r="Q31" s="133">
        <f>IF(SER_hh_tes!Q31=0,0,11630*1000*SER_hh_tes!Q31/SER_hh_num!Q31)</f>
        <v>9463.7857519085665</v>
      </c>
      <c r="R31" s="133">
        <f>IF(SER_hh_tes!R31=0,0,11630*1000*SER_hh_tes!R31/SER_hh_num!R31)</f>
        <v>9622.0927485916909</v>
      </c>
      <c r="S31" s="133">
        <f>IF(SER_hh_tes!S31=0,0,11630*1000*SER_hh_tes!S31/SER_hh_num!S31)</f>
        <v>9639.255921909129</v>
      </c>
      <c r="T31" s="133">
        <f>IF(SER_hh_tes!T31=0,0,11630*1000*SER_hh_tes!T31/SER_hh_num!T31)</f>
        <v>9742.7432995659237</v>
      </c>
      <c r="U31" s="133">
        <f>IF(SER_hh_tes!U31=0,0,11630*1000*SER_hh_tes!U31/SER_hh_num!U31)</f>
        <v>10131.958395770718</v>
      </c>
      <c r="V31" s="133">
        <f>IF(SER_hh_tes!V31=0,0,11630*1000*SER_hh_tes!V31/SER_hh_num!V31)</f>
        <v>9469.9827193291512</v>
      </c>
      <c r="W31" s="133">
        <f>IF(SER_hh_tes!W31=0,0,11630*1000*SER_hh_tes!W31/SER_hh_num!W31)</f>
        <v>8789.0233880787146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15851.140561794335</v>
      </c>
      <c r="O32" s="133">
        <f>IF(SER_hh_tes!O32=0,0,11630*1000*SER_hh_tes!O32/SER_hh_num!O32)</f>
        <v>8642.0132469721084</v>
      </c>
      <c r="P32" s="133">
        <f>IF(SER_hh_tes!P32=0,0,11630*1000*SER_hh_tes!P32/SER_hh_num!P32)</f>
        <v>8694.2264922855284</v>
      </c>
      <c r="Q32" s="133">
        <f>IF(SER_hh_tes!Q32=0,0,11630*1000*SER_hh_tes!Q32/SER_hh_num!Q32)</f>
        <v>9803.3703164708131</v>
      </c>
      <c r="R32" s="133">
        <f>IF(SER_hh_tes!R32=0,0,11630*1000*SER_hh_tes!R32/SER_hh_num!R32)</f>
        <v>8680.2785241179299</v>
      </c>
      <c r="S32" s="133">
        <f>IF(SER_hh_tes!S32=0,0,11630*1000*SER_hh_tes!S32/SER_hh_num!S32)</f>
        <v>9549.1640710331249</v>
      </c>
      <c r="T32" s="133">
        <f>IF(SER_hh_tes!T32=0,0,11630*1000*SER_hh_tes!T32/SER_hh_num!T32)</f>
        <v>10473.493158989551</v>
      </c>
      <c r="U32" s="133">
        <f>IF(SER_hh_tes!U32=0,0,11630*1000*SER_hh_tes!U32/SER_hh_num!U32)</f>
        <v>10325.88279281653</v>
      </c>
      <c r="V32" s="133">
        <f>IF(SER_hh_tes!V32=0,0,11630*1000*SER_hh_tes!V32/SER_hh_num!V32)</f>
        <v>8001.8564279615266</v>
      </c>
      <c r="W32" s="133">
        <f>IF(SER_hh_tes!W32=0,0,11630*1000*SER_hh_tes!W32/SER_hh_num!W32)</f>
        <v>10157.415556749242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7257.1898339648733</v>
      </c>
      <c r="C33" s="68">
        <f>IF(SER_hh_tes!C33=0,0,11630*1000*SER_hh_tes!C33/SER_hh_num!C33)</f>
        <v>8246.0208691472308</v>
      </c>
      <c r="D33" s="68">
        <f>IF(SER_hh_tes!D33=0,0,11630*1000*SER_hh_tes!D33/SER_hh_num!D33)</f>
        <v>8421.5852944539402</v>
      </c>
      <c r="E33" s="68">
        <f>IF(SER_hh_tes!E33=0,0,11630*1000*SER_hh_tes!E33/SER_hh_num!E33)</f>
        <v>9006.6407029887814</v>
      </c>
      <c r="F33" s="68">
        <f>IF(SER_hh_tes!F33=0,0,11630*1000*SER_hh_tes!F33/SER_hh_num!F33)</f>
        <v>9186.9076162625788</v>
      </c>
      <c r="G33" s="68">
        <f>IF(SER_hh_tes!G33=0,0,11630*1000*SER_hh_tes!G33/SER_hh_num!G33)</f>
        <v>7948.397672976158</v>
      </c>
      <c r="H33" s="68">
        <f>IF(SER_hh_tes!H33=0,0,11630*1000*SER_hh_tes!H33/SER_hh_num!H33)</f>
        <v>9214.1112334169047</v>
      </c>
      <c r="I33" s="68">
        <f>IF(SER_hh_tes!I33=0,0,11630*1000*SER_hh_tes!I33/SER_hh_num!I33)</f>
        <v>9117.975325902331</v>
      </c>
      <c r="J33" s="68">
        <f>IF(SER_hh_tes!J33=0,0,11630*1000*SER_hh_tes!J33/SER_hh_num!J33)</f>
        <v>8650.2696614112028</v>
      </c>
      <c r="K33" s="68">
        <f>IF(SER_hh_tes!K33=0,0,11630*1000*SER_hh_tes!K33/SER_hh_num!K33)</f>
        <v>8280.5625574694459</v>
      </c>
      <c r="L33" s="68">
        <f>IF(SER_hh_tes!L33=0,0,11630*1000*SER_hh_tes!L33/SER_hh_num!L33)</f>
        <v>10169.413698112476</v>
      </c>
      <c r="M33" s="68">
        <f>IF(SER_hh_tes!M33=0,0,11630*1000*SER_hh_tes!M33/SER_hh_num!M33)</f>
        <v>9683.0651522037824</v>
      </c>
      <c r="N33" s="68">
        <f>IF(SER_hh_tes!N33=0,0,11630*1000*SER_hh_tes!N33/SER_hh_num!N33)</f>
        <v>9231.3149861644815</v>
      </c>
      <c r="O33" s="68">
        <f>IF(SER_hh_tes!O33=0,0,11630*1000*SER_hh_tes!O33/SER_hh_num!O33)</f>
        <v>8940.6931647951587</v>
      </c>
      <c r="P33" s="68">
        <f>IF(SER_hh_tes!P33=0,0,11630*1000*SER_hh_tes!P33/SER_hh_num!P33)</f>
        <v>8936.6839101892874</v>
      </c>
      <c r="Q33" s="68">
        <f>IF(SER_hh_tes!Q33=0,0,11630*1000*SER_hh_tes!Q33/SER_hh_num!Q33)</f>
        <v>8779.8426761352257</v>
      </c>
      <c r="R33" s="68">
        <f>IF(SER_hh_tes!R33=0,0,11630*1000*SER_hh_tes!R33/SER_hh_num!R33)</f>
        <v>9789.340709907272</v>
      </c>
      <c r="S33" s="68">
        <f>IF(SER_hh_tes!S33=0,0,11630*1000*SER_hh_tes!S33/SER_hh_num!S33)</f>
        <v>10275.701982311497</v>
      </c>
      <c r="T33" s="68">
        <f>IF(SER_hh_tes!T33=0,0,11630*1000*SER_hh_tes!T33/SER_hh_num!T33)</f>
        <v>9070.9338222952538</v>
      </c>
      <c r="U33" s="68">
        <f>IF(SER_hh_tes!U33=0,0,11630*1000*SER_hh_tes!U33/SER_hh_num!U33)</f>
        <v>9030.7505531290954</v>
      </c>
      <c r="V33" s="68">
        <f>IF(SER_hh_tes!V33=0,0,11630*1000*SER_hh_tes!V33/SER_hh_num!V33)</f>
        <v>9555.489881100908</v>
      </c>
      <c r="W33" s="68">
        <f>IF(SER_hh_tes!W33=0,0,11630*1000*SER_hh_tes!W33/SER_hh_num!W33)</f>
        <v>9845.1462037513957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8161.7144635352506</v>
      </c>
      <c r="C3" s="126">
        <f>IF(SER_hh_emi!C3=0,0,1000000*SER_hh_emi!C3/SER_hh_num!C3)</f>
        <v>8683.7061178557706</v>
      </c>
      <c r="D3" s="126">
        <f>IF(SER_hh_emi!D3=0,0,1000000*SER_hh_emi!D3/SER_hh_num!D3)</f>
        <v>9259.1080546029734</v>
      </c>
      <c r="E3" s="126">
        <f>IF(SER_hh_emi!E3=0,0,1000000*SER_hh_emi!E3/SER_hh_num!E3)</f>
        <v>9626.8456411829648</v>
      </c>
      <c r="F3" s="126">
        <f>IF(SER_hh_emi!F3=0,0,1000000*SER_hh_emi!F3/SER_hh_num!F3)</f>
        <v>11557.203048603804</v>
      </c>
      <c r="G3" s="126">
        <f>IF(SER_hh_emi!G3=0,0,1000000*SER_hh_emi!G3/SER_hh_num!G3)</f>
        <v>12737.565382282946</v>
      </c>
      <c r="H3" s="126">
        <f>IF(SER_hh_emi!H3=0,0,1000000*SER_hh_emi!H3/SER_hh_num!H3)</f>
        <v>11842.556021587352</v>
      </c>
      <c r="I3" s="126">
        <f>IF(SER_hh_emi!I3=0,0,1000000*SER_hh_emi!I3/SER_hh_num!I3)</f>
        <v>10767.576400467597</v>
      </c>
      <c r="J3" s="126">
        <f>IF(SER_hh_emi!J3=0,0,1000000*SER_hh_emi!J3/SER_hh_num!J3)</f>
        <v>8811.3285423823545</v>
      </c>
      <c r="K3" s="126">
        <f>IF(SER_hh_emi!K3=0,0,1000000*SER_hh_emi!K3/SER_hh_num!K3)</f>
        <v>9973.2885631425524</v>
      </c>
      <c r="L3" s="126">
        <f>IF(SER_hh_emi!L3=0,0,1000000*SER_hh_emi!L3/SER_hh_num!L3)</f>
        <v>6771.6615090045752</v>
      </c>
      <c r="M3" s="126">
        <f>IF(SER_hh_emi!M3=0,0,1000000*SER_hh_emi!M3/SER_hh_num!M3)</f>
        <v>6025.4442646705829</v>
      </c>
      <c r="N3" s="126">
        <f>IF(SER_hh_emi!N3=0,0,1000000*SER_hh_emi!N3/SER_hh_num!N3)</f>
        <v>5295.7175118616888</v>
      </c>
      <c r="O3" s="126">
        <f>IF(SER_hh_emi!O3=0,0,1000000*SER_hh_emi!O3/SER_hh_num!O3)</f>
        <v>5165.8359210365752</v>
      </c>
      <c r="P3" s="126">
        <f>IF(SER_hh_emi!P3=0,0,1000000*SER_hh_emi!P3/SER_hh_num!P3)</f>
        <v>5369.2280618364784</v>
      </c>
      <c r="Q3" s="126">
        <f>IF(SER_hh_emi!Q3=0,0,1000000*SER_hh_emi!Q3/SER_hh_num!Q3)</f>
        <v>5849.5566399815298</v>
      </c>
      <c r="R3" s="126">
        <f>IF(SER_hh_emi!R3=0,0,1000000*SER_hh_emi!R3/SER_hh_num!R3)</f>
        <v>5569.4901934139507</v>
      </c>
      <c r="S3" s="126">
        <f>IF(SER_hh_emi!S3=0,0,1000000*SER_hh_emi!S3/SER_hh_num!S3)</f>
        <v>5478.1233182991527</v>
      </c>
      <c r="T3" s="126">
        <f>IF(SER_hh_emi!T3=0,0,1000000*SER_hh_emi!T3/SER_hh_num!T3)</f>
        <v>5867.9070995843567</v>
      </c>
      <c r="U3" s="126">
        <f>IF(SER_hh_emi!U3=0,0,1000000*SER_hh_emi!U3/SER_hh_num!U3)</f>
        <v>5698.5316529691809</v>
      </c>
      <c r="V3" s="126">
        <f>IF(SER_hh_emi!V3=0,0,1000000*SER_hh_emi!V3/SER_hh_num!V3)</f>
        <v>4464.6990469612292</v>
      </c>
      <c r="W3" s="126">
        <f>IF(SER_hh_emi!W3=0,0,1000000*SER_hh_emi!W3/SER_hh_num!W3)</f>
        <v>4730.9102668131145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5502.3631923459589</v>
      </c>
      <c r="C4" s="131">
        <f>IF(SER_hh_emi!C4=0,0,1000000*SER_hh_emi!C4/SER_hh_num!C4)</f>
        <v>6345.8047180623917</v>
      </c>
      <c r="D4" s="131">
        <f>IF(SER_hh_emi!D4=0,0,1000000*SER_hh_emi!D4/SER_hh_num!D4)</f>
        <v>6685.2717688091598</v>
      </c>
      <c r="E4" s="131">
        <f>IF(SER_hh_emi!E4=0,0,1000000*SER_hh_emi!E4/SER_hh_num!E4)</f>
        <v>7026.3885450508778</v>
      </c>
      <c r="F4" s="131">
        <f>IF(SER_hh_emi!F4=0,0,1000000*SER_hh_emi!F4/SER_hh_num!F4)</f>
        <v>8821.1916403315645</v>
      </c>
      <c r="G4" s="131">
        <f>IF(SER_hh_emi!G4=0,0,1000000*SER_hh_emi!G4/SER_hh_num!G4)</f>
        <v>9512.329200226508</v>
      </c>
      <c r="H4" s="131">
        <f>IF(SER_hh_emi!H4=0,0,1000000*SER_hh_emi!H4/SER_hh_num!H4)</f>
        <v>8840.2462387431842</v>
      </c>
      <c r="I4" s="131">
        <f>IF(SER_hh_emi!I4=0,0,1000000*SER_hh_emi!I4/SER_hh_num!I4)</f>
        <v>7732.2886242602099</v>
      </c>
      <c r="J4" s="131">
        <f>IF(SER_hh_emi!J4=0,0,1000000*SER_hh_emi!J4/SER_hh_num!J4)</f>
        <v>5634.2594527241345</v>
      </c>
      <c r="K4" s="131">
        <f>IF(SER_hh_emi!K4=0,0,1000000*SER_hh_emi!K4/SER_hh_num!K4)</f>
        <v>6896.7093917319526</v>
      </c>
      <c r="L4" s="131">
        <f>IF(SER_hh_emi!L4=0,0,1000000*SER_hh_emi!L4/SER_hh_num!L4)</f>
        <v>4449.8426222142743</v>
      </c>
      <c r="M4" s="131">
        <f>IF(SER_hh_emi!M4=0,0,1000000*SER_hh_emi!M4/SER_hh_num!M4)</f>
        <v>3681.2951589002082</v>
      </c>
      <c r="N4" s="131">
        <f>IF(SER_hh_emi!N4=0,0,1000000*SER_hh_emi!N4/SER_hh_num!N4)</f>
        <v>3005.5529156932321</v>
      </c>
      <c r="O4" s="131">
        <f>IF(SER_hh_emi!O4=0,0,1000000*SER_hh_emi!O4/SER_hh_num!O4)</f>
        <v>2732.6495020206503</v>
      </c>
      <c r="P4" s="131">
        <f>IF(SER_hh_emi!P4=0,0,1000000*SER_hh_emi!P4/SER_hh_num!P4)</f>
        <v>2560.028713479483</v>
      </c>
      <c r="Q4" s="131">
        <f>IF(SER_hh_emi!Q4=0,0,1000000*SER_hh_emi!Q4/SER_hh_num!Q4)</f>
        <v>2889.007529271722</v>
      </c>
      <c r="R4" s="131">
        <f>IF(SER_hh_emi!R4=0,0,1000000*SER_hh_emi!R4/SER_hh_num!R4)</f>
        <v>2636.2635434469489</v>
      </c>
      <c r="S4" s="131">
        <f>IF(SER_hh_emi!S4=0,0,1000000*SER_hh_emi!S4/SER_hh_num!S4)</f>
        <v>2511.5883271918478</v>
      </c>
      <c r="T4" s="131">
        <f>IF(SER_hh_emi!T4=0,0,1000000*SER_hh_emi!T4/SER_hh_num!T4)</f>
        <v>2580.9662238407018</v>
      </c>
      <c r="U4" s="131">
        <f>IF(SER_hh_emi!U4=0,0,1000000*SER_hh_emi!U4/SER_hh_num!U4)</f>
        <v>2450.810854966554</v>
      </c>
      <c r="V4" s="131">
        <f>IF(SER_hh_emi!V4=0,0,1000000*SER_hh_emi!V4/SER_hh_num!V4)</f>
        <v>1814.0850799569703</v>
      </c>
      <c r="W4" s="131">
        <f>IF(SER_hh_emi!W4=0,0,1000000*SER_hh_emi!W4/SER_hh_num!W4)</f>
        <v>2183.3066960369192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9015.6566455943394</v>
      </c>
      <c r="C7" s="133">
        <f>IF(SER_hh_emi!C7=0,0,1000000*SER_hh_emi!C7/SER_hh_num!C7)</f>
        <v>10228.525473955828</v>
      </c>
      <c r="D7" s="133">
        <f>IF(SER_hh_emi!D7=0,0,1000000*SER_hh_emi!D7/SER_hh_num!D7)</f>
        <v>11032.929718048983</v>
      </c>
      <c r="E7" s="133">
        <f>IF(SER_hh_emi!E7=0,0,1000000*SER_hh_emi!E7/SER_hh_num!E7)</f>
        <v>12372.700844756906</v>
      </c>
      <c r="F7" s="133">
        <f>IF(SER_hh_emi!F7=0,0,1000000*SER_hh_emi!F7/SER_hh_num!F7)</f>
        <v>16555.073655179523</v>
      </c>
      <c r="G7" s="133">
        <f>IF(SER_hh_emi!G7=0,0,1000000*SER_hh_emi!G7/SER_hh_num!G7)</f>
        <v>20032.963606017016</v>
      </c>
      <c r="H7" s="133">
        <f>IF(SER_hh_emi!H7=0,0,1000000*SER_hh_emi!H7/SER_hh_num!H7)</f>
        <v>20716.334363236339</v>
      </c>
      <c r="I7" s="133">
        <f>IF(SER_hh_emi!I7=0,0,1000000*SER_hh_emi!I7/SER_hh_num!I7)</f>
        <v>21177.603498250988</v>
      </c>
      <c r="J7" s="133">
        <f>IF(SER_hh_emi!J7=0,0,1000000*SER_hh_emi!J7/SER_hh_num!J7)</f>
        <v>17507.793487474064</v>
      </c>
      <c r="K7" s="133">
        <f>IF(SER_hh_emi!K7=0,0,1000000*SER_hh_emi!K7/SER_hh_num!K7)</f>
        <v>26441.728491154099</v>
      </c>
      <c r="L7" s="133">
        <f>IF(SER_hh_emi!L7=0,0,1000000*SER_hh_emi!L7/SER_hh_num!L7)</f>
        <v>20488.141540113727</v>
      </c>
      <c r="M7" s="133">
        <f>IF(SER_hh_emi!M7=0,0,1000000*SER_hh_emi!M7/SER_hh_num!M7)</f>
        <v>19161.761708912076</v>
      </c>
      <c r="N7" s="133">
        <f>IF(SER_hh_emi!N7=0,0,1000000*SER_hh_emi!N7/SER_hh_num!N7)</f>
        <v>19007.85480549798</v>
      </c>
      <c r="O7" s="133">
        <f>IF(SER_hh_emi!O7=0,0,1000000*SER_hh_emi!O7/SER_hh_num!O7)</f>
        <v>21314.653467928365</v>
      </c>
      <c r="P7" s="133">
        <f>IF(SER_hh_emi!P7=0,0,1000000*SER_hh_emi!P7/SER_hh_num!P7)</f>
        <v>22506.35780873313</v>
      </c>
      <c r="Q7" s="133">
        <f>IF(SER_hh_emi!Q7=0,0,1000000*SER_hh_emi!Q7/SER_hh_num!Q7)</f>
        <v>29053.499463802855</v>
      </c>
      <c r="R7" s="133">
        <f>IF(SER_hh_emi!R7=0,0,1000000*SER_hh_emi!R7/SER_hh_num!R7)</f>
        <v>21989.821951537211</v>
      </c>
      <c r="S7" s="133">
        <f>IF(SER_hh_emi!S7=0,0,1000000*SER_hh_emi!S7/SER_hh_num!S7)</f>
        <v>20407.046098222003</v>
      </c>
      <c r="T7" s="133">
        <f>IF(SER_hh_emi!T7=0,0,1000000*SER_hh_emi!T7/SER_hh_num!T7)</f>
        <v>22080.820366258664</v>
      </c>
      <c r="U7" s="133">
        <f>IF(SER_hh_emi!U7=0,0,1000000*SER_hh_emi!U7/SER_hh_num!U7)</f>
        <v>21762.593868211083</v>
      </c>
      <c r="V7" s="133">
        <f>IF(SER_hh_emi!V7=0,0,1000000*SER_hh_emi!V7/SER_hh_num!V7)</f>
        <v>19218.209542852543</v>
      </c>
      <c r="W7" s="133">
        <f>IF(SER_hh_emi!W7=0,0,1000000*SER_hh_emi!W7/SER_hh_num!W7)</f>
        <v>16768.37068805184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2777.889918800468</v>
      </c>
      <c r="C8" s="133">
        <f>IF(SER_hh_emi!C8=0,0,1000000*SER_hh_emi!C8/SER_hh_num!C8)</f>
        <v>3158.5775950776106</v>
      </c>
      <c r="D8" s="133">
        <f>IF(SER_hh_emi!D8=0,0,1000000*SER_hh_emi!D8/SER_hh_num!D8)</f>
        <v>3817.0158532458418</v>
      </c>
      <c r="E8" s="133">
        <f>IF(SER_hh_emi!E8=0,0,1000000*SER_hh_emi!E8/SER_hh_num!E8)</f>
        <v>4498.1448382025674</v>
      </c>
      <c r="F8" s="133">
        <f>IF(SER_hh_emi!F8=0,0,1000000*SER_hh_emi!F8/SER_hh_num!F8)</f>
        <v>4959.8650848960788</v>
      </c>
      <c r="G8" s="133">
        <f>IF(SER_hh_emi!G8=0,0,1000000*SER_hh_emi!G8/SER_hh_num!G8)</f>
        <v>5154.0647255919175</v>
      </c>
      <c r="H8" s="133">
        <f>IF(SER_hh_emi!H8=0,0,1000000*SER_hh_emi!H8/SER_hh_num!H8)</f>
        <v>5623.3711159500454</v>
      </c>
      <c r="I8" s="133">
        <f>IF(SER_hh_emi!I8=0,0,1000000*SER_hh_emi!I8/SER_hh_num!I8)</f>
        <v>5635.6301155654946</v>
      </c>
      <c r="J8" s="133">
        <f>IF(SER_hh_emi!J8=0,0,1000000*SER_hh_emi!J8/SER_hh_num!J8)</f>
        <v>5686.3772761175424</v>
      </c>
      <c r="K8" s="133">
        <f>IF(SER_hh_emi!K8=0,0,1000000*SER_hh_emi!K8/SER_hh_num!K8)</f>
        <v>5174.4157942063885</v>
      </c>
      <c r="L8" s="133">
        <f>IF(SER_hh_emi!L8=0,0,1000000*SER_hh_emi!L8/SER_hh_num!L8)</f>
        <v>5033.5624913641695</v>
      </c>
      <c r="M8" s="133">
        <f>IF(SER_hh_emi!M8=0,0,1000000*SER_hh_emi!M8/SER_hh_num!M8)</f>
        <v>5171.0308042363022</v>
      </c>
      <c r="N8" s="133">
        <f>IF(SER_hh_emi!N8=0,0,1000000*SER_hh_emi!N8/SER_hh_num!N8)</f>
        <v>5103.5003289158967</v>
      </c>
      <c r="O8" s="133">
        <f>IF(SER_hh_emi!O8=0,0,1000000*SER_hh_emi!O8/SER_hh_num!O8)</f>
        <v>5282.0639432530261</v>
      </c>
      <c r="P8" s="133">
        <f>IF(SER_hh_emi!P8=0,0,1000000*SER_hh_emi!P8/SER_hh_num!P8)</f>
        <v>5724.0446440978812</v>
      </c>
      <c r="Q8" s="133">
        <f>IF(SER_hh_emi!Q8=0,0,1000000*SER_hh_emi!Q8/SER_hh_num!Q8)</f>
        <v>5873.7992412565718</v>
      </c>
      <c r="R8" s="133">
        <f>IF(SER_hh_emi!R8=0,0,1000000*SER_hh_emi!R8/SER_hh_num!R8)</f>
        <v>5512.7519457344433</v>
      </c>
      <c r="S8" s="133">
        <f>IF(SER_hh_emi!S8=0,0,1000000*SER_hh_emi!S8/SER_hh_num!S8)</f>
        <v>5302.8316390384753</v>
      </c>
      <c r="T8" s="133">
        <f>IF(SER_hh_emi!T8=0,0,1000000*SER_hh_emi!T8/SER_hh_num!T8)</f>
        <v>5310.0870044379626</v>
      </c>
      <c r="U8" s="133">
        <f>IF(SER_hh_emi!U8=0,0,1000000*SER_hh_emi!U8/SER_hh_num!U8)</f>
        <v>5314.3085323801524</v>
      </c>
      <c r="V8" s="133">
        <f>IF(SER_hh_emi!V8=0,0,1000000*SER_hh_emi!V8/SER_hh_num!V8)</f>
        <v>4951.3262359724422</v>
      </c>
      <c r="W8" s="133">
        <f>IF(SER_hh_emi!W8=0,0,1000000*SER_hh_emi!W8/SER_hh_num!W8)</f>
        <v>5116.7550028662117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5622.5271384983689</v>
      </c>
      <c r="C9" s="133">
        <f>IF(SER_hh_emi!C9=0,0,1000000*SER_hh_emi!C9/SER_hh_num!C9)</f>
        <v>6496.5233510001126</v>
      </c>
      <c r="D9" s="133">
        <f>IF(SER_hh_emi!D9=0,0,1000000*SER_hh_emi!D9/SER_hh_num!D9)</f>
        <v>8065.0949347708156</v>
      </c>
      <c r="E9" s="133">
        <f>IF(SER_hh_emi!E9=0,0,1000000*SER_hh_emi!E9/SER_hh_num!E9)</f>
        <v>8644.4628428326851</v>
      </c>
      <c r="F9" s="133">
        <f>IF(SER_hh_emi!F9=0,0,1000000*SER_hh_emi!F9/SER_hh_num!F9)</f>
        <v>10967.949930024037</v>
      </c>
      <c r="G9" s="133">
        <f>IF(SER_hh_emi!G9=0,0,1000000*SER_hh_emi!G9/SER_hh_num!G9)</f>
        <v>10970.161378446652</v>
      </c>
      <c r="H9" s="133">
        <f>IF(SER_hh_emi!H9=0,0,1000000*SER_hh_emi!H9/SER_hh_num!H9)</f>
        <v>12693.801222356198</v>
      </c>
      <c r="I9" s="133">
        <f>IF(SER_hh_emi!I9=0,0,1000000*SER_hh_emi!I9/SER_hh_num!I9)</f>
        <v>13239.137717237134</v>
      </c>
      <c r="J9" s="133">
        <f>IF(SER_hh_emi!J9=0,0,1000000*SER_hh_emi!J9/SER_hh_num!J9)</f>
        <v>13335.248382970911</v>
      </c>
      <c r="K9" s="133">
        <f>IF(SER_hh_emi!K9=0,0,1000000*SER_hh_emi!K9/SER_hh_num!K9)</f>
        <v>14374.943550966887</v>
      </c>
      <c r="L9" s="133">
        <f>IF(SER_hh_emi!L9=0,0,1000000*SER_hh_emi!L9/SER_hh_num!L9)</f>
        <v>12611.530800498465</v>
      </c>
      <c r="M9" s="133">
        <f>IF(SER_hh_emi!M9=0,0,1000000*SER_hh_emi!M9/SER_hh_num!M9)</f>
        <v>14172.773904918477</v>
      </c>
      <c r="N9" s="133">
        <f>IF(SER_hh_emi!N9=0,0,1000000*SER_hh_emi!N9/SER_hh_num!N9)</f>
        <v>14592.571182152969</v>
      </c>
      <c r="O9" s="133">
        <f>IF(SER_hh_emi!O9=0,0,1000000*SER_hh_emi!O9/SER_hh_num!O9)</f>
        <v>14380.692541330434</v>
      </c>
      <c r="P9" s="133">
        <f>IF(SER_hh_emi!P9=0,0,1000000*SER_hh_emi!P9/SER_hh_num!P9)</f>
        <v>15050.496802261316</v>
      </c>
      <c r="Q9" s="133">
        <f>IF(SER_hh_emi!Q9=0,0,1000000*SER_hh_emi!Q9/SER_hh_num!Q9)</f>
        <v>15918.651240618632</v>
      </c>
      <c r="R9" s="133">
        <f>IF(SER_hh_emi!R9=0,0,1000000*SER_hh_emi!R9/SER_hh_num!R9)</f>
        <v>16263.082701889807</v>
      </c>
      <c r="S9" s="133">
        <f>IF(SER_hh_emi!S9=0,0,1000000*SER_hh_emi!S9/SER_hh_num!S9)</f>
        <v>15763.440935059998</v>
      </c>
      <c r="T9" s="133">
        <f>IF(SER_hh_emi!T9=0,0,1000000*SER_hh_emi!T9/SER_hh_num!T9)</f>
        <v>16865.029294006123</v>
      </c>
      <c r="U9" s="133">
        <f>IF(SER_hh_emi!U9=0,0,1000000*SER_hh_emi!U9/SER_hh_num!U9)</f>
        <v>15945.151384310484</v>
      </c>
      <c r="V9" s="133">
        <f>IF(SER_hh_emi!V9=0,0,1000000*SER_hh_emi!V9/SER_hh_num!V9)</f>
        <v>12412.624951969165</v>
      </c>
      <c r="W9" s="133">
        <f>IF(SER_hh_emi!W9=0,0,1000000*SER_hh_emi!W9/SER_hh_num!W9)</f>
        <v>17770.355851849763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9.4160547286773504</v>
      </c>
      <c r="C16" s="131">
        <f>IF(SER_hh_emi!C16=0,0,1000000*SER_hh_emi!C16/SER_hh_num!C16)</f>
        <v>9.5568891037208115</v>
      </c>
      <c r="D16" s="131">
        <f>IF(SER_hh_emi!D16=0,0,1000000*SER_hh_emi!D16/SER_hh_num!D16)</f>
        <v>7.814252400880985</v>
      </c>
      <c r="E16" s="131">
        <f>IF(SER_hh_emi!E16=0,0,1000000*SER_hh_emi!E16/SER_hh_num!E16)</f>
        <v>10.179643096658811</v>
      </c>
      <c r="F16" s="131">
        <f>IF(SER_hh_emi!F16=0,0,1000000*SER_hh_emi!F16/SER_hh_num!F16)</f>
        <v>9.6496654732890281</v>
      </c>
      <c r="G16" s="131">
        <f>IF(SER_hh_emi!G16=0,0,1000000*SER_hh_emi!G16/SER_hh_num!G16)</f>
        <v>10.700415479242375</v>
      </c>
      <c r="H16" s="131">
        <f>IF(SER_hh_emi!H16=0,0,1000000*SER_hh_emi!H16/SER_hh_num!H16)</f>
        <v>13.421409662927115</v>
      </c>
      <c r="I16" s="131">
        <f>IF(SER_hh_emi!I16=0,0,1000000*SER_hh_emi!I16/SER_hh_num!I16)</f>
        <v>10.86991296464705</v>
      </c>
      <c r="J16" s="131">
        <f>IF(SER_hh_emi!J16=0,0,1000000*SER_hh_emi!J16/SER_hh_num!J16)</f>
        <v>12.0633066982332</v>
      </c>
      <c r="K16" s="131">
        <f>IF(SER_hh_emi!K16=0,0,1000000*SER_hh_emi!K16/SER_hh_num!K16)</f>
        <v>17.659976774476288</v>
      </c>
      <c r="L16" s="131">
        <f>IF(SER_hh_emi!L16=0,0,1000000*SER_hh_emi!L16/SER_hh_num!L16)</f>
        <v>24.868606225777725</v>
      </c>
      <c r="M16" s="131">
        <f>IF(SER_hh_emi!M16=0,0,1000000*SER_hh_emi!M16/SER_hh_num!M16)</f>
        <v>18.81284370021017</v>
      </c>
      <c r="N16" s="131">
        <f>IF(SER_hh_emi!N16=0,0,1000000*SER_hh_emi!N16/SER_hh_num!N16)</f>
        <v>20.951947378305917</v>
      </c>
      <c r="O16" s="131">
        <f>IF(SER_hh_emi!O16=0,0,1000000*SER_hh_emi!O16/SER_hh_num!O16)</f>
        <v>30.608394815048278</v>
      </c>
      <c r="P16" s="131">
        <f>IF(SER_hh_emi!P16=0,0,1000000*SER_hh_emi!P16/SER_hh_num!P16)</f>
        <v>22.916210293409698</v>
      </c>
      <c r="Q16" s="131">
        <f>IF(SER_hh_emi!Q16=0,0,1000000*SER_hh_emi!Q16/SER_hh_num!Q16)</f>
        <v>31.256638800844584</v>
      </c>
      <c r="R16" s="131">
        <f>IF(SER_hh_emi!R16=0,0,1000000*SER_hh_emi!R16/SER_hh_num!R16)</f>
        <v>56.043391702874331</v>
      </c>
      <c r="S16" s="131">
        <f>IF(SER_hh_emi!S16=0,0,1000000*SER_hh_emi!S16/SER_hh_num!S16)</f>
        <v>58.966945851894657</v>
      </c>
      <c r="T16" s="131">
        <f>IF(SER_hh_emi!T16=0,0,1000000*SER_hh_emi!T16/SER_hh_num!T16)</f>
        <v>55.054203890018115</v>
      </c>
      <c r="U16" s="131">
        <f>IF(SER_hh_emi!U16=0,0,1000000*SER_hh_emi!U16/SER_hh_num!U16)</f>
        <v>48.021426939900259</v>
      </c>
      <c r="V16" s="131">
        <f>IF(SER_hh_emi!V16=0,0,1000000*SER_hh_emi!V16/SER_hh_num!V16)</f>
        <v>70.132672365103161</v>
      </c>
      <c r="W16" s="131">
        <f>IF(SER_hh_emi!W16=0,0,1000000*SER_hh_emi!W16/SER_hh_num!W16)</f>
        <v>46.481573319015638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3625.8016024941344</v>
      </c>
      <c r="C17" s="133">
        <f>IF(SER_hh_emi!C17=0,0,1000000*SER_hh_emi!C17/SER_hh_num!C17)</f>
        <v>3748.738001781926</v>
      </c>
      <c r="D17" s="133">
        <f>IF(SER_hh_emi!D17=0,0,1000000*SER_hh_emi!D17/SER_hh_num!D17)</f>
        <v>3367.6581758065208</v>
      </c>
      <c r="E17" s="133">
        <f>IF(SER_hh_emi!E17=0,0,1000000*SER_hh_emi!E17/SER_hh_num!E17)</f>
        <v>4793.5346668324937</v>
      </c>
      <c r="F17" s="133">
        <f>IF(SER_hh_emi!F17=0,0,1000000*SER_hh_emi!F17/SER_hh_num!F17)</f>
        <v>3981.8986401350248</v>
      </c>
      <c r="G17" s="133">
        <f>IF(SER_hh_emi!G17=0,0,1000000*SER_hh_emi!G17/SER_hh_num!G17)</f>
        <v>4383.5061571403658</v>
      </c>
      <c r="H17" s="133">
        <f>IF(SER_hh_emi!H17=0,0,1000000*SER_hh_emi!H17/SER_hh_num!H17)</f>
        <v>5290.5106266349112</v>
      </c>
      <c r="I17" s="133">
        <f>IF(SER_hh_emi!I17=0,0,1000000*SER_hh_emi!I17/SER_hh_num!I17)</f>
        <v>3431.1936626687916</v>
      </c>
      <c r="J17" s="133">
        <f>IF(SER_hh_emi!J17=0,0,1000000*SER_hh_emi!J17/SER_hh_num!J17)</f>
        <v>3346.4129612403026</v>
      </c>
      <c r="K17" s="133">
        <f>IF(SER_hh_emi!K17=0,0,1000000*SER_hh_emi!K17/SER_hh_num!K17)</f>
        <v>4092.5876106019973</v>
      </c>
      <c r="L17" s="133">
        <f>IF(SER_hh_emi!L17=0,0,1000000*SER_hh_emi!L17/SER_hh_num!L17)</f>
        <v>5644.5919747735907</v>
      </c>
      <c r="M17" s="133">
        <f>IF(SER_hh_emi!M17=0,0,1000000*SER_hh_emi!M17/SER_hh_num!M17)</f>
        <v>3722.0982001624238</v>
      </c>
      <c r="N17" s="133">
        <f>IF(SER_hh_emi!N17=0,0,1000000*SER_hh_emi!N17/SER_hh_num!N17)</f>
        <v>3922.7033641371759</v>
      </c>
      <c r="O17" s="133">
        <f>IF(SER_hh_emi!O17=0,0,1000000*SER_hh_emi!O17/SER_hh_num!O17)</f>
        <v>5072.6520098952806</v>
      </c>
      <c r="P17" s="133">
        <f>IF(SER_hh_emi!P17=0,0,1000000*SER_hh_emi!P17/SER_hh_num!P17)</f>
        <v>3394.3136098442028</v>
      </c>
      <c r="Q17" s="133">
        <f>IF(SER_hh_emi!Q17=0,0,1000000*SER_hh_emi!Q17/SER_hh_num!Q17)</f>
        <v>3939.8405790175907</v>
      </c>
      <c r="R17" s="133">
        <f>IF(SER_hh_emi!R17=0,0,1000000*SER_hh_emi!R17/SER_hh_num!R17)</f>
        <v>5808.4420474131593</v>
      </c>
      <c r="S17" s="133">
        <f>IF(SER_hh_emi!S17=0,0,1000000*SER_hh_emi!S17/SER_hh_num!S17)</f>
        <v>5452.0910215437625</v>
      </c>
      <c r="T17" s="133">
        <f>IF(SER_hh_emi!T17=0,0,1000000*SER_hh_emi!T17/SER_hh_num!T17)</f>
        <v>4574.5750088048708</v>
      </c>
      <c r="U17" s="133">
        <f>IF(SER_hh_emi!U17=0,0,1000000*SER_hh_emi!U17/SER_hh_num!U17)</f>
        <v>3579.3482687976693</v>
      </c>
      <c r="V17" s="133">
        <f>IF(SER_hh_emi!V17=0,0,1000000*SER_hh_emi!V17/SER_hh_num!V17)</f>
        <v>4878.4465721149181</v>
      </c>
      <c r="W17" s="133">
        <f>IF(SER_hh_emi!W17=0,0,1000000*SER_hh_emi!W17/SER_hh_num!W17)</f>
        <v>3156.5983754142953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1753.9480172162805</v>
      </c>
      <c r="C19" s="131">
        <f>IF(SER_hh_emi!C19=0,0,1000000*SER_hh_emi!C19/SER_hh_num!C19)</f>
        <v>1638.9036188331183</v>
      </c>
      <c r="D19" s="131">
        <f>IF(SER_hh_emi!D19=0,0,1000000*SER_hh_emi!D19/SER_hh_num!D19)</f>
        <v>1534.9616921603044</v>
      </c>
      <c r="E19" s="131">
        <f>IF(SER_hh_emi!E19=0,0,1000000*SER_hh_emi!E19/SER_hh_num!E19)</f>
        <v>1467.3233096780107</v>
      </c>
      <c r="F19" s="131">
        <f>IF(SER_hh_emi!F19=0,0,1000000*SER_hh_emi!F19/SER_hh_num!F19)</f>
        <v>1413.4913630724957</v>
      </c>
      <c r="G19" s="131">
        <f>IF(SER_hh_emi!G19=0,0,1000000*SER_hh_emi!G19/SER_hh_num!G19)</f>
        <v>1376.0368938158945</v>
      </c>
      <c r="H19" s="131">
        <f>IF(SER_hh_emi!H19=0,0,1000000*SER_hh_emi!H19/SER_hh_num!H19)</f>
        <v>1341.6044820425629</v>
      </c>
      <c r="I19" s="131">
        <f>IF(SER_hh_emi!I19=0,0,1000000*SER_hh_emi!I19/SER_hh_num!I19)</f>
        <v>1314.4371541575481</v>
      </c>
      <c r="J19" s="131">
        <f>IF(SER_hh_emi!J19=0,0,1000000*SER_hh_emi!J19/SER_hh_num!J19)</f>
        <v>1277.9638437023607</v>
      </c>
      <c r="K19" s="131">
        <f>IF(SER_hh_emi!K19=0,0,1000000*SER_hh_emi!K19/SER_hh_num!K19)</f>
        <v>1252.4168592868562</v>
      </c>
      <c r="L19" s="131">
        <f>IF(SER_hh_emi!L19=0,0,1000000*SER_hh_emi!L19/SER_hh_num!L19)</f>
        <v>1263.846892650133</v>
      </c>
      <c r="M19" s="131">
        <f>IF(SER_hh_emi!M19=0,0,1000000*SER_hh_emi!M19/SER_hh_num!M19)</f>
        <v>1285.0926645857014</v>
      </c>
      <c r="N19" s="131">
        <f>IF(SER_hh_emi!N19=0,0,1000000*SER_hh_emi!N19/SER_hh_num!N19)</f>
        <v>1286.3005346971815</v>
      </c>
      <c r="O19" s="131">
        <f>IF(SER_hh_emi!O19=0,0,1000000*SER_hh_emi!O19/SER_hh_num!O19)</f>
        <v>1282.2207081471311</v>
      </c>
      <c r="P19" s="131">
        <f>IF(SER_hh_emi!P19=0,0,1000000*SER_hh_emi!P19/SER_hh_num!P19)</f>
        <v>1278.055950829191</v>
      </c>
      <c r="Q19" s="131">
        <f>IF(SER_hh_emi!Q19=0,0,1000000*SER_hh_emi!Q19/SER_hh_num!Q19)</f>
        <v>1284.1381434928203</v>
      </c>
      <c r="R19" s="131">
        <f>IF(SER_hh_emi!R19=0,0,1000000*SER_hh_emi!R19/SER_hh_num!R19)</f>
        <v>1297.4484874504392</v>
      </c>
      <c r="S19" s="131">
        <f>IF(SER_hh_emi!S19=0,0,1000000*SER_hh_emi!S19/SER_hh_num!S19)</f>
        <v>1318.627688235767</v>
      </c>
      <c r="T19" s="131">
        <f>IF(SER_hh_emi!T19=0,0,1000000*SER_hh_emi!T19/SER_hh_num!T19)</f>
        <v>1324.5607009514979</v>
      </c>
      <c r="U19" s="131">
        <f>IF(SER_hh_emi!U19=0,0,1000000*SER_hh_emi!U19/SER_hh_num!U19)</f>
        <v>1326.3309405103887</v>
      </c>
      <c r="V19" s="131">
        <f>IF(SER_hh_emi!V19=0,0,1000000*SER_hh_emi!V19/SER_hh_num!V19)</f>
        <v>1178.7505124019992</v>
      </c>
      <c r="W19" s="131">
        <f>IF(SER_hh_emi!W19=0,0,1000000*SER_hh_emi!W19/SER_hh_num!W19)</f>
        <v>1246.7737751852226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3639.6267542682021</v>
      </c>
      <c r="C21" s="133">
        <f>IF(SER_hh_emi!C21=0,0,1000000*SER_hh_emi!C21/SER_hh_num!C21)</f>
        <v>3543.404328409179</v>
      </c>
      <c r="D21" s="133">
        <f>IF(SER_hh_emi!D21=0,0,1000000*SER_hh_emi!D21/SER_hh_num!D21)</f>
        <v>3575.7687753818036</v>
      </c>
      <c r="E21" s="133">
        <f>IF(SER_hh_emi!E21=0,0,1000000*SER_hh_emi!E21/SER_hh_num!E21)</f>
        <v>3588.4978124389731</v>
      </c>
      <c r="F21" s="133">
        <f>IF(SER_hh_emi!F21=0,0,1000000*SER_hh_emi!F21/SER_hh_num!F21)</f>
        <v>3643.3759806943622</v>
      </c>
      <c r="G21" s="133">
        <f>IF(SER_hh_emi!G21=0,0,1000000*SER_hh_emi!G21/SER_hh_num!G21)</f>
        <v>3632.804549915948</v>
      </c>
      <c r="H21" s="133">
        <f>IF(SER_hh_emi!H21=0,0,1000000*SER_hh_emi!H21/SER_hh_num!H21)</f>
        <v>3591.7618708327686</v>
      </c>
      <c r="I21" s="133">
        <f>IF(SER_hh_emi!I21=0,0,1000000*SER_hh_emi!I21/SER_hh_num!I21)</f>
        <v>3645.5206548863316</v>
      </c>
      <c r="J21" s="133">
        <f>IF(SER_hh_emi!J21=0,0,1000000*SER_hh_emi!J21/SER_hh_num!J21)</f>
        <v>3623.0322291662073</v>
      </c>
      <c r="K21" s="133">
        <f>IF(SER_hh_emi!K21=0,0,1000000*SER_hh_emi!K21/SER_hh_num!K21)</f>
        <v>3678.5058811596764</v>
      </c>
      <c r="L21" s="133">
        <f>IF(SER_hh_emi!L21=0,0,1000000*SER_hh_emi!L21/SER_hh_num!L21)</f>
        <v>3600.2210489063791</v>
      </c>
      <c r="M21" s="133">
        <f>IF(SER_hh_emi!M21=0,0,1000000*SER_hh_emi!M21/SER_hh_num!M21)</f>
        <v>3646.7435735555537</v>
      </c>
      <c r="N21" s="133">
        <f>IF(SER_hh_emi!N21=0,0,1000000*SER_hh_emi!N21/SER_hh_num!N21)</f>
        <v>3573.6469870252718</v>
      </c>
      <c r="O21" s="133">
        <f>IF(SER_hh_emi!O21=0,0,1000000*SER_hh_emi!O21/SER_hh_num!O21)</f>
        <v>3489.5990487360068</v>
      </c>
      <c r="P21" s="133">
        <f>IF(SER_hh_emi!P21=0,0,1000000*SER_hh_emi!P21/SER_hh_num!P21)</f>
        <v>3475.8394792689137</v>
      </c>
      <c r="Q21" s="133">
        <f>IF(SER_hh_emi!Q21=0,0,1000000*SER_hh_emi!Q21/SER_hh_num!Q21)</f>
        <v>3475.0110133973594</v>
      </c>
      <c r="R21" s="133">
        <f>IF(SER_hh_emi!R21=0,0,1000000*SER_hh_emi!R21/SER_hh_num!R21)</f>
        <v>3425.5492302291832</v>
      </c>
      <c r="S21" s="133">
        <f>IF(SER_hh_emi!S21=0,0,1000000*SER_hh_emi!S21/SER_hh_num!S21)</f>
        <v>3315.6049854785497</v>
      </c>
      <c r="T21" s="133">
        <f>IF(SER_hh_emi!T21=0,0,1000000*SER_hh_emi!T21/SER_hh_num!T21)</f>
        <v>3155.9954050360998</v>
      </c>
      <c r="U21" s="133">
        <f>IF(SER_hh_emi!U21=0,0,1000000*SER_hh_emi!U21/SER_hh_num!U21)</f>
        <v>3075.250602838214</v>
      </c>
      <c r="V21" s="133">
        <f>IF(SER_hh_emi!V21=0,0,1000000*SER_hh_emi!V21/SER_hh_num!V21)</f>
        <v>2857.4542774892102</v>
      </c>
      <c r="W21" s="133">
        <f>IF(SER_hh_emi!W21=0,0,1000000*SER_hh_emi!W21/SER_hh_num!W21)</f>
        <v>2672.8434215501698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4478.9160137245808</v>
      </c>
      <c r="C22" s="133">
        <f>IF(SER_hh_emi!C22=0,0,1000000*SER_hh_emi!C22/SER_hh_num!C22)</f>
        <v>4467.7766519522738</v>
      </c>
      <c r="D22" s="133">
        <f>IF(SER_hh_emi!D22=0,0,1000000*SER_hh_emi!D22/SER_hh_num!D22)</f>
        <v>4458.1158889729768</v>
      </c>
      <c r="E22" s="133">
        <f>IF(SER_hh_emi!E22=0,0,1000000*SER_hh_emi!E22/SER_hh_num!E22)</f>
        <v>4498.9075718919894</v>
      </c>
      <c r="F22" s="133">
        <f>IF(SER_hh_emi!F22=0,0,1000000*SER_hh_emi!F22/SER_hh_num!F22)</f>
        <v>4551.9065730326683</v>
      </c>
      <c r="G22" s="133">
        <f>IF(SER_hh_emi!G22=0,0,1000000*SER_hh_emi!G22/SER_hh_num!G22)</f>
        <v>4584.549987753092</v>
      </c>
      <c r="H22" s="133">
        <f>IF(SER_hh_emi!H22=0,0,1000000*SER_hh_emi!H22/SER_hh_num!H22)</f>
        <v>4604.3085158513386</v>
      </c>
      <c r="I22" s="133">
        <f>IF(SER_hh_emi!I22=0,0,1000000*SER_hh_emi!I22/SER_hh_num!I22)</f>
        <v>4555.1784508746077</v>
      </c>
      <c r="J22" s="133">
        <f>IF(SER_hh_emi!J22=0,0,1000000*SER_hh_emi!J22/SER_hh_num!J22)</f>
        <v>4483.3664523851157</v>
      </c>
      <c r="K22" s="133">
        <f>IF(SER_hh_emi!K22=0,0,1000000*SER_hh_emi!K22/SER_hh_num!K22)</f>
        <v>4431.5631042205896</v>
      </c>
      <c r="L22" s="133">
        <f>IF(SER_hh_emi!L22=0,0,1000000*SER_hh_emi!L22/SER_hh_num!L22)</f>
        <v>4490.1998101140489</v>
      </c>
      <c r="M22" s="133">
        <f>IF(SER_hh_emi!M22=0,0,1000000*SER_hh_emi!M22/SER_hh_num!M22)</f>
        <v>4515.7521753515812</v>
      </c>
      <c r="N22" s="133">
        <f>IF(SER_hh_emi!N22=0,0,1000000*SER_hh_emi!N22/SER_hh_num!N22)</f>
        <v>4384.2329161884018</v>
      </c>
      <c r="O22" s="133">
        <f>IF(SER_hh_emi!O22=0,0,1000000*SER_hh_emi!O22/SER_hh_num!O22)</f>
        <v>4255.928401464429</v>
      </c>
      <c r="P22" s="133">
        <f>IF(SER_hh_emi!P22=0,0,1000000*SER_hh_emi!P22/SER_hh_num!P22)</f>
        <v>4228.6097639392137</v>
      </c>
      <c r="Q22" s="133">
        <f>IF(SER_hh_emi!Q22=0,0,1000000*SER_hh_emi!Q22/SER_hh_num!Q22)</f>
        <v>4193.2269008381591</v>
      </c>
      <c r="R22" s="133">
        <f>IF(SER_hh_emi!R22=0,0,1000000*SER_hh_emi!R22/SER_hh_num!R22)</f>
        <v>4082.5144127497829</v>
      </c>
      <c r="S22" s="133">
        <f>IF(SER_hh_emi!S22=0,0,1000000*SER_hh_emi!S22/SER_hh_num!S22)</f>
        <v>4011.0811830793514</v>
      </c>
      <c r="T22" s="133">
        <f>IF(SER_hh_emi!T22=0,0,1000000*SER_hh_emi!T22/SER_hh_num!T22)</f>
        <v>3853.3253640201483</v>
      </c>
      <c r="U22" s="133">
        <f>IF(SER_hh_emi!U22=0,0,1000000*SER_hh_emi!U22/SER_hh_num!U22)</f>
        <v>3672.7030589935557</v>
      </c>
      <c r="V22" s="133">
        <f>IF(SER_hh_emi!V22=0,0,1000000*SER_hh_emi!V22/SER_hh_num!V22)</f>
        <v>3203.9177459506604</v>
      </c>
      <c r="W22" s="133">
        <f>IF(SER_hh_emi!W22=0,0,1000000*SER_hh_emi!W22/SER_hh_num!W22)</f>
        <v>3302.8704049778867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3050.253808434004</v>
      </c>
      <c r="C23" s="133">
        <f>IF(SER_hh_emi!C23=0,0,1000000*SER_hh_emi!C23/SER_hh_num!C23)</f>
        <v>3294.83753296242</v>
      </c>
      <c r="D23" s="133">
        <f>IF(SER_hh_emi!D23=0,0,1000000*SER_hh_emi!D23/SER_hh_num!D23)</f>
        <v>3305.5867567097839</v>
      </c>
      <c r="E23" s="133">
        <f>IF(SER_hh_emi!E23=0,0,1000000*SER_hh_emi!E23/SER_hh_num!E23)</f>
        <v>3234.2705812586751</v>
      </c>
      <c r="F23" s="133">
        <f>IF(SER_hh_emi!F23=0,0,1000000*SER_hh_emi!F23/SER_hh_num!F23)</f>
        <v>3184.4904396859142</v>
      </c>
      <c r="G23" s="133">
        <f>IF(SER_hh_emi!G23=0,0,1000000*SER_hh_emi!G23/SER_hh_num!G23)</f>
        <v>3155.019208445708</v>
      </c>
      <c r="H23" s="133">
        <f>IF(SER_hh_emi!H23=0,0,1000000*SER_hh_emi!H23/SER_hh_num!H23)</f>
        <v>3097.6638616093383</v>
      </c>
      <c r="I23" s="133">
        <f>IF(SER_hh_emi!I23=0,0,1000000*SER_hh_emi!I23/SER_hh_num!I23)</f>
        <v>3153.60367648993</v>
      </c>
      <c r="J23" s="133">
        <f>IF(SER_hh_emi!J23=0,0,1000000*SER_hh_emi!J23/SER_hh_num!J23)</f>
        <v>3102.3370197769418</v>
      </c>
      <c r="K23" s="133">
        <f>IF(SER_hh_emi!K23=0,0,1000000*SER_hh_emi!K23/SER_hh_num!K23)</f>
        <v>3043.7717939142412</v>
      </c>
      <c r="L23" s="133">
        <f>IF(SER_hh_emi!L23=0,0,1000000*SER_hh_emi!L23/SER_hh_num!L23)</f>
        <v>3052.3086243881926</v>
      </c>
      <c r="M23" s="133">
        <f>IF(SER_hh_emi!M23=0,0,1000000*SER_hh_emi!M23/SER_hh_num!M23)</f>
        <v>3055.1430481406746</v>
      </c>
      <c r="N23" s="133">
        <f>IF(SER_hh_emi!N23=0,0,1000000*SER_hh_emi!N23/SER_hh_num!N23)</f>
        <v>2998.6185593136247</v>
      </c>
      <c r="O23" s="133">
        <f>IF(SER_hh_emi!O23=0,0,1000000*SER_hh_emi!O23/SER_hh_num!O23)</f>
        <v>2949.4076970360356</v>
      </c>
      <c r="P23" s="133">
        <f>IF(SER_hh_emi!P23=0,0,1000000*SER_hh_emi!P23/SER_hh_num!P23)</f>
        <v>2859.0238220216561</v>
      </c>
      <c r="Q23" s="133">
        <f>IF(SER_hh_emi!Q23=0,0,1000000*SER_hh_emi!Q23/SER_hh_num!Q23)</f>
        <v>2803.2045411573567</v>
      </c>
      <c r="R23" s="133">
        <f>IF(SER_hh_emi!R23=0,0,1000000*SER_hh_emi!R23/SER_hh_num!R23)</f>
        <v>2789.7446201504135</v>
      </c>
      <c r="S23" s="133">
        <f>IF(SER_hh_emi!S23=0,0,1000000*SER_hh_emi!S23/SER_hh_num!S23)</f>
        <v>2740.9492792975448</v>
      </c>
      <c r="T23" s="133">
        <f>IF(SER_hh_emi!T23=0,0,1000000*SER_hh_emi!T23/SER_hh_num!T23)</f>
        <v>2671.3380471867149</v>
      </c>
      <c r="U23" s="133">
        <f>IF(SER_hh_emi!U23=0,0,1000000*SER_hh_emi!U23/SER_hh_num!U23)</f>
        <v>2635.086736017071</v>
      </c>
      <c r="V23" s="133">
        <f>IF(SER_hh_emi!V23=0,0,1000000*SER_hh_emi!V23/SER_hh_num!V23)</f>
        <v>2154.7438853590534</v>
      </c>
      <c r="W23" s="133">
        <f>IF(SER_hh_emi!W23=0,0,1000000*SER_hh_emi!W23/SER_hh_num!W23)</f>
        <v>2384.0055301606781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902.06879817929803</v>
      </c>
      <c r="C29" s="131">
        <f>IF(SER_hh_emi!C29=0,0,1000000*SER_hh_emi!C29/SER_hh_num!C29)</f>
        <v>695.53561916801857</v>
      </c>
      <c r="D29" s="131">
        <f>IF(SER_hh_emi!D29=0,0,1000000*SER_hh_emi!D29/SER_hh_num!D29)</f>
        <v>1035.9540627900169</v>
      </c>
      <c r="E29" s="131">
        <f>IF(SER_hh_emi!E29=0,0,1000000*SER_hh_emi!E29/SER_hh_num!E29)</f>
        <v>1129.2565848244265</v>
      </c>
      <c r="F29" s="131">
        <f>IF(SER_hh_emi!F29=0,0,1000000*SER_hh_emi!F29/SER_hh_num!F29)</f>
        <v>1318.8985595929396</v>
      </c>
      <c r="G29" s="131">
        <f>IF(SER_hh_emi!G29=0,0,1000000*SER_hh_emi!G29/SER_hh_num!G29)</f>
        <v>1845.107937383377</v>
      </c>
      <c r="H29" s="131">
        <f>IF(SER_hh_emi!H29=0,0,1000000*SER_hh_emi!H29/SER_hh_num!H29)</f>
        <v>1655.3592842824187</v>
      </c>
      <c r="I29" s="131">
        <f>IF(SER_hh_emi!I29=0,0,1000000*SER_hh_emi!I29/SER_hh_num!I29)</f>
        <v>1716.2622244989163</v>
      </c>
      <c r="J29" s="131">
        <f>IF(SER_hh_emi!J29=0,0,1000000*SER_hh_emi!J29/SER_hh_num!J29)</f>
        <v>1893.7904814030303</v>
      </c>
      <c r="K29" s="131">
        <f>IF(SER_hh_emi!K29=0,0,1000000*SER_hh_emi!K29/SER_hh_num!K29)</f>
        <v>1816.0232380882346</v>
      </c>
      <c r="L29" s="131">
        <f>IF(SER_hh_emi!L29=0,0,1000000*SER_hh_emi!L29/SER_hh_num!L29)</f>
        <v>1046.049625150393</v>
      </c>
      <c r="M29" s="131">
        <f>IF(SER_hh_emi!M29=0,0,1000000*SER_hh_emi!M29/SER_hh_num!M29)</f>
        <v>1049.8547475770786</v>
      </c>
      <c r="N29" s="131">
        <f>IF(SER_hh_emi!N29=0,0,1000000*SER_hh_emi!N29/SER_hh_num!N29)</f>
        <v>993.39716093310608</v>
      </c>
      <c r="O29" s="131">
        <f>IF(SER_hh_emi!O29=0,0,1000000*SER_hh_emi!O29/SER_hh_num!O29)</f>
        <v>1135.6278057724164</v>
      </c>
      <c r="P29" s="131">
        <f>IF(SER_hh_emi!P29=0,0,1000000*SER_hh_emi!P29/SER_hh_num!P29)</f>
        <v>1519.4672728750986</v>
      </c>
      <c r="Q29" s="131">
        <f>IF(SER_hh_emi!Q29=0,0,1000000*SER_hh_emi!Q29/SER_hh_num!Q29)</f>
        <v>1660.3430526983982</v>
      </c>
      <c r="R29" s="131">
        <f>IF(SER_hh_emi!R29=0,0,1000000*SER_hh_emi!R29/SER_hh_num!R29)</f>
        <v>1606.644658837527</v>
      </c>
      <c r="S29" s="131">
        <f>IF(SER_hh_emi!S29=0,0,1000000*SER_hh_emi!S29/SER_hh_num!S29)</f>
        <v>1616.6820230830544</v>
      </c>
      <c r="T29" s="131">
        <f>IF(SER_hh_emi!T29=0,0,1000000*SER_hh_emi!T29/SER_hh_num!T29)</f>
        <v>1932.7609016646713</v>
      </c>
      <c r="U29" s="131">
        <f>IF(SER_hh_emi!U29=0,0,1000000*SER_hh_emi!U29/SER_hh_num!U29)</f>
        <v>1895.3100299624439</v>
      </c>
      <c r="V29" s="131">
        <f>IF(SER_hh_emi!V29=0,0,1000000*SER_hh_emi!V29/SER_hh_num!V29)</f>
        <v>1434.5309946742225</v>
      </c>
      <c r="W29" s="131">
        <f>IF(SER_hh_emi!W29=0,0,1000000*SER_hh_emi!W29/SER_hh_num!W29)</f>
        <v>1276.2377740538916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3824.1447535907687</v>
      </c>
      <c r="C30" s="133">
        <f>IF(SER_hh_emi!C30=0,0,1000000*SER_hh_emi!C30/SER_hh_num!C30)</f>
        <v>2721.2154544905507</v>
      </c>
      <c r="D30" s="133">
        <f>IF(SER_hh_emi!D30=0,0,1000000*SER_hh_emi!D30/SER_hh_num!D30)</f>
        <v>3824.8131042246723</v>
      </c>
      <c r="E30" s="133">
        <f>IF(SER_hh_emi!E30=0,0,1000000*SER_hh_emi!E30/SER_hh_num!E30)</f>
        <v>3588.9678484555589</v>
      </c>
      <c r="F30" s="133">
        <f>IF(SER_hh_emi!F30=0,0,1000000*SER_hh_emi!F30/SER_hh_num!F30)</f>
        <v>3546.3641837883392</v>
      </c>
      <c r="G30" s="133">
        <f>IF(SER_hh_emi!G30=0,0,1000000*SER_hh_emi!G30/SER_hh_num!G30)</f>
        <v>4473.1634691401368</v>
      </c>
      <c r="H30" s="133">
        <f>IF(SER_hh_emi!H30=0,0,1000000*SER_hh_emi!H30/SER_hh_num!H30)</f>
        <v>3761.2812317996045</v>
      </c>
      <c r="I30" s="133">
        <f>IF(SER_hh_emi!I30=0,0,1000000*SER_hh_emi!I30/SER_hh_num!I30)</f>
        <v>3800.2152716151245</v>
      </c>
      <c r="J30" s="133">
        <f>IF(SER_hh_emi!J30=0,0,1000000*SER_hh_emi!J30/SER_hh_num!J30)</f>
        <v>4464.3165506353453</v>
      </c>
      <c r="K30" s="133">
        <f>IF(SER_hh_emi!K30=0,0,1000000*SER_hh_emi!K30/SER_hh_num!K30)</f>
        <v>4752.9930164689395</v>
      </c>
      <c r="L30" s="133">
        <f>IF(SER_hh_emi!L30=0,0,1000000*SER_hh_emi!L30/SER_hh_num!L30)</f>
        <v>2770.4976530323124</v>
      </c>
      <c r="M30" s="133">
        <f>IF(SER_hh_emi!M30=0,0,1000000*SER_hh_emi!M30/SER_hh_num!M30)</f>
        <v>3302.0487235807927</v>
      </c>
      <c r="N30" s="133">
        <f>IF(SER_hh_emi!N30=0,0,1000000*SER_hh_emi!N30/SER_hh_num!N30)</f>
        <v>2907.3821298354865</v>
      </c>
      <c r="O30" s="133">
        <f>IF(SER_hh_emi!O30=0,0,1000000*SER_hh_emi!O30/SER_hh_num!O30)</f>
        <v>2906.9058998492897</v>
      </c>
      <c r="P30" s="133">
        <f>IF(SER_hh_emi!P30=0,0,1000000*SER_hh_emi!P30/SER_hh_num!P30)</f>
        <v>4426.8752181549708</v>
      </c>
      <c r="Q30" s="133">
        <f>IF(SER_hh_emi!Q30=0,0,1000000*SER_hh_emi!Q30/SER_hh_num!Q30)</f>
        <v>4332.8439897715498</v>
      </c>
      <c r="R30" s="133">
        <f>IF(SER_hh_emi!R30=0,0,1000000*SER_hh_emi!R30/SER_hh_num!R30)</f>
        <v>3828.3880769304455</v>
      </c>
      <c r="S30" s="133">
        <f>IF(SER_hh_emi!S30=0,0,1000000*SER_hh_emi!S30/SER_hh_num!S30)</f>
        <v>3702.3791574271886</v>
      </c>
      <c r="T30" s="133">
        <f>IF(SER_hh_emi!T30=0,0,1000000*SER_hh_emi!T30/SER_hh_num!T30)</f>
        <v>4703.1160989050468</v>
      </c>
      <c r="U30" s="133">
        <f>IF(SER_hh_emi!U30=0,0,1000000*SER_hh_emi!U30/SER_hh_num!U30)</f>
        <v>4675.8807953357891</v>
      </c>
      <c r="V30" s="133">
        <f>IF(SER_hh_emi!V30=0,0,1000000*SER_hh_emi!V30/SER_hh_num!V30)</f>
        <v>3608.2865886245468</v>
      </c>
      <c r="W30" s="133">
        <f>IF(SER_hh_emi!W30=0,0,1000000*SER_hh_emi!W30/SER_hh_num!W30)</f>
        <v>3737.5235687108016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2759.6432015567807</v>
      </c>
      <c r="C31" s="133">
        <f>IF(SER_hh_emi!C31=0,0,1000000*SER_hh_emi!C31/SER_hh_num!C31)</f>
        <v>3027.7863670166003</v>
      </c>
      <c r="D31" s="133">
        <f>IF(SER_hh_emi!D31=0,0,1000000*SER_hh_emi!D31/SER_hh_num!D31)</f>
        <v>3257.5981682746442</v>
      </c>
      <c r="E31" s="133">
        <f>IF(SER_hh_emi!E31=0,0,1000000*SER_hh_emi!E31/SER_hh_num!E31)</f>
        <v>3227.7308595775867</v>
      </c>
      <c r="F31" s="133">
        <f>IF(SER_hh_emi!F31=0,0,1000000*SER_hh_emi!F31/SER_hh_num!F31)</f>
        <v>3416.3476936561287</v>
      </c>
      <c r="G31" s="133">
        <f>IF(SER_hh_emi!G31=0,0,1000000*SER_hh_emi!G31/SER_hh_num!G31)</f>
        <v>3469.8550155278185</v>
      </c>
      <c r="H31" s="133">
        <f>IF(SER_hh_emi!H31=0,0,1000000*SER_hh_emi!H31/SER_hh_num!H31)</f>
        <v>3472.8045789500125</v>
      </c>
      <c r="I31" s="133">
        <f>IF(SER_hh_emi!I31=0,0,1000000*SER_hh_emi!I31/SER_hh_num!I31)</f>
        <v>3433.6068662248945</v>
      </c>
      <c r="J31" s="133">
        <f>IF(SER_hh_emi!J31=0,0,1000000*SER_hh_emi!J31/SER_hh_num!J31)</f>
        <v>3303.2814106360493</v>
      </c>
      <c r="K31" s="133">
        <f>IF(SER_hh_emi!K31=0,0,1000000*SER_hh_emi!K31/SER_hh_num!K31)</f>
        <v>3327.648366524179</v>
      </c>
      <c r="L31" s="133">
        <f>IF(SER_hh_emi!L31=0,0,1000000*SER_hh_emi!L31/SER_hh_num!L31)</f>
        <v>3694.7410703029195</v>
      </c>
      <c r="M31" s="133">
        <f>IF(SER_hh_emi!M31=0,0,1000000*SER_hh_emi!M31/SER_hh_num!M31)</f>
        <v>3446.8809761114453</v>
      </c>
      <c r="N31" s="133">
        <f>IF(SER_hh_emi!N31=0,0,1000000*SER_hh_emi!N31/SER_hh_num!N31)</f>
        <v>3225.3023589232112</v>
      </c>
      <c r="O31" s="133">
        <f>IF(SER_hh_emi!O31=0,0,1000000*SER_hh_emi!O31/SER_hh_num!O31)</f>
        <v>3564.1790431162608</v>
      </c>
      <c r="P31" s="133">
        <f>IF(SER_hh_emi!P31=0,0,1000000*SER_hh_emi!P31/SER_hh_num!P31)</f>
        <v>3356.9578630090232</v>
      </c>
      <c r="Q31" s="133">
        <f>IF(SER_hh_emi!Q31=0,0,1000000*SER_hh_emi!Q31/SER_hh_num!Q31)</f>
        <v>3550.0752813581107</v>
      </c>
      <c r="R31" s="133">
        <f>IF(SER_hh_emi!R31=0,0,1000000*SER_hh_emi!R31/SER_hh_num!R31)</f>
        <v>3605.1198611560067</v>
      </c>
      <c r="S31" s="133">
        <f>IF(SER_hh_emi!S31=0,0,1000000*SER_hh_emi!S31/SER_hh_num!S31)</f>
        <v>3603.8606723457824</v>
      </c>
      <c r="T31" s="133">
        <f>IF(SER_hh_emi!T31=0,0,1000000*SER_hh_emi!T31/SER_hh_num!T31)</f>
        <v>3630.8702668886099</v>
      </c>
      <c r="U31" s="133">
        <f>IF(SER_hh_emi!U31=0,0,1000000*SER_hh_emi!U31/SER_hh_num!U31)</f>
        <v>3759.4787384755409</v>
      </c>
      <c r="V31" s="133">
        <f>IF(SER_hh_emi!V31=0,0,1000000*SER_hh_emi!V31/SER_hh_num!V31)</f>
        <v>3495.4377833798817</v>
      </c>
      <c r="W31" s="133">
        <f>IF(SER_hh_emi!W31=0,0,1000000*SER_hh_emi!W31/SER_hh_num!W31)</f>
        <v>3222.0465692593039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66.910633274814799</v>
      </c>
      <c r="C3" s="126">
        <f>IF(SER_hh_fech!C3=0,0,SER_hh_fech!C3/SER_summary!C$26)</f>
        <v>70.785523583497962</v>
      </c>
      <c r="D3" s="126">
        <f>IF(SER_hh_fech!D3=0,0,SER_hh_fech!D3/SER_summary!D$26)</f>
        <v>74.392741964116524</v>
      </c>
      <c r="E3" s="126">
        <f>IF(SER_hh_fech!E3=0,0,SER_hh_fech!E3/SER_summary!E$26)</f>
        <v>79.898344135332707</v>
      </c>
      <c r="F3" s="126">
        <f>IF(SER_hh_fech!F3=0,0,SER_hh_fech!F3/SER_summary!F$26)</f>
        <v>89.511417151434983</v>
      </c>
      <c r="G3" s="126">
        <f>IF(SER_hh_fech!G3=0,0,SER_hh_fech!G3/SER_summary!G$26)</f>
        <v>96.564811950502616</v>
      </c>
      <c r="H3" s="126">
        <f>IF(SER_hh_fech!H3=0,0,SER_hh_fech!H3/SER_summary!H$26)</f>
        <v>95.929279450993306</v>
      </c>
      <c r="I3" s="126">
        <f>IF(SER_hh_fech!I3=0,0,SER_hh_fech!I3/SER_summary!I$26)</f>
        <v>92.522157339584822</v>
      </c>
      <c r="J3" s="126">
        <f>IF(SER_hh_fech!J3=0,0,SER_hh_fech!J3/SER_summary!J$26)</f>
        <v>84.462660291967524</v>
      </c>
      <c r="K3" s="126">
        <f>IF(SER_hh_fech!K3=0,0,SER_hh_fech!K3/SER_summary!K$26)</f>
        <v>90.104357574672235</v>
      </c>
      <c r="L3" s="126">
        <f>IF(SER_hh_fech!L3=0,0,SER_hh_fech!L3/SER_summary!L$26)</f>
        <v>78.17498079757317</v>
      </c>
      <c r="M3" s="126">
        <f>IF(SER_hh_fech!M3=0,0,SER_hh_fech!M3/SER_summary!M$26)</f>
        <v>75.233075944560326</v>
      </c>
      <c r="N3" s="126">
        <f>IF(SER_hh_fech!N3=0,0,SER_hh_fech!N3/SER_summary!N$26)</f>
        <v>73.449777692190082</v>
      </c>
      <c r="O3" s="126">
        <f>IF(SER_hh_fech!O3=0,0,SER_hh_fech!O3/SER_summary!O$26)</f>
        <v>69.325840690180073</v>
      </c>
      <c r="P3" s="126">
        <f>IF(SER_hh_fech!P3=0,0,SER_hh_fech!P3/SER_summary!P$26)</f>
        <v>75.358448653926345</v>
      </c>
      <c r="Q3" s="126">
        <f>IF(SER_hh_fech!Q3=0,0,SER_hh_fech!Q3/SER_summary!Q$26)</f>
        <v>78.895232437207198</v>
      </c>
      <c r="R3" s="126">
        <f>IF(SER_hh_fech!R3=0,0,SER_hh_fech!R3/SER_summary!R$26)</f>
        <v>73.833281006527955</v>
      </c>
      <c r="S3" s="126">
        <f>IF(SER_hh_fech!S3=0,0,SER_hh_fech!S3/SER_summary!S$26)</f>
        <v>72.988979766095625</v>
      </c>
      <c r="T3" s="126">
        <f>IF(SER_hh_fech!T3=0,0,SER_hh_fech!T3/SER_summary!T$26)</f>
        <v>77.138182199577855</v>
      </c>
      <c r="U3" s="126">
        <f>IF(SER_hh_fech!U3=0,0,SER_hh_fech!U3/SER_summary!U$26)</f>
        <v>75.007183541781373</v>
      </c>
      <c r="V3" s="126">
        <f>IF(SER_hh_fech!V3=0,0,SER_hh_fech!V3/SER_summary!V$26)</f>
        <v>63.660554422835482</v>
      </c>
      <c r="W3" s="126">
        <f>IF(SER_hh_fech!W3=0,0,SER_hh_fech!W3/SER_summary!W$26)</f>
        <v>65.481659193646507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32.470775569681997</v>
      </c>
      <c r="C4" s="131">
        <f>IF(SER_hh_fech!C4=0,0,SER_hh_fech!C4/SER_summary!C$26)</f>
        <v>36.18639379645122</v>
      </c>
      <c r="D4" s="131">
        <f>IF(SER_hh_fech!D4=0,0,SER_hh_fech!D4/SER_summary!D$26)</f>
        <v>38.781009930262172</v>
      </c>
      <c r="E4" s="131">
        <f>IF(SER_hh_fech!E4=0,0,SER_hh_fech!E4/SER_summary!E$26)</f>
        <v>42.181444590530042</v>
      </c>
      <c r="F4" s="131">
        <f>IF(SER_hh_fech!F4=0,0,SER_hh_fech!F4/SER_summary!F$26)</f>
        <v>52.690764456754486</v>
      </c>
      <c r="G4" s="131">
        <f>IF(SER_hh_fech!G4=0,0,SER_hh_fech!G4/SER_summary!G$26)</f>
        <v>58.82054278339011</v>
      </c>
      <c r="H4" s="131">
        <f>IF(SER_hh_fech!H4=0,0,SER_hh_fech!H4/SER_summary!H$26)</f>
        <v>57.412361438456664</v>
      </c>
      <c r="I4" s="131">
        <f>IF(SER_hh_fech!I4=0,0,SER_hh_fech!I4/SER_summary!I$26)</f>
        <v>56.168524954866506</v>
      </c>
      <c r="J4" s="131">
        <f>IF(SER_hh_fech!J4=0,0,SER_hh_fech!J4/SER_summary!J$26)</f>
        <v>47.819590427843487</v>
      </c>
      <c r="K4" s="131">
        <f>IF(SER_hh_fech!K4=0,0,SER_hh_fech!K4/SER_summary!K$26)</f>
        <v>52.598964145128548</v>
      </c>
      <c r="L4" s="131">
        <f>IF(SER_hh_fech!L4=0,0,SER_hh_fech!L4/SER_summary!L$26)</f>
        <v>39.562744076549947</v>
      </c>
      <c r="M4" s="131">
        <f>IF(SER_hh_fech!M4=0,0,SER_hh_fech!M4/SER_summary!M$26)</f>
        <v>38.874807677599598</v>
      </c>
      <c r="N4" s="131">
        <f>IF(SER_hh_fech!N4=0,0,SER_hh_fech!N4/SER_summary!N$26)</f>
        <v>36.944810830665624</v>
      </c>
      <c r="O4" s="131">
        <f>IF(SER_hh_fech!O4=0,0,SER_hh_fech!O4/SER_summary!O$26)</f>
        <v>32.774532138520406</v>
      </c>
      <c r="P4" s="131">
        <f>IF(SER_hh_fech!P4=0,0,SER_hh_fech!P4/SER_summary!P$26)</f>
        <v>39.515918946501813</v>
      </c>
      <c r="Q4" s="131">
        <f>IF(SER_hh_fech!Q4=0,0,SER_hh_fech!Q4/SER_summary!Q$26)</f>
        <v>42.112182509242842</v>
      </c>
      <c r="R4" s="131">
        <f>IF(SER_hh_fech!R4=0,0,SER_hh_fech!R4/SER_summary!R$26)</f>
        <v>34.924381544069277</v>
      </c>
      <c r="S4" s="131">
        <f>IF(SER_hh_fech!S4=0,0,SER_hh_fech!S4/SER_summary!S$26)</f>
        <v>34.57195008851177</v>
      </c>
      <c r="T4" s="131">
        <f>IF(SER_hh_fech!T4=0,0,SER_hh_fech!T4/SER_summary!T$26)</f>
        <v>39.586711646001994</v>
      </c>
      <c r="U4" s="131">
        <f>IF(SER_hh_fech!U4=0,0,SER_hh_fech!U4/SER_summary!U$26)</f>
        <v>39.107803760285748</v>
      </c>
      <c r="V4" s="131">
        <f>IF(SER_hh_fech!V4=0,0,SER_hh_fech!V4/SER_summary!V$26)</f>
        <v>29.895604276392792</v>
      </c>
      <c r="W4" s="131">
        <f>IF(SER_hh_fech!W4=0,0,SER_hh_fech!W4/SER_summary!W$26)</f>
        <v>33.122787382638805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37.706063568346451</v>
      </c>
      <c r="C7" s="133">
        <f>IF(SER_hh_fech!C7=0,0,SER_hh_fech!C7/SER_summary!C$26)</f>
        <v>42.706971435316241</v>
      </c>
      <c r="D7" s="133">
        <f>IF(SER_hh_fech!D7=0,0,SER_hh_fech!D7/SER_summary!D$26)</f>
        <v>46.029206263136381</v>
      </c>
      <c r="E7" s="133">
        <f>IF(SER_hh_fech!E7=0,0,SER_hh_fech!E7/SER_summary!E$26)</f>
        <v>51.624138872090157</v>
      </c>
      <c r="F7" s="133">
        <f>IF(SER_hh_fech!F7=0,0,SER_hh_fech!F7/SER_summary!F$26)</f>
        <v>68.342560389651013</v>
      </c>
      <c r="G7" s="133">
        <f>IF(SER_hh_fech!G7=0,0,SER_hh_fech!G7/SER_summary!G$26)</f>
        <v>82.327461132270841</v>
      </c>
      <c r="H7" s="133">
        <f>IF(SER_hh_fech!H7=0,0,SER_hh_fech!H7/SER_summary!H$26)</f>
        <v>85.095091273239788</v>
      </c>
      <c r="I7" s="133">
        <f>IF(SER_hh_fech!I7=0,0,SER_hh_fech!I7/SER_summary!I$26)</f>
        <v>88.499010515512722</v>
      </c>
      <c r="J7" s="133">
        <f>IF(SER_hh_fech!J7=0,0,SER_hh_fech!J7/SER_summary!J$26)</f>
        <v>73.649728794306384</v>
      </c>
      <c r="K7" s="133">
        <f>IF(SER_hh_fech!K7=0,0,SER_hh_fech!K7/SER_summary!K$26)</f>
        <v>111.24327804229888</v>
      </c>
      <c r="L7" s="133">
        <f>IF(SER_hh_fech!L7=0,0,SER_hh_fech!L7/SER_summary!L$26)</f>
        <v>85.057185326116638</v>
      </c>
      <c r="M7" s="133">
        <f>IF(SER_hh_fech!M7=0,0,SER_hh_fech!M7/SER_summary!M$26)</f>
        <v>79.998772551940732</v>
      </c>
      <c r="N7" s="133">
        <f>IF(SER_hh_fech!N7=0,0,SER_hh_fech!N7/SER_summary!N$26)</f>
        <v>79.32803300816721</v>
      </c>
      <c r="O7" s="133">
        <f>IF(SER_hh_fech!O7=0,0,SER_hh_fech!O7/SER_summary!O$26)</f>
        <v>90.65335758132197</v>
      </c>
      <c r="P7" s="133">
        <f>IF(SER_hh_fech!P7=0,0,SER_hh_fech!P7/SER_summary!P$26)</f>
        <v>95.219481611061425</v>
      </c>
      <c r="Q7" s="133">
        <f>IF(SER_hh_fech!Q7=0,0,SER_hh_fech!Q7/SER_summary!Q$26)</f>
        <v>123.17163778070376</v>
      </c>
      <c r="R7" s="133">
        <f>IF(SER_hh_fech!R7=0,0,SER_hh_fech!R7/SER_summary!R$26)</f>
        <v>92.881412553790895</v>
      </c>
      <c r="S7" s="133">
        <f>IF(SER_hh_fech!S7=0,0,SER_hh_fech!S7/SER_summary!S$26)</f>
        <v>86.040276912341241</v>
      </c>
      <c r="T7" s="133">
        <f>IF(SER_hh_fech!T7=0,0,SER_hh_fech!T7/SER_summary!T$26)</f>
        <v>93.43330532755256</v>
      </c>
      <c r="U7" s="133">
        <f>IF(SER_hh_fech!U7=0,0,SER_hh_fech!U7/SER_summary!U$26)</f>
        <v>91.880400695632062</v>
      </c>
      <c r="V7" s="133">
        <f>IF(SER_hh_fech!V7=0,0,SER_hh_fech!V7/SER_summary!V$26)</f>
        <v>81.385488553621272</v>
      </c>
      <c r="W7" s="133">
        <f>IF(SER_hh_fech!W7=0,0,SER_hh_fech!W7/SER_summary!W$26)</f>
        <v>71.636985713511606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16.003342727390812</v>
      </c>
      <c r="C8" s="133">
        <f>IF(SER_hh_fech!C8=0,0,SER_hh_fech!C8/SER_summary!C$26)</f>
        <v>17.428843513141548</v>
      </c>
      <c r="D8" s="133">
        <f>IF(SER_hh_fech!D8=0,0,SER_hh_fech!D8/SER_summary!D$26)</f>
        <v>20.999845146705848</v>
      </c>
      <c r="E8" s="133">
        <f>IF(SER_hh_fech!E8=0,0,SER_hh_fech!E8/SER_summary!E$26)</f>
        <v>24.747171267151732</v>
      </c>
      <c r="F8" s="133">
        <f>IF(SER_hh_fech!F8=0,0,SER_hh_fech!F8/SER_summary!F$26)</f>
        <v>27.287389609031912</v>
      </c>
      <c r="G8" s="133">
        <f>IF(SER_hh_fech!G8=0,0,SER_hh_fech!G8/SER_summary!G$26)</f>
        <v>28.355806020949785</v>
      </c>
      <c r="H8" s="133">
        <f>IF(SER_hh_fech!H8=0,0,SER_hh_fech!H8/SER_summary!H$26)</f>
        <v>30.937760590381185</v>
      </c>
      <c r="I8" s="133">
        <f>IF(SER_hh_fech!I8=0,0,SER_hh_fech!I8/SER_summary!I$26)</f>
        <v>31.005205186755877</v>
      </c>
      <c r="J8" s="133">
        <f>IF(SER_hh_fech!J8=0,0,SER_hh_fech!J8/SER_summary!J$26)</f>
        <v>31.284397769181698</v>
      </c>
      <c r="K8" s="133">
        <f>IF(SER_hh_fech!K8=0,0,SER_hh_fech!K8/SER_summary!K$26)</f>
        <v>28.467770263673714</v>
      </c>
      <c r="L8" s="133">
        <f>IF(SER_hh_fech!L8=0,0,SER_hh_fech!L8/SER_summary!L$26)</f>
        <v>27.692846170661788</v>
      </c>
      <c r="M8" s="133">
        <f>IF(SER_hh_fech!M8=0,0,SER_hh_fech!M8/SER_summary!M$26)</f>
        <v>28.449147269185872</v>
      </c>
      <c r="N8" s="133">
        <f>IF(SER_hh_fech!N8=0,0,SER_hh_fech!N8/SER_summary!N$26)</f>
        <v>28.077618939481397</v>
      </c>
      <c r="O8" s="133">
        <f>IF(SER_hh_fech!O8=0,0,SER_hh_fech!O8/SER_summary!O$26)</f>
        <v>29.060011571339899</v>
      </c>
      <c r="P8" s="133">
        <f>IF(SER_hh_fech!P8=0,0,SER_hh_fech!P8/SER_summary!P$26)</f>
        <v>31.491630048292734</v>
      </c>
      <c r="Q8" s="133">
        <f>IF(SER_hh_fech!Q8=0,0,SER_hh_fech!Q8/SER_summary!Q$26)</f>
        <v>32.315525853615512</v>
      </c>
      <c r="R8" s="133">
        <f>IF(SER_hh_fech!R8=0,0,SER_hh_fech!R8/SER_summary!R$26)</f>
        <v>30.329173795330433</v>
      </c>
      <c r="S8" s="133">
        <f>IF(SER_hh_fech!S8=0,0,SER_hh_fech!S8/SER_summary!S$26)</f>
        <v>29.174267946559681</v>
      </c>
      <c r="T8" s="133">
        <f>IF(SER_hh_fech!T8=0,0,SER_hh_fech!T8/SER_summary!T$26)</f>
        <v>29.214184351345494</v>
      </c>
      <c r="U8" s="133">
        <f>IF(SER_hh_fech!U8=0,0,SER_hh_fech!U8/SER_summary!U$26)</f>
        <v>29.237409676174334</v>
      </c>
      <c r="V8" s="133">
        <f>IF(SER_hh_fech!V8=0,0,SER_hh_fech!V8/SER_summary!V$26)</f>
        <v>27.240411940606727</v>
      </c>
      <c r="W8" s="133">
        <f>IF(SER_hh_fech!W8=0,0,SER_hh_fech!W8/SER_summary!W$26)</f>
        <v>28.150541377094541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32.391214706700701</v>
      </c>
      <c r="C9" s="133">
        <f>IF(SER_hh_fech!C9=0,0,SER_hh_fech!C9/SER_summary!C$26)</f>
        <v>35.847429881256026</v>
      </c>
      <c r="D9" s="133">
        <f>IF(SER_hh_fech!D9=0,0,SER_hh_fech!D9/SER_summary!D$26)</f>
        <v>44.371244772181598</v>
      </c>
      <c r="E9" s="133">
        <f>IF(SER_hh_fech!E9=0,0,SER_hh_fech!E9/SER_summary!E$26)</f>
        <v>47.558718133583575</v>
      </c>
      <c r="F9" s="133">
        <f>IF(SER_hh_fech!F9=0,0,SER_hh_fech!F9/SER_summary!F$26)</f>
        <v>60.341706443652392</v>
      </c>
      <c r="G9" s="133">
        <f>IF(SER_hh_fech!G9=0,0,SER_hh_fech!G9/SER_summary!G$26)</f>
        <v>60.353873035621191</v>
      </c>
      <c r="H9" s="133">
        <f>IF(SER_hh_fech!H9=0,0,SER_hh_fech!H9/SER_summary!H$26)</f>
        <v>69.836718064942431</v>
      </c>
      <c r="I9" s="133">
        <f>IF(SER_hh_fech!I9=0,0,SER_hh_fech!I9/SER_summary!I$26)</f>
        <v>72.836962859736431</v>
      </c>
      <c r="J9" s="133">
        <f>IF(SER_hh_fech!J9=0,0,SER_hh_fech!J9/SER_summary!J$26)</f>
        <v>73.365729093609886</v>
      </c>
      <c r="K9" s="133">
        <f>IF(SER_hh_fech!K9=0,0,SER_hh_fech!K9/SER_summary!K$26)</f>
        <v>79.085757085929487</v>
      </c>
      <c r="L9" s="133">
        <f>IF(SER_hh_fech!L9=0,0,SER_hh_fech!L9/SER_summary!L$26)</f>
        <v>69.384095863308829</v>
      </c>
      <c r="M9" s="133">
        <f>IF(SER_hh_fech!M9=0,0,SER_hh_fech!M9/SER_summary!M$26)</f>
        <v>77.973492577839821</v>
      </c>
      <c r="N9" s="133">
        <f>IF(SER_hh_fech!N9=0,0,SER_hh_fech!N9/SER_summary!N$26)</f>
        <v>80.283065855466248</v>
      </c>
      <c r="O9" s="133">
        <f>IF(SER_hh_fech!O9=0,0,SER_hh_fech!O9/SER_summary!O$26)</f>
        <v>79.11738595833296</v>
      </c>
      <c r="P9" s="133">
        <f>IF(SER_hh_fech!P9=0,0,SER_hh_fech!P9/SER_summary!P$26)</f>
        <v>82.802407529881137</v>
      </c>
      <c r="Q9" s="133">
        <f>IF(SER_hh_fech!Q9=0,0,SER_hh_fech!Q9/SER_summary!Q$26)</f>
        <v>87.578680270122959</v>
      </c>
      <c r="R9" s="133">
        <f>IF(SER_hh_fech!R9=0,0,SER_hh_fech!R9/SER_summary!R$26)</f>
        <v>89.473617998557501</v>
      </c>
      <c r="S9" s="133">
        <f>IF(SER_hh_fech!S9=0,0,SER_hh_fech!S9/SER_summary!S$26)</f>
        <v>86.724769124028924</v>
      </c>
      <c r="T9" s="133">
        <f>IF(SER_hh_fech!T9=0,0,SER_hh_fech!T9/SER_summary!T$26)</f>
        <v>92.785311139753333</v>
      </c>
      <c r="U9" s="133">
        <f>IF(SER_hh_fech!U9=0,0,SER_hh_fech!U9/SER_summary!U$26)</f>
        <v>87.724474507110756</v>
      </c>
      <c r="V9" s="133">
        <f>IF(SER_hh_fech!V9=0,0,SER_hh_fech!V9/SER_summary!V$26)</f>
        <v>68.289787592532974</v>
      </c>
      <c r="W9" s="133">
        <f>IF(SER_hh_fech!W9=0,0,SER_hh_fech!W9/SER_summary!W$26)</f>
        <v>97.766091480434838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0</v>
      </c>
      <c r="J10" s="133">
        <f>IF(SER_hh_fech!J10=0,0,SER_hh_fech!J10/SER_summary!J$26)</f>
        <v>0</v>
      </c>
      <c r="K10" s="133">
        <f>IF(SER_hh_fech!K10=0,0,SER_hh_fech!K10/SER_summary!K$26)</f>
        <v>0</v>
      </c>
      <c r="L10" s="133">
        <f>IF(SER_hh_fech!L10=0,0,SER_hh_fech!L10/SER_summary!L$26)</f>
        <v>0</v>
      </c>
      <c r="M10" s="133">
        <f>IF(SER_hh_fech!M10=0,0,SER_hh_fech!M10/SER_summary!M$26)</f>
        <v>124.27518410223861</v>
      </c>
      <c r="N10" s="133">
        <f>IF(SER_hh_fech!N10=0,0,SER_hh_fech!N10/SER_summary!N$26)</f>
        <v>111.44020227900421</v>
      </c>
      <c r="O10" s="133">
        <f>IF(SER_hh_fech!O10=0,0,SER_hh_fech!O10/SER_summary!O$26)</f>
        <v>82.000180976689947</v>
      </c>
      <c r="P10" s="133">
        <f>IF(SER_hh_fech!P10=0,0,SER_hh_fech!P10/SER_summary!P$26)</f>
        <v>103.01986908540189</v>
      </c>
      <c r="Q10" s="133">
        <f>IF(SER_hh_fech!Q10=0,0,SER_hh_fech!Q10/SER_summary!Q$26)</f>
        <v>103.7333750942139</v>
      </c>
      <c r="R10" s="133">
        <f>IF(SER_hh_fech!R10=0,0,SER_hh_fech!R10/SER_summary!R$26)</f>
        <v>96.113651944065978</v>
      </c>
      <c r="S10" s="133">
        <f>IF(SER_hh_fech!S10=0,0,SER_hh_fech!S10/SER_summary!S$26)</f>
        <v>122.51465660647828</v>
      </c>
      <c r="T10" s="133">
        <f>IF(SER_hh_fech!T10=0,0,SER_hh_fech!T10/SER_summary!T$26)</f>
        <v>114.40300471523068</v>
      </c>
      <c r="U10" s="133">
        <f>IF(SER_hh_fech!U10=0,0,SER_hh_fech!U10/SER_summary!U$26)</f>
        <v>107.19102799128117</v>
      </c>
      <c r="V10" s="133">
        <f>IF(SER_hh_fech!V10=0,0,SER_hh_fech!V10/SER_summary!V$26)</f>
        <v>90.327384069244843</v>
      </c>
      <c r="W10" s="133">
        <f>IF(SER_hh_fech!W10=0,0,SER_hh_fech!W10/SER_summary!W$26)</f>
        <v>117.37272767188239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24.116673011425597</v>
      </c>
      <c r="C11" s="133">
        <f>IF(SER_hh_fech!C11=0,0,SER_hh_fech!C11/SER_summary!C$26)</f>
        <v>25.893589831567244</v>
      </c>
      <c r="D11" s="133">
        <f>IF(SER_hh_fech!D11=0,0,SER_hh_fech!D11/SER_summary!D$26)</f>
        <v>29.234876730225196</v>
      </c>
      <c r="E11" s="133">
        <f>IF(SER_hh_fech!E11=0,0,SER_hh_fech!E11/SER_summary!E$26)</f>
        <v>33.996420629902438</v>
      </c>
      <c r="F11" s="133">
        <f>IF(SER_hh_fech!F11=0,0,SER_hh_fech!F11/SER_summary!F$26)</f>
        <v>40.375648269012444</v>
      </c>
      <c r="G11" s="133">
        <f>IF(SER_hh_fech!G11=0,0,SER_hh_fech!G11/SER_summary!G$26)</f>
        <v>47.146815611146167</v>
      </c>
      <c r="H11" s="133">
        <f>IF(SER_hh_fech!H11=0,0,SER_hh_fech!H11/SER_summary!H$26)</f>
        <v>52.054010905931094</v>
      </c>
      <c r="I11" s="133">
        <f>IF(SER_hh_fech!I11=0,0,SER_hh_fech!I11/SER_summary!I$26)</f>
        <v>55.323216340225542</v>
      </c>
      <c r="J11" s="133">
        <f>IF(SER_hh_fech!J11=0,0,SER_hh_fech!J11/SER_summary!J$26)</f>
        <v>56.322271712878752</v>
      </c>
      <c r="K11" s="133">
        <f>IF(SER_hh_fech!K11=0,0,SER_hh_fech!K11/SER_summary!K$26)</f>
        <v>54.23642161293337</v>
      </c>
      <c r="L11" s="133">
        <f>IF(SER_hh_fech!L11=0,0,SER_hh_fech!L11/SER_summary!L$26)</f>
        <v>48.802543851946496</v>
      </c>
      <c r="M11" s="133">
        <f>IF(SER_hh_fech!M11=0,0,SER_hh_fech!M11/SER_summary!M$26)</f>
        <v>65.943045447188865</v>
      </c>
      <c r="N11" s="133">
        <f>IF(SER_hh_fech!N11=0,0,SER_hh_fech!N11/SER_summary!N$26)</f>
        <v>65.710222821574007</v>
      </c>
      <c r="O11" s="133">
        <f>IF(SER_hh_fech!O11=0,0,SER_hh_fech!O11/SER_summary!O$26)</f>
        <v>56.463244761309433</v>
      </c>
      <c r="P11" s="133">
        <f>IF(SER_hh_fech!P11=0,0,SER_hh_fech!P11/SER_summary!P$26)</f>
        <v>64.656681791423281</v>
      </c>
      <c r="Q11" s="133">
        <f>IF(SER_hh_fech!Q11=0,0,SER_hh_fech!Q11/SER_summary!Q$26)</f>
        <v>74.679516771189626</v>
      </c>
      <c r="R11" s="133">
        <f>IF(SER_hh_fech!R11=0,0,SER_hh_fech!R11/SER_summary!R$26)</f>
        <v>64.521413883075311</v>
      </c>
      <c r="S11" s="133">
        <f>IF(SER_hh_fech!S11=0,0,SER_hh_fech!S11/SER_summary!S$26)</f>
        <v>69.371381058709176</v>
      </c>
      <c r="T11" s="133">
        <f>IF(SER_hh_fech!T11=0,0,SER_hh_fech!T11/SER_summary!T$26)</f>
        <v>76.877343082236649</v>
      </c>
      <c r="U11" s="133">
        <f>IF(SER_hh_fech!U11=0,0,SER_hh_fech!U11/SER_summary!U$26)</f>
        <v>78.149856865468195</v>
      </c>
      <c r="V11" s="133">
        <f>IF(SER_hh_fech!V11=0,0,SER_hh_fech!V11/SER_summary!V$26)</f>
        <v>65.333539209301506</v>
      </c>
      <c r="W11" s="133">
        <f>IF(SER_hh_fech!W11=0,0,SER_hh_fech!W11/SER_summary!W$26)</f>
        <v>71.871184319288687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19.096340562576522</v>
      </c>
      <c r="C12" s="133">
        <f>IF(SER_hh_fech!C12=0,0,SER_hh_fech!C12/SER_summary!C$26)</f>
        <v>23.851783786946672</v>
      </c>
      <c r="D12" s="133">
        <f>IF(SER_hh_fech!D12=0,0,SER_hh_fech!D12/SER_summary!D$26)</f>
        <v>32.100423044080046</v>
      </c>
      <c r="E12" s="133">
        <f>IF(SER_hh_fech!E12=0,0,SER_hh_fech!E12/SER_summary!E$26)</f>
        <v>32.399952615532108</v>
      </c>
      <c r="F12" s="133">
        <f>IF(SER_hh_fech!F12=0,0,SER_hh_fech!F12/SER_summary!F$26)</f>
        <v>43.875586750402519</v>
      </c>
      <c r="G12" s="133">
        <f>IF(SER_hh_fech!G12=0,0,SER_hh_fech!G12/SER_summary!G$26)</f>
        <v>41.667425559075319</v>
      </c>
      <c r="H12" s="133">
        <f>IF(SER_hh_fech!H12=0,0,SER_hh_fech!H12/SER_summary!H$26)</f>
        <v>49.243940983306373</v>
      </c>
      <c r="I12" s="133">
        <f>IF(SER_hh_fech!I12=0,0,SER_hh_fech!I12/SER_summary!I$26)</f>
        <v>54.574257738760515</v>
      </c>
      <c r="J12" s="133">
        <f>IF(SER_hh_fech!J12=0,0,SER_hh_fech!J12/SER_summary!J$26)</f>
        <v>50.70736525536811</v>
      </c>
      <c r="K12" s="133">
        <f>IF(SER_hh_fech!K12=0,0,SER_hh_fech!K12/SER_summary!K$26)</f>
        <v>45.87956596425451</v>
      </c>
      <c r="L12" s="133">
        <f>IF(SER_hh_fech!L12=0,0,SER_hh_fech!L12/SER_summary!L$26)</f>
        <v>60.420189644635514</v>
      </c>
      <c r="M12" s="133">
        <f>IF(SER_hh_fech!M12=0,0,SER_hh_fech!M12/SER_summary!M$26)</f>
        <v>51.775397340745073</v>
      </c>
      <c r="N12" s="133">
        <f>IF(SER_hh_fech!N12=0,0,SER_hh_fech!N12/SER_summary!N$26)</f>
        <v>67.237270803256621</v>
      </c>
      <c r="O12" s="133">
        <f>IF(SER_hh_fech!O12=0,0,SER_hh_fech!O12/SER_summary!O$26)</f>
        <v>67.14785658033199</v>
      </c>
      <c r="P12" s="133">
        <f>IF(SER_hh_fech!P12=0,0,SER_hh_fech!P12/SER_summary!P$26)</f>
        <v>71.288960807221628</v>
      </c>
      <c r="Q12" s="133">
        <f>IF(SER_hh_fech!Q12=0,0,SER_hh_fech!Q12/SER_summary!Q$26)</f>
        <v>70.007645410236208</v>
      </c>
      <c r="R12" s="133">
        <f>IF(SER_hh_fech!R12=0,0,SER_hh_fech!R12/SER_summary!R$26)</f>
        <v>66.748852290660736</v>
      </c>
      <c r="S12" s="133">
        <f>IF(SER_hh_fech!S12=0,0,SER_hh_fech!S12/SER_summary!S$26)</f>
        <v>73.523206430220185</v>
      </c>
      <c r="T12" s="133">
        <f>IF(SER_hh_fech!T12=0,0,SER_hh_fech!T12/SER_summary!T$26)</f>
        <v>73.446022743359777</v>
      </c>
      <c r="U12" s="133">
        <f>IF(SER_hh_fech!U12=0,0,SER_hh_fech!U12/SER_summary!U$26)</f>
        <v>72.655966968086247</v>
      </c>
      <c r="V12" s="133">
        <f>IF(SER_hh_fech!V12=0,0,SER_hh_fech!V12/SER_summary!V$26)</f>
        <v>70.229335411388291</v>
      </c>
      <c r="W12" s="133">
        <f>IF(SER_hh_fech!W12=0,0,SER_hh_fech!W12/SER_summary!W$26)</f>
        <v>73.044605189827323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12.051151905683279</v>
      </c>
      <c r="C13" s="133">
        <f>IF(SER_hh_fech!C13=0,0,SER_hh_fech!C13/SER_summary!C$26)</f>
        <v>13.489091441241259</v>
      </c>
      <c r="D13" s="133">
        <f>IF(SER_hh_fech!D13=0,0,SER_hh_fech!D13/SER_summary!D$26)</f>
        <v>11.286897794822639</v>
      </c>
      <c r="E13" s="133">
        <f>IF(SER_hh_fech!E13=0,0,SER_hh_fech!E13/SER_summary!E$26)</f>
        <v>18.178630329301605</v>
      </c>
      <c r="F13" s="133">
        <f>IF(SER_hh_fech!F13=0,0,SER_hh_fech!F13/SER_summary!F$26)</f>
        <v>16.382374487502144</v>
      </c>
      <c r="G13" s="133">
        <f>IF(SER_hh_fech!G13=0,0,SER_hh_fech!G13/SER_summary!G$26)</f>
        <v>19.919534875897941</v>
      </c>
      <c r="H13" s="133">
        <f>IF(SER_hh_fech!H13=0,0,SER_hh_fech!H13/SER_summary!H$26)</f>
        <v>20.67662596362193</v>
      </c>
      <c r="I13" s="133">
        <f>IF(SER_hh_fech!I13=0,0,SER_hh_fech!I13/SER_summary!I$26)</f>
        <v>20.431434079716695</v>
      </c>
      <c r="J13" s="133">
        <f>IF(SER_hh_fech!J13=0,0,SER_hh_fech!J13/SER_summary!J$26)</f>
        <v>21.278771810429685</v>
      </c>
      <c r="K13" s="133">
        <f>IF(SER_hh_fech!K13=0,0,SER_hh_fech!K13/SER_summary!K$26)</f>
        <v>19.695953629035436</v>
      </c>
      <c r="L13" s="133">
        <f>IF(SER_hh_fech!L13=0,0,SER_hh_fech!L13/SER_summary!L$26)</f>
        <v>20.003531040598034</v>
      </c>
      <c r="M13" s="133">
        <f>IF(SER_hh_fech!M13=0,0,SER_hh_fech!M13/SER_summary!M$26)</f>
        <v>19.624880821022629</v>
      </c>
      <c r="N13" s="133">
        <f>IF(SER_hh_fech!N13=0,0,SER_hh_fech!N13/SER_summary!N$26)</f>
        <v>20.781189715204405</v>
      </c>
      <c r="O13" s="133">
        <f>IF(SER_hh_fech!O13=0,0,SER_hh_fech!O13/SER_summary!O$26)</f>
        <v>21.03608969742724</v>
      </c>
      <c r="P13" s="133">
        <f>IF(SER_hh_fech!P13=0,0,SER_hh_fech!P13/SER_summary!P$26)</f>
        <v>23.582469529134261</v>
      </c>
      <c r="Q13" s="133">
        <f>IF(SER_hh_fech!Q13=0,0,SER_hh_fech!Q13/SER_summary!Q$26)</f>
        <v>22.788836930273003</v>
      </c>
      <c r="R13" s="133">
        <f>IF(SER_hh_fech!R13=0,0,SER_hh_fech!R13/SER_summary!R$26)</f>
        <v>21.498472841973708</v>
      </c>
      <c r="S13" s="133">
        <f>IF(SER_hh_fech!S13=0,0,SER_hh_fech!S13/SER_summary!S$26)</f>
        <v>20.980803280510152</v>
      </c>
      <c r="T13" s="133">
        <f>IF(SER_hh_fech!T13=0,0,SER_hh_fech!T13/SER_summary!T$26)</f>
        <v>20.60612342935163</v>
      </c>
      <c r="U13" s="133">
        <f>IF(SER_hh_fech!U13=0,0,SER_hh_fech!U13/SER_summary!U$26)</f>
        <v>19.980844946277124</v>
      </c>
      <c r="V13" s="133">
        <f>IF(SER_hh_fech!V13=0,0,SER_hh_fech!V13/SER_summary!V$26)</f>
        <v>18.760067378854181</v>
      </c>
      <c r="W13" s="133">
        <f>IF(SER_hh_fech!W13=0,0,SER_hh_fech!W13/SER_summary!W$26)</f>
        <v>18.2006587063272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26.196428380227669</v>
      </c>
      <c r="C14" s="65">
        <f>IF(SER_hh_fech!C14=0,0,SER_hh_fech!C14/SER_summary!C$26)</f>
        <v>27.846118007923792</v>
      </c>
      <c r="D14" s="65">
        <f>IF(SER_hh_fech!D14=0,0,SER_hh_fech!D14/SER_summary!D$26)</f>
        <v>31.169704409896063</v>
      </c>
      <c r="E14" s="65">
        <f>IF(SER_hh_fech!E14=0,0,SER_hh_fech!E14/SER_summary!E$26)</f>
        <v>34.313137771717919</v>
      </c>
      <c r="F14" s="65">
        <f>IF(SER_hh_fech!F14=0,0,SER_hh_fech!F14/SER_summary!F$26)</f>
        <v>45.69457846674829</v>
      </c>
      <c r="G14" s="65">
        <f>IF(SER_hh_fech!G14=0,0,SER_hh_fech!G14/SER_summary!G$26)</f>
        <v>55.17715443081358</v>
      </c>
      <c r="H14" s="65">
        <f>IF(SER_hh_fech!H14=0,0,SER_hh_fech!H14/SER_summary!H$26)</f>
        <v>55.068421200729951</v>
      </c>
      <c r="I14" s="65">
        <f>IF(SER_hh_fech!I14=0,0,SER_hh_fech!I14/SER_summary!I$26)</f>
        <v>64.03645625194595</v>
      </c>
      <c r="J14" s="65">
        <f>IF(SER_hh_fech!J14=0,0,SER_hh_fech!J14/SER_summary!J$26)</f>
        <v>62.990012505578669</v>
      </c>
      <c r="K14" s="65">
        <f>IF(SER_hh_fech!K14=0,0,SER_hh_fech!K14/SER_summary!K$26)</f>
        <v>67.25523033790401</v>
      </c>
      <c r="L14" s="65">
        <f>IF(SER_hh_fech!L14=0,0,SER_hh_fech!L14/SER_summary!L$26)</f>
        <v>49.766628192314407</v>
      </c>
      <c r="M14" s="65">
        <f>IF(SER_hh_fech!M14=0,0,SER_hh_fech!M14/SER_summary!M$26)</f>
        <v>69.93852402462403</v>
      </c>
      <c r="N14" s="65">
        <f>IF(SER_hh_fech!N14=0,0,SER_hh_fech!N14/SER_summary!N$26)</f>
        <v>69.145146228477756</v>
      </c>
      <c r="O14" s="65">
        <f>IF(SER_hh_fech!O14=0,0,SER_hh_fech!O14/SER_summary!O$26)</f>
        <v>18.405098976693871</v>
      </c>
      <c r="P14" s="65">
        <f>IF(SER_hh_fech!P14=0,0,SER_hh_fech!P14/SER_summary!P$26)</f>
        <v>98.155471442711445</v>
      </c>
      <c r="Q14" s="65">
        <f>IF(SER_hh_fech!Q14=0,0,SER_hh_fech!Q14/SER_summary!Q$26)</f>
        <v>118.24654083768613</v>
      </c>
      <c r="R14" s="65">
        <f>IF(SER_hh_fech!R14=0,0,SER_hh_fech!R14/SER_summary!R$26)</f>
        <v>46.388154885520656</v>
      </c>
      <c r="S14" s="65">
        <f>IF(SER_hh_fech!S14=0,0,SER_hh_fech!S14/SER_summary!S$26)</f>
        <v>47.401852886266404</v>
      </c>
      <c r="T14" s="65">
        <f>IF(SER_hh_fech!T14=0,0,SER_hh_fech!T14/SER_summary!T$26)</f>
        <v>99.329950217504987</v>
      </c>
      <c r="U14" s="65">
        <f>IF(SER_hh_fech!U14=0,0,SER_hh_fech!U14/SER_summary!U$26)</f>
        <v>107.95712525258425</v>
      </c>
      <c r="V14" s="65">
        <f>IF(SER_hh_fech!V14=0,0,SER_hh_fech!V14/SER_summary!V$26)</f>
        <v>58.289598566189412</v>
      </c>
      <c r="W14" s="65">
        <f>IF(SER_hh_fech!W14=0,0,SER_hh_fech!W14/SER_summary!W$26)</f>
        <v>80.062175805883953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0.31860819474497615</v>
      </c>
      <c r="C15" s="135">
        <f>IF(SER_hh_fech!C15=0,0,SER_hh_fech!C15/SER_summary!C$26)</f>
        <v>0.3566224924630737</v>
      </c>
      <c r="D15" s="135">
        <f>IF(SER_hh_fech!D15=0,0,SER_hh_fech!D15/SER_summary!D$26)</f>
        <v>0.3891284094703315</v>
      </c>
      <c r="E15" s="135">
        <f>IF(SER_hh_fech!E15=0,0,SER_hh_fech!E15/SER_summary!E$26)</f>
        <v>0.42622322633960885</v>
      </c>
      <c r="F15" s="135">
        <f>IF(SER_hh_fech!F15=0,0,SER_hh_fech!F15/SER_summary!F$26)</f>
        <v>0.55390582720290882</v>
      </c>
      <c r="G15" s="135">
        <f>IF(SER_hh_fech!G15=0,0,SER_hh_fech!G15/SER_summary!G$26)</f>
        <v>0.63591476707223882</v>
      </c>
      <c r="H15" s="135">
        <f>IF(SER_hh_fech!H15=0,0,SER_hh_fech!H15/SER_summary!H$26)</f>
        <v>0.66461269225781339</v>
      </c>
      <c r="I15" s="135">
        <f>IF(SER_hh_fech!I15=0,0,SER_hh_fech!I15/SER_summary!I$26)</f>
        <v>0.68514671395446003</v>
      </c>
      <c r="J15" s="135">
        <f>IF(SER_hh_fech!J15=0,0,SER_hh_fech!J15/SER_summary!J$26)</f>
        <v>0.60519479414929522</v>
      </c>
      <c r="K15" s="135">
        <f>IF(SER_hh_fech!K15=0,0,SER_hh_fech!K15/SER_summary!K$26)</f>
        <v>0.79636766400425785</v>
      </c>
      <c r="L15" s="135">
        <f>IF(SER_hh_fech!L15=0,0,SER_hh_fech!L15/SER_summary!L$26)</f>
        <v>0.63512661027639594</v>
      </c>
      <c r="M15" s="135">
        <f>IF(SER_hh_fech!M15=0,0,SER_hh_fech!M15/SER_summary!M$26)</f>
        <v>0.65126072493588782</v>
      </c>
      <c r="N15" s="135">
        <f>IF(SER_hh_fech!N15=0,0,SER_hh_fech!N15/SER_summary!N$26)</f>
        <v>0.66357298100003503</v>
      </c>
      <c r="O15" s="135">
        <f>IF(SER_hh_fech!O15=0,0,SER_hh_fech!O15/SER_summary!O$26)</f>
        <v>0.69255451180750205</v>
      </c>
      <c r="P15" s="135">
        <f>IF(SER_hh_fech!P15=0,0,SER_hh_fech!P15/SER_summary!P$26)</f>
        <v>0.72152532373586498</v>
      </c>
      <c r="Q15" s="135">
        <f>IF(SER_hh_fech!Q15=0,0,SER_hh_fech!Q15/SER_summary!Q$26)</f>
        <v>0.81058930267105433</v>
      </c>
      <c r="R15" s="135">
        <f>IF(SER_hh_fech!R15=0,0,SER_hh_fech!R15/SER_summary!R$26)</f>
        <v>0.77790062223397427</v>
      </c>
      <c r="S15" s="135">
        <f>IF(SER_hh_fech!S15=0,0,SER_hh_fech!S15/SER_summary!S$26)</f>
        <v>0.77851622163005496</v>
      </c>
      <c r="T15" s="135">
        <f>IF(SER_hh_fech!T15=0,0,SER_hh_fech!T15/SER_summary!T$26)</f>
        <v>0.83913947633596753</v>
      </c>
      <c r="U15" s="135">
        <f>IF(SER_hh_fech!U15=0,0,SER_hh_fech!U15/SER_summary!U$26)</f>
        <v>0.81105560079230066</v>
      </c>
      <c r="V15" s="135">
        <f>IF(SER_hh_fech!V15=0,0,SER_hh_fech!V15/SER_summary!V$26)</f>
        <v>0.66344070683515877</v>
      </c>
      <c r="W15" s="135">
        <f>IF(SER_hh_fech!W15=0,0,SER_hh_fech!W15/SER_summary!W$26)</f>
        <v>0.8401793493989852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14.632377817646489</v>
      </c>
      <c r="C16" s="131">
        <f>IF(SER_hh_fech!C16=0,0,SER_hh_fech!C16/SER_summary!C$26)</f>
        <v>13.986373070640932</v>
      </c>
      <c r="D16" s="131">
        <f>IF(SER_hh_fech!D16=0,0,SER_hh_fech!D16/SER_summary!D$26)</f>
        <v>12.06943185977658</v>
      </c>
      <c r="E16" s="131">
        <f>IF(SER_hh_fech!E16=0,0,SER_hh_fech!E16/SER_summary!E$26)</f>
        <v>16.567147513525388</v>
      </c>
      <c r="F16" s="131">
        <f>IF(SER_hh_fech!F16=0,0,SER_hh_fech!F16/SER_summary!F$26)</f>
        <v>13.352501708216565</v>
      </c>
      <c r="G16" s="131">
        <f>IF(SER_hh_fech!G16=0,0,SER_hh_fech!G16/SER_summary!G$26)</f>
        <v>14.081124941640546</v>
      </c>
      <c r="H16" s="131">
        <f>IF(SER_hh_fech!H16=0,0,SER_hh_fech!H16/SER_summary!H$26)</f>
        <v>16.169803254010532</v>
      </c>
      <c r="I16" s="131">
        <f>IF(SER_hh_fech!I16=0,0,SER_hh_fech!I16/SER_summary!I$26)</f>
        <v>9.9468934371183479</v>
      </c>
      <c r="J16" s="131">
        <f>IF(SER_hh_fech!J16=0,0,SER_hh_fech!J16/SER_summary!J$26)</f>
        <v>9.1749631949789148</v>
      </c>
      <c r="K16" s="131">
        <f>IF(SER_hh_fech!K16=0,0,SER_hh_fech!K16/SER_summary!K$26)</f>
        <v>11.059039059768015</v>
      </c>
      <c r="L16" s="131">
        <f>IF(SER_hh_fech!L16=0,0,SER_hh_fech!L16/SER_summary!L$26)</f>
        <v>14.932889763596359</v>
      </c>
      <c r="M16" s="131">
        <f>IF(SER_hh_fech!M16=0,0,SER_hh_fech!M16/SER_summary!M$26)</f>
        <v>9.5941758130210033</v>
      </c>
      <c r="N16" s="131">
        <f>IF(SER_hh_fech!N16=0,0,SER_hh_fech!N16/SER_summary!N$26)</f>
        <v>9.855550788959075</v>
      </c>
      <c r="O16" s="131">
        <f>IF(SER_hh_fech!O16=0,0,SER_hh_fech!O16/SER_summary!O$26)</f>
        <v>12.486094963407091</v>
      </c>
      <c r="P16" s="131">
        <f>IF(SER_hh_fech!P16=0,0,SER_hh_fech!P16/SER_summary!P$26)</f>
        <v>8.1786442860386792</v>
      </c>
      <c r="Q16" s="131">
        <f>IF(SER_hh_fech!Q16=0,0,SER_hh_fech!Q16/SER_summary!Q$26)</f>
        <v>9.3130531196313395</v>
      </c>
      <c r="R16" s="131">
        <f>IF(SER_hh_fech!R16=0,0,SER_hh_fech!R16/SER_summary!R$26)</f>
        <v>13.510392002486643</v>
      </c>
      <c r="S16" s="131">
        <f>IF(SER_hh_fech!S16=0,0,SER_hh_fech!S16/SER_summary!S$26)</f>
        <v>12.447830416458981</v>
      </c>
      <c r="T16" s="131">
        <f>IF(SER_hh_fech!T16=0,0,SER_hh_fech!T16/SER_summary!T$26)</f>
        <v>10.406324429117804</v>
      </c>
      <c r="U16" s="131">
        <f>IF(SER_hh_fech!U16=0,0,SER_hh_fech!U16/SER_summary!U$26)</f>
        <v>8.0233672610142381</v>
      </c>
      <c r="V16" s="131">
        <f>IF(SER_hh_fech!V16=0,0,SER_hh_fech!V16/SER_summary!V$26)</f>
        <v>11.596706559194699</v>
      </c>
      <c r="W16" s="131">
        <f>IF(SER_hh_fech!W16=0,0,SER_hh_fech!W16/SER_summary!W$26)</f>
        <v>7.1953758726639219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20.888137184101392</v>
      </c>
      <c r="C17" s="133">
        <f>IF(SER_hh_fech!C17=0,0,SER_hh_fech!C17/SER_summary!C$26)</f>
        <v>20.685313574896909</v>
      </c>
      <c r="D17" s="133">
        <f>IF(SER_hh_fech!D17=0,0,SER_hh_fech!D17/SER_summary!D$26)</f>
        <v>18.527641204014657</v>
      </c>
      <c r="E17" s="133">
        <f>IF(SER_hh_fech!E17=0,0,SER_hh_fech!E17/SER_summary!E$26)</f>
        <v>26.372299612863355</v>
      </c>
      <c r="F17" s="133">
        <f>IF(SER_hh_fech!F17=0,0,SER_hh_fech!F17/SER_summary!F$26)</f>
        <v>21.906970798040447</v>
      </c>
      <c r="G17" s="133">
        <f>IF(SER_hh_fech!G17=0,0,SER_hh_fech!G17/SER_summary!G$26)</f>
        <v>24.116470572502614</v>
      </c>
      <c r="H17" s="133">
        <f>IF(SER_hh_fech!H17=0,0,SER_hh_fech!H17/SER_summary!H$26)</f>
        <v>29.106482178181103</v>
      </c>
      <c r="I17" s="133">
        <f>IF(SER_hh_fech!I17=0,0,SER_hh_fech!I17/SER_summary!I$26)</f>
        <v>18.877190547461495</v>
      </c>
      <c r="J17" s="133">
        <f>IF(SER_hh_fech!J17=0,0,SER_hh_fech!J17/SER_summary!J$26)</f>
        <v>18.410757692614055</v>
      </c>
      <c r="K17" s="133">
        <f>IF(SER_hh_fech!K17=0,0,SER_hh_fech!K17/SER_summary!K$26)</f>
        <v>22.515941608910442</v>
      </c>
      <c r="L17" s="133">
        <f>IF(SER_hh_fech!L17=0,0,SER_hh_fech!L17/SER_summary!L$26)</f>
        <v>31.054510105266118</v>
      </c>
      <c r="M17" s="133">
        <f>IF(SER_hh_fech!M17=0,0,SER_hh_fech!M17/SER_summary!M$26)</f>
        <v>20.477642438339952</v>
      </c>
      <c r="N17" s="133">
        <f>IF(SER_hh_fech!N17=0,0,SER_hh_fech!N17/SER_summary!N$26)</f>
        <v>21.581299730074026</v>
      </c>
      <c r="O17" s="133">
        <f>IF(SER_hh_fech!O17=0,0,SER_hh_fech!O17/SER_summary!O$26)</f>
        <v>27.907902609401646</v>
      </c>
      <c r="P17" s="133">
        <f>IF(SER_hh_fech!P17=0,0,SER_hh_fech!P17/SER_summary!P$26)</f>
        <v>18.674289792501277</v>
      </c>
      <c r="Q17" s="133">
        <f>IF(SER_hh_fech!Q17=0,0,SER_hh_fech!Q17/SER_summary!Q$26)</f>
        <v>21.675582508184188</v>
      </c>
      <c r="R17" s="133">
        <f>IF(SER_hh_fech!R17=0,0,SER_hh_fech!R17/SER_summary!R$26)</f>
        <v>31.955954135104633</v>
      </c>
      <c r="S17" s="133">
        <f>IF(SER_hh_fech!S17=0,0,SER_hh_fech!S17/SER_summary!S$26)</f>
        <v>29.995439259389979</v>
      </c>
      <c r="T17" s="133">
        <f>IF(SER_hh_fech!T17=0,0,SER_hh_fech!T17/SER_summary!T$26)</f>
        <v>25.167662511855323</v>
      </c>
      <c r="U17" s="133">
        <f>IF(SER_hh_fech!U17=0,0,SER_hh_fech!U17/SER_summary!U$26)</f>
        <v>19.692283778953307</v>
      </c>
      <c r="V17" s="133">
        <f>IF(SER_hh_fech!V17=0,0,SER_hh_fech!V17/SER_summary!V$26)</f>
        <v>26.839454304014644</v>
      </c>
      <c r="W17" s="133">
        <f>IF(SER_hh_fech!W17=0,0,SER_hh_fech!W17/SER_summary!W$26)</f>
        <v>17.366466271727599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14.616089572992827</v>
      </c>
      <c r="C18" s="133">
        <f>IF(SER_hh_fech!C18=0,0,SER_hh_fech!C18/SER_summary!C$26)</f>
        <v>13.969251398921278</v>
      </c>
      <c r="D18" s="133">
        <f>IF(SER_hh_fech!D18=0,0,SER_hh_fech!D18/SER_summary!D$26)</f>
        <v>12.054411496026335</v>
      </c>
      <c r="E18" s="133">
        <f>IF(SER_hh_fech!E18=0,0,SER_hh_fech!E18/SER_summary!E$26)</f>
        <v>16.546280789566069</v>
      </c>
      <c r="F18" s="133">
        <f>IF(SER_hh_fech!F18=0,0,SER_hh_fech!F18/SER_summary!F$26)</f>
        <v>13.331720592645775</v>
      </c>
      <c r="G18" s="133">
        <f>IF(SER_hh_fech!G18=0,0,SER_hh_fech!G18/SER_summary!G$26)</f>
        <v>14.056568084082262</v>
      </c>
      <c r="H18" s="133">
        <f>IF(SER_hh_fech!H18=0,0,SER_hh_fech!H18/SER_summary!H$26)</f>
        <v>16.136900936012832</v>
      </c>
      <c r="I18" s="133">
        <f>IF(SER_hh_fech!I18=0,0,SER_hh_fech!I18/SER_summary!I$26)</f>
        <v>9.918512628913783</v>
      </c>
      <c r="J18" s="133">
        <f>IF(SER_hh_fech!J18=0,0,SER_hh_fech!J18/SER_summary!J$26)</f>
        <v>9.1415491163219098</v>
      </c>
      <c r="K18" s="133">
        <f>IF(SER_hh_fech!K18=0,0,SER_hh_fech!K18/SER_summary!K$26)</f>
        <v>11.009386979754202</v>
      </c>
      <c r="L18" s="133">
        <f>IF(SER_hh_fech!L18=0,0,SER_hh_fech!L18/SER_summary!L$26)</f>
        <v>14.861547777219888</v>
      </c>
      <c r="M18" s="133">
        <f>IF(SER_hh_fech!M18=0,0,SER_hh_fech!M18/SER_summary!M$26)</f>
        <v>9.5388873497160365</v>
      </c>
      <c r="N18" s="133">
        <f>IF(SER_hh_fech!N18=0,0,SER_hh_fech!N18/SER_summary!N$26)</f>
        <v>9.7925848927386667</v>
      </c>
      <c r="O18" s="133">
        <f>IF(SER_hh_fech!O18=0,0,SER_hh_fech!O18/SER_summary!O$26)</f>
        <v>12.392474833708386</v>
      </c>
      <c r="P18" s="133">
        <f>IF(SER_hh_fech!P18=0,0,SER_hh_fech!P18/SER_summary!P$26)</f>
        <v>8.1073028240018328</v>
      </c>
      <c r="Q18" s="133">
        <f>IF(SER_hh_fech!Q18=0,0,SER_hh_fech!Q18/SER_summary!Q$26)</f>
        <v>9.2141909430289886</v>
      </c>
      <c r="R18" s="133">
        <f>IF(SER_hh_fech!R18=0,0,SER_hh_fech!R18/SER_summary!R$26)</f>
        <v>13.330684036184307</v>
      </c>
      <c r="S18" s="133">
        <f>IF(SER_hh_fech!S18=0,0,SER_hh_fech!S18/SER_summary!S$26)</f>
        <v>12.255969653393079</v>
      </c>
      <c r="T18" s="133">
        <f>IF(SER_hh_fech!T18=0,0,SER_hh_fech!T18/SER_summary!T$26)</f>
        <v>10.226510295811289</v>
      </c>
      <c r="U18" s="133">
        <f>IF(SER_hh_fech!U18=0,0,SER_hh_fech!U18/SER_summary!U$26)</f>
        <v>7.8646852564509864</v>
      </c>
      <c r="V18" s="133">
        <f>IF(SER_hh_fech!V18=0,0,SER_hh_fech!V18/SER_summary!V$26)</f>
        <v>11.374380260242587</v>
      </c>
      <c r="W18" s="133">
        <f>IF(SER_hh_fech!W18=0,0,SER_hh_fech!W18/SER_summary!W$26)</f>
        <v>7.0433660562480531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15.867418919826827</v>
      </c>
      <c r="C19" s="131">
        <f>IF(SER_hh_fech!C19=0,0,SER_hh_fech!C19/SER_summary!C$26)</f>
        <v>15.899762864514376</v>
      </c>
      <c r="D19" s="131">
        <f>IF(SER_hh_fech!D19=0,0,SER_hh_fech!D19/SER_summary!D$26)</f>
        <v>16.066097527393399</v>
      </c>
      <c r="E19" s="131">
        <f>IF(SER_hh_fech!E19=0,0,SER_hh_fech!E19/SER_summary!E$26)</f>
        <v>15.838642386780485</v>
      </c>
      <c r="F19" s="131">
        <f>IF(SER_hh_fech!F19=0,0,SER_hh_fech!F19/SER_summary!F$26)</f>
        <v>15.894675168326273</v>
      </c>
      <c r="G19" s="131">
        <f>IF(SER_hh_fech!G19=0,0,SER_hh_fech!G19/SER_summary!G$26)</f>
        <v>15.860125051816928</v>
      </c>
      <c r="H19" s="131">
        <f>IF(SER_hh_fech!H19=0,0,SER_hh_fech!H19/SER_summary!H$26)</f>
        <v>15.594264373427107</v>
      </c>
      <c r="I19" s="131">
        <f>IF(SER_hh_fech!I19=0,0,SER_hh_fech!I19/SER_summary!I$26)</f>
        <v>15.691893040891832</v>
      </c>
      <c r="J19" s="131">
        <f>IF(SER_hh_fech!J19=0,0,SER_hh_fech!J19/SER_summary!J$26)</f>
        <v>15.561477691176579</v>
      </c>
      <c r="K19" s="131">
        <f>IF(SER_hh_fech!K19=0,0,SER_hh_fech!K19/SER_summary!K$26)</f>
        <v>15.63903508332352</v>
      </c>
      <c r="L19" s="131">
        <f>IF(SER_hh_fech!L19=0,0,SER_hh_fech!L19/SER_summary!L$26)</f>
        <v>15.444965493457415</v>
      </c>
      <c r="M19" s="131">
        <f>IF(SER_hh_fech!M19=0,0,SER_hh_fech!M19/SER_summary!M$26)</f>
        <v>15.776370115597771</v>
      </c>
      <c r="N19" s="131">
        <f>IF(SER_hh_fech!N19=0,0,SER_hh_fech!N19/SER_summary!N$26)</f>
        <v>15.300869551968459</v>
      </c>
      <c r="O19" s="131">
        <f>IF(SER_hh_fech!O19=0,0,SER_hh_fech!O19/SER_summary!O$26)</f>
        <v>15.035344013107272</v>
      </c>
      <c r="P19" s="131">
        <f>IF(SER_hh_fech!P19=0,0,SER_hh_fech!P19/SER_summary!P$26)</f>
        <v>15.055478300788868</v>
      </c>
      <c r="Q19" s="131">
        <f>IF(SER_hh_fech!Q19=0,0,SER_hh_fech!Q19/SER_summary!Q$26)</f>
        <v>15.081386040063844</v>
      </c>
      <c r="R19" s="131">
        <f>IF(SER_hh_fech!R19=0,0,SER_hh_fech!R19/SER_summary!R$26)</f>
        <v>14.855818956794327</v>
      </c>
      <c r="S19" s="131">
        <f>IF(SER_hh_fech!S19=0,0,SER_hh_fech!S19/SER_summary!S$26)</f>
        <v>14.512309990674451</v>
      </c>
      <c r="T19" s="131">
        <f>IF(SER_hh_fech!T19=0,0,SER_hh_fech!T19/SER_summary!T$26)</f>
        <v>14.217902596011536</v>
      </c>
      <c r="U19" s="131">
        <f>IF(SER_hh_fech!U19=0,0,SER_hh_fech!U19/SER_summary!U$26)</f>
        <v>14.03778684579172</v>
      </c>
      <c r="V19" s="131">
        <f>IF(SER_hh_fech!V19=0,0,SER_hh_fech!V19/SER_summary!V$26)</f>
        <v>11.891260895583374</v>
      </c>
      <c r="W19" s="131">
        <f>IF(SER_hh_fech!W19=0,0,SER_hh_fech!W19/SER_summary!W$26)</f>
        <v>12.932175483655085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17.802560868835485</v>
      </c>
      <c r="C21" s="133">
        <f>IF(SER_hh_fech!C21=0,0,SER_hh_fech!C21/SER_summary!C$26)</f>
        <v>17.331906675711579</v>
      </c>
      <c r="D21" s="133">
        <f>IF(SER_hh_fech!D21=0,0,SER_hh_fech!D21/SER_summary!D$26)</f>
        <v>17.490211380044428</v>
      </c>
      <c r="E21" s="133">
        <f>IF(SER_hh_fech!E21=0,0,SER_hh_fech!E21/SER_summary!E$26)</f>
        <v>17.552473109697388</v>
      </c>
      <c r="F21" s="133">
        <f>IF(SER_hh_fech!F21=0,0,SER_hh_fech!F21/SER_summary!F$26)</f>
        <v>17.820899516221367</v>
      </c>
      <c r="G21" s="133">
        <f>IF(SER_hh_fech!G21=0,0,SER_hh_fech!G21/SER_summary!G$26)</f>
        <v>17.769191318483042</v>
      </c>
      <c r="H21" s="133">
        <f>IF(SER_hh_fech!H21=0,0,SER_hh_fech!H21/SER_summary!H$26)</f>
        <v>17.568438647418208</v>
      </c>
      <c r="I21" s="133">
        <f>IF(SER_hh_fech!I21=0,0,SER_hh_fech!I21/SER_summary!I$26)</f>
        <v>17.831389793226172</v>
      </c>
      <c r="J21" s="133">
        <f>IF(SER_hh_fech!J21=0,0,SER_hh_fech!J21/SER_summary!J$26)</f>
        <v>17.721391819599532</v>
      </c>
      <c r="K21" s="133">
        <f>IF(SER_hh_fech!K21=0,0,SER_hh_fech!K21/SER_summary!K$26)</f>
        <v>17.992730924652601</v>
      </c>
      <c r="L21" s="133">
        <f>IF(SER_hh_fech!L21=0,0,SER_hh_fech!L21/SER_summary!L$26)</f>
        <v>17.609815151857621</v>
      </c>
      <c r="M21" s="133">
        <f>IF(SER_hh_fech!M21=0,0,SER_hh_fech!M21/SER_summary!M$26)</f>
        <v>17.837371473633624</v>
      </c>
      <c r="N21" s="133">
        <f>IF(SER_hh_fech!N21=0,0,SER_hh_fech!N21/SER_summary!N$26)</f>
        <v>17.479833044869359</v>
      </c>
      <c r="O21" s="133">
        <f>IF(SER_hh_fech!O21=0,0,SER_hh_fech!O21/SER_summary!O$26)</f>
        <v>17.068728105182867</v>
      </c>
      <c r="P21" s="133">
        <f>IF(SER_hh_fech!P21=0,0,SER_hh_fech!P21/SER_summary!P$26)</f>
        <v>17.001425716914717</v>
      </c>
      <c r="Q21" s="133">
        <f>IF(SER_hh_fech!Q21=0,0,SER_hh_fech!Q21/SER_summary!Q$26)</f>
        <v>16.997373429385842</v>
      </c>
      <c r="R21" s="133">
        <f>IF(SER_hh_fech!R21=0,0,SER_hh_fech!R21/SER_summary!R$26)</f>
        <v>16.755440268382458</v>
      </c>
      <c r="S21" s="133">
        <f>IF(SER_hh_fech!S21=0,0,SER_hh_fech!S21/SER_summary!S$26)</f>
        <v>16.217668336945806</v>
      </c>
      <c r="T21" s="133">
        <f>IF(SER_hh_fech!T21=0,0,SER_hh_fech!T21/SER_summary!T$26)</f>
        <v>15.436967604997454</v>
      </c>
      <c r="U21" s="133">
        <f>IF(SER_hh_fech!U21=0,0,SER_hh_fech!U21/SER_summary!U$26)</f>
        <v>15.042019344359403</v>
      </c>
      <c r="V21" s="133">
        <f>IF(SER_hh_fech!V21=0,0,SER_hh_fech!V21/SER_summary!V$26)</f>
        <v>13.976708915347036</v>
      </c>
      <c r="W21" s="133">
        <f>IF(SER_hh_fech!W21=0,0,SER_hh_fech!W21/SER_summary!W$26)</f>
        <v>13.073719070015112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18.732112209853426</v>
      </c>
      <c r="C22" s="133">
        <f>IF(SER_hh_fech!C22=0,0,SER_hh_fech!C22/SER_summary!C$26)</f>
        <v>18.654224437347541</v>
      </c>
      <c r="D22" s="133">
        <f>IF(SER_hh_fech!D22=0,0,SER_hh_fech!D22/SER_summary!D$26)</f>
        <v>18.599188161491352</v>
      </c>
      <c r="E22" s="133">
        <f>IF(SER_hh_fech!E22=0,0,SER_hh_fech!E22/SER_summary!E$26)</f>
        <v>18.77134444436761</v>
      </c>
      <c r="F22" s="133">
        <f>IF(SER_hh_fech!F22=0,0,SER_hh_fech!F22/SER_summary!F$26)</f>
        <v>18.791154683760968</v>
      </c>
      <c r="G22" s="133">
        <f>IF(SER_hh_fech!G22=0,0,SER_hh_fech!G22/SER_summary!G$26)</f>
        <v>18.84066523299283</v>
      </c>
      <c r="H22" s="133">
        <f>IF(SER_hh_fech!H22=0,0,SER_hh_fech!H22/SER_summary!H$26)</f>
        <v>18.912807958044397</v>
      </c>
      <c r="I22" s="133">
        <f>IF(SER_hh_fech!I22=0,0,SER_hh_fech!I22/SER_summary!I$26)</f>
        <v>19.035618721319548</v>
      </c>
      <c r="J22" s="133">
        <f>IF(SER_hh_fech!J22=0,0,SER_hh_fech!J22/SER_summary!J$26)</f>
        <v>18.860099277495799</v>
      </c>
      <c r="K22" s="133">
        <f>IF(SER_hh_fech!K22=0,0,SER_hh_fech!K22/SER_summary!K$26)</f>
        <v>18.644076416174077</v>
      </c>
      <c r="L22" s="133">
        <f>IF(SER_hh_fech!L22=0,0,SER_hh_fech!L22/SER_summary!L$26)</f>
        <v>18.641210412003257</v>
      </c>
      <c r="M22" s="133">
        <f>IF(SER_hh_fech!M22=0,0,SER_hh_fech!M22/SER_summary!M$26)</f>
        <v>18.852892373088245</v>
      </c>
      <c r="N22" s="133">
        <f>IF(SER_hh_fech!N22=0,0,SER_hh_fech!N22/SER_summary!N$26)</f>
        <v>18.297307983975575</v>
      </c>
      <c r="O22" s="133">
        <f>IF(SER_hh_fech!O22=0,0,SER_hh_fech!O22/SER_summary!O$26)</f>
        <v>18.100890066028239</v>
      </c>
      <c r="P22" s="133">
        <f>IF(SER_hh_fech!P22=0,0,SER_hh_fech!P22/SER_summary!P$26)</f>
        <v>17.890323840027385</v>
      </c>
      <c r="Q22" s="133">
        <f>IF(SER_hh_fech!Q22=0,0,SER_hh_fech!Q22/SER_summary!Q$26)</f>
        <v>17.777088285210549</v>
      </c>
      <c r="R22" s="133">
        <f>IF(SER_hh_fech!R22=0,0,SER_hh_fech!R22/SER_summary!R$26)</f>
        <v>17.243873382108148</v>
      </c>
      <c r="S22" s="133">
        <f>IF(SER_hh_fech!S22=0,0,SER_hh_fech!S22/SER_summary!S$26)</f>
        <v>16.911538007457985</v>
      </c>
      <c r="T22" s="133">
        <f>IF(SER_hh_fech!T22=0,0,SER_hh_fech!T22/SER_summary!T$26)</f>
        <v>16.305052044762402</v>
      </c>
      <c r="U22" s="133">
        <f>IF(SER_hh_fech!U22=0,0,SER_hh_fech!U22/SER_summary!U$26)</f>
        <v>15.505937883136182</v>
      </c>
      <c r="V22" s="133">
        <f>IF(SER_hh_fech!V22=0,0,SER_hh_fech!V22/SER_summary!V$26)</f>
        <v>13.567986677343109</v>
      </c>
      <c r="W22" s="133">
        <f>IF(SER_hh_fech!W22=0,0,SER_hh_fech!W22/SER_summary!W$26)</f>
        <v>14.110356003972049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17.572423144462515</v>
      </c>
      <c r="C23" s="133">
        <f>IF(SER_hh_fech!C23=0,0,SER_hh_fech!C23/SER_summary!C$26)</f>
        <v>18.180717754953989</v>
      </c>
      <c r="D23" s="133">
        <f>IF(SER_hh_fech!D23=0,0,SER_hh_fech!D23/SER_summary!D$26)</f>
        <v>18.186146633600622</v>
      </c>
      <c r="E23" s="133">
        <f>IF(SER_hh_fech!E23=0,0,SER_hh_fech!E23/SER_summary!E$26)</f>
        <v>17.793790746565193</v>
      </c>
      <c r="F23" s="133">
        <f>IF(SER_hh_fech!F23=0,0,SER_hh_fech!F23/SER_summary!F$26)</f>
        <v>17.519918353942003</v>
      </c>
      <c r="G23" s="133">
        <f>IF(SER_hh_fech!G23=0,0,SER_hh_fech!G23/SER_summary!G$26)</f>
        <v>17.357778264374176</v>
      </c>
      <c r="H23" s="133">
        <f>IF(SER_hh_fech!H23=0,0,SER_hh_fech!H23/SER_summary!H$26)</f>
        <v>17.042229823338712</v>
      </c>
      <c r="I23" s="133">
        <f>IF(SER_hh_fech!I23=0,0,SER_hh_fech!I23/SER_summary!I$26)</f>
        <v>17.349990517868942</v>
      </c>
      <c r="J23" s="133">
        <f>IF(SER_hh_fech!J23=0,0,SER_hh_fech!J23/SER_summary!J$26)</f>
        <v>17.067939854849925</v>
      </c>
      <c r="K23" s="133">
        <f>IF(SER_hh_fech!K23=0,0,SER_hh_fech!K23/SER_summary!K$26)</f>
        <v>16.745735095586809</v>
      </c>
      <c r="L23" s="133">
        <f>IF(SER_hh_fech!L23=0,0,SER_hh_fech!L23/SER_summary!L$26)</f>
        <v>16.792701659229511</v>
      </c>
      <c r="M23" s="133">
        <f>IF(SER_hh_fech!M23=0,0,SER_hh_fech!M23/SER_summary!M$26)</f>
        <v>16.808295636873492</v>
      </c>
      <c r="N23" s="133">
        <f>IF(SER_hh_fech!N23=0,0,SER_hh_fech!N23/SER_summary!N$26)</f>
        <v>16.4973182770715</v>
      </c>
      <c r="O23" s="133">
        <f>IF(SER_hh_fech!O23=0,0,SER_hh_fech!O23/SER_summary!O$26)</f>
        <v>16.226577853898657</v>
      </c>
      <c r="P23" s="133">
        <f>IF(SER_hh_fech!P23=0,0,SER_hh_fech!P23/SER_summary!P$26)</f>
        <v>15.729318357989788</v>
      </c>
      <c r="Q23" s="133">
        <f>IF(SER_hh_fech!Q23=0,0,SER_hh_fech!Q23/SER_summary!Q$26)</f>
        <v>15.422220798163309</v>
      </c>
      <c r="R23" s="133">
        <f>IF(SER_hh_fech!R23=0,0,SER_hh_fech!R23/SER_summary!R$26)</f>
        <v>15.348169165238511</v>
      </c>
      <c r="S23" s="133">
        <f>IF(SER_hh_fech!S23=0,0,SER_hh_fech!S23/SER_summary!S$26)</f>
        <v>15.079714791144252</v>
      </c>
      <c r="T23" s="133">
        <f>IF(SER_hh_fech!T23=0,0,SER_hh_fech!T23/SER_summary!T$26)</f>
        <v>14.696738887715471</v>
      </c>
      <c r="U23" s="133">
        <f>IF(SER_hh_fech!U23=0,0,SER_hh_fech!U23/SER_summary!U$26)</f>
        <v>14.497297242672204</v>
      </c>
      <c r="V23" s="133">
        <f>IF(SER_hh_fech!V23=0,0,SER_hh_fech!V23/SER_summary!V$26)</f>
        <v>11.854624047440931</v>
      </c>
      <c r="W23" s="133">
        <f>IF(SER_hh_fech!W23=0,0,SER_hh_fech!W23/SER_summary!W$26)</f>
        <v>13.115938965695504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10.084421740407993</v>
      </c>
      <c r="C25" s="133">
        <f>IF(SER_hh_fech!C25=0,0,SER_hh_fech!C25/SER_summary!C$26)</f>
        <v>12.454605163922661</v>
      </c>
      <c r="D25" s="133">
        <f>IF(SER_hh_fech!D25=0,0,SER_hh_fech!D25/SER_summary!D$26)</f>
        <v>12.888301675660434</v>
      </c>
      <c r="E25" s="133">
        <f>IF(SER_hh_fech!E25=0,0,SER_hh_fech!E25/SER_summary!E$26)</f>
        <v>13.226522227867923</v>
      </c>
      <c r="F25" s="133">
        <f>IF(SER_hh_fech!F25=0,0,SER_hh_fech!F25/SER_summary!F$26)</f>
        <v>12.790430234719253</v>
      </c>
      <c r="G25" s="133">
        <f>IF(SER_hh_fech!G25=0,0,SER_hh_fech!G25/SER_summary!G$26)</f>
        <v>11.381662066044671</v>
      </c>
      <c r="H25" s="133">
        <f>IF(SER_hh_fech!H25=0,0,SER_hh_fech!H25/SER_summary!H$26)</f>
        <v>12.174987905454016</v>
      </c>
      <c r="I25" s="133">
        <f>IF(SER_hh_fech!I25=0,0,SER_hh_fech!I25/SER_summary!I$26)</f>
        <v>14.283888246976156</v>
      </c>
      <c r="J25" s="133">
        <f>IF(SER_hh_fech!J25=0,0,SER_hh_fech!J25/SER_summary!J$26)</f>
        <v>10.295444090924718</v>
      </c>
      <c r="K25" s="133">
        <f>IF(SER_hh_fech!K25=0,0,SER_hh_fech!K25/SER_summary!K$26)</f>
        <v>12.256432278198149</v>
      </c>
      <c r="L25" s="133">
        <f>IF(SER_hh_fech!L25=0,0,SER_hh_fech!L25/SER_summary!L$26)</f>
        <v>11.8767074193954</v>
      </c>
      <c r="M25" s="133">
        <f>IF(SER_hh_fech!M25=0,0,SER_hh_fech!M25/SER_summary!M$26)</f>
        <v>11.047467577001898</v>
      </c>
      <c r="N25" s="133">
        <f>IF(SER_hh_fech!N25=0,0,SER_hh_fech!N25/SER_summary!N$26)</f>
        <v>12.455548266915423</v>
      </c>
      <c r="O25" s="133">
        <f>IF(SER_hh_fech!O25=0,0,SER_hh_fech!O25/SER_summary!O$26)</f>
        <v>13.21047413828922</v>
      </c>
      <c r="P25" s="133">
        <f>IF(SER_hh_fech!P25=0,0,SER_hh_fech!P25/SER_summary!P$26)</f>
        <v>12.481025344412808</v>
      </c>
      <c r="Q25" s="133">
        <f>IF(SER_hh_fech!Q25=0,0,SER_hh_fech!Q25/SER_summary!Q$26)</f>
        <v>12.716131074309622</v>
      </c>
      <c r="R25" s="133">
        <f>IF(SER_hh_fech!R25=0,0,SER_hh_fech!R25/SER_summary!R$26)</f>
        <v>12.080756632562869</v>
      </c>
      <c r="S25" s="133">
        <f>IF(SER_hh_fech!S25=0,0,SER_hh_fech!S25/SER_summary!S$26)</f>
        <v>12.719226660541462</v>
      </c>
      <c r="T25" s="133">
        <f>IF(SER_hh_fech!T25=0,0,SER_hh_fech!T25/SER_summary!T$26)</f>
        <v>12.804802459447529</v>
      </c>
      <c r="U25" s="133">
        <f>IF(SER_hh_fech!U25=0,0,SER_hh_fech!U25/SER_summary!U$26)</f>
        <v>11.227199174236585</v>
      </c>
      <c r="V25" s="133">
        <f>IF(SER_hh_fech!V25=0,0,SER_hh_fech!V25/SER_summary!V$26)</f>
        <v>10.25003341763346</v>
      </c>
      <c r="W25" s="133">
        <f>IF(SER_hh_fech!W25=0,0,SER_hh_fech!W25/SER_summary!W$26)</f>
        <v>11.220441604005856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13.001123039841568</v>
      </c>
      <c r="C26" s="65">
        <f>IF(SER_hh_fech!C26=0,0,SER_hh_fech!C26/SER_summary!C$26)</f>
        <v>13.292157450898157</v>
      </c>
      <c r="D26" s="65">
        <f>IF(SER_hh_fech!D26=0,0,SER_hh_fech!D26/SER_summary!D$26)</f>
        <v>13.751683663331052</v>
      </c>
      <c r="E26" s="65">
        <f>IF(SER_hh_fech!E26=0,0,SER_hh_fech!E26/SER_summary!E$26)</f>
        <v>13.463593092038835</v>
      </c>
      <c r="F26" s="65">
        <f>IF(SER_hh_fech!F26=0,0,SER_hh_fech!F26/SER_summary!F$26)</f>
        <v>13.6755267328325</v>
      </c>
      <c r="G26" s="65">
        <f>IF(SER_hh_fech!G26=0,0,SER_hh_fech!G26/SER_summary!G$26)</f>
        <v>13.682899263738008</v>
      </c>
      <c r="H26" s="65">
        <f>IF(SER_hh_fech!H26=0,0,SER_hh_fech!H26/SER_summary!H$26)</f>
        <v>13.320544947150774</v>
      </c>
      <c r="I26" s="65">
        <f>IF(SER_hh_fech!I26=0,0,SER_hh_fech!I26/SER_summary!I$26)</f>
        <v>13.3131858384554</v>
      </c>
      <c r="J26" s="65">
        <f>IF(SER_hh_fech!J26=0,0,SER_hh_fech!J26/SER_summary!J$26)</f>
        <v>13.124375237580539</v>
      </c>
      <c r="K26" s="65">
        <f>IF(SER_hh_fech!K26=0,0,SER_hh_fech!K26/SER_summary!K$26)</f>
        <v>13.139621434170262</v>
      </c>
      <c r="L26" s="65">
        <f>IF(SER_hh_fech!L26=0,0,SER_hh_fech!L26/SER_summary!L$26)</f>
        <v>12.319842355274336</v>
      </c>
      <c r="M26" s="65">
        <f>IF(SER_hh_fech!M26=0,0,SER_hh_fech!M26/SER_summary!M$26)</f>
        <v>12.268973925211482</v>
      </c>
      <c r="N26" s="65">
        <f>IF(SER_hh_fech!N26=0,0,SER_hh_fech!N26/SER_summary!N$26)</f>
        <v>11.325933199420655</v>
      </c>
      <c r="O26" s="65">
        <f>IF(SER_hh_fech!O26=0,0,SER_hh_fech!O26/SER_summary!O$26)</f>
        <v>10.730738976963403</v>
      </c>
      <c r="P26" s="65">
        <f>IF(SER_hh_fech!P26=0,0,SER_hh_fech!P26/SER_summary!P$26)</f>
        <v>10.76020998979503</v>
      </c>
      <c r="Q26" s="65">
        <f>IF(SER_hh_fech!Q26=0,0,SER_hh_fech!Q26/SER_summary!Q$26)</f>
        <v>10.719800192638152</v>
      </c>
      <c r="R26" s="65">
        <f>IF(SER_hh_fech!R26=0,0,SER_hh_fech!R26/SER_summary!R$26)</f>
        <v>10.306797010760578</v>
      </c>
      <c r="S26" s="65">
        <f>IF(SER_hh_fech!S26=0,0,SER_hh_fech!S26/SER_summary!S$26)</f>
        <v>9.6360998569256662</v>
      </c>
      <c r="T26" s="65">
        <f>IF(SER_hh_fech!T26=0,0,SER_hh_fech!T26/SER_summary!T$26)</f>
        <v>9.1435882764764713</v>
      </c>
      <c r="U26" s="65">
        <f>IF(SER_hh_fech!U26=0,0,SER_hh_fech!U26/SER_summary!U$26)</f>
        <v>8.9358252803500537</v>
      </c>
      <c r="V26" s="65">
        <f>IF(SER_hh_fech!V26=0,0,SER_hh_fech!V26/SER_summary!V$26)</f>
        <v>6.4526416374410571</v>
      </c>
      <c r="W26" s="65">
        <f>IF(SER_hh_fech!W26=0,0,SER_hh_fech!W26/SER_summary!W$26)</f>
        <v>7.5130683239432168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0.58987603169583702</v>
      </c>
      <c r="C27" s="146">
        <f>IF(SER_hh_fech!C27=0,0,SER_hh_fech!C27/SER_summary!C$26)</f>
        <v>0.58845060882242062</v>
      </c>
      <c r="D27" s="146">
        <f>IF(SER_hh_fech!D27=0,0,SER_hh_fech!D27/SER_summary!D$26)</f>
        <v>0.59801968306723285</v>
      </c>
      <c r="E27" s="146">
        <f>IF(SER_hh_fech!E27=0,0,SER_hh_fech!E27/SER_summary!E$26)</f>
        <v>0.61212926532085843</v>
      </c>
      <c r="F27" s="146">
        <f>IF(SER_hh_fech!F27=0,0,SER_hh_fech!F27/SER_summary!F$26)</f>
        <v>0.61952192864978151</v>
      </c>
      <c r="G27" s="146">
        <f>IF(SER_hh_fech!G27=0,0,SER_hh_fech!G27/SER_summary!G$26)</f>
        <v>0.65129659557292796</v>
      </c>
      <c r="H27" s="146">
        <f>IF(SER_hh_fech!H27=0,0,SER_hh_fech!H27/SER_summary!H$26)</f>
        <v>0.66841097678042549</v>
      </c>
      <c r="I27" s="146">
        <f>IF(SER_hh_fech!I27=0,0,SER_hh_fech!I27/SER_summary!I$26)</f>
        <v>0.71038122050152386</v>
      </c>
      <c r="J27" s="146">
        <f>IF(SER_hh_fech!J27=0,0,SER_hh_fech!J27/SER_summary!J$26)</f>
        <v>0.83633772338156898</v>
      </c>
      <c r="K27" s="146">
        <f>IF(SER_hh_fech!K27=0,0,SER_hh_fech!K27/SER_summary!K$26)</f>
        <v>0.96085220034667751</v>
      </c>
      <c r="L27" s="146">
        <f>IF(SER_hh_fech!L27=0,0,SER_hh_fech!L27/SER_summary!L$26)</f>
        <v>1.3191729851498823</v>
      </c>
      <c r="M27" s="146">
        <f>IF(SER_hh_fech!M27=0,0,SER_hh_fech!M27/SER_summary!M$26)</f>
        <v>1.6255514836118046</v>
      </c>
      <c r="N27" s="146">
        <f>IF(SER_hh_fech!N27=0,0,SER_hh_fech!N27/SER_summary!N$26)</f>
        <v>1.8388085876466473</v>
      </c>
      <c r="O27" s="146">
        <f>IF(SER_hh_fech!O27=0,0,SER_hh_fech!O27/SER_summary!O$26)</f>
        <v>1.9766339618297686</v>
      </c>
      <c r="P27" s="146">
        <f>IF(SER_hh_fech!P27=0,0,SER_hh_fech!P27/SER_summary!P$26)</f>
        <v>2.0735635193525144</v>
      </c>
      <c r="Q27" s="146">
        <f>IF(SER_hh_fech!Q27=0,0,SER_hh_fech!Q27/SER_summary!Q$26)</f>
        <v>2.1510624750218539</v>
      </c>
      <c r="R27" s="146">
        <f>IF(SER_hh_fech!R27=0,0,SER_hh_fech!R27/SER_summary!R$26)</f>
        <v>2.2367225707841034</v>
      </c>
      <c r="S27" s="146">
        <f>IF(SER_hh_fech!S27=0,0,SER_hh_fech!S27/SER_summary!S$26)</f>
        <v>2.3235061408377429</v>
      </c>
      <c r="T27" s="146">
        <f>IF(SER_hh_fech!T27=0,0,SER_hh_fech!T27/SER_summary!T$26)</f>
        <v>2.4257155804329629</v>
      </c>
      <c r="U27" s="146">
        <f>IF(SER_hh_fech!U27=0,0,SER_hh_fech!U27/SER_summary!U$26)</f>
        <v>2.5059587240218382</v>
      </c>
      <c r="V27" s="146">
        <f>IF(SER_hh_fech!V27=0,0,SER_hh_fech!V27/SER_summary!V$26)</f>
        <v>2.602904031809266</v>
      </c>
      <c r="W27" s="146">
        <f>IF(SER_hh_fech!W27=0,0,SER_hh_fech!W27/SER_summary!W$26)</f>
        <v>2.7118712925663147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7.5172901790505078</v>
      </c>
      <c r="C28" s="147">
        <f>IF(SER_hh_fech!C28=0,0,SER_hh_fech!C28/SER_summary!C$26)</f>
        <v>7.4364459447921814</v>
      </c>
      <c r="D28" s="147">
        <f>IF(SER_hh_fech!D28=0,0,SER_hh_fech!D28/SER_summary!D$26)</f>
        <v>7.4869555172109061</v>
      </c>
      <c r="E28" s="147">
        <f>IF(SER_hh_fech!E28=0,0,SER_hh_fech!E28/SER_summary!E$26)</f>
        <v>7.8961860579959859</v>
      </c>
      <c r="F28" s="147">
        <f>IF(SER_hh_fech!F28=0,0,SER_hh_fech!F28/SER_summary!F$26)</f>
        <v>7.9779794331194562</v>
      </c>
      <c r="G28" s="147">
        <f>IF(SER_hh_fech!G28=0,0,SER_hh_fech!G28/SER_summary!G$26)</f>
        <v>7.5615552268776467</v>
      </c>
      <c r="H28" s="147">
        <f>IF(SER_hh_fech!H28=0,0,SER_hh_fech!H28/SER_summary!H$26)</f>
        <v>7.7420454476301819</v>
      </c>
      <c r="I28" s="147">
        <f>IF(SER_hh_fech!I28=0,0,SER_hh_fech!I28/SER_summary!I$26)</f>
        <v>7.7981618887743167</v>
      </c>
      <c r="J28" s="147">
        <f>IF(SER_hh_fech!J28=0,0,SER_hh_fech!J28/SER_summary!J$26)</f>
        <v>7.8702686314140466</v>
      </c>
      <c r="K28" s="147">
        <f>IF(SER_hh_fech!K28=0,0,SER_hh_fech!K28/SER_summary!K$26)</f>
        <v>7.882349765862938</v>
      </c>
      <c r="L28" s="147">
        <f>IF(SER_hh_fech!L28=0,0,SER_hh_fech!L28/SER_summary!L$26)</f>
        <v>8.4384008061847933</v>
      </c>
      <c r="M28" s="147">
        <f>IF(SER_hh_fech!M28=0,0,SER_hh_fech!M28/SER_summary!M$26)</f>
        <v>9.1383196638272466</v>
      </c>
      <c r="N28" s="147">
        <f>IF(SER_hh_fech!N28=0,0,SER_hh_fech!N28/SER_summary!N$26)</f>
        <v>9.0326273032489599</v>
      </c>
      <c r="O28" s="147">
        <f>IF(SER_hh_fech!O28=0,0,SER_hh_fech!O28/SER_summary!O$26)</f>
        <v>9.1550454056880639</v>
      </c>
      <c r="P28" s="147">
        <f>IF(SER_hh_fech!P28=0,0,SER_hh_fech!P28/SER_summary!P$26)</f>
        <v>9.1792657784369336</v>
      </c>
      <c r="Q28" s="147">
        <f>IF(SER_hh_fech!Q28=0,0,SER_hh_fech!Q28/SER_summary!Q$26)</f>
        <v>9.2442132096608542</v>
      </c>
      <c r="R28" s="147">
        <f>IF(SER_hh_fech!R28=0,0,SER_hh_fech!R28/SER_summary!R$26)</f>
        <v>9.1646225890549999</v>
      </c>
      <c r="S28" s="147">
        <f>IF(SER_hh_fech!S28=0,0,SER_hh_fech!S28/SER_summary!S$26)</f>
        <v>9.1422516050974547</v>
      </c>
      <c r="T28" s="147">
        <f>IF(SER_hh_fech!T28=0,0,SER_hh_fech!T28/SER_summary!T$26)</f>
        <v>9.4237361745108874</v>
      </c>
      <c r="U28" s="147">
        <f>IF(SER_hh_fech!U28=0,0,SER_hh_fech!U28/SER_summary!U$26)</f>
        <v>9.4637544098250608</v>
      </c>
      <c r="V28" s="147">
        <f>IF(SER_hh_fech!V28=0,0,SER_hh_fech!V28/SER_summary!V$26)</f>
        <v>8.2153881800008364</v>
      </c>
      <c r="W28" s="147">
        <f>IF(SER_hh_fech!W28=0,0,SER_hh_fech!W28/SER_summary!W$26)</f>
        <v>9.2649187017018892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13.390755118866744</v>
      </c>
      <c r="C29" s="131">
        <f>IF(SER_hh_fech!C29=0,0,SER_hh_fech!C29/SER_summary!C$26)</f>
        <v>13.63254173164994</v>
      </c>
      <c r="D29" s="131">
        <f>IF(SER_hh_fech!D29=0,0,SER_hh_fech!D29/SER_summary!D$26)</f>
        <v>15.034755384369829</v>
      </c>
      <c r="E29" s="131">
        <f>IF(SER_hh_fech!E29=0,0,SER_hh_fech!E29/SER_summary!E$26)</f>
        <v>15.568195918335649</v>
      </c>
      <c r="F29" s="131">
        <f>IF(SER_hh_fech!F29=0,0,SER_hh_fech!F29/SER_summary!F$26)</f>
        <v>15.914830467942757</v>
      </c>
      <c r="G29" s="131">
        <f>IF(SER_hh_fech!G29=0,0,SER_hh_fech!G29/SER_summary!G$26)</f>
        <v>16.500164146331883</v>
      </c>
      <c r="H29" s="131">
        <f>IF(SER_hh_fech!H29=0,0,SER_hh_fech!H29/SER_summary!H$26)</f>
        <v>16.481896857300463</v>
      </c>
      <c r="I29" s="131">
        <f>IF(SER_hh_fech!I29=0,0,SER_hh_fech!I29/SER_summary!I$26)</f>
        <v>16.462965937398604</v>
      </c>
      <c r="J29" s="131">
        <f>IF(SER_hh_fech!J29=0,0,SER_hh_fech!J29/SER_summary!J$26)</f>
        <v>17.039353143301796</v>
      </c>
      <c r="K29" s="131">
        <f>IF(SER_hh_fech!K29=0,0,SER_hh_fech!K29/SER_summary!K$26)</f>
        <v>16.769503530469244</v>
      </c>
      <c r="L29" s="131">
        <f>IF(SER_hh_fech!L29=0,0,SER_hh_fech!L29/SER_summary!L$26)</f>
        <v>16.008228206462206</v>
      </c>
      <c r="M29" s="131">
        <f>IF(SER_hh_fech!M29=0,0,SER_hh_fech!M29/SER_summary!M$26)</f>
        <v>15.889217573368528</v>
      </c>
      <c r="N29" s="131">
        <f>IF(SER_hh_fech!N29=0,0,SER_hh_fech!N29/SER_summary!N$26)</f>
        <v>16.280589819091368</v>
      </c>
      <c r="O29" s="131">
        <f>IF(SER_hh_fech!O29=0,0,SER_hh_fech!O29/SER_summary!O$26)</f>
        <v>15.259166665606125</v>
      </c>
      <c r="P29" s="131">
        <f>IF(SER_hh_fech!P29=0,0,SER_hh_fech!P29/SER_summary!P$26)</f>
        <v>16.619919540098302</v>
      </c>
      <c r="Q29" s="131">
        <f>IF(SER_hh_fech!Q29=0,0,SER_hh_fech!Q29/SER_summary!Q$26)</f>
        <v>16.914158027567996</v>
      </c>
      <c r="R29" s="131">
        <f>IF(SER_hh_fech!R29=0,0,SER_hh_fech!R29/SER_summary!R$26)</f>
        <v>17.029860761998219</v>
      </c>
      <c r="S29" s="131">
        <f>IF(SER_hh_fech!S29=0,0,SER_hh_fech!S29/SER_summary!S$26)</f>
        <v>17.313111763212717</v>
      </c>
      <c r="T29" s="131">
        <f>IF(SER_hh_fech!T29=0,0,SER_hh_fech!T29/SER_summary!T$26)</f>
        <v>17.734944351363033</v>
      </c>
      <c r="U29" s="131">
        <f>IF(SER_hh_fech!U29=0,0,SER_hh_fech!U29/SER_summary!U$26)</f>
        <v>17.504204001023982</v>
      </c>
      <c r="V29" s="131">
        <f>IF(SER_hh_fech!V29=0,0,SER_hh_fech!V29/SER_summary!V$26)</f>
        <v>15.700623712096592</v>
      </c>
      <c r="W29" s="131">
        <f>IF(SER_hh_fech!W29=0,0,SER_hh_fech!W29/SER_summary!W$26)</f>
        <v>15.619836408616834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18.705096523208155</v>
      </c>
      <c r="C30" s="133">
        <f>IF(SER_hh_fech!C30=0,0,SER_hh_fech!C30/SER_summary!C$26)</f>
        <v>13.310321919403602</v>
      </c>
      <c r="D30" s="133">
        <f>IF(SER_hh_fech!D30=0,0,SER_hh_fech!D30/SER_summary!D$26)</f>
        <v>18.708365636676412</v>
      </c>
      <c r="E30" s="133">
        <f>IF(SER_hh_fech!E30=0,0,SER_hh_fech!E30/SER_summary!E$26)</f>
        <v>17.554772203906975</v>
      </c>
      <c r="F30" s="133">
        <f>IF(SER_hh_fech!F30=0,0,SER_hh_fech!F30/SER_summary!F$26)</f>
        <v>17.346384260669613</v>
      </c>
      <c r="G30" s="133">
        <f>IF(SER_hh_fech!G30=0,0,SER_hh_fech!G30/SER_summary!G$26)</f>
        <v>21.879651489601734</v>
      </c>
      <c r="H30" s="133">
        <f>IF(SER_hh_fech!H30=0,0,SER_hh_fech!H30/SER_summary!H$26)</f>
        <v>18.3976112373051</v>
      </c>
      <c r="I30" s="133">
        <f>IF(SER_hh_fech!I30=0,0,SER_hh_fech!I30/SER_summary!I$26)</f>
        <v>18.588049889530257</v>
      </c>
      <c r="J30" s="133">
        <f>IF(SER_hh_fech!J30=0,0,SER_hh_fech!J30/SER_summary!J$26)</f>
        <v>21.836378424582499</v>
      </c>
      <c r="K30" s="133">
        <f>IF(SER_hh_fech!K30=0,0,SER_hh_fech!K30/SER_summary!K$26)</f>
        <v>23.248385946611002</v>
      </c>
      <c r="L30" s="133">
        <f>IF(SER_hh_fech!L30=0,0,SER_hh_fech!L30/SER_summary!L$26)</f>
        <v>13.551376675433431</v>
      </c>
      <c r="M30" s="133">
        <f>IF(SER_hh_fech!M30=0,0,SER_hh_fech!M30/SER_summary!M$26)</f>
        <v>16.151360390037329</v>
      </c>
      <c r="N30" s="133">
        <f>IF(SER_hh_fech!N30=0,0,SER_hh_fech!N30/SER_summary!N$26)</f>
        <v>14.220921767503501</v>
      </c>
      <c r="O30" s="133">
        <f>IF(SER_hh_fech!O30=0,0,SER_hh_fech!O30/SER_summary!O$26)</f>
        <v>14.218592376637561</v>
      </c>
      <c r="P30" s="133">
        <f>IF(SER_hh_fech!P30=0,0,SER_hh_fech!P30/SER_summary!P$26)</f>
        <v>21.653241074108166</v>
      </c>
      <c r="Q30" s="133">
        <f>IF(SER_hh_fech!Q30=0,0,SER_hh_fech!Q30/SER_summary!Q$26)</f>
        <v>21.193304718023263</v>
      </c>
      <c r="R30" s="133">
        <f>IF(SER_hh_fech!R30=0,0,SER_hh_fech!R30/SER_summary!R$26)</f>
        <v>18.725851954229253</v>
      </c>
      <c r="S30" s="133">
        <f>IF(SER_hh_fech!S30=0,0,SER_hh_fech!S30/SER_summary!S$26)</f>
        <v>18.109502638508285</v>
      </c>
      <c r="T30" s="133">
        <f>IF(SER_hh_fech!T30=0,0,SER_hh_fech!T30/SER_summary!T$26)</f>
        <v>23.004422232518664</v>
      </c>
      <c r="U30" s="133">
        <f>IF(SER_hh_fech!U30=0,0,SER_hh_fech!U30/SER_summary!U$26)</f>
        <v>22.87120578415502</v>
      </c>
      <c r="V30" s="133">
        <f>IF(SER_hh_fech!V30=0,0,SER_hh_fech!V30/SER_summary!V$26)</f>
        <v>17.649266247111903</v>
      </c>
      <c r="W30" s="133">
        <f>IF(SER_hh_fech!W30=0,0,SER_hh_fech!W30/SER_summary!W$26)</f>
        <v>18.281405023922449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15.898223922025544</v>
      </c>
      <c r="C31" s="133">
        <f>IF(SER_hh_fech!C31=0,0,SER_hh_fech!C31/SER_summary!C$26)</f>
        <v>16.70714528723143</v>
      </c>
      <c r="D31" s="133">
        <f>IF(SER_hh_fech!D31=0,0,SER_hh_fech!D31/SER_summary!D$26)</f>
        <v>17.92213072046524</v>
      </c>
      <c r="E31" s="133">
        <f>IF(SER_hh_fech!E31=0,0,SER_hh_fech!E31/SER_summary!E$26)</f>
        <v>17.757811555520274</v>
      </c>
      <c r="F31" s="133">
        <f>IF(SER_hh_fech!F31=0,0,SER_hh_fech!F31/SER_summary!F$26)</f>
        <v>18.795513378095379</v>
      </c>
      <c r="G31" s="133">
        <f>IF(SER_hh_fech!G31=0,0,SER_hh_fech!G31/SER_summary!G$26)</f>
        <v>19.089891373032163</v>
      </c>
      <c r="H31" s="133">
        <f>IF(SER_hh_fech!H31=0,0,SER_hh_fech!H31/SER_summary!H$26)</f>
        <v>19.106118807629738</v>
      </c>
      <c r="I31" s="133">
        <f>IF(SER_hh_fech!I31=0,0,SER_hh_fech!I31/SER_summary!I$26)</f>
        <v>18.890467123439702</v>
      </c>
      <c r="J31" s="133">
        <f>IF(SER_hh_fech!J31=0,0,SER_hh_fech!J31/SER_summary!J$26)</f>
        <v>18.173463450606551</v>
      </c>
      <c r="K31" s="133">
        <f>IF(SER_hh_fech!K31=0,0,SER_hh_fech!K31/SER_summary!K$26)</f>
        <v>18.307521657336867</v>
      </c>
      <c r="L31" s="133">
        <f>IF(SER_hh_fech!L31=0,0,SER_hh_fech!L31/SER_summary!L$26)</f>
        <v>20.327133372411033</v>
      </c>
      <c r="M31" s="133">
        <f>IF(SER_hh_fech!M31=0,0,SER_hh_fech!M31/SER_summary!M$26)</f>
        <v>18.963496490567135</v>
      </c>
      <c r="N31" s="133">
        <f>IF(SER_hh_fech!N31=0,0,SER_hh_fech!N31/SER_summary!N$26)</f>
        <v>17.744450820422145</v>
      </c>
      <c r="O31" s="133">
        <f>IF(SER_hh_fech!O31=0,0,SER_hh_fech!O31/SER_summary!O$26)</f>
        <v>19.608828167933474</v>
      </c>
      <c r="P31" s="133">
        <f>IF(SER_hh_fech!P31=0,0,SER_hh_fech!P31/SER_summary!P$26)</f>
        <v>18.468771940587921</v>
      </c>
      <c r="Q31" s="133">
        <f>IF(SER_hh_fech!Q31=0,0,SER_hh_fech!Q31/SER_summary!Q$26)</f>
        <v>19.531234355307483</v>
      </c>
      <c r="R31" s="133">
        <f>IF(SER_hh_fech!R31=0,0,SER_hh_fech!R31/SER_summary!R$26)</f>
        <v>19.834069789155201</v>
      </c>
      <c r="S31" s="133">
        <f>IF(SER_hh_fech!S31=0,0,SER_hh_fech!S31/SER_summary!S$26)</f>
        <v>19.827142186273306</v>
      </c>
      <c r="T31" s="133">
        <f>IF(SER_hh_fech!T31=0,0,SER_hh_fech!T31/SER_summary!T$26)</f>
        <v>19.975739238180331</v>
      </c>
      <c r="U31" s="133">
        <f>IF(SER_hh_fech!U31=0,0,SER_hh_fech!U31/SER_summary!U$26)</f>
        <v>20.683296684027312</v>
      </c>
      <c r="V31" s="133">
        <f>IF(SER_hh_fech!V31=0,0,SER_hh_fech!V31/SER_summary!V$26)</f>
        <v>19.230638538873933</v>
      </c>
      <c r="W31" s="133">
        <f>IF(SER_hh_fech!W31=0,0,SER_hh_fech!W31/SER_summary!W$26)</f>
        <v>17.726538639440719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30.604615538479731</v>
      </c>
      <c r="O32" s="133">
        <f>IF(SER_hh_fech!O32=0,0,SER_hh_fech!O32/SER_summary!O$26)</f>
        <v>16.685581196567899</v>
      </c>
      <c r="P32" s="133">
        <f>IF(SER_hh_fech!P32=0,0,SER_hh_fech!P32/SER_summary!P$26)</f>
        <v>16.786392005266737</v>
      </c>
      <c r="Q32" s="133">
        <f>IF(SER_hh_fech!Q32=0,0,SER_hh_fech!Q32/SER_summary!Q$26)</f>
        <v>18.927873256015761</v>
      </c>
      <c r="R32" s="133">
        <f>IF(SER_hh_fech!R32=0,0,SER_hh_fech!R32/SER_summary!R$26)</f>
        <v>16.759461942937897</v>
      </c>
      <c r="S32" s="133">
        <f>IF(SER_hh_fech!S32=0,0,SER_hh_fech!S32/SER_summary!S$26)</f>
        <v>18.437064132295497</v>
      </c>
      <c r="T32" s="133">
        <f>IF(SER_hh_fech!T32=0,0,SER_hh_fech!T32/SER_summary!T$26)</f>
        <v>20.221714029106327</v>
      </c>
      <c r="U32" s="133">
        <f>IF(SER_hh_fech!U32=0,0,SER_hh_fech!U32/SER_summary!U$26)</f>
        <v>19.936715073440737</v>
      </c>
      <c r="V32" s="133">
        <f>IF(SER_hh_fech!V32=0,0,SER_hh_fech!V32/SER_summary!V$26)</f>
        <v>15.449597372326462</v>
      </c>
      <c r="W32" s="133">
        <f>IF(SER_hh_fech!W32=0,0,SER_hh_fech!W32/SER_summary!W$26)</f>
        <v>19.593982493930383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11.83638240612644</v>
      </c>
      <c r="C33" s="68">
        <f>IF(SER_hh_fech!C33=0,0,SER_hh_fech!C33/SER_summary!C$26)</f>
        <v>13.411130295825163</v>
      </c>
      <c r="D33" s="68">
        <f>IF(SER_hh_fech!D33=0,0,SER_hh_fech!D33/SER_summary!D$26)</f>
        <v>13.674176233929472</v>
      </c>
      <c r="E33" s="68">
        <f>IF(SER_hh_fech!E33=0,0,SER_hh_fech!E33/SER_summary!E$26)</f>
        <v>14.599869500812208</v>
      </c>
      <c r="F33" s="68">
        <f>IF(SER_hh_fech!F33=0,0,SER_hh_fech!F33/SER_summary!F$26)</f>
        <v>14.865857201162331</v>
      </c>
      <c r="G33" s="68">
        <f>IF(SER_hh_fech!G33=0,0,SER_hh_fech!G33/SER_summary!G$26)</f>
        <v>12.835879537711309</v>
      </c>
      <c r="H33" s="68">
        <f>IF(SER_hh_fech!H33=0,0,SER_hh_fech!H33/SER_summary!H$26)</f>
        <v>14.818817401372288</v>
      </c>
      <c r="I33" s="68">
        <f>IF(SER_hh_fech!I33=0,0,SER_hh_fech!I33/SER_summary!I$26)</f>
        <v>14.59736856792839</v>
      </c>
      <c r="J33" s="68">
        <f>IF(SER_hh_fech!J33=0,0,SER_hh_fech!J33/SER_summary!J$26)</f>
        <v>13.770055587335994</v>
      </c>
      <c r="K33" s="68">
        <f>IF(SER_hh_fech!K33=0,0,SER_hh_fech!K33/SER_summary!K$26)</f>
        <v>13.096245042617038</v>
      </c>
      <c r="L33" s="68">
        <f>IF(SER_hh_fech!L33=0,0,SER_hh_fech!L33/SER_summary!L$26)</f>
        <v>15.998184655809847</v>
      </c>
      <c r="M33" s="68">
        <f>IF(SER_hh_fech!M33=0,0,SER_hh_fech!M33/SER_summary!M$26)</f>
        <v>15.205623340643823</v>
      </c>
      <c r="N33" s="68">
        <f>IF(SER_hh_fech!N33=0,0,SER_hh_fech!N33/SER_summary!N$26)</f>
        <v>14.483496504464661</v>
      </c>
      <c r="O33" s="68">
        <f>IF(SER_hh_fech!O33=0,0,SER_hh_fech!O33/SER_summary!O$26)</f>
        <v>14.009348227429536</v>
      </c>
      <c r="P33" s="68">
        <f>IF(SER_hh_fech!P33=0,0,SER_hh_fech!P33/SER_summary!P$26)</f>
        <v>13.986209284131819</v>
      </c>
      <c r="Q33" s="68">
        <f>IF(SER_hh_fech!Q33=0,0,SER_hh_fech!Q33/SER_summary!Q$26)</f>
        <v>13.696385693563482</v>
      </c>
      <c r="R33" s="68">
        <f>IF(SER_hh_fech!R33=0,0,SER_hh_fech!R33/SER_summary!R$26)</f>
        <v>15.161040071613513</v>
      </c>
      <c r="S33" s="68">
        <f>IF(SER_hh_fech!S33=0,0,SER_hh_fech!S33/SER_summary!S$26)</f>
        <v>15.735199966639794</v>
      </c>
      <c r="T33" s="68">
        <f>IF(SER_hh_fech!T33=0,0,SER_hh_fech!T33/SER_summary!T$26)</f>
        <v>13.671587292422027</v>
      </c>
      <c r="U33" s="68">
        <f>IF(SER_hh_fech!U33=0,0,SER_hh_fech!U33/SER_summary!U$26)</f>
        <v>13.295271432155767</v>
      </c>
      <c r="V33" s="68">
        <f>IF(SER_hh_fech!V33=0,0,SER_hh_fech!V33/SER_summary!V$26)</f>
        <v>13.669889585706175</v>
      </c>
      <c r="W33" s="68">
        <f>IF(SER_hh_fech!W33=0,0,SER_hh_fech!W33/SER_summary!W$26)</f>
        <v>13.764008784078047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43.253866310867785</v>
      </c>
      <c r="C3" s="126">
        <f>IF(SER_hh_tesh!C3=0,0,SER_hh_tesh!C3/SER_summary!C$26)</f>
        <v>45.965437232412384</v>
      </c>
      <c r="D3" s="126">
        <f>IF(SER_hh_tesh!D3=0,0,SER_hh_tesh!D3/SER_summary!D$26)</f>
        <v>48.075947797993585</v>
      </c>
      <c r="E3" s="126">
        <f>IF(SER_hh_tesh!E3=0,0,SER_hh_tesh!E3/SER_summary!E$26)</f>
        <v>55.755804194677232</v>
      </c>
      <c r="F3" s="126">
        <f>IF(SER_hh_tesh!F3=0,0,SER_hh_tesh!F3/SER_summary!F$26)</f>
        <v>59.958751588681778</v>
      </c>
      <c r="G3" s="126">
        <f>IF(SER_hh_tesh!G3=0,0,SER_hh_tesh!G3/SER_summary!G$26)</f>
        <v>67.059023327655311</v>
      </c>
      <c r="H3" s="126">
        <f>IF(SER_hh_tesh!H3=0,0,SER_hh_tesh!H3/SER_summary!H$26)</f>
        <v>72.232237350315984</v>
      </c>
      <c r="I3" s="126">
        <f>IF(SER_hh_tesh!I3=0,0,SER_hh_tesh!I3/SER_summary!I$26)</f>
        <v>70.41898787429416</v>
      </c>
      <c r="J3" s="126">
        <f>IF(SER_hh_tesh!J3=0,0,SER_hh_tesh!J3/SER_summary!J$26)</f>
        <v>70.834168077134194</v>
      </c>
      <c r="K3" s="126">
        <f>IF(SER_hh_tesh!K3=0,0,SER_hh_tesh!K3/SER_summary!K$26)</f>
        <v>77.562628611402943</v>
      </c>
      <c r="L3" s="126">
        <f>IF(SER_hh_tesh!L3=0,0,SER_hh_tesh!L3/SER_summary!L$26)</f>
        <v>80.896198627242853</v>
      </c>
      <c r="M3" s="126">
        <f>IF(SER_hh_tesh!M3=0,0,SER_hh_tesh!M3/SER_summary!M$26)</f>
        <v>77.654529563399507</v>
      </c>
      <c r="N3" s="126">
        <f>IF(SER_hh_tesh!N3=0,0,SER_hh_tesh!N3/SER_summary!N$26)</f>
        <v>82.221744846251596</v>
      </c>
      <c r="O3" s="126">
        <f>IF(SER_hh_tesh!O3=0,0,SER_hh_tesh!O3/SER_summary!O$26)</f>
        <v>85.931756537009463</v>
      </c>
      <c r="P3" s="126">
        <f>IF(SER_hh_tesh!P3=0,0,SER_hh_tesh!P3/SER_summary!P$26)</f>
        <v>90.458000754057039</v>
      </c>
      <c r="Q3" s="126">
        <f>IF(SER_hh_tesh!Q3=0,0,SER_hh_tesh!Q3/SER_summary!Q$26)</f>
        <v>94.704997914618758</v>
      </c>
      <c r="R3" s="126">
        <f>IF(SER_hh_tesh!R3=0,0,SER_hh_tesh!R3/SER_summary!R$26)</f>
        <v>97.653865292909288</v>
      </c>
      <c r="S3" s="126">
        <f>IF(SER_hh_tesh!S3=0,0,SER_hh_tesh!S3/SER_summary!S$26)</f>
        <v>97.877496651264892</v>
      </c>
      <c r="T3" s="126">
        <f>IF(SER_hh_tesh!T3=0,0,SER_hh_tesh!T3/SER_summary!T$26)</f>
        <v>99.989676819284213</v>
      </c>
      <c r="U3" s="126">
        <f>IF(SER_hh_tesh!U3=0,0,SER_hh_tesh!U3/SER_summary!U$26)</f>
        <v>97.203087431861533</v>
      </c>
      <c r="V3" s="126">
        <f>IF(SER_hh_tesh!V3=0,0,SER_hh_tesh!V3/SER_summary!V$26)</f>
        <v>96.794220041636805</v>
      </c>
      <c r="W3" s="126">
        <f>IF(SER_hh_tesh!W3=0,0,SER_hh_tesh!W3/SER_summary!W$26)</f>
        <v>93.516972368102941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16.689486587031062</v>
      </c>
      <c r="C4" s="131">
        <f>IF(SER_hh_tesh!C4=0,0,SER_hh_tesh!C4/SER_summary!C$26)</f>
        <v>18.758698193935722</v>
      </c>
      <c r="D4" s="131">
        <f>IF(SER_hh_tesh!D4=0,0,SER_hh_tesh!D4/SER_summary!D$26)</f>
        <v>20.64674213527098</v>
      </c>
      <c r="E4" s="131">
        <f>IF(SER_hh_tesh!E4=0,0,SER_hh_tesh!E4/SER_summary!E$26)</f>
        <v>24.168249715977879</v>
      </c>
      <c r="F4" s="131">
        <f>IF(SER_hh_tesh!F4=0,0,SER_hh_tesh!F4/SER_summary!F$26)</f>
        <v>30.351813460276023</v>
      </c>
      <c r="G4" s="131">
        <f>IF(SER_hh_tesh!G4=0,0,SER_hh_tesh!G4/SER_summary!G$26)</f>
        <v>36.082777437197841</v>
      </c>
      <c r="H4" s="131">
        <f>IF(SER_hh_tesh!H4=0,0,SER_hh_tesh!H4/SER_summary!H$26)</f>
        <v>38.113017335725615</v>
      </c>
      <c r="I4" s="131">
        <f>IF(SER_hh_tesh!I4=0,0,SER_hh_tesh!I4/SER_summary!I$26)</f>
        <v>40.717715909805143</v>
      </c>
      <c r="J4" s="131">
        <f>IF(SER_hh_tesh!J4=0,0,SER_hh_tesh!J4/SER_summary!J$26)</f>
        <v>40.593228378801342</v>
      </c>
      <c r="K4" s="131">
        <f>IF(SER_hh_tesh!K4=0,0,SER_hh_tesh!K4/SER_summary!K$26)</f>
        <v>44.326930910934173</v>
      </c>
      <c r="L4" s="131">
        <f>IF(SER_hh_tesh!L4=0,0,SER_hh_tesh!L4/SER_summary!L$26)</f>
        <v>41.658619031762271</v>
      </c>
      <c r="M4" s="131">
        <f>IF(SER_hh_tesh!M4=0,0,SER_hh_tesh!M4/SER_summary!M$26)</f>
        <v>44.312022952339831</v>
      </c>
      <c r="N4" s="131">
        <f>IF(SER_hh_tesh!N4=0,0,SER_hh_tesh!N4/SER_summary!N$26)</f>
        <v>47.992284302816032</v>
      </c>
      <c r="O4" s="131">
        <f>IF(SER_hh_tesh!O4=0,0,SER_hh_tesh!O4/SER_summary!O$26)</f>
        <v>48.171692996918047</v>
      </c>
      <c r="P4" s="131">
        <f>IF(SER_hh_tesh!P4=0,0,SER_hh_tesh!P4/SER_summary!P$26)</f>
        <v>57.59383597244576</v>
      </c>
      <c r="Q4" s="131">
        <f>IF(SER_hh_tesh!Q4=0,0,SER_hh_tesh!Q4/SER_summary!Q$26)</f>
        <v>59.236517247835437</v>
      </c>
      <c r="R4" s="131">
        <f>IF(SER_hh_tesh!R4=0,0,SER_hh_tesh!R4/SER_summary!R$26)</f>
        <v>54.266720323465655</v>
      </c>
      <c r="S4" s="131">
        <f>IF(SER_hh_tesh!S4=0,0,SER_hh_tesh!S4/SER_summary!S$26)</f>
        <v>54.886305284802347</v>
      </c>
      <c r="T4" s="131">
        <f>IF(SER_hh_tesh!T4=0,0,SER_hh_tesh!T4/SER_summary!T$26)</f>
        <v>59.616548447178744</v>
      </c>
      <c r="U4" s="131">
        <f>IF(SER_hh_tesh!U4=0,0,SER_hh_tesh!U4/SER_summary!U$26)</f>
        <v>60.640732012678264</v>
      </c>
      <c r="V4" s="131">
        <f>IF(SER_hh_tesh!V4=0,0,SER_hh_tesh!V4/SER_summary!V$26)</f>
        <v>55.381413130746715</v>
      </c>
      <c r="W4" s="131">
        <f>IF(SER_hh_tesh!W4=0,0,SER_hh_tesh!W4/SER_summary!W$26)</f>
        <v>59.062278222220499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16.3832630116591</v>
      </c>
      <c r="C7" s="133">
        <f>IF(SER_hh_tesh!C7=0,0,SER_hh_tesh!C7/SER_summary!C$26)</f>
        <v>18.81630147794748</v>
      </c>
      <c r="D7" s="133">
        <f>IF(SER_hh_tesh!D7=0,0,SER_hh_tesh!D7/SER_summary!D$26)</f>
        <v>20.369429111244095</v>
      </c>
      <c r="E7" s="133">
        <f>IF(SER_hh_tesh!E7=0,0,SER_hh_tesh!E7/SER_summary!E$26)</f>
        <v>22.946543947778153</v>
      </c>
      <c r="F7" s="133">
        <f>IF(SER_hh_tesh!F7=0,0,SER_hh_tesh!F7/SER_summary!F$26)</f>
        <v>30.626975397701795</v>
      </c>
      <c r="G7" s="133">
        <f>IF(SER_hh_tesh!G7=0,0,SER_hh_tesh!G7/SER_summary!G$26)</f>
        <v>37.123444927998108</v>
      </c>
      <c r="H7" s="133">
        <f>IF(SER_hh_tesh!H7=0,0,SER_hh_tesh!H7/SER_summary!H$26)</f>
        <v>38.512640859934187</v>
      </c>
      <c r="I7" s="133">
        <f>IF(SER_hh_tesh!I7=0,0,SER_hh_tesh!I7/SER_summary!I$26)</f>
        <v>40.222795838211475</v>
      </c>
      <c r="J7" s="133">
        <f>IF(SER_hh_tesh!J7=0,0,SER_hh_tesh!J7/SER_summary!J$26)</f>
        <v>33.591259504139749</v>
      </c>
      <c r="K7" s="133">
        <f>IF(SER_hh_tesh!K7=0,0,SER_hh_tesh!K7/SER_summary!K$26)</f>
        <v>50.860422965105727</v>
      </c>
      <c r="L7" s="133">
        <f>IF(SER_hh_tesh!L7=0,0,SER_hh_tesh!L7/SER_summary!L$26)</f>
        <v>39.125851757315829</v>
      </c>
      <c r="M7" s="133">
        <f>IF(SER_hh_tesh!M7=0,0,SER_hh_tesh!M7/SER_summary!M$26)</f>
        <v>37.100223133409614</v>
      </c>
      <c r="N7" s="133">
        <f>IF(SER_hh_tesh!N7=0,0,SER_hh_tesh!N7/SER_summary!N$26)</f>
        <v>37.588270818645157</v>
      </c>
      <c r="O7" s="133">
        <f>IF(SER_hh_tesh!O7=0,0,SER_hh_tesh!O7/SER_summary!O$26)</f>
        <v>47.692930461710162</v>
      </c>
      <c r="P7" s="133">
        <f>IF(SER_hh_tesh!P7=0,0,SER_hh_tesh!P7/SER_summary!P$26)</f>
        <v>50.094756666994748</v>
      </c>
      <c r="Q7" s="133">
        <f>IF(SER_hh_tesh!Q7=0,0,SER_hh_tesh!Q7/SER_summary!Q$26)</f>
        <v>64.800323615527788</v>
      </c>
      <c r="R7" s="133">
        <f>IF(SER_hh_tesh!R7=0,0,SER_hh_tesh!R7/SER_summary!R$26)</f>
        <v>50.0003271027484</v>
      </c>
      <c r="S7" s="133">
        <f>IF(SER_hh_tesh!S7=0,0,SER_hh_tesh!S7/SER_summary!S$26)</f>
        <v>50.600714316401223</v>
      </c>
      <c r="T7" s="133">
        <f>IF(SER_hh_tesh!T7=0,0,SER_hh_tesh!T7/SER_summary!T$26)</f>
        <v>56.586363943625649</v>
      </c>
      <c r="U7" s="133">
        <f>IF(SER_hh_tesh!U7=0,0,SER_hh_tesh!U7/SER_summary!U$26)</f>
        <v>58.803261346103326</v>
      </c>
      <c r="V7" s="133">
        <f>IF(SER_hh_tesh!V7=0,0,SER_hh_tesh!V7/SER_summary!V$26)</f>
        <v>53.771194916089449</v>
      </c>
      <c r="W7" s="133">
        <f>IF(SER_hh_tesh!W7=0,0,SER_hh_tesh!W7/SER_summary!W$26)</f>
        <v>48.239985833184051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16.118616098630699</v>
      </c>
      <c r="C8" s="133">
        <f>IF(SER_hh_tesh!C8=0,0,SER_hh_tesh!C8/SER_summary!C$26)</f>
        <v>17.802559728423414</v>
      </c>
      <c r="D8" s="133">
        <f>IF(SER_hh_tesh!D8=0,0,SER_hh_tesh!D8/SER_summary!D$26)</f>
        <v>21.996589734150128</v>
      </c>
      <c r="E8" s="133">
        <f>IF(SER_hh_tesh!E8=0,0,SER_hh_tesh!E8/SER_summary!E$26)</f>
        <v>26.41388567831353</v>
      </c>
      <c r="F8" s="133">
        <f>IF(SER_hh_tesh!F8=0,0,SER_hh_tesh!F8/SER_summary!F$26)</f>
        <v>29.448860618131491</v>
      </c>
      <c r="G8" s="133">
        <f>IF(SER_hh_tesh!G8=0,0,SER_hh_tesh!G8/SER_summary!G$26)</f>
        <v>31.168734940749857</v>
      </c>
      <c r="H8" s="133">
        <f>IF(SER_hh_tesh!H8=0,0,SER_hh_tesh!H8/SER_summary!H$26)</f>
        <v>35.874407367104467</v>
      </c>
      <c r="I8" s="133">
        <f>IF(SER_hh_tesh!I8=0,0,SER_hh_tesh!I8/SER_summary!I$26)</f>
        <v>38.447342709818876</v>
      </c>
      <c r="J8" s="133">
        <f>IF(SER_hh_tesh!J8=0,0,SER_hh_tesh!J8/SER_summary!J$26)</f>
        <v>41.843863930858099</v>
      </c>
      <c r="K8" s="133">
        <f>IF(SER_hh_tesh!K8=0,0,SER_hh_tesh!K8/SER_summary!K$26)</f>
        <v>40.593426318156034</v>
      </c>
      <c r="L8" s="133">
        <f>IF(SER_hh_tesh!L8=0,0,SER_hh_tesh!L8/SER_summary!L$26)</f>
        <v>42.137920563968571</v>
      </c>
      <c r="M8" s="133">
        <f>IF(SER_hh_tesh!M8=0,0,SER_hh_tesh!M8/SER_summary!M$26)</f>
        <v>45.772686563903441</v>
      </c>
      <c r="N8" s="133">
        <f>IF(SER_hh_tesh!N8=0,0,SER_hh_tesh!N8/SER_summary!N$26)</f>
        <v>47.319654716006369</v>
      </c>
      <c r="O8" s="133">
        <f>IF(SER_hh_tesh!O8=0,0,SER_hh_tesh!O8/SER_summary!O$26)</f>
        <v>51.028519186506458</v>
      </c>
      <c r="P8" s="133">
        <f>IF(SER_hh_tesh!P8=0,0,SER_hh_tesh!P8/SER_summary!P$26)</f>
        <v>56.36424845868973</v>
      </c>
      <c r="Q8" s="133">
        <f>IF(SER_hh_tesh!Q8=0,0,SER_hh_tesh!Q8/SER_summary!Q$26)</f>
        <v>59.159406003818042</v>
      </c>
      <c r="R8" s="133">
        <f>IF(SER_hh_tesh!R8=0,0,SER_hh_tesh!R8/SER_summary!R$26)</f>
        <v>56.686905100811401</v>
      </c>
      <c r="S8" s="133">
        <f>IF(SER_hh_tesh!S8=0,0,SER_hh_tesh!S8/SER_summary!S$26)</f>
        <v>55.579527695005744</v>
      </c>
      <c r="T8" s="133">
        <f>IF(SER_hh_tesh!T8=0,0,SER_hh_tesh!T8/SER_summary!T$26)</f>
        <v>56.580687297032021</v>
      </c>
      <c r="U8" s="133">
        <f>IF(SER_hh_tesh!U8=0,0,SER_hh_tesh!U8/SER_summary!U$26)</f>
        <v>57.919962273764071</v>
      </c>
      <c r="V8" s="133">
        <f>IF(SER_hh_tesh!V8=0,0,SER_hh_tesh!V8/SER_summary!V$26)</f>
        <v>55.742498094084553</v>
      </c>
      <c r="W8" s="133">
        <f>IF(SER_hh_tesh!W8=0,0,SER_hh_tesh!W8/SER_summary!W$26)</f>
        <v>59.780393149417499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15.470275235698052</v>
      </c>
      <c r="C9" s="133">
        <f>IF(SER_hh_tesh!C9=0,0,SER_hh_tesh!C9/SER_summary!C$26)</f>
        <v>17.679614356494561</v>
      </c>
      <c r="D9" s="133">
        <f>IF(SER_hh_tesh!D9=0,0,SER_hh_tesh!D9/SER_summary!D$26)</f>
        <v>22.491281749282624</v>
      </c>
      <c r="E9" s="133">
        <f>IF(SER_hh_tesh!E9=0,0,SER_hh_tesh!E9/SER_summary!E$26)</f>
        <v>24.432931914852137</v>
      </c>
      <c r="F9" s="133">
        <f>IF(SER_hh_tesh!F9=0,0,SER_hh_tesh!F9/SER_summary!F$26)</f>
        <v>31.298007203285884</v>
      </c>
      <c r="G9" s="133">
        <f>IF(SER_hh_tesh!G9=0,0,SER_hh_tesh!G9/SER_summary!G$26)</f>
        <v>31.469923543554341</v>
      </c>
      <c r="H9" s="133">
        <f>IF(SER_hh_tesh!H9=0,0,SER_hh_tesh!H9/SER_summary!H$26)</f>
        <v>36.99125371140213</v>
      </c>
      <c r="I9" s="133">
        <f>IF(SER_hh_tesh!I9=0,0,SER_hh_tesh!I9/SER_summary!I$26)</f>
        <v>39.393008122139037</v>
      </c>
      <c r="J9" s="133">
        <f>IF(SER_hh_tesh!J9=0,0,SER_hh_tesh!J9/SER_summary!J$26)</f>
        <v>40.640735949335678</v>
      </c>
      <c r="K9" s="133">
        <f>IF(SER_hh_tesh!K9=0,0,SER_hh_tesh!K9/SER_summary!K$26)</f>
        <v>44.78055758722207</v>
      </c>
      <c r="L9" s="133">
        <f>IF(SER_hh_tesh!L9=0,0,SER_hh_tesh!L9/SER_summary!L$26)</f>
        <v>40.061826798234243</v>
      </c>
      <c r="M9" s="133">
        <f>IF(SER_hh_tesh!M9=0,0,SER_hh_tesh!M9/SER_summary!M$26)</f>
        <v>45.962692578360027</v>
      </c>
      <c r="N9" s="133">
        <f>IF(SER_hh_tesh!N9=0,0,SER_hh_tesh!N9/SER_summary!N$26)</f>
        <v>48.185672558731433</v>
      </c>
      <c r="O9" s="133">
        <f>IF(SER_hh_tesh!O9=0,0,SER_hh_tesh!O9/SER_summary!O$26)</f>
        <v>48.291271656481115</v>
      </c>
      <c r="P9" s="133">
        <f>IF(SER_hh_tesh!P9=0,0,SER_hh_tesh!P9/SER_summary!P$26)</f>
        <v>50.697141169161952</v>
      </c>
      <c r="Q9" s="133">
        <f>IF(SER_hh_tesh!Q9=0,0,SER_hh_tesh!Q9/SER_summary!Q$26)</f>
        <v>54.428708891875964</v>
      </c>
      <c r="R9" s="133">
        <f>IF(SER_hh_tesh!R9=0,0,SER_hh_tesh!R9/SER_summary!R$26)</f>
        <v>57.04726729859695</v>
      </c>
      <c r="S9" s="133">
        <f>IF(SER_hh_tesh!S9=0,0,SER_hh_tesh!S9/SER_summary!S$26)</f>
        <v>56.608755924248932</v>
      </c>
      <c r="T9" s="133">
        <f>IF(SER_hh_tesh!T9=0,0,SER_hh_tesh!T9/SER_summary!T$26)</f>
        <v>61.373840335784536</v>
      </c>
      <c r="U9" s="133">
        <f>IF(SER_hh_tesh!U9=0,0,SER_hh_tesh!U9/SER_summary!U$26)</f>
        <v>58.385562564030188</v>
      </c>
      <c r="V9" s="133">
        <f>IF(SER_hh_tesh!V9=0,0,SER_hh_tesh!V9/SER_summary!V$26)</f>
        <v>45.829298070129788</v>
      </c>
      <c r="W9" s="133">
        <f>IF(SER_hh_tesh!W9=0,0,SER_hh_tesh!W9/SER_summary!W$26)</f>
        <v>66.275248506967614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0</v>
      </c>
      <c r="J10" s="133">
        <f>IF(SER_hh_tesh!J10=0,0,SER_hh_tesh!J10/SER_summary!J$26)</f>
        <v>0</v>
      </c>
      <c r="K10" s="133">
        <f>IF(SER_hh_tesh!K10=0,0,SER_hh_tesh!K10/SER_summary!K$26)</f>
        <v>0</v>
      </c>
      <c r="L10" s="133">
        <f>IF(SER_hh_tesh!L10=0,0,SER_hh_tesh!L10/SER_summary!L$26)</f>
        <v>0</v>
      </c>
      <c r="M10" s="133">
        <f>IF(SER_hh_tesh!M10=0,0,SER_hh_tesh!M10/SER_summary!M$26)</f>
        <v>65.498581954510257</v>
      </c>
      <c r="N10" s="133">
        <f>IF(SER_hh_tesh!N10=0,0,SER_hh_tesh!N10/SER_summary!N$26)</f>
        <v>58.871736454438576</v>
      </c>
      <c r="O10" s="133">
        <f>IF(SER_hh_tesh!O10=0,0,SER_hh_tesh!O10/SER_summary!O$26)</f>
        <v>43.319257494269003</v>
      </c>
      <c r="P10" s="133">
        <f>IF(SER_hh_tesh!P10=0,0,SER_hh_tesh!P10/SER_summary!P$26)</f>
        <v>54.423590079697817</v>
      </c>
      <c r="Q10" s="133">
        <f>IF(SER_hh_tesh!Q10=0,0,SER_hh_tesh!Q10/SER_summary!Q$26)</f>
        <v>54.800522790714894</v>
      </c>
      <c r="R10" s="133">
        <f>IF(SER_hh_tesh!R10=0,0,SER_hh_tesh!R10/SER_summary!R$26)</f>
        <v>50.878690776932636</v>
      </c>
      <c r="S10" s="133">
        <f>IF(SER_hh_tesh!S10=0,0,SER_hh_tesh!S10/SER_summary!S$26)</f>
        <v>65.072080860723602</v>
      </c>
      <c r="T10" s="133">
        <f>IF(SER_hh_tesh!T10=0,0,SER_hh_tesh!T10/SER_summary!T$26)</f>
        <v>60.76344960427609</v>
      </c>
      <c r="U10" s="133">
        <f>IF(SER_hh_tesh!U10=0,0,SER_hh_tesh!U10/SER_summary!U$26)</f>
        <v>56.932915735836737</v>
      </c>
      <c r="V10" s="133">
        <f>IF(SER_hh_tesh!V10=0,0,SER_hh_tesh!V10/SER_summary!V$26)</f>
        <v>47.976042792230437</v>
      </c>
      <c r="W10" s="133">
        <f>IF(SER_hh_tesh!W10=0,0,SER_hh_tesh!W10/SER_summary!W$26)</f>
        <v>62.349022629351204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17.237422545871489</v>
      </c>
      <c r="C11" s="133">
        <f>IF(SER_hh_tesh!C11=0,0,SER_hh_tesh!C11/SER_summary!C$26)</f>
        <v>18.519631240848192</v>
      </c>
      <c r="D11" s="133">
        <f>IF(SER_hh_tesh!D11=0,0,SER_hh_tesh!D11/SER_summary!D$26)</f>
        <v>20.910642656510824</v>
      </c>
      <c r="E11" s="133">
        <f>IF(SER_hh_tesh!E11=0,0,SER_hh_tesh!E11/SER_summary!E$26)</f>
        <v>24.317529148670211</v>
      </c>
      <c r="F11" s="133">
        <f>IF(SER_hh_tesh!F11=0,0,SER_hh_tesh!F11/SER_summary!F$26)</f>
        <v>28.880996919821047</v>
      </c>
      <c r="G11" s="133">
        <f>IF(SER_hh_tesh!G11=0,0,SER_hh_tesh!G11/SER_summary!G$26)</f>
        <v>33.724462511972156</v>
      </c>
      <c r="H11" s="133">
        <f>IF(SER_hh_tesh!H11=0,0,SER_hh_tesh!H11/SER_summary!H$26)</f>
        <v>37.234615246842658</v>
      </c>
      <c r="I11" s="133">
        <f>IF(SER_hh_tesh!I11=0,0,SER_hh_tesh!I11/SER_summary!I$26)</f>
        <v>39.573409116781157</v>
      </c>
      <c r="J11" s="133">
        <f>IF(SER_hh_tesh!J11=0,0,SER_hh_tesh!J11/SER_summary!J$26)</f>
        <v>40.741223149820435</v>
      </c>
      <c r="K11" s="133">
        <f>IF(SER_hh_tesh!K11=0,0,SER_hh_tesh!K11/SER_summary!K$26)</f>
        <v>40.119159048149385</v>
      </c>
      <c r="L11" s="133">
        <f>IF(SER_hh_tesh!L11=0,0,SER_hh_tesh!L11/SER_summary!L$26)</f>
        <v>37.061005297521227</v>
      </c>
      <c r="M11" s="133">
        <f>IF(SER_hh_tesh!M11=0,0,SER_hh_tesh!M11/SER_summary!M$26)</f>
        <v>51.336174524013629</v>
      </c>
      <c r="N11" s="133">
        <f>IF(SER_hh_tesh!N11=0,0,SER_hh_tesh!N11/SER_summary!N$26)</f>
        <v>52.109076709617653</v>
      </c>
      <c r="O11" s="133">
        <f>IF(SER_hh_tesh!O11=0,0,SER_hh_tesh!O11/SER_summary!O$26)</f>
        <v>45.434338107401153</v>
      </c>
      <c r="P11" s="133">
        <f>IF(SER_hh_tesh!P11=0,0,SER_hh_tesh!P11/SER_summary!P$26)</f>
        <v>52.034333251804846</v>
      </c>
      <c r="Q11" s="133">
        <f>IF(SER_hh_tesh!Q11=0,0,SER_hh_tesh!Q11/SER_summary!Q$26)</f>
        <v>60.12048324908028</v>
      </c>
      <c r="R11" s="133">
        <f>IF(SER_hh_tesh!R11=0,0,SER_hh_tesh!R11/SER_summary!R$26)</f>
        <v>52.000561598878427</v>
      </c>
      <c r="S11" s="133">
        <f>IF(SER_hh_tesh!S11=0,0,SER_hh_tesh!S11/SER_summary!S$26)</f>
        <v>56.047778386307215</v>
      </c>
      <c r="T11" s="133">
        <f>IF(SER_hh_tesh!T11=0,0,SER_hh_tesh!T11/SER_summary!T$26)</f>
        <v>62.207601689021288</v>
      </c>
      <c r="U11" s="133">
        <f>IF(SER_hh_tesh!U11=0,0,SER_hh_tesh!U11/SER_summary!U$26)</f>
        <v>63.296985971491161</v>
      </c>
      <c r="V11" s="133">
        <f>IF(SER_hh_tesh!V11=0,0,SER_hh_tesh!V11/SER_summary!V$26)</f>
        <v>52.944400464715656</v>
      </c>
      <c r="W11" s="133">
        <f>IF(SER_hh_tesh!W11=0,0,SER_hh_tesh!W11/SER_summary!W$26)</f>
        <v>58.2878356871053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14.183060529106184</v>
      </c>
      <c r="C12" s="133">
        <f>IF(SER_hh_tesh!C12=0,0,SER_hh_tesh!C12/SER_summary!C$26)</f>
        <v>17.895485948396999</v>
      </c>
      <c r="D12" s="133">
        <f>IF(SER_hh_tesh!D12=0,0,SER_hh_tesh!D12/SER_summary!D$26)</f>
        <v>24.2335812218599</v>
      </c>
      <c r="E12" s="133">
        <f>IF(SER_hh_tesh!E12=0,0,SER_hh_tesh!E12/SER_summary!E$26)</f>
        <v>24.516899512128091</v>
      </c>
      <c r="F12" s="133">
        <f>IF(SER_hh_tesh!F12=0,0,SER_hh_tesh!F12/SER_summary!F$26)</f>
        <v>33.242691909434832</v>
      </c>
      <c r="G12" s="133">
        <f>IF(SER_hh_tesh!G12=0,0,SER_hh_tesh!G12/SER_summary!G$26)</f>
        <v>31.599696463832746</v>
      </c>
      <c r="H12" s="133">
        <f>IF(SER_hh_tesh!H12=0,0,SER_hh_tesh!H12/SER_summary!H$26)</f>
        <v>37.359813349158088</v>
      </c>
      <c r="I12" s="133">
        <f>IF(SER_hh_tesh!I12=0,0,SER_hh_tesh!I12/SER_summary!I$26)</f>
        <v>41.439961481168929</v>
      </c>
      <c r="J12" s="133">
        <f>IF(SER_hh_tesh!J12=0,0,SER_hh_tesh!J12/SER_summary!J$26)</f>
        <v>38.620540041186452</v>
      </c>
      <c r="K12" s="133">
        <f>IF(SER_hh_tesh!K12=0,0,SER_hh_tesh!K12/SER_summary!K$26)</f>
        <v>35.09700814343509</v>
      </c>
      <c r="L12" s="133">
        <f>IF(SER_hh_tesh!L12=0,0,SER_hh_tesh!L12/SER_summary!L$26)</f>
        <v>46.571450918363972</v>
      </c>
      <c r="M12" s="133">
        <f>IF(SER_hh_tesh!M12=0,0,SER_hh_tesh!M12/SER_summary!M$26)</f>
        <v>40.13069575180694</v>
      </c>
      <c r="N12" s="133">
        <f>IF(SER_hh_tesh!N12=0,0,SER_hh_tesh!N12/SER_summary!N$26)</f>
        <v>52.439040823043982</v>
      </c>
      <c r="O12" s="133">
        <f>IF(SER_hh_tesh!O12=0,0,SER_hh_tesh!O12/SER_summary!O$26)</f>
        <v>52.574459729774482</v>
      </c>
      <c r="P12" s="133">
        <f>IF(SER_hh_tesh!P12=0,0,SER_hh_tesh!P12/SER_summary!P$26)</f>
        <v>55.866208267994359</v>
      </c>
      <c r="Q12" s="133">
        <f>IF(SER_hh_tesh!Q12=0,0,SER_hh_tesh!Q12/SER_summary!Q$26)</f>
        <v>54.93548871146217</v>
      </c>
      <c r="R12" s="133">
        <f>IF(SER_hh_tesh!R12=0,0,SER_hh_tesh!R12/SER_summary!R$26)</f>
        <v>52.585921928318811</v>
      </c>
      <c r="S12" s="133">
        <f>IF(SER_hh_tesh!S12=0,0,SER_hh_tesh!S12/SER_summary!S$26)</f>
        <v>58.304094620165287</v>
      </c>
      <c r="T12" s="133">
        <f>IF(SER_hh_tesh!T12=0,0,SER_hh_tesh!T12/SER_summary!T$26)</f>
        <v>58.480726982501452</v>
      </c>
      <c r="U12" s="133">
        <f>IF(SER_hh_tesh!U12=0,0,SER_hh_tesh!U12/SER_summary!U$26)</f>
        <v>58.004953722529358</v>
      </c>
      <c r="V12" s="133">
        <f>IF(SER_hh_tesh!V12=0,0,SER_hh_tesh!V12/SER_summary!V$26)</f>
        <v>56.251217289087784</v>
      </c>
      <c r="W12" s="133">
        <f>IF(SER_hh_tesh!W12=0,0,SER_hh_tesh!W12/SER_summary!W$26)</f>
        <v>58.736505708223923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15.561508900395349</v>
      </c>
      <c r="C13" s="133">
        <f>IF(SER_hh_tesh!C13=0,0,SER_hh_tesh!C13/SER_summary!C$26)</f>
        <v>18.021937400862587</v>
      </c>
      <c r="D13" s="133">
        <f>IF(SER_hh_tesh!D13=0,0,SER_hh_tesh!D13/SER_summary!D$26)</f>
        <v>16.399289922645607</v>
      </c>
      <c r="E13" s="133">
        <f>IF(SER_hh_tesh!E13=0,0,SER_hh_tesh!E13/SER_summary!E$26)</f>
        <v>28.278020153501508</v>
      </c>
      <c r="F13" s="133">
        <f>IF(SER_hh_tesh!F13=0,0,SER_hh_tesh!F13/SER_summary!F$26)</f>
        <v>26.718463163889208</v>
      </c>
      <c r="G13" s="133">
        <f>IF(SER_hh_tesh!G13=0,0,SER_hh_tesh!G13/SER_summary!G$26)</f>
        <v>34.344231827563888</v>
      </c>
      <c r="H13" s="133">
        <f>IF(SER_hh_tesh!H13=0,0,SER_hh_tesh!H13/SER_summary!H$26)</f>
        <v>37.643707638739635</v>
      </c>
      <c r="I13" s="133">
        <f>IF(SER_hh_tesh!I13=0,0,SER_hh_tesh!I13/SER_summary!I$26)</f>
        <v>39.133268017220665</v>
      </c>
      <c r="J13" s="133">
        <f>IF(SER_hh_tesh!J13=0,0,SER_hh_tesh!J13/SER_summary!J$26)</f>
        <v>42.751450013513605</v>
      </c>
      <c r="K13" s="133">
        <f>IF(SER_hh_tesh!K13=0,0,SER_hh_tesh!K13/SER_summary!K$26)</f>
        <v>41.020918529356649</v>
      </c>
      <c r="L13" s="133">
        <f>IF(SER_hh_tesh!L13=0,0,SER_hh_tesh!L13/SER_summary!L$26)</f>
        <v>43.538039568491627</v>
      </c>
      <c r="M13" s="133">
        <f>IF(SER_hh_tesh!M13=0,0,SER_hh_tesh!M13/SER_summary!M$26)</f>
        <v>44.163364918066705</v>
      </c>
      <c r="N13" s="133">
        <f>IF(SER_hh_tesh!N13=0,0,SER_hh_tesh!N13/SER_summary!N$26)</f>
        <v>48.407775554900461</v>
      </c>
      <c r="O13" s="133">
        <f>IF(SER_hh_tesh!O13=0,0,SER_hh_tesh!O13/SER_summary!O$26)</f>
        <v>50.465906824438072</v>
      </c>
      <c r="P13" s="133">
        <f>IF(SER_hh_tesh!P13=0,0,SER_hh_tesh!P13/SER_summary!P$26)</f>
        <v>57.803263448434251</v>
      </c>
      <c r="Q13" s="133">
        <f>IF(SER_hh_tesh!Q13=0,0,SER_hh_tesh!Q13/SER_summary!Q$26)</f>
        <v>57.176967215875926</v>
      </c>
      <c r="R13" s="133">
        <f>IF(SER_hh_tesh!R13=0,0,SER_hh_tesh!R13/SER_summary!R$26)</f>
        <v>55.679839550630916</v>
      </c>
      <c r="S13" s="133">
        <f>IF(SER_hh_tesh!S13=0,0,SER_hh_tesh!S13/SER_summary!S$26)</f>
        <v>56.301941020463566</v>
      </c>
      <c r="T13" s="133">
        <f>IF(SER_hh_tesh!T13=0,0,SER_hh_tesh!T13/SER_summary!T$26)</f>
        <v>57.549121728339692</v>
      </c>
      <c r="U13" s="133">
        <f>IF(SER_hh_tesh!U13=0,0,SER_hh_tesh!U13/SER_summary!U$26)</f>
        <v>58.313208810428691</v>
      </c>
      <c r="V13" s="133">
        <f>IF(SER_hh_tesh!V13=0,0,SER_hh_tesh!V13/SER_summary!V$26)</f>
        <v>57.484470239608207</v>
      </c>
      <c r="W13" s="133">
        <f>IF(SER_hh_tesh!W13=0,0,SER_hh_tesh!W13/SER_summary!W$26)</f>
        <v>58.223115862954238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17.286790514111757</v>
      </c>
      <c r="C14" s="65">
        <f>IF(SER_hh_tesh!C14=0,0,SER_hh_tesh!C14/SER_summary!C$26)</f>
        <v>18.399524008650282</v>
      </c>
      <c r="D14" s="65">
        <f>IF(SER_hh_tesh!D14=0,0,SER_hh_tesh!D14/SER_summary!D$26)</f>
        <v>20.629658738070212</v>
      </c>
      <c r="E14" s="65">
        <f>IF(SER_hh_tesh!E14=0,0,SER_hh_tesh!E14/SER_summary!E$26)</f>
        <v>22.775313545639658</v>
      </c>
      <c r="F14" s="65">
        <f>IF(SER_hh_tesh!F14=0,0,SER_hh_tesh!F14/SER_summary!F$26)</f>
        <v>30.508635100542378</v>
      </c>
      <c r="G14" s="65">
        <f>IF(SER_hh_tesh!G14=0,0,SER_hh_tesh!G14/SER_summary!G$26)</f>
        <v>37.087930587488188</v>
      </c>
      <c r="H14" s="65">
        <f>IF(SER_hh_tesh!H14=0,0,SER_hh_tesh!H14/SER_summary!H$26)</f>
        <v>37.240238342129892</v>
      </c>
      <c r="I14" s="65">
        <f>IF(SER_hh_tesh!I14=0,0,SER_hh_tesh!I14/SER_summary!I$26)</f>
        <v>43.565632528929605</v>
      </c>
      <c r="J14" s="65">
        <f>IF(SER_hh_tesh!J14=0,0,SER_hh_tesh!J14/SER_summary!J$26)</f>
        <v>42.986183979178662</v>
      </c>
      <c r="K14" s="65">
        <f>IF(SER_hh_tesh!K14=0,0,SER_hh_tesh!K14/SER_summary!K$26)</f>
        <v>46.066307170528695</v>
      </c>
      <c r="L14" s="65">
        <f>IF(SER_hh_tesh!L14=0,0,SER_hh_tesh!L14/SER_summary!L$26)</f>
        <v>34.216365914608261</v>
      </c>
      <c r="M14" s="65">
        <f>IF(SER_hh_tesh!M14=0,0,SER_hh_tesh!M14/SER_summary!M$26)</f>
        <v>48.273906690222965</v>
      </c>
      <c r="N14" s="65">
        <f>IF(SER_hh_tesh!N14=0,0,SER_hh_tesh!N14/SER_summary!N$26)</f>
        <v>48.132576676190226</v>
      </c>
      <c r="O14" s="65">
        <f>IF(SER_hh_tesh!O14=0,0,SER_hh_tesh!O14/SER_summary!O$26)</f>
        <v>13.035602527451349</v>
      </c>
      <c r="P14" s="65">
        <f>IF(SER_hh_tesh!P14=0,0,SER_hh_tesh!P14/SER_summary!P$26)</f>
        <v>70.273387025513543</v>
      </c>
      <c r="Q14" s="65">
        <f>IF(SER_hh_tesh!Q14=0,0,SER_hh_tesh!Q14/SER_summary!Q$26)</f>
        <v>85.154583759826266</v>
      </c>
      <c r="R14" s="65">
        <f>IF(SER_hh_tesh!R14=0,0,SER_hh_tesh!R14/SER_summary!R$26)</f>
        <v>33.445111412877921</v>
      </c>
      <c r="S14" s="65">
        <f>IF(SER_hh_tesh!S14=0,0,SER_hh_tesh!S14/SER_summary!S$26)</f>
        <v>34.710862267687006</v>
      </c>
      <c r="T14" s="65">
        <f>IF(SER_hh_tesh!T14=0,0,SER_hh_tesh!T14/SER_summary!T$26)</f>
        <v>74.853762845895758</v>
      </c>
      <c r="U14" s="65">
        <f>IF(SER_hh_tesh!U14=0,0,SER_hh_tesh!U14/SER_summary!U$26)</f>
        <v>82.717940685535808</v>
      </c>
      <c r="V14" s="65">
        <f>IF(SER_hh_tesh!V14=0,0,SER_hh_tesh!V14/SER_summary!V$26)</f>
        <v>45.121492007494524</v>
      </c>
      <c r="W14" s="65">
        <f>IF(SER_hh_tesh!W14=0,0,SER_hh_tesh!W14/SER_summary!W$26)</f>
        <v>62.679796476206398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0.31860819474497615</v>
      </c>
      <c r="C15" s="135">
        <f>IF(SER_hh_tesh!C15=0,0,SER_hh_tesh!C15/SER_summary!C$26)</f>
        <v>0.3566224924630737</v>
      </c>
      <c r="D15" s="135">
        <f>IF(SER_hh_tesh!D15=0,0,SER_hh_tesh!D15/SER_summary!D$26)</f>
        <v>0.3891284094703315</v>
      </c>
      <c r="E15" s="135">
        <f>IF(SER_hh_tesh!E15=0,0,SER_hh_tesh!E15/SER_summary!E$26)</f>
        <v>0.42622322633960885</v>
      </c>
      <c r="F15" s="135">
        <f>IF(SER_hh_tesh!F15=0,0,SER_hh_tesh!F15/SER_summary!F$26)</f>
        <v>0.55390582720290882</v>
      </c>
      <c r="G15" s="135">
        <f>IF(SER_hh_tesh!G15=0,0,SER_hh_tesh!G15/SER_summary!G$26)</f>
        <v>0.63591476707223882</v>
      </c>
      <c r="H15" s="135">
        <f>IF(SER_hh_tesh!H15=0,0,SER_hh_tesh!H15/SER_summary!H$26)</f>
        <v>0.66461269225781339</v>
      </c>
      <c r="I15" s="135">
        <f>IF(SER_hh_tesh!I15=0,0,SER_hh_tesh!I15/SER_summary!I$26)</f>
        <v>0.68514671395446003</v>
      </c>
      <c r="J15" s="135">
        <f>IF(SER_hh_tesh!J15=0,0,SER_hh_tesh!J15/SER_summary!J$26)</f>
        <v>0.60519479414929522</v>
      </c>
      <c r="K15" s="135">
        <f>IF(SER_hh_tesh!K15=0,0,SER_hh_tesh!K15/SER_summary!K$26)</f>
        <v>0.79636766400425785</v>
      </c>
      <c r="L15" s="135">
        <f>IF(SER_hh_tesh!L15=0,0,SER_hh_tesh!L15/SER_summary!L$26)</f>
        <v>0.63512661027639594</v>
      </c>
      <c r="M15" s="135">
        <f>IF(SER_hh_tesh!M15=0,0,SER_hh_tesh!M15/SER_summary!M$26)</f>
        <v>0.65126072493588782</v>
      </c>
      <c r="N15" s="135">
        <f>IF(SER_hh_tesh!N15=0,0,SER_hh_tesh!N15/SER_summary!N$26)</f>
        <v>0.66357298100003503</v>
      </c>
      <c r="O15" s="135">
        <f>IF(SER_hh_tesh!O15=0,0,SER_hh_tesh!O15/SER_summary!O$26)</f>
        <v>0.69255451180750205</v>
      </c>
      <c r="P15" s="135">
        <f>IF(SER_hh_tesh!P15=0,0,SER_hh_tesh!P15/SER_summary!P$26)</f>
        <v>0.72152532373586498</v>
      </c>
      <c r="Q15" s="135">
        <f>IF(SER_hh_tesh!Q15=0,0,SER_hh_tesh!Q15/SER_summary!Q$26)</f>
        <v>0.81058930267105433</v>
      </c>
      <c r="R15" s="135">
        <f>IF(SER_hh_tesh!R15=0,0,SER_hh_tesh!R15/SER_summary!R$26)</f>
        <v>0.77790062223397427</v>
      </c>
      <c r="S15" s="135">
        <f>IF(SER_hh_tesh!S15=0,0,SER_hh_tesh!S15/SER_summary!S$26)</f>
        <v>0.77851622163005496</v>
      </c>
      <c r="T15" s="135">
        <f>IF(SER_hh_tesh!T15=0,0,SER_hh_tesh!T15/SER_summary!T$26)</f>
        <v>0.83913947633596753</v>
      </c>
      <c r="U15" s="135">
        <f>IF(SER_hh_tesh!U15=0,0,SER_hh_tesh!U15/SER_summary!U$26)</f>
        <v>0.81105560079230066</v>
      </c>
      <c r="V15" s="135">
        <f>IF(SER_hh_tesh!V15=0,0,SER_hh_tesh!V15/SER_summary!V$26)</f>
        <v>0.66344070683515877</v>
      </c>
      <c r="W15" s="135">
        <f>IF(SER_hh_tesh!W15=0,0,SER_hh_tesh!W15/SER_summary!W$26)</f>
        <v>0.8401793493989852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25.783012313131245</v>
      </c>
      <c r="C16" s="131">
        <f>IF(SER_hh_tesh!C16=0,0,SER_hh_tesh!C16/SER_summary!C$26)</f>
        <v>25.632250571367443</v>
      </c>
      <c r="D16" s="131">
        <f>IF(SER_hh_tesh!D16=0,0,SER_hh_tesh!D16/SER_summary!D$26)</f>
        <v>23.012209051577159</v>
      </c>
      <c r="E16" s="131">
        <f>IF(SER_hh_tesh!E16=0,0,SER_hh_tesh!E16/SER_summary!E$26)</f>
        <v>32.840403693617162</v>
      </c>
      <c r="F16" s="131">
        <f>IF(SER_hh_tesh!F16=0,0,SER_hh_tesh!F16/SER_summary!F$26)</f>
        <v>27.464948432102975</v>
      </c>
      <c r="G16" s="131">
        <f>IF(SER_hh_tesh!G16=0,0,SER_hh_tesh!G16/SER_summary!G$26)</f>
        <v>30.377678151704647</v>
      </c>
      <c r="H16" s="131">
        <f>IF(SER_hh_tesh!H16=0,0,SER_hh_tesh!H16/SER_summary!H$26)</f>
        <v>36.854623899539114</v>
      </c>
      <c r="I16" s="131">
        <f>IF(SER_hh_tesh!I16=0,0,SER_hh_tesh!I16/SER_summary!I$26)</f>
        <v>24.041852848278346</v>
      </c>
      <c r="J16" s="131">
        <f>IF(SER_hh_tesh!J16=0,0,SER_hh_tesh!J16/SER_summary!J$26)</f>
        <v>23.534708389382093</v>
      </c>
      <c r="K16" s="131">
        <f>IF(SER_hh_tesh!K16=0,0,SER_hh_tesh!K16/SER_summary!K$26)</f>
        <v>28.814063625185128</v>
      </c>
      <c r="L16" s="131">
        <f>IF(SER_hh_tesh!L16=0,0,SER_hh_tesh!L16/SER_summary!L$26)</f>
        <v>39.770020685087417</v>
      </c>
      <c r="M16" s="131">
        <f>IF(SER_hh_tesh!M16=0,0,SER_hh_tesh!M16/SER_summary!M$26)</f>
        <v>26.277355273305453</v>
      </c>
      <c r="N16" s="131">
        <f>IF(SER_hh_tesh!N16=0,0,SER_hh_tesh!N16/SER_summary!N$26)</f>
        <v>27.762017689232419</v>
      </c>
      <c r="O16" s="131">
        <f>IF(SER_hh_tesh!O16=0,0,SER_hh_tesh!O16/SER_summary!O$26)</f>
        <v>36.123303992687433</v>
      </c>
      <c r="P16" s="131">
        <f>IF(SER_hh_tesh!P16=0,0,SER_hh_tesh!P16/SER_summary!P$26)</f>
        <v>24.427096813065834</v>
      </c>
      <c r="Q16" s="131">
        <f>IF(SER_hh_tesh!Q16=0,0,SER_hh_tesh!Q16/SER_summary!Q$26)</f>
        <v>28.801350928853843</v>
      </c>
      <c r="R16" s="131">
        <f>IF(SER_hh_tesh!R16=0,0,SER_hh_tesh!R16/SER_summary!R$26)</f>
        <v>43.297912111780249</v>
      </c>
      <c r="S16" s="131">
        <f>IF(SER_hh_tesh!S16=0,0,SER_hh_tesh!S16/SER_summary!S$26)</f>
        <v>41.334751334579309</v>
      </c>
      <c r="T16" s="131">
        <f>IF(SER_hh_tesh!T16=0,0,SER_hh_tesh!T16/SER_summary!T$26)</f>
        <v>35.604797833570608</v>
      </c>
      <c r="U16" s="131">
        <f>IF(SER_hh_tesh!U16=0,0,SER_hh_tesh!U16/SER_summary!U$26)</f>
        <v>28.086597008860782</v>
      </c>
      <c r="V16" s="131">
        <f>IF(SER_hh_tesh!V16=0,0,SER_hh_tesh!V16/SER_summary!V$26)</f>
        <v>41.503300281377136</v>
      </c>
      <c r="W16" s="131">
        <f>IF(SER_hh_tesh!W16=0,0,SER_hh_tesh!W16/SER_summary!W$26)</f>
        <v>26.282750997834437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25.783012313131248</v>
      </c>
      <c r="C17" s="133">
        <f>IF(SER_hh_tesh!C17=0,0,SER_hh_tesh!C17/SER_summary!C$26)</f>
        <v>25.632317678334616</v>
      </c>
      <c r="D17" s="133">
        <f>IF(SER_hh_tesh!D17=0,0,SER_hh_tesh!D17/SER_summary!D$26)</f>
        <v>23.012224955367376</v>
      </c>
      <c r="E17" s="133">
        <f>IF(SER_hh_tesh!E17=0,0,SER_hh_tesh!E17/SER_summary!E$26)</f>
        <v>32.840382730042187</v>
      </c>
      <c r="F17" s="133">
        <f>IF(SER_hh_tesh!F17=0,0,SER_hh_tesh!F17/SER_summary!F$26)</f>
        <v>27.464909080011459</v>
      </c>
      <c r="G17" s="133">
        <f>IF(SER_hh_tesh!G17=0,0,SER_hh_tesh!G17/SER_summary!G$26)</f>
        <v>30.377630524981853</v>
      </c>
      <c r="H17" s="133">
        <f>IF(SER_hh_tesh!H17=0,0,SER_hh_tesh!H17/SER_summary!H$26)</f>
        <v>36.854587065869929</v>
      </c>
      <c r="I17" s="133">
        <f>IF(SER_hh_tesh!I17=0,0,SER_hh_tesh!I17/SER_summary!I$26)</f>
        <v>24.041849042994549</v>
      </c>
      <c r="J17" s="133">
        <f>IF(SER_hh_tesh!J17=0,0,SER_hh_tesh!J17/SER_summary!J$26)</f>
        <v>23.534719662146898</v>
      </c>
      <c r="K17" s="133">
        <f>IF(SER_hh_tesh!K17=0,0,SER_hh_tesh!K17/SER_summary!K$26)</f>
        <v>28.814088787259326</v>
      </c>
      <c r="L17" s="133">
        <f>IF(SER_hh_tesh!L17=0,0,SER_hh_tesh!L17/SER_summary!L$26)</f>
        <v>39.770071751089453</v>
      </c>
      <c r="M17" s="133">
        <f>IF(SER_hh_tesh!M17=0,0,SER_hh_tesh!M17/SER_summary!M$26)</f>
        <v>26.277398722973931</v>
      </c>
      <c r="N17" s="133">
        <f>IF(SER_hh_tesh!N17=0,0,SER_hh_tesh!N17/SER_summary!N$26)</f>
        <v>27.762007493182953</v>
      </c>
      <c r="O17" s="133">
        <f>IF(SER_hh_tesh!O17=0,0,SER_hh_tesh!O17/SER_summary!O$26)</f>
        <v>36.123235882420794</v>
      </c>
      <c r="P17" s="133">
        <f>IF(SER_hh_tesh!P17=0,0,SER_hh_tesh!P17/SER_summary!P$26)</f>
        <v>24.427032472348834</v>
      </c>
      <c r="Q17" s="133">
        <f>IF(SER_hh_tesh!Q17=0,0,SER_hh_tesh!Q17/SER_summary!Q$26)</f>
        <v>28.801283751549864</v>
      </c>
      <c r="R17" s="133">
        <f>IF(SER_hh_tesh!R17=0,0,SER_hh_tesh!R17/SER_summary!R$26)</f>
        <v>43.297866894077295</v>
      </c>
      <c r="S17" s="133">
        <f>IF(SER_hh_tesh!S17=0,0,SER_hh_tesh!S17/SER_summary!S$26)</f>
        <v>41.334774785106639</v>
      </c>
      <c r="T17" s="133">
        <f>IF(SER_hh_tesh!T17=0,0,SER_hh_tesh!T17/SER_summary!T$26)</f>
        <v>35.272499102345591</v>
      </c>
      <c r="U17" s="133">
        <f>IF(SER_hh_tesh!U17=0,0,SER_hh_tesh!U17/SER_summary!U$26)</f>
        <v>28.086660420668231</v>
      </c>
      <c r="V17" s="133">
        <f>IF(SER_hh_tesh!V17=0,0,SER_hh_tesh!V17/SER_summary!V$26)</f>
        <v>38.791047891084723</v>
      </c>
      <c r="W17" s="133">
        <f>IF(SER_hh_tesh!W17=0,0,SER_hh_tesh!W17/SER_summary!W$26)</f>
        <v>25.443775040721494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25.783012313131245</v>
      </c>
      <c r="C18" s="133">
        <f>IF(SER_hh_tesh!C18=0,0,SER_hh_tesh!C18/SER_summary!C$26)</f>
        <v>25.632250399850257</v>
      </c>
      <c r="D18" s="133">
        <f>IF(SER_hh_tesh!D18=0,0,SER_hh_tesh!D18/SER_summary!D$26)</f>
        <v>23.012209014588468</v>
      </c>
      <c r="E18" s="133">
        <f>IF(SER_hh_tesh!E18=0,0,SER_hh_tesh!E18/SER_summary!E$26)</f>
        <v>32.840403738230563</v>
      </c>
      <c r="F18" s="133">
        <f>IF(SER_hh_tesh!F18=0,0,SER_hh_tesh!F18/SER_summary!F$26)</f>
        <v>27.464948527699828</v>
      </c>
      <c r="G18" s="133">
        <f>IF(SER_hh_tesh!G18=0,0,SER_hh_tesh!G18/SER_summary!G$26)</f>
        <v>30.377678268248985</v>
      </c>
      <c r="H18" s="133">
        <f>IF(SER_hh_tesh!H18=0,0,SER_hh_tesh!H18/SER_summary!H$26)</f>
        <v>36.854623993219512</v>
      </c>
      <c r="I18" s="133">
        <f>IF(SER_hh_tesh!I18=0,0,SER_hh_tesh!I18/SER_summary!I$26)</f>
        <v>24.041852860371669</v>
      </c>
      <c r="J18" s="133">
        <f>IF(SER_hh_tesh!J18=0,0,SER_hh_tesh!J18/SER_summary!J$26)</f>
        <v>23.534708348598482</v>
      </c>
      <c r="K18" s="133">
        <f>IF(SER_hh_tesh!K18=0,0,SER_hh_tesh!K18/SER_summary!K$26)</f>
        <v>28.814063516137395</v>
      </c>
      <c r="L18" s="133">
        <f>IF(SER_hh_tesh!L18=0,0,SER_hh_tesh!L18/SER_summary!L$26)</f>
        <v>39.770020459108267</v>
      </c>
      <c r="M18" s="133">
        <f>IF(SER_hh_tesh!M18=0,0,SER_hh_tesh!M18/SER_summary!M$26)</f>
        <v>26.277355052579328</v>
      </c>
      <c r="N18" s="133">
        <f>IF(SER_hh_tesh!N18=0,0,SER_hh_tesh!N18/SER_summary!N$26)</f>
        <v>27.762017743984011</v>
      </c>
      <c r="O18" s="133">
        <f>IF(SER_hh_tesh!O18=0,0,SER_hh_tesh!O18/SER_summary!O$26)</f>
        <v>36.123304406159839</v>
      </c>
      <c r="P18" s="133">
        <f>IF(SER_hh_tesh!P18=0,0,SER_hh_tesh!P18/SER_summary!P$26)</f>
        <v>24.427097250405378</v>
      </c>
      <c r="Q18" s="133">
        <f>IF(SER_hh_tesh!Q18=0,0,SER_hh_tesh!Q18/SER_summary!Q$26)</f>
        <v>28.801351466065466</v>
      </c>
      <c r="R18" s="133">
        <f>IF(SER_hh_tesh!R18=0,0,SER_hh_tesh!R18/SER_summary!R$26)</f>
        <v>43.297912552318813</v>
      </c>
      <c r="S18" s="133">
        <f>IF(SER_hh_tesh!S18=0,0,SER_hh_tesh!S18/SER_summary!S$26)</f>
        <v>41.334751078177653</v>
      </c>
      <c r="T18" s="133">
        <f>IF(SER_hh_tesh!T18=0,0,SER_hh_tesh!T18/SER_summary!T$26)</f>
        <v>35.608845705655042</v>
      </c>
      <c r="U18" s="133">
        <f>IF(SER_hh_tesh!U18=0,0,SER_hh_tesh!U18/SER_summary!U$26)</f>
        <v>28.086596146543126</v>
      </c>
      <c r="V18" s="133">
        <f>IF(SER_hh_tesh!V18=0,0,SER_hh_tesh!V18/SER_summary!V$26)</f>
        <v>41.542860408320955</v>
      </c>
      <c r="W18" s="133">
        <f>IF(SER_hh_tesh!W18=0,0,SER_hh_tesh!W18/SER_summary!W$26)</f>
        <v>26.29528973028242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9.0508992760089413</v>
      </c>
      <c r="C19" s="131">
        <f>IF(SER_hh_tesh!C19=0,0,SER_hh_tesh!C19/SER_summary!C$26)</f>
        <v>9.1814075342082795</v>
      </c>
      <c r="D19" s="131">
        <f>IF(SER_hh_tesh!D19=0,0,SER_hh_tesh!D19/SER_summary!D$26)</f>
        <v>9.3842690354932685</v>
      </c>
      <c r="E19" s="131">
        <f>IF(SER_hh_tesh!E19=0,0,SER_hh_tesh!E19/SER_summary!E$26)</f>
        <v>9.3248016126864037</v>
      </c>
      <c r="F19" s="131">
        <f>IF(SER_hh_tesh!F19=0,0,SER_hh_tesh!F19/SER_summary!F$26)</f>
        <v>9.4384650191675927</v>
      </c>
      <c r="G19" s="131">
        <f>IF(SER_hh_tesh!G19=0,0,SER_hh_tesh!G19/SER_summary!G$26)</f>
        <v>9.4919690339163907</v>
      </c>
      <c r="H19" s="131">
        <f>IF(SER_hh_tesh!H19=0,0,SER_hh_tesh!H19/SER_summary!H$26)</f>
        <v>9.4022724220211913</v>
      </c>
      <c r="I19" s="131">
        <f>IF(SER_hh_tesh!I19=0,0,SER_hh_tesh!I19/SER_summary!I$26)</f>
        <v>9.5441858043772694</v>
      </c>
      <c r="J19" s="131">
        <f>IF(SER_hh_tesh!J19=0,0,SER_hh_tesh!J19/SER_summary!J$26)</f>
        <v>9.5701961617769324</v>
      </c>
      <c r="K19" s="131">
        <f>IF(SER_hh_tesh!K19=0,0,SER_hh_tesh!K19/SER_summary!K$26)</f>
        <v>9.7394198145893398</v>
      </c>
      <c r="L19" s="131">
        <f>IF(SER_hh_tesh!L19=0,0,SER_hh_tesh!L19/SER_summary!L$26)</f>
        <v>9.802206678525236</v>
      </c>
      <c r="M19" s="131">
        <f>IF(SER_hh_tesh!M19=0,0,SER_hh_tesh!M19/SER_summary!M$26)</f>
        <v>10.194382383714713</v>
      </c>
      <c r="N19" s="131">
        <f>IF(SER_hh_tesh!N19=0,0,SER_hh_tesh!N19/SER_summary!N$26)</f>
        <v>10.069763969260318</v>
      </c>
      <c r="O19" s="131">
        <f>IF(SER_hh_tesh!O19=0,0,SER_hh_tesh!O19/SER_summary!O$26)</f>
        <v>10.070463592905337</v>
      </c>
      <c r="P19" s="131">
        <f>IF(SER_hh_tesh!P19=0,0,SER_hh_tesh!P19/SER_summary!P$26)</f>
        <v>10.180596589929452</v>
      </c>
      <c r="Q19" s="131">
        <f>IF(SER_hh_tesh!Q19=0,0,SER_hh_tesh!Q19/SER_summary!Q$26)</f>
        <v>10.318386600870303</v>
      </c>
      <c r="R19" s="131">
        <f>IF(SER_hh_tesh!R19=0,0,SER_hh_tesh!R19/SER_summary!R$26)</f>
        <v>10.319566549221832</v>
      </c>
      <c r="S19" s="131">
        <f>IF(SER_hh_tesh!S19=0,0,SER_hh_tesh!S19/SER_summary!S$26)</f>
        <v>10.281589788364048</v>
      </c>
      <c r="T19" s="131">
        <f>IF(SER_hh_tesh!T19=0,0,SER_hh_tesh!T19/SER_summary!T$26)</f>
        <v>10.292258872445696</v>
      </c>
      <c r="U19" s="131">
        <f>IF(SER_hh_tesh!U19=0,0,SER_hh_tesh!U19/SER_summary!U$26)</f>
        <v>10.37702571200829</v>
      </c>
      <c r="V19" s="131">
        <f>IF(SER_hh_tesh!V19=0,0,SER_hh_tesh!V19/SER_summary!V$26)</f>
        <v>9.017595090864404</v>
      </c>
      <c r="W19" s="131">
        <f>IF(SER_hh_tesh!W19=0,0,SER_hh_tesh!W19/SER_summary!W$26)</f>
        <v>10.005581115726523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9.2255205680237165</v>
      </c>
      <c r="C21" s="133">
        <f>IF(SER_hh_tesh!C21=0,0,SER_hh_tesh!C21/SER_summary!C$26)</f>
        <v>8.9895898388925826</v>
      </c>
      <c r="D21" s="133">
        <f>IF(SER_hh_tesh!D21=0,0,SER_hh_tesh!D21/SER_summary!D$26)</f>
        <v>9.0840522065789031</v>
      </c>
      <c r="E21" s="133">
        <f>IF(SER_hh_tesh!E21=0,0,SER_hh_tesh!E21/SER_summary!E$26)</f>
        <v>9.1378774256127997</v>
      </c>
      <c r="F21" s="133">
        <f>IF(SER_hh_tesh!F21=0,0,SER_hh_tesh!F21/SER_summary!F$26)</f>
        <v>9.3107001516867616</v>
      </c>
      <c r="G21" s="133">
        <f>IF(SER_hh_tesh!G21=0,0,SER_hh_tesh!G21/SER_summary!G$26)</f>
        <v>9.3250997296695903</v>
      </c>
      <c r="H21" s="133">
        <f>IF(SER_hh_tesh!H21=0,0,SER_hh_tesh!H21/SER_summary!H$26)</f>
        <v>9.2693614581883885</v>
      </c>
      <c r="I21" s="133">
        <f>IF(SER_hh_tesh!I21=0,0,SER_hh_tesh!I21/SER_summary!I$26)</f>
        <v>9.465662902906729</v>
      </c>
      <c r="J21" s="133">
        <f>IF(SER_hh_tesh!J21=0,0,SER_hh_tesh!J21/SER_summary!J$26)</f>
        <v>9.466240121706198</v>
      </c>
      <c r="K21" s="133">
        <f>IF(SER_hh_tesh!K21=0,0,SER_hh_tesh!K21/SER_summary!K$26)</f>
        <v>9.6790497294833138</v>
      </c>
      <c r="L21" s="133">
        <f>IF(SER_hh_tesh!L21=0,0,SER_hh_tesh!L21/SER_summary!L$26)</f>
        <v>9.5440046436659411</v>
      </c>
      <c r="M21" s="133">
        <f>IF(SER_hh_tesh!M21=0,0,SER_hh_tesh!M21/SER_summary!M$26)</f>
        <v>9.7727855830825554</v>
      </c>
      <c r="N21" s="133">
        <f>IF(SER_hh_tesh!N21=0,0,SER_hh_tesh!N21/SER_summary!N$26)</f>
        <v>9.7273058303978335</v>
      </c>
      <c r="O21" s="133">
        <f>IF(SER_hh_tesh!O21=0,0,SER_hh_tesh!O21/SER_summary!O$26)</f>
        <v>9.6819168390175125</v>
      </c>
      <c r="P21" s="133">
        <f>IF(SER_hh_tesh!P21=0,0,SER_hh_tesh!P21/SER_summary!P$26)</f>
        <v>9.7132556730613118</v>
      </c>
      <c r="Q21" s="133">
        <f>IF(SER_hh_tesh!Q21=0,0,SER_hh_tesh!Q21/SER_summary!Q$26)</f>
        <v>9.8270547714742271</v>
      </c>
      <c r="R21" s="133">
        <f>IF(SER_hh_tesh!R21=0,0,SER_hh_tesh!R21/SER_summary!R$26)</f>
        <v>9.8482504646523328</v>
      </c>
      <c r="S21" s="133">
        <f>IF(SER_hh_tesh!S21=0,0,SER_hh_tesh!S21/SER_summary!S$26)</f>
        <v>9.7457042865479817</v>
      </c>
      <c r="T21" s="133">
        <f>IF(SER_hh_tesh!T21=0,0,SER_hh_tesh!T21/SER_summary!T$26)</f>
        <v>9.5539734798738571</v>
      </c>
      <c r="U21" s="133">
        <f>IF(SER_hh_tesh!U21=0,0,SER_hh_tesh!U21/SER_summary!U$26)</f>
        <v>9.6046829782553669</v>
      </c>
      <c r="V21" s="133">
        <f>IF(SER_hh_tesh!V21=0,0,SER_hh_tesh!V21/SER_summary!V$26)</f>
        <v>9.1547189507609641</v>
      </c>
      <c r="W21" s="133">
        <f>IF(SER_hh_tesh!W21=0,0,SER_hh_tesh!W21/SER_summary!W$26)</f>
        <v>8.8430283609930278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9.1479813698452581</v>
      </c>
      <c r="C22" s="133">
        <f>IF(SER_hh_tesh!C22=0,0,SER_hh_tesh!C22/SER_summary!C$26)</f>
        <v>9.119368613734931</v>
      </c>
      <c r="D22" s="133">
        <f>IF(SER_hh_tesh!D22=0,0,SER_hh_tesh!D22/SER_summary!D$26)</f>
        <v>9.0989614413186839</v>
      </c>
      <c r="E22" s="133">
        <f>IF(SER_hh_tesh!E22=0,0,SER_hh_tesh!E22/SER_summary!E$26)</f>
        <v>9.1981066211611928</v>
      </c>
      <c r="F22" s="133">
        <f>IF(SER_hh_tesh!F22=0,0,SER_hh_tesh!F22/SER_summary!F$26)</f>
        <v>9.2313558361163075</v>
      </c>
      <c r="G22" s="133">
        <f>IF(SER_hh_tesh!G22=0,0,SER_hh_tesh!G22/SER_summary!G$26)</f>
        <v>9.2910643692958583</v>
      </c>
      <c r="H22" s="133">
        <f>IF(SER_hh_tesh!H22=0,0,SER_hh_tesh!H22/SER_summary!H$26)</f>
        <v>9.373091239546028</v>
      </c>
      <c r="I22" s="133">
        <f>IF(SER_hh_tesh!I22=0,0,SER_hh_tesh!I22/SER_summary!I$26)</f>
        <v>9.4867053861902164</v>
      </c>
      <c r="J22" s="133">
        <f>IF(SER_hh_tesh!J22=0,0,SER_hh_tesh!J22/SER_summary!J$26)</f>
        <v>9.4564231541114019</v>
      </c>
      <c r="K22" s="133">
        <f>IF(SER_hh_tesh!K22=0,0,SER_hh_tesh!K22/SER_summary!K$26)</f>
        <v>9.4177766750723997</v>
      </c>
      <c r="L22" s="133">
        <f>IF(SER_hh_tesh!L22=0,0,SER_hh_tesh!L22/SER_summary!L$26)</f>
        <v>9.5054358063165409</v>
      </c>
      <c r="M22" s="133">
        <f>IF(SER_hh_tesh!M22=0,0,SER_hh_tesh!M22/SER_summary!M$26)</f>
        <v>9.7558970356698911</v>
      </c>
      <c r="N22" s="133">
        <f>IF(SER_hh_tesh!N22=0,0,SER_hh_tesh!N22/SER_summary!N$26)</f>
        <v>9.6733603337957437</v>
      </c>
      <c r="O22" s="133">
        <f>IF(SER_hh_tesh!O22=0,0,SER_hh_tesh!O22/SER_summary!O$26)</f>
        <v>9.8185622290311017</v>
      </c>
      <c r="P22" s="133">
        <f>IF(SER_hh_tesh!P22=0,0,SER_hh_tesh!P22/SER_summary!P$26)</f>
        <v>9.7712106104196828</v>
      </c>
      <c r="Q22" s="133">
        <f>IF(SER_hh_tesh!Q22=0,0,SER_hh_tesh!Q22/SER_summary!Q$26)</f>
        <v>9.8145468625162362</v>
      </c>
      <c r="R22" s="133">
        <f>IF(SER_hh_tesh!R22=0,0,SER_hh_tesh!R22/SER_summary!R$26)</f>
        <v>9.67190731870385</v>
      </c>
      <c r="S22" s="133">
        <f>IF(SER_hh_tesh!S22=0,0,SER_hh_tesh!S22/SER_summary!S$26)</f>
        <v>9.7197947053551079</v>
      </c>
      <c r="T22" s="133">
        <f>IF(SER_hh_tesh!T22=0,0,SER_hh_tesh!T22/SER_summary!T$26)</f>
        <v>9.6675250521732607</v>
      </c>
      <c r="U22" s="133">
        <f>IF(SER_hh_tesh!U22=0,0,SER_hh_tesh!U22/SER_summary!U$26)</f>
        <v>9.5136615800827684</v>
      </c>
      <c r="V22" s="133">
        <f>IF(SER_hh_tesh!V22=0,0,SER_hh_tesh!V22/SER_summary!V$26)</f>
        <v>8.5930654363888515</v>
      </c>
      <c r="W22" s="133">
        <f>IF(SER_hh_tesh!W22=0,0,SER_hh_tesh!W22/SER_summary!W$26)</f>
        <v>9.2492625233917174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8.7672076489913753</v>
      </c>
      <c r="C23" s="133">
        <f>IF(SER_hh_tesh!C23=0,0,SER_hh_tesh!C23/SER_summary!C$26)</f>
        <v>9.1633197080233835</v>
      </c>
      <c r="D23" s="133">
        <f>IF(SER_hh_tesh!D23=0,0,SER_hh_tesh!D23/SER_summary!D$26)</f>
        <v>9.2668828713371454</v>
      </c>
      <c r="E23" s="133">
        <f>IF(SER_hh_tesh!E23=0,0,SER_hh_tesh!E23/SER_summary!E$26)</f>
        <v>9.1764321787864329</v>
      </c>
      <c r="F23" s="133">
        <f>IF(SER_hh_tesh!F23=0,0,SER_hh_tesh!F23/SER_summary!F$26)</f>
        <v>9.1555109764026934</v>
      </c>
      <c r="G23" s="133">
        <f>IF(SER_hh_tesh!G23=0,0,SER_hh_tesh!G23/SER_summary!G$26)</f>
        <v>9.2115257191597344</v>
      </c>
      <c r="H23" s="133">
        <f>IF(SER_hh_tesh!H23=0,0,SER_hh_tesh!H23/SER_summary!H$26)</f>
        <v>9.1967862814438135</v>
      </c>
      <c r="I23" s="133">
        <f>IF(SER_hh_tesh!I23=0,0,SER_hh_tesh!I23/SER_summary!I$26)</f>
        <v>9.5205404216846663</v>
      </c>
      <c r="J23" s="133">
        <f>IF(SER_hh_tesh!J23=0,0,SER_hh_tesh!J23/SER_summary!J$26)</f>
        <v>9.5067043955675139</v>
      </c>
      <c r="K23" s="133">
        <f>IF(SER_hh_tesh!K23=0,0,SER_hh_tesh!K23/SER_summary!K$26)</f>
        <v>9.4640159909057981</v>
      </c>
      <c r="L23" s="133">
        <f>IF(SER_hh_tesh!L23=0,0,SER_hh_tesh!L23/SER_summary!L$26)</f>
        <v>9.6280804441876651</v>
      </c>
      <c r="M23" s="133">
        <f>IF(SER_hh_tesh!M23=0,0,SER_hh_tesh!M23/SER_summary!M$26)</f>
        <v>9.8012416993045299</v>
      </c>
      <c r="N23" s="133">
        <f>IF(SER_hh_tesh!N23=0,0,SER_hh_tesh!N23/SER_summary!N$26)</f>
        <v>9.8049130355884841</v>
      </c>
      <c r="O23" s="133">
        <f>IF(SER_hh_tesh!O23=0,0,SER_hh_tesh!O23/SER_summary!O$26)</f>
        <v>9.83283527492787</v>
      </c>
      <c r="P23" s="133">
        <f>IF(SER_hh_tesh!P23=0,0,SER_hh_tesh!P23/SER_summary!P$26)</f>
        <v>9.6474846621362076</v>
      </c>
      <c r="Q23" s="133">
        <f>IF(SER_hh_tesh!Q23=0,0,SER_hh_tesh!Q23/SER_summary!Q$26)</f>
        <v>9.6262074390599164</v>
      </c>
      <c r="R23" s="133">
        <f>IF(SER_hh_tesh!R23=0,0,SER_hh_tesh!R23/SER_summary!R$26)</f>
        <v>9.7981926090167519</v>
      </c>
      <c r="S23" s="133">
        <f>IF(SER_hh_tesh!S23=0,0,SER_hh_tesh!S23/SER_summary!S$26)</f>
        <v>9.8798956762847787</v>
      </c>
      <c r="T23" s="133">
        <f>IF(SER_hh_tesh!T23=0,0,SER_hh_tesh!T23/SER_summary!T$26)</f>
        <v>9.8642488865264273</v>
      </c>
      <c r="U23" s="133">
        <f>IF(SER_hh_tesh!U23=0,0,SER_hh_tesh!U23/SER_summary!U$26)</f>
        <v>9.9385270791741043</v>
      </c>
      <c r="V23" s="133">
        <f>IF(SER_hh_tesh!V23=0,0,SER_hh_tesh!V23/SER_summary!V$26)</f>
        <v>8.2617495225832229</v>
      </c>
      <c r="W23" s="133">
        <f>IF(SER_hh_tesh!W23=0,0,SER_hh_tesh!W23/SER_summary!W$26)</f>
        <v>9.3278397223531329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7.5312940140788536</v>
      </c>
      <c r="C25" s="133">
        <f>IF(SER_hh_tesh!C25=0,0,SER_hh_tesh!C25/SER_summary!C$26)</f>
        <v>9.3845327662961111</v>
      </c>
      <c r="D25" s="133">
        <f>IF(SER_hh_tesh!D25=0,0,SER_hh_tesh!D25/SER_summary!D$26)</f>
        <v>9.77278600938868</v>
      </c>
      <c r="E25" s="133">
        <f>IF(SER_hh_tesh!E25=0,0,SER_hh_tesh!E25/SER_summary!E$26)</f>
        <v>10.067170941132309</v>
      </c>
      <c r="F25" s="133">
        <f>IF(SER_hh_tesh!F25=0,0,SER_hh_tesh!F25/SER_summary!F$26)</f>
        <v>9.7519212060799436</v>
      </c>
      <c r="G25" s="133">
        <f>IF(SER_hh_tesh!G25=0,0,SER_hh_tesh!G25/SER_summary!G$26)</f>
        <v>8.6864084906742036</v>
      </c>
      <c r="H25" s="133">
        <f>IF(SER_hh_tesh!H25=0,0,SER_hh_tesh!H25/SER_summary!H$26)</f>
        <v>9.3017598801052017</v>
      </c>
      <c r="I25" s="133">
        <f>IF(SER_hh_tesh!I25=0,0,SER_hh_tesh!I25/SER_summary!I$26)</f>
        <v>10.927503102535338</v>
      </c>
      <c r="J25" s="133">
        <f>IF(SER_hh_tesh!J25=0,0,SER_hh_tesh!J25/SER_summary!J$26)</f>
        <v>7.8862763215373102</v>
      </c>
      <c r="K25" s="133">
        <f>IF(SER_hh_tesh!K25=0,0,SER_hh_tesh!K25/SER_summary!K$26)</f>
        <v>9.3985403053809655</v>
      </c>
      <c r="L25" s="133">
        <f>IF(SER_hh_tesh!L25=0,0,SER_hh_tesh!L25/SER_summary!L$26)</f>
        <v>9.1336256969538159</v>
      </c>
      <c r="M25" s="133">
        <f>IF(SER_hh_tesh!M25=0,0,SER_hh_tesh!M25/SER_summary!M$26)</f>
        <v>8.5629441191467581</v>
      </c>
      <c r="N25" s="133">
        <f>IF(SER_hh_tesh!N25=0,0,SER_hh_tesh!N25/SER_summary!N$26)</f>
        <v>9.7525047262066735</v>
      </c>
      <c r="O25" s="133">
        <f>IF(SER_hh_tesh!O25=0,0,SER_hh_tesh!O25/SER_summary!O$26)</f>
        <v>10.439443462700329</v>
      </c>
      <c r="P25" s="133">
        <f>IF(SER_hh_tesh!P25=0,0,SER_hh_tesh!P25/SER_summary!P$26)</f>
        <v>9.9113847989921773</v>
      </c>
      <c r="Q25" s="133">
        <f>IF(SER_hh_tesh!Q25=0,0,SER_hh_tesh!Q25/SER_summary!Q$26)</f>
        <v>10.148175947278641</v>
      </c>
      <c r="R25" s="133">
        <f>IF(SER_hh_tesh!R25=0,0,SER_hh_tesh!R25/SER_summary!R$26)</f>
        <v>9.6853774297976667</v>
      </c>
      <c r="S25" s="133">
        <f>IF(SER_hh_tesh!S25=0,0,SER_hh_tesh!S25/SER_summary!S$26)</f>
        <v>10.253181618840125</v>
      </c>
      <c r="T25" s="133">
        <f>IF(SER_hh_tesh!T25=0,0,SER_hh_tesh!T25/SER_summary!T$26)</f>
        <v>10.348912818952989</v>
      </c>
      <c r="U25" s="133">
        <f>IF(SER_hh_tesh!U25=0,0,SER_hh_tesh!U25/SER_summary!U$26)</f>
        <v>9.0869182390038592</v>
      </c>
      <c r="V25" s="133">
        <f>IF(SER_hh_tesh!V25=0,0,SER_hh_tesh!V25/SER_summary!V$26)</f>
        <v>8.2987029692564498</v>
      </c>
      <c r="W25" s="133">
        <f>IF(SER_hh_tesh!W25=0,0,SER_hh_tesh!W25/SER_summary!W$26)</f>
        <v>9.0847828645670852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8.0006099278465008</v>
      </c>
      <c r="C26" s="65">
        <f>IF(SER_hh_tesh!C26=0,0,SER_hh_tesh!C26/SER_summary!C$26)</f>
        <v>8.2259265745180699</v>
      </c>
      <c r="D26" s="65">
        <f>IF(SER_hh_tesh!D26=0,0,SER_hh_tesh!D26/SER_summary!D$26)</f>
        <v>8.549462620752319</v>
      </c>
      <c r="E26" s="65">
        <f>IF(SER_hh_tesh!E26=0,0,SER_hh_tesh!E26/SER_summary!E$26)</f>
        <v>8.4066486057332792</v>
      </c>
      <c r="F26" s="65">
        <f>IF(SER_hh_tesh!F26=0,0,SER_hh_tesh!F26/SER_summary!F$26)</f>
        <v>8.5779009502816326</v>
      </c>
      <c r="G26" s="65">
        <f>IF(SER_hh_tesh!G26=0,0,SER_hh_tesh!G26/SER_summary!G$26)</f>
        <v>8.6184362836585517</v>
      </c>
      <c r="H26" s="65">
        <f>IF(SER_hh_tesh!H26=0,0,SER_hh_tesh!H26/SER_summary!H$26)</f>
        <v>8.4305058938591397</v>
      </c>
      <c r="I26" s="65">
        <f>IF(SER_hh_tesh!I26=0,0,SER_hh_tesh!I26/SER_summary!I$26)</f>
        <v>8.4651717426091366</v>
      </c>
      <c r="J26" s="65">
        <f>IF(SER_hh_tesh!J26=0,0,SER_hh_tesh!J26/SER_summary!J$26)</f>
        <v>8.3821560911162187</v>
      </c>
      <c r="K26" s="65">
        <f>IF(SER_hh_tesh!K26=0,0,SER_hh_tesh!K26/SER_summary!K$26)</f>
        <v>8.4308995953257355</v>
      </c>
      <c r="L26" s="65">
        <f>IF(SER_hh_tesh!L26=0,0,SER_hh_tesh!L26/SER_summary!L$26)</f>
        <v>7.9382828087120014</v>
      </c>
      <c r="M26" s="65">
        <f>IF(SER_hh_tesh!M26=0,0,SER_hh_tesh!M26/SER_summary!M$26)</f>
        <v>7.9502829890956068</v>
      </c>
      <c r="N26" s="65">
        <f>IF(SER_hh_tesh!N26=0,0,SER_hh_tesh!N26/SER_summary!N$26)</f>
        <v>7.3906773561929482</v>
      </c>
      <c r="O26" s="65">
        <f>IF(SER_hh_tesh!O26=0,0,SER_hh_tesh!O26/SER_summary!O$26)</f>
        <v>7.0739150165171463</v>
      </c>
      <c r="P26" s="65">
        <f>IF(SER_hh_tesh!P26=0,0,SER_hh_tesh!P26/SER_summary!P$26)</f>
        <v>7.1357988669556311</v>
      </c>
      <c r="Q26" s="65">
        <f>IF(SER_hh_tesh!Q26=0,0,SER_hh_tesh!Q26/SER_summary!Q$26)</f>
        <v>7.180725080041106</v>
      </c>
      <c r="R26" s="65">
        <f>IF(SER_hh_tesh!R26=0,0,SER_hh_tesh!R26/SER_summary!R$26)</f>
        <v>6.9937203616778483</v>
      </c>
      <c r="S26" s="65">
        <f>IF(SER_hh_tesh!S26=0,0,SER_hh_tesh!S26/SER_summary!S$26)</f>
        <v>6.6654170758813978</v>
      </c>
      <c r="T26" s="65">
        <f>IF(SER_hh_tesh!T26=0,0,SER_hh_tesh!T26/SER_summary!T$26)</f>
        <v>6.4575795689175415</v>
      </c>
      <c r="U26" s="65">
        <f>IF(SER_hh_tesh!U26=0,0,SER_hh_tesh!U26/SER_summary!U$26)</f>
        <v>6.4507687688957542</v>
      </c>
      <c r="V26" s="65">
        <f>IF(SER_hh_tesh!V26=0,0,SER_hh_tesh!V26/SER_summary!V$26)</f>
        <v>4.7193070646626056</v>
      </c>
      <c r="W26" s="65">
        <f>IF(SER_hh_tesh!W26=0,0,SER_hh_tesh!W26/SER_summary!W$26)</f>
        <v>5.6891019604913993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0.58987603169583702</v>
      </c>
      <c r="C27" s="146">
        <f>IF(SER_hh_tesh!C27=0,0,SER_hh_tesh!C27/SER_summary!C$26)</f>
        <v>0.58845060882242062</v>
      </c>
      <c r="D27" s="146">
        <f>IF(SER_hh_tesh!D27=0,0,SER_hh_tesh!D27/SER_summary!D$26)</f>
        <v>0.59801968306723285</v>
      </c>
      <c r="E27" s="146">
        <f>IF(SER_hh_tesh!E27=0,0,SER_hh_tesh!E27/SER_summary!E$26)</f>
        <v>0.61212926532085843</v>
      </c>
      <c r="F27" s="146">
        <f>IF(SER_hh_tesh!F27=0,0,SER_hh_tesh!F27/SER_summary!F$26)</f>
        <v>0.61952192864978151</v>
      </c>
      <c r="G27" s="146">
        <f>IF(SER_hh_tesh!G27=0,0,SER_hh_tesh!G27/SER_summary!G$26)</f>
        <v>0.65129659557292796</v>
      </c>
      <c r="H27" s="146">
        <f>IF(SER_hh_tesh!H27=0,0,SER_hh_tesh!H27/SER_summary!H$26)</f>
        <v>0.66841097678042549</v>
      </c>
      <c r="I27" s="146">
        <f>IF(SER_hh_tesh!I27=0,0,SER_hh_tesh!I27/SER_summary!I$26)</f>
        <v>0.71038122050152386</v>
      </c>
      <c r="J27" s="146">
        <f>IF(SER_hh_tesh!J27=0,0,SER_hh_tesh!J27/SER_summary!J$26)</f>
        <v>0.83633772338156898</v>
      </c>
      <c r="K27" s="146">
        <f>IF(SER_hh_tesh!K27=0,0,SER_hh_tesh!K27/SER_summary!K$26)</f>
        <v>0.96085220034667751</v>
      </c>
      <c r="L27" s="146">
        <f>IF(SER_hh_tesh!L27=0,0,SER_hh_tesh!L27/SER_summary!L$26)</f>
        <v>1.3191729851498823</v>
      </c>
      <c r="M27" s="146">
        <f>IF(SER_hh_tesh!M27=0,0,SER_hh_tesh!M27/SER_summary!M$26)</f>
        <v>1.6255514836118046</v>
      </c>
      <c r="N27" s="146">
        <f>IF(SER_hh_tesh!N27=0,0,SER_hh_tesh!N27/SER_summary!N$26)</f>
        <v>1.8388085876466473</v>
      </c>
      <c r="O27" s="146">
        <f>IF(SER_hh_tesh!O27=0,0,SER_hh_tesh!O27/SER_summary!O$26)</f>
        <v>1.9766339618297686</v>
      </c>
      <c r="P27" s="146">
        <f>IF(SER_hh_tesh!P27=0,0,SER_hh_tesh!P27/SER_summary!P$26)</f>
        <v>2.0735635193525144</v>
      </c>
      <c r="Q27" s="146">
        <f>IF(SER_hh_tesh!Q27=0,0,SER_hh_tesh!Q27/SER_summary!Q$26)</f>
        <v>2.1510624750218539</v>
      </c>
      <c r="R27" s="146">
        <f>IF(SER_hh_tesh!R27=0,0,SER_hh_tesh!R27/SER_summary!R$26)</f>
        <v>2.2367225707841034</v>
      </c>
      <c r="S27" s="146">
        <f>IF(SER_hh_tesh!S27=0,0,SER_hh_tesh!S27/SER_summary!S$26)</f>
        <v>2.3235061408377429</v>
      </c>
      <c r="T27" s="146">
        <f>IF(SER_hh_tesh!T27=0,0,SER_hh_tesh!T27/SER_summary!T$26)</f>
        <v>2.4257155804329629</v>
      </c>
      <c r="U27" s="146">
        <f>IF(SER_hh_tesh!U27=0,0,SER_hh_tesh!U27/SER_summary!U$26)</f>
        <v>2.5059587240218382</v>
      </c>
      <c r="V27" s="146">
        <f>IF(SER_hh_tesh!V27=0,0,SER_hh_tesh!V27/SER_summary!V$26)</f>
        <v>2.602904031809266</v>
      </c>
      <c r="W27" s="146">
        <f>IF(SER_hh_tesh!W27=0,0,SER_hh_tesh!W27/SER_summary!W$26)</f>
        <v>2.7118712925663147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7.5172901790505078</v>
      </c>
      <c r="C28" s="147">
        <f>IF(SER_hh_tesh!C28=0,0,SER_hh_tesh!C28/SER_summary!C$26)</f>
        <v>7.4364459447921814</v>
      </c>
      <c r="D28" s="147">
        <f>IF(SER_hh_tesh!D28=0,0,SER_hh_tesh!D28/SER_summary!D$26)</f>
        <v>7.4869555172109061</v>
      </c>
      <c r="E28" s="147">
        <f>IF(SER_hh_tesh!E28=0,0,SER_hh_tesh!E28/SER_summary!E$26)</f>
        <v>7.8961860579959859</v>
      </c>
      <c r="F28" s="147">
        <f>IF(SER_hh_tesh!F28=0,0,SER_hh_tesh!F28/SER_summary!F$26)</f>
        <v>7.9779794331194562</v>
      </c>
      <c r="G28" s="147">
        <f>IF(SER_hh_tesh!G28=0,0,SER_hh_tesh!G28/SER_summary!G$26)</f>
        <v>7.5615552268776467</v>
      </c>
      <c r="H28" s="147">
        <f>IF(SER_hh_tesh!H28=0,0,SER_hh_tesh!H28/SER_summary!H$26)</f>
        <v>7.7420454476301819</v>
      </c>
      <c r="I28" s="147">
        <f>IF(SER_hh_tesh!I28=0,0,SER_hh_tesh!I28/SER_summary!I$26)</f>
        <v>7.7981618887743167</v>
      </c>
      <c r="J28" s="147">
        <f>IF(SER_hh_tesh!J28=0,0,SER_hh_tesh!J28/SER_summary!J$26)</f>
        <v>7.8702686314140466</v>
      </c>
      <c r="K28" s="147">
        <f>IF(SER_hh_tesh!K28=0,0,SER_hh_tesh!K28/SER_summary!K$26)</f>
        <v>7.882349765862938</v>
      </c>
      <c r="L28" s="147">
        <f>IF(SER_hh_tesh!L28=0,0,SER_hh_tesh!L28/SER_summary!L$26)</f>
        <v>8.4384008061847933</v>
      </c>
      <c r="M28" s="147">
        <f>IF(SER_hh_tesh!M28=0,0,SER_hh_tesh!M28/SER_summary!M$26)</f>
        <v>9.1383196638272466</v>
      </c>
      <c r="N28" s="147">
        <f>IF(SER_hh_tesh!N28=0,0,SER_hh_tesh!N28/SER_summary!N$26)</f>
        <v>9.0326273032489599</v>
      </c>
      <c r="O28" s="147">
        <f>IF(SER_hh_tesh!O28=0,0,SER_hh_tesh!O28/SER_summary!O$26)</f>
        <v>9.1550454056880639</v>
      </c>
      <c r="P28" s="147">
        <f>IF(SER_hh_tesh!P28=0,0,SER_hh_tesh!P28/SER_summary!P$26)</f>
        <v>9.1792657784369336</v>
      </c>
      <c r="Q28" s="147">
        <f>IF(SER_hh_tesh!Q28=0,0,SER_hh_tesh!Q28/SER_summary!Q$26)</f>
        <v>9.2442132096608542</v>
      </c>
      <c r="R28" s="147">
        <f>IF(SER_hh_tesh!R28=0,0,SER_hh_tesh!R28/SER_summary!R$26)</f>
        <v>9.1646225890549999</v>
      </c>
      <c r="S28" s="147">
        <f>IF(SER_hh_tesh!S28=0,0,SER_hh_tesh!S28/SER_summary!S$26)</f>
        <v>9.1422516050974547</v>
      </c>
      <c r="T28" s="147">
        <f>IF(SER_hh_tesh!T28=0,0,SER_hh_tesh!T28/SER_summary!T$26)</f>
        <v>9.4237361745108874</v>
      </c>
      <c r="U28" s="147">
        <f>IF(SER_hh_tesh!U28=0,0,SER_hh_tesh!U28/SER_summary!U$26)</f>
        <v>9.4637544098250608</v>
      </c>
      <c r="V28" s="147">
        <f>IF(SER_hh_tesh!V28=0,0,SER_hh_tesh!V28/SER_summary!V$26)</f>
        <v>8.2153881800008364</v>
      </c>
      <c r="W28" s="147">
        <f>IF(SER_hh_tesh!W28=0,0,SER_hh_tesh!W28/SER_summary!W$26)</f>
        <v>9.2649187017018892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8.3830837727614611</v>
      </c>
      <c r="C29" s="131">
        <f>IF(SER_hh_tesh!C29=0,0,SER_hh_tesh!C29/SER_summary!C$26)</f>
        <v>8.7395694101171557</v>
      </c>
      <c r="D29" s="131">
        <f>IF(SER_hh_tesh!D29=0,0,SER_hh_tesh!D29/SER_summary!D$26)</f>
        <v>9.4442589341968528</v>
      </c>
      <c r="E29" s="131">
        <f>IF(SER_hh_tesh!E29=0,0,SER_hh_tesh!E29/SER_summary!E$26)</f>
        <v>9.7545671162588832</v>
      </c>
      <c r="F29" s="131">
        <f>IF(SER_hh_tesh!F29=0,0,SER_hh_tesh!F29/SER_summary!F$26)</f>
        <v>9.8609742934721858</v>
      </c>
      <c r="G29" s="131">
        <f>IF(SER_hh_tesh!G29=0,0,SER_hh_tesh!G29/SER_summary!G$26)</f>
        <v>9.8692381895133448</v>
      </c>
      <c r="H29" s="131">
        <f>IF(SER_hh_tesh!H29=0,0,SER_hh_tesh!H29/SER_summary!H$26)</f>
        <v>10.037012092234256</v>
      </c>
      <c r="I29" s="131">
        <f>IF(SER_hh_tesh!I29=0,0,SER_hh_tesh!I29/SER_summary!I$26)</f>
        <v>10.008561596260792</v>
      </c>
      <c r="J29" s="131">
        <f>IF(SER_hh_tesh!J29=0,0,SER_hh_tesh!J29/SER_summary!J$26)</f>
        <v>10.301991664619083</v>
      </c>
      <c r="K29" s="131">
        <f>IF(SER_hh_tesh!K29=0,0,SER_hh_tesh!K29/SER_summary!K$26)</f>
        <v>10.216543710452877</v>
      </c>
      <c r="L29" s="131">
        <f>IF(SER_hh_tesh!L29=0,0,SER_hh_tesh!L29/SER_summary!L$26)</f>
        <v>10.369050621534321</v>
      </c>
      <c r="M29" s="131">
        <f>IF(SER_hh_tesh!M29=0,0,SER_hh_tesh!M29/SER_summary!M$26)</f>
        <v>10.295406376923168</v>
      </c>
      <c r="N29" s="131">
        <f>IF(SER_hh_tesh!N29=0,0,SER_hh_tesh!N29/SER_summary!N$26)</f>
        <v>10.29070995229376</v>
      </c>
      <c r="O29" s="131">
        <f>IF(SER_hh_tesh!O29=0,0,SER_hh_tesh!O29/SER_summary!O$26)</f>
        <v>9.5881669332916353</v>
      </c>
      <c r="P29" s="131">
        <f>IF(SER_hh_tesh!P29=0,0,SER_hh_tesh!P29/SER_summary!P$26)</f>
        <v>10.237626055467176</v>
      </c>
      <c r="Q29" s="131">
        <f>IF(SER_hh_tesh!Q29=0,0,SER_hh_tesh!Q29/SER_summary!Q$26)</f>
        <v>10.344354789421063</v>
      </c>
      <c r="R29" s="131">
        <f>IF(SER_hh_tesh!R29=0,0,SER_hh_tesh!R29/SER_summary!R$26)</f>
        <v>10.559663687103191</v>
      </c>
      <c r="S29" s="131">
        <f>IF(SER_hh_tesh!S29=0,0,SER_hh_tesh!S29/SER_summary!S$26)</f>
        <v>10.821251134250419</v>
      </c>
      <c r="T29" s="131">
        <f>IF(SER_hh_tesh!T29=0,0,SER_hh_tesh!T29/SER_summary!T$26)</f>
        <v>10.925416197887996</v>
      </c>
      <c r="U29" s="131">
        <f>IF(SER_hh_tesh!U29=0,0,SER_hh_tesh!U29/SER_summary!U$26)</f>
        <v>10.931855319445967</v>
      </c>
      <c r="V29" s="131">
        <f>IF(SER_hh_tesh!V29=0,0,SER_hh_tesh!V29/SER_summary!V$26)</f>
        <v>10.30250891303049</v>
      </c>
      <c r="W29" s="131">
        <f>IF(SER_hh_tesh!W29=0,0,SER_hh_tesh!W29/SER_summary!W$26)</f>
        <v>10.543689172051696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9.716010880706671</v>
      </c>
      <c r="C30" s="133">
        <f>IF(SER_hh_tesh!C30=0,0,SER_hh_tesh!C30/SER_summary!C$26)</f>
        <v>6.9219403027963349</v>
      </c>
      <c r="D30" s="133">
        <f>IF(SER_hh_tesh!D30=0,0,SER_hh_tesh!D30/SER_summary!D$26)</f>
        <v>9.7640279421338789</v>
      </c>
      <c r="E30" s="133">
        <f>IF(SER_hh_tesh!E30=0,0,SER_hh_tesh!E30/SER_summary!E$26)</f>
        <v>9.1913732752832651</v>
      </c>
      <c r="F30" s="133">
        <f>IF(SER_hh_tesh!F30=0,0,SER_hh_tesh!F30/SER_summary!F$26)</f>
        <v>9.110980723884353</v>
      </c>
      <c r="G30" s="133">
        <f>IF(SER_hh_tesh!G30=0,0,SER_hh_tesh!G30/SER_summary!G$26)</f>
        <v>11.524746281404783</v>
      </c>
      <c r="H30" s="133">
        <f>IF(SER_hh_tesh!H30=0,0,SER_hh_tesh!H30/SER_summary!H$26)</f>
        <v>9.7075129500117487</v>
      </c>
      <c r="I30" s="133">
        <f>IF(SER_hh_tesh!I30=0,0,SER_hh_tesh!I30/SER_summary!I$26)</f>
        <v>9.8255872122858499</v>
      </c>
      <c r="J30" s="133">
        <f>IF(SER_hh_tesh!J30=0,0,SER_hh_tesh!J30/SER_summary!J$26)</f>
        <v>11.556497581446713</v>
      </c>
      <c r="K30" s="133">
        <f>IF(SER_hh_tesh!K30=0,0,SER_hh_tesh!K30/SER_summary!K$26)</f>
        <v>12.316265576232361</v>
      </c>
      <c r="L30" s="133">
        <f>IF(SER_hh_tesh!L30=0,0,SER_hh_tesh!L30/SER_summary!L$26)</f>
        <v>7.1843713272839773</v>
      </c>
      <c r="M30" s="133">
        <f>IF(SER_hh_tesh!M30=0,0,SER_hh_tesh!M30/SER_summary!M$26)</f>
        <v>8.5627979935253489</v>
      </c>
      <c r="N30" s="133">
        <f>IF(SER_hh_tesh!N30=0,0,SER_hh_tesh!N30/SER_summary!N$26)</f>
        <v>7.5400166306294292</v>
      </c>
      <c r="O30" s="133">
        <f>IF(SER_hh_tesh!O30=0,0,SER_hh_tesh!O30/SER_summary!O$26)</f>
        <v>7.5543124083285829</v>
      </c>
      <c r="P30" s="133">
        <f>IF(SER_hh_tesh!P30=0,0,SER_hh_tesh!P30/SER_summary!P$26)</f>
        <v>11.546257647187563</v>
      </c>
      <c r="Q30" s="133">
        <f>IF(SER_hh_tesh!Q30=0,0,SER_hh_tesh!Q30/SER_summary!Q$26)</f>
        <v>11.331402221125435</v>
      </c>
      <c r="R30" s="133">
        <f>IF(SER_hh_tesh!R30=0,0,SER_hh_tesh!R30/SER_summary!R$26)</f>
        <v>10.043223833115192</v>
      </c>
      <c r="S30" s="133">
        <f>IF(SER_hh_tesh!S30=0,0,SER_hh_tesh!S30/SER_summary!S$26)</f>
        <v>9.7511919552911372</v>
      </c>
      <c r="T30" s="133">
        <f>IF(SER_hh_tesh!T30=0,0,SER_hh_tesh!T30/SER_summary!T$26)</f>
        <v>12.440182091023125</v>
      </c>
      <c r="U30" s="133">
        <f>IF(SER_hh_tesh!U30=0,0,SER_hh_tesh!U30/SER_summary!U$26)</f>
        <v>12.38204649038334</v>
      </c>
      <c r="V30" s="133">
        <f>IF(SER_hh_tesh!V30=0,0,SER_hh_tesh!V30/SER_summary!V$26)</f>
        <v>9.5584738669796447</v>
      </c>
      <c r="W30" s="133">
        <f>IF(SER_hh_tesh!W30=0,0,SER_hh_tesh!W30/SER_summary!W$26)</f>
        <v>9.900827691169507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8.3015876384277831</v>
      </c>
      <c r="C31" s="133">
        <f>IF(SER_hh_tesh!C31=0,0,SER_hh_tesh!C31/SER_summary!C$26)</f>
        <v>8.7369801260588194</v>
      </c>
      <c r="D31" s="133">
        <f>IF(SER_hh_tesh!D31=0,0,SER_hh_tesh!D31/SER_summary!D$26)</f>
        <v>9.3899731393715147</v>
      </c>
      <c r="E31" s="133">
        <f>IF(SER_hh_tesh!E31=0,0,SER_hh_tesh!E31/SER_summary!E$26)</f>
        <v>9.3246442415338446</v>
      </c>
      <c r="F31" s="133">
        <f>IF(SER_hh_tesh!F31=0,0,SER_hh_tesh!F31/SER_summary!F$26)</f>
        <v>9.8960254038747237</v>
      </c>
      <c r="G31" s="133">
        <f>IF(SER_hh_tesh!G31=0,0,SER_hh_tesh!G31/SER_summary!G$26)</f>
        <v>10.077788510702238</v>
      </c>
      <c r="H31" s="133">
        <f>IF(SER_hh_tesh!H31=0,0,SER_hh_tesh!H31/SER_summary!H$26)</f>
        <v>10.11150539245463</v>
      </c>
      <c r="I31" s="133">
        <f>IF(SER_hh_tesh!I31=0,0,SER_hh_tesh!I31/SER_summary!I$26)</f>
        <v>10.022759657590953</v>
      </c>
      <c r="J31" s="133">
        <f>IF(SER_hh_tesh!J31=0,0,SER_hh_tesh!J31/SER_summary!J$26)</f>
        <v>9.6697626669729964</v>
      </c>
      <c r="K31" s="133">
        <f>IF(SER_hh_tesh!K31=0,0,SER_hh_tesh!K31/SER_summary!K$26)</f>
        <v>9.7728984500409073</v>
      </c>
      <c r="L31" s="133">
        <f>IF(SER_hh_tesh!L31=0,0,SER_hh_tesh!L31/SER_summary!L$26)</f>
        <v>10.879436213805166</v>
      </c>
      <c r="M31" s="133">
        <f>IF(SER_hh_tesh!M31=0,0,SER_hh_tesh!M31/SER_summary!M$26)</f>
        <v>10.164684966765112</v>
      </c>
      <c r="N31" s="133">
        <f>IF(SER_hh_tesh!N31=0,0,SER_hh_tesh!N31/SER_summary!N$26)</f>
        <v>9.5239819795374334</v>
      </c>
      <c r="O31" s="133">
        <f>IF(SER_hh_tesh!O31=0,0,SER_hh_tesh!O31/SER_summary!O$26)</f>
        <v>10.539450151129694</v>
      </c>
      <c r="P31" s="133">
        <f>IF(SER_hh_tesh!P31=0,0,SER_hh_tesh!P31/SER_summary!P$26)</f>
        <v>9.9356956636259977</v>
      </c>
      <c r="Q31" s="133">
        <f>IF(SER_hh_tesh!Q31=0,0,SER_hh_tesh!Q31/SER_summary!Q$26)</f>
        <v>10.515317502120627</v>
      </c>
      <c r="R31" s="133">
        <f>IF(SER_hh_tesh!R31=0,0,SER_hh_tesh!R31/SER_summary!R$26)</f>
        <v>10.691214165101879</v>
      </c>
      <c r="S31" s="133">
        <f>IF(SER_hh_tesh!S31=0,0,SER_hh_tesh!S31/SER_summary!S$26)</f>
        <v>10.710284357676809</v>
      </c>
      <c r="T31" s="133">
        <f>IF(SER_hh_tesh!T31=0,0,SER_hh_tesh!T31/SER_summary!T$26)</f>
        <v>10.825270332851028</v>
      </c>
      <c r="U31" s="133">
        <f>IF(SER_hh_tesh!U31=0,0,SER_hh_tesh!U31/SER_summary!U$26)</f>
        <v>11.257731550856354</v>
      </c>
      <c r="V31" s="133">
        <f>IF(SER_hh_tesh!V31=0,0,SER_hh_tesh!V31/SER_summary!V$26)</f>
        <v>10.522203021476834</v>
      </c>
      <c r="W31" s="133">
        <f>IF(SER_hh_tesh!W31=0,0,SER_hh_tesh!W31/SER_summary!W$26)</f>
        <v>9.7655815423096826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17.612378401993706</v>
      </c>
      <c r="O32" s="133">
        <f>IF(SER_hh_tesh!O32=0,0,SER_hh_tesh!O32/SER_summary!O$26)</f>
        <v>9.60223694108012</v>
      </c>
      <c r="P32" s="133">
        <f>IF(SER_hh_tesh!P32=0,0,SER_hh_tesh!P32/SER_summary!P$26)</f>
        <v>9.6602516580950315</v>
      </c>
      <c r="Q32" s="133">
        <f>IF(SER_hh_tesh!Q32=0,0,SER_hh_tesh!Q32/SER_summary!Q$26)</f>
        <v>10.892633684967569</v>
      </c>
      <c r="R32" s="133">
        <f>IF(SER_hh_tesh!R32=0,0,SER_hh_tesh!R32/SER_summary!R$26)</f>
        <v>9.6447539156865894</v>
      </c>
      <c r="S32" s="133">
        <f>IF(SER_hh_tesh!S32=0,0,SER_hh_tesh!S32/SER_summary!S$26)</f>
        <v>10.610182301147915</v>
      </c>
      <c r="T32" s="133">
        <f>IF(SER_hh_tesh!T32=0,0,SER_hh_tesh!T32/SER_summary!T$26)</f>
        <v>11.637214621099503</v>
      </c>
      <c r="U32" s="133">
        <f>IF(SER_hh_tesh!U32=0,0,SER_hh_tesh!U32/SER_summary!U$26)</f>
        <v>11.473203103129478</v>
      </c>
      <c r="V32" s="133">
        <f>IF(SER_hh_tesh!V32=0,0,SER_hh_tesh!V32/SER_summary!V$26)</f>
        <v>8.8909515866239186</v>
      </c>
      <c r="W32" s="133">
        <f>IF(SER_hh_tesh!W32=0,0,SER_hh_tesh!W32/SER_summary!W$26)</f>
        <v>11.286017285276936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8.0635442599609704</v>
      </c>
      <c r="C33" s="68">
        <f>IF(SER_hh_tesh!C33=0,0,SER_hh_tesh!C33/SER_summary!C$26)</f>
        <v>9.1622454101635906</v>
      </c>
      <c r="D33" s="68">
        <f>IF(SER_hh_tesh!D33=0,0,SER_hh_tesh!D33/SER_summary!D$26)</f>
        <v>9.3573169938377116</v>
      </c>
      <c r="E33" s="68">
        <f>IF(SER_hh_tesh!E33=0,0,SER_hh_tesh!E33/SER_summary!E$26)</f>
        <v>10.007378558876423</v>
      </c>
      <c r="F33" s="68">
        <f>IF(SER_hh_tesh!F33=0,0,SER_hh_tesh!F33/SER_summary!F$26)</f>
        <v>10.207675129180641</v>
      </c>
      <c r="G33" s="68">
        <f>IF(SER_hh_tesh!G33=0,0,SER_hh_tesh!G33/SER_summary!G$26)</f>
        <v>8.831552969973508</v>
      </c>
      <c r="H33" s="68">
        <f>IF(SER_hh_tesh!H33=0,0,SER_hh_tesh!H33/SER_summary!H$26)</f>
        <v>10.237901370463227</v>
      </c>
      <c r="I33" s="68">
        <f>IF(SER_hh_tesh!I33=0,0,SER_hh_tesh!I33/SER_summary!I$26)</f>
        <v>10.131083695447035</v>
      </c>
      <c r="J33" s="68">
        <f>IF(SER_hh_tesh!J33=0,0,SER_hh_tesh!J33/SER_summary!J$26)</f>
        <v>9.6114107349013373</v>
      </c>
      <c r="K33" s="68">
        <f>IF(SER_hh_tesh!K33=0,0,SER_hh_tesh!K33/SER_summary!K$26)</f>
        <v>9.2006250638549414</v>
      </c>
      <c r="L33" s="68">
        <f>IF(SER_hh_tesh!L33=0,0,SER_hh_tesh!L33/SER_summary!L$26)</f>
        <v>11.299348553458307</v>
      </c>
      <c r="M33" s="68">
        <f>IF(SER_hh_tesh!M33=0,0,SER_hh_tesh!M33/SER_summary!M$26)</f>
        <v>10.758961280226425</v>
      </c>
      <c r="N33" s="68">
        <f>IF(SER_hh_tesh!N33=0,0,SER_hh_tesh!N33/SER_summary!N$26)</f>
        <v>10.257016651293869</v>
      </c>
      <c r="O33" s="68">
        <f>IF(SER_hh_tesh!O33=0,0,SER_hh_tesh!O33/SER_summary!O$26)</f>
        <v>9.9341035164390661</v>
      </c>
      <c r="P33" s="68">
        <f>IF(SER_hh_tesh!P33=0,0,SER_hh_tesh!P33/SER_summary!P$26)</f>
        <v>9.9296487890992076</v>
      </c>
      <c r="Q33" s="68">
        <f>IF(SER_hh_tesh!Q33=0,0,SER_hh_tesh!Q33/SER_summary!Q$26)</f>
        <v>9.7553807512613613</v>
      </c>
      <c r="R33" s="68">
        <f>IF(SER_hh_tesh!R33=0,0,SER_hh_tesh!R33/SER_summary!R$26)</f>
        <v>10.877045233230302</v>
      </c>
      <c r="S33" s="68">
        <f>IF(SER_hh_tesh!S33=0,0,SER_hh_tesh!S33/SER_summary!S$26)</f>
        <v>11.417446647012772</v>
      </c>
      <c r="T33" s="68">
        <f>IF(SER_hh_tesh!T33=0,0,SER_hh_tesh!T33/SER_summary!T$26)</f>
        <v>10.078815358105839</v>
      </c>
      <c r="U33" s="68">
        <f>IF(SER_hh_tesh!U33=0,0,SER_hh_tesh!U33/SER_summary!U$26)</f>
        <v>10.03416728125455</v>
      </c>
      <c r="V33" s="68">
        <f>IF(SER_hh_tesh!V33=0,0,SER_hh_tesh!V33/SER_summary!V$26)</f>
        <v>10.617210979001008</v>
      </c>
      <c r="W33" s="68">
        <f>IF(SER_hh_tesh!W33=0,0,SER_hh_tesh!W33/SER_summary!W$26)</f>
        <v>10.939051337501551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9.0685716261502787</v>
      </c>
      <c r="C3" s="126">
        <f>IF(SER_hh_emih!C3=0,0,SER_hh_emih!C3/SER_summary!C$26)</f>
        <v>9.6485623531730784</v>
      </c>
      <c r="D3" s="126">
        <f>IF(SER_hh_emih!D3=0,0,SER_hh_emih!D3/SER_summary!D$26)</f>
        <v>10.287897838447748</v>
      </c>
      <c r="E3" s="126">
        <f>IF(SER_hh_emih!E3=0,0,SER_hh_emih!E3/SER_summary!E$26)</f>
        <v>10.696495156869961</v>
      </c>
      <c r="F3" s="126">
        <f>IF(SER_hh_emih!F3=0,0,SER_hh_emih!F3/SER_summary!F$26)</f>
        <v>12.841336720670892</v>
      </c>
      <c r="G3" s="126">
        <f>IF(SER_hh_emih!G3=0,0,SER_hh_emih!G3/SER_summary!G$26)</f>
        <v>14.15285042475883</v>
      </c>
      <c r="H3" s="126">
        <f>IF(SER_hh_emih!H3=0,0,SER_hh_emih!H3/SER_summary!H$26)</f>
        <v>13.158395579541502</v>
      </c>
      <c r="I3" s="126">
        <f>IF(SER_hh_emih!I3=0,0,SER_hh_emih!I3/SER_summary!I$26)</f>
        <v>11.963973778297332</v>
      </c>
      <c r="J3" s="126">
        <f>IF(SER_hh_emih!J3=0,0,SER_hh_emih!J3/SER_summary!J$26)</f>
        <v>9.7903650470915053</v>
      </c>
      <c r="K3" s="126">
        <f>IF(SER_hh_emih!K3=0,0,SER_hh_emih!K3/SER_summary!K$26)</f>
        <v>11.08143173682506</v>
      </c>
      <c r="L3" s="126">
        <f>IF(SER_hh_emih!L3=0,0,SER_hh_emih!L3/SER_summary!L$26)</f>
        <v>7.5240683433384179</v>
      </c>
      <c r="M3" s="126">
        <f>IF(SER_hh_emih!M3=0,0,SER_hh_emih!M3/SER_summary!M$26)</f>
        <v>6.6949380718562033</v>
      </c>
      <c r="N3" s="126">
        <f>IF(SER_hh_emih!N3=0,0,SER_hh_emih!N3/SER_summary!N$26)</f>
        <v>5.8841305687352099</v>
      </c>
      <c r="O3" s="126">
        <f>IF(SER_hh_emih!O3=0,0,SER_hh_emih!O3/SER_summary!O$26)</f>
        <v>5.7398176900406392</v>
      </c>
      <c r="P3" s="126">
        <f>IF(SER_hh_emih!P3=0,0,SER_hh_emih!P3/SER_summary!P$26)</f>
        <v>5.9658089575960869</v>
      </c>
      <c r="Q3" s="126">
        <f>IF(SER_hh_emih!Q3=0,0,SER_hh_emih!Q3/SER_summary!Q$26)</f>
        <v>6.4995073777572543</v>
      </c>
      <c r="R3" s="126">
        <f>IF(SER_hh_emih!R3=0,0,SER_hh_emih!R3/SER_summary!R$26)</f>
        <v>6.1883224371266117</v>
      </c>
      <c r="S3" s="126">
        <f>IF(SER_hh_emih!S3=0,0,SER_hh_emih!S3/SER_summary!S$26)</f>
        <v>6.0868036869990583</v>
      </c>
      <c r="T3" s="126">
        <f>IF(SER_hh_emih!T3=0,0,SER_hh_emih!T3/SER_summary!T$26)</f>
        <v>6.5198967773159531</v>
      </c>
      <c r="U3" s="126">
        <f>IF(SER_hh_emih!U3=0,0,SER_hh_emih!U3/SER_summary!U$26)</f>
        <v>6.3317018366324236</v>
      </c>
      <c r="V3" s="126">
        <f>IF(SER_hh_emih!V3=0,0,SER_hh_emih!V3/SER_summary!V$26)</f>
        <v>4.9607767188458105</v>
      </c>
      <c r="W3" s="126">
        <f>IF(SER_hh_emih!W3=0,0,SER_hh_emih!W3/SER_summary!W$26)</f>
        <v>5.2565669631256826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6.1137368803843986</v>
      </c>
      <c r="C4" s="131">
        <f>IF(SER_hh_emih!C4=0,0,SER_hh_emih!C4/SER_summary!C$26)</f>
        <v>7.050894131180435</v>
      </c>
      <c r="D4" s="131">
        <f>IF(SER_hh_emih!D4=0,0,SER_hh_emih!D4/SER_summary!D$26)</f>
        <v>7.4280797431212884</v>
      </c>
      <c r="E4" s="131">
        <f>IF(SER_hh_emih!E4=0,0,SER_hh_emih!E4/SER_summary!E$26)</f>
        <v>7.8070983833898646</v>
      </c>
      <c r="F4" s="131">
        <f>IF(SER_hh_emih!F4=0,0,SER_hh_emih!F4/SER_summary!F$26)</f>
        <v>9.8013240448128478</v>
      </c>
      <c r="G4" s="131">
        <f>IF(SER_hh_emih!G4=0,0,SER_hh_emih!G4/SER_summary!G$26)</f>
        <v>10.569254666918342</v>
      </c>
      <c r="H4" s="131">
        <f>IF(SER_hh_emih!H4=0,0,SER_hh_emih!H4/SER_summary!H$26)</f>
        <v>9.8224958208257611</v>
      </c>
      <c r="I4" s="131">
        <f>IF(SER_hh_emih!I4=0,0,SER_hh_emih!I4/SER_summary!I$26)</f>
        <v>8.5914318047335669</v>
      </c>
      <c r="J4" s="131">
        <f>IF(SER_hh_emih!J4=0,0,SER_hh_emih!J4/SER_summary!J$26)</f>
        <v>6.2602882808045939</v>
      </c>
      <c r="K4" s="131">
        <f>IF(SER_hh_emih!K4=0,0,SER_hh_emih!K4/SER_summary!K$26)</f>
        <v>7.6630104352577257</v>
      </c>
      <c r="L4" s="131">
        <f>IF(SER_hh_emih!L4=0,0,SER_hh_emih!L4/SER_summary!L$26)</f>
        <v>4.9442695802380836</v>
      </c>
      <c r="M4" s="131">
        <f>IF(SER_hh_emih!M4=0,0,SER_hh_emih!M4/SER_summary!M$26)</f>
        <v>4.0903279543335644</v>
      </c>
      <c r="N4" s="131">
        <f>IF(SER_hh_emih!N4=0,0,SER_hh_emih!N4/SER_summary!N$26)</f>
        <v>3.3395032396591469</v>
      </c>
      <c r="O4" s="131">
        <f>IF(SER_hh_emih!O4=0,0,SER_hh_emih!O4/SER_summary!O$26)</f>
        <v>3.0362772244673892</v>
      </c>
      <c r="P4" s="131">
        <f>IF(SER_hh_emih!P4=0,0,SER_hh_emih!P4/SER_summary!P$26)</f>
        <v>2.8444763483105366</v>
      </c>
      <c r="Q4" s="131">
        <f>IF(SER_hh_emih!Q4=0,0,SER_hh_emih!Q4/SER_summary!Q$26)</f>
        <v>3.2100083658574685</v>
      </c>
      <c r="R4" s="131">
        <f>IF(SER_hh_emih!R4=0,0,SER_hh_emih!R4/SER_summary!R$26)</f>
        <v>2.9291817149410542</v>
      </c>
      <c r="S4" s="131">
        <f>IF(SER_hh_emih!S4=0,0,SER_hh_emih!S4/SER_summary!S$26)</f>
        <v>2.7906536968798306</v>
      </c>
      <c r="T4" s="131">
        <f>IF(SER_hh_emih!T4=0,0,SER_hh_emih!T4/SER_summary!T$26)</f>
        <v>2.867740248711891</v>
      </c>
      <c r="U4" s="131">
        <f>IF(SER_hh_emih!U4=0,0,SER_hh_emih!U4/SER_summary!U$26)</f>
        <v>2.7231231721850602</v>
      </c>
      <c r="V4" s="131">
        <f>IF(SER_hh_emih!V4=0,0,SER_hh_emih!V4/SER_summary!V$26)</f>
        <v>2.015650088841078</v>
      </c>
      <c r="W4" s="131">
        <f>IF(SER_hh_emih!W4=0,0,SER_hh_emih!W4/SER_summary!W$26)</f>
        <v>2.4258963289299103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10.0173962728826</v>
      </c>
      <c r="C7" s="133">
        <f>IF(SER_hh_emih!C7=0,0,SER_hh_emih!C7/SER_summary!C$26)</f>
        <v>11.365028304395365</v>
      </c>
      <c r="D7" s="133">
        <f>IF(SER_hh_emih!D7=0,0,SER_hh_emih!D7/SER_summary!D$26)</f>
        <v>12.258810797832203</v>
      </c>
      <c r="E7" s="133">
        <f>IF(SER_hh_emih!E7=0,0,SER_hh_emih!E7/SER_summary!E$26)</f>
        <v>13.747445383063228</v>
      </c>
      <c r="F7" s="133">
        <f>IF(SER_hh_emih!F7=0,0,SER_hh_emih!F7/SER_summary!F$26)</f>
        <v>18.394526283532802</v>
      </c>
      <c r="G7" s="133">
        <f>IF(SER_hh_emih!G7=0,0,SER_hh_emih!G7/SER_summary!G$26)</f>
        <v>22.258848451130017</v>
      </c>
      <c r="H7" s="133">
        <f>IF(SER_hh_emih!H7=0,0,SER_hh_emih!H7/SER_summary!H$26)</f>
        <v>23.018149292484821</v>
      </c>
      <c r="I7" s="133">
        <f>IF(SER_hh_emih!I7=0,0,SER_hh_emih!I7/SER_summary!I$26)</f>
        <v>23.530670553612211</v>
      </c>
      <c r="J7" s="133">
        <f>IF(SER_hh_emih!J7=0,0,SER_hh_emih!J7/SER_summary!J$26)</f>
        <v>19.453103874971184</v>
      </c>
      <c r="K7" s="133">
        <f>IF(SER_hh_emih!K7=0,0,SER_hh_emih!K7/SER_summary!K$26)</f>
        <v>29.379698323504559</v>
      </c>
      <c r="L7" s="133">
        <f>IF(SER_hh_emih!L7=0,0,SER_hh_emih!L7/SER_summary!L$26)</f>
        <v>22.764601711237479</v>
      </c>
      <c r="M7" s="133">
        <f>IF(SER_hh_emih!M7=0,0,SER_hh_emih!M7/SER_summary!M$26)</f>
        <v>21.290846343235639</v>
      </c>
      <c r="N7" s="133">
        <f>IF(SER_hh_emih!N7=0,0,SER_hh_emih!N7/SER_summary!N$26)</f>
        <v>21.119838672775533</v>
      </c>
      <c r="O7" s="133">
        <f>IF(SER_hh_emih!O7=0,0,SER_hh_emih!O7/SER_summary!O$26)</f>
        <v>23.682948297698182</v>
      </c>
      <c r="P7" s="133">
        <f>IF(SER_hh_emih!P7=0,0,SER_hh_emih!P7/SER_summary!P$26)</f>
        <v>25.0070642319257</v>
      </c>
      <c r="Q7" s="133">
        <f>IF(SER_hh_emih!Q7=0,0,SER_hh_emih!Q7/SER_summary!Q$26)</f>
        <v>32.281666070892058</v>
      </c>
      <c r="R7" s="133">
        <f>IF(SER_hh_emih!R7=0,0,SER_hh_emih!R7/SER_summary!R$26)</f>
        <v>24.433135501708012</v>
      </c>
      <c r="S7" s="133">
        <f>IF(SER_hh_emih!S7=0,0,SER_hh_emih!S7/SER_summary!S$26)</f>
        <v>22.674495664691111</v>
      </c>
      <c r="T7" s="133">
        <f>IF(SER_hh_emih!T7=0,0,SER_hh_emih!T7/SER_summary!T$26)</f>
        <v>24.534244851398519</v>
      </c>
      <c r="U7" s="133">
        <f>IF(SER_hh_emih!U7=0,0,SER_hh_emih!U7/SER_summary!U$26)</f>
        <v>24.180659853567871</v>
      </c>
      <c r="V7" s="133">
        <f>IF(SER_hh_emih!V7=0,0,SER_hh_emih!V7/SER_summary!V$26)</f>
        <v>21.353566158725048</v>
      </c>
      <c r="W7" s="133">
        <f>IF(SER_hh_emih!W7=0,0,SER_hh_emih!W7/SER_summary!W$26)</f>
        <v>18.631522986724267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3.0865443542227422</v>
      </c>
      <c r="C8" s="133">
        <f>IF(SER_hh_emih!C8=0,0,SER_hh_emih!C8/SER_summary!C$26)</f>
        <v>3.5095306611973451</v>
      </c>
      <c r="D8" s="133">
        <f>IF(SER_hh_emih!D8=0,0,SER_hh_emih!D8/SER_summary!D$26)</f>
        <v>4.2411287258287134</v>
      </c>
      <c r="E8" s="133">
        <f>IF(SER_hh_emih!E8=0,0,SER_hh_emih!E8/SER_summary!E$26)</f>
        <v>4.9979387091139635</v>
      </c>
      <c r="F8" s="133">
        <f>IF(SER_hh_emih!F8=0,0,SER_hh_emih!F8/SER_summary!F$26)</f>
        <v>5.5109612054400872</v>
      </c>
      <c r="G8" s="133">
        <f>IF(SER_hh_emih!G8=0,0,SER_hh_emih!G8/SER_summary!G$26)</f>
        <v>5.7267385839910192</v>
      </c>
      <c r="H8" s="133">
        <f>IF(SER_hh_emih!H8=0,0,SER_hh_emih!H8/SER_summary!H$26)</f>
        <v>6.2481901288333841</v>
      </c>
      <c r="I8" s="133">
        <f>IF(SER_hh_emih!I8=0,0,SER_hh_emih!I8/SER_summary!I$26)</f>
        <v>6.2618112395172174</v>
      </c>
      <c r="J8" s="133">
        <f>IF(SER_hh_emih!J8=0,0,SER_hh_emih!J8/SER_summary!J$26)</f>
        <v>6.3181969734639356</v>
      </c>
      <c r="K8" s="133">
        <f>IF(SER_hh_emih!K8=0,0,SER_hh_emih!K8/SER_summary!K$26)</f>
        <v>5.7493508824515436</v>
      </c>
      <c r="L8" s="133">
        <f>IF(SER_hh_emih!L8=0,0,SER_hh_emih!L8/SER_summary!L$26)</f>
        <v>5.5928472126268556</v>
      </c>
      <c r="M8" s="133">
        <f>IF(SER_hh_emih!M8=0,0,SER_hh_emih!M8/SER_summary!M$26)</f>
        <v>5.7455897824847799</v>
      </c>
      <c r="N8" s="133">
        <f>IF(SER_hh_emih!N8=0,0,SER_hh_emih!N8/SER_summary!N$26)</f>
        <v>5.6705559210176633</v>
      </c>
      <c r="O8" s="133">
        <f>IF(SER_hh_emih!O8=0,0,SER_hh_emih!O8/SER_summary!O$26)</f>
        <v>5.8689599369478067</v>
      </c>
      <c r="P8" s="133">
        <f>IF(SER_hh_emih!P8=0,0,SER_hh_emih!P8/SER_summary!P$26)</f>
        <v>6.3600496045532013</v>
      </c>
      <c r="Q8" s="133">
        <f>IF(SER_hh_emih!Q8=0,0,SER_hh_emih!Q8/SER_summary!Q$26)</f>
        <v>6.5264436013961902</v>
      </c>
      <c r="R8" s="133">
        <f>IF(SER_hh_emih!R8=0,0,SER_hh_emih!R8/SER_summary!R$26)</f>
        <v>6.1252799397049369</v>
      </c>
      <c r="S8" s="133">
        <f>IF(SER_hh_emih!S8=0,0,SER_hh_emih!S8/SER_summary!S$26)</f>
        <v>5.8920351544871936</v>
      </c>
      <c r="T8" s="133">
        <f>IF(SER_hh_emih!T8=0,0,SER_hh_emih!T8/SER_summary!T$26)</f>
        <v>5.900096671597737</v>
      </c>
      <c r="U8" s="133">
        <f>IF(SER_hh_emih!U8=0,0,SER_hh_emih!U8/SER_summary!U$26)</f>
        <v>5.9047872582001695</v>
      </c>
      <c r="V8" s="133">
        <f>IF(SER_hh_emih!V8=0,0,SER_hh_emih!V8/SER_summary!V$26)</f>
        <v>5.5014735955249359</v>
      </c>
      <c r="W8" s="133">
        <f>IF(SER_hh_emih!W8=0,0,SER_hh_emih!W8/SER_summary!W$26)</f>
        <v>5.6852833365180127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6.2472523761092988</v>
      </c>
      <c r="C9" s="133">
        <f>IF(SER_hh_emih!C9=0,0,SER_hh_emih!C9/SER_summary!C$26)</f>
        <v>7.2183592788890136</v>
      </c>
      <c r="D9" s="133">
        <f>IF(SER_hh_emih!D9=0,0,SER_hh_emih!D9/SER_summary!D$26)</f>
        <v>8.9612165941897945</v>
      </c>
      <c r="E9" s="133">
        <f>IF(SER_hh_emih!E9=0,0,SER_hh_emih!E9/SER_summary!E$26)</f>
        <v>9.6049587142585384</v>
      </c>
      <c r="F9" s="133">
        <f>IF(SER_hh_emih!F9=0,0,SER_hh_emih!F9/SER_summary!F$26)</f>
        <v>12.186611033360039</v>
      </c>
      <c r="G9" s="133">
        <f>IF(SER_hh_emih!G9=0,0,SER_hh_emih!G9/SER_summary!G$26)</f>
        <v>12.189068198274057</v>
      </c>
      <c r="H9" s="133">
        <f>IF(SER_hh_emih!H9=0,0,SER_hh_emih!H9/SER_summary!H$26)</f>
        <v>14.104223580395775</v>
      </c>
      <c r="I9" s="133">
        <f>IF(SER_hh_emih!I9=0,0,SER_hh_emih!I9/SER_summary!I$26)</f>
        <v>14.710153019152372</v>
      </c>
      <c r="J9" s="133">
        <f>IF(SER_hh_emih!J9=0,0,SER_hh_emih!J9/SER_summary!J$26)</f>
        <v>14.816942647745456</v>
      </c>
      <c r="K9" s="133">
        <f>IF(SER_hh_emih!K9=0,0,SER_hh_emih!K9/SER_summary!K$26)</f>
        <v>15.972159501074321</v>
      </c>
      <c r="L9" s="133">
        <f>IF(SER_hh_emih!L9=0,0,SER_hh_emih!L9/SER_summary!L$26)</f>
        <v>14.012812000553852</v>
      </c>
      <c r="M9" s="133">
        <f>IF(SER_hh_emih!M9=0,0,SER_hh_emih!M9/SER_summary!M$26)</f>
        <v>15.74752656102053</v>
      </c>
      <c r="N9" s="133">
        <f>IF(SER_hh_emih!N9=0,0,SER_hh_emih!N9/SER_summary!N$26)</f>
        <v>16.213967980169965</v>
      </c>
      <c r="O9" s="133">
        <f>IF(SER_hh_emih!O9=0,0,SER_hh_emih!O9/SER_summary!O$26)</f>
        <v>15.978547268144927</v>
      </c>
      <c r="P9" s="133">
        <f>IF(SER_hh_emih!P9=0,0,SER_hh_emih!P9/SER_summary!P$26)</f>
        <v>16.722774224734795</v>
      </c>
      <c r="Q9" s="133">
        <f>IF(SER_hh_emih!Q9=0,0,SER_hh_emih!Q9/SER_summary!Q$26)</f>
        <v>17.687390267354033</v>
      </c>
      <c r="R9" s="133">
        <f>IF(SER_hh_emih!R9=0,0,SER_hh_emih!R9/SER_summary!R$26)</f>
        <v>18.070091890988675</v>
      </c>
      <c r="S9" s="133">
        <f>IF(SER_hh_emih!S9=0,0,SER_hh_emih!S9/SER_summary!S$26)</f>
        <v>17.514934372288884</v>
      </c>
      <c r="T9" s="133">
        <f>IF(SER_hh_emih!T9=0,0,SER_hh_emih!T9/SER_summary!T$26)</f>
        <v>18.738921437784583</v>
      </c>
      <c r="U9" s="133">
        <f>IF(SER_hh_emih!U9=0,0,SER_hh_emih!U9/SER_summary!U$26)</f>
        <v>17.716834871456093</v>
      </c>
      <c r="V9" s="133">
        <f>IF(SER_hh_emih!V9=0,0,SER_hh_emih!V9/SER_summary!V$26)</f>
        <v>13.791805502187961</v>
      </c>
      <c r="W9" s="133">
        <f>IF(SER_hh_emih!W9=0,0,SER_hh_emih!W9/SER_summary!W$26)</f>
        <v>19.744839835388625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1.0462283031863723E-2</v>
      </c>
      <c r="C16" s="131">
        <f>IF(SER_hh_emih!C16=0,0,SER_hh_emih!C16/SER_summary!C$26)</f>
        <v>1.0618765670800901E-2</v>
      </c>
      <c r="D16" s="131">
        <f>IF(SER_hh_emih!D16=0,0,SER_hh_emih!D16/SER_summary!D$26)</f>
        <v>8.6825026676455395E-3</v>
      </c>
      <c r="E16" s="131">
        <f>IF(SER_hh_emih!E16=0,0,SER_hh_emih!E16/SER_summary!E$26)</f>
        <v>1.1310714551843123E-2</v>
      </c>
      <c r="F16" s="131">
        <f>IF(SER_hh_emih!F16=0,0,SER_hh_emih!F16/SER_summary!F$26)</f>
        <v>1.0721850525876696E-2</v>
      </c>
      <c r="G16" s="131">
        <f>IF(SER_hh_emih!G16=0,0,SER_hh_emih!G16/SER_summary!G$26)</f>
        <v>1.1889350532491528E-2</v>
      </c>
      <c r="H16" s="131">
        <f>IF(SER_hh_emih!H16=0,0,SER_hh_emih!H16/SER_summary!H$26)</f>
        <v>1.4912677403252349E-2</v>
      </c>
      <c r="I16" s="131">
        <f>IF(SER_hh_emih!I16=0,0,SER_hh_emih!I16/SER_summary!I$26)</f>
        <v>1.2077681071830057E-2</v>
      </c>
      <c r="J16" s="131">
        <f>IF(SER_hh_emih!J16=0,0,SER_hh_emih!J16/SER_summary!J$26)</f>
        <v>1.3403674109148001E-2</v>
      </c>
      <c r="K16" s="131">
        <f>IF(SER_hh_emih!K16=0,0,SER_hh_emih!K16/SER_summary!K$26)</f>
        <v>1.9622196416084765E-2</v>
      </c>
      <c r="L16" s="131">
        <f>IF(SER_hh_emih!L16=0,0,SER_hh_emih!L16/SER_summary!L$26)</f>
        <v>2.7631784695308588E-2</v>
      </c>
      <c r="M16" s="131">
        <f>IF(SER_hh_emih!M16=0,0,SER_hh_emih!M16/SER_summary!M$26)</f>
        <v>2.0903159666900189E-2</v>
      </c>
      <c r="N16" s="131">
        <f>IF(SER_hh_emih!N16=0,0,SER_hh_emih!N16/SER_summary!N$26)</f>
        <v>2.3279941531451021E-2</v>
      </c>
      <c r="O16" s="131">
        <f>IF(SER_hh_emih!O16=0,0,SER_hh_emih!O16/SER_summary!O$26)</f>
        <v>3.4009327572275865E-2</v>
      </c>
      <c r="P16" s="131">
        <f>IF(SER_hh_emih!P16=0,0,SER_hh_emih!P16/SER_summary!P$26)</f>
        <v>2.5462455881566332E-2</v>
      </c>
      <c r="Q16" s="131">
        <f>IF(SER_hh_emih!Q16=0,0,SER_hh_emih!Q16/SER_summary!Q$26)</f>
        <v>3.472959866760509E-2</v>
      </c>
      <c r="R16" s="131">
        <f>IF(SER_hh_emih!R16=0,0,SER_hh_emih!R16/SER_summary!R$26)</f>
        <v>6.2270435225415921E-2</v>
      </c>
      <c r="S16" s="131">
        <f>IF(SER_hh_emih!S16=0,0,SER_hh_emih!S16/SER_summary!S$26)</f>
        <v>6.5518828724327391E-2</v>
      </c>
      <c r="T16" s="131">
        <f>IF(SER_hh_emih!T16=0,0,SER_hh_emih!T16/SER_summary!T$26)</f>
        <v>6.117133765557569E-2</v>
      </c>
      <c r="U16" s="131">
        <f>IF(SER_hh_emih!U16=0,0,SER_hh_emih!U16/SER_summary!U$26)</f>
        <v>5.3357141044333624E-2</v>
      </c>
      <c r="V16" s="131">
        <f>IF(SER_hh_emih!V16=0,0,SER_hh_emih!V16/SER_summary!V$26)</f>
        <v>7.7925191516781289E-2</v>
      </c>
      <c r="W16" s="131">
        <f>IF(SER_hh_emih!W16=0,0,SER_hh_emih!W16/SER_summary!W$26)</f>
        <v>5.1646192576684041E-2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4.0286684472157051</v>
      </c>
      <c r="C17" s="133">
        <f>IF(SER_hh_emih!C17=0,0,SER_hh_emih!C17/SER_summary!C$26)</f>
        <v>4.165264446424362</v>
      </c>
      <c r="D17" s="133">
        <f>IF(SER_hh_emih!D17=0,0,SER_hh_emih!D17/SER_summary!D$26)</f>
        <v>3.7418424175628009</v>
      </c>
      <c r="E17" s="133">
        <f>IF(SER_hh_emih!E17=0,0,SER_hh_emih!E17/SER_summary!E$26)</f>
        <v>5.326149629813882</v>
      </c>
      <c r="F17" s="133">
        <f>IF(SER_hh_emih!F17=0,0,SER_hh_emih!F17/SER_summary!F$26)</f>
        <v>4.424331822372249</v>
      </c>
      <c r="G17" s="133">
        <f>IF(SER_hh_emih!G17=0,0,SER_hh_emih!G17/SER_summary!G$26)</f>
        <v>4.8705623968226286</v>
      </c>
      <c r="H17" s="133">
        <f>IF(SER_hh_emih!H17=0,0,SER_hh_emih!H17/SER_summary!H$26)</f>
        <v>5.8783451407054566</v>
      </c>
      <c r="I17" s="133">
        <f>IF(SER_hh_emih!I17=0,0,SER_hh_emih!I17/SER_summary!I$26)</f>
        <v>3.8124374029653243</v>
      </c>
      <c r="J17" s="133">
        <f>IF(SER_hh_emih!J17=0,0,SER_hh_emih!J17/SER_summary!J$26)</f>
        <v>3.7182366236003364</v>
      </c>
      <c r="K17" s="133">
        <f>IF(SER_hh_emih!K17=0,0,SER_hh_emih!K17/SER_summary!K$26)</f>
        <v>4.5473195673355535</v>
      </c>
      <c r="L17" s="133">
        <f>IF(SER_hh_emih!L17=0,0,SER_hh_emih!L17/SER_summary!L$26)</f>
        <v>6.2717688608595461</v>
      </c>
      <c r="M17" s="133">
        <f>IF(SER_hh_emih!M17=0,0,SER_hh_emih!M17/SER_summary!M$26)</f>
        <v>4.1356646668471377</v>
      </c>
      <c r="N17" s="133">
        <f>IF(SER_hh_emih!N17=0,0,SER_hh_emih!N17/SER_summary!N$26)</f>
        <v>4.3585592934857509</v>
      </c>
      <c r="O17" s="133">
        <f>IF(SER_hh_emih!O17=0,0,SER_hh_emih!O17/SER_summary!O$26)</f>
        <v>5.6362800109947564</v>
      </c>
      <c r="P17" s="133">
        <f>IF(SER_hh_emih!P17=0,0,SER_hh_emih!P17/SER_summary!P$26)</f>
        <v>3.7714595664935588</v>
      </c>
      <c r="Q17" s="133">
        <f>IF(SER_hh_emih!Q17=0,0,SER_hh_emih!Q17/SER_summary!Q$26)</f>
        <v>4.3776006433528778</v>
      </c>
      <c r="R17" s="133">
        <f>IF(SER_hh_emih!R17=0,0,SER_hh_emih!R17/SER_summary!R$26)</f>
        <v>6.4538244971257326</v>
      </c>
      <c r="S17" s="133">
        <f>IF(SER_hh_emih!S17=0,0,SER_hh_emih!S17/SER_summary!S$26)</f>
        <v>6.0578789128264017</v>
      </c>
      <c r="T17" s="133">
        <f>IF(SER_hh_emih!T17=0,0,SER_hh_emih!T17/SER_summary!T$26)</f>
        <v>5.0828611208943011</v>
      </c>
      <c r="U17" s="133">
        <f>IF(SER_hh_emih!U17=0,0,SER_hh_emih!U17/SER_summary!U$26)</f>
        <v>3.9770536319974106</v>
      </c>
      <c r="V17" s="133">
        <f>IF(SER_hh_emih!V17=0,0,SER_hh_emih!V17/SER_summary!V$26)</f>
        <v>5.4204961912387981</v>
      </c>
      <c r="W17" s="133">
        <f>IF(SER_hh_emih!W17=0,0,SER_hh_emih!W17/SER_summary!W$26)</f>
        <v>3.5073315282381059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1.9488311302403116</v>
      </c>
      <c r="C19" s="131">
        <f>IF(SER_hh_emih!C19=0,0,SER_hh_emih!C19/SER_summary!C$26)</f>
        <v>1.821004020925687</v>
      </c>
      <c r="D19" s="131">
        <f>IF(SER_hh_emih!D19=0,0,SER_hh_emih!D19/SER_summary!D$26)</f>
        <v>1.7055129912892271</v>
      </c>
      <c r="E19" s="131">
        <f>IF(SER_hh_emih!E19=0,0,SER_hh_emih!E19/SER_summary!E$26)</f>
        <v>1.6303592329755674</v>
      </c>
      <c r="F19" s="131">
        <f>IF(SER_hh_emih!F19=0,0,SER_hh_emih!F19/SER_summary!F$26)</f>
        <v>1.5705459589694395</v>
      </c>
      <c r="G19" s="131">
        <f>IF(SER_hh_emih!G19=0,0,SER_hh_emih!G19/SER_summary!G$26)</f>
        <v>1.5289298820176604</v>
      </c>
      <c r="H19" s="131">
        <f>IF(SER_hh_emih!H19=0,0,SER_hh_emih!H19/SER_summary!H$26)</f>
        <v>1.4906716467139589</v>
      </c>
      <c r="I19" s="131">
        <f>IF(SER_hh_emih!I19=0,0,SER_hh_emih!I19/SER_summary!I$26)</f>
        <v>1.4604857268417202</v>
      </c>
      <c r="J19" s="131">
        <f>IF(SER_hh_emih!J19=0,0,SER_hh_emih!J19/SER_summary!J$26)</f>
        <v>1.4199598263359563</v>
      </c>
      <c r="K19" s="131">
        <f>IF(SER_hh_emih!K19=0,0,SER_hh_emih!K19/SER_summary!K$26)</f>
        <v>1.391574288096507</v>
      </c>
      <c r="L19" s="131">
        <f>IF(SER_hh_emih!L19=0,0,SER_hh_emih!L19/SER_summary!L$26)</f>
        <v>1.4042743251668146</v>
      </c>
      <c r="M19" s="131">
        <f>IF(SER_hh_emih!M19=0,0,SER_hh_emih!M19/SER_summary!M$26)</f>
        <v>1.4278807384285572</v>
      </c>
      <c r="N19" s="131">
        <f>IF(SER_hh_emih!N19=0,0,SER_hh_emih!N19/SER_summary!N$26)</f>
        <v>1.4292228163302017</v>
      </c>
      <c r="O19" s="131">
        <f>IF(SER_hh_emih!O19=0,0,SER_hh_emih!O19/SER_summary!O$26)</f>
        <v>1.4246896757190346</v>
      </c>
      <c r="P19" s="131">
        <f>IF(SER_hh_emih!P19=0,0,SER_hh_emih!P19/SER_summary!P$26)</f>
        <v>1.4200621675879901</v>
      </c>
      <c r="Q19" s="131">
        <f>IF(SER_hh_emih!Q19=0,0,SER_hh_emih!Q19/SER_summary!Q$26)</f>
        <v>1.4268201594364669</v>
      </c>
      <c r="R19" s="131">
        <f>IF(SER_hh_emih!R19=0,0,SER_hh_emih!R19/SER_summary!R$26)</f>
        <v>1.4416094305004881</v>
      </c>
      <c r="S19" s="131">
        <f>IF(SER_hh_emih!S19=0,0,SER_hh_emih!S19/SER_summary!S$26)</f>
        <v>1.4651418758175188</v>
      </c>
      <c r="T19" s="131">
        <f>IF(SER_hh_emih!T19=0,0,SER_hh_emih!T19/SER_summary!T$26)</f>
        <v>1.4717341121683312</v>
      </c>
      <c r="U19" s="131">
        <f>IF(SER_hh_emih!U19=0,0,SER_hh_emih!U19/SER_summary!U$26)</f>
        <v>1.4737010450115431</v>
      </c>
      <c r="V19" s="131">
        <f>IF(SER_hh_emih!V19=0,0,SER_hh_emih!V19/SER_summary!V$26)</f>
        <v>1.3097227915577769</v>
      </c>
      <c r="W19" s="131">
        <f>IF(SER_hh_emih!W19=0,0,SER_hh_emih!W19/SER_summary!W$26)</f>
        <v>1.3853041946502473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4.044029726964669</v>
      </c>
      <c r="C21" s="133">
        <f>IF(SER_hh_emih!C21=0,0,SER_hh_emih!C21/SER_summary!C$26)</f>
        <v>3.9371159204546435</v>
      </c>
      <c r="D21" s="133">
        <f>IF(SER_hh_emih!D21=0,0,SER_hh_emih!D21/SER_summary!D$26)</f>
        <v>3.9730764170908928</v>
      </c>
      <c r="E21" s="133">
        <f>IF(SER_hh_emih!E21=0,0,SER_hh_emih!E21/SER_summary!E$26)</f>
        <v>3.987219791598859</v>
      </c>
      <c r="F21" s="133">
        <f>IF(SER_hh_emih!F21=0,0,SER_hh_emih!F21/SER_summary!F$26)</f>
        <v>4.0481955341048463</v>
      </c>
      <c r="G21" s="133">
        <f>IF(SER_hh_emih!G21=0,0,SER_hh_emih!G21/SER_summary!G$26)</f>
        <v>4.0364494999066087</v>
      </c>
      <c r="H21" s="133">
        <f>IF(SER_hh_emih!H21=0,0,SER_hh_emih!H21/SER_summary!H$26)</f>
        <v>3.9908465231475208</v>
      </c>
      <c r="I21" s="133">
        <f>IF(SER_hh_emih!I21=0,0,SER_hh_emih!I21/SER_summary!I$26)</f>
        <v>4.0505785054292582</v>
      </c>
      <c r="J21" s="133">
        <f>IF(SER_hh_emih!J21=0,0,SER_hh_emih!J21/SER_summary!J$26)</f>
        <v>4.0255913657402305</v>
      </c>
      <c r="K21" s="133">
        <f>IF(SER_hh_emih!K21=0,0,SER_hh_emih!K21/SER_summary!K$26)</f>
        <v>4.0872287568440857</v>
      </c>
      <c r="L21" s="133">
        <f>IF(SER_hh_emih!L21=0,0,SER_hh_emih!L21/SER_summary!L$26)</f>
        <v>4.0002456098959769</v>
      </c>
      <c r="M21" s="133">
        <f>IF(SER_hh_emih!M21=0,0,SER_hh_emih!M21/SER_summary!M$26)</f>
        <v>4.0519373039506155</v>
      </c>
      <c r="N21" s="133">
        <f>IF(SER_hh_emih!N21=0,0,SER_hh_emih!N21/SER_summary!N$26)</f>
        <v>3.9707188744725244</v>
      </c>
      <c r="O21" s="133">
        <f>IF(SER_hh_emih!O21=0,0,SER_hh_emih!O21/SER_summary!O$26)</f>
        <v>3.8773322763733411</v>
      </c>
      <c r="P21" s="133">
        <f>IF(SER_hh_emih!P21=0,0,SER_hh_emih!P21/SER_summary!P$26)</f>
        <v>3.8620438658543486</v>
      </c>
      <c r="Q21" s="133">
        <f>IF(SER_hh_emih!Q21=0,0,SER_hh_emih!Q21/SER_summary!Q$26)</f>
        <v>3.8611233482192877</v>
      </c>
      <c r="R21" s="133">
        <f>IF(SER_hh_emih!R21=0,0,SER_hh_emih!R21/SER_summary!R$26)</f>
        <v>3.806165811365759</v>
      </c>
      <c r="S21" s="133">
        <f>IF(SER_hh_emih!S21=0,0,SER_hh_emih!S21/SER_summary!S$26)</f>
        <v>3.6840055394206104</v>
      </c>
      <c r="T21" s="133">
        <f>IF(SER_hh_emih!T21=0,0,SER_hh_emih!T21/SER_summary!T$26)</f>
        <v>3.5066615611512226</v>
      </c>
      <c r="U21" s="133">
        <f>IF(SER_hh_emih!U21=0,0,SER_hh_emih!U21/SER_summary!U$26)</f>
        <v>3.4169451142646823</v>
      </c>
      <c r="V21" s="133">
        <f>IF(SER_hh_emih!V21=0,0,SER_hh_emih!V21/SER_summary!V$26)</f>
        <v>3.1749491972102337</v>
      </c>
      <c r="W21" s="133">
        <f>IF(SER_hh_emih!W21=0,0,SER_hh_emih!W21/SER_summary!W$26)</f>
        <v>2.9698260239446332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4.9765733485828676</v>
      </c>
      <c r="C22" s="133">
        <f>IF(SER_hh_emih!C22=0,0,SER_hh_emih!C22/SER_summary!C$26)</f>
        <v>4.9641962799469708</v>
      </c>
      <c r="D22" s="133">
        <f>IF(SER_hh_emih!D22=0,0,SER_hh_emih!D22/SER_summary!D$26)</f>
        <v>4.9534620988588633</v>
      </c>
      <c r="E22" s="133">
        <f>IF(SER_hh_emih!E22=0,0,SER_hh_emih!E22/SER_summary!E$26)</f>
        <v>4.9987861909910993</v>
      </c>
      <c r="F22" s="133">
        <f>IF(SER_hh_emih!F22=0,0,SER_hh_emih!F22/SER_summary!F$26)</f>
        <v>5.0576739700362978</v>
      </c>
      <c r="G22" s="133">
        <f>IF(SER_hh_emih!G22=0,0,SER_hh_emih!G22/SER_summary!G$26)</f>
        <v>5.0939444308367685</v>
      </c>
      <c r="H22" s="133">
        <f>IF(SER_hh_emih!H22=0,0,SER_hh_emih!H22/SER_summary!H$26)</f>
        <v>5.1158983509459315</v>
      </c>
      <c r="I22" s="133">
        <f>IF(SER_hh_emih!I22=0,0,SER_hh_emih!I22/SER_summary!I$26)</f>
        <v>5.0613093898606758</v>
      </c>
      <c r="J22" s="133">
        <f>IF(SER_hh_emih!J22=0,0,SER_hh_emih!J22/SER_summary!J$26)</f>
        <v>4.9815182804279061</v>
      </c>
      <c r="K22" s="133">
        <f>IF(SER_hh_emih!K22=0,0,SER_hh_emih!K22/SER_summary!K$26)</f>
        <v>4.9239590046895447</v>
      </c>
      <c r="L22" s="133">
        <f>IF(SER_hh_emih!L22=0,0,SER_hh_emih!L22/SER_summary!L$26)</f>
        <v>4.9891109001267218</v>
      </c>
      <c r="M22" s="133">
        <f>IF(SER_hh_emih!M22=0,0,SER_hh_emih!M22/SER_summary!M$26)</f>
        <v>5.0175024170573126</v>
      </c>
      <c r="N22" s="133">
        <f>IF(SER_hh_emih!N22=0,0,SER_hh_emih!N22/SER_summary!N$26)</f>
        <v>4.8713699068760024</v>
      </c>
      <c r="O22" s="133">
        <f>IF(SER_hh_emih!O22=0,0,SER_hh_emih!O22/SER_summary!O$26)</f>
        <v>4.7288093349604763</v>
      </c>
      <c r="P22" s="133">
        <f>IF(SER_hh_emih!P22=0,0,SER_hh_emih!P22/SER_summary!P$26)</f>
        <v>4.698455293265793</v>
      </c>
      <c r="Q22" s="133">
        <f>IF(SER_hh_emih!Q22=0,0,SER_hh_emih!Q22/SER_summary!Q$26)</f>
        <v>4.659141000931287</v>
      </c>
      <c r="R22" s="133">
        <f>IF(SER_hh_emih!R22=0,0,SER_hh_emih!R22/SER_summary!R$26)</f>
        <v>4.5361271252775364</v>
      </c>
      <c r="S22" s="133">
        <f>IF(SER_hh_emih!S22=0,0,SER_hh_emih!S22/SER_summary!S$26)</f>
        <v>4.4567568700881672</v>
      </c>
      <c r="T22" s="133">
        <f>IF(SER_hh_emih!T22=0,0,SER_hh_emih!T22/SER_summary!T$26)</f>
        <v>4.2814726266890544</v>
      </c>
      <c r="U22" s="133">
        <f>IF(SER_hh_emih!U22=0,0,SER_hh_emih!U22/SER_summary!U$26)</f>
        <v>4.0807811766595066</v>
      </c>
      <c r="V22" s="133">
        <f>IF(SER_hh_emih!V22=0,0,SER_hh_emih!V22/SER_summary!V$26)</f>
        <v>3.5599086066118448</v>
      </c>
      <c r="W22" s="133">
        <f>IF(SER_hh_emih!W22=0,0,SER_hh_emih!W22/SER_summary!W$26)</f>
        <v>3.6698560055309852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3.3891708982600046</v>
      </c>
      <c r="C23" s="133">
        <f>IF(SER_hh_emih!C23=0,0,SER_hh_emih!C23/SER_summary!C$26)</f>
        <v>3.6609305921804669</v>
      </c>
      <c r="D23" s="133">
        <f>IF(SER_hh_emih!D23=0,0,SER_hh_emih!D23/SER_summary!D$26)</f>
        <v>3.6728741741219819</v>
      </c>
      <c r="E23" s="133">
        <f>IF(SER_hh_emih!E23=0,0,SER_hh_emih!E23/SER_summary!E$26)</f>
        <v>3.5936339791763054</v>
      </c>
      <c r="F23" s="133">
        <f>IF(SER_hh_emih!F23=0,0,SER_hh_emih!F23/SER_summary!F$26)</f>
        <v>3.5383227107621265</v>
      </c>
      <c r="G23" s="133">
        <f>IF(SER_hh_emih!G23=0,0,SER_hh_emih!G23/SER_summary!G$26)</f>
        <v>3.5055768982730089</v>
      </c>
      <c r="H23" s="133">
        <f>IF(SER_hh_emih!H23=0,0,SER_hh_emih!H23/SER_summary!H$26)</f>
        <v>3.441848735121487</v>
      </c>
      <c r="I23" s="133">
        <f>IF(SER_hh_emih!I23=0,0,SER_hh_emih!I23/SER_summary!I$26)</f>
        <v>3.5040040849888117</v>
      </c>
      <c r="J23" s="133">
        <f>IF(SER_hh_emih!J23=0,0,SER_hh_emih!J23/SER_summary!J$26)</f>
        <v>3.4470411330854911</v>
      </c>
      <c r="K23" s="133">
        <f>IF(SER_hh_emih!K23=0,0,SER_hh_emih!K23/SER_summary!K$26)</f>
        <v>3.3819686599047127</v>
      </c>
      <c r="L23" s="133">
        <f>IF(SER_hh_emih!L23=0,0,SER_hh_emih!L23/SER_summary!L$26)</f>
        <v>3.3914540270979923</v>
      </c>
      <c r="M23" s="133">
        <f>IF(SER_hh_emih!M23=0,0,SER_hh_emih!M23/SER_summary!M$26)</f>
        <v>3.3946033868229719</v>
      </c>
      <c r="N23" s="133">
        <f>IF(SER_hh_emih!N23=0,0,SER_hh_emih!N23/SER_summary!N$26)</f>
        <v>3.331798399237361</v>
      </c>
      <c r="O23" s="133">
        <f>IF(SER_hh_emih!O23=0,0,SER_hh_emih!O23/SER_summary!O$26)</f>
        <v>3.277119663373373</v>
      </c>
      <c r="P23" s="133">
        <f>IF(SER_hh_emih!P23=0,0,SER_hh_emih!P23/SER_summary!P$26)</f>
        <v>3.176693135579618</v>
      </c>
      <c r="Q23" s="133">
        <f>IF(SER_hh_emih!Q23=0,0,SER_hh_emih!Q23/SER_summary!Q$26)</f>
        <v>3.1146717123970626</v>
      </c>
      <c r="R23" s="133">
        <f>IF(SER_hh_emih!R23=0,0,SER_hh_emih!R23/SER_summary!R$26)</f>
        <v>3.0997162446115705</v>
      </c>
      <c r="S23" s="133">
        <f>IF(SER_hh_emih!S23=0,0,SER_hh_emih!S23/SER_summary!S$26)</f>
        <v>3.0454991992194937</v>
      </c>
      <c r="T23" s="133">
        <f>IF(SER_hh_emih!T23=0,0,SER_hh_emih!T23/SER_summary!T$26)</f>
        <v>2.9681533857630171</v>
      </c>
      <c r="U23" s="133">
        <f>IF(SER_hh_emih!U23=0,0,SER_hh_emih!U23/SER_summary!U$26)</f>
        <v>2.9278741511300788</v>
      </c>
      <c r="V23" s="133">
        <f>IF(SER_hh_emih!V23=0,0,SER_hh_emih!V23/SER_summary!V$26)</f>
        <v>2.3941598726211706</v>
      </c>
      <c r="W23" s="133">
        <f>IF(SER_hh_emih!W23=0,0,SER_hh_emih!W23/SER_summary!W$26)</f>
        <v>2.6488950335118644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1.0022986646436645</v>
      </c>
      <c r="C29" s="131">
        <f>IF(SER_hh_emih!C29=0,0,SER_hh_emih!C29/SER_summary!C$26)</f>
        <v>0.77281735463113177</v>
      </c>
      <c r="D29" s="131">
        <f>IF(SER_hh_emih!D29=0,0,SER_hh_emih!D29/SER_summary!D$26)</f>
        <v>1.1510600697666855</v>
      </c>
      <c r="E29" s="131">
        <f>IF(SER_hh_emih!E29=0,0,SER_hh_emih!E29/SER_summary!E$26)</f>
        <v>1.2547295386938071</v>
      </c>
      <c r="F29" s="131">
        <f>IF(SER_hh_emih!F29=0,0,SER_hh_emih!F29/SER_summary!F$26)</f>
        <v>1.465442843992155</v>
      </c>
      <c r="G29" s="131">
        <f>IF(SER_hh_emih!G29=0,0,SER_hh_emih!G29/SER_summary!G$26)</f>
        <v>2.0501199304259745</v>
      </c>
      <c r="H29" s="131">
        <f>IF(SER_hh_emih!H29=0,0,SER_hh_emih!H29/SER_summary!H$26)</f>
        <v>1.8392880936471319</v>
      </c>
      <c r="I29" s="131">
        <f>IF(SER_hh_emih!I29=0,0,SER_hh_emih!I29/SER_summary!I$26)</f>
        <v>1.9069580272210185</v>
      </c>
      <c r="J29" s="131">
        <f>IF(SER_hh_emih!J29=0,0,SER_hh_emih!J29/SER_summary!J$26)</f>
        <v>2.1042116460033671</v>
      </c>
      <c r="K29" s="131">
        <f>IF(SER_hh_emih!K29=0,0,SER_hh_emih!K29/SER_summary!K$26)</f>
        <v>2.0178035978758166</v>
      </c>
      <c r="L29" s="131">
        <f>IF(SER_hh_emih!L29=0,0,SER_hh_emih!L29/SER_summary!L$26)</f>
        <v>1.1622773612782147</v>
      </c>
      <c r="M29" s="131">
        <f>IF(SER_hh_emih!M29=0,0,SER_hh_emih!M29/SER_summary!M$26)</f>
        <v>1.1665052750856428</v>
      </c>
      <c r="N29" s="131">
        <f>IF(SER_hh_emih!N29=0,0,SER_hh_emih!N29/SER_summary!N$26)</f>
        <v>1.1037746232590067</v>
      </c>
      <c r="O29" s="131">
        <f>IF(SER_hh_emih!O29=0,0,SER_hh_emih!O29/SER_summary!O$26)</f>
        <v>1.2618086730804627</v>
      </c>
      <c r="P29" s="131">
        <f>IF(SER_hh_emih!P29=0,0,SER_hh_emih!P29/SER_summary!P$26)</f>
        <v>1.6882969698612207</v>
      </c>
      <c r="Q29" s="131">
        <f>IF(SER_hh_emih!Q29=0,0,SER_hh_emih!Q29/SER_summary!Q$26)</f>
        <v>1.8448256141093311</v>
      </c>
      <c r="R29" s="131">
        <f>IF(SER_hh_emih!R29=0,0,SER_hh_emih!R29/SER_summary!R$26)</f>
        <v>1.7851607320416967</v>
      </c>
      <c r="S29" s="131">
        <f>IF(SER_hh_emih!S29=0,0,SER_hh_emih!S29/SER_summary!S$26)</f>
        <v>1.7963133589811713</v>
      </c>
      <c r="T29" s="131">
        <f>IF(SER_hh_emih!T29=0,0,SER_hh_emih!T29/SER_summary!T$26)</f>
        <v>2.1475121129607464</v>
      </c>
      <c r="U29" s="131">
        <f>IF(SER_hh_emih!U29=0,0,SER_hh_emih!U29/SER_summary!U$26)</f>
        <v>2.1059000332916042</v>
      </c>
      <c r="V29" s="131">
        <f>IF(SER_hh_emih!V29=0,0,SER_hh_emih!V29/SER_summary!V$26)</f>
        <v>1.5939233274158027</v>
      </c>
      <c r="W29" s="131">
        <f>IF(SER_hh_emih!W29=0,0,SER_hh_emih!W29/SER_summary!W$26)</f>
        <v>1.4180419711709906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4.2490497262119655</v>
      </c>
      <c r="C30" s="133">
        <f>IF(SER_hh_emih!C30=0,0,SER_hh_emih!C30/SER_summary!C$26)</f>
        <v>3.023572727211723</v>
      </c>
      <c r="D30" s="133">
        <f>IF(SER_hh_emih!D30=0,0,SER_hh_emih!D30/SER_summary!D$26)</f>
        <v>4.2497923380274134</v>
      </c>
      <c r="E30" s="133">
        <f>IF(SER_hh_emih!E30=0,0,SER_hh_emih!E30/SER_summary!E$26)</f>
        <v>3.9877420538395096</v>
      </c>
      <c r="F30" s="133">
        <f>IF(SER_hh_emih!F30=0,0,SER_hh_emih!F30/SER_summary!F$26)</f>
        <v>3.9404046486537099</v>
      </c>
      <c r="G30" s="133">
        <f>IF(SER_hh_emih!G30=0,0,SER_hh_emih!G30/SER_summary!G$26)</f>
        <v>4.9701816323779298</v>
      </c>
      <c r="H30" s="133">
        <f>IF(SER_hh_emih!H30=0,0,SER_hh_emih!H30/SER_summary!H$26)</f>
        <v>4.1792013686662273</v>
      </c>
      <c r="I30" s="133">
        <f>IF(SER_hh_emih!I30=0,0,SER_hh_emih!I30/SER_summary!I$26)</f>
        <v>4.2224614129056945</v>
      </c>
      <c r="J30" s="133">
        <f>IF(SER_hh_emih!J30=0,0,SER_hh_emih!J30/SER_summary!J$26)</f>
        <v>4.9603517229281611</v>
      </c>
      <c r="K30" s="133">
        <f>IF(SER_hh_emih!K30=0,0,SER_hh_emih!K30/SER_summary!K$26)</f>
        <v>5.2811033516321553</v>
      </c>
      <c r="L30" s="133">
        <f>IF(SER_hh_emih!L30=0,0,SER_hh_emih!L30/SER_summary!L$26)</f>
        <v>3.0783307255914587</v>
      </c>
      <c r="M30" s="133">
        <f>IF(SER_hh_emih!M30=0,0,SER_hh_emih!M30/SER_summary!M$26)</f>
        <v>3.6689430262008806</v>
      </c>
      <c r="N30" s="133">
        <f>IF(SER_hh_emih!N30=0,0,SER_hh_emih!N30/SER_summary!N$26)</f>
        <v>3.2304245887060961</v>
      </c>
      <c r="O30" s="133">
        <f>IF(SER_hh_emih!O30=0,0,SER_hh_emih!O30/SER_summary!O$26)</f>
        <v>3.2298954442769885</v>
      </c>
      <c r="P30" s="133">
        <f>IF(SER_hh_emih!P30=0,0,SER_hh_emih!P30/SER_summary!P$26)</f>
        <v>4.9187502423944123</v>
      </c>
      <c r="Q30" s="133">
        <f>IF(SER_hh_emih!Q30=0,0,SER_hh_emih!Q30/SER_summary!Q$26)</f>
        <v>4.8142710997461657</v>
      </c>
      <c r="R30" s="133">
        <f>IF(SER_hh_emih!R30=0,0,SER_hh_emih!R30/SER_summary!R$26)</f>
        <v>4.2537645299227176</v>
      </c>
      <c r="S30" s="133">
        <f>IF(SER_hh_emih!S30=0,0,SER_hh_emih!S30/SER_summary!S$26)</f>
        <v>4.1137546193635428</v>
      </c>
      <c r="T30" s="133">
        <f>IF(SER_hh_emih!T30=0,0,SER_hh_emih!T30/SER_summary!T$26)</f>
        <v>5.2256845543389412</v>
      </c>
      <c r="U30" s="133">
        <f>IF(SER_hh_emih!U30=0,0,SER_hh_emih!U30/SER_summary!U$26)</f>
        <v>5.1954231059286542</v>
      </c>
      <c r="V30" s="133">
        <f>IF(SER_hh_emih!V30=0,0,SER_hh_emih!V30/SER_summary!V$26)</f>
        <v>4.0092073206939407</v>
      </c>
      <c r="W30" s="133">
        <f>IF(SER_hh_emih!W30=0,0,SER_hh_emih!W30/SER_summary!W$26)</f>
        <v>4.1528039652342237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3.0662702239519786</v>
      </c>
      <c r="C31" s="133">
        <f>IF(SER_hh_emih!C31=0,0,SER_hh_emih!C31/SER_summary!C$26)</f>
        <v>3.3642070744628891</v>
      </c>
      <c r="D31" s="133">
        <f>IF(SER_hh_emih!D31=0,0,SER_hh_emih!D31/SER_summary!D$26)</f>
        <v>3.6195535203051601</v>
      </c>
      <c r="E31" s="133">
        <f>IF(SER_hh_emih!E31=0,0,SER_hh_emih!E31/SER_summary!E$26)</f>
        <v>3.5863676217528742</v>
      </c>
      <c r="F31" s="133">
        <f>IF(SER_hh_emih!F31=0,0,SER_hh_emih!F31/SER_summary!F$26)</f>
        <v>3.7959418818401427</v>
      </c>
      <c r="G31" s="133">
        <f>IF(SER_hh_emih!G31=0,0,SER_hh_emih!G31/SER_summary!G$26)</f>
        <v>3.8553944616975762</v>
      </c>
      <c r="H31" s="133">
        <f>IF(SER_hh_emih!H31=0,0,SER_hh_emih!H31/SER_summary!H$26)</f>
        <v>3.8586717543889026</v>
      </c>
      <c r="I31" s="133">
        <f>IF(SER_hh_emih!I31=0,0,SER_hh_emih!I31/SER_summary!I$26)</f>
        <v>3.8151187402498832</v>
      </c>
      <c r="J31" s="133">
        <f>IF(SER_hh_emih!J31=0,0,SER_hh_emih!J31/SER_summary!J$26)</f>
        <v>3.6703126784844993</v>
      </c>
      <c r="K31" s="133">
        <f>IF(SER_hh_emih!K31=0,0,SER_hh_emih!K31/SER_summary!K$26)</f>
        <v>3.6973870739157548</v>
      </c>
      <c r="L31" s="133">
        <f>IF(SER_hh_emih!L31=0,0,SER_hh_emih!L31/SER_summary!L$26)</f>
        <v>4.1052678558921336</v>
      </c>
      <c r="M31" s="133">
        <f>IF(SER_hh_emih!M31=0,0,SER_hh_emih!M31/SER_summary!M$26)</f>
        <v>3.8298677512349393</v>
      </c>
      <c r="N31" s="133">
        <f>IF(SER_hh_emih!N31=0,0,SER_hh_emih!N31/SER_summary!N$26)</f>
        <v>3.583669287692457</v>
      </c>
      <c r="O31" s="133">
        <f>IF(SER_hh_emih!O31=0,0,SER_hh_emih!O31/SER_summary!O$26)</f>
        <v>3.9601989367958454</v>
      </c>
      <c r="P31" s="133">
        <f>IF(SER_hh_emih!P31=0,0,SER_hh_emih!P31/SER_summary!P$26)</f>
        <v>3.7299531811211368</v>
      </c>
      <c r="Q31" s="133">
        <f>IF(SER_hh_emih!Q31=0,0,SER_hh_emih!Q31/SER_summary!Q$26)</f>
        <v>3.9445280903979003</v>
      </c>
      <c r="R31" s="133">
        <f>IF(SER_hh_emih!R31=0,0,SER_hh_emih!R31/SER_summary!R$26)</f>
        <v>4.0056887346177854</v>
      </c>
      <c r="S31" s="133">
        <f>IF(SER_hh_emih!S31=0,0,SER_hh_emih!S31/SER_summary!S$26)</f>
        <v>4.0042896359397577</v>
      </c>
      <c r="T31" s="133">
        <f>IF(SER_hh_emih!T31=0,0,SER_hh_emih!T31/SER_summary!T$26)</f>
        <v>4.0343002965429005</v>
      </c>
      <c r="U31" s="133">
        <f>IF(SER_hh_emih!U31=0,0,SER_hh_emih!U31/SER_summary!U$26)</f>
        <v>4.1771985983061564</v>
      </c>
      <c r="V31" s="133">
        <f>IF(SER_hh_emih!V31=0,0,SER_hh_emih!V31/SER_summary!V$26)</f>
        <v>3.8838197593109798</v>
      </c>
      <c r="W31" s="133">
        <f>IF(SER_hh_emih!W31=0,0,SER_hh_emih!W31/SER_summary!W$26)</f>
        <v>3.5800517436214485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6276.7996633431831</v>
      </c>
      <c r="D3" s="125">
        <f t="shared" si="0"/>
        <v>3164.2164840515684</v>
      </c>
      <c r="E3" s="125">
        <f t="shared" si="0"/>
        <v>2331.9090890356783</v>
      </c>
      <c r="F3" s="125">
        <f t="shared" si="0"/>
        <v>3630.7162030680443</v>
      </c>
      <c r="G3" s="125">
        <f t="shared" si="0"/>
        <v>4081.9317919164655</v>
      </c>
      <c r="H3" s="125">
        <f t="shared" si="0"/>
        <v>4954.6089063236968</v>
      </c>
      <c r="I3" s="125">
        <f t="shared" si="0"/>
        <v>4368.3202799337332</v>
      </c>
      <c r="J3" s="125">
        <f t="shared" si="0"/>
        <v>2821.4306646964037</v>
      </c>
      <c r="K3" s="125">
        <f t="shared" si="0"/>
        <v>1602.8039220361231</v>
      </c>
      <c r="L3" s="125">
        <f t="shared" si="0"/>
        <v>1502.7436006328114</v>
      </c>
      <c r="M3" s="125">
        <f t="shared" si="0"/>
        <v>1520.7590733687027</v>
      </c>
      <c r="N3" s="125">
        <f t="shared" si="0"/>
        <v>979.78119464667441</v>
      </c>
      <c r="O3" s="125">
        <f t="shared" si="0"/>
        <v>1608.9445874043599</v>
      </c>
      <c r="P3" s="125">
        <f t="shared" si="0"/>
        <v>2141.1391046948738</v>
      </c>
      <c r="Q3" s="125">
        <f t="shared" si="0"/>
        <v>2042.6874726113995</v>
      </c>
      <c r="R3" s="125">
        <f t="shared" si="0"/>
        <v>2154.2734978864564</v>
      </c>
      <c r="S3" s="125">
        <f t="shared" si="0"/>
        <v>2671.5343763923861</v>
      </c>
      <c r="T3" s="125">
        <f t="shared" si="0"/>
        <v>2566.0981225853502</v>
      </c>
      <c r="U3" s="125">
        <f t="shared" si="0"/>
        <v>2440.3574993418474</v>
      </c>
      <c r="V3" s="125">
        <f t="shared" si="0"/>
        <v>2274.173052072626</v>
      </c>
      <c r="W3" s="125">
        <f t="shared" si="0"/>
        <v>2111.7759368610732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6276.7996633431831</v>
      </c>
      <c r="D4" s="140">
        <f t="shared" si="1"/>
        <v>3164.2164840515684</v>
      </c>
      <c r="E4" s="140">
        <f t="shared" si="1"/>
        <v>2331.9090890356783</v>
      </c>
      <c r="F4" s="140">
        <f t="shared" si="1"/>
        <v>3630.7162030680443</v>
      </c>
      <c r="G4" s="140">
        <f t="shared" si="1"/>
        <v>4081.9317919164655</v>
      </c>
      <c r="H4" s="140">
        <f t="shared" si="1"/>
        <v>4954.6089063236968</v>
      </c>
      <c r="I4" s="140">
        <f t="shared" si="1"/>
        <v>4368.3202799337332</v>
      </c>
      <c r="J4" s="140">
        <f t="shared" si="1"/>
        <v>2821.4306646964037</v>
      </c>
      <c r="K4" s="140">
        <f t="shared" si="1"/>
        <v>1602.8039220361231</v>
      </c>
      <c r="L4" s="140">
        <f t="shared" si="1"/>
        <v>1502.7436006328114</v>
      </c>
      <c r="M4" s="140">
        <f t="shared" si="1"/>
        <v>1520.7590733687027</v>
      </c>
      <c r="N4" s="140">
        <f t="shared" si="1"/>
        <v>979.78119464667441</v>
      </c>
      <c r="O4" s="140">
        <f t="shared" si="1"/>
        <v>1608.9445874043599</v>
      </c>
      <c r="P4" s="140">
        <f t="shared" si="1"/>
        <v>2141.1391046948738</v>
      </c>
      <c r="Q4" s="140">
        <f t="shared" si="1"/>
        <v>2042.6874726113995</v>
      </c>
      <c r="R4" s="140">
        <f t="shared" ref="R4:W4" si="2">SUM(R5:R14)</f>
        <v>2154.2734978864564</v>
      </c>
      <c r="S4" s="140">
        <f t="shared" si="2"/>
        <v>2671.5343763923861</v>
      </c>
      <c r="T4" s="140">
        <f t="shared" si="2"/>
        <v>2566.0981225853502</v>
      </c>
      <c r="U4" s="140">
        <f t="shared" si="2"/>
        <v>2440.3574993418474</v>
      </c>
      <c r="V4" s="140">
        <f t="shared" si="2"/>
        <v>2274.173052072626</v>
      </c>
      <c r="W4" s="140">
        <f t="shared" si="2"/>
        <v>2111.7759368610732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3521.535468012296</v>
      </c>
      <c r="D7" s="141">
        <v>490.36103219180444</v>
      </c>
      <c r="E7" s="141">
        <v>298.9111214427781</v>
      </c>
      <c r="F7" s="141">
        <v>837.61292704281095</v>
      </c>
      <c r="G7" s="141">
        <v>439.26296144589526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261.78476088214376</v>
      </c>
      <c r="P7" s="141">
        <v>0</v>
      </c>
      <c r="Q7" s="141">
        <v>0</v>
      </c>
      <c r="R7" s="141">
        <v>60.397433149528155</v>
      </c>
      <c r="S7" s="141">
        <v>295.65119756494249</v>
      </c>
      <c r="T7" s="141">
        <v>80.563651709267404</v>
      </c>
      <c r="U7" s="141">
        <v>269.7622890100871</v>
      </c>
      <c r="V7" s="141">
        <v>0</v>
      </c>
      <c r="W7" s="141">
        <v>82.68863669782499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9.9841463432438822</v>
      </c>
      <c r="D8" s="141">
        <v>7.4677354130878797</v>
      </c>
      <c r="E8" s="141">
        <v>3.2513904162198961</v>
      </c>
      <c r="F8" s="141">
        <v>1.6921732500200188</v>
      </c>
      <c r="G8" s="141">
        <v>2.8140727138582187</v>
      </c>
      <c r="H8" s="141">
        <v>10.747218349506472</v>
      </c>
      <c r="I8" s="141">
        <v>12.306620918154589</v>
      </c>
      <c r="J8" s="141">
        <v>11.431586130098141</v>
      </c>
      <c r="K8" s="141">
        <v>8.1394659529095499</v>
      </c>
      <c r="L8" s="141">
        <v>7.4957087325992813</v>
      </c>
      <c r="M8" s="141">
        <v>8.9597039466352051</v>
      </c>
      <c r="N8" s="141">
        <v>5.3881851408400534</v>
      </c>
      <c r="O8" s="141">
        <v>8.6728071104991518</v>
      </c>
      <c r="P8" s="141">
        <v>8.3541702911190665</v>
      </c>
      <c r="Q8" s="141">
        <v>8.5175154087530736</v>
      </c>
      <c r="R8" s="141">
        <v>4.343851209689241</v>
      </c>
      <c r="S8" s="141">
        <v>1.8418146513649996</v>
      </c>
      <c r="T8" s="141">
        <v>1.3443963458448664</v>
      </c>
      <c r="U8" s="141">
        <v>5.02365911533846</v>
      </c>
      <c r="V8" s="141">
        <v>8.121300074663818</v>
      </c>
      <c r="W8" s="141">
        <v>9.981888092479517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1300.4081001498087</v>
      </c>
      <c r="D9" s="141">
        <v>792.73456424659184</v>
      </c>
      <c r="E9" s="141">
        <v>268.23818503542566</v>
      </c>
      <c r="F9" s="141">
        <v>195.93011636341521</v>
      </c>
      <c r="G9" s="141">
        <v>0</v>
      </c>
      <c r="H9" s="141">
        <v>411.38463405948028</v>
      </c>
      <c r="I9" s="141">
        <v>483.73167337215</v>
      </c>
      <c r="J9" s="141">
        <v>407.18935339770439</v>
      </c>
      <c r="K9" s="141">
        <v>258.30402644183113</v>
      </c>
      <c r="L9" s="141">
        <v>146.32602055497856</v>
      </c>
      <c r="M9" s="141">
        <v>178.39405938692494</v>
      </c>
      <c r="N9" s="141">
        <v>54.12832927649319</v>
      </c>
      <c r="O9" s="141">
        <v>57.299945903224362</v>
      </c>
      <c r="P9" s="141">
        <v>0</v>
      </c>
      <c r="Q9" s="141">
        <v>370.04054388100377</v>
      </c>
      <c r="R9" s="141">
        <v>536.02000168617144</v>
      </c>
      <c r="S9" s="141">
        <v>440.32933736219411</v>
      </c>
      <c r="T9" s="141">
        <v>151.3450498712933</v>
      </c>
      <c r="U9" s="141">
        <v>0</v>
      </c>
      <c r="V9" s="141">
        <v>61.755123629405041</v>
      </c>
      <c r="W9" s="141">
        <v>85.17640389079483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113.30756802127783</v>
      </c>
      <c r="N10" s="141">
        <v>17.03463365108756</v>
      </c>
      <c r="O10" s="141">
        <v>0</v>
      </c>
      <c r="P10" s="141">
        <v>0</v>
      </c>
      <c r="Q10" s="141">
        <v>0</v>
      </c>
      <c r="R10" s="141">
        <v>8.2154937542733979</v>
      </c>
      <c r="S10" s="141">
        <v>11.220251899346517</v>
      </c>
      <c r="T10" s="141">
        <v>0</v>
      </c>
      <c r="U10" s="141">
        <v>0</v>
      </c>
      <c r="V10" s="141">
        <v>0</v>
      </c>
      <c r="W10" s="141">
        <v>0.11632165042165528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1.7628991167169739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3.5671020062357712</v>
      </c>
      <c r="K11" s="141">
        <v>4.8781412102560191</v>
      </c>
      <c r="L11" s="141">
        <v>4.7687142420178059</v>
      </c>
      <c r="M11" s="141">
        <v>6.7909896873801552</v>
      </c>
      <c r="N11" s="141">
        <v>2.6810332005393382</v>
      </c>
      <c r="O11" s="141">
        <v>1.5246820855167587</v>
      </c>
      <c r="P11" s="141">
        <v>0</v>
      </c>
      <c r="Q11" s="141">
        <v>0.53439265610165398</v>
      </c>
      <c r="R11" s="141">
        <v>1.4854715153310569</v>
      </c>
      <c r="S11" s="141">
        <v>3.3064607845077432</v>
      </c>
      <c r="T11" s="141">
        <v>1.7889640790328352</v>
      </c>
      <c r="U11" s="141">
        <v>0.64689183637304049</v>
      </c>
      <c r="V11" s="141">
        <v>0</v>
      </c>
      <c r="W11" s="141">
        <v>0.11673809200880708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287.78367081211161</v>
      </c>
      <c r="D12" s="141">
        <v>158.83266132722972</v>
      </c>
      <c r="E12" s="141">
        <v>42.040914152213794</v>
      </c>
      <c r="F12" s="141">
        <v>14.852045047164186</v>
      </c>
      <c r="G12" s="141">
        <v>0</v>
      </c>
      <c r="H12" s="141">
        <v>0</v>
      </c>
      <c r="I12" s="141">
        <v>0</v>
      </c>
      <c r="J12" s="141">
        <v>24.164713608681328</v>
      </c>
      <c r="K12" s="141">
        <v>27.377923109885362</v>
      </c>
      <c r="L12" s="141">
        <v>54.723908242291913</v>
      </c>
      <c r="M12" s="141">
        <v>55.043673714861953</v>
      </c>
      <c r="N12" s="141">
        <v>51.635907896249769</v>
      </c>
      <c r="O12" s="141">
        <v>40.454559635904808</v>
      </c>
      <c r="P12" s="141">
        <v>0</v>
      </c>
      <c r="Q12" s="141">
        <v>4.780043591887746</v>
      </c>
      <c r="R12" s="141">
        <v>41.729121675823109</v>
      </c>
      <c r="S12" s="141">
        <v>73.251543306200617</v>
      </c>
      <c r="T12" s="141">
        <v>37.550772092967719</v>
      </c>
      <c r="U12" s="141">
        <v>23.946727349723712</v>
      </c>
      <c r="V12" s="141">
        <v>27.805057197611582</v>
      </c>
      <c r="W12" s="141">
        <v>32.997316052787873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769.50923902916838</v>
      </c>
      <c r="D13" s="141">
        <v>1468.6272570145586</v>
      </c>
      <c r="E13" s="141">
        <v>1423.9483809464646</v>
      </c>
      <c r="F13" s="141">
        <v>1732.3279755619385</v>
      </c>
      <c r="G13" s="141">
        <v>2658.1117531122218</v>
      </c>
      <c r="H13" s="141">
        <v>3657.8402295141623</v>
      </c>
      <c r="I13" s="141">
        <v>3286.9258705683683</v>
      </c>
      <c r="J13" s="141">
        <v>2375.0779095536841</v>
      </c>
      <c r="K13" s="141">
        <v>1304.1043653212409</v>
      </c>
      <c r="L13" s="141">
        <v>1289.429248860924</v>
      </c>
      <c r="M13" s="141">
        <v>1158.2630786116226</v>
      </c>
      <c r="N13" s="141">
        <v>848.91310548146453</v>
      </c>
      <c r="O13" s="141">
        <v>1178.1798218179483</v>
      </c>
      <c r="P13" s="141">
        <v>1631.1515817557481</v>
      </c>
      <c r="Q13" s="141">
        <v>1417.8650275825423</v>
      </c>
      <c r="R13" s="141">
        <v>1502.0821248956399</v>
      </c>
      <c r="S13" s="141">
        <v>1506.7556763972214</v>
      </c>
      <c r="T13" s="141">
        <v>1567.3828476455606</v>
      </c>
      <c r="U13" s="141">
        <v>1833.8779181851628</v>
      </c>
      <c r="V13" s="141">
        <v>2176.4915711709455</v>
      </c>
      <c r="W13" s="141">
        <v>1856.2817930299116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385.8161398798382</v>
      </c>
      <c r="D14" s="142">
        <v>246.19323385829622</v>
      </c>
      <c r="E14" s="142">
        <v>295.51909704257662</v>
      </c>
      <c r="F14" s="142">
        <v>848.30096580269526</v>
      </c>
      <c r="G14" s="142">
        <v>981.74300464449027</v>
      </c>
      <c r="H14" s="142">
        <v>874.63682440054777</v>
      </c>
      <c r="I14" s="142">
        <v>585.35611507506053</v>
      </c>
      <c r="J14" s="142">
        <v>0</v>
      </c>
      <c r="K14" s="142">
        <v>0</v>
      </c>
      <c r="L14" s="142">
        <v>0</v>
      </c>
      <c r="M14" s="142">
        <v>0</v>
      </c>
      <c r="N14" s="142">
        <v>0</v>
      </c>
      <c r="O14" s="142">
        <v>61.028009969122927</v>
      </c>
      <c r="P14" s="142">
        <v>501.63335264800645</v>
      </c>
      <c r="Q14" s="142">
        <v>240.94994949111074</v>
      </c>
      <c r="R14" s="142">
        <v>0</v>
      </c>
      <c r="S14" s="142">
        <v>339.17809442660854</v>
      </c>
      <c r="T14" s="142">
        <v>726.12244084138342</v>
      </c>
      <c r="U14" s="142">
        <v>307.1000138451621</v>
      </c>
      <c r="V14" s="142">
        <v>0</v>
      </c>
      <c r="W14" s="142">
        <v>44.416839354843731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5121.4742844341763</v>
      </c>
      <c r="D15" s="144">
        <f t="shared" si="3"/>
        <v>1449.395993178714</v>
      </c>
      <c r="E15" s="144">
        <f t="shared" si="3"/>
        <v>612.44161104663738</v>
      </c>
      <c r="F15" s="144">
        <f t="shared" si="3"/>
        <v>1050.0872617034104</v>
      </c>
      <c r="G15" s="144">
        <f t="shared" si="3"/>
        <v>442.07703415975345</v>
      </c>
      <c r="H15" s="144">
        <f t="shared" si="3"/>
        <v>422.13185240898673</v>
      </c>
      <c r="I15" s="144">
        <f t="shared" si="3"/>
        <v>496.03829429030458</v>
      </c>
      <c r="J15" s="144">
        <f t="shared" si="3"/>
        <v>446.35275514271962</v>
      </c>
      <c r="K15" s="144">
        <f t="shared" si="3"/>
        <v>298.69955671488214</v>
      </c>
      <c r="L15" s="144">
        <f t="shared" si="3"/>
        <v>213.31435177188754</v>
      </c>
      <c r="M15" s="144">
        <f t="shared" si="3"/>
        <v>362.4959947570801</v>
      </c>
      <c r="N15" s="144">
        <f t="shared" si="3"/>
        <v>130.86808916520991</v>
      </c>
      <c r="O15" s="144">
        <f t="shared" si="3"/>
        <v>369.73675561728879</v>
      </c>
      <c r="P15" s="144">
        <f t="shared" si="3"/>
        <v>8.3541702911190665</v>
      </c>
      <c r="Q15" s="144">
        <f t="shared" si="3"/>
        <v>383.87249553774626</v>
      </c>
      <c r="R15" s="144">
        <f t="shared" ref="R15:W15" si="4">SUM(R5:R12)</f>
        <v>652.19137299081638</v>
      </c>
      <c r="S15" s="144">
        <f t="shared" si="4"/>
        <v>825.60060556855649</v>
      </c>
      <c r="T15" s="144">
        <f t="shared" si="4"/>
        <v>272.59283409840612</v>
      </c>
      <c r="U15" s="144">
        <f t="shared" si="4"/>
        <v>299.37956731152224</v>
      </c>
      <c r="V15" s="144">
        <f t="shared" si="4"/>
        <v>97.68148090168043</v>
      </c>
      <c r="W15" s="144">
        <f t="shared" si="4"/>
        <v>211.07730447631769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6276.7996633431821</v>
      </c>
      <c r="D16" s="140">
        <f t="shared" si="5"/>
        <v>3164.2164840515688</v>
      </c>
      <c r="E16" s="140">
        <f t="shared" si="5"/>
        <v>2331.9090890356788</v>
      </c>
      <c r="F16" s="140">
        <f t="shared" si="5"/>
        <v>3630.7162030680438</v>
      </c>
      <c r="G16" s="140">
        <f t="shared" si="5"/>
        <v>4081.931791916466</v>
      </c>
      <c r="H16" s="140">
        <f t="shared" si="5"/>
        <v>4954.6089063236968</v>
      </c>
      <c r="I16" s="140">
        <f t="shared" si="5"/>
        <v>4368.3202799337332</v>
      </c>
      <c r="J16" s="140">
        <f t="shared" si="5"/>
        <v>2821.4306646964042</v>
      </c>
      <c r="K16" s="140">
        <f t="shared" si="5"/>
        <v>1602.8039220361229</v>
      </c>
      <c r="L16" s="140">
        <f t="shared" si="5"/>
        <v>1502.7436006328114</v>
      </c>
      <c r="M16" s="140">
        <f t="shared" si="5"/>
        <v>1520.7590733687027</v>
      </c>
      <c r="N16" s="140">
        <f t="shared" si="5"/>
        <v>979.78119464667441</v>
      </c>
      <c r="O16" s="140">
        <f t="shared" si="5"/>
        <v>1608.9445874043599</v>
      </c>
      <c r="P16" s="140">
        <f t="shared" si="5"/>
        <v>2141.1391046948738</v>
      </c>
      <c r="Q16" s="140">
        <f t="shared" si="5"/>
        <v>2042.6874726113992</v>
      </c>
      <c r="R16" s="140">
        <f t="shared" ref="R16:W16" si="6">SUM(R17:R18)</f>
        <v>2154.2734978864564</v>
      </c>
      <c r="S16" s="140">
        <f t="shared" si="6"/>
        <v>2671.5343763923865</v>
      </c>
      <c r="T16" s="140">
        <f t="shared" si="6"/>
        <v>2566.0981225853502</v>
      </c>
      <c r="U16" s="140">
        <f t="shared" si="6"/>
        <v>2440.3574993418479</v>
      </c>
      <c r="V16" s="140">
        <f t="shared" si="6"/>
        <v>2274.173052072626</v>
      </c>
      <c r="W16" s="140">
        <f t="shared" si="6"/>
        <v>2111.7759368610737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14.580220165563102</v>
      </c>
      <c r="D17" s="141">
        <v>3.5864024571879396</v>
      </c>
      <c r="E17" s="141">
        <v>2.6171557729324273</v>
      </c>
      <c r="F17" s="141">
        <v>18.699289037453003</v>
      </c>
      <c r="G17" s="141">
        <v>10.72000606966045</v>
      </c>
      <c r="H17" s="141">
        <v>14.935888254938082</v>
      </c>
      <c r="I17" s="141">
        <v>25.125610608875004</v>
      </c>
      <c r="J17" s="141">
        <v>14.325420511507025</v>
      </c>
      <c r="K17" s="141">
        <v>15.21145836753745</v>
      </c>
      <c r="L17" s="141">
        <v>5.6845707803063608</v>
      </c>
      <c r="M17" s="141">
        <v>11.789723883976031</v>
      </c>
      <c r="N17" s="141">
        <v>5.3344877902906225</v>
      </c>
      <c r="O17" s="141">
        <v>15.624332357316897</v>
      </c>
      <c r="P17" s="141">
        <v>21.540677596707621</v>
      </c>
      <c r="Q17" s="141">
        <v>27.124564768070243</v>
      </c>
      <c r="R17" s="141">
        <v>37.409209904761838</v>
      </c>
      <c r="S17" s="141">
        <v>38.907445285054791</v>
      </c>
      <c r="T17" s="141">
        <v>41.788856352246079</v>
      </c>
      <c r="U17" s="141">
        <v>48.431057152369981</v>
      </c>
      <c r="V17" s="141">
        <v>37.933880796917187</v>
      </c>
      <c r="W17" s="141">
        <v>26.629090902711113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6262.2194431776188</v>
      </c>
      <c r="D18" s="141">
        <v>3160.630081594381</v>
      </c>
      <c r="E18" s="141">
        <v>2329.2919332627462</v>
      </c>
      <c r="F18" s="141">
        <v>3612.0169140305907</v>
      </c>
      <c r="G18" s="141">
        <v>4071.2117858468055</v>
      </c>
      <c r="H18" s="141">
        <v>4939.6730180687591</v>
      </c>
      <c r="I18" s="141">
        <v>4343.1946693248583</v>
      </c>
      <c r="J18" s="141">
        <v>2807.1052441848969</v>
      </c>
      <c r="K18" s="141">
        <v>1587.5924636685854</v>
      </c>
      <c r="L18" s="141">
        <v>1497.0590298525051</v>
      </c>
      <c r="M18" s="141">
        <v>1508.9693494847268</v>
      </c>
      <c r="N18" s="141">
        <v>974.4467068563838</v>
      </c>
      <c r="O18" s="141">
        <v>1593.320255047043</v>
      </c>
      <c r="P18" s="141">
        <v>2119.5984270981662</v>
      </c>
      <c r="Q18" s="141">
        <v>2015.562907843329</v>
      </c>
      <c r="R18" s="141">
        <v>2116.8642879816944</v>
      </c>
      <c r="S18" s="141">
        <v>2632.6269311073315</v>
      </c>
      <c r="T18" s="141">
        <v>2524.3092662331042</v>
      </c>
      <c r="U18" s="141">
        <v>2391.9264421894777</v>
      </c>
      <c r="V18" s="141">
        <v>2236.2391712757089</v>
      </c>
      <c r="W18" s="141">
        <v>2085.1468459583625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6276.7996633431831</v>
      </c>
      <c r="D19" s="140">
        <f t="shared" si="7"/>
        <v>3164.2164840515688</v>
      </c>
      <c r="E19" s="140">
        <f t="shared" si="7"/>
        <v>2331.9090890356792</v>
      </c>
      <c r="F19" s="140">
        <f t="shared" si="7"/>
        <v>3630.7162030680438</v>
      </c>
      <c r="G19" s="140">
        <f t="shared" si="7"/>
        <v>4081.931791916465</v>
      </c>
      <c r="H19" s="140">
        <f t="shared" si="7"/>
        <v>4954.6089063236959</v>
      </c>
      <c r="I19" s="140">
        <f t="shared" si="7"/>
        <v>4368.3202799337332</v>
      </c>
      <c r="J19" s="140">
        <f t="shared" si="7"/>
        <v>2821.4306646964037</v>
      </c>
      <c r="K19" s="140">
        <f t="shared" si="7"/>
        <v>1602.8039220361229</v>
      </c>
      <c r="L19" s="140">
        <f t="shared" si="7"/>
        <v>1502.7436006328116</v>
      </c>
      <c r="M19" s="140">
        <f t="shared" si="7"/>
        <v>1520.759073368703</v>
      </c>
      <c r="N19" s="140">
        <f t="shared" si="7"/>
        <v>979.78119464667452</v>
      </c>
      <c r="O19" s="140">
        <f t="shared" si="7"/>
        <v>1608.9445874043599</v>
      </c>
      <c r="P19" s="140">
        <f t="shared" si="7"/>
        <v>2141.1391046948738</v>
      </c>
      <c r="Q19" s="140">
        <f t="shared" si="7"/>
        <v>2042.6874726113992</v>
      </c>
      <c r="R19" s="140">
        <f t="shared" ref="R19:W19" si="8">SUM(R20:R26)</f>
        <v>2154.2734978864564</v>
      </c>
      <c r="S19" s="140">
        <f t="shared" si="8"/>
        <v>2671.5343763923856</v>
      </c>
      <c r="T19" s="140">
        <f t="shared" si="8"/>
        <v>2566.0981225853498</v>
      </c>
      <c r="U19" s="140">
        <f t="shared" si="8"/>
        <v>2440.3574993418479</v>
      </c>
      <c r="V19" s="140">
        <f t="shared" si="8"/>
        <v>2274.173052072626</v>
      </c>
      <c r="W19" s="140">
        <f t="shared" si="8"/>
        <v>2111.7759368610737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78.265864610595614</v>
      </c>
      <c r="D21" s="141">
        <v>60.404379787696243</v>
      </c>
      <c r="E21" s="141">
        <v>70.127734449134834</v>
      </c>
      <c r="F21" s="141">
        <v>136.34419443198124</v>
      </c>
      <c r="G21" s="141">
        <v>169.75941731326913</v>
      </c>
      <c r="H21" s="141">
        <v>211.61832125639162</v>
      </c>
      <c r="I21" s="141">
        <v>198.31286957828539</v>
      </c>
      <c r="J21" s="141">
        <v>131.65548108275473</v>
      </c>
      <c r="K21" s="141">
        <v>75.692216716918878</v>
      </c>
      <c r="L21" s="141">
        <v>64.915201628742736</v>
      </c>
      <c r="M21" s="141">
        <v>66.289562054751343</v>
      </c>
      <c r="N21" s="141">
        <v>47.174850116166397</v>
      </c>
      <c r="O21" s="141">
        <v>72.887764892678447</v>
      </c>
      <c r="P21" s="141">
        <v>65.546806177686562</v>
      </c>
      <c r="Q21" s="141">
        <v>69.678969989775908</v>
      </c>
      <c r="R21" s="141">
        <v>80.201780379890053</v>
      </c>
      <c r="S21" s="141">
        <v>98.953685043950827</v>
      </c>
      <c r="T21" s="141">
        <v>126.66060653421118</v>
      </c>
      <c r="U21" s="141">
        <v>125.57955106058147</v>
      </c>
      <c r="V21" s="141">
        <v>108.13997309209985</v>
      </c>
      <c r="W21" s="141">
        <v>91.800177251960534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452.02365080550538</v>
      </c>
      <c r="D22" s="141">
        <v>141.87046462801348</v>
      </c>
      <c r="E22" s="141">
        <v>219.94134035307783</v>
      </c>
      <c r="F22" s="141">
        <v>420.90746576172154</v>
      </c>
      <c r="G22" s="141">
        <v>612.28118226135143</v>
      </c>
      <c r="H22" s="141">
        <v>789.52158523818218</v>
      </c>
      <c r="I22" s="141">
        <v>670.64104352936681</v>
      </c>
      <c r="J22" s="141">
        <v>446.81163446567297</v>
      </c>
      <c r="K22" s="141">
        <v>269.60839454058333</v>
      </c>
      <c r="L22" s="141">
        <v>303.11963236333111</v>
      </c>
      <c r="M22" s="141">
        <v>338.34497823869702</v>
      </c>
      <c r="N22" s="141">
        <v>244.00590424430916</v>
      </c>
      <c r="O22" s="141">
        <v>369.74296803877775</v>
      </c>
      <c r="P22" s="141">
        <v>231.92656148864549</v>
      </c>
      <c r="Q22" s="141">
        <v>231.95956889170176</v>
      </c>
      <c r="R22" s="141">
        <v>286.13255057526811</v>
      </c>
      <c r="S22" s="141">
        <v>426.1195531594272</v>
      </c>
      <c r="T22" s="141">
        <v>538.46060623134463</v>
      </c>
      <c r="U22" s="141">
        <v>576.24723646461439</v>
      </c>
      <c r="V22" s="141">
        <v>668.31244494869543</v>
      </c>
      <c r="W22" s="141">
        <v>453.99791444021423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475.57277546946864</v>
      </c>
      <c r="D23" s="141">
        <v>296.61241565946915</v>
      </c>
      <c r="E23" s="141">
        <v>246.1827604866036</v>
      </c>
      <c r="F23" s="141">
        <v>386.38916781817551</v>
      </c>
      <c r="G23" s="141">
        <v>522.11231890971601</v>
      </c>
      <c r="H23" s="141">
        <v>702.48348046636045</v>
      </c>
      <c r="I23" s="141">
        <v>687.14556710144552</v>
      </c>
      <c r="J23" s="141">
        <v>470.30234220015569</v>
      </c>
      <c r="K23" s="141">
        <v>274.06387566677694</v>
      </c>
      <c r="L23" s="141">
        <v>271.82167745017153</v>
      </c>
      <c r="M23" s="141">
        <v>264.383067097062</v>
      </c>
      <c r="N23" s="141">
        <v>176.65888731832081</v>
      </c>
      <c r="O23" s="141">
        <v>269.36682577614931</v>
      </c>
      <c r="P23" s="141">
        <v>472.48600238839794</v>
      </c>
      <c r="Q23" s="141">
        <v>479.54476179130347</v>
      </c>
      <c r="R23" s="141">
        <v>566.88431199416436</v>
      </c>
      <c r="S23" s="141">
        <v>659.71329478408404</v>
      </c>
      <c r="T23" s="141">
        <v>603.43248642064691</v>
      </c>
      <c r="U23" s="141">
        <v>490.35713149607398</v>
      </c>
      <c r="V23" s="141">
        <v>388.4443883190296</v>
      </c>
      <c r="W23" s="141">
        <v>332.65223703772062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195.90278246300326</v>
      </c>
      <c r="D25" s="141">
        <v>116.4027952629132</v>
      </c>
      <c r="E25" s="141">
        <v>60.487222741693508</v>
      </c>
      <c r="F25" s="141">
        <v>24.01062089695429</v>
      </c>
      <c r="G25" s="141">
        <v>0</v>
      </c>
      <c r="H25" s="141">
        <v>0</v>
      </c>
      <c r="I25" s="141">
        <v>5.284760602937471</v>
      </c>
      <c r="J25" s="141">
        <v>0</v>
      </c>
      <c r="K25" s="141">
        <v>0</v>
      </c>
      <c r="L25" s="141">
        <v>9.348741068729284</v>
      </c>
      <c r="M25" s="141">
        <v>35.861348977151934</v>
      </c>
      <c r="N25" s="141">
        <v>35.599654889032955</v>
      </c>
      <c r="O25" s="141">
        <v>61.639998005161438</v>
      </c>
      <c r="P25" s="141">
        <v>88.595282890041219</v>
      </c>
      <c r="Q25" s="141">
        <v>56.285167305569892</v>
      </c>
      <c r="R25" s="141">
        <v>33.90249718363728</v>
      </c>
      <c r="S25" s="141">
        <v>31.971899702561181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5075.0345899946105</v>
      </c>
      <c r="D26" s="142">
        <v>2548.9264287134765</v>
      </c>
      <c r="E26" s="142">
        <v>1735.1700310051694</v>
      </c>
      <c r="F26" s="142">
        <v>2663.0647541592111</v>
      </c>
      <c r="G26" s="142">
        <v>2777.7788734321284</v>
      </c>
      <c r="H26" s="142">
        <v>3250.9855193627623</v>
      </c>
      <c r="I26" s="142">
        <v>2806.9360391216978</v>
      </c>
      <c r="J26" s="142">
        <v>1772.6612069478203</v>
      </c>
      <c r="K26" s="142">
        <v>983.43943511184375</v>
      </c>
      <c r="L26" s="142">
        <v>853.53834812183686</v>
      </c>
      <c r="M26" s="142">
        <v>815.8801170010405</v>
      </c>
      <c r="N26" s="142">
        <v>476.34189807884513</v>
      </c>
      <c r="O26" s="142">
        <v>835.30703069159301</v>
      </c>
      <c r="P26" s="142">
        <v>1282.5844517501025</v>
      </c>
      <c r="Q26" s="142">
        <v>1205.2190046330484</v>
      </c>
      <c r="R26" s="142">
        <v>1187.1523577534965</v>
      </c>
      <c r="S26" s="142">
        <v>1454.7759437023622</v>
      </c>
      <c r="T26" s="142">
        <v>1297.544423399147</v>
      </c>
      <c r="U26" s="142">
        <v>1248.1735803205777</v>
      </c>
      <c r="V26" s="142">
        <v>1109.2762457128013</v>
      </c>
      <c r="W26" s="142">
        <v>1233.3256081311781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1480.6700217781427</v>
      </c>
      <c r="D27" s="151">
        <v>1217.0288011902617</v>
      </c>
      <c r="E27" s="151">
        <v>652.44340051274298</v>
      </c>
      <c r="F27" s="151">
        <v>1168.6068896968566</v>
      </c>
      <c r="G27" s="151">
        <v>2612.7999696607139</v>
      </c>
      <c r="H27" s="151">
        <v>1360.0262129104169</v>
      </c>
      <c r="I27" s="151">
        <v>2124.4245569270511</v>
      </c>
      <c r="J27" s="151">
        <v>2118.8098847576562</v>
      </c>
      <c r="K27" s="151">
        <v>1094.7452150934334</v>
      </c>
      <c r="L27" s="151">
        <v>1101.4533223623725</v>
      </c>
      <c r="M27" s="151">
        <v>978.3516505953877</v>
      </c>
      <c r="N27" s="151">
        <v>599.15194983781578</v>
      </c>
      <c r="O27" s="151">
        <v>950.94497188304479</v>
      </c>
      <c r="P27" s="151">
        <v>1448.024433216774</v>
      </c>
      <c r="Q27" s="151">
        <v>1315.3649927837389</v>
      </c>
      <c r="R27" s="151">
        <v>1372.5044349631826</v>
      </c>
      <c r="S27" s="151">
        <v>1649.0718529082767</v>
      </c>
      <c r="T27" s="151">
        <v>1437.9858196533701</v>
      </c>
      <c r="U27" s="151">
        <v>1453.4201105089903</v>
      </c>
      <c r="V27" s="151">
        <v>1893.3721001180368</v>
      </c>
      <c r="W27" s="151">
        <v>2.1806465497339222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6276.7996633431831</v>
      </c>
      <c r="D29" s="140">
        <f t="shared" si="9"/>
        <v>3164.2164840515684</v>
      </c>
      <c r="E29" s="140">
        <f t="shared" si="9"/>
        <v>2331.9090890356792</v>
      </c>
      <c r="F29" s="140">
        <f t="shared" si="9"/>
        <v>3630.7162030680438</v>
      </c>
      <c r="G29" s="140">
        <f t="shared" si="9"/>
        <v>4081.9317919164655</v>
      </c>
      <c r="H29" s="140">
        <f t="shared" si="9"/>
        <v>4954.6089063236968</v>
      </c>
      <c r="I29" s="140">
        <f t="shared" si="9"/>
        <v>4368.3202799337332</v>
      </c>
      <c r="J29" s="140">
        <f t="shared" si="9"/>
        <v>2821.4306646964042</v>
      </c>
      <c r="K29" s="140">
        <f t="shared" si="9"/>
        <v>1602.8039220361229</v>
      </c>
      <c r="L29" s="140">
        <f t="shared" si="9"/>
        <v>1502.7436006328114</v>
      </c>
      <c r="M29" s="140">
        <f t="shared" si="9"/>
        <v>1520.759073368703</v>
      </c>
      <c r="N29" s="140">
        <f t="shared" si="9"/>
        <v>979.78119464667441</v>
      </c>
      <c r="O29" s="140">
        <f t="shared" si="9"/>
        <v>1608.9445874043602</v>
      </c>
      <c r="P29" s="140">
        <f t="shared" si="9"/>
        <v>2141.1391046948734</v>
      </c>
      <c r="Q29" s="140">
        <f t="shared" si="9"/>
        <v>2042.6874726113992</v>
      </c>
      <c r="R29" s="140">
        <f t="shared" ref="R29:W29" si="10">SUM(R30:R33)</f>
        <v>2154.2734978864564</v>
      </c>
      <c r="S29" s="140">
        <f t="shared" si="10"/>
        <v>2671.5343763923861</v>
      </c>
      <c r="T29" s="140">
        <f t="shared" si="10"/>
        <v>2566.0981225853502</v>
      </c>
      <c r="U29" s="140">
        <f t="shared" si="10"/>
        <v>2440.3574993418474</v>
      </c>
      <c r="V29" s="140">
        <f t="shared" si="10"/>
        <v>2274.1730520726264</v>
      </c>
      <c r="W29" s="140">
        <f t="shared" si="10"/>
        <v>2111.7759368610737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780.20274368912328</v>
      </c>
      <c r="D30" s="141">
        <v>1488.5812175569372</v>
      </c>
      <c r="E30" s="141">
        <v>1237.0245250189698</v>
      </c>
      <c r="F30" s="141">
        <v>2192.1847460736972</v>
      </c>
      <c r="G30" s="141">
        <v>2637.3152547960653</v>
      </c>
      <c r="H30" s="141">
        <v>1588.9919771333277</v>
      </c>
      <c r="I30" s="141">
        <v>1381.2979395001337</v>
      </c>
      <c r="J30" s="141">
        <v>277.72358938732987</v>
      </c>
      <c r="K30" s="141">
        <v>0</v>
      </c>
      <c r="L30" s="141">
        <v>0</v>
      </c>
      <c r="M30" s="141">
        <v>0</v>
      </c>
      <c r="N30" s="141">
        <v>0.48477464624355637</v>
      </c>
      <c r="O30" s="141">
        <v>541.17541629930815</v>
      </c>
      <c r="P30" s="141">
        <v>1438.2171574250465</v>
      </c>
      <c r="Q30" s="141">
        <v>1048.8734454292821</v>
      </c>
      <c r="R30" s="141">
        <v>811.43983731332992</v>
      </c>
      <c r="S30" s="141">
        <v>840.8264453529182</v>
      </c>
      <c r="T30" s="141">
        <v>707.72418960156654</v>
      </c>
      <c r="U30" s="141">
        <v>53.605508453721917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411.3631512019445</v>
      </c>
      <c r="D31" s="141">
        <v>273.33064047293692</v>
      </c>
      <c r="E31" s="141">
        <v>237.94942763401571</v>
      </c>
      <c r="F31" s="141">
        <v>427.23298694449238</v>
      </c>
      <c r="G31" s="141">
        <v>470.27174650038847</v>
      </c>
      <c r="H31" s="141">
        <v>486.64163258718889</v>
      </c>
      <c r="I31" s="141">
        <v>426.90649461171353</v>
      </c>
      <c r="J31" s="141">
        <v>340.93523241185471</v>
      </c>
      <c r="K31" s="141">
        <v>235.5774510316827</v>
      </c>
      <c r="L31" s="141">
        <v>206.83744410584177</v>
      </c>
      <c r="M31" s="141">
        <v>397.84004784702137</v>
      </c>
      <c r="N31" s="141">
        <v>212.76343880730573</v>
      </c>
      <c r="O31" s="141">
        <v>791.83256163376518</v>
      </c>
      <c r="P31" s="141">
        <v>563.72403702027123</v>
      </c>
      <c r="Q31" s="141">
        <v>476.91430894198373</v>
      </c>
      <c r="R31" s="141">
        <v>372.96512677755908</v>
      </c>
      <c r="S31" s="141">
        <v>463.85198247160372</v>
      </c>
      <c r="T31" s="141">
        <v>455.20834694291426</v>
      </c>
      <c r="U31" s="141">
        <v>454.56463472084806</v>
      </c>
      <c r="V31" s="141">
        <v>325.73407154734093</v>
      </c>
      <c r="W31" s="141">
        <v>389.09062958412034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766.53298119312512</v>
      </c>
      <c r="O32" s="141">
        <v>150.05713232110813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38.941401779853784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5085.2337684521153</v>
      </c>
      <c r="D33" s="153">
        <v>1402.3046260216943</v>
      </c>
      <c r="E33" s="153">
        <v>856.9351363826936</v>
      </c>
      <c r="F33" s="153">
        <v>1011.2984700498541</v>
      </c>
      <c r="G33" s="153">
        <v>974.34479062001162</v>
      </c>
      <c r="H33" s="153">
        <v>2878.9752966031801</v>
      </c>
      <c r="I33" s="153">
        <v>2560.1158458218861</v>
      </c>
      <c r="J33" s="153">
        <v>2202.7718428972198</v>
      </c>
      <c r="K33" s="153">
        <v>1367.2264710044401</v>
      </c>
      <c r="L33" s="153">
        <v>1295.9061565269697</v>
      </c>
      <c r="M33" s="153">
        <v>1122.9190255216815</v>
      </c>
      <c r="N33" s="153">
        <v>0</v>
      </c>
      <c r="O33" s="153">
        <v>125.87947715017866</v>
      </c>
      <c r="P33" s="153">
        <v>139.19791024955578</v>
      </c>
      <c r="Q33" s="153">
        <v>516.89971824013344</v>
      </c>
      <c r="R33" s="153">
        <v>969.86853379556737</v>
      </c>
      <c r="S33" s="153">
        <v>1366.8559485678643</v>
      </c>
      <c r="T33" s="153">
        <v>1403.1655860408694</v>
      </c>
      <c r="U33" s="153">
        <v>1932.1873561672776</v>
      </c>
      <c r="V33" s="153">
        <v>1948.4389805252854</v>
      </c>
      <c r="W33" s="153">
        <v>1683.7439054970994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34.13321302205734</v>
      </c>
      <c r="D3" s="126">
        <f t="shared" si="0"/>
        <v>15.579976361316572</v>
      </c>
      <c r="E3" s="126">
        <f t="shared" si="0"/>
        <v>12.23689212046461</v>
      </c>
      <c r="F3" s="126">
        <f t="shared" si="0"/>
        <v>20.679014280745868</v>
      </c>
      <c r="G3" s="126">
        <f t="shared" si="0"/>
        <v>23.11701716234694</v>
      </c>
      <c r="H3" s="126">
        <f t="shared" si="0"/>
        <v>26.526579758762416</v>
      </c>
      <c r="I3" s="126">
        <f t="shared" si="0"/>
        <v>21.632243113881309</v>
      </c>
      <c r="J3" s="126">
        <f t="shared" si="0"/>
        <v>12.609878804722999</v>
      </c>
      <c r="K3" s="126">
        <f t="shared" si="0"/>
        <v>7.2911422691396881</v>
      </c>
      <c r="L3" s="126">
        <f t="shared" si="0"/>
        <v>7.081779184528008</v>
      </c>
      <c r="M3" s="126">
        <f t="shared" si="0"/>
        <v>7.5714419950805336</v>
      </c>
      <c r="N3" s="126">
        <f t="shared" si="0"/>
        <v>5.2108276699578164</v>
      </c>
      <c r="O3" s="126">
        <f t="shared" si="0"/>
        <v>7.9569175935094281</v>
      </c>
      <c r="P3" s="126">
        <f t="shared" si="0"/>
        <v>11.066403842167762</v>
      </c>
      <c r="Q3" s="126">
        <f t="shared" si="0"/>
        <v>10.817837378100212</v>
      </c>
      <c r="R3" s="126">
        <f t="shared" ref="R3:W3" si="1">SUM(R4,R16,R19,R29)</f>
        <v>10.962345221679133</v>
      </c>
      <c r="S3" s="126">
        <f t="shared" si="1"/>
        <v>13.782882209412104</v>
      </c>
      <c r="T3" s="126">
        <f t="shared" si="1"/>
        <v>13.834283716409029</v>
      </c>
      <c r="U3" s="126">
        <f t="shared" si="1"/>
        <v>10.755147610042503</v>
      </c>
      <c r="V3" s="126">
        <f t="shared" si="1"/>
        <v>7.8114582138271444</v>
      </c>
      <c r="W3" s="126">
        <f t="shared" si="1"/>
        <v>7.3706234516494753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15.494999036186645</v>
      </c>
      <c r="D4" s="131">
        <f t="shared" si="2"/>
        <v>5.9636110552158659</v>
      </c>
      <c r="E4" s="131">
        <f t="shared" si="2"/>
        <v>4.4193762488748964</v>
      </c>
      <c r="F4" s="131">
        <f t="shared" si="2"/>
        <v>9.1146858802421402</v>
      </c>
      <c r="G4" s="131">
        <f t="shared" si="2"/>
        <v>9.4305795137013106</v>
      </c>
      <c r="H4" s="131">
        <f t="shared" si="2"/>
        <v>9.8573563359973626</v>
      </c>
      <c r="I4" s="131">
        <f t="shared" si="2"/>
        <v>8.8863563484518497</v>
      </c>
      <c r="J4" s="131">
        <f t="shared" si="2"/>
        <v>4.9997875959750218</v>
      </c>
      <c r="K4" s="131">
        <f t="shared" si="2"/>
        <v>2.8689998484866561</v>
      </c>
      <c r="L4" s="131">
        <f t="shared" si="2"/>
        <v>2.3101304747982088</v>
      </c>
      <c r="M4" s="131">
        <f t="shared" si="2"/>
        <v>3.2535342549641375</v>
      </c>
      <c r="N4" s="131">
        <f t="shared" si="2"/>
        <v>1.5274053040432047</v>
      </c>
      <c r="O4" s="131">
        <f t="shared" si="2"/>
        <v>3.0442994739036644</v>
      </c>
      <c r="P4" s="131">
        <f t="shared" si="2"/>
        <v>4.738431504470368</v>
      </c>
      <c r="Q4" s="131">
        <f t="shared" si="2"/>
        <v>4.9025156465406834</v>
      </c>
      <c r="R4" s="131">
        <f t="shared" ref="R4:W4" si="3">SUM(R5:R15)</f>
        <v>4.5130850154048758</v>
      </c>
      <c r="S4" s="131">
        <f t="shared" si="3"/>
        <v>6.0363928158093367</v>
      </c>
      <c r="T4" s="131">
        <f t="shared" si="3"/>
        <v>6.6515895180270723</v>
      </c>
      <c r="U4" s="131">
        <f t="shared" si="3"/>
        <v>4.787509164795007</v>
      </c>
      <c r="V4" s="131">
        <f t="shared" si="3"/>
        <v>2.1470372667583728</v>
      </c>
      <c r="W4" s="131">
        <f t="shared" si="3"/>
        <v>2.5145730669448043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10.238904706871249</v>
      </c>
      <c r="D7" s="133">
        <v>1.5091648200154566</v>
      </c>
      <c r="E7" s="133">
        <v>1.0124168473236976</v>
      </c>
      <c r="F7" s="133">
        <v>3.6986630391987028</v>
      </c>
      <c r="G7" s="133">
        <v>2.2941996618022804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1.3108781037522443</v>
      </c>
      <c r="P7" s="133">
        <v>0</v>
      </c>
      <c r="Q7" s="133">
        <v>0</v>
      </c>
      <c r="R7" s="133">
        <v>0.26741507965565026</v>
      </c>
      <c r="S7" s="133">
        <v>1.2903458247800992</v>
      </c>
      <c r="T7" s="133">
        <v>0.38032714811091489</v>
      </c>
      <c r="U7" s="133">
        <v>1.285252956504378</v>
      </c>
      <c r="V7" s="133">
        <v>0</v>
      </c>
      <c r="W7" s="133">
        <v>0.29750668799604485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1.2412826896647968E-2</v>
      </c>
      <c r="D8" s="133">
        <v>1.0604146790318819E-2</v>
      </c>
      <c r="E8" s="133">
        <v>5.1355053405553082E-3</v>
      </c>
      <c r="F8" s="133">
        <v>2.7663801313416942E-3</v>
      </c>
      <c r="G8" s="133">
        <v>4.5299973527445497E-3</v>
      </c>
      <c r="H8" s="133">
        <v>1.8593763617560613E-2</v>
      </c>
      <c r="I8" s="133">
        <v>2.133292733062506E-2</v>
      </c>
      <c r="J8" s="133">
        <v>2.0157087869985258E-2</v>
      </c>
      <c r="K8" s="133">
        <v>1.3009217747218242E-2</v>
      </c>
      <c r="L8" s="133">
        <v>1.1620212364180701E-2</v>
      </c>
      <c r="M8" s="133">
        <v>1.4058672919695777E-2</v>
      </c>
      <c r="N8" s="133">
        <v>8.1082266395169789E-3</v>
      </c>
      <c r="O8" s="133">
        <v>1.3030943739516342E-2</v>
      </c>
      <c r="P8" s="133">
        <v>1.2866296341446251E-2</v>
      </c>
      <c r="Q8" s="133">
        <v>1.2915643520795659E-2</v>
      </c>
      <c r="R8" s="133">
        <v>6.0630858866391434E-3</v>
      </c>
      <c r="S8" s="133">
        <v>2.4309928861925415E-3</v>
      </c>
      <c r="T8" s="133">
        <v>1.7453809049503368E-3</v>
      </c>
      <c r="U8" s="133">
        <v>6.4550612063066408E-3</v>
      </c>
      <c r="V8" s="133">
        <v>9.6932962943838824E-3</v>
      </c>
      <c r="W8" s="133">
        <v>1.2167120644801079E-2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3.1093826797247548</v>
      </c>
      <c r="D9" s="133">
        <v>2.3559260761948724</v>
      </c>
      <c r="E9" s="133">
        <v>0.84541179003368039</v>
      </c>
      <c r="F9" s="133">
        <v>0.77199771561273312</v>
      </c>
      <c r="G9" s="133">
        <v>0</v>
      </c>
      <c r="H9" s="133">
        <v>1.8228123213849579</v>
      </c>
      <c r="I9" s="133">
        <v>2.2265879247981113</v>
      </c>
      <c r="J9" s="133">
        <v>1.8840624609306194</v>
      </c>
      <c r="K9" s="133">
        <v>1.2812399761157631</v>
      </c>
      <c r="L9" s="133">
        <v>0.63084261022211607</v>
      </c>
      <c r="M9" s="133">
        <v>0.8538173223277864</v>
      </c>
      <c r="N9" s="133">
        <v>0.26134240029578659</v>
      </c>
      <c r="O9" s="133">
        <v>0.26533589405920172</v>
      </c>
      <c r="P9" s="133">
        <v>0</v>
      </c>
      <c r="Q9" s="133">
        <v>1.7664949506806866</v>
      </c>
      <c r="R9" s="133">
        <v>2.5986635953554762</v>
      </c>
      <c r="S9" s="133">
        <v>2.0537063026917362</v>
      </c>
      <c r="T9" s="133">
        <v>0.74040162363145579</v>
      </c>
      <c r="U9" s="133">
        <v>0</v>
      </c>
      <c r="V9" s="133">
        <v>0.21001709851654796</v>
      </c>
      <c r="W9" s="133">
        <v>0.39939339050753481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0.9512805669641049</v>
      </c>
      <c r="N10" s="133">
        <v>0.12431761120101445</v>
      </c>
      <c r="O10" s="133">
        <v>0</v>
      </c>
      <c r="P10" s="133">
        <v>0</v>
      </c>
      <c r="Q10" s="133">
        <v>0</v>
      </c>
      <c r="R10" s="133">
        <v>4.5117210319600053E-2</v>
      </c>
      <c r="S10" s="133">
        <v>7.5466025305992154E-2</v>
      </c>
      <c r="T10" s="133">
        <v>0</v>
      </c>
      <c r="U10" s="133">
        <v>0</v>
      </c>
      <c r="V10" s="133">
        <v>0</v>
      </c>
      <c r="W10" s="133">
        <v>6.1574184011771666E-4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3.2736648527280088E-3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1.2830220326534324E-2</v>
      </c>
      <c r="K11" s="133">
        <v>1.6953351556126341E-2</v>
      </c>
      <c r="L11" s="133">
        <v>1.5006993792040645E-2</v>
      </c>
      <c r="M11" s="133">
        <v>2.9002961389105301E-2</v>
      </c>
      <c r="N11" s="133">
        <v>1.1358083018206008E-2</v>
      </c>
      <c r="O11" s="133">
        <v>5.4975046205267596E-3</v>
      </c>
      <c r="P11" s="133">
        <v>0</v>
      </c>
      <c r="Q11" s="133">
        <v>2.4127902530418871E-3</v>
      </c>
      <c r="R11" s="133">
        <v>5.6405356416559613E-3</v>
      </c>
      <c r="S11" s="133">
        <v>1.3157934253747778E-2</v>
      </c>
      <c r="T11" s="133">
        <v>7.6635070206371534E-3</v>
      </c>
      <c r="U11" s="133">
        <v>2.7278308896837343E-3</v>
      </c>
      <c r="V11" s="133">
        <v>0</v>
      </c>
      <c r="W11" s="133">
        <v>4.1655194459652196E-4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0.5147952938893311</v>
      </c>
      <c r="D12" s="133">
        <v>0.38009220084211348</v>
      </c>
      <c r="E12" s="133">
        <v>0.10043087083651993</v>
      </c>
      <c r="F12" s="133">
        <v>4.7432496826866601E-2</v>
      </c>
      <c r="G12" s="133">
        <v>0</v>
      </c>
      <c r="H12" s="133">
        <v>0</v>
      </c>
      <c r="I12" s="133">
        <v>0</v>
      </c>
      <c r="J12" s="133">
        <v>8.405212539534794E-2</v>
      </c>
      <c r="K12" s="133">
        <v>8.5021377815990076E-2</v>
      </c>
      <c r="L12" s="133">
        <v>0.22144176654384864</v>
      </c>
      <c r="M12" s="133">
        <v>0.1880602609873856</v>
      </c>
      <c r="N12" s="133">
        <v>0.22518306176984015</v>
      </c>
      <c r="O12" s="133">
        <v>0.17232463865905853</v>
      </c>
      <c r="P12" s="133">
        <v>0</v>
      </c>
      <c r="Q12" s="133">
        <v>2.0036625246597255E-2</v>
      </c>
      <c r="R12" s="133">
        <v>0.16284881145587096</v>
      </c>
      <c r="S12" s="133">
        <v>0.30842536204189525</v>
      </c>
      <c r="T12" s="133">
        <v>0.15376998872606898</v>
      </c>
      <c r="U12" s="133">
        <v>9.404497898385264E-2</v>
      </c>
      <c r="V12" s="133">
        <v>0.10222510391272578</v>
      </c>
      <c r="W12" s="133">
        <v>0.12073194340858853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0.69759651190006633</v>
      </c>
      <c r="D13" s="133">
        <v>1.1141504509553737</v>
      </c>
      <c r="E13" s="133">
        <v>1.7167530899113548</v>
      </c>
      <c r="F13" s="133">
        <v>1.8244098293852815</v>
      </c>
      <c r="G13" s="133">
        <v>3.3356952615312387</v>
      </c>
      <c r="H13" s="133">
        <v>4.6748470149658949</v>
      </c>
      <c r="I13" s="133">
        <v>4.0592247757298834</v>
      </c>
      <c r="J13" s="133">
        <v>2.9779193109466551</v>
      </c>
      <c r="K13" s="133">
        <v>1.4585436383861929</v>
      </c>
      <c r="L13" s="133">
        <v>1.4235455970146214</v>
      </c>
      <c r="M13" s="133">
        <v>1.2030359296895619</v>
      </c>
      <c r="N13" s="133">
        <v>0.89283895292275894</v>
      </c>
      <c r="O13" s="133">
        <v>1.1911632408639674</v>
      </c>
      <c r="P13" s="133">
        <v>1.7473559929005471</v>
      </c>
      <c r="Q13" s="133">
        <v>1.4057134851509678</v>
      </c>
      <c r="R13" s="133">
        <v>1.3935748358012379</v>
      </c>
      <c r="S13" s="133">
        <v>1.3651202889787459</v>
      </c>
      <c r="T13" s="133">
        <v>1.4053209686795438</v>
      </c>
      <c r="U13" s="133">
        <v>1.6130540619282128</v>
      </c>
      <c r="V13" s="133">
        <v>1.822215619361151</v>
      </c>
      <c r="W13" s="133">
        <v>1.4975239623532985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0.78264445076641842</v>
      </c>
      <c r="D14" s="65">
        <v>0.55169107629390191</v>
      </c>
      <c r="E14" s="65">
        <v>0.71987763049109665</v>
      </c>
      <c r="F14" s="65">
        <v>2.7256305344039484</v>
      </c>
      <c r="G14" s="65">
        <v>3.7744087415111389</v>
      </c>
      <c r="H14" s="65">
        <v>3.3212597385566189</v>
      </c>
      <c r="I14" s="65">
        <v>2.5550408634565231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6.915750815547056E-2</v>
      </c>
      <c r="P14" s="65">
        <v>2.9780869886119978</v>
      </c>
      <c r="Q14" s="65">
        <v>1.6744621271640545</v>
      </c>
      <c r="R14" s="65">
        <v>0</v>
      </c>
      <c r="S14" s="65">
        <v>0.88822618127408981</v>
      </c>
      <c r="T14" s="65">
        <v>3.9489719185858458</v>
      </c>
      <c r="U14" s="65">
        <v>1.7712895108882769</v>
      </c>
      <c r="V14" s="65">
        <v>0</v>
      </c>
      <c r="W14" s="65">
        <v>0.17764223014024175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0.1359889012854473</v>
      </c>
      <c r="D15" s="135">
        <v>4.1982284123829171E-2</v>
      </c>
      <c r="E15" s="135">
        <v>1.9350514937991427E-2</v>
      </c>
      <c r="F15" s="135">
        <v>4.3785884683265892E-2</v>
      </c>
      <c r="G15" s="135">
        <v>2.1745851503909206E-2</v>
      </c>
      <c r="H15" s="135">
        <v>1.9843497472328955E-2</v>
      </c>
      <c r="I15" s="135">
        <v>2.4169857136706347E-2</v>
      </c>
      <c r="J15" s="135">
        <v>2.0766390505880354E-2</v>
      </c>
      <c r="K15" s="135">
        <v>1.4232286865365498E-2</v>
      </c>
      <c r="L15" s="135">
        <v>7.67329486140158E-3</v>
      </c>
      <c r="M15" s="135">
        <v>1.4278540686497788E-2</v>
      </c>
      <c r="N15" s="135">
        <v>4.2569681960815103E-3</v>
      </c>
      <c r="O15" s="135">
        <v>1.6911640053678293E-2</v>
      </c>
      <c r="P15" s="135">
        <v>1.2222661637670623E-4</v>
      </c>
      <c r="Q15" s="135">
        <v>2.0480024524539862E-2</v>
      </c>
      <c r="R15" s="135">
        <v>3.3761861288745108E-2</v>
      </c>
      <c r="S15" s="135">
        <v>3.9513903596838998E-2</v>
      </c>
      <c r="T15" s="135">
        <v>1.3388982367655943E-2</v>
      </c>
      <c r="U15" s="135">
        <v>1.4684764394296066E-2</v>
      </c>
      <c r="V15" s="135">
        <v>2.8861486735641769E-3</v>
      </c>
      <c r="W15" s="135">
        <v>8.5754381095805056E-3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5.452663496788789</v>
      </c>
      <c r="D16" s="131">
        <f t="shared" si="4"/>
        <v>2.3687318370878319</v>
      </c>
      <c r="E16" s="131">
        <f t="shared" si="4"/>
        <v>2.3940946512986665</v>
      </c>
      <c r="F16" s="131">
        <f t="shared" si="4"/>
        <v>3.0119232502252355</v>
      </c>
      <c r="G16" s="131">
        <f t="shared" si="4"/>
        <v>3.5987755424197898</v>
      </c>
      <c r="H16" s="131">
        <f t="shared" si="4"/>
        <v>5.1110076834079115</v>
      </c>
      <c r="I16" s="131">
        <f t="shared" si="4"/>
        <v>2.8413510565869693</v>
      </c>
      <c r="J16" s="131">
        <f t="shared" si="4"/>
        <v>1.7277066368655707</v>
      </c>
      <c r="K16" s="131">
        <f t="shared" si="4"/>
        <v>1.1610442087810913</v>
      </c>
      <c r="L16" s="131">
        <f t="shared" si="4"/>
        <v>1.432638357992662</v>
      </c>
      <c r="M16" s="131">
        <f t="shared" si="4"/>
        <v>0.92053722165325691</v>
      </c>
      <c r="N16" s="131">
        <f t="shared" si="4"/>
        <v>0.59295094022797379</v>
      </c>
      <c r="O16" s="131">
        <f t="shared" si="4"/>
        <v>1.2042588598283206</v>
      </c>
      <c r="P16" s="131">
        <f t="shared" si="4"/>
        <v>1.022318183023839</v>
      </c>
      <c r="Q16" s="131">
        <f t="shared" si="4"/>
        <v>1.0974823378616254</v>
      </c>
      <c r="R16" s="131">
        <f t="shared" ref="R16:W16" si="5">SUM(R17:R18)</f>
        <v>1.6859720980494022</v>
      </c>
      <c r="S16" s="131">
        <f t="shared" si="5"/>
        <v>1.9219095355635654</v>
      </c>
      <c r="T16" s="131">
        <f t="shared" si="5"/>
        <v>1.5444017036470516</v>
      </c>
      <c r="U16" s="131">
        <f t="shared" si="5"/>
        <v>1.12932506248297</v>
      </c>
      <c r="V16" s="131">
        <f t="shared" si="5"/>
        <v>1.4971494170924953</v>
      </c>
      <c r="W16" s="131">
        <f t="shared" si="5"/>
        <v>0.84097051580229232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2.2686804022908375E-2</v>
      </c>
      <c r="D17" s="133">
        <v>4.9541565996730269E-3</v>
      </c>
      <c r="E17" s="133">
        <v>5.1028974070272039E-3</v>
      </c>
      <c r="F17" s="133">
        <v>3.0259055354841229E-2</v>
      </c>
      <c r="G17" s="133">
        <v>1.9014821389799919E-2</v>
      </c>
      <c r="H17" s="133">
        <v>3.1877071265120259E-2</v>
      </c>
      <c r="I17" s="133">
        <v>3.4682336374647939E-2</v>
      </c>
      <c r="J17" s="133">
        <v>1.9132436524631386E-2</v>
      </c>
      <c r="K17" s="133">
        <v>2.4551570787838012E-2</v>
      </c>
      <c r="L17" s="133">
        <v>1.2480177810732873E-2</v>
      </c>
      <c r="M17" s="133">
        <v>1.6805849018478938E-2</v>
      </c>
      <c r="N17" s="133">
        <v>7.835401994207963E-3</v>
      </c>
      <c r="O17" s="133">
        <v>2.8976462674804221E-2</v>
      </c>
      <c r="P17" s="133">
        <v>2.6049800931439552E-2</v>
      </c>
      <c r="Q17" s="133">
        <v>3.7231344297408861E-2</v>
      </c>
      <c r="R17" s="133">
        <v>7.4600837518482635E-2</v>
      </c>
      <c r="S17" s="133">
        <v>7.1525289443217177E-2</v>
      </c>
      <c r="T17" s="133">
        <v>6.3039344372717909E-2</v>
      </c>
      <c r="U17" s="133">
        <v>5.5871523882282212E-2</v>
      </c>
      <c r="V17" s="133">
        <v>5.8059462882020588E-2</v>
      </c>
      <c r="W17" s="133">
        <v>2.550534980515384E-2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5.429976692765881</v>
      </c>
      <c r="D18" s="133">
        <v>2.3637776804881589</v>
      </c>
      <c r="E18" s="133">
        <v>2.3889917538916392</v>
      </c>
      <c r="F18" s="133">
        <v>2.9816641948703944</v>
      </c>
      <c r="G18" s="133">
        <v>3.5797607210299898</v>
      </c>
      <c r="H18" s="133">
        <v>5.0791306121427908</v>
      </c>
      <c r="I18" s="133">
        <v>2.8066687202123215</v>
      </c>
      <c r="J18" s="133">
        <v>1.7085742003409392</v>
      </c>
      <c r="K18" s="133">
        <v>1.1364926379932532</v>
      </c>
      <c r="L18" s="133">
        <v>1.4201581801819292</v>
      </c>
      <c r="M18" s="133">
        <v>0.90373137263477799</v>
      </c>
      <c r="N18" s="133">
        <v>0.58511553823376583</v>
      </c>
      <c r="O18" s="133">
        <v>1.1752823971535165</v>
      </c>
      <c r="P18" s="133">
        <v>0.99626838209239954</v>
      </c>
      <c r="Q18" s="133">
        <v>1.0602509935642166</v>
      </c>
      <c r="R18" s="133">
        <v>1.6113712605309196</v>
      </c>
      <c r="S18" s="133">
        <v>1.8503842461203481</v>
      </c>
      <c r="T18" s="133">
        <v>1.4813623592743337</v>
      </c>
      <c r="U18" s="133">
        <v>1.0734535386006878</v>
      </c>
      <c r="V18" s="133">
        <v>1.4390899542104747</v>
      </c>
      <c r="W18" s="133">
        <v>0.81546516599713847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6.67547080649409</v>
      </c>
      <c r="D19" s="131">
        <f t="shared" si="6"/>
        <v>3.2812118014459939</v>
      </c>
      <c r="E19" s="131">
        <f t="shared" si="6"/>
        <v>2.4844518621270266</v>
      </c>
      <c r="F19" s="131">
        <f t="shared" si="6"/>
        <v>3.8779360711863418</v>
      </c>
      <c r="G19" s="131">
        <f t="shared" si="6"/>
        <v>4.0197451908794584</v>
      </c>
      <c r="H19" s="131">
        <f t="shared" si="6"/>
        <v>5.3618293774473349</v>
      </c>
      <c r="I19" s="131">
        <f t="shared" si="6"/>
        <v>4.4732618396772796</v>
      </c>
      <c r="J19" s="131">
        <f t="shared" si="6"/>
        <v>2.6285306663299948</v>
      </c>
      <c r="K19" s="131">
        <f t="shared" si="6"/>
        <v>1.5596003865692201</v>
      </c>
      <c r="L19" s="131">
        <f t="shared" si="6"/>
        <v>1.4263282614408619</v>
      </c>
      <c r="M19" s="131">
        <f t="shared" si="6"/>
        <v>1.5118204074515842</v>
      </c>
      <c r="N19" s="131">
        <f t="shared" si="6"/>
        <v>0.9837602083343604</v>
      </c>
      <c r="O19" s="131">
        <f t="shared" si="6"/>
        <v>1.5947022772867383</v>
      </c>
      <c r="P19" s="131">
        <f t="shared" si="6"/>
        <v>1.962735224811079</v>
      </c>
      <c r="Q19" s="131">
        <f t="shared" si="6"/>
        <v>1.8610786803061354</v>
      </c>
      <c r="R19" s="131">
        <f t="shared" ref="R19:W19" si="7">SUM(R20:R27)</f>
        <v>1.9513513944283725</v>
      </c>
      <c r="S19" s="131">
        <f t="shared" si="7"/>
        <v>2.4047085086672118</v>
      </c>
      <c r="T19" s="131">
        <f t="shared" si="7"/>
        <v>2.3406214723918128</v>
      </c>
      <c r="U19" s="131">
        <f t="shared" si="7"/>
        <v>2.1932182730038297</v>
      </c>
      <c r="V19" s="131">
        <f t="shared" si="7"/>
        <v>1.7631614696272382</v>
      </c>
      <c r="W19" s="131">
        <f t="shared" si="7"/>
        <v>1.7426056054648751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0.10247327547927389</v>
      </c>
      <c r="D21" s="133">
        <v>7.9383737116048306E-2</v>
      </c>
      <c r="E21" s="133">
        <v>9.2093613568595856E-2</v>
      </c>
      <c r="F21" s="133">
        <v>0.17712001197875113</v>
      </c>
      <c r="G21" s="133">
        <v>0.20529894920475392</v>
      </c>
      <c r="H21" s="133">
        <v>0.26375637524976303</v>
      </c>
      <c r="I21" s="133">
        <v>0.24307984460430818</v>
      </c>
      <c r="J21" s="133">
        <v>0.12881375975282081</v>
      </c>
      <c r="K21" s="133">
        <v>8.8877595557162209E-2</v>
      </c>
      <c r="L21" s="133">
        <v>6.4623593861497269E-2</v>
      </c>
      <c r="M21" s="133">
        <v>7.7150446481409271E-2</v>
      </c>
      <c r="N21" s="133">
        <v>5.3369030340556484E-2</v>
      </c>
      <c r="O21" s="133">
        <v>8.308937171327585E-2</v>
      </c>
      <c r="P21" s="133">
        <v>6.8985653659961843E-2</v>
      </c>
      <c r="Q21" s="133">
        <v>7.3097509227736182E-2</v>
      </c>
      <c r="R21" s="133">
        <v>7.8885682246473701E-2</v>
      </c>
      <c r="S21" s="133">
        <v>9.5281981564269674E-2</v>
      </c>
      <c r="T21" s="133">
        <v>0.11964585082759779</v>
      </c>
      <c r="U21" s="133">
        <v>0.11242086923496143</v>
      </c>
      <c r="V21" s="133">
        <v>6.4452537554391787E-2</v>
      </c>
      <c r="W21" s="133">
        <v>8.2970389162664207E-2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0.63671540662082682</v>
      </c>
      <c r="D22" s="133">
        <v>0.19800617269023219</v>
      </c>
      <c r="E22" s="133">
        <v>0.30816398910241594</v>
      </c>
      <c r="F22" s="133">
        <v>0.58711806716351733</v>
      </c>
      <c r="G22" s="133">
        <v>0.78010870260222021</v>
      </c>
      <c r="H22" s="133">
        <v>1.043405738952923</v>
      </c>
      <c r="I22" s="133">
        <v>0.86767969323793481</v>
      </c>
      <c r="J22" s="133">
        <v>0.44640810427639188</v>
      </c>
      <c r="K22" s="133">
        <v>0.32370815306371042</v>
      </c>
      <c r="L22" s="133">
        <v>0.31795195639535417</v>
      </c>
      <c r="M22" s="133">
        <v>0.41626036796534793</v>
      </c>
      <c r="N22" s="133">
        <v>0.29075100574529944</v>
      </c>
      <c r="O22" s="133">
        <v>0.45003242560664547</v>
      </c>
      <c r="P22" s="133">
        <v>0.2572934955738696</v>
      </c>
      <c r="Q22" s="133">
        <v>0.25316638587308726</v>
      </c>
      <c r="R22" s="133">
        <v>0.28724396258771112</v>
      </c>
      <c r="S22" s="133">
        <v>0.42370663460444991</v>
      </c>
      <c r="T22" s="133">
        <v>0.53088981839762306</v>
      </c>
      <c r="U22" s="133">
        <v>0.52600668432247766</v>
      </c>
      <c r="V22" s="133">
        <v>0.39617360917695521</v>
      </c>
      <c r="W22" s="133">
        <v>0.44221979443502868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0.59941658995448721</v>
      </c>
      <c r="D23" s="133">
        <v>0.37280111606828786</v>
      </c>
      <c r="E23" s="133">
        <v>0.29898622837453692</v>
      </c>
      <c r="F23" s="133">
        <v>0.46515623686619284</v>
      </c>
      <c r="G23" s="133">
        <v>0.6022248064781206</v>
      </c>
      <c r="H23" s="133">
        <v>0.81993436597234304</v>
      </c>
      <c r="I23" s="133">
        <v>0.79900442892991075</v>
      </c>
      <c r="J23" s="133">
        <v>0.45173645684311003</v>
      </c>
      <c r="K23" s="133">
        <v>0.29420111300670665</v>
      </c>
      <c r="L23" s="133">
        <v>0.25888889230834827</v>
      </c>
      <c r="M23" s="133">
        <v>0.28899097331746199</v>
      </c>
      <c r="N23" s="133">
        <v>0.18873275269660728</v>
      </c>
      <c r="O23" s="133">
        <v>0.29384467051248764</v>
      </c>
      <c r="P23" s="133">
        <v>0.4728739309456913</v>
      </c>
      <c r="Q23" s="133">
        <v>0.47728454447444596</v>
      </c>
      <c r="R23" s="133">
        <v>0.54265584386835075</v>
      </c>
      <c r="S23" s="133">
        <v>0.63503200879697475</v>
      </c>
      <c r="T23" s="133">
        <v>0.58429939436918965</v>
      </c>
      <c r="U23" s="133">
        <v>0.45349510877174559</v>
      </c>
      <c r="V23" s="133">
        <v>0.20595320424285191</v>
      </c>
      <c r="W23" s="133">
        <v>0.31711259170556422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0.17791832301763086</v>
      </c>
      <c r="D25" s="133">
        <v>0.10954809626180295</v>
      </c>
      <c r="E25" s="133">
        <v>5.7390597387417551E-2</v>
      </c>
      <c r="F25" s="133">
        <v>2.3367620847714699E-2</v>
      </c>
      <c r="G25" s="133">
        <v>0</v>
      </c>
      <c r="H25" s="133">
        <v>0</v>
      </c>
      <c r="I25" s="133">
        <v>1.0483272378827818E-3</v>
      </c>
      <c r="J25" s="133">
        <v>0</v>
      </c>
      <c r="K25" s="133">
        <v>0</v>
      </c>
      <c r="L25" s="133">
        <v>1.8500241864444886E-3</v>
      </c>
      <c r="M25" s="133">
        <v>2.6228543865331716E-2</v>
      </c>
      <c r="N25" s="133">
        <v>3.0445299071307733E-2</v>
      </c>
      <c r="O25" s="133">
        <v>5.9518485001536461E-2</v>
      </c>
      <c r="P25" s="133">
        <v>7.886017771190984E-2</v>
      </c>
      <c r="Q25" s="133">
        <v>5.2643999002343081E-2</v>
      </c>
      <c r="R25" s="133">
        <v>2.9135877922384791E-2</v>
      </c>
      <c r="S25" s="133">
        <v>2.9509806170531651E-2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4.3083620545751771</v>
      </c>
      <c r="D26" s="65">
        <v>1.8175604211873271</v>
      </c>
      <c r="E26" s="65">
        <v>1.3310284736199329</v>
      </c>
      <c r="F26" s="65">
        <v>1.9082914491768355</v>
      </c>
      <c r="G26" s="65">
        <v>0.91463688908772156</v>
      </c>
      <c r="H26" s="65">
        <v>2.4274314315065197</v>
      </c>
      <c r="I26" s="65">
        <v>1.2931680162637968</v>
      </c>
      <c r="J26" s="65">
        <v>0.33151270125967741</v>
      </c>
      <c r="K26" s="65">
        <v>0.1931601782772962</v>
      </c>
      <c r="L26" s="65">
        <v>8.3931249524880264E-2</v>
      </c>
      <c r="M26" s="65">
        <v>1.3224204660198713E-2</v>
      </c>
      <c r="N26" s="65">
        <v>5.0127058170360084E-3</v>
      </c>
      <c r="O26" s="65">
        <v>8.2873093020885743E-3</v>
      </c>
      <c r="P26" s="65">
        <v>1.2532656455018873E-2</v>
      </c>
      <c r="Q26" s="65">
        <v>1.1554985062779369E-2</v>
      </c>
      <c r="R26" s="65">
        <v>1.1011746334723769E-2</v>
      </c>
      <c r="S26" s="65">
        <v>1.2801497408912567E-2</v>
      </c>
      <c r="T26" s="65">
        <v>1.0922022050425318E-2</v>
      </c>
      <c r="U26" s="65">
        <v>1.0417427030671562E-2</v>
      </c>
      <c r="V26" s="65">
        <v>7.1881680753243631E-3</v>
      </c>
      <c r="W26" s="65">
        <v>0.89855089083173922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0.850585156846694</v>
      </c>
      <c r="D27" s="148">
        <v>0.70391225812229519</v>
      </c>
      <c r="E27" s="148">
        <v>0.39678896007412745</v>
      </c>
      <c r="F27" s="148">
        <v>0.71688268515332998</v>
      </c>
      <c r="G27" s="148">
        <v>1.5174758435066424</v>
      </c>
      <c r="H27" s="148">
        <v>0.80730146576578654</v>
      </c>
      <c r="I27" s="148">
        <v>1.2692815294034459</v>
      </c>
      <c r="J27" s="148">
        <v>1.2700596441979946</v>
      </c>
      <c r="K27" s="148">
        <v>0.65965334666434461</v>
      </c>
      <c r="L27" s="148">
        <v>0.69908254516433743</v>
      </c>
      <c r="M27" s="148">
        <v>0.6899658711618345</v>
      </c>
      <c r="N27" s="148">
        <v>0.41544941466355334</v>
      </c>
      <c r="O27" s="148">
        <v>0.69993001515070441</v>
      </c>
      <c r="P27" s="148">
        <v>1.0721893104646276</v>
      </c>
      <c r="Q27" s="148">
        <v>0.99333125666574351</v>
      </c>
      <c r="R27" s="148">
        <v>1.0024182814687284</v>
      </c>
      <c r="S27" s="148">
        <v>1.2083765801220729</v>
      </c>
      <c r="T27" s="148">
        <v>1.0948643867469769</v>
      </c>
      <c r="U27" s="148">
        <v>1.0908781836439734</v>
      </c>
      <c r="V27" s="148">
        <v>1.089393950577715</v>
      </c>
      <c r="W27" s="148">
        <v>1.7519393298788286E-3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6.5100796825878149</v>
      </c>
      <c r="D29" s="131">
        <f t="shared" si="8"/>
        <v>3.9664216675668804</v>
      </c>
      <c r="E29" s="131">
        <f t="shared" si="8"/>
        <v>2.9389693581640195</v>
      </c>
      <c r="F29" s="131">
        <f t="shared" si="8"/>
        <v>4.6744690790921499</v>
      </c>
      <c r="G29" s="131">
        <f t="shared" si="8"/>
        <v>6.0679169153463794</v>
      </c>
      <c r="H29" s="131">
        <f t="shared" si="8"/>
        <v>6.1963863619098039</v>
      </c>
      <c r="I29" s="131">
        <f t="shared" si="8"/>
        <v>5.4312738691652118</v>
      </c>
      <c r="J29" s="131">
        <f t="shared" si="8"/>
        <v>3.2538539055524125</v>
      </c>
      <c r="K29" s="131">
        <f t="shared" si="8"/>
        <v>1.7014978253027209</v>
      </c>
      <c r="L29" s="131">
        <f t="shared" si="8"/>
        <v>1.9126820902962751</v>
      </c>
      <c r="M29" s="131">
        <f t="shared" si="8"/>
        <v>1.8855501110115562</v>
      </c>
      <c r="N29" s="131">
        <f t="shared" si="8"/>
        <v>2.1067112173522773</v>
      </c>
      <c r="O29" s="131">
        <f t="shared" si="8"/>
        <v>2.1136569824907046</v>
      </c>
      <c r="P29" s="131">
        <f t="shared" si="8"/>
        <v>3.3429189298624751</v>
      </c>
      <c r="Q29" s="131">
        <f t="shared" si="8"/>
        <v>2.9567607133917679</v>
      </c>
      <c r="R29" s="131">
        <f t="shared" ref="R29:W29" si="9">SUM(R30:R33)</f>
        <v>2.8119367137964826</v>
      </c>
      <c r="S29" s="131">
        <f t="shared" si="9"/>
        <v>3.419871349371991</v>
      </c>
      <c r="T29" s="131">
        <f t="shared" si="9"/>
        <v>3.2976710223430912</v>
      </c>
      <c r="U29" s="131">
        <f t="shared" si="9"/>
        <v>2.6450951097606969</v>
      </c>
      <c r="V29" s="131">
        <f t="shared" si="9"/>
        <v>2.4041100603490384</v>
      </c>
      <c r="W29" s="131">
        <f t="shared" si="9"/>
        <v>2.2724742634375033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0.79468038477904079</v>
      </c>
      <c r="D30" s="133">
        <v>2.1337733946663389</v>
      </c>
      <c r="E30" s="133">
        <v>1.6653732467645246</v>
      </c>
      <c r="F30" s="133">
        <v>2.9188076325046528</v>
      </c>
      <c r="G30" s="133">
        <v>4.4318209603511356</v>
      </c>
      <c r="H30" s="133">
        <v>2.2441809972995821</v>
      </c>
      <c r="I30" s="133">
        <v>1.9702890252878666</v>
      </c>
      <c r="J30" s="133">
        <v>0.46495015401317741</v>
      </c>
      <c r="K30" s="133">
        <v>0</v>
      </c>
      <c r="L30" s="133">
        <v>0</v>
      </c>
      <c r="M30" s="133">
        <v>0</v>
      </c>
      <c r="N30" s="133">
        <v>5.2687422893014728E-4</v>
      </c>
      <c r="O30" s="133">
        <v>0.58928821451523683</v>
      </c>
      <c r="P30" s="133">
        <v>2.3936489865123827</v>
      </c>
      <c r="Q30" s="133">
        <v>1.7131741018598052</v>
      </c>
      <c r="R30" s="133">
        <v>1.1670258967972946</v>
      </c>
      <c r="S30" s="133">
        <v>1.1617286595780774</v>
      </c>
      <c r="T30" s="133">
        <v>1.2322923749715087</v>
      </c>
      <c r="U30" s="133">
        <v>9.1745560610589846E-2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0.52612570738458686</v>
      </c>
      <c r="D31" s="133">
        <v>0.37486511153198937</v>
      </c>
      <c r="E31" s="133">
        <v>0.32335147316715629</v>
      </c>
      <c r="F31" s="133">
        <v>0.6147847035766032</v>
      </c>
      <c r="G31" s="133">
        <v>0.68764758673548787</v>
      </c>
      <c r="H31" s="133">
        <v>0.71243384611636162</v>
      </c>
      <c r="I31" s="133">
        <v>0.61819163162609381</v>
      </c>
      <c r="J31" s="133">
        <v>0.4753362443697986</v>
      </c>
      <c r="K31" s="133">
        <v>0.33129595830497038</v>
      </c>
      <c r="L31" s="133">
        <v>0.32320512711896104</v>
      </c>
      <c r="M31" s="133">
        <v>0.58023836821884645</v>
      </c>
      <c r="N31" s="133">
        <v>0.29074990904920495</v>
      </c>
      <c r="O31" s="133">
        <v>1.1974443313269905</v>
      </c>
      <c r="P31" s="133">
        <v>0.80365352739775142</v>
      </c>
      <c r="Q31" s="133">
        <v>0.71955958853666802</v>
      </c>
      <c r="R31" s="133">
        <v>0.56850999589401108</v>
      </c>
      <c r="S31" s="133">
        <v>0.7010445412179962</v>
      </c>
      <c r="T31" s="133">
        <v>0.68714424936846707</v>
      </c>
      <c r="U31" s="133">
        <v>0.70495068566350494</v>
      </c>
      <c r="V31" s="133">
        <v>0.46689273526546399</v>
      </c>
      <c r="W31" s="133">
        <v>0.51231801542626487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1.815434434074142</v>
      </c>
      <c r="O32" s="133">
        <v>0.19375850549623247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5.7977002144645746E-2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5.1892735904241878</v>
      </c>
      <c r="D33" s="68">
        <v>1.4577831613685521</v>
      </c>
      <c r="E33" s="68">
        <v>0.95024463823233885</v>
      </c>
      <c r="F33" s="68">
        <v>1.1408767430108939</v>
      </c>
      <c r="G33" s="68">
        <v>0.94844836825975565</v>
      </c>
      <c r="H33" s="68">
        <v>3.23977151849386</v>
      </c>
      <c r="I33" s="68">
        <v>2.842793212251252</v>
      </c>
      <c r="J33" s="68">
        <v>2.3135675071694366</v>
      </c>
      <c r="K33" s="68">
        <v>1.3702018669977505</v>
      </c>
      <c r="L33" s="68">
        <v>1.589476963177314</v>
      </c>
      <c r="M33" s="68">
        <v>1.3053117427927097</v>
      </c>
      <c r="N33" s="68">
        <v>0</v>
      </c>
      <c r="O33" s="68">
        <v>0.13316593115224462</v>
      </c>
      <c r="P33" s="68">
        <v>0.14561641595234109</v>
      </c>
      <c r="Q33" s="68">
        <v>0.5240270229952948</v>
      </c>
      <c r="R33" s="68">
        <v>1.0764008211051765</v>
      </c>
      <c r="S33" s="68">
        <v>1.5570981485759174</v>
      </c>
      <c r="T33" s="68">
        <v>1.3782343980031151</v>
      </c>
      <c r="U33" s="68">
        <v>1.848398863486602</v>
      </c>
      <c r="V33" s="68">
        <v>1.9372173250835745</v>
      </c>
      <c r="W33" s="68">
        <v>1.7021792458665925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30.106465362178874</v>
      </c>
      <c r="D3" s="126">
        <f t="shared" si="0"/>
        <v>14.868734183804829</v>
      </c>
      <c r="E3" s="126">
        <f t="shared" si="0"/>
        <v>13.823565681050614</v>
      </c>
      <c r="F3" s="126">
        <f t="shared" si="0"/>
        <v>20.593628221975859</v>
      </c>
      <c r="G3" s="126">
        <f t="shared" si="0"/>
        <v>26.211870048811718</v>
      </c>
      <c r="H3" s="126">
        <f t="shared" si="0"/>
        <v>34.461410390725568</v>
      </c>
      <c r="I3" s="126">
        <f t="shared" si="0"/>
        <v>26.772981152161304</v>
      </c>
      <c r="J3" s="126">
        <f t="shared" si="0"/>
        <v>17.530009137459828</v>
      </c>
      <c r="K3" s="126">
        <f t="shared" si="0"/>
        <v>10.310363911801348</v>
      </c>
      <c r="L3" s="126">
        <f t="shared" si="0"/>
        <v>11.135923822612968</v>
      </c>
      <c r="M3" s="126">
        <f t="shared" si="0"/>
        <v>9.9353839860160846</v>
      </c>
      <c r="N3" s="126">
        <f t="shared" si="0"/>
        <v>7.0086886332483234</v>
      </c>
      <c r="O3" s="126">
        <f t="shared" si="0"/>
        <v>11.484616954688768</v>
      </c>
      <c r="P3" s="126">
        <f t="shared" si="0"/>
        <v>15.302343112914805</v>
      </c>
      <c r="Q3" s="126">
        <f t="shared" si="0"/>
        <v>14.858883892320183</v>
      </c>
      <c r="R3" s="126">
        <f t="shared" ref="R3:W3" si="1">SUM(R4,R16,R19,R29)</f>
        <v>16.880860733329456</v>
      </c>
      <c r="S3" s="126">
        <f t="shared" si="1"/>
        <v>19.892968779843962</v>
      </c>
      <c r="T3" s="126">
        <f t="shared" si="1"/>
        <v>19.332477938152639</v>
      </c>
      <c r="U3" s="126">
        <f t="shared" si="1"/>
        <v>16.636187056501122</v>
      </c>
      <c r="V3" s="126">
        <f t="shared" si="1"/>
        <v>16.354480494590245</v>
      </c>
      <c r="W3" s="126">
        <f t="shared" si="1"/>
        <v>12.964151062704355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8.9953296229108339</v>
      </c>
      <c r="D4" s="131">
        <f t="shared" si="2"/>
        <v>4.6724552115287699</v>
      </c>
      <c r="E4" s="131">
        <f t="shared" si="2"/>
        <v>4.6423893325700663</v>
      </c>
      <c r="F4" s="131">
        <f t="shared" si="2"/>
        <v>7.8052429185955674</v>
      </c>
      <c r="G4" s="131">
        <f t="shared" si="2"/>
        <v>10.616434523112646</v>
      </c>
      <c r="H4" s="131">
        <f t="shared" si="2"/>
        <v>13.545477186323721</v>
      </c>
      <c r="I4" s="131">
        <f t="shared" si="2"/>
        <v>12.503618969474605</v>
      </c>
      <c r="J4" s="131">
        <f t="shared" si="2"/>
        <v>8.5008016399891737</v>
      </c>
      <c r="K4" s="131">
        <f t="shared" si="2"/>
        <v>4.6558620098544008</v>
      </c>
      <c r="L4" s="131">
        <f t="shared" si="2"/>
        <v>4.4686196478331031</v>
      </c>
      <c r="M4" s="131">
        <f t="shared" si="2"/>
        <v>4.7146450234263231</v>
      </c>
      <c r="N4" s="131">
        <f t="shared" si="2"/>
        <v>3.1651925557162253</v>
      </c>
      <c r="O4" s="131">
        <f t="shared" si="2"/>
        <v>5.0801895417132661</v>
      </c>
      <c r="P4" s="131">
        <f t="shared" si="2"/>
        <v>8.2746329817920863</v>
      </c>
      <c r="Q4" s="131">
        <f t="shared" si="2"/>
        <v>7.6501618554283475</v>
      </c>
      <c r="R4" s="131">
        <f t="shared" ref="R4:W4" si="3">SUM(R5:R15)</f>
        <v>7.3455499615742657</v>
      </c>
      <c r="S4" s="131">
        <f t="shared" si="3"/>
        <v>8.4725120547020332</v>
      </c>
      <c r="T4" s="131">
        <f t="shared" si="3"/>
        <v>9.3623451470215802</v>
      </c>
      <c r="U4" s="131">
        <f t="shared" si="3"/>
        <v>8.4905738113787912</v>
      </c>
      <c r="V4" s="131">
        <f t="shared" si="3"/>
        <v>7.1200335526151903</v>
      </c>
      <c r="W4" s="131">
        <f t="shared" si="3"/>
        <v>6.4689389123933454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5.0784599274765672</v>
      </c>
      <c r="D7" s="133">
        <v>0.75750782229458025</v>
      </c>
      <c r="E7" s="133">
        <v>0.51440027985390568</v>
      </c>
      <c r="F7" s="133">
        <v>1.9019080792705114</v>
      </c>
      <c r="G7" s="133">
        <v>1.1941732453922027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0.80624948847887667</v>
      </c>
      <c r="P7" s="133">
        <v>0</v>
      </c>
      <c r="Q7" s="133">
        <v>0</v>
      </c>
      <c r="R7" s="133">
        <v>0.18241453176821265</v>
      </c>
      <c r="S7" s="133">
        <v>0.89142883526855543</v>
      </c>
      <c r="T7" s="133">
        <v>0.26517245470158646</v>
      </c>
      <c r="U7" s="133">
        <v>0.902491105326651</v>
      </c>
      <c r="V7" s="133">
        <v>0</v>
      </c>
      <c r="W7" s="133">
        <v>0.21101689610596377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1.3625289170241639E-2</v>
      </c>
      <c r="D8" s="133">
        <v>1.2467408346899616E-2</v>
      </c>
      <c r="E8" s="133">
        <v>6.4478902397136547E-3</v>
      </c>
      <c r="F8" s="133">
        <v>3.6982523757479236E-3</v>
      </c>
      <c r="G8" s="133">
        <v>6.432210260326812E-3</v>
      </c>
      <c r="H8" s="133">
        <v>2.7977559420053585E-2</v>
      </c>
      <c r="I8" s="133">
        <v>3.3944682930509451E-2</v>
      </c>
      <c r="J8" s="133">
        <v>3.3858035610068789E-2</v>
      </c>
      <c r="K8" s="133">
        <v>2.3031906993068205E-2</v>
      </c>
      <c r="L8" s="133">
        <v>2.1652596632890108E-2</v>
      </c>
      <c r="M8" s="133">
        <v>2.7634188835932494E-2</v>
      </c>
      <c r="N8" s="133">
        <v>1.6857884279394605E-2</v>
      </c>
      <c r="O8" s="133">
        <v>2.8704576613366971E-2</v>
      </c>
      <c r="P8" s="133">
        <v>2.9943339237483723E-2</v>
      </c>
      <c r="Q8" s="133">
        <v>3.1376105314528772E-2</v>
      </c>
      <c r="R8" s="133">
        <v>1.4977194386733146E-2</v>
      </c>
      <c r="S8" s="133">
        <v>6.0690689226831447E-3</v>
      </c>
      <c r="T8" s="133">
        <v>4.387497518346997E-3</v>
      </c>
      <c r="U8" s="133">
        <v>1.6315574537940112E-2</v>
      </c>
      <c r="V8" s="133">
        <v>2.4656672276333707E-2</v>
      </c>
      <c r="W8" s="133">
        <v>3.1166159084578392E-2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1.7625936959853976</v>
      </c>
      <c r="D9" s="133">
        <v>1.3533385927126189</v>
      </c>
      <c r="E9" s="133">
        <v>0.49204649646137721</v>
      </c>
      <c r="F9" s="133">
        <v>0.45509737300863035</v>
      </c>
      <c r="G9" s="133">
        <v>0</v>
      </c>
      <c r="H9" s="133">
        <v>1.1018054858834367</v>
      </c>
      <c r="I9" s="133">
        <v>1.3625108948472398</v>
      </c>
      <c r="J9" s="133">
        <v>1.1671780785813035</v>
      </c>
      <c r="K9" s="133">
        <v>0.8036593104776697</v>
      </c>
      <c r="L9" s="133">
        <v>0.40071259653463015</v>
      </c>
      <c r="M9" s="133">
        <v>0.55102420144583952</v>
      </c>
      <c r="N9" s="133">
        <v>0.17206970471446745</v>
      </c>
      <c r="O9" s="133">
        <v>0.1790253977851958</v>
      </c>
      <c r="P9" s="133">
        <v>0</v>
      </c>
      <c r="Q9" s="133">
        <v>1.2509896600630692</v>
      </c>
      <c r="R9" s="133">
        <v>1.8629912758340339</v>
      </c>
      <c r="S9" s="133">
        <v>1.4861453866014307</v>
      </c>
      <c r="T9" s="133">
        <v>0.53975970754846014</v>
      </c>
      <c r="U9" s="133">
        <v>0</v>
      </c>
      <c r="V9" s="133">
        <v>0.15485825781089346</v>
      </c>
      <c r="W9" s="133">
        <v>0.29556909740367515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0.50136741801784235</v>
      </c>
      <c r="N10" s="133">
        <v>6.6429897658882714E-2</v>
      </c>
      <c r="O10" s="133">
        <v>0</v>
      </c>
      <c r="P10" s="133">
        <v>0</v>
      </c>
      <c r="Q10" s="133">
        <v>0</v>
      </c>
      <c r="R10" s="133">
        <v>2.5323788011027998E-2</v>
      </c>
      <c r="S10" s="133">
        <v>4.3144213629897475E-2</v>
      </c>
      <c r="T10" s="133">
        <v>0</v>
      </c>
      <c r="U10" s="133">
        <v>0</v>
      </c>
      <c r="V10" s="133">
        <v>0</v>
      </c>
      <c r="W10" s="133">
        <v>3.7337946158893837E-4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2.5013420115522953E-3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1.0195628068190531E-2</v>
      </c>
      <c r="K11" s="133">
        <v>1.3546225059764683E-2</v>
      </c>
      <c r="L11" s="133">
        <v>1.205666586921759E-2</v>
      </c>
      <c r="M11" s="133">
        <v>2.3429279150903187E-2</v>
      </c>
      <c r="N11" s="133">
        <v>9.2262593388272654E-3</v>
      </c>
      <c r="O11" s="133">
        <v>4.4905543977331163E-3</v>
      </c>
      <c r="P11" s="133">
        <v>0</v>
      </c>
      <c r="Q11" s="133">
        <v>1.9916903005487872E-3</v>
      </c>
      <c r="R11" s="133">
        <v>4.6765793846040606E-3</v>
      </c>
      <c r="S11" s="133">
        <v>1.0953256258796885E-2</v>
      </c>
      <c r="T11" s="133">
        <v>6.4033149029810495E-3</v>
      </c>
      <c r="U11" s="133">
        <v>2.287296381073888E-3</v>
      </c>
      <c r="V11" s="133">
        <v>0</v>
      </c>
      <c r="W11" s="133">
        <v>3.5156383333730427E-4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0.3949857828004274</v>
      </c>
      <c r="D12" s="133">
        <v>0.29231113532831926</v>
      </c>
      <c r="E12" s="133">
        <v>7.7420853152411248E-2</v>
      </c>
      <c r="F12" s="133">
        <v>3.6652387599273507E-2</v>
      </c>
      <c r="G12" s="133">
        <v>0</v>
      </c>
      <c r="H12" s="133">
        <v>0</v>
      </c>
      <c r="I12" s="133">
        <v>0</v>
      </c>
      <c r="J12" s="133">
        <v>6.5608655157301757E-2</v>
      </c>
      <c r="K12" s="133">
        <v>6.6550621104401922E-2</v>
      </c>
      <c r="L12" s="133">
        <v>0.17384520649300025</v>
      </c>
      <c r="M12" s="133">
        <v>0.14823994447993416</v>
      </c>
      <c r="N12" s="133">
        <v>0.17847627522473025</v>
      </c>
      <c r="O12" s="133">
        <v>0.13755766778281972</v>
      </c>
      <c r="P12" s="133">
        <v>0</v>
      </c>
      <c r="Q12" s="133">
        <v>1.6251284893272631E-2</v>
      </c>
      <c r="R12" s="133">
        <v>0.13286056398842891</v>
      </c>
      <c r="S12" s="133">
        <v>0.25306171816006506</v>
      </c>
      <c r="T12" s="133">
        <v>0.12685696621709799</v>
      </c>
      <c r="U12" s="133">
        <v>7.7988667347284324E-2</v>
      </c>
      <c r="V12" s="133">
        <v>8.5188091828534665E-2</v>
      </c>
      <c r="W12" s="133">
        <v>0.10106302718442881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1.0632684414963498</v>
      </c>
      <c r="D13" s="133">
        <v>1.8297873565626965</v>
      </c>
      <c r="E13" s="133">
        <v>3.0280560401128844</v>
      </c>
      <c r="F13" s="133">
        <v>3.4448808619504443</v>
      </c>
      <c r="G13" s="133">
        <v>6.7244398283751998</v>
      </c>
      <c r="H13" s="133">
        <v>10.036003802080906</v>
      </c>
      <c r="I13" s="133">
        <v>9.259122221445395</v>
      </c>
      <c r="J13" s="133">
        <v>7.2031948520664297</v>
      </c>
      <c r="K13" s="133">
        <v>3.7348416593541303</v>
      </c>
      <c r="L13" s="133">
        <v>3.8526792874419638</v>
      </c>
      <c r="M13" s="133">
        <v>3.4486714508093739</v>
      </c>
      <c r="N13" s="133">
        <v>2.7178755663038419</v>
      </c>
      <c r="O13" s="133">
        <v>3.8557125813007849</v>
      </c>
      <c r="P13" s="133">
        <v>5.9943072815881031</v>
      </c>
      <c r="Q13" s="133">
        <v>5.0453570769315856</v>
      </c>
      <c r="R13" s="133">
        <v>5.08854416691248</v>
      </c>
      <c r="S13" s="133">
        <v>5.0384355221993795</v>
      </c>
      <c r="T13" s="133">
        <v>5.2223254665906094</v>
      </c>
      <c r="U13" s="133">
        <v>6.0267281478756569</v>
      </c>
      <c r="V13" s="133">
        <v>6.8524443820258645</v>
      </c>
      <c r="W13" s="133">
        <v>5.6730066217803019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0.54390624268485221</v>
      </c>
      <c r="D14" s="65">
        <v>0.38506061215982579</v>
      </c>
      <c r="E14" s="65">
        <v>0.5046672578117829</v>
      </c>
      <c r="F14" s="65">
        <v>1.9192200797076937</v>
      </c>
      <c r="G14" s="65">
        <v>2.6696433875810084</v>
      </c>
      <c r="H14" s="65">
        <v>2.3598468414669953</v>
      </c>
      <c r="I14" s="65">
        <v>1.8238713131147544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5.153763530081084E-2</v>
      </c>
      <c r="P14" s="65">
        <v>2.250260134350123</v>
      </c>
      <c r="Q14" s="65">
        <v>1.2837160134008025</v>
      </c>
      <c r="R14" s="65">
        <v>0</v>
      </c>
      <c r="S14" s="65">
        <v>0.70376015006438508</v>
      </c>
      <c r="T14" s="65">
        <v>3.1840507571748429</v>
      </c>
      <c r="U14" s="65">
        <v>1.4500782555158889</v>
      </c>
      <c r="V14" s="65">
        <v>0</v>
      </c>
      <c r="W14" s="65">
        <v>0.14781672942989169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0.1359889012854473</v>
      </c>
      <c r="D15" s="135">
        <v>4.1982284123829171E-2</v>
      </c>
      <c r="E15" s="135">
        <v>1.9350514937991427E-2</v>
      </c>
      <c r="F15" s="135">
        <v>4.3785884683265892E-2</v>
      </c>
      <c r="G15" s="135">
        <v>2.1745851503909206E-2</v>
      </c>
      <c r="H15" s="135">
        <v>1.9843497472328955E-2</v>
      </c>
      <c r="I15" s="135">
        <v>2.4169857136706347E-2</v>
      </c>
      <c r="J15" s="135">
        <v>2.0766390505880354E-2</v>
      </c>
      <c r="K15" s="135">
        <v>1.4232286865365498E-2</v>
      </c>
      <c r="L15" s="135">
        <v>7.67329486140158E-3</v>
      </c>
      <c r="M15" s="135">
        <v>1.4278540686497788E-2</v>
      </c>
      <c r="N15" s="135">
        <v>4.2569681960815103E-3</v>
      </c>
      <c r="O15" s="135">
        <v>1.6911640053678293E-2</v>
      </c>
      <c r="P15" s="135">
        <v>1.2222661637670623E-4</v>
      </c>
      <c r="Q15" s="135">
        <v>2.0480024524539862E-2</v>
      </c>
      <c r="R15" s="135">
        <v>3.3761861288745108E-2</v>
      </c>
      <c r="S15" s="135">
        <v>3.9513903596838998E-2</v>
      </c>
      <c r="T15" s="135">
        <v>1.3388982367655943E-2</v>
      </c>
      <c r="U15" s="135">
        <v>1.4684764394296066E-2</v>
      </c>
      <c r="V15" s="135">
        <v>2.8861486735641769E-3</v>
      </c>
      <c r="W15" s="135">
        <v>8.5754381095805056E-3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12.361230021623058</v>
      </c>
      <c r="D16" s="131">
        <f t="shared" si="4"/>
        <v>5.5514738882121151</v>
      </c>
      <c r="E16" s="131">
        <f t="shared" si="4"/>
        <v>5.7911888813021566</v>
      </c>
      <c r="F16" s="131">
        <f t="shared" si="4"/>
        <v>7.4837264543805064</v>
      </c>
      <c r="G16" s="131">
        <f t="shared" si="4"/>
        <v>9.235974758983577</v>
      </c>
      <c r="H16" s="131">
        <f t="shared" si="4"/>
        <v>13.501484678324923</v>
      </c>
      <c r="I16" s="131">
        <f t="shared" si="4"/>
        <v>7.7007770314993493</v>
      </c>
      <c r="J16" s="131">
        <f t="shared" si="4"/>
        <v>4.8206014568782383</v>
      </c>
      <c r="K16" s="131">
        <f t="shared" si="4"/>
        <v>3.3138902812684154</v>
      </c>
      <c r="L16" s="131">
        <f t="shared" si="4"/>
        <v>4.2358438604353026</v>
      </c>
      <c r="M16" s="131">
        <f t="shared" si="4"/>
        <v>2.796812654042391</v>
      </c>
      <c r="N16" s="131">
        <f t="shared" si="4"/>
        <v>1.8772526237181588</v>
      </c>
      <c r="O16" s="131">
        <f t="shared" si="4"/>
        <v>3.9572746403894983</v>
      </c>
      <c r="P16" s="131">
        <f t="shared" si="4"/>
        <v>3.5123355593749537</v>
      </c>
      <c r="Q16" s="131">
        <f t="shared" si="4"/>
        <v>3.8938687774575467</v>
      </c>
      <c r="R16" s="131">
        <f t="shared" ref="R16:W16" si="5">SUM(R17:R18)</f>
        <v>6.0802800231356251</v>
      </c>
      <c r="S16" s="131">
        <f t="shared" si="5"/>
        <v>7.0875999124732063</v>
      </c>
      <c r="T16" s="131">
        <f t="shared" si="5"/>
        <v>5.7671900670480749</v>
      </c>
      <c r="U16" s="131">
        <f t="shared" si="5"/>
        <v>4.2506791616964401</v>
      </c>
      <c r="V16" s="131">
        <f t="shared" si="5"/>
        <v>5.7494551668893319</v>
      </c>
      <c r="W16" s="131">
        <f t="shared" si="5"/>
        <v>3.2885277206566177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2.8711536972475686E-2</v>
      </c>
      <c r="D17" s="133">
        <v>6.2895322437655386E-3</v>
      </c>
      <c r="E17" s="133">
        <v>6.4948177208445463E-3</v>
      </c>
      <c r="F17" s="133">
        <v>3.8591602781170721E-2</v>
      </c>
      <c r="G17" s="133">
        <v>2.4289244844458876E-2</v>
      </c>
      <c r="H17" s="133">
        <v>4.0772152945120869E-2</v>
      </c>
      <c r="I17" s="133">
        <v>4.4408007024878286E-2</v>
      </c>
      <c r="J17" s="133">
        <v>2.452329700920822E-2</v>
      </c>
      <c r="K17" s="133">
        <v>3.1510294568566473E-2</v>
      </c>
      <c r="L17" s="133">
        <v>1.6045163978764872E-2</v>
      </c>
      <c r="M17" s="133">
        <v>2.1704042632557922E-2</v>
      </c>
      <c r="N17" s="133">
        <v>1.0225386374070632E-2</v>
      </c>
      <c r="O17" s="133">
        <v>3.8476940456731411E-2</v>
      </c>
      <c r="P17" s="133">
        <v>3.5416169952235482E-2</v>
      </c>
      <c r="Q17" s="133">
        <v>5.1879710581837463E-2</v>
      </c>
      <c r="R17" s="133">
        <v>0.10604262594373377</v>
      </c>
      <c r="S17" s="133">
        <v>0.10365765423050319</v>
      </c>
      <c r="T17" s="133">
        <v>9.3409330923372849E-2</v>
      </c>
      <c r="U17" s="133">
        <v>8.4713776552419406E-2</v>
      </c>
      <c r="V17" s="133">
        <v>8.9967483993895453E-2</v>
      </c>
      <c r="W17" s="133">
        <v>4.0216878817657987E-2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12.332518484650583</v>
      </c>
      <c r="D18" s="133">
        <v>5.5451843559683498</v>
      </c>
      <c r="E18" s="133">
        <v>5.7846940635813118</v>
      </c>
      <c r="F18" s="133">
        <v>7.4451348515993354</v>
      </c>
      <c r="G18" s="133">
        <v>9.2116855141391181</v>
      </c>
      <c r="H18" s="133">
        <v>13.460712525379803</v>
      </c>
      <c r="I18" s="133">
        <v>7.6563690244744711</v>
      </c>
      <c r="J18" s="133">
        <v>4.7960781598690296</v>
      </c>
      <c r="K18" s="133">
        <v>3.2823799866998491</v>
      </c>
      <c r="L18" s="133">
        <v>4.2197986964565377</v>
      </c>
      <c r="M18" s="133">
        <v>2.7751086114098329</v>
      </c>
      <c r="N18" s="133">
        <v>1.8670272373440882</v>
      </c>
      <c r="O18" s="133">
        <v>3.9187976999327669</v>
      </c>
      <c r="P18" s="133">
        <v>3.4769193894227182</v>
      </c>
      <c r="Q18" s="133">
        <v>3.8419890668757093</v>
      </c>
      <c r="R18" s="133">
        <v>5.9742373971918914</v>
      </c>
      <c r="S18" s="133">
        <v>6.9839422582427035</v>
      </c>
      <c r="T18" s="133">
        <v>5.6737807361247024</v>
      </c>
      <c r="U18" s="133">
        <v>4.1659653851440206</v>
      </c>
      <c r="V18" s="133">
        <v>5.6594876828954366</v>
      </c>
      <c r="W18" s="133">
        <v>3.2483108418389599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4.4482656985191973</v>
      </c>
      <c r="D19" s="131">
        <f t="shared" si="6"/>
        <v>2.3059716881944885</v>
      </c>
      <c r="E19" s="131">
        <f t="shared" si="6"/>
        <v>1.6747699256969246</v>
      </c>
      <c r="F19" s="131">
        <f t="shared" si="6"/>
        <v>2.632992389156469</v>
      </c>
      <c r="G19" s="131">
        <f t="shared" si="6"/>
        <v>2.9746972750651213</v>
      </c>
      <c r="H19" s="131">
        <f t="shared" si="6"/>
        <v>3.5590354271957971</v>
      </c>
      <c r="I19" s="131">
        <f t="shared" si="6"/>
        <v>3.180035433227248</v>
      </c>
      <c r="J19" s="131">
        <f t="shared" si="6"/>
        <v>2.0667128559155241</v>
      </c>
      <c r="K19" s="131">
        <f t="shared" si="6"/>
        <v>1.1889820954139243</v>
      </c>
      <c r="L19" s="131">
        <f t="shared" si="6"/>
        <v>1.1241642591896133</v>
      </c>
      <c r="M19" s="131">
        <f t="shared" si="6"/>
        <v>1.1760479798327894</v>
      </c>
      <c r="N19" s="131">
        <f t="shared" si="6"/>
        <v>0.76440068859094179</v>
      </c>
      <c r="O19" s="131">
        <f t="shared" si="6"/>
        <v>1.2766828944520707</v>
      </c>
      <c r="P19" s="131">
        <f t="shared" si="6"/>
        <v>1.6898988696871831</v>
      </c>
      <c r="Q19" s="131">
        <f t="shared" si="6"/>
        <v>1.6167965743415429</v>
      </c>
      <c r="R19" s="131">
        <f t="shared" ref="R19:W19" si="7">SUM(R20:R27)</f>
        <v>1.699432873735053</v>
      </c>
      <c r="S19" s="131">
        <f t="shared" si="7"/>
        <v>2.1062234152559083</v>
      </c>
      <c r="T19" s="131">
        <f t="shared" si="7"/>
        <v>2.0458665198901933</v>
      </c>
      <c r="U19" s="131">
        <f t="shared" si="7"/>
        <v>1.9472037901610415</v>
      </c>
      <c r="V19" s="131">
        <f t="shared" si="7"/>
        <v>1.6188709676049009</v>
      </c>
      <c r="W19" s="131">
        <f t="shared" si="7"/>
        <v>1.4532901422054019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5.4980589613188274E-2</v>
      </c>
      <c r="D21" s="133">
        <v>4.276025683727662E-2</v>
      </c>
      <c r="E21" s="133">
        <v>4.9833671828061692E-2</v>
      </c>
      <c r="F21" s="133">
        <v>9.628857552624577E-2</v>
      </c>
      <c r="G21" s="133">
        <v>0.11219018265664157</v>
      </c>
      <c r="H21" s="133">
        <v>0.14496022679507606</v>
      </c>
      <c r="I21" s="133">
        <v>0.13444319141893649</v>
      </c>
      <c r="J21" s="133">
        <v>7.1775056036821619E-2</v>
      </c>
      <c r="K21" s="133">
        <v>4.9965943658619824E-2</v>
      </c>
      <c r="L21" s="133">
        <v>3.6713294295003245E-2</v>
      </c>
      <c r="M21" s="133">
        <v>4.4790770981858394E-2</v>
      </c>
      <c r="N21" s="133">
        <v>3.209230397797895E-2</v>
      </c>
      <c r="O21" s="133">
        <v>5.2503013757670296E-2</v>
      </c>
      <c r="P21" s="133">
        <v>4.6159636103750096E-2</v>
      </c>
      <c r="Q21" s="133">
        <v>5.1382097388138259E-2</v>
      </c>
      <c r="R21" s="133">
        <v>5.7250524878442982E-2</v>
      </c>
      <c r="S21" s="133">
        <v>7.1244786518629935E-2</v>
      </c>
      <c r="T21" s="133">
        <v>9.1844574554706016E-2</v>
      </c>
      <c r="U21" s="133">
        <v>8.8163777210207198E-2</v>
      </c>
      <c r="V21" s="133">
        <v>5.1320935006842455E-2</v>
      </c>
      <c r="W21" s="133">
        <v>6.6535446076552998E-2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0.32208042529582787</v>
      </c>
      <c r="D22" s="133">
        <v>0.10059958635418262</v>
      </c>
      <c r="E22" s="133">
        <v>0.15736266694543927</v>
      </c>
      <c r="F22" s="133">
        <v>0.30135530287108475</v>
      </c>
      <c r="G22" s="133">
        <v>0.40273092435623281</v>
      </c>
      <c r="H22" s="133">
        <v>0.54207355118230283</v>
      </c>
      <c r="I22" s="133">
        <v>0.45394426680740696</v>
      </c>
      <c r="J22" s="133">
        <v>0.23547201176251253</v>
      </c>
      <c r="K22" s="133">
        <v>0.17244056109360725</v>
      </c>
      <c r="L22" s="133">
        <v>0.17134536789236457</v>
      </c>
      <c r="M22" s="133">
        <v>0.22975174908627388</v>
      </c>
      <c r="N22" s="133">
        <v>0.16679853603103226</v>
      </c>
      <c r="O22" s="133">
        <v>0.27257317197993952</v>
      </c>
      <c r="P22" s="133">
        <v>0.16586587241441536</v>
      </c>
      <c r="Q22" s="133">
        <v>0.17216577106866973</v>
      </c>
      <c r="R22" s="133">
        <v>0.20220143002568214</v>
      </c>
      <c r="S22" s="133">
        <v>0.30801521945324989</v>
      </c>
      <c r="T22" s="133">
        <v>0.39699952755173584</v>
      </c>
      <c r="U22" s="133">
        <v>0.40248564561847811</v>
      </c>
      <c r="V22" s="133">
        <v>0.30813065158566366</v>
      </c>
      <c r="W22" s="133">
        <v>0.34656371060602725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0.33096430943628319</v>
      </c>
      <c r="D23" s="133">
        <v>0.20809002516610847</v>
      </c>
      <c r="E23" s="133">
        <v>0.16877065677966535</v>
      </c>
      <c r="F23" s="133">
        <v>0.26552228840588105</v>
      </c>
      <c r="G23" s="133">
        <v>0.34773038752504343</v>
      </c>
      <c r="H23" s="133">
        <v>0.4790123549687138</v>
      </c>
      <c r="I23" s="133">
        <v>0.47242197058407004</v>
      </c>
      <c r="J23" s="133">
        <v>0.27048151271040377</v>
      </c>
      <c r="K23" s="133">
        <v>0.17853622135122069</v>
      </c>
      <c r="L23" s="133">
        <v>0.15936510603054374</v>
      </c>
      <c r="M23" s="133">
        <v>0.18170709398419713</v>
      </c>
      <c r="N23" s="133">
        <v>0.12222402347678099</v>
      </c>
      <c r="O23" s="133">
        <v>0.19774710354695166</v>
      </c>
      <c r="P23" s="133">
        <v>0.33218277803239687</v>
      </c>
      <c r="Q23" s="133">
        <v>0.3477978272713696</v>
      </c>
      <c r="R23" s="133">
        <v>0.4047912460962268</v>
      </c>
      <c r="S23" s="133">
        <v>0.48369007161095934</v>
      </c>
      <c r="T23" s="133">
        <v>0.45312035892097591</v>
      </c>
      <c r="U23" s="133">
        <v>0.35687127969325899</v>
      </c>
      <c r="V23" s="133">
        <v>0.16383663956404437</v>
      </c>
      <c r="W23" s="133">
        <v>0.25366685258272542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0.13730597460406954</v>
      </c>
      <c r="D25" s="133">
        <v>8.4762851555729476E-2</v>
      </c>
      <c r="E25" s="133">
        <v>4.4524692805402721E-2</v>
      </c>
      <c r="F25" s="133">
        <v>1.817754375271605E-2</v>
      </c>
      <c r="G25" s="133">
        <v>0</v>
      </c>
      <c r="H25" s="133">
        <v>0</v>
      </c>
      <c r="I25" s="133">
        <v>8.2232625022507066E-4</v>
      </c>
      <c r="J25" s="133">
        <v>0</v>
      </c>
      <c r="K25" s="133">
        <v>0</v>
      </c>
      <c r="L25" s="133">
        <v>1.4648609088072282E-3</v>
      </c>
      <c r="M25" s="133">
        <v>2.0862515396756386E-2</v>
      </c>
      <c r="N25" s="133">
        <v>2.4365118071921738E-2</v>
      </c>
      <c r="O25" s="133">
        <v>4.8012420951382369E-2</v>
      </c>
      <c r="P25" s="133">
        <v>6.4202307344548487E-2</v>
      </c>
      <c r="Q25" s="133">
        <v>4.3228879703430041E-2</v>
      </c>
      <c r="R25" s="133">
        <v>2.4081944273346128E-2</v>
      </c>
      <c r="S25" s="133">
        <v>2.4545581669103488E-2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2.7523492427231337</v>
      </c>
      <c r="D26" s="65">
        <v>1.1658467101588961</v>
      </c>
      <c r="E26" s="65">
        <v>0.85748927726422819</v>
      </c>
      <c r="F26" s="65">
        <v>1.2347659934472115</v>
      </c>
      <c r="G26" s="65">
        <v>0.59456993702056105</v>
      </c>
      <c r="H26" s="65">
        <v>1.5856878284839178</v>
      </c>
      <c r="I26" s="65">
        <v>0.84912214876316328</v>
      </c>
      <c r="J26" s="65">
        <v>0.21892463120779163</v>
      </c>
      <c r="K26" s="65">
        <v>0.12838602264613194</v>
      </c>
      <c r="L26" s="65">
        <v>5.619308489855715E-2</v>
      </c>
      <c r="M26" s="65">
        <v>8.9699792218691631E-3</v>
      </c>
      <c r="N26" s="65">
        <v>3.4712923696744039E-3</v>
      </c>
      <c r="O26" s="65">
        <v>5.9171690654223827E-3</v>
      </c>
      <c r="P26" s="65">
        <v>9.2989653274445274E-3</v>
      </c>
      <c r="Q26" s="65">
        <v>8.8907422441917312E-3</v>
      </c>
      <c r="R26" s="65">
        <v>8.6894469926266839E-3</v>
      </c>
      <c r="S26" s="65">
        <v>1.0351175881892787E-2</v>
      </c>
      <c r="T26" s="65">
        <v>9.0376721157986381E-3</v>
      </c>
      <c r="U26" s="65">
        <v>8.804903995123993E-3</v>
      </c>
      <c r="V26" s="65">
        <v>6.188790870635532E-3</v>
      </c>
      <c r="W26" s="65">
        <v>0.78477219361021744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0.850585156846694</v>
      </c>
      <c r="D27" s="148">
        <v>0.70391225812229519</v>
      </c>
      <c r="E27" s="148">
        <v>0.39678896007412745</v>
      </c>
      <c r="F27" s="148">
        <v>0.71688268515332998</v>
      </c>
      <c r="G27" s="148">
        <v>1.5174758435066424</v>
      </c>
      <c r="H27" s="148">
        <v>0.80730146576578654</v>
      </c>
      <c r="I27" s="148">
        <v>1.2692815294034459</v>
      </c>
      <c r="J27" s="148">
        <v>1.2700596441979946</v>
      </c>
      <c r="K27" s="148">
        <v>0.65965334666434461</v>
      </c>
      <c r="L27" s="148">
        <v>0.69908254516433743</v>
      </c>
      <c r="M27" s="148">
        <v>0.6899658711618345</v>
      </c>
      <c r="N27" s="148">
        <v>0.41544941466355334</v>
      </c>
      <c r="O27" s="148">
        <v>0.69993001515070441</v>
      </c>
      <c r="P27" s="148">
        <v>1.0721893104646276</v>
      </c>
      <c r="Q27" s="148">
        <v>0.99333125666574351</v>
      </c>
      <c r="R27" s="148">
        <v>1.0024182814687284</v>
      </c>
      <c r="S27" s="148">
        <v>1.2083765801220729</v>
      </c>
      <c r="T27" s="148">
        <v>1.0948643867469769</v>
      </c>
      <c r="U27" s="148">
        <v>1.0908781836439734</v>
      </c>
      <c r="V27" s="148">
        <v>1.089393950577715</v>
      </c>
      <c r="W27" s="148">
        <v>1.7519393298788286E-3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4.3016400191257835</v>
      </c>
      <c r="D29" s="131">
        <f t="shared" si="8"/>
        <v>2.3388333958694538</v>
      </c>
      <c r="E29" s="131">
        <f t="shared" si="8"/>
        <v>1.7152175414814641</v>
      </c>
      <c r="F29" s="131">
        <f t="shared" si="8"/>
        <v>2.671666459843316</v>
      </c>
      <c r="G29" s="131">
        <f t="shared" si="8"/>
        <v>3.3847634916503733</v>
      </c>
      <c r="H29" s="131">
        <f t="shared" si="8"/>
        <v>3.855413098881125</v>
      </c>
      <c r="I29" s="131">
        <f t="shared" si="8"/>
        <v>3.3885497179601001</v>
      </c>
      <c r="J29" s="131">
        <f t="shared" si="8"/>
        <v>2.1418931846768912</v>
      </c>
      <c r="K29" s="131">
        <f t="shared" si="8"/>
        <v>1.1516295252646063</v>
      </c>
      <c r="L29" s="131">
        <f t="shared" si="8"/>
        <v>1.3072960551549484</v>
      </c>
      <c r="M29" s="131">
        <f t="shared" si="8"/>
        <v>1.2478783287145809</v>
      </c>
      <c r="N29" s="131">
        <f t="shared" si="8"/>
        <v>1.2018427652229973</v>
      </c>
      <c r="O29" s="131">
        <f t="shared" si="8"/>
        <v>1.1704698781339331</v>
      </c>
      <c r="P29" s="131">
        <f t="shared" si="8"/>
        <v>1.825475702060583</v>
      </c>
      <c r="Q29" s="131">
        <f t="shared" si="8"/>
        <v>1.6980566850927459</v>
      </c>
      <c r="R29" s="131">
        <f t="shared" ref="R29:W29" si="9">SUM(R30:R33)</f>
        <v>1.7555978748845118</v>
      </c>
      <c r="S29" s="131">
        <f t="shared" si="9"/>
        <v>2.2266333974128152</v>
      </c>
      <c r="T29" s="131">
        <f t="shared" si="9"/>
        <v>2.1570762041927902</v>
      </c>
      <c r="U29" s="131">
        <f t="shared" si="9"/>
        <v>1.9477302932648497</v>
      </c>
      <c r="V29" s="131">
        <f t="shared" si="9"/>
        <v>1.8661208074808238</v>
      </c>
      <c r="W29" s="131">
        <f t="shared" si="9"/>
        <v>1.7533942874489887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0.41792477509068082</v>
      </c>
      <c r="D30" s="133">
        <v>1.1247716029342598</v>
      </c>
      <c r="E30" s="133">
        <v>0.87987607430063608</v>
      </c>
      <c r="F30" s="133">
        <v>1.5456283463631717</v>
      </c>
      <c r="G30" s="133">
        <v>2.3521023437697988</v>
      </c>
      <c r="H30" s="133">
        <v>1.1936925344744538</v>
      </c>
      <c r="I30" s="133">
        <v>1.0502886529353717</v>
      </c>
      <c r="J30" s="133">
        <v>0.24837152107986585</v>
      </c>
      <c r="K30" s="133">
        <v>0</v>
      </c>
      <c r="L30" s="133">
        <v>0</v>
      </c>
      <c r="M30" s="133">
        <v>0</v>
      </c>
      <c r="N30" s="133">
        <v>2.8286225325068983E-4</v>
      </c>
      <c r="O30" s="133">
        <v>0.31637036510653677</v>
      </c>
      <c r="P30" s="133">
        <v>1.2850750874472712</v>
      </c>
      <c r="Q30" s="133">
        <v>0.91974945832288624</v>
      </c>
      <c r="R30" s="133">
        <v>0.63065560807565846</v>
      </c>
      <c r="S30" s="133">
        <v>0.63449304064912182</v>
      </c>
      <c r="T30" s="133">
        <v>0.68132381857082813</v>
      </c>
      <c r="U30" s="133">
        <v>5.1364686847219225E-2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0.2781310841771184</v>
      </c>
      <c r="D31" s="133">
        <v>0.19861656362745317</v>
      </c>
      <c r="E31" s="133">
        <v>0.17170373036521228</v>
      </c>
      <c r="F31" s="133">
        <v>0.32718122467397914</v>
      </c>
      <c r="G31" s="133">
        <v>0.36675574233968539</v>
      </c>
      <c r="H31" s="133">
        <v>0.38079205011938583</v>
      </c>
      <c r="I31" s="133">
        <v>0.33111806299071939</v>
      </c>
      <c r="J31" s="133">
        <v>0.25512351711167014</v>
      </c>
      <c r="K31" s="133">
        <v>0.17816397725252867</v>
      </c>
      <c r="L31" s="133">
        <v>0.17413992276856366</v>
      </c>
      <c r="M31" s="133">
        <v>0.31294298178632496</v>
      </c>
      <c r="N31" s="133">
        <v>0.15681166306059119</v>
      </c>
      <c r="O31" s="133">
        <v>0.64582388910080524</v>
      </c>
      <c r="P31" s="133">
        <v>0.43343864343023564</v>
      </c>
      <c r="Q31" s="133">
        <v>0.38808382131096031</v>
      </c>
      <c r="R31" s="133">
        <v>0.30857309044229864</v>
      </c>
      <c r="S31" s="133">
        <v>0.38445296379438482</v>
      </c>
      <c r="T31" s="133">
        <v>0.38133947309411537</v>
      </c>
      <c r="U31" s="133">
        <v>0.39601289485643576</v>
      </c>
      <c r="V31" s="133">
        <v>0.26523611596303032</v>
      </c>
      <c r="W31" s="133">
        <v>0.2940435634993212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1.0447482399091554</v>
      </c>
      <c r="O32" s="133">
        <v>0.11150436159257633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3.4010662101488329E-2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3.6055841598579841</v>
      </c>
      <c r="D33" s="68">
        <v>1.0154452293077409</v>
      </c>
      <c r="E33" s="68">
        <v>0.66363773681561578</v>
      </c>
      <c r="F33" s="68">
        <v>0.79885688880616501</v>
      </c>
      <c r="G33" s="68">
        <v>0.66590540554088917</v>
      </c>
      <c r="H33" s="68">
        <v>2.2809285142872855</v>
      </c>
      <c r="I33" s="68">
        <v>2.0071430020340091</v>
      </c>
      <c r="J33" s="68">
        <v>1.6383981464853552</v>
      </c>
      <c r="K33" s="68">
        <v>0.97346554801207763</v>
      </c>
      <c r="L33" s="68">
        <v>1.1331561323863848</v>
      </c>
      <c r="M33" s="68">
        <v>0.93493534692825597</v>
      </c>
      <c r="N33" s="68">
        <v>0</v>
      </c>
      <c r="O33" s="68">
        <v>9.6771262334014702E-2</v>
      </c>
      <c r="P33" s="68">
        <v>0.10696197118307631</v>
      </c>
      <c r="Q33" s="68">
        <v>0.39022340545889922</v>
      </c>
      <c r="R33" s="68">
        <v>0.81636917636655482</v>
      </c>
      <c r="S33" s="68">
        <v>1.2076873929693084</v>
      </c>
      <c r="T33" s="68">
        <v>1.0944129125278468</v>
      </c>
      <c r="U33" s="68">
        <v>1.5003527115611948</v>
      </c>
      <c r="V33" s="68">
        <v>1.6008846915177934</v>
      </c>
      <c r="W33" s="68">
        <v>1.4253400618481791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0.88202846133247614</v>
      </c>
      <c r="D3" s="127">
        <f>IF(SER_hh_tes_in!D3=0,"",SER_hh_tes_in!D3/SER_hh_fec_in!D3)</f>
        <v>0.95434895656981344</v>
      </c>
      <c r="E3" s="127">
        <f>IF(SER_hh_tes_in!E3=0,"",SER_hh_tes_in!E3/SER_hh_fec_in!E3)</f>
        <v>1.1296631158439729</v>
      </c>
      <c r="F3" s="127">
        <f>IF(SER_hh_tes_in!F3=0,"",SER_hh_tes_in!F3/SER_hh_fec_in!F3)</f>
        <v>0.99587088351452457</v>
      </c>
      <c r="G3" s="127">
        <f>IF(SER_hh_tes_in!G3=0,"",SER_hh_tes_in!G3/SER_hh_fec_in!G3)</f>
        <v>1.1338776912579225</v>
      </c>
      <c r="H3" s="127">
        <f>IF(SER_hh_tes_in!H3=0,"",SER_hh_tes_in!H3/SER_hh_fec_in!H3)</f>
        <v>1.2991275431708105</v>
      </c>
      <c r="I3" s="127">
        <f>IF(SER_hh_tes_in!I3=0,"",SER_hh_tes_in!I3/SER_hh_fec_in!I3)</f>
        <v>1.2376423938662748</v>
      </c>
      <c r="J3" s="127">
        <f>IF(SER_hh_tes_in!J3=0,"",SER_hh_tes_in!J3/SER_hh_fec_in!J3)</f>
        <v>1.39018062020501</v>
      </c>
      <c r="K3" s="127">
        <f>IF(SER_hh_tes_in!K3=0,"",SER_hh_tes_in!K3/SER_hh_fec_in!K3)</f>
        <v>1.4140944630090053</v>
      </c>
      <c r="L3" s="127">
        <f>IF(SER_hh_tes_in!L3=0,"",SER_hh_tes_in!L3/SER_hh_fec_in!L3)</f>
        <v>1.5724754376615266</v>
      </c>
      <c r="M3" s="127">
        <f>IF(SER_hh_tes_in!M3=0,"",SER_hh_tes_in!M3/SER_hh_fec_in!M3)</f>
        <v>1.3122181999771638</v>
      </c>
      <c r="N3" s="127">
        <f>IF(SER_hh_tes_in!N3=0,"",SER_hh_tes_in!N3/SER_hh_fec_in!N3)</f>
        <v>1.3450240685670307</v>
      </c>
      <c r="O3" s="127">
        <f>IF(SER_hh_tes_in!O3=0,"",SER_hh_tes_in!O3/SER_hh_fec_in!O3)</f>
        <v>1.4433499932256348</v>
      </c>
      <c r="P3" s="127">
        <f>IF(SER_hh_tes_in!P3=0,"",SER_hh_tes_in!P3/SER_hh_fec_in!P3)</f>
        <v>1.3827746873475095</v>
      </c>
      <c r="Q3" s="127">
        <f>IF(SER_hh_tes_in!Q3=0,"",SER_hh_tes_in!Q3/SER_hh_fec_in!Q3)</f>
        <v>1.3735540083455797</v>
      </c>
      <c r="R3" s="127">
        <f>IF(SER_hh_tes_in!R3=0,"",SER_hh_tes_in!R3/SER_hh_fec_in!R3)</f>
        <v>1.5398950126060496</v>
      </c>
      <c r="S3" s="127">
        <f>IF(SER_hh_tes_in!S3=0,"",SER_hh_tes_in!S3/SER_hh_fec_in!S3)</f>
        <v>1.443309786559692</v>
      </c>
      <c r="T3" s="127">
        <f>IF(SER_hh_tes_in!T3=0,"",SER_hh_tes_in!T3/SER_hh_fec_in!T3)</f>
        <v>1.3974325186942731</v>
      </c>
      <c r="U3" s="127">
        <f>IF(SER_hh_tes_in!U3=0,"",SER_hh_tes_in!U3/SER_hh_fec_in!U3)</f>
        <v>1.5468115975430465</v>
      </c>
      <c r="V3" s="127">
        <f>IF(SER_hh_tes_in!V3=0,"",SER_hh_tes_in!V3/SER_hh_fec_in!V3)</f>
        <v>2.0936526890255913</v>
      </c>
      <c r="W3" s="127">
        <f>IF(SER_hh_tes_in!W3=0,"",SER_hh_tes_in!W3/SER_hh_fec_in!W3)</f>
        <v>1.7588947729792248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0.58053115085088802</v>
      </c>
      <c r="D4" s="136">
        <f>IF(SER_hh_tes_in!D4=0,"",SER_hh_tes_in!D4/SER_hh_fec_in!D4)</f>
        <v>0.78349429033306406</v>
      </c>
      <c r="E4" s="136">
        <f>IF(SER_hh_tes_in!E4=0,"",SER_hh_tes_in!E4/SER_hh_fec_in!E4)</f>
        <v>1.0504625700859811</v>
      </c>
      <c r="F4" s="136">
        <f>IF(SER_hh_tes_in!F4=0,"",SER_hh_tes_in!F4/SER_hh_fec_in!F4)</f>
        <v>0.8563370171115775</v>
      </c>
      <c r="G4" s="136">
        <f>IF(SER_hh_tes_in!G4=0,"",SER_hh_tes_in!G4/SER_hh_fec_in!G4)</f>
        <v>1.1257457198349745</v>
      </c>
      <c r="H4" s="136">
        <f>IF(SER_hh_tes_in!H4=0,"",SER_hh_tes_in!H4/SER_hh_fec_in!H4)</f>
        <v>1.3741490846646152</v>
      </c>
      <c r="I4" s="136">
        <f>IF(SER_hh_tes_in!I4=0,"",SER_hh_tes_in!I4/SER_hh_fec_in!I4)</f>
        <v>1.4070580200908713</v>
      </c>
      <c r="J4" s="136">
        <f>IF(SER_hh_tes_in!J4=0,"",SER_hh_tes_in!J4/SER_hh_fec_in!J4)</f>
        <v>1.7002325552454614</v>
      </c>
      <c r="K4" s="136">
        <f>IF(SER_hh_tes_in!K4=0,"",SER_hh_tes_in!K4/SER_hh_fec_in!K4)</f>
        <v>1.6228170985475239</v>
      </c>
      <c r="L4" s="136">
        <f>IF(SER_hh_tes_in!L4=0,"",SER_hh_tes_in!L4/SER_hh_fec_in!L4)</f>
        <v>1.9343581224447677</v>
      </c>
      <c r="M4" s="136">
        <f>IF(SER_hh_tes_in!M4=0,"",SER_hh_tes_in!M4/SER_hh_fec_in!M4)</f>
        <v>1.4490841816811579</v>
      </c>
      <c r="N4" s="136">
        <f>IF(SER_hh_tes_in!N4=0,"",SER_hh_tes_in!N4/SER_hh_fec_in!N4)</f>
        <v>2.0722676210025086</v>
      </c>
      <c r="O4" s="136">
        <f>IF(SER_hh_tes_in!O4=0,"",SER_hh_tes_in!O4/SER_hh_fec_in!O4)</f>
        <v>1.6687548597835571</v>
      </c>
      <c r="P4" s="136">
        <f>IF(SER_hh_tes_in!P4=0,"",SER_hh_tes_in!P4/SER_hh_fec_in!P4)</f>
        <v>1.7462810159829403</v>
      </c>
      <c r="Q4" s="136">
        <f>IF(SER_hh_tes_in!Q4=0,"",SER_hh_tes_in!Q4/SER_hh_fec_in!Q4)</f>
        <v>1.5604563874929109</v>
      </c>
      <c r="R4" s="136">
        <f>IF(SER_hh_tes_in!R4=0,"",SER_hh_tes_in!R4/SER_hh_fec_in!R4)</f>
        <v>1.6276116972095827</v>
      </c>
      <c r="S4" s="136">
        <f>IF(SER_hh_tes_in!S4=0,"",SER_hh_tes_in!S4/SER_hh_fec_in!S4)</f>
        <v>1.4035720194538186</v>
      </c>
      <c r="T4" s="136">
        <f>IF(SER_hh_tes_in!T4=0,"",SER_hh_tes_in!T4/SER_hh_fec_in!T4)</f>
        <v>1.4075350142470224</v>
      </c>
      <c r="U4" s="136">
        <f>IF(SER_hh_tes_in!U4=0,"",SER_hh_tes_in!U4/SER_hh_fec_in!U4)</f>
        <v>1.7734846073641601</v>
      </c>
      <c r="V4" s="136">
        <f>IF(SER_hh_tes_in!V4=0,"",SER_hh_tes_in!V4/SER_hh_fec_in!V4)</f>
        <v>3.3162133060527252</v>
      </c>
      <c r="W4" s="136">
        <f>IF(SER_hh_tes_in!W4=0,"",SER_hh_tes_in!W4/SER_hh_fec_in!W4)</f>
        <v>2.5725794161364655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0.49599640516904625</v>
      </c>
      <c r="D7" s="137">
        <f>IF(SER_hh_tes_in!D7=0,"",SER_hh_tes_in!D7/SER_hh_fec_in!D7)</f>
        <v>0.50193843127540039</v>
      </c>
      <c r="E7" s="137">
        <f>IF(SER_hh_tes_in!E7=0,"",SER_hh_tes_in!E7/SER_hh_fec_in!E7)</f>
        <v>0.50809138667902642</v>
      </c>
      <c r="F7" s="137">
        <f>IF(SER_hh_tes_in!F7=0,"",SER_hh_tes_in!F7/SER_hh_fec_in!F7)</f>
        <v>0.51421501745737574</v>
      </c>
      <c r="G7" s="137">
        <f>IF(SER_hh_tes_in!G7=0,"",SER_hh_tes_in!G7/SER_hh_fec_in!G7)</f>
        <v>0.52051844714077</v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 t="str">
        <f>IF(SER_hh_tes_in!N7=0,"",SER_hh_tes_in!N7/SER_hh_fec_in!N7)</f>
        <v/>
      </c>
      <c r="O7" s="137">
        <f>IF(SER_hh_tes_in!O7=0,"",SER_hh_tes_in!O7/SER_hh_fec_in!O7)</f>
        <v>0.61504535484350242</v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>
        <f>IF(SER_hh_tes_in!R7=0,"",SER_hh_tes_in!R7/SER_hh_fec_in!R7)</f>
        <v>0.68214003489671338</v>
      </c>
      <c r="S7" s="137">
        <f>IF(SER_hh_tes_in!S7=0,"",SER_hh_tes_in!S7/SER_hh_fec_in!S7)</f>
        <v>0.69084490231172935</v>
      </c>
      <c r="T7" s="137">
        <f>IF(SER_hh_tes_in!T7=0,"",SER_hh_tes_in!T7/SER_hh_fec_in!T7)</f>
        <v>0.6972219995829857</v>
      </c>
      <c r="U7" s="137">
        <f>IF(SER_hh_tes_in!U7=0,"",SER_hh_tes_in!U7/SER_hh_fec_in!U7)</f>
        <v>0.70218948010144244</v>
      </c>
      <c r="V7" s="137" t="str">
        <f>IF(SER_hh_tes_in!V7=0,"",SER_hh_tes_in!V7/SER_hh_fec_in!V7)</f>
        <v/>
      </c>
      <c r="W7" s="137">
        <f>IF(SER_hh_tes_in!W7=0,"",SER_hh_tes_in!W7/SER_hh_fec_in!W7)</f>
        <v>0.70928454592849055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1.0976781746566604</v>
      </c>
      <c r="D8" s="137">
        <f>IF(SER_hh_tes_in!D8=0,"",SER_hh_tes_in!D8/SER_hh_fec_in!D8)</f>
        <v>1.1757106529571888</v>
      </c>
      <c r="E8" s="137">
        <f>IF(SER_hh_tes_in!E8=0,"",SER_hh_tes_in!E8/SER_hh_fec_in!E8)</f>
        <v>1.2555512675246165</v>
      </c>
      <c r="F8" s="137">
        <f>IF(SER_hh_tes_in!F8=0,"",SER_hh_tes_in!F8/SER_hh_fec_in!F8)</f>
        <v>1.3368561803378307</v>
      </c>
      <c r="G8" s="137">
        <f>IF(SER_hh_tes_in!G8=0,"",SER_hh_tes_in!G8/SER_hh_fec_in!G8)</f>
        <v>1.4199147945262673</v>
      </c>
      <c r="H8" s="137">
        <f>IF(SER_hh_tes_in!H8=0,"",SER_hh_tes_in!H8/SER_hh_fec_in!H8)</f>
        <v>1.5046743626250352</v>
      </c>
      <c r="I8" s="137">
        <f>IF(SER_hh_tes_in!I8=0,"",SER_hh_tes_in!I8/SER_hh_fec_in!I8)</f>
        <v>1.5911872948528374</v>
      </c>
      <c r="J8" s="137">
        <f>IF(SER_hh_tes_in!J8=0,"",SER_hh_tes_in!J8/SER_hh_fec_in!J8)</f>
        <v>1.6797086875076241</v>
      </c>
      <c r="K8" s="137">
        <f>IF(SER_hh_tes_in!K8=0,"",SER_hh_tes_in!K8/SER_hh_fec_in!K8)</f>
        <v>1.7704298168114767</v>
      </c>
      <c r="L8" s="137">
        <f>IF(SER_hh_tes_in!L8=0,"",SER_hh_tes_in!L8/SER_hh_fec_in!L8)</f>
        <v>1.8633563616818423</v>
      </c>
      <c r="M8" s="137">
        <f>IF(SER_hh_tes_in!M8=0,"",SER_hh_tes_in!M8/SER_hh_fec_in!M8)</f>
        <v>1.9656328156847456</v>
      </c>
      <c r="N8" s="137">
        <f>IF(SER_hh_tes_in!N8=0,"",SER_hh_tes_in!N8/SER_hh_fec_in!N8)</f>
        <v>2.0791086668981982</v>
      </c>
      <c r="O8" s="137">
        <f>IF(SER_hh_tes_in!O8=0,"",SER_hh_tes_in!O8/SER_hh_fec_in!O8)</f>
        <v>2.2028010547171908</v>
      </c>
      <c r="P8" s="137">
        <f>IF(SER_hh_tes_in!P8=0,"",SER_hh_tes_in!P8/SER_hh_fec_in!P8)</f>
        <v>2.3272695143067028</v>
      </c>
      <c r="Q8" s="137">
        <f>IF(SER_hh_tes_in!Q8=0,"",SER_hh_tes_in!Q8/SER_hh_fec_in!Q8)</f>
        <v>2.4293102596095708</v>
      </c>
      <c r="R8" s="137">
        <f>IF(SER_hh_tes_in!R8=0,"",SER_hh_tes_in!R8/SER_hh_fec_in!R8)</f>
        <v>2.4702263281042227</v>
      </c>
      <c r="S8" s="137">
        <f>IF(SER_hh_tes_in!S8=0,"",SER_hh_tes_in!S8/SER_hh_fec_in!S8)</f>
        <v>2.4965391536742065</v>
      </c>
      <c r="T8" s="137">
        <f>IF(SER_hh_tes_in!T8=0,"",SER_hh_tes_in!T8/SER_hh_fec_in!T8)</f>
        <v>2.5137765091293005</v>
      </c>
      <c r="U8" s="137">
        <f>IF(SER_hh_tes_in!U8=0,"",SER_hh_tes_in!U8/SER_hh_fec_in!U8)</f>
        <v>2.5275631038168438</v>
      </c>
      <c r="V8" s="137">
        <f>IF(SER_hh_tes_in!V8=0,"",SER_hh_tes_in!V8/SER_hh_fec_in!V8)</f>
        <v>2.543682925551273</v>
      </c>
      <c r="W8" s="137">
        <f>IF(SER_hh_tes_in!W8=0,"",SER_hh_tes_in!W8/SER_hh_fec_in!W8)</f>
        <v>2.5615065383522322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0.56686290416380136</v>
      </c>
      <c r="D9" s="137">
        <f>IF(SER_hh_tes_in!D9=0,"",SER_hh_tes_in!D9/SER_hh_fec_in!D9)</f>
        <v>0.57444017721406482</v>
      </c>
      <c r="E9" s="137">
        <f>IF(SER_hh_tes_in!E9=0,"",SER_hh_tes_in!E9/SER_hh_fec_in!E9)</f>
        <v>0.58201991297255806</v>
      </c>
      <c r="F9" s="137">
        <f>IF(SER_hh_tes_in!F9=0,"",SER_hh_tes_in!F9/SER_hh_fec_in!F9)</f>
        <v>0.58950611356073823</v>
      </c>
      <c r="G9" s="137" t="str">
        <f>IF(SER_hh_tes_in!G9=0,"",SER_hh_tes_in!G9/SER_hh_fec_in!G9)</f>
        <v/>
      </c>
      <c r="H9" s="137">
        <f>IF(SER_hh_tes_in!H9=0,"",SER_hh_tes_in!H9/SER_hh_fec_in!H9)</f>
        <v>0.60445360883137655</v>
      </c>
      <c r="I9" s="137">
        <f>IF(SER_hh_tes_in!I9=0,"",SER_hh_tes_in!I9/SER_hh_fec_in!I9)</f>
        <v>0.611927730170719</v>
      </c>
      <c r="J9" s="137">
        <f>IF(SER_hh_tes_in!J9=0,"",SER_hh_tes_in!J9/SER_hh_fec_in!J9)</f>
        <v>0.61950073460132749</v>
      </c>
      <c r="K9" s="137">
        <f>IF(SER_hh_tes_in!K9=0,"",SER_hh_tes_in!K9/SER_hh_fec_in!K9)</f>
        <v>0.62725119841644494</v>
      </c>
      <c r="L9" s="137">
        <f>IF(SER_hh_tes_in!L9=0,"",SER_hh_tes_in!L9/SER_hh_fec_in!L9)</f>
        <v>0.63520217252531741</v>
      </c>
      <c r="M9" s="137">
        <f>IF(SER_hh_tes_in!M9=0,"",SER_hh_tes_in!M9/SER_hh_fec_in!M9)</f>
        <v>0.64536545117586352</v>
      </c>
      <c r="N9" s="137">
        <f>IF(SER_hh_tes_in!N9=0,"",SER_hh_tes_in!N9/SER_hh_fec_in!N9)</f>
        <v>0.65840714908763154</v>
      </c>
      <c r="O9" s="137">
        <f>IF(SER_hh_tes_in!O9=0,"",SER_hh_tes_in!O9/SER_hh_fec_in!O9)</f>
        <v>0.6747123242408043</v>
      </c>
      <c r="P9" s="137" t="str">
        <f>IF(SER_hh_tes_in!P9=0,"",SER_hh_tes_in!P9/SER_hh_fec_in!P9)</f>
        <v/>
      </c>
      <c r="Q9" s="137">
        <f>IF(SER_hh_tes_in!Q9=0,"",SER_hh_tes_in!Q9/SER_hh_fec_in!Q9)</f>
        <v>0.70817618786910386</v>
      </c>
      <c r="R9" s="137">
        <f>IF(SER_hh_tes_in!R9=0,"",SER_hh_tes_in!R9/SER_hh_fec_in!R9)</f>
        <v>0.7169035958189085</v>
      </c>
      <c r="S9" s="137">
        <f>IF(SER_hh_tes_in!S9=0,"",SER_hh_tes_in!S9/SER_hh_fec_in!S9)</f>
        <v>0.72364066110795933</v>
      </c>
      <c r="T9" s="137">
        <f>IF(SER_hh_tes_in!T9=0,"",SER_hh_tes_in!T9/SER_hh_fec_in!T9)</f>
        <v>0.72900935157475066</v>
      </c>
      <c r="U9" s="137" t="str">
        <f>IF(SER_hh_tes_in!U9=0,"",SER_hh_tes_in!U9/SER_hh_fec_in!U9)</f>
        <v/>
      </c>
      <c r="V9" s="137">
        <f>IF(SER_hh_tes_in!V9=0,"",SER_hh_tes_in!V9/SER_hh_fec_in!V9)</f>
        <v>0.73736023830789021</v>
      </c>
      <c r="W9" s="137">
        <f>IF(SER_hh_tes_in!W9=0,"",SER_hh_tes_in!W9/SER_hh_fec_in!W9)</f>
        <v>0.74004503937352728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>
        <f>IF(SER_hh_tes_in!M10=0,"",SER_hh_tes_in!M10/SER_hh_fec_in!M10)</f>
        <v>0.5270447388806595</v>
      </c>
      <c r="N10" s="137">
        <f>IF(SER_hh_tes_in!N10=0,"",SER_hh_tes_in!N10/SER_hh_fec_in!N10)</f>
        <v>0.53435629125361317</v>
      </c>
      <c r="O10" s="137" t="str">
        <f>IF(SER_hh_tes_in!O10=0,"",SER_hh_tes_in!O10/SER_hh_fec_in!O10)</f>
        <v/>
      </c>
      <c r="P10" s="137" t="str">
        <f>IF(SER_hh_tes_in!P10=0,"",SER_hh_tes_in!P10/SER_hh_fec_in!P10)</f>
        <v/>
      </c>
      <c r="Q10" s="137" t="str">
        <f>IF(SER_hh_tes_in!Q10=0,"",SER_hh_tes_in!Q10/SER_hh_fec_in!Q10)</f>
        <v/>
      </c>
      <c r="R10" s="137">
        <f>IF(SER_hh_tes_in!R10=0,"",SER_hh_tes_in!R10/SER_hh_fec_in!R10)</f>
        <v>0.5612888702922908</v>
      </c>
      <c r="S10" s="137">
        <f>IF(SER_hh_tes_in!S10=0,"",SER_hh_tes_in!S10/SER_hh_fec_in!S10)</f>
        <v>0.571703802538435</v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>
        <f>IF(SER_hh_tes_in!W10=0,"",SER_hh_tes_in!W10/SER_hh_fec_in!W10)</f>
        <v>0.60638962185443857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0.76408005219834219</v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>
        <f>IF(SER_hh_tes_in!J11=0,"",SER_hh_tes_in!J11/SER_hh_fec_in!J11)</f>
        <v>0.79465728636825028</v>
      </c>
      <c r="K11" s="137">
        <f>IF(SER_hh_tes_in!K11=0,"",SER_hh_tes_in!K11/SER_hh_fec_in!K11)</f>
        <v>0.79902932555359862</v>
      </c>
      <c r="L11" s="137">
        <f>IF(SER_hh_tes_in!L11=0,"",SER_hh_tes_in!L11/SER_hh_fec_in!L11)</f>
        <v>0.80340313565080312</v>
      </c>
      <c r="M11" s="137">
        <f>IF(SER_hh_tes_in!M11=0,"",SER_hh_tes_in!M11/SER_hh_fec_in!M11)</f>
        <v>0.80782368519458092</v>
      </c>
      <c r="N11" s="137">
        <f>IF(SER_hh_tes_in!N11=0,"",SER_hh_tes_in!N11/SER_hh_fec_in!N11)</f>
        <v>0.81230779208413806</v>
      </c>
      <c r="O11" s="137">
        <f>IF(SER_hh_tes_in!O11=0,"",SER_hh_tes_in!O11/SER_hh_fec_in!O11)</f>
        <v>0.8168350383856231</v>
      </c>
      <c r="P11" s="137" t="str">
        <f>IF(SER_hh_tes_in!P11=0,"",SER_hh_tes_in!P11/SER_hh_fec_in!P11)</f>
        <v/>
      </c>
      <c r="Q11" s="137">
        <f>IF(SER_hh_tes_in!Q11=0,"",SER_hh_tes_in!Q11/SER_hh_fec_in!Q11)</f>
        <v>0.82547179475621435</v>
      </c>
      <c r="R11" s="137">
        <f>IF(SER_hh_tes_in!R11=0,"",SER_hh_tes_in!R11/SER_hh_fec_in!R11)</f>
        <v>0.82910200053821481</v>
      </c>
      <c r="S11" s="137">
        <f>IF(SER_hh_tes_in!S11=0,"",SER_hh_tes_in!S11/SER_hh_fec_in!S11)</f>
        <v>0.83244497559919528</v>
      </c>
      <c r="T11" s="137">
        <f>IF(SER_hh_tes_in!T11=0,"",SER_hh_tes_in!T11/SER_hh_fec_in!T11)</f>
        <v>0.8355593445321422</v>
      </c>
      <c r="U11" s="137">
        <f>IF(SER_hh_tes_in!U11=0,"",SER_hh_tes_in!U11/SER_hh_fec_in!U11)</f>
        <v>0.83850373193005301</v>
      </c>
      <c r="V11" s="137" t="str">
        <f>IF(SER_hh_tes_in!V11=0,"",SER_hh_tes_in!V11/SER_hh_fec_in!V11)</f>
        <v/>
      </c>
      <c r="W11" s="137">
        <f>IF(SER_hh_tes_in!W11=0,"",SER_hh_tes_in!W11/SER_hh_fec_in!W11)</f>
        <v>0.84398557706370547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0.76726766442690142</v>
      </c>
      <c r="D12" s="137">
        <f>IF(SER_hh_tes_in!D12=0,"",SER_hh_tes_in!D12/SER_hh_fec_in!D12)</f>
        <v>0.7690532315072216</v>
      </c>
      <c r="E12" s="137">
        <f>IF(SER_hh_tes_in!E12=0,"",SER_hh_tes_in!E12/SER_hh_fec_in!E12)</f>
        <v>0.77088700424031875</v>
      </c>
      <c r="F12" s="137">
        <f>IF(SER_hh_tes_in!F12=0,"",SER_hh_tes_in!F12/SER_hh_fec_in!F12)</f>
        <v>0.77272735047152208</v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>
        <f>IF(SER_hh_tes_in!J12=0,"",SER_hh_tes_in!J12/SER_hh_fec_in!J12)</f>
        <v>0.78057104265602573</v>
      </c>
      <c r="K12" s="137">
        <f>IF(SER_hh_tes_in!K12=0,"",SER_hh_tes_in!K12/SER_hh_fec_in!K12)</f>
        <v>0.7827516186392085</v>
      </c>
      <c r="L12" s="137">
        <f>IF(SER_hh_tes_in!L12=0,"",SER_hh_tes_in!L12/SER_hh_fec_in!L12)</f>
        <v>0.78506060173872583</v>
      </c>
      <c r="M12" s="137">
        <f>IF(SER_hh_tes_in!M12=0,"",SER_hh_tes_in!M12/SER_hh_fec_in!M12)</f>
        <v>0.78825767709573458</v>
      </c>
      <c r="N12" s="137">
        <f>IF(SER_hh_tes_in!N12=0,"",SER_hh_tes_in!N12/SER_hh_fec_in!N12)</f>
        <v>0.79258303809347364</v>
      </c>
      <c r="O12" s="137">
        <f>IF(SER_hh_tes_in!O12=0,"",SER_hh_tes_in!O12/SER_hh_fec_in!O12)</f>
        <v>0.79824724341929598</v>
      </c>
      <c r="P12" s="137" t="str">
        <f>IF(SER_hh_tes_in!P12=0,"",SER_hh_tes_in!P12/SER_hh_fec_in!P12)</f>
        <v/>
      </c>
      <c r="Q12" s="137">
        <f>IF(SER_hh_tes_in!Q12=0,"",SER_hh_tes_in!Q12/SER_hh_fec_in!Q12)</f>
        <v>0.81107894634264943</v>
      </c>
      <c r="R12" s="137">
        <f>IF(SER_hh_tes_in!R12=0,"",SER_hh_tes_in!R12/SER_hh_fec_in!R12)</f>
        <v>0.8158522177758214</v>
      </c>
      <c r="S12" s="137">
        <f>IF(SER_hh_tes_in!S12=0,"",SER_hh_tes_in!S12/SER_hh_fec_in!S12)</f>
        <v>0.82049581294060436</v>
      </c>
      <c r="T12" s="137">
        <f>IF(SER_hh_tes_in!T12=0,"",SER_hh_tes_in!T12/SER_hh_fec_in!T12)</f>
        <v>0.82497870532516748</v>
      </c>
      <c r="U12" s="137">
        <f>IF(SER_hh_tes_in!U12=0,"",SER_hh_tes_in!U12/SER_hh_fec_in!U12)</f>
        <v>0.82926986841769446</v>
      </c>
      <c r="V12" s="137">
        <f>IF(SER_hh_tes_in!V12=0,"",SER_hh_tes_in!V12/SER_hh_fec_in!V12)</f>
        <v>0.83333827570636276</v>
      </c>
      <c r="W12" s="137">
        <f>IF(SER_hh_tes_in!W12=0,"",SER_hh_tes_in!W12/SER_hh_fec_in!W12)</f>
        <v>0.83708606298504651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1.5241882999103464</v>
      </c>
      <c r="D13" s="137">
        <f>IF(SER_hh_tes_in!D13=0,"",SER_hh_tes_in!D13/SER_hh_fec_in!D13)</f>
        <v>1.6423162194959136</v>
      </c>
      <c r="E13" s="137">
        <f>IF(SER_hh_tes_in!E13=0,"",SER_hh_tes_in!E13/SER_hh_fec_in!E13)</f>
        <v>1.7638273423869237</v>
      </c>
      <c r="F13" s="137">
        <f>IF(SER_hh_tes_in!F13=0,"",SER_hh_tes_in!F13/SER_hh_fec_in!F13)</f>
        <v>1.8882165654145626</v>
      </c>
      <c r="G13" s="137">
        <f>IF(SER_hh_tes_in!G13=0,"",SER_hh_tes_in!G13/SER_hh_fec_in!G13)</f>
        <v>2.0159035227002033</v>
      </c>
      <c r="H13" s="137">
        <f>IF(SER_hh_tes_in!H13=0,"",SER_hh_tes_in!H13/SER_hh_fec_in!H13)</f>
        <v>2.1468090335260142</v>
      </c>
      <c r="I13" s="137">
        <f>IF(SER_hh_tes_in!I13=0,"",SER_hh_tes_in!I13/SER_hh_fec_in!I13)</f>
        <v>2.281007515722143</v>
      </c>
      <c r="J13" s="137">
        <f>IF(SER_hh_tes_in!J13=0,"",SER_hh_tes_in!J13/SER_hh_fec_in!J13)</f>
        <v>2.4188683775238342</v>
      </c>
      <c r="K13" s="137">
        <f>IF(SER_hh_tes_in!K13=0,"",SER_hh_tes_in!K13/SER_hh_fec_in!K13)</f>
        <v>2.5606650093010241</v>
      </c>
      <c r="L13" s="137">
        <f>IF(SER_hh_tes_in!L13=0,"",SER_hh_tes_in!L13/SER_hh_fec_in!L13)</f>
        <v>2.7063968274157029</v>
      </c>
      <c r="M13" s="137">
        <f>IF(SER_hh_tes_in!M13=0,"",SER_hh_tes_in!M13/SER_hh_fec_in!M13)</f>
        <v>2.8666404433151786</v>
      </c>
      <c r="N13" s="137">
        <f>IF(SER_hh_tes_in!N13=0,"",SER_hh_tes_in!N13/SER_hh_fec_in!N13)</f>
        <v>3.0440826505236158</v>
      </c>
      <c r="O13" s="137">
        <f>IF(SER_hh_tes_in!O13=0,"",SER_hh_tes_in!O13/SER_hh_fec_in!O13)</f>
        <v>3.2369304634553551</v>
      </c>
      <c r="P13" s="137">
        <f>IF(SER_hh_tes_in!P13=0,"",SER_hh_tes_in!P13/SER_hh_fec_in!P13)</f>
        <v>3.4305014581703936</v>
      </c>
      <c r="Q13" s="137">
        <f>IF(SER_hh_tes_in!Q13=0,"",SER_hh_tes_in!Q13/SER_hh_fec_in!Q13)</f>
        <v>3.5891788264304338</v>
      </c>
      <c r="R13" s="137">
        <f>IF(SER_hh_tes_in!R13=0,"",SER_hh_tes_in!R13/SER_hh_fec_in!R13)</f>
        <v>3.6514322992828827</v>
      </c>
      <c r="S13" s="137">
        <f>IF(SER_hh_tes_in!S13=0,"",SER_hh_tes_in!S13/SER_hh_fec_in!S13)</f>
        <v>3.6908363042268322</v>
      </c>
      <c r="T13" s="137">
        <f>IF(SER_hh_tes_in!T13=0,"",SER_hh_tes_in!T13/SER_hh_fec_in!T13)</f>
        <v>3.7161086918795272</v>
      </c>
      <c r="U13" s="137">
        <f>IF(SER_hh_tes_in!U13=0,"",SER_hh_tes_in!U13/SER_hh_fec_in!U13)</f>
        <v>3.736222046191946</v>
      </c>
      <c r="V13" s="137">
        <f>IF(SER_hh_tes_in!V13=0,"",SER_hh_tes_in!V13/SER_hh_fec_in!V13)</f>
        <v>3.760501396880934</v>
      </c>
      <c r="W13" s="137">
        <f>IF(SER_hh_tes_in!W13=0,"",SER_hh_tes_in!W13/SER_hh_fec_in!W13)</f>
        <v>3.7882576602416438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0.69495955941707932</v>
      </c>
      <c r="D14" s="138">
        <f>IF(SER_hh_tes_in!D14=0,"",SER_hh_tes_in!D14/SER_hh_fec_in!D14)</f>
        <v>0.69796418449714559</v>
      </c>
      <c r="E14" s="138">
        <f>IF(SER_hh_tes_in!E14=0,"",SER_hh_tes_in!E14/SER_hh_fec_in!E14)</f>
        <v>0.70104589507455817</v>
      </c>
      <c r="F14" s="138">
        <f>IF(SER_hh_tes_in!F14=0,"",SER_hh_tes_in!F14/SER_hh_fec_in!F14)</f>
        <v>0.70413801705057444</v>
      </c>
      <c r="G14" s="138">
        <f>IF(SER_hh_tes_in!G14=0,"",SER_hh_tes_in!G14/SER_hh_fec_in!G14)</f>
        <v>0.70730108221193289</v>
      </c>
      <c r="H14" s="138">
        <f>IF(SER_hh_tes_in!H14=0,"",SER_hh_tes_in!H14/SER_hh_fec_in!H14)</f>
        <v>0.71052763927838947</v>
      </c>
      <c r="I14" s="138">
        <f>IF(SER_hh_tes_in!I14=0,"",SER_hh_tes_in!I14/SER_hh_fec_in!I14)</f>
        <v>0.71383254146760522</v>
      </c>
      <c r="J14" s="138" t="str">
        <f>IF(SER_hh_tes_in!J14=0,"",SER_hh_tes_in!J14/SER_hh_fec_in!J14)</f>
        <v/>
      </c>
      <c r="K14" s="138" t="str">
        <f>IF(SER_hh_tes_in!K14=0,"",SER_hh_tes_in!K14/SER_hh_fec_in!K14)</f>
        <v/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>
        <f>IF(SER_hh_tes_in!O14=0,"",SER_hh_tes_in!O14/SER_hh_fec_in!O14)</f>
        <v>0.74522111445876416</v>
      </c>
      <c r="P14" s="138">
        <f>IF(SER_hh_tes_in!P14=0,"",SER_hh_tes_in!P14/SER_hh_fec_in!P14)</f>
        <v>0.75560591176650138</v>
      </c>
      <c r="Q14" s="138">
        <f>IF(SER_hh_tes_in!Q14=0,"",SER_hh_tes_in!Q14/SER_hh_fec_in!Q14)</f>
        <v>0.7666438031506646</v>
      </c>
      <c r="R14" s="138" t="str">
        <f>IF(SER_hh_tes_in!R14=0,"",SER_hh_tes_in!R14/SER_hh_fec_in!R14)</f>
        <v/>
      </c>
      <c r="S14" s="138">
        <f>IF(SER_hh_tes_in!S14=0,"",SER_hh_tes_in!S14/SER_hh_fec_in!S14)</f>
        <v>0.79232088053844252</v>
      </c>
      <c r="T14" s="138">
        <f>IF(SER_hh_tes_in!T14=0,"",SER_hh_tes_in!T14/SER_hh_fec_in!T14)</f>
        <v>0.80629865768077513</v>
      </c>
      <c r="U14" s="138">
        <f>IF(SER_hh_tes_in!U14=0,"",SER_hh_tes_in!U14/SER_hh_fec_in!U14)</f>
        <v>0.81865682972892162</v>
      </c>
      <c r="V14" s="138" t="str">
        <f>IF(SER_hh_tes_in!V14=0,"",SER_hh_tes_in!V14/SER_hh_fec_in!V14)</f>
        <v/>
      </c>
      <c r="W14" s="138">
        <f>IF(SER_hh_tes_in!W14=0,"",SER_hh_tes_in!W14/SER_hh_fec_in!W14)</f>
        <v>0.83210354493521066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2.2670076796235268</v>
      </c>
      <c r="D16" s="136">
        <f>IF(SER_hh_tes_in!D16=0,"",SER_hh_tes_in!D16/SER_hh_fec_in!D16)</f>
        <v>2.3436481079416791</v>
      </c>
      <c r="E16" s="136">
        <f>IF(SER_hh_tes_in!E16=0,"",SER_hh_tes_in!E16/SER_hh_fec_in!E16)</f>
        <v>2.4189473370072276</v>
      </c>
      <c r="F16" s="136">
        <f>IF(SER_hh_tes_in!F16=0,"",SER_hh_tes_in!F16/SER_hh_fec_in!F16)</f>
        <v>2.4847002505196185</v>
      </c>
      <c r="G16" s="136">
        <f>IF(SER_hh_tes_in!G16=0,"",SER_hh_tes_in!G16/SER_hh_fec_in!G16)</f>
        <v>2.5664214536629246</v>
      </c>
      <c r="H16" s="136">
        <f>IF(SER_hh_tes_in!H16=0,"",SER_hh_tes_in!H16/SER_hh_fec_in!H16)</f>
        <v>2.6416482843794942</v>
      </c>
      <c r="I16" s="136">
        <f>IF(SER_hh_tes_in!I16=0,"",SER_hh_tes_in!I16/SER_hh_fec_in!I16)</f>
        <v>2.7102518760034959</v>
      </c>
      <c r="J16" s="136">
        <f>IF(SER_hh_tes_in!J16=0,"",SER_hh_tes_in!J16/SER_hh_fec_in!J16)</f>
        <v>2.7901736058754976</v>
      </c>
      <c r="K16" s="136">
        <f>IF(SER_hh_tes_in!K16=0,"",SER_hh_tes_in!K16/SER_hh_fec_in!K16)</f>
        <v>2.8542326435161884</v>
      </c>
      <c r="L16" s="136">
        <f>IF(SER_hh_tes_in!L16=0,"",SER_hh_tes_in!L16/SER_hh_fec_in!L16)</f>
        <v>2.9566734946077706</v>
      </c>
      <c r="M16" s="136">
        <f>IF(SER_hh_tes_in!M16=0,"",SER_hh_tes_in!M16/SER_hh_fec_in!M16)</f>
        <v>3.0382396151449482</v>
      </c>
      <c r="N16" s="136">
        <f>IF(SER_hh_tes_in!N16=0,"",SER_hh_tes_in!N16/SER_hh_fec_in!N16)</f>
        <v>3.1659493161380357</v>
      </c>
      <c r="O16" s="136">
        <f>IF(SER_hh_tes_in!O16=0,"",SER_hh_tes_in!O16/SER_hh_fec_in!O16)</f>
        <v>3.2860664533152351</v>
      </c>
      <c r="P16" s="136">
        <f>IF(SER_hh_tes_in!P16=0,"",SER_hh_tes_in!P16/SER_hh_fec_in!P16)</f>
        <v>3.435657917172203</v>
      </c>
      <c r="Q16" s="136">
        <f>IF(SER_hh_tes_in!Q16=0,"",SER_hh_tes_in!Q16/SER_hh_fec_in!Q16)</f>
        <v>3.5480013145765086</v>
      </c>
      <c r="R16" s="136">
        <f>IF(SER_hh_tes_in!R16=0,"",SER_hh_tes_in!R16/SER_hh_fec_in!R16)</f>
        <v>3.6063942162330265</v>
      </c>
      <c r="S16" s="136">
        <f>IF(SER_hh_tes_in!S16=0,"",SER_hh_tes_in!S16/SER_hh_fec_in!S16)</f>
        <v>3.6877905964470359</v>
      </c>
      <c r="T16" s="136">
        <f>IF(SER_hh_tes_in!T16=0,"",SER_hh_tes_in!T16/SER_hh_fec_in!T16)</f>
        <v>3.7342551833691022</v>
      </c>
      <c r="U16" s="136">
        <f>IF(SER_hh_tes_in!U16=0,"",SER_hh_tes_in!U16/SER_hh_fec_in!U16)</f>
        <v>3.7639111208165006</v>
      </c>
      <c r="V16" s="136">
        <f>IF(SER_hh_tes_in!V16=0,"",SER_hh_tes_in!V16/SER_hh_fec_in!V16)</f>
        <v>3.8402681130216978</v>
      </c>
      <c r="W16" s="136">
        <f>IF(SER_hh_tes_in!W16=0,"",SER_hh_tes_in!W16/SER_hh_fec_in!W16)</f>
        <v>3.9103959756773841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1.265561114006351</v>
      </c>
      <c r="D17" s="137">
        <f>IF(SER_hh_tes_in!D17=0,"",SER_hh_tes_in!D17/SER_hh_fec_in!D17)</f>
        <v>1.2695465145733678</v>
      </c>
      <c r="E17" s="137">
        <f>IF(SER_hh_tes_in!E17=0,"",SER_hh_tes_in!E17/SER_hh_fec_in!E17)</f>
        <v>1.272770585569784</v>
      </c>
      <c r="F17" s="137">
        <f>IF(SER_hh_tes_in!F17=0,"",SER_hh_tes_in!F17/SER_hh_fec_in!F17)</f>
        <v>1.2753736799981215</v>
      </c>
      <c r="G17" s="137">
        <f>IF(SER_hh_tes_in!G17=0,"",SER_hh_tes_in!G17/SER_hh_fec_in!G17)</f>
        <v>1.2773848539796595</v>
      </c>
      <c r="H17" s="137">
        <f>IF(SER_hh_tes_in!H17=0,"",SER_hh_tes_in!H17/SER_hh_fec_in!H17)</f>
        <v>1.2790432535668221</v>
      </c>
      <c r="I17" s="137">
        <f>IF(SER_hh_tes_in!I17=0,"",SER_hh_tes_in!I17/SER_hh_fec_in!I17)</f>
        <v>1.2804214383128931</v>
      </c>
      <c r="J17" s="137">
        <f>IF(SER_hh_tes_in!J17=0,"",SER_hh_tes_in!J17/SER_hh_fec_in!J17)</f>
        <v>1.2817654969160128</v>
      </c>
      <c r="K17" s="137">
        <f>IF(SER_hh_tes_in!K17=0,"",SER_hh_tes_in!K17/SER_hh_fec_in!K17)</f>
        <v>1.2834329355486929</v>
      </c>
      <c r="L17" s="137">
        <f>IF(SER_hh_tes_in!L17=0,"",SER_hh_tes_in!L17/SER_hh_fec_in!L17)</f>
        <v>1.285651873081979</v>
      </c>
      <c r="M17" s="137">
        <f>IF(SER_hh_tes_in!M17=0,"",SER_hh_tes_in!M17/SER_hh_fec_in!M17)</f>
        <v>1.2914576709985408</v>
      </c>
      <c r="N17" s="137">
        <f>IF(SER_hh_tes_in!N17=0,"",SER_hh_tes_in!N17/SER_hh_fec_in!N17)</f>
        <v>1.305023836891761</v>
      </c>
      <c r="O17" s="137">
        <f>IF(SER_hh_tes_in!O17=0,"",SER_hh_tes_in!O17/SER_hh_fec_in!O17)</f>
        <v>1.327868790906217</v>
      </c>
      <c r="P17" s="137">
        <f>IF(SER_hh_tes_in!P17=0,"",SER_hh_tes_in!P17/SER_hh_fec_in!P17)</f>
        <v>1.3595562609268019</v>
      </c>
      <c r="Q17" s="137">
        <f>IF(SER_hh_tes_in!Q17=0,"",SER_hh_tes_in!Q17/SER_hh_fec_in!Q17)</f>
        <v>1.3934417776434698</v>
      </c>
      <c r="R17" s="137">
        <f>IF(SER_hh_tes_in!R17=0,"",SER_hh_tes_in!R17/SER_hh_fec_in!R17)</f>
        <v>1.4214669629876651</v>
      </c>
      <c r="S17" s="137">
        <f>IF(SER_hh_tes_in!S17=0,"",SER_hh_tes_in!S17/SER_hh_fec_in!S17)</f>
        <v>1.4492448061016991</v>
      </c>
      <c r="T17" s="137">
        <f>IF(SER_hh_tes_in!T17=0,"",SER_hh_tes_in!T17/SER_hh_fec_in!T17)</f>
        <v>1.4817624112822854</v>
      </c>
      <c r="U17" s="137">
        <f>IF(SER_hh_tes_in!U17=0,"",SER_hh_tes_in!U17/SER_hh_fec_in!U17)</f>
        <v>1.5162245570911224</v>
      </c>
      <c r="V17" s="137">
        <f>IF(SER_hh_tes_in!V17=0,"",SER_hh_tes_in!V17/SER_hh_fec_in!V17)</f>
        <v>1.5495748587394511</v>
      </c>
      <c r="W17" s="137">
        <f>IF(SER_hh_tes_in!W17=0,"",SER_hh_tes_in!W17/SER_hh_fec_in!W17)</f>
        <v>1.5768016955223803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2.2711917900275069</v>
      </c>
      <c r="D18" s="137">
        <f>IF(SER_hh_tes_in!D18=0,"",SER_hh_tes_in!D18/SER_hh_fec_in!D18)</f>
        <v>2.3458992788286155</v>
      </c>
      <c r="E18" s="137">
        <f>IF(SER_hh_tes_in!E18=0,"",SER_hh_tes_in!E18/SER_hh_fec_in!E18)</f>
        <v>2.4213955758357533</v>
      </c>
      <c r="F18" s="137">
        <f>IF(SER_hh_tes_in!F18=0,"",SER_hh_tes_in!F18/SER_hh_fec_in!F18)</f>
        <v>2.496972953697409</v>
      </c>
      <c r="G18" s="137">
        <f>IF(SER_hh_tes_in!G18=0,"",SER_hh_tes_in!G18/SER_hh_fec_in!G18)</f>
        <v>2.5732685036805134</v>
      </c>
      <c r="H18" s="137">
        <f>IF(SER_hh_tes_in!H18=0,"",SER_hh_tes_in!H18/SER_hh_fec_in!H18)</f>
        <v>2.6502001136176685</v>
      </c>
      <c r="I18" s="137">
        <f>IF(SER_hh_tes_in!I18=0,"",SER_hh_tes_in!I18/SER_hh_fec_in!I18)</f>
        <v>2.727920459346294</v>
      </c>
      <c r="J18" s="137">
        <f>IF(SER_hh_tes_in!J18=0,"",SER_hh_tes_in!J18/SER_hh_fec_in!J18)</f>
        <v>2.8070646032885147</v>
      </c>
      <c r="K18" s="137">
        <f>IF(SER_hh_tes_in!K18=0,"",SER_hh_tes_in!K18/SER_hh_fec_in!K18)</f>
        <v>2.8881665194907624</v>
      </c>
      <c r="L18" s="137">
        <f>IF(SER_hh_tes_in!L18=0,"",SER_hh_tes_in!L18/SER_hh_fec_in!L18)</f>
        <v>2.9713582299092631</v>
      </c>
      <c r="M18" s="137">
        <f>IF(SER_hh_tes_in!M18=0,"",SER_hh_tes_in!M18/SER_hh_fec_in!M18)</f>
        <v>3.0707228889478073</v>
      </c>
      <c r="N18" s="137">
        <f>IF(SER_hh_tes_in!N18=0,"",SER_hh_tes_in!N18/SER_hh_fec_in!N18)</f>
        <v>3.1908693503165386</v>
      </c>
      <c r="O18" s="137">
        <f>IF(SER_hh_tes_in!O18=0,"",SER_hh_tes_in!O18/SER_hh_fec_in!O18)</f>
        <v>3.3343456087013017</v>
      </c>
      <c r="P18" s="137">
        <f>IF(SER_hh_tes_in!P18=0,"",SER_hh_tes_in!P18/SER_hh_fec_in!P18)</f>
        <v>3.4899425214321909</v>
      </c>
      <c r="Q18" s="137">
        <f>IF(SER_hh_tes_in!Q18=0,"",SER_hh_tes_in!Q18/SER_hh_fec_in!Q18)</f>
        <v>3.6236599542908237</v>
      </c>
      <c r="R18" s="137">
        <f>IF(SER_hh_tes_in!R18=0,"",SER_hh_tes_in!R18/SER_hh_fec_in!R18)</f>
        <v>3.7075486844809937</v>
      </c>
      <c r="S18" s="137">
        <f>IF(SER_hh_tes_in!S18=0,"",SER_hh_tes_in!S18/SER_hh_fec_in!S18)</f>
        <v>3.774319994825805</v>
      </c>
      <c r="T18" s="137">
        <f>IF(SER_hh_tes_in!T18=0,"",SER_hh_tes_in!T18/SER_hh_fec_in!T18)</f>
        <v>3.8301099664123259</v>
      </c>
      <c r="U18" s="137">
        <f>IF(SER_hh_tes_in!U18=0,"",SER_hh_tes_in!U18/SER_hh_fec_in!U18)</f>
        <v>3.8808995781732767</v>
      </c>
      <c r="V18" s="137">
        <f>IF(SER_hh_tes_in!V18=0,"",SER_hh_tes_in!V18/SER_hh_fec_in!V18)</f>
        <v>3.9326851433692283</v>
      </c>
      <c r="W18" s="137">
        <f>IF(SER_hh_tes_in!W18=0,"",SER_hh_tes_in!W18/SER_hh_fec_in!W18)</f>
        <v>3.9833839350660361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0.66635984598895959</v>
      </c>
      <c r="D19" s="136">
        <f>IF(SER_hh_tes_in!D19=0,"",SER_hh_tes_in!D19/SER_hh_fec_in!D19)</f>
        <v>0.702780505415186</v>
      </c>
      <c r="E19" s="136">
        <f>IF(SER_hh_tes_in!E19=0,"",SER_hh_tes_in!E19/SER_hh_fec_in!E19)</f>
        <v>0.67410037249145782</v>
      </c>
      <c r="F19" s="136">
        <f>IF(SER_hh_tes_in!F19=0,"",SER_hh_tes_in!F19/SER_hh_fec_in!F19)</f>
        <v>0.6789674560960417</v>
      </c>
      <c r="G19" s="136">
        <f>IF(SER_hh_tes_in!G19=0,"",SER_hh_tes_in!G19/SER_hh_fec_in!G19)</f>
        <v>0.74002135304857553</v>
      </c>
      <c r="H19" s="136">
        <f>IF(SER_hh_tes_in!H19=0,"",SER_hh_tes_in!H19/SER_hh_fec_in!H19)</f>
        <v>0.6637726001065305</v>
      </c>
      <c r="I19" s="136">
        <f>IF(SER_hh_tes_in!I19=0,"",SER_hh_tes_in!I19/SER_hh_fec_in!I19)</f>
        <v>0.71089856735430212</v>
      </c>
      <c r="J19" s="136">
        <f>IF(SER_hh_tes_in!J19=0,"",SER_hh_tes_in!J19/SER_hh_fec_in!J19)</f>
        <v>0.78626164890863093</v>
      </c>
      <c r="K19" s="136">
        <f>IF(SER_hh_tes_in!K19=0,"",SER_hh_tes_in!K19/SER_hh_fec_in!K19)</f>
        <v>0.76236329873540554</v>
      </c>
      <c r="L19" s="136">
        <f>IF(SER_hh_tes_in!L19=0,"",SER_hh_tes_in!L19/SER_hh_fec_in!L19)</f>
        <v>0.78815255196163214</v>
      </c>
      <c r="M19" s="136">
        <f>IF(SER_hh_tes_in!M19=0,"",SER_hh_tes_in!M19/SER_hh_fec_in!M19)</f>
        <v>0.7779019082135602</v>
      </c>
      <c r="N19" s="136">
        <f>IF(SER_hh_tes_in!N19=0,"",SER_hh_tes_in!N19/SER_hh_fec_in!N19)</f>
        <v>0.77701932047564304</v>
      </c>
      <c r="O19" s="136">
        <f>IF(SER_hh_tes_in!O19=0,"",SER_hh_tes_in!O19/SER_hh_fec_in!O19)</f>
        <v>0.80057758281015767</v>
      </c>
      <c r="P19" s="136">
        <f>IF(SER_hh_tes_in!P19=0,"",SER_hh_tes_in!P19/SER_hh_fec_in!P19)</f>
        <v>0.86099176716505021</v>
      </c>
      <c r="Q19" s="136">
        <f>IF(SER_hh_tes_in!Q19=0,"",SER_hh_tes_in!Q19/SER_hh_fec_in!Q19)</f>
        <v>0.86874165582058593</v>
      </c>
      <c r="R19" s="136">
        <f>IF(SER_hh_tes_in!R19=0,"",SER_hh_tes_in!R19/SER_hh_fec_in!R19)</f>
        <v>0.87090048393507502</v>
      </c>
      <c r="S19" s="136">
        <f>IF(SER_hh_tes_in!S19=0,"",SER_hh_tes_in!S19/SER_hh_fec_in!S19)</f>
        <v>0.87587472979137249</v>
      </c>
      <c r="T19" s="136">
        <f>IF(SER_hh_tes_in!T19=0,"",SER_hh_tes_in!T19/SER_hh_fec_in!T19)</f>
        <v>0.87406979044739852</v>
      </c>
      <c r="U19" s="136">
        <f>IF(SER_hh_tes_in!U19=0,"",SER_hh_tes_in!U19/SER_hh_fec_in!U19)</f>
        <v>0.88782945780136746</v>
      </c>
      <c r="V19" s="136">
        <f>IF(SER_hh_tes_in!V19=0,"",SER_hh_tes_in!V19/SER_hh_fec_in!V19)</f>
        <v>0.91816376179497461</v>
      </c>
      <c r="W19" s="136">
        <f>IF(SER_hh_tes_in!W19=0,"",SER_hh_tes_in!W19/SER_hh_fec_in!W19)</f>
        <v>0.8339753628978529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0.53653588563496812</v>
      </c>
      <c r="D21" s="137">
        <f>IF(SER_hh_tes_in!D21=0,"",SER_hh_tes_in!D21/SER_hh_fec_in!D21)</f>
        <v>0.53865260556789984</v>
      </c>
      <c r="E21" s="137">
        <f>IF(SER_hh_tes_in!E21=0,"",SER_hh_tes_in!E21/SER_hh_fec_in!E21)</f>
        <v>0.5411197356366424</v>
      </c>
      <c r="F21" s="137">
        <f>IF(SER_hh_tes_in!F21=0,"",SER_hh_tes_in!F21/SER_hh_fec_in!F21)</f>
        <v>0.54363464890572266</v>
      </c>
      <c r="G21" s="137">
        <f>IF(SER_hh_tes_in!G21=0,"",SER_hh_tes_in!G21/SER_hh_fec_in!G21)</f>
        <v>0.54647226929909531</v>
      </c>
      <c r="H21" s="137">
        <f>IF(SER_hh_tes_in!H21=0,"",SER_hh_tes_in!H21/SER_hh_fec_in!H21)</f>
        <v>0.54959894962844613</v>
      </c>
      <c r="I21" s="137">
        <f>IF(SER_hh_tes_in!I21=0,"",SER_hh_tes_in!I21/SER_hh_fec_in!I21)</f>
        <v>0.55308243115667066</v>
      </c>
      <c r="J21" s="137">
        <f>IF(SER_hh_tes_in!J21=0,"",SER_hh_tes_in!J21/SER_hh_fec_in!J21)</f>
        <v>0.5572002259273382</v>
      </c>
      <c r="K21" s="137">
        <f>IF(SER_hh_tes_in!K21=0,"",SER_hh_tes_in!K21/SER_hh_fec_in!K21)</f>
        <v>0.56218829217183197</v>
      </c>
      <c r="L21" s="137">
        <f>IF(SER_hh_tes_in!L21=0,"",SER_hh_tes_in!L21/SER_hh_fec_in!L21)</f>
        <v>0.56810975839084399</v>
      </c>
      <c r="M21" s="137">
        <f>IF(SER_hh_tes_in!M21=0,"",SER_hh_tes_in!M21/SER_hh_fec_in!M21)</f>
        <v>0.58056398925249908</v>
      </c>
      <c r="N21" s="137">
        <f>IF(SER_hh_tes_in!N21=0,"",SER_hh_tes_in!N21/SER_hh_fec_in!N21)</f>
        <v>0.60132821925361446</v>
      </c>
      <c r="O21" s="137">
        <f>IF(SER_hh_tes_in!O21=0,"",SER_hh_tes_in!O21/SER_hh_fec_in!O21)</f>
        <v>0.63188603638558349</v>
      </c>
      <c r="P21" s="137">
        <f>IF(SER_hh_tes_in!P21=0,"",SER_hh_tes_in!P21/SER_hh_fec_in!P21)</f>
        <v>0.66911935532677869</v>
      </c>
      <c r="Q21" s="137">
        <f>IF(SER_hh_tes_in!Q21=0,"",SER_hh_tes_in!Q21/SER_hh_fec_in!Q21)</f>
        <v>0.70292542018164683</v>
      </c>
      <c r="R21" s="137">
        <f>IF(SER_hh_tes_in!R21=0,"",SER_hh_tes_in!R21/SER_hh_fec_in!R21)</f>
        <v>0.72574037833084926</v>
      </c>
      <c r="S21" s="137">
        <f>IF(SER_hh_tes_in!S21=0,"",SER_hh_tes_in!S21/SER_hh_fec_in!S21)</f>
        <v>0.74772570163828767</v>
      </c>
      <c r="T21" s="137">
        <f>IF(SER_hh_tes_in!T21=0,"",SER_hh_tes_in!T21/SER_hh_fec_in!T21)</f>
        <v>0.7676369378412321</v>
      </c>
      <c r="U21" s="137">
        <f>IF(SER_hh_tes_in!U21=0,"",SER_hh_tes_in!U21/SER_hh_fec_in!U21)</f>
        <v>0.78422963467702322</v>
      </c>
      <c r="V21" s="137">
        <f>IF(SER_hh_tes_in!V21=0,"",SER_hh_tes_in!V21/SER_hh_fec_in!V21)</f>
        <v>0.79625933988297182</v>
      </c>
      <c r="W21" s="137">
        <f>IF(SER_hh_tes_in!W21=0,"",SER_hh_tes_in!W21/SER_hh_fec_in!W21)</f>
        <v>0.80191797035096035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0.50584675970881821</v>
      </c>
      <c r="D22" s="137">
        <f>IF(SER_hh_tes_in!D22=0,"",SER_hh_tes_in!D22/SER_hh_fec_in!D22)</f>
        <v>0.50806287999699962</v>
      </c>
      <c r="E22" s="137">
        <f>IF(SER_hh_tes_in!E22=0,"",SER_hh_tes_in!E22/SER_hh_fec_in!E22)</f>
        <v>0.51064586554641522</v>
      </c>
      <c r="F22" s="137">
        <f>IF(SER_hh_tes_in!F22=0,"",SER_hh_tes_in!F22/SER_hh_fec_in!F22)</f>
        <v>0.51327887817690809</v>
      </c>
      <c r="G22" s="137">
        <f>IF(SER_hh_tes_in!G22=0,"",SER_hh_tes_in!G22/SER_hh_fec_in!G22)</f>
        <v>0.51624975213433366</v>
      </c>
      <c r="H22" s="137">
        <f>IF(SER_hh_tes_in!H22=0,"",SER_hh_tes_in!H22/SER_hh_fec_in!H22)</f>
        <v>0.51952326017133443</v>
      </c>
      <c r="I22" s="137">
        <f>IF(SER_hh_tes_in!I22=0,"",SER_hh_tes_in!I22/SER_hh_fec_in!I22)</f>
        <v>0.52317032465449953</v>
      </c>
      <c r="J22" s="137">
        <f>IF(SER_hh_tes_in!J22=0,"",SER_hh_tes_in!J22/SER_hh_fec_in!J22)</f>
        <v>0.52748148948640261</v>
      </c>
      <c r="K22" s="137">
        <f>IF(SER_hh_tes_in!K22=0,"",SER_hh_tes_in!K22/SER_hh_fec_in!K22)</f>
        <v>0.53270379340636642</v>
      </c>
      <c r="L22" s="137">
        <f>IF(SER_hh_tes_in!L22=0,"",SER_hh_tes_in!L22/SER_hh_fec_in!L22)</f>
        <v>0.53890332940523533</v>
      </c>
      <c r="M22" s="137">
        <f>IF(SER_hh_tes_in!M22=0,"",SER_hh_tes_in!M22/SER_hh_fec_in!M22)</f>
        <v>0.55194240616584433</v>
      </c>
      <c r="N22" s="137">
        <f>IF(SER_hh_tes_in!N22=0,"",SER_hh_tes_in!N22/SER_hh_fec_in!N22)</f>
        <v>0.57368171643454025</v>
      </c>
      <c r="O22" s="137">
        <f>IF(SER_hh_tes_in!O22=0,"",SER_hh_tes_in!O22/SER_hh_fec_in!O22)</f>
        <v>0.60567451692510788</v>
      </c>
      <c r="P22" s="137">
        <f>IF(SER_hh_tes_in!P22=0,"",SER_hh_tes_in!P22/SER_hh_fec_in!P22)</f>
        <v>0.64465629822653192</v>
      </c>
      <c r="Q22" s="137">
        <f>IF(SER_hh_tes_in!Q22=0,"",SER_hh_tes_in!Q22/SER_hh_fec_in!Q22)</f>
        <v>0.68004988290576907</v>
      </c>
      <c r="R22" s="137">
        <f>IF(SER_hh_tes_in!R22=0,"",SER_hh_tes_in!R22/SER_hh_fec_in!R22)</f>
        <v>0.70393622272892542</v>
      </c>
      <c r="S22" s="137">
        <f>IF(SER_hh_tes_in!S22=0,"",SER_hh_tes_in!S22/SER_hh_fec_in!S22)</f>
        <v>0.72695396837672033</v>
      </c>
      <c r="T22" s="137">
        <f>IF(SER_hh_tes_in!T22=0,"",SER_hh_tes_in!T22/SER_hh_fec_in!T22)</f>
        <v>0.74780022858602502</v>
      </c>
      <c r="U22" s="137">
        <f>IF(SER_hh_tes_in!U22=0,"",SER_hh_tes_in!U22/SER_hh_fec_in!U22)</f>
        <v>0.76517211209378322</v>
      </c>
      <c r="V22" s="137">
        <f>IF(SER_hh_tes_in!V22=0,"",SER_hh_tes_in!V22/SER_hh_fec_in!V22)</f>
        <v>0.7777667276369078</v>
      </c>
      <c r="W22" s="137">
        <f>IF(SER_hh_tes_in!W22=0,"",SER_hh_tes_in!W22/SER_hh_fec_in!W22)</f>
        <v>0.78369108521881126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0.55214405971214908</v>
      </c>
      <c r="D23" s="137">
        <f>IF(SER_hh_tes_in!D23=0,"",SER_hh_tes_in!D23/SER_hh_fec_in!D23)</f>
        <v>0.55817972692976481</v>
      </c>
      <c r="E23" s="137">
        <f>IF(SER_hh_tes_in!E23=0,"",SER_hh_tes_in!E23/SER_hh_fec_in!E23)</f>
        <v>0.56447635630978998</v>
      </c>
      <c r="F23" s="137">
        <f>IF(SER_hh_tes_in!F23=0,"",SER_hh_tes_in!F23/SER_hh_fec_in!F23)</f>
        <v>0.57082388101411474</v>
      </c>
      <c r="G23" s="137">
        <f>IF(SER_hh_tes_in!G23=0,"",SER_hh_tes_in!G23/SER_hh_fec_in!G23)</f>
        <v>0.57740960482616188</v>
      </c>
      <c r="H23" s="137">
        <f>IF(SER_hh_tes_in!H23=0,"",SER_hh_tes_in!H23/SER_hh_fec_in!H23)</f>
        <v>0.58420816939495279</v>
      </c>
      <c r="I23" s="137">
        <f>IF(SER_hh_tes_in!I23=0,"",SER_hh_tes_in!I23/SER_hh_fec_in!I23)</f>
        <v>0.59126326898684967</v>
      </c>
      <c r="J23" s="137">
        <f>IF(SER_hh_tes_in!J23=0,"",SER_hh_tes_in!J23/SER_hh_fec_in!J23)</f>
        <v>0.59875953913620727</v>
      </c>
      <c r="K23" s="137">
        <f>IF(SER_hh_tes_in!K23=0,"",SER_hh_tes_in!K23/SER_hh_fec_in!K23)</f>
        <v>0.6068509378723892</v>
      </c>
      <c r="L23" s="137">
        <f>IF(SER_hh_tes_in!L23=0,"",SER_hh_tes_in!L23/SER_hh_fec_in!L23)</f>
        <v>0.61557336280280717</v>
      </c>
      <c r="M23" s="137">
        <f>IF(SER_hh_tes_in!M23=0,"",SER_hh_tes_in!M23/SER_hh_fec_in!M23)</f>
        <v>0.62876390877644639</v>
      </c>
      <c r="N23" s="137">
        <f>IF(SER_hh_tes_in!N23=0,"",SER_hh_tes_in!N23/SER_hh_fec_in!N23)</f>
        <v>0.64760367096038296</v>
      </c>
      <c r="O23" s="137">
        <f>IF(SER_hh_tes_in!O23=0,"",SER_hh_tes_in!O23/SER_hh_fec_in!O23)</f>
        <v>0.67296474427140551</v>
      </c>
      <c r="P23" s="137">
        <f>IF(SER_hh_tes_in!P23=0,"",SER_hh_tes_in!P23/SER_hh_fec_in!P23)</f>
        <v>0.70247640289256597</v>
      </c>
      <c r="Q23" s="137">
        <f>IF(SER_hh_tes_in!Q23=0,"",SER_hh_tes_in!Q23/SER_hh_fec_in!Q23)</f>
        <v>0.72870121460635495</v>
      </c>
      <c r="R23" s="137">
        <f>IF(SER_hh_tes_in!R23=0,"",SER_hh_tes_in!R23/SER_hh_fec_in!R23)</f>
        <v>0.74594469159430976</v>
      </c>
      <c r="S23" s="137">
        <f>IF(SER_hh_tes_in!S23=0,"",SER_hh_tes_in!S23/SER_hh_fec_in!S23)</f>
        <v>0.76167825386830112</v>
      </c>
      <c r="T23" s="137">
        <f>IF(SER_hh_tes_in!T23=0,"",SER_hh_tes_in!T23/SER_hh_fec_in!T23)</f>
        <v>0.77549345983862472</v>
      </c>
      <c r="U23" s="137">
        <f>IF(SER_hh_tes_in!U23=0,"",SER_hh_tes_in!U23/SER_hh_fec_in!U23)</f>
        <v>0.78693523433982704</v>
      </c>
      <c r="V23" s="137">
        <f>IF(SER_hh_tes_in!V23=0,"",SER_hh_tes_in!V23/SER_hh_fec_in!V23)</f>
        <v>0.79550420284238288</v>
      </c>
      <c r="W23" s="137">
        <f>IF(SER_hh_tes_in!W23=0,"",SER_hh_tes_in!W23/SER_hh_fec_in!W23)</f>
        <v>0.79992677433084236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0.77173599815496896</v>
      </c>
      <c r="D25" s="137">
        <f>IF(SER_hh_tes_in!D25=0,"",SER_hh_tes_in!D25/SER_hh_fec_in!D25)</f>
        <v>0.77375011020875628</v>
      </c>
      <c r="E25" s="137">
        <f>IF(SER_hh_tes_in!E25=0,"",SER_hh_tes_in!E25/SER_hh_fec_in!E25)</f>
        <v>0.77581859803334996</v>
      </c>
      <c r="F25" s="137">
        <f>IF(SER_hh_tes_in!F25=0,"",SER_hh_tes_in!F25/SER_hh_fec_in!F25)</f>
        <v>0.77789450073578081</v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>
        <f>IF(SER_hh_tes_in!I25=0,"",SER_hh_tes_in!I25/SER_hh_fec_in!I25)</f>
        <v>0.78441751822251016</v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>
        <f>IF(SER_hh_tes_in!L25=0,"",SER_hh_tes_in!L25/SER_hh_fec_in!L25)</f>
        <v>0.79180635558203416</v>
      </c>
      <c r="M25" s="137">
        <f>IF(SER_hh_tes_in!M25=0,"",SER_hh_tes_in!M25/SER_hh_fec_in!M25)</f>
        <v>0.79541264295392233</v>
      </c>
      <c r="N25" s="137">
        <f>IF(SER_hh_tes_in!N25=0,"",SER_hh_tes_in!N25/SER_hh_fec_in!N25)</f>
        <v>0.8002916317180776</v>
      </c>
      <c r="O25" s="137">
        <f>IF(SER_hh_tes_in!O25=0,"",SER_hh_tes_in!O25/SER_hh_fec_in!O25)</f>
        <v>0.80668083117611167</v>
      </c>
      <c r="P25" s="137">
        <f>IF(SER_hh_tes_in!P25=0,"",SER_hh_tes_in!P25/SER_hh_fec_in!P25)</f>
        <v>0.81412836246820108</v>
      </c>
      <c r="Q25" s="137">
        <f>IF(SER_hh_tes_in!Q25=0,"",SER_hh_tes_in!Q25/SER_hh_fec_in!Q25)</f>
        <v>0.82115493736533973</v>
      </c>
      <c r="R25" s="137">
        <f>IF(SER_hh_tes_in!R25=0,"",SER_hh_tes_in!R25/SER_hh_fec_in!R25)</f>
        <v>0.82653916719098486</v>
      </c>
      <c r="S25" s="137">
        <f>IF(SER_hh_tes_in!S25=0,"",SER_hh_tes_in!S25/SER_hh_fec_in!S25)</f>
        <v>0.83177712273876558</v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0.63883889233504243</v>
      </c>
      <c r="D26" s="138">
        <f>IF(SER_hh_tes_in!D26=0,"",SER_hh_tes_in!D26/SER_hh_fec_in!D26)</f>
        <v>0.64143491273720799</v>
      </c>
      <c r="E26" s="138">
        <f>IF(SER_hh_tes_in!E26=0,"",SER_hh_tes_in!E26/SER_hh_fec_in!E26)</f>
        <v>0.64423060382183761</v>
      </c>
      <c r="F26" s="138">
        <f>IF(SER_hh_tes_in!F26=0,"",SER_hh_tes_in!F26/SER_hh_fec_in!F26)</f>
        <v>0.64705315007298425</v>
      </c>
      <c r="G26" s="138">
        <f>IF(SER_hh_tes_in!G26=0,"",SER_hh_tes_in!G26/SER_hh_fec_in!G26)</f>
        <v>0.65006118178067129</v>
      </c>
      <c r="H26" s="138">
        <f>IF(SER_hh_tes_in!H26=0,"",SER_hh_tes_in!H26/SER_hh_fec_in!H26)</f>
        <v>0.65323691862216826</v>
      </c>
      <c r="I26" s="138">
        <f>IF(SER_hh_tes_in!I26=0,"",SER_hh_tes_in!I26/SER_hh_fec_in!I26)</f>
        <v>0.65662167489761714</v>
      </c>
      <c r="J26" s="138">
        <f>IF(SER_hh_tes_in!J26=0,"",SER_hh_tes_in!J26/SER_hh_fec_in!J26)</f>
        <v>0.66038082515669783</v>
      </c>
      <c r="K26" s="138">
        <f>IF(SER_hh_tes_in!K26=0,"",SER_hh_tes_in!K26/SER_hh_fec_in!K26)</f>
        <v>0.6646609243745053</v>
      </c>
      <c r="L26" s="138">
        <f>IF(SER_hh_tes_in!L26=0,"",SER_hh_tes_in!L26/SER_hh_fec_in!L26)</f>
        <v>0.66951326492404339</v>
      </c>
      <c r="M26" s="138">
        <f>IF(SER_hh_tes_in!M26=0,"",SER_hh_tes_in!M26/SER_hh_fec_in!M26)</f>
        <v>0.67830009080745546</v>
      </c>
      <c r="N26" s="138">
        <f>IF(SER_hh_tes_in!N26=0,"",SER_hh_tes_in!N26/SER_hh_fec_in!N26)</f>
        <v>0.69249872152420955</v>
      </c>
      <c r="O26" s="138">
        <f>IF(SER_hh_tes_in!O26=0,"",SER_hh_tes_in!O26/SER_hh_fec_in!O26)</f>
        <v>0.7140036469896367</v>
      </c>
      <c r="P26" s="138">
        <f>IF(SER_hh_tes_in!P26=0,"",SER_hh_tes_in!P26/SER_hh_fec_in!P26)</f>
        <v>0.74197879442555292</v>
      </c>
      <c r="Q26" s="138">
        <f>IF(SER_hh_tes_in!Q26=0,"",SER_hh_tes_in!Q26/SER_hh_fec_in!Q26)</f>
        <v>0.76942914213107638</v>
      </c>
      <c r="R26" s="138">
        <f>IF(SER_hh_tes_in!R26=0,"",SER_hh_tes_in!R26/SER_hh_fec_in!R26)</f>
        <v>0.78910707970323579</v>
      </c>
      <c r="S26" s="138">
        <f>IF(SER_hh_tes_in!S26=0,"",SER_hh_tes_in!S26/SER_hh_fec_in!S26)</f>
        <v>0.80859102269443617</v>
      </c>
      <c r="T26" s="138">
        <f>IF(SER_hh_tes_in!T26=0,"",SER_hh_tes_in!T26/SER_hh_fec_in!T26)</f>
        <v>0.82747242901296825</v>
      </c>
      <c r="U26" s="138">
        <f>IF(SER_hh_tes_in!U26=0,"",SER_hh_tes_in!U26/SER_hh_fec_in!U26)</f>
        <v>0.84520908754149271</v>
      </c>
      <c r="V26" s="138">
        <f>IF(SER_hh_tes_in!V26=0,"",SER_hh_tes_in!V26/SER_hh_fec_in!V26)</f>
        <v>0.86096913786427642</v>
      </c>
      <c r="W26" s="138">
        <f>IF(SER_hh_tes_in!W26=0,"",SER_hh_tes_in!W26/SER_hh_fec_in!W26)</f>
        <v>0.87337534425434371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0.66076610869006192</v>
      </c>
      <c r="D29" s="136">
        <f>IF(SER_hh_tes_in!D29=0,"",SER_hh_tes_in!D29/SER_hh_fec_in!D29)</f>
        <v>0.58965828444159418</v>
      </c>
      <c r="E29" s="136">
        <f>IF(SER_hh_tes_in!E29=0,"",SER_hh_tes_in!E29/SER_hh_fec_in!E29)</f>
        <v>0.58361191712218607</v>
      </c>
      <c r="F29" s="136">
        <f>IF(SER_hh_tes_in!F29=0,"",SER_hh_tes_in!F29/SER_hh_fec_in!F29)</f>
        <v>0.57154436464091285</v>
      </c>
      <c r="G29" s="136">
        <f>IF(SER_hh_tes_in!G29=0,"",SER_hh_tes_in!G29/SER_hh_fec_in!G29)</f>
        <v>0.55781309119278844</v>
      </c>
      <c r="H29" s="136">
        <f>IF(SER_hh_tes_in!H29=0,"",SER_hh_tes_in!H29/SER_hh_fec_in!H29)</f>
        <v>0.62220347049063585</v>
      </c>
      <c r="I29" s="136">
        <f>IF(SER_hh_tes_in!I29=0,"",SER_hh_tes_in!I29/SER_hh_fec_in!I29)</f>
        <v>0.62389594036084228</v>
      </c>
      <c r="J29" s="136">
        <f>IF(SER_hh_tes_in!J29=0,"",SER_hh_tes_in!J29/SER_hh_fec_in!J29)</f>
        <v>0.65826347674120855</v>
      </c>
      <c r="K29" s="136">
        <f>IF(SER_hh_tes_in!K29=0,"",SER_hh_tes_in!K29/SER_hh_fec_in!K29)</f>
        <v>0.67683279293037879</v>
      </c>
      <c r="L29" s="136">
        <f>IF(SER_hh_tes_in!L29=0,"",SER_hh_tes_in!L29/SER_hh_fec_in!L29)</f>
        <v>0.68348841754065248</v>
      </c>
      <c r="M29" s="136">
        <f>IF(SER_hh_tes_in!M29=0,"",SER_hh_tes_in!M29/SER_hh_fec_in!M29)</f>
        <v>0.66181127800688444</v>
      </c>
      <c r="N29" s="136">
        <f>IF(SER_hh_tes_in!N29=0,"",SER_hh_tes_in!N29/SER_hh_fec_in!N29)</f>
        <v>0.5704829192173182</v>
      </c>
      <c r="O29" s="136">
        <f>IF(SER_hh_tes_in!O29=0,"",SER_hh_tes_in!O29/SER_hh_fec_in!O29)</f>
        <v>0.55376529296379362</v>
      </c>
      <c r="P29" s="136">
        <f>IF(SER_hh_tes_in!P29=0,"",SER_hh_tes_in!P29/SER_hh_fec_in!P29)</f>
        <v>0.54607238175999728</v>
      </c>
      <c r="Q29" s="136">
        <f>IF(SER_hh_tes_in!Q29=0,"",SER_hh_tes_in!Q29/SER_hh_fec_in!Q29)</f>
        <v>0.57429628221245743</v>
      </c>
      <c r="R29" s="136">
        <f>IF(SER_hh_tes_in!R29=0,"",SER_hh_tes_in!R29/SER_hh_fec_in!R29)</f>
        <v>0.62433761978740443</v>
      </c>
      <c r="S29" s="136">
        <f>IF(SER_hh_tes_in!S29=0,"",SER_hh_tes_in!S29/SER_hh_fec_in!S29)</f>
        <v>0.65108688893273825</v>
      </c>
      <c r="T29" s="136">
        <f>IF(SER_hh_tes_in!T29=0,"",SER_hh_tes_in!T29/SER_hh_fec_in!T29)</f>
        <v>0.65412110231060128</v>
      </c>
      <c r="U29" s="136">
        <f>IF(SER_hh_tes_in!U29=0,"",SER_hh_tes_in!U29/SER_hh_fec_in!U29)</f>
        <v>0.73635548531979322</v>
      </c>
      <c r="V29" s="136">
        <f>IF(SER_hh_tes_in!V29=0,"",SER_hh_tes_in!V29/SER_hh_fec_in!V29)</f>
        <v>0.77622103840366308</v>
      </c>
      <c r="W29" s="136">
        <f>IF(SER_hh_tes_in!W29=0,"",SER_hh_tes_in!W29/SER_hh_fec_in!W29)</f>
        <v>0.77157938184817199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0.52590297067277425</v>
      </c>
      <c r="D30" s="137">
        <f>IF(SER_hh_tes_in!D30=0,"",SER_hh_tes_in!D30/SER_hh_fec_in!D30)</f>
        <v>0.52712795358016074</v>
      </c>
      <c r="E30" s="137">
        <f>IF(SER_hh_tes_in!E30=0,"",SER_hh_tes_in!E30/SER_hh_fec_in!E30)</f>
        <v>0.52833566049535929</v>
      </c>
      <c r="F30" s="137">
        <f>IF(SER_hh_tes_in!F30=0,"",SER_hh_tes_in!F30/SER_hh_fec_in!F30)</f>
        <v>0.52954101159344147</v>
      </c>
      <c r="G30" s="137">
        <f>IF(SER_hh_tes_in!G30=0,"",SER_hh_tes_in!G30/SER_hh_fec_in!G30)</f>
        <v>0.53073045251887618</v>
      </c>
      <c r="H30" s="137">
        <f>IF(SER_hh_tes_in!H30=0,"",SER_hh_tes_in!H30/SER_hh_fec_in!H30)</f>
        <v>0.53190564215222447</v>
      </c>
      <c r="I30" s="137">
        <f>IF(SER_hh_tes_in!I30=0,"",SER_hh_tes_in!I30/SER_hh_fec_in!I30)</f>
        <v>0.53306324069988698</v>
      </c>
      <c r="J30" s="137">
        <f>IF(SER_hh_tes_in!J30=0,"",SER_hh_tes_in!J30/SER_hh_fec_in!J30)</f>
        <v>0.53418956620633062</v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>
        <f>IF(SER_hh_tes_in!N30=0,"",SER_hh_tes_in!N30/SER_hh_fec_in!N30)</f>
        <v>0.53686864477137208</v>
      </c>
      <c r="O30" s="137">
        <f>IF(SER_hh_tes_in!O30=0,"",SER_hh_tes_in!O30/SER_hh_fec_in!O30)</f>
        <v>0.53686864477137208</v>
      </c>
      <c r="P30" s="137">
        <f>IF(SER_hh_tes_in!P30=0,"",SER_hh_tes_in!P30/SER_hh_fec_in!P30)</f>
        <v>0.53686864477137208</v>
      </c>
      <c r="Q30" s="137">
        <f>IF(SER_hh_tes_in!Q30=0,"",SER_hh_tes_in!Q30/SER_hh_fec_in!Q30)</f>
        <v>0.53686864477137208</v>
      </c>
      <c r="R30" s="137">
        <f>IF(SER_hh_tes_in!R30=0,"",SER_hh_tes_in!R30/SER_hh_fec_in!R30)</f>
        <v>0.54039555575106446</v>
      </c>
      <c r="S30" s="137">
        <f>IF(SER_hh_tes_in!S30=0,"",SER_hh_tes_in!S30/SER_hh_fec_in!S30)</f>
        <v>0.54616285431019695</v>
      </c>
      <c r="T30" s="137">
        <f>IF(SER_hh_tes_in!T30=0,"",SER_hh_tes_in!T30/SER_hh_fec_in!T30)</f>
        <v>0.55289136929584648</v>
      </c>
      <c r="U30" s="137">
        <f>IF(SER_hh_tes_in!U30=0,"",SER_hh_tes_in!U30/SER_hh_fec_in!U30)</f>
        <v>0.55986018838812779</v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0.52863998142141799</v>
      </c>
      <c r="D31" s="137">
        <f>IF(SER_hh_tes_in!D31=0,"",SER_hh_tes_in!D31/SER_hh_fec_in!D31)</f>
        <v>0.52983475260141433</v>
      </c>
      <c r="E31" s="137">
        <f>IF(SER_hh_tes_in!E31=0,"",SER_hh_tes_in!E31/SER_hh_fec_in!E31)</f>
        <v>0.53101267386665085</v>
      </c>
      <c r="F31" s="137">
        <f>IF(SER_hh_tes_in!F31=0,"",SER_hh_tes_in!F31/SER_hh_fec_in!F31)</f>
        <v>0.53218829741623819</v>
      </c>
      <c r="G31" s="137">
        <f>IF(SER_hh_tes_in!G31=0,"",SER_hh_tes_in!G31/SER_hh_fec_in!G31)</f>
        <v>0.53334840318542776</v>
      </c>
      <c r="H31" s="137">
        <f>IF(SER_hh_tes_in!H31=0,"",SER_hh_tes_in!H31/SER_hh_fec_in!H31)</f>
        <v>0.53449460914184466</v>
      </c>
      <c r="I31" s="137">
        <f>IF(SER_hh_tes_in!I31=0,"",SER_hh_tes_in!I31/SER_hh_fec_in!I31)</f>
        <v>0.53562365786114752</v>
      </c>
      <c r="J31" s="137">
        <f>IF(SER_hh_tes_in!J31=0,"",SER_hh_tes_in!J31/SER_hh_fec_in!J31)</f>
        <v>0.53672220482558242</v>
      </c>
      <c r="K31" s="137">
        <f>IF(SER_hh_tes_in!K31=0,"",SER_hh_tes_in!K31/SER_hh_fec_in!K31)</f>
        <v>0.5377789036850309</v>
      </c>
      <c r="L31" s="137">
        <f>IF(SER_hh_tes_in!L31=0,"",SER_hh_tes_in!L31/SER_hh_fec_in!L31)</f>
        <v>0.53879071882565943</v>
      </c>
      <c r="M31" s="137">
        <f>IF(SER_hh_tes_in!M31=0,"",SER_hh_tes_in!M31/SER_hh_fec_in!M31)</f>
        <v>0.53933520933295709</v>
      </c>
      <c r="N31" s="137">
        <f>IF(SER_hh_tes_in!N31=0,"",SER_hh_tes_in!N31/SER_hh_fec_in!N31)</f>
        <v>0.53933520933295709</v>
      </c>
      <c r="O31" s="137">
        <f>IF(SER_hh_tes_in!O31=0,"",SER_hh_tes_in!O31/SER_hh_fec_in!O31)</f>
        <v>0.53933520933295709</v>
      </c>
      <c r="P31" s="137">
        <f>IF(SER_hh_tes_in!P31=0,"",SER_hh_tes_in!P31/SER_hh_fec_in!P31)</f>
        <v>0.53933520933295709</v>
      </c>
      <c r="Q31" s="137">
        <f>IF(SER_hh_tes_in!Q31=0,"",SER_hh_tes_in!Q31/SER_hh_fec_in!Q31)</f>
        <v>0.53933520933295709</v>
      </c>
      <c r="R31" s="137">
        <f>IF(SER_hh_tes_in!R31=0,"",SER_hh_tes_in!R31/SER_hh_fec_in!R31)</f>
        <v>0.54277513618217332</v>
      </c>
      <c r="S31" s="137">
        <f>IF(SER_hh_tes_in!S31=0,"",SER_hh_tes_in!S31/SER_hh_fec_in!S31)</f>
        <v>0.54840019597960987</v>
      </c>
      <c r="T31" s="137">
        <f>IF(SER_hh_tes_in!T31=0,"",SER_hh_tes_in!T31/SER_hh_fec_in!T31)</f>
        <v>0.55496276574328118</v>
      </c>
      <c r="U31" s="137">
        <f>IF(SER_hh_tes_in!U31=0,"",SER_hh_tes_in!U31/SER_hh_fec_in!U31)</f>
        <v>0.56175971299851335</v>
      </c>
      <c r="V31" s="137">
        <f>IF(SER_hh_tes_in!V31=0,"",SER_hh_tes_in!V31/SER_hh_fec_in!V31)</f>
        <v>0.56808790527062591</v>
      </c>
      <c r="W31" s="137">
        <f>IF(SER_hh_tes_in!W31=0,"",SER_hh_tes_in!W31/SER_hh_fec_in!W31)</f>
        <v>0.57394734255961621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>
        <f>IF(SER_hh_tes_in!N32=0,"",SER_hh_tes_in!N32/SER_hh_fec_in!N32)</f>
        <v>0.57548111917463396</v>
      </c>
      <c r="O32" s="137">
        <f>IF(SER_hh_tes_in!O32=0,"",SER_hh_tes_in!O32/SER_hh_fec_in!O32)</f>
        <v>0.57548111917463396</v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>
        <f>IF(SER_hh_tes_in!W32=0,"",SER_hh_tes_in!W32/SER_hh_fec_in!W32)</f>
        <v>0.58662333068956829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0.69481481310050797</v>
      </c>
      <c r="D33" s="150">
        <f>IF(SER_hh_tes_in!D33=0,"",SER_hh_tes_in!D33/SER_hh_fec_in!D33)</f>
        <v>0.69656808791401548</v>
      </c>
      <c r="E33" s="150">
        <f>IF(SER_hh_tes_in!E33=0,"",SER_hh_tes_in!E33/SER_hh_fec_in!E33)</f>
        <v>0.69838619458050921</v>
      </c>
      <c r="F33" s="150">
        <f>IF(SER_hh_tes_in!F33=0,"",SER_hh_tes_in!F33/SER_hh_fec_in!F33)</f>
        <v>0.70021314195422857</v>
      </c>
      <c r="G33" s="150">
        <f>IF(SER_hh_tes_in!G33=0,"",SER_hh_tes_in!G33/SER_hh_fec_in!G33)</f>
        <v>0.70209979565120073</v>
      </c>
      <c r="H33" s="150">
        <f>IF(SER_hh_tes_in!H33=0,"",SER_hh_tes_in!H33/SER_hh_fec_in!H33)</f>
        <v>0.70403993036757984</v>
      </c>
      <c r="I33" s="150">
        <f>IF(SER_hh_tes_in!I33=0,"",SER_hh_tes_in!I33/SER_hh_fec_in!I33)</f>
        <v>0.70604607939264119</v>
      </c>
      <c r="J33" s="150">
        <f>IF(SER_hh_tes_in!J33=0,"",SER_hh_tes_in!J33/SER_hh_fec_in!J33)</f>
        <v>0.70816958718869372</v>
      </c>
      <c r="K33" s="150">
        <f>IF(SER_hh_tes_in!K33=0,"",SER_hh_tes_in!K33/SER_hh_fec_in!K33)</f>
        <v>0.71045411005389891</v>
      </c>
      <c r="L33" s="150">
        <f>IF(SER_hh_tes_in!L33=0,"",SER_hh_tes_in!L33/SER_hh_fec_in!L33)</f>
        <v>0.71291132783783262</v>
      </c>
      <c r="M33" s="150">
        <f>IF(SER_hh_tes_in!M33=0,"",SER_hh_tes_in!M33/SER_hh_fec_in!M33)</f>
        <v>0.71625445192729609</v>
      </c>
      <c r="N33" s="150" t="str">
        <f>IF(SER_hh_tes_in!N33=0,"",SER_hh_tes_in!N33/SER_hh_fec_in!N33)</f>
        <v/>
      </c>
      <c r="O33" s="150">
        <f>IF(SER_hh_tes_in!O33=0,"",SER_hh_tes_in!O33/SER_hh_fec_in!O33)</f>
        <v>0.72669684728430284</v>
      </c>
      <c r="P33" s="150">
        <f>IF(SER_hh_tes_in!P33=0,"",SER_hh_tes_in!P33/SER_hh_fec_in!P33)</f>
        <v>0.7345461051457548</v>
      </c>
      <c r="Q33" s="150">
        <f>IF(SER_hh_tes_in!Q33=0,"",SER_hh_tes_in!Q33/SER_hh_fec_in!Q33)</f>
        <v>0.74466275274968596</v>
      </c>
      <c r="R33" s="150">
        <f>IF(SER_hh_tes_in!R33=0,"",SER_hh_tes_in!R33/SER_hh_fec_in!R33)</f>
        <v>0.75842489188029549</v>
      </c>
      <c r="S33" s="150">
        <f>IF(SER_hh_tes_in!S33=0,"",SER_hh_tes_in!S33/SER_hh_fec_in!S33)</f>
        <v>0.77560132871124965</v>
      </c>
      <c r="T33" s="150">
        <f>IF(SER_hh_tes_in!T33=0,"",SER_hh_tes_in!T33/SER_hh_fec_in!T33)</f>
        <v>0.7940687840279641</v>
      </c>
      <c r="U33" s="150">
        <f>IF(SER_hh_tes_in!U33=0,"",SER_hh_tes_in!U33/SER_hh_fec_in!U33)</f>
        <v>0.8117039786159066</v>
      </c>
      <c r="V33" s="150">
        <f>IF(SER_hh_tes_in!V33=0,"",SER_hh_tes_in!V33/SER_hh_fec_in!V33)</f>
        <v>0.82638363326052167</v>
      </c>
      <c r="W33" s="150">
        <f>IF(SER_hh_tes_in!W33=0,"",SER_hh_tes_in!W33/SER_hh_fec_in!W33)</f>
        <v>0.83736190845314151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46.029278637439624</v>
      </c>
      <c r="D3" s="126">
        <f t="shared" si="0"/>
        <v>18.460878207887482</v>
      </c>
      <c r="E3" s="126">
        <f t="shared" si="0"/>
        <v>12.20440194863253</v>
      </c>
      <c r="F3" s="126">
        <f t="shared" si="0"/>
        <v>26.021940869420163</v>
      </c>
      <c r="G3" s="126">
        <f t="shared" si="0"/>
        <v>25.002472134856333</v>
      </c>
      <c r="H3" s="126">
        <f t="shared" si="0"/>
        <v>17.90727810731839</v>
      </c>
      <c r="I3" s="126">
        <f t="shared" si="0"/>
        <v>17.220592564497871</v>
      </c>
      <c r="J3" s="126">
        <f t="shared" si="0"/>
        <v>9.6350009536327814</v>
      </c>
      <c r="K3" s="126">
        <f t="shared" si="0"/>
        <v>5.7958356574982712</v>
      </c>
      <c r="L3" s="126">
        <f t="shared" si="0"/>
        <v>4.0659429858153953</v>
      </c>
      <c r="M3" s="126">
        <f t="shared" si="0"/>
        <v>5.6118098559868193</v>
      </c>
      <c r="N3" s="126">
        <f t="shared" si="0"/>
        <v>2.8201339494958155</v>
      </c>
      <c r="O3" s="126">
        <f t="shared" si="0"/>
        <v>11.351138878214645</v>
      </c>
      <c r="P3" s="126">
        <f t="shared" si="0"/>
        <v>10.381529955244766</v>
      </c>
      <c r="Q3" s="126">
        <f t="shared" si="0"/>
        <v>12.568828095627778</v>
      </c>
      <c r="R3" s="126">
        <f t="shared" ref="R3:W3" si="1">SUM(R4,R16,R19,R29)</f>
        <v>13.891528331758966</v>
      </c>
      <c r="S3" s="126">
        <f t="shared" si="1"/>
        <v>16.709862393369022</v>
      </c>
      <c r="T3" s="126">
        <f t="shared" si="1"/>
        <v>11.231962978105454</v>
      </c>
      <c r="U3" s="126">
        <f t="shared" si="1"/>
        <v>8.9505013794335611</v>
      </c>
      <c r="V3" s="126">
        <f t="shared" si="1"/>
        <v>3.6119720393219037</v>
      </c>
      <c r="W3" s="126">
        <f t="shared" si="1"/>
        <v>5.4314316511808869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38.999534902675428</v>
      </c>
      <c r="D4" s="131">
        <f t="shared" si="2"/>
        <v>10.232951686884068</v>
      </c>
      <c r="E4" s="131">
        <f t="shared" si="2"/>
        <v>5.1332715743853949</v>
      </c>
      <c r="F4" s="131">
        <f t="shared" si="2"/>
        <v>13.397449958154224</v>
      </c>
      <c r="G4" s="131">
        <f t="shared" si="2"/>
        <v>7.2245197426297194</v>
      </c>
      <c r="H4" s="131">
        <f t="shared" si="2"/>
        <v>4.3250850371422747</v>
      </c>
      <c r="I4" s="131">
        <f t="shared" si="2"/>
        <v>5.2799048082915458</v>
      </c>
      <c r="J4" s="131">
        <f t="shared" si="2"/>
        <v>4.4726209742812069</v>
      </c>
      <c r="K4" s="131">
        <f t="shared" si="2"/>
        <v>3.0399257764495631</v>
      </c>
      <c r="L4" s="131">
        <f t="shared" si="2"/>
        <v>1.5090133368840166</v>
      </c>
      <c r="M4" s="131">
        <f t="shared" si="2"/>
        <v>2.0384626246821114</v>
      </c>
      <c r="N4" s="131">
        <f t="shared" si="2"/>
        <v>0.63288423140238104</v>
      </c>
      <c r="O4" s="131">
        <f t="shared" si="2"/>
        <v>4.6366760895116865</v>
      </c>
      <c r="P4" s="131">
        <f t="shared" si="2"/>
        <v>3.0220289942047982E-2</v>
      </c>
      <c r="Q4" s="131">
        <f t="shared" si="2"/>
        <v>4.1794703507253521</v>
      </c>
      <c r="R4" s="131">
        <f t="shared" ref="R4:W4" si="3">SUM(R5:R15)</f>
        <v>6.9360865829125231</v>
      </c>
      <c r="S4" s="131">
        <f t="shared" si="3"/>
        <v>8.7842186057653713</v>
      </c>
      <c r="T4" s="131">
        <f t="shared" si="3"/>
        <v>2.904621097837357</v>
      </c>
      <c r="U4" s="131">
        <f t="shared" si="3"/>
        <v>3.9489735499072749</v>
      </c>
      <c r="V4" s="131">
        <f t="shared" si="3"/>
        <v>0.51605463283786379</v>
      </c>
      <c r="W4" s="131">
        <f t="shared" si="3"/>
        <v>1.866557200064511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31.688739394201232</v>
      </c>
      <c r="D7" s="133">
        <v>4.6744578050936099</v>
      </c>
      <c r="E7" s="133">
        <v>3.1355105098563265</v>
      </c>
      <c r="F7" s="133">
        <v>11.577688078843838</v>
      </c>
      <c r="G7" s="133">
        <v>7.2138797084035788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3.9828495083976136</v>
      </c>
      <c r="P7" s="133">
        <v>0</v>
      </c>
      <c r="Q7" s="133">
        <v>0</v>
      </c>
      <c r="R7" s="133">
        <v>0.81811809858978402</v>
      </c>
      <c r="S7" s="133">
        <v>3.9547740178258688</v>
      </c>
      <c r="T7" s="133">
        <v>1.1614700727466696</v>
      </c>
      <c r="U7" s="133">
        <v>3.9338119357122201</v>
      </c>
      <c r="V7" s="133">
        <v>0</v>
      </c>
      <c r="W7" s="133">
        <v>0.89988601158456227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2.906905302765788E-2</v>
      </c>
      <c r="D8" s="133">
        <v>2.4906964839537537E-2</v>
      </c>
      <c r="E8" s="133">
        <v>1.2062248239268537E-2</v>
      </c>
      <c r="F8" s="133">
        <v>6.4976592673186891E-3</v>
      </c>
      <c r="G8" s="133">
        <v>1.0640034226140165E-2</v>
      </c>
      <c r="H8" s="133">
        <v>4.367293529735556E-2</v>
      </c>
      <c r="I8" s="133">
        <v>5.0106668782950031E-2</v>
      </c>
      <c r="J8" s="133">
        <v>4.7344863172164457E-2</v>
      </c>
      <c r="K8" s="133">
        <v>3.0555982996733927E-2</v>
      </c>
      <c r="L8" s="133">
        <v>2.729349437588334E-2</v>
      </c>
      <c r="M8" s="133">
        <v>3.3020937848682264E-2</v>
      </c>
      <c r="N8" s="133">
        <v>1.9044560568118957E-2</v>
      </c>
      <c r="O8" s="133">
        <v>3.0607012894468544E-2</v>
      </c>
      <c r="P8" s="133">
        <v>3.0220289942047982E-2</v>
      </c>
      <c r="Q8" s="133">
        <v>3.0336196340298539E-2</v>
      </c>
      <c r="R8" s="133">
        <v>1.4240944602491411E-2</v>
      </c>
      <c r="S8" s="133">
        <v>5.7099034499260345E-3</v>
      </c>
      <c r="T8" s="133">
        <v>4.0995415935666463E-3</v>
      </c>
      <c r="U8" s="133">
        <v>1.5161614195054768E-2</v>
      </c>
      <c r="V8" s="133">
        <v>2.2767563931108136E-2</v>
      </c>
      <c r="W8" s="133">
        <v>2.8578069701481426E-2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7.2817264554465373</v>
      </c>
      <c r="D9" s="133">
        <v>5.5335869169509211</v>
      </c>
      <c r="E9" s="133">
        <v>1.9856988162898002</v>
      </c>
      <c r="F9" s="133">
        <v>1.8132642200430666</v>
      </c>
      <c r="G9" s="133">
        <v>0</v>
      </c>
      <c r="H9" s="133">
        <v>4.2814121018449187</v>
      </c>
      <c r="I9" s="133">
        <v>5.2297981395085955</v>
      </c>
      <c r="J9" s="133">
        <v>4.4252761111090422</v>
      </c>
      <c r="K9" s="133">
        <v>3.0093697934528292</v>
      </c>
      <c r="L9" s="133">
        <v>1.4817198425081333</v>
      </c>
      <c r="M9" s="133">
        <v>2.005441686833429</v>
      </c>
      <c r="N9" s="133">
        <v>0.61383967083426205</v>
      </c>
      <c r="O9" s="133">
        <v>0.623219568219604</v>
      </c>
      <c r="P9" s="133">
        <v>0</v>
      </c>
      <c r="Q9" s="133">
        <v>4.1491341543850533</v>
      </c>
      <c r="R9" s="133">
        <v>6.1037275397202473</v>
      </c>
      <c r="S9" s="133">
        <v>4.8237346844895761</v>
      </c>
      <c r="T9" s="133">
        <v>1.7390514834971207</v>
      </c>
      <c r="U9" s="133">
        <v>0</v>
      </c>
      <c r="V9" s="133">
        <v>0.49328706890675561</v>
      </c>
      <c r="W9" s="133">
        <v>0.93809311877846724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5.3129227907632914E-2</v>
      </c>
      <c r="D16" s="131">
        <f t="shared" si="4"/>
        <v>1.1636297259697689E-2</v>
      </c>
      <c r="E16" s="131">
        <f t="shared" si="4"/>
        <v>1.1985658894558979E-2</v>
      </c>
      <c r="F16" s="131">
        <f t="shared" si="4"/>
        <v>7.1072311870363239E-2</v>
      </c>
      <c r="G16" s="131">
        <f t="shared" si="4"/>
        <v>4.4661913603290831E-2</v>
      </c>
      <c r="H16" s="131">
        <f t="shared" si="4"/>
        <v>7.4872699226743888E-2</v>
      </c>
      <c r="I16" s="131">
        <f t="shared" si="4"/>
        <v>8.1461691328623936E-2</v>
      </c>
      <c r="J16" s="131">
        <f t="shared" si="4"/>
        <v>4.4938167420384277E-2</v>
      </c>
      <c r="K16" s="131">
        <f t="shared" si="4"/>
        <v>5.7666601798305836E-2</v>
      </c>
      <c r="L16" s="131">
        <f t="shared" si="4"/>
        <v>2.9313376744924759E-2</v>
      </c>
      <c r="M16" s="131">
        <f t="shared" si="4"/>
        <v>3.9473490784188436E-2</v>
      </c>
      <c r="N16" s="131">
        <f t="shared" si="4"/>
        <v>1.8403751459905297E-2</v>
      </c>
      <c r="O16" s="131">
        <f t="shared" si="4"/>
        <v>6.8059764852974255E-2</v>
      </c>
      <c r="P16" s="131">
        <f t="shared" si="4"/>
        <v>6.1185636968800382E-2</v>
      </c>
      <c r="Q16" s="131">
        <f t="shared" si="4"/>
        <v>8.7448787882763598E-2</v>
      </c>
      <c r="R16" s="131">
        <f t="shared" ref="R16:W16" si="5">SUM(R17:R18)</f>
        <v>0.17522205923905693</v>
      </c>
      <c r="S16" s="131">
        <f t="shared" si="5"/>
        <v>0.16799822791272342</v>
      </c>
      <c r="T16" s="131">
        <f t="shared" si="5"/>
        <v>0.14806648425804911</v>
      </c>
      <c r="U16" s="131">
        <f t="shared" si="5"/>
        <v>0.13123074476278029</v>
      </c>
      <c r="V16" s="131">
        <f t="shared" si="5"/>
        <v>0.136369764508083</v>
      </c>
      <c r="W16" s="131">
        <f t="shared" si="5"/>
        <v>5.9906832994526357E-2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5.3129227907632914E-2</v>
      </c>
      <c r="D17" s="133">
        <v>1.1636297259697689E-2</v>
      </c>
      <c r="E17" s="133">
        <v>1.1985658894558979E-2</v>
      </c>
      <c r="F17" s="133">
        <v>7.1072311870363239E-2</v>
      </c>
      <c r="G17" s="133">
        <v>4.4661913603290831E-2</v>
      </c>
      <c r="H17" s="133">
        <v>7.4872699226743888E-2</v>
      </c>
      <c r="I17" s="133">
        <v>8.1461691328623936E-2</v>
      </c>
      <c r="J17" s="133">
        <v>4.4938167420384277E-2</v>
      </c>
      <c r="K17" s="133">
        <v>5.7666601798305836E-2</v>
      </c>
      <c r="L17" s="133">
        <v>2.9313376744924759E-2</v>
      </c>
      <c r="M17" s="133">
        <v>3.9473490784188436E-2</v>
      </c>
      <c r="N17" s="133">
        <v>1.8403751459905297E-2</v>
      </c>
      <c r="O17" s="133">
        <v>6.8059764852974255E-2</v>
      </c>
      <c r="P17" s="133">
        <v>6.1185636968800382E-2</v>
      </c>
      <c r="Q17" s="133">
        <v>8.7448787882763598E-2</v>
      </c>
      <c r="R17" s="133">
        <v>0.17522205923905693</v>
      </c>
      <c r="S17" s="133">
        <v>0.16799822791272342</v>
      </c>
      <c r="T17" s="133">
        <v>0.14806648425804911</v>
      </c>
      <c r="U17" s="133">
        <v>0.13123074476278029</v>
      </c>
      <c r="V17" s="133">
        <v>0.136369764508083</v>
      </c>
      <c r="W17" s="133">
        <v>5.9906832994526357E-2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3.6450609633515985</v>
      </c>
      <c r="D19" s="131">
        <f t="shared" si="6"/>
        <v>1.698655373890086</v>
      </c>
      <c r="E19" s="131">
        <f t="shared" si="6"/>
        <v>1.8999575048768289</v>
      </c>
      <c r="F19" s="131">
        <f t="shared" si="6"/>
        <v>3.3983028293841349</v>
      </c>
      <c r="G19" s="131">
        <f t="shared" si="6"/>
        <v>4.4098490166868327</v>
      </c>
      <c r="H19" s="131">
        <f t="shared" si="6"/>
        <v>5.9051232111666145</v>
      </c>
      <c r="I19" s="131">
        <f t="shared" si="6"/>
        <v>5.2019717316423399</v>
      </c>
      <c r="J19" s="131">
        <f t="shared" si="6"/>
        <v>2.7726362775609616</v>
      </c>
      <c r="K19" s="131">
        <f t="shared" si="6"/>
        <v>1.9200970551226717</v>
      </c>
      <c r="L19" s="131">
        <f t="shared" si="6"/>
        <v>1.7684737502760992</v>
      </c>
      <c r="M19" s="131">
        <f t="shared" si="6"/>
        <v>2.1710128784876073</v>
      </c>
      <c r="N19" s="131">
        <f t="shared" si="6"/>
        <v>1.4845421585176004</v>
      </c>
      <c r="O19" s="131">
        <f t="shared" si="6"/>
        <v>2.27702867842773</v>
      </c>
      <c r="P19" s="131">
        <f t="shared" si="6"/>
        <v>2.0787954392637618</v>
      </c>
      <c r="Q19" s="131">
        <f t="shared" si="6"/>
        <v>2.0858265021549505</v>
      </c>
      <c r="R19" s="131">
        <f t="shared" ref="R19:W19" si="7">SUM(R20:R27)</f>
        <v>2.3617747279109262</v>
      </c>
      <c r="S19" s="131">
        <f t="shared" si="7"/>
        <v>3.0418987634472461</v>
      </c>
      <c r="T19" s="131">
        <f t="shared" si="7"/>
        <v>3.3097573137436078</v>
      </c>
      <c r="U19" s="131">
        <f t="shared" si="7"/>
        <v>2.9721326624138831</v>
      </c>
      <c r="V19" s="131">
        <f t="shared" si="7"/>
        <v>1.8629124132266581</v>
      </c>
      <c r="W19" s="131">
        <f t="shared" si="7"/>
        <v>2.3016377275423183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0.27072115426904975</v>
      </c>
      <c r="D21" s="133">
        <v>0.20972157708176425</v>
      </c>
      <c r="E21" s="133">
        <v>0.24329942855335723</v>
      </c>
      <c r="F21" s="133">
        <v>0.46792818774231293</v>
      </c>
      <c r="G21" s="133">
        <v>0.54237329917472266</v>
      </c>
      <c r="H21" s="133">
        <v>0.69681026608619179</v>
      </c>
      <c r="I21" s="133">
        <v>0.64218554352865953</v>
      </c>
      <c r="J21" s="133">
        <v>0.34030931052919255</v>
      </c>
      <c r="K21" s="133">
        <v>0.23480312447667662</v>
      </c>
      <c r="L21" s="133">
        <v>0.17072718561374892</v>
      </c>
      <c r="M21" s="133">
        <v>0.20382151176619792</v>
      </c>
      <c r="N21" s="133">
        <v>0.14099408288103027</v>
      </c>
      <c r="O21" s="133">
        <v>0.2195113849196495</v>
      </c>
      <c r="P21" s="133">
        <v>0.18225118402316637</v>
      </c>
      <c r="Q21" s="133">
        <v>0.19311417518148682</v>
      </c>
      <c r="R21" s="133">
        <v>0.20840578046503733</v>
      </c>
      <c r="S21" s="133">
        <v>0.25172268486078242</v>
      </c>
      <c r="T21" s="133">
        <v>0.31608887964258658</v>
      </c>
      <c r="U21" s="133">
        <v>0.29700141174246303</v>
      </c>
      <c r="V21" s="133">
        <v>0.1702752769508511</v>
      </c>
      <c r="W21" s="133">
        <v>0.21919704839347906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1.9705924770585879</v>
      </c>
      <c r="D22" s="133">
        <v>0.61330047395293075</v>
      </c>
      <c r="E22" s="133">
        <v>0.95440077784574673</v>
      </c>
      <c r="F22" s="133">
        <v>1.8378180913029398</v>
      </c>
      <c r="G22" s="133">
        <v>2.4529732236252939</v>
      </c>
      <c r="H22" s="133">
        <v>3.2824553699432863</v>
      </c>
      <c r="I22" s="133">
        <v>2.6830887402661361</v>
      </c>
      <c r="J22" s="133">
        <v>1.3712907262282479</v>
      </c>
      <c r="K22" s="133">
        <v>0.99427588626163022</v>
      </c>
      <c r="L22" s="133">
        <v>0.9896696806307419</v>
      </c>
      <c r="M22" s="133">
        <v>1.2884108713464157</v>
      </c>
      <c r="N22" s="133">
        <v>0.90025356751309293</v>
      </c>
      <c r="O22" s="133">
        <v>1.3673364594006361</v>
      </c>
      <c r="P22" s="133">
        <v>0.78586042517979682</v>
      </c>
      <c r="Q22" s="133">
        <v>0.77166887079151603</v>
      </c>
      <c r="R22" s="133">
        <v>0.87878172317829462</v>
      </c>
      <c r="S22" s="133">
        <v>1.2986161984905749</v>
      </c>
      <c r="T22" s="133">
        <v>1.6212690549635191</v>
      </c>
      <c r="U22" s="133">
        <v>1.6099642973629091</v>
      </c>
      <c r="V22" s="133">
        <v>1.2088953211068585</v>
      </c>
      <c r="W22" s="133">
        <v>1.3376082727362868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1.4037473320239608</v>
      </c>
      <c r="D23" s="133">
        <v>0.87563332285539108</v>
      </c>
      <c r="E23" s="133">
        <v>0.70225729847772478</v>
      </c>
      <c r="F23" s="133">
        <v>1.0925565503388821</v>
      </c>
      <c r="G23" s="133">
        <v>1.4145024938868163</v>
      </c>
      <c r="H23" s="133">
        <v>1.9258575751371363</v>
      </c>
      <c r="I23" s="133">
        <v>1.8766974478475442</v>
      </c>
      <c r="J23" s="133">
        <v>1.0610362408035212</v>
      </c>
      <c r="K23" s="133">
        <v>0.69101804438436498</v>
      </c>
      <c r="L23" s="133">
        <v>0.60807688403160853</v>
      </c>
      <c r="M23" s="133">
        <v>0.67878049537499352</v>
      </c>
      <c r="N23" s="133">
        <v>0.4432945081234772</v>
      </c>
      <c r="O23" s="133">
        <v>0.69018083410744435</v>
      </c>
      <c r="P23" s="133">
        <v>1.1106838300607988</v>
      </c>
      <c r="Q23" s="133">
        <v>1.1210434561819476</v>
      </c>
      <c r="R23" s="133">
        <v>1.2745872242675942</v>
      </c>
      <c r="S23" s="133">
        <v>1.4915598800958887</v>
      </c>
      <c r="T23" s="133">
        <v>1.372399379137502</v>
      </c>
      <c r="U23" s="133">
        <v>1.0651669533085106</v>
      </c>
      <c r="V23" s="133">
        <v>0.4837418151689486</v>
      </c>
      <c r="W23" s="133">
        <v>0.74483240641255244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3.3315535435049677</v>
      </c>
      <c r="D29" s="131">
        <f t="shared" si="8"/>
        <v>6.5176348498536338</v>
      </c>
      <c r="E29" s="131">
        <f t="shared" si="8"/>
        <v>5.1591872104757481</v>
      </c>
      <c r="F29" s="131">
        <f t="shared" si="8"/>
        <v>9.1551157700114416</v>
      </c>
      <c r="G29" s="131">
        <f t="shared" si="8"/>
        <v>13.323441461936488</v>
      </c>
      <c r="H29" s="131">
        <f t="shared" si="8"/>
        <v>7.6021971597827562</v>
      </c>
      <c r="I29" s="131">
        <f t="shared" si="8"/>
        <v>6.657254333235362</v>
      </c>
      <c r="J29" s="131">
        <f t="shared" si="8"/>
        <v>2.344805534370229</v>
      </c>
      <c r="K29" s="131">
        <f t="shared" si="8"/>
        <v>0.77814622412773138</v>
      </c>
      <c r="L29" s="131">
        <f t="shared" si="8"/>
        <v>0.75914252191035481</v>
      </c>
      <c r="M29" s="131">
        <f t="shared" si="8"/>
        <v>1.3628608620329119</v>
      </c>
      <c r="N29" s="131">
        <f t="shared" si="8"/>
        <v>0.68430380811592861</v>
      </c>
      <c r="O29" s="131">
        <f t="shared" si="8"/>
        <v>4.3693743454222531</v>
      </c>
      <c r="P29" s="131">
        <f t="shared" si="8"/>
        <v>8.2113285890701544</v>
      </c>
      <c r="Q29" s="131">
        <f t="shared" si="8"/>
        <v>6.2160824548647113</v>
      </c>
      <c r="R29" s="131">
        <f t="shared" ref="R29:W29" si="9">SUM(R30:R33)</f>
        <v>4.4184449616964612</v>
      </c>
      <c r="S29" s="131">
        <f t="shared" si="9"/>
        <v>4.7157467962436783</v>
      </c>
      <c r="T29" s="131">
        <f t="shared" si="9"/>
        <v>4.8695180822664401</v>
      </c>
      <c r="U29" s="131">
        <f t="shared" si="9"/>
        <v>1.8981644223496228</v>
      </c>
      <c r="V29" s="131">
        <f t="shared" si="9"/>
        <v>1.0966352287492986</v>
      </c>
      <c r="W29" s="131">
        <f t="shared" si="9"/>
        <v>1.2033298905795309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2.0994429038805125</v>
      </c>
      <c r="D30" s="133">
        <v>5.6371536251858769</v>
      </c>
      <c r="E30" s="133">
        <v>4.3997009517283923</v>
      </c>
      <c r="F30" s="133">
        <v>7.7111126551311742</v>
      </c>
      <c r="G30" s="133">
        <v>11.708298385979624</v>
      </c>
      <c r="H30" s="133">
        <v>5.9288362466806461</v>
      </c>
      <c r="I30" s="133">
        <v>5.2052490434684771</v>
      </c>
      <c r="J30" s="133">
        <v>1.2283382353429164</v>
      </c>
      <c r="K30" s="133">
        <v>0</v>
      </c>
      <c r="L30" s="133">
        <v>0</v>
      </c>
      <c r="M30" s="133">
        <v>0</v>
      </c>
      <c r="N30" s="133">
        <v>1.3919336406830716E-3</v>
      </c>
      <c r="O30" s="133">
        <v>1.5568233267119407</v>
      </c>
      <c r="P30" s="133">
        <v>6.3237113629166588</v>
      </c>
      <c r="Q30" s="133">
        <v>4.525984635019646</v>
      </c>
      <c r="R30" s="133">
        <v>3.0831316395925867</v>
      </c>
      <c r="S30" s="133">
        <v>3.0691370232624635</v>
      </c>
      <c r="T30" s="133">
        <v>3.2555572424998807</v>
      </c>
      <c r="U30" s="133">
        <v>0.24237991760674751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1.2321106396244552</v>
      </c>
      <c r="D31" s="133">
        <v>0.8804812246677568</v>
      </c>
      <c r="E31" s="133">
        <v>0.7594862587473562</v>
      </c>
      <c r="F31" s="133">
        <v>1.4440031148802672</v>
      </c>
      <c r="G31" s="133">
        <v>1.615143075956863</v>
      </c>
      <c r="H31" s="133">
        <v>1.6733609131021105</v>
      </c>
      <c r="I31" s="133">
        <v>1.4520052897668849</v>
      </c>
      <c r="J31" s="133">
        <v>1.1164672990273123</v>
      </c>
      <c r="K31" s="133">
        <v>0.77814622412773138</v>
      </c>
      <c r="L31" s="133">
        <v>0.75914252191035481</v>
      </c>
      <c r="M31" s="133">
        <v>1.3628608620329119</v>
      </c>
      <c r="N31" s="133">
        <v>0.68291187447524559</v>
      </c>
      <c r="O31" s="133">
        <v>2.8125510187103124</v>
      </c>
      <c r="P31" s="133">
        <v>1.8876172261534963</v>
      </c>
      <c r="Q31" s="133">
        <v>1.6900978198450656</v>
      </c>
      <c r="R31" s="133">
        <v>1.3353133221038747</v>
      </c>
      <c r="S31" s="133">
        <v>1.6466097729812152</v>
      </c>
      <c r="T31" s="133">
        <v>1.613960839766559</v>
      </c>
      <c r="U31" s="133">
        <v>1.6557845047428752</v>
      </c>
      <c r="V31" s="133">
        <v>1.0966352287492986</v>
      </c>
      <c r="W31" s="133">
        <v>1.2033298905795309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63243.896370446048</v>
      </c>
      <c r="D3" s="126">
        <f>IF(SER_hh_fec_in!D3=0,0,11630*1000*SER_hh_fec_in!D3/SER_hh_num_in!D3)</f>
        <v>57263.820599943094</v>
      </c>
      <c r="E3" s="126">
        <f>IF(SER_hh_fec_in!E3=0,0,11630*1000*SER_hh_fec_in!E3/SER_hh_num_in!E3)</f>
        <v>61029.418355179274</v>
      </c>
      <c r="F3" s="126">
        <f>IF(SER_hh_fec_in!F3=0,0,11630*1000*SER_hh_fec_in!F3/SER_hh_num_in!F3)</f>
        <v>66239.530338903554</v>
      </c>
      <c r="G3" s="126">
        <f>IF(SER_hh_fec_in!G3=0,0,11630*1000*SER_hh_fec_in!G3/SER_hh_num_in!G3)</f>
        <v>65863.645769511873</v>
      </c>
      <c r="H3" s="126">
        <f>IF(SER_hh_fec_in!H3=0,0,11630*1000*SER_hh_fec_in!H3/SER_hh_num_in!H3)</f>
        <v>62266.089700976205</v>
      </c>
      <c r="I3" s="126">
        <f>IF(SER_hh_fec_in!I3=0,0,11630*1000*SER_hh_fec_in!I3/SER_hh_num_in!I3)</f>
        <v>57592.614847887504</v>
      </c>
      <c r="J3" s="126">
        <f>IF(SER_hh_fec_in!J3=0,0,11630*1000*SER_hh_fec_in!J3/SER_hh_num_in!J3)</f>
        <v>51978.201106958222</v>
      </c>
      <c r="K3" s="126">
        <f>IF(SER_hh_fec_in!K3=0,0,11630*1000*SER_hh_fec_in!K3/SER_hh_num_in!K3)</f>
        <v>52904.777324461451</v>
      </c>
      <c r="L3" s="126">
        <f>IF(SER_hh_fec_in!L3=0,0,11630*1000*SER_hh_fec_in!L3/SER_hh_num_in!L3)</f>
        <v>54807.148658878425</v>
      </c>
      <c r="M3" s="126">
        <f>IF(SER_hh_fec_in!M3=0,0,11630*1000*SER_hh_fec_in!M3/SER_hh_num_in!M3)</f>
        <v>57902.577696104119</v>
      </c>
      <c r="N3" s="126">
        <f>IF(SER_hh_fec_in!N3=0,0,11630*1000*SER_hh_fec_in!N3/SER_hh_num_in!N3)</f>
        <v>61852.509654937276</v>
      </c>
      <c r="O3" s="126">
        <f>IF(SER_hh_fec_in!O3=0,0,11630*1000*SER_hh_fec_in!O3/SER_hh_num_in!O3)</f>
        <v>57515.313042448339</v>
      </c>
      <c r="P3" s="126">
        <f>IF(SER_hh_fec_in!P3=0,0,11630*1000*SER_hh_fec_in!P3/SER_hh_num_in!P3)</f>
        <v>60109.255116683315</v>
      </c>
      <c r="Q3" s="126">
        <f>IF(SER_hh_fec_in!Q3=0,0,11630*1000*SER_hh_fec_in!Q3/SER_hh_num_in!Q3)</f>
        <v>61591.139317296736</v>
      </c>
      <c r="R3" s="126">
        <f>IF(SER_hh_fec_in!R3=0,0,11630*1000*SER_hh_fec_in!R3/SER_hh_num_in!R3)</f>
        <v>59181.006985979242</v>
      </c>
      <c r="S3" s="126">
        <f>IF(SER_hh_fec_in!S3=0,0,11630*1000*SER_hh_fec_in!S3/SER_hh_num_in!S3)</f>
        <v>60001.069614505002</v>
      </c>
      <c r="T3" s="126">
        <f>IF(SER_hh_fec_in!T3=0,0,11630*1000*SER_hh_fec_in!T3/SER_hh_num_in!T3)</f>
        <v>62699.363756105013</v>
      </c>
      <c r="U3" s="126">
        <f>IF(SER_hh_fec_in!U3=0,0,11630*1000*SER_hh_fec_in!U3/SER_hh_num_in!U3)</f>
        <v>51255.755248371766</v>
      </c>
      <c r="V3" s="126">
        <f>IF(SER_hh_fec_in!V3=0,0,11630*1000*SER_hh_fec_in!V3/SER_hh_num_in!V3)</f>
        <v>39947.381728058783</v>
      </c>
      <c r="W3" s="126">
        <f>IF(SER_hh_fec_in!W3=0,0,11630*1000*SER_hh_fec_in!W3/SER_hh_num_in!W3)</f>
        <v>40591.59366599159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28709.987327342533</v>
      </c>
      <c r="D4" s="131">
        <f>IF(SER_hh_fec_in!D4=0,0,11630*1000*SER_hh_fec_in!D4/SER_hh_num_in!D4)</f>
        <v>21919.1060162084</v>
      </c>
      <c r="E4" s="131">
        <f>IF(SER_hh_fec_in!E4=0,0,11630*1000*SER_hh_fec_in!E4/SER_hh_num_in!E4)</f>
        <v>22040.887449720241</v>
      </c>
      <c r="F4" s="131">
        <f>IF(SER_hh_fec_in!F4=0,0,11630*1000*SER_hh_fec_in!F4/SER_hh_num_in!F4)</f>
        <v>29196.387395313435</v>
      </c>
      <c r="G4" s="131">
        <f>IF(SER_hh_fec_in!G4=0,0,11630*1000*SER_hh_fec_in!G4/SER_hh_num_in!G4)</f>
        <v>26869.052530849036</v>
      </c>
      <c r="H4" s="131">
        <f>IF(SER_hh_fec_in!H4=0,0,11630*1000*SER_hh_fec_in!H4/SER_hh_num_in!H4)</f>
        <v>23138.265068980509</v>
      </c>
      <c r="I4" s="131">
        <f>IF(SER_hh_fec_in!I4=0,0,11630*1000*SER_hh_fec_in!I4/SER_hh_num_in!I4)</f>
        <v>23658.595915513502</v>
      </c>
      <c r="J4" s="131">
        <f>IF(SER_hh_fec_in!J4=0,0,11630*1000*SER_hh_fec_in!J4/SER_hh_num_in!J4)</f>
        <v>20609.23575715315</v>
      </c>
      <c r="K4" s="131">
        <f>IF(SER_hh_fec_in!K4=0,0,11630*1000*SER_hh_fec_in!K4/SER_hh_num_in!K4)</f>
        <v>20817.560887617929</v>
      </c>
      <c r="L4" s="131">
        <f>IF(SER_hh_fec_in!L4=0,0,11630*1000*SER_hh_fec_in!L4/SER_hh_num_in!L4)</f>
        <v>17878.510619236335</v>
      </c>
      <c r="M4" s="131">
        <f>IF(SER_hh_fec_in!M4=0,0,11630*1000*SER_hh_fec_in!M4/SER_hh_num_in!M4)</f>
        <v>24881.392488696387</v>
      </c>
      <c r="N4" s="131">
        <f>IF(SER_hh_fec_in!N4=0,0,11630*1000*SER_hh_fec_in!N4/SER_hh_num_in!N4)</f>
        <v>18130.296624470702</v>
      </c>
      <c r="O4" s="131">
        <f>IF(SER_hh_fec_in!O4=0,0,11630*1000*SER_hh_fec_in!O4/SER_hh_num_in!O4)</f>
        <v>22005.234461565444</v>
      </c>
      <c r="P4" s="131">
        <f>IF(SER_hh_fec_in!P4=0,0,11630*1000*SER_hh_fec_in!P4/SER_hh_num_in!P4)</f>
        <v>25737.682468250292</v>
      </c>
      <c r="Q4" s="131">
        <f>IF(SER_hh_fec_in!Q4=0,0,11630*1000*SER_hh_fec_in!Q4/SER_hh_num_in!Q4)</f>
        <v>27912.374131505192</v>
      </c>
      <c r="R4" s="131">
        <f>IF(SER_hh_fec_in!R4=0,0,11630*1000*SER_hh_fec_in!R4/SER_hh_num_in!R4)</f>
        <v>24364.213170079627</v>
      </c>
      <c r="S4" s="131">
        <f>IF(SER_hh_fec_in!S4=0,0,11630*1000*SER_hh_fec_in!S4/SER_hh_num_in!S4)</f>
        <v>26278.250082884711</v>
      </c>
      <c r="T4" s="131">
        <f>IF(SER_hh_fec_in!T4=0,0,11630*1000*SER_hh_fec_in!T4/SER_hh_num_in!T4)</f>
        <v>30146.152796650073</v>
      </c>
      <c r="U4" s="131">
        <f>IF(SER_hh_fec_in!U4=0,0,11630*1000*SER_hh_fec_in!U4/SER_hh_num_in!U4)</f>
        <v>22815.809405622833</v>
      </c>
      <c r="V4" s="131">
        <f>IF(SER_hh_fec_in!V4=0,0,11630*1000*SER_hh_fec_in!V4/SER_hh_num_in!V4)</f>
        <v>10979.83435765488</v>
      </c>
      <c r="W4" s="131">
        <f>IF(SER_hh_fec_in!W4=0,0,11630*1000*SER_hh_fec_in!W4/SER_hh_num_in!W4)</f>
        <v>13848.289611651149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33814.358203277043</v>
      </c>
      <c r="D7" s="133">
        <f>IF(SER_hh_fec_in!D7=0,0,11630*1000*SER_hh_fec_in!D7/SER_hh_num_in!D7)</f>
        <v>35793.192575535788</v>
      </c>
      <c r="E7" s="133">
        <f>IF(SER_hh_fec_in!E7=0,0,11630*1000*SER_hh_fec_in!E7/SER_hh_num_in!E7)</f>
        <v>39390.999831462053</v>
      </c>
      <c r="F7" s="133">
        <f>IF(SER_hh_fec_in!F7=0,0,11630*1000*SER_hh_fec_in!F7/SER_hh_num_in!F7)</f>
        <v>51354.808118526526</v>
      </c>
      <c r="G7" s="133">
        <f>IF(SER_hh_fec_in!G7=0,0,11630*1000*SER_hh_fec_in!G7/SER_hh_num_in!G7)</f>
        <v>60741.615862476785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0</v>
      </c>
      <c r="O7" s="133">
        <f>IF(SER_hh_fec_in!O7=0,0,11630*1000*SER_hh_fec_in!O7/SER_hh_num_in!O7)</f>
        <v>58236.821330872554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51492.873359296216</v>
      </c>
      <c r="S7" s="133">
        <f>IF(SER_hh_fec_in!S7=0,0,11630*1000*SER_hh_fec_in!S7/SER_hh_num_in!S7)</f>
        <v>50758.197720123186</v>
      </c>
      <c r="T7" s="133">
        <f>IF(SER_hh_fec_in!T7=0,0,11630*1000*SER_hh_fec_in!T7/SER_hh_num_in!T7)</f>
        <v>54903.230410807329</v>
      </c>
      <c r="U7" s="133">
        <f>IF(SER_hh_fec_in!U7=0,0,11630*1000*SER_hh_fec_in!U7/SER_hh_num_in!U7)</f>
        <v>55409.864510702573</v>
      </c>
      <c r="V7" s="133">
        <f>IF(SER_hh_fec_in!V7=0,0,11630*1000*SER_hh_fec_in!V7/SER_hh_num_in!V7)</f>
        <v>0</v>
      </c>
      <c r="W7" s="133">
        <f>IF(SER_hh_fec_in!W7=0,0,11630*1000*SER_hh_fec_in!W7/SER_hh_num_in!W7)</f>
        <v>41843.751687890777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14459.040547387693</v>
      </c>
      <c r="D8" s="133">
        <f>IF(SER_hh_fec_in!D8=0,0,11630*1000*SER_hh_fec_in!D8/SER_hh_num_in!D8)</f>
        <v>16514.541604576341</v>
      </c>
      <c r="E8" s="133">
        <f>IF(SER_hh_fec_in!E8=0,0,11630*1000*SER_hh_fec_in!E8/SER_hh_num_in!E8)</f>
        <v>18369.349559717371</v>
      </c>
      <c r="F8" s="133">
        <f>IF(SER_hh_fec_in!F8=0,0,11630*1000*SER_hh_fec_in!F8/SER_hh_num_in!F8)</f>
        <v>19012.829169308337</v>
      </c>
      <c r="G8" s="133">
        <f>IF(SER_hh_fec_in!G8=0,0,11630*1000*SER_hh_fec_in!G8/SER_hh_num_in!G8)</f>
        <v>18721.573523303592</v>
      </c>
      <c r="H8" s="133">
        <f>IF(SER_hh_fec_in!H8=0,0,11630*1000*SER_hh_fec_in!H8/SER_hh_num_in!H8)</f>
        <v>20121.064245629685</v>
      </c>
      <c r="I8" s="133">
        <f>IF(SER_hh_fec_in!I8=0,0,11630*1000*SER_hh_fec_in!I8/SER_hh_num_in!I8)</f>
        <v>20160.037958849633</v>
      </c>
      <c r="J8" s="133">
        <f>IF(SER_hh_fec_in!J8=0,0,11630*1000*SER_hh_fec_in!J8/SER_hh_num_in!J8)</f>
        <v>20506.947090282385</v>
      </c>
      <c r="K8" s="133">
        <f>IF(SER_hh_fec_in!K8=0,0,11630*1000*SER_hh_fec_in!K8/SER_hh_num_in!K8)</f>
        <v>18588.099425130607</v>
      </c>
      <c r="L8" s="133">
        <f>IF(SER_hh_fec_in!L8=0,0,11630*1000*SER_hh_fec_in!L8/SER_hh_num_in!L8)</f>
        <v>18029.391831579094</v>
      </c>
      <c r="M8" s="133">
        <f>IF(SER_hh_fec_in!M8=0,0,11630*1000*SER_hh_fec_in!M8/SER_hh_num_in!M8)</f>
        <v>18248.634891275044</v>
      </c>
      <c r="N8" s="133">
        <f>IF(SER_hh_fec_in!N8=0,0,11630*1000*SER_hh_fec_in!N8/SER_hh_num_in!N8)</f>
        <v>17501.008846715442</v>
      </c>
      <c r="O8" s="133">
        <f>IF(SER_hh_fec_in!O8=0,0,11630*1000*SER_hh_fec_in!O8/SER_hh_num_in!O8)</f>
        <v>17474.143464704914</v>
      </c>
      <c r="P8" s="133">
        <f>IF(SER_hh_fec_in!P8=0,0,11630*1000*SER_hh_fec_in!P8/SER_hh_num_in!P8)</f>
        <v>17911.416841728733</v>
      </c>
      <c r="Q8" s="133">
        <f>IF(SER_hh_fec_in!Q8=0,0,11630*1000*SER_hh_fec_in!Q8/SER_hh_num_in!Q8)</f>
        <v>17635.29937292399</v>
      </c>
      <c r="R8" s="133">
        <f>IF(SER_hh_fec_in!R8=0,0,11630*1000*SER_hh_fec_in!R8/SER_hh_num_in!R8)</f>
        <v>16232.988990121921</v>
      </c>
      <c r="S8" s="133">
        <f>IF(SER_hh_fec_in!S8=0,0,11630*1000*SER_hh_fec_in!S8/SER_hh_num_in!S8)</f>
        <v>15350.321621921117</v>
      </c>
      <c r="T8" s="133">
        <f>IF(SER_hh_fec_in!T8=0,0,11630*1000*SER_hh_fec_in!T8/SER_hh_num_in!T8)</f>
        <v>15098.806231741088</v>
      </c>
      <c r="U8" s="133">
        <f>IF(SER_hh_fec_in!U8=0,0,11630*1000*SER_hh_fec_in!U8/SER_hh_num_in!U8)</f>
        <v>14943.761132225702</v>
      </c>
      <c r="V8" s="133">
        <f>IF(SER_hh_fec_in!V8=0,0,11630*1000*SER_hh_fec_in!V8/SER_hh_num_in!V8)</f>
        <v>13881.156325620826</v>
      </c>
      <c r="W8" s="133">
        <f>IF(SER_hh_fec_in!W8=0,0,11630*1000*SER_hh_fec_in!W8/SER_hh_num_in!W8)</f>
        <v>14176.036816686732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27808.286153425972</v>
      </c>
      <c r="D9" s="133">
        <f>IF(SER_hh_fec_in!D9=0,0,11630*1000*SER_hh_fec_in!D9/SER_hh_num_in!D9)</f>
        <v>34563.17095519424</v>
      </c>
      <c r="E9" s="133">
        <f>IF(SER_hh_fec_in!E9=0,0,11630*1000*SER_hh_fec_in!E9/SER_hh_num_in!E9)</f>
        <v>36654.509561318395</v>
      </c>
      <c r="F9" s="133">
        <f>IF(SER_hh_fec_in!F9=0,0,11630*1000*SER_hh_fec_in!F9/SER_hh_num_in!F9)</f>
        <v>45824.162202419604</v>
      </c>
      <c r="G9" s="133">
        <f>IF(SER_hh_fec_in!G9=0,0,11630*1000*SER_hh_fec_in!G9/SER_hh_num_in!G9)</f>
        <v>0</v>
      </c>
      <c r="H9" s="133">
        <f>IF(SER_hh_fec_in!H9=0,0,11630*1000*SER_hh_fec_in!H9/SER_hh_num_in!H9)</f>
        <v>51531.597299868874</v>
      </c>
      <c r="I9" s="133">
        <f>IF(SER_hh_fec_in!I9=0,0,11630*1000*SER_hh_fec_in!I9/SER_hh_num_in!I9)</f>
        <v>53532.193550369462</v>
      </c>
      <c r="J9" s="133">
        <f>IF(SER_hh_fec_in!J9=0,0,11630*1000*SER_hh_fec_in!J9/SER_hh_num_in!J9)</f>
        <v>53811.93353359084</v>
      </c>
      <c r="K9" s="133">
        <f>IF(SER_hh_fec_in!K9=0,0,11630*1000*SER_hh_fec_in!K9/SER_hh_num_in!K9)</f>
        <v>57687.141495573705</v>
      </c>
      <c r="L9" s="133">
        <f>IF(SER_hh_fec_in!L9=0,0,11630*1000*SER_hh_fec_in!L9/SER_hh_num_in!L9)</f>
        <v>50139.404659929358</v>
      </c>
      <c r="M9" s="133">
        <f>IF(SER_hh_fec_in!M9=0,0,11630*1000*SER_hh_fec_in!M9/SER_hh_num_in!M9)</f>
        <v>55662.70251822046</v>
      </c>
      <c r="N9" s="133">
        <f>IF(SER_hh_fec_in!N9=0,0,11630*1000*SER_hh_fec_in!N9/SER_hh_num_in!N9)</f>
        <v>56151.966189725936</v>
      </c>
      <c r="O9" s="133">
        <f>IF(SER_hh_fec_in!O9=0,0,11630*1000*SER_hh_fec_in!O9/SER_hh_num_in!O9)</f>
        <v>53854.43911448562</v>
      </c>
      <c r="P9" s="133">
        <f>IF(SER_hh_fec_in!P9=0,0,11630*1000*SER_hh_fec_in!P9/SER_hh_num_in!P9)</f>
        <v>0</v>
      </c>
      <c r="Q9" s="133">
        <f>IF(SER_hh_fec_in!Q9=0,0,11630*1000*SER_hh_fec_in!Q9/SER_hh_num_in!Q9)</f>
        <v>55519.149498988285</v>
      </c>
      <c r="R9" s="133">
        <f>IF(SER_hh_fec_in!R9=0,0,11630*1000*SER_hh_fec_in!R9/SER_hh_num_in!R9)</f>
        <v>56383.078092072414</v>
      </c>
      <c r="S9" s="133">
        <f>IF(SER_hh_fec_in!S9=0,0,11630*1000*SER_hh_fec_in!S9/SER_hh_num_in!S9)</f>
        <v>54242.591337171209</v>
      </c>
      <c r="T9" s="133">
        <f>IF(SER_hh_fec_in!T9=0,0,11630*1000*SER_hh_fec_in!T9/SER_hh_num_in!T9)</f>
        <v>56895.622883977238</v>
      </c>
      <c r="U9" s="133">
        <f>IF(SER_hh_fec_in!U9=0,0,11630*1000*SER_hh_fec_in!U9/SER_hh_num_in!U9)</f>
        <v>0</v>
      </c>
      <c r="V9" s="133">
        <f>IF(SER_hh_fec_in!V9=0,0,11630*1000*SER_hh_fec_in!V9/SER_hh_num_in!V9)</f>
        <v>39551.355615527318</v>
      </c>
      <c r="W9" s="133">
        <f>IF(SER_hh_fec_in!W9=0,0,11630*1000*SER_hh_fec_in!W9/SER_hh_num_in!W9)</f>
        <v>54533.238308087552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97640.371133152948</v>
      </c>
      <c r="N10" s="133">
        <f>IF(SER_hh_fec_in!N10=0,0,11630*1000*SER_hh_fec_in!N10/SER_hh_num_in!N10)</f>
        <v>84874.958151829196</v>
      </c>
      <c r="O10" s="133">
        <f>IF(SER_hh_fec_in!O10=0,0,11630*1000*SER_hh_fec_in!O10/SER_hh_num_in!O10)</f>
        <v>0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0</v>
      </c>
      <c r="R10" s="133">
        <f>IF(SER_hh_fec_in!R10=0,0,11630*1000*SER_hh_fec_in!R10/SER_hh_num_in!R10)</f>
        <v>63868.730439240142</v>
      </c>
      <c r="S10" s="133">
        <f>IF(SER_hh_fec_in!S10=0,0,11630*1000*SER_hh_fec_in!S10/SER_hh_num_in!S10)</f>
        <v>78221.940307757759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61562.723487938812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21596.653986717698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41831.005151169098</v>
      </c>
      <c r="K11" s="133">
        <f>IF(SER_hh_fec_in!K11=0,0,11630*1000*SER_hh_fec_in!K11/SER_hh_num_in!K11)</f>
        <v>40418.567257383969</v>
      </c>
      <c r="L11" s="133">
        <f>IF(SER_hh_fec_in!L11=0,0,11630*1000*SER_hh_fec_in!L11/SER_hh_num_in!L11)</f>
        <v>36599.244354717834</v>
      </c>
      <c r="M11" s="133">
        <f>IF(SER_hh_fec_in!M11=0,0,11630*1000*SER_hh_fec_in!M11/SER_hh_num_in!M11)</f>
        <v>49669.408507881388</v>
      </c>
      <c r="N11" s="133">
        <f>IF(SER_hh_fec_in!N11=0,0,11630*1000*SER_hh_fec_in!N11/SER_hh_num_in!N11)</f>
        <v>49269.999892266409</v>
      </c>
      <c r="O11" s="133">
        <f>IF(SER_hh_fec_in!O11=0,0,11630*1000*SER_hh_fec_in!O11/SER_hh_num_in!O11)</f>
        <v>41933.973871711401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52509.611280173238</v>
      </c>
      <c r="R11" s="133">
        <f>IF(SER_hh_fec_in!R11=0,0,11630*1000*SER_hh_fec_in!R11/SER_hh_num_in!R11)</f>
        <v>44160.678165437006</v>
      </c>
      <c r="S11" s="133">
        <f>IF(SER_hh_fec_in!S11=0,0,11630*1000*SER_hh_fec_in!S11/SER_hh_num_in!S11)</f>
        <v>46281.140271823569</v>
      </c>
      <c r="T11" s="133">
        <f>IF(SER_hh_fec_in!T11=0,0,11630*1000*SER_hh_fec_in!T11/SER_hh_num_in!T11)</f>
        <v>49820.221487171759</v>
      </c>
      <c r="U11" s="133">
        <f>IF(SER_hh_fec_in!U11=0,0,11630*1000*SER_hh_fec_in!U11/SER_hh_num_in!U11)</f>
        <v>49041.696715318096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41498.871810343335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20804.061783761743</v>
      </c>
      <c r="D12" s="133">
        <f>IF(SER_hh_fec_in!D12=0,0,11630*1000*SER_hh_fec_in!D12/SER_hh_num_in!D12)</f>
        <v>27831.003137866264</v>
      </c>
      <c r="E12" s="133">
        <f>IF(SER_hh_fec_in!E12=0,0,11630*1000*SER_hh_fec_in!E12/SER_hh_num_in!E12)</f>
        <v>27782.721936060028</v>
      </c>
      <c r="F12" s="133">
        <f>IF(SER_hh_fec_in!F12=0,0,11630*1000*SER_hh_fec_in!F12/SER_hh_num_in!F12)</f>
        <v>37142.355570877247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40452.629986755317</v>
      </c>
      <c r="K12" s="133">
        <f>IF(SER_hh_fec_in!K12=0,0,11630*1000*SER_hh_fec_in!K12/SER_hh_num_in!K12)</f>
        <v>36116.641135679813</v>
      </c>
      <c r="L12" s="133">
        <f>IF(SER_hh_fec_in!L12=0,0,11630*1000*SER_hh_fec_in!L12/SER_hh_num_in!L12)</f>
        <v>47061.107797755118</v>
      </c>
      <c r="M12" s="133">
        <f>IF(SER_hh_fec_in!M12=0,0,11630*1000*SER_hh_fec_in!M12/SER_hh_num_in!M12)</f>
        <v>39734.645013215384</v>
      </c>
      <c r="N12" s="133">
        <f>IF(SER_hh_fec_in!N12=0,0,11630*1000*SER_hh_fec_in!N12/SER_hh_num_in!N12)</f>
        <v>50718.174911250971</v>
      </c>
      <c r="O12" s="133">
        <f>IF(SER_hh_fec_in!O12=0,0,11630*1000*SER_hh_fec_in!O12/SER_hh_num_in!O12)</f>
        <v>49540.411900222782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48749.754502949821</v>
      </c>
      <c r="R12" s="133">
        <f>IF(SER_hh_fec_in!R12=0,0,11630*1000*SER_hh_fec_in!R12/SER_hh_num_in!R12)</f>
        <v>45386.329766175731</v>
      </c>
      <c r="S12" s="133">
        <f>IF(SER_hh_fec_in!S12=0,0,11630*1000*SER_hh_fec_in!S12/SER_hh_num_in!S12)</f>
        <v>48968.073553797869</v>
      </c>
      <c r="T12" s="133">
        <f>IF(SER_hh_fec_in!T12=0,0,11630*1000*SER_hh_fec_in!T12/SER_hh_num_in!T12)</f>
        <v>47624.718992638038</v>
      </c>
      <c r="U12" s="133">
        <f>IF(SER_hh_fec_in!U12=0,0,11630*1000*SER_hh_fec_in!U12/SER_hh_num_in!U12)</f>
        <v>45674.011718132562</v>
      </c>
      <c r="V12" s="133">
        <f>IF(SER_hh_fec_in!V12=0,0,11630*1000*SER_hh_fec_in!V12/SER_hh_num_in!V12)</f>
        <v>42757.615999693895</v>
      </c>
      <c r="W12" s="133">
        <f>IF(SER_hh_fec_in!W12=0,0,11630*1000*SER_hh_fec_in!W12/SER_hh_num_in!W12)</f>
        <v>42552.324546506687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10543.144931740379</v>
      </c>
      <c r="D13" s="133">
        <f>IF(SER_hh_fec_in!D13=0,0,11630*1000*SER_hh_fec_in!D13/SER_hh_num_in!D13)</f>
        <v>8822.9124733469016</v>
      </c>
      <c r="E13" s="133">
        <f>IF(SER_hh_fec_in!E13=0,0,11630*1000*SER_hh_fec_in!E13/SER_hh_num_in!E13)</f>
        <v>14021.462226319074</v>
      </c>
      <c r="F13" s="133">
        <f>IF(SER_hh_fec_in!F13=0,0,11630*1000*SER_hh_fec_in!F13/SER_hh_num_in!F13)</f>
        <v>12248.192383355174</v>
      </c>
      <c r="G13" s="133">
        <f>IF(SER_hh_fec_in!G13=0,0,11630*1000*SER_hh_fec_in!G13/SER_hh_num_in!G13)</f>
        <v>14594.621857484586</v>
      </c>
      <c r="H13" s="133">
        <f>IF(SER_hh_fec_in!H13=0,0,11630*1000*SER_hh_fec_in!H13/SER_hh_num_in!H13)</f>
        <v>14863.544434053814</v>
      </c>
      <c r="I13" s="133">
        <f>IF(SER_hh_fec_in!I13=0,0,11630*1000*SER_hh_fec_in!I13/SER_hh_num_in!I13)</f>
        <v>14362.594716374088</v>
      </c>
      <c r="J13" s="133">
        <f>IF(SER_hh_fec_in!J13=0,0,11630*1000*SER_hh_fec_in!J13/SER_hh_num_in!J13)</f>
        <v>14581.922322210365</v>
      </c>
      <c r="K13" s="133">
        <f>IF(SER_hh_fec_in!K13=0,0,11630*1000*SER_hh_fec_in!K13/SER_hh_num_in!K13)</f>
        <v>13007.289113899216</v>
      </c>
      <c r="L13" s="133">
        <f>IF(SER_hh_fec_in!L13=0,0,11630*1000*SER_hh_fec_in!L13/SER_hh_num_in!L13)</f>
        <v>12839.661662635152</v>
      </c>
      <c r="M13" s="133">
        <f>IF(SER_hh_fec_in!M13=0,0,11630*1000*SER_hh_fec_in!M13/SER_hh_num_in!M13)</f>
        <v>12079.559575585014</v>
      </c>
      <c r="N13" s="133">
        <f>IF(SER_hh_fec_in!N13=0,0,11630*1000*SER_hh_fec_in!N13/SER_hh_num_in!N13)</f>
        <v>12231.778441684581</v>
      </c>
      <c r="O13" s="133">
        <f>IF(SER_hh_fec_in!O13=0,0,11630*1000*SER_hh_fec_in!O13/SER_hh_num_in!O13)</f>
        <v>11758.161389890562</v>
      </c>
      <c r="P13" s="133">
        <f>IF(SER_hh_fec_in!P13=0,0,11630*1000*SER_hh_fec_in!P13/SER_hh_num_in!P13)</f>
        <v>12458.529559563878</v>
      </c>
      <c r="Q13" s="133">
        <f>IF(SER_hh_fec_in!Q13=0,0,11630*1000*SER_hh_fec_in!Q13/SER_hh_num_in!Q13)</f>
        <v>11530.327297923297</v>
      </c>
      <c r="R13" s="133">
        <f>IF(SER_hh_fec_in!R13=0,0,11630*1000*SER_hh_fec_in!R13/SER_hh_num_in!R13)</f>
        <v>10789.872984803962</v>
      </c>
      <c r="S13" s="133">
        <f>IF(SER_hh_fec_in!S13=0,0,11630*1000*SER_hh_fec_in!S13/SER_hh_num_in!S13)</f>
        <v>10536.777268883096</v>
      </c>
      <c r="T13" s="133">
        <f>IF(SER_hh_fec_in!T13=0,0,11630*1000*SER_hh_fec_in!T13/SER_hh_num_in!T13)</f>
        <v>10427.498865573278</v>
      </c>
      <c r="U13" s="133">
        <f>IF(SER_hh_fec_in!U13=0,0,11630*1000*SER_hh_fec_in!U13/SER_hh_num_in!U13)</f>
        <v>10229.589742151513</v>
      </c>
      <c r="V13" s="133">
        <f>IF(SER_hh_fec_in!V13=0,0,11630*1000*SER_hh_fec_in!V13/SER_hh_num_in!V13)</f>
        <v>9736.9399146208325</v>
      </c>
      <c r="W13" s="133">
        <f>IF(SER_hh_fec_in!W13=0,0,11630*1000*SER_hh_fec_in!W13/SER_hh_num_in!W13)</f>
        <v>9382.3059341336884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23591.949692017286</v>
      </c>
      <c r="D14" s="65">
        <f>IF(SER_hh_fec_in!D14=0,0,11630*1000*SER_hh_fec_in!D14/SER_hh_num_in!D14)</f>
        <v>26061.50915175473</v>
      </c>
      <c r="E14" s="65">
        <f>IF(SER_hh_fec_in!E14=0,0,11630*1000*SER_hh_fec_in!E14/SER_hh_num_in!E14)</f>
        <v>28330.408851395623</v>
      </c>
      <c r="F14" s="65">
        <f>IF(SER_hh_fec_in!F14=0,0,11630*1000*SER_hh_fec_in!F14/SER_hh_num_in!F14)</f>
        <v>37367.731964236322</v>
      </c>
      <c r="G14" s="65">
        <f>IF(SER_hh_fec_in!G14=0,0,11630*1000*SER_hh_fec_in!G14/SER_hh_num_in!G14)</f>
        <v>44712.693093922622</v>
      </c>
      <c r="H14" s="65">
        <f>IF(SER_hh_fec_in!H14=0,0,11630*1000*SER_hh_fec_in!H14/SER_hh_num_in!H14)</f>
        <v>44162.616621918314</v>
      </c>
      <c r="I14" s="65">
        <f>IF(SER_hh_fec_in!I14=0,0,11630*1000*SER_hh_fec_in!I14/SER_hh_num_in!I14)</f>
        <v>50764.183505948306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13179.224101442249</v>
      </c>
      <c r="P14" s="65">
        <f>IF(SER_hh_fec_in!P14=0,0,11630*1000*SER_hh_fec_in!P14/SER_hh_num_in!P14)</f>
        <v>69044.754489960804</v>
      </c>
      <c r="Q14" s="65">
        <f>IF(SER_hh_fec_in!Q14=0,0,11630*1000*SER_hh_fec_in!Q14/SER_hh_num_in!Q14)</f>
        <v>80821.741527845399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30456.184104934549</v>
      </c>
      <c r="T14" s="65">
        <f>IF(SER_hh_fec_in!T14=0,0,11630*1000*SER_hh_fec_in!T14/SER_hh_num_in!T14)</f>
        <v>63249.034639305042</v>
      </c>
      <c r="U14" s="65">
        <f>IF(SER_hh_fec_in!U14=0,0,11630*1000*SER_hh_fec_in!U14/SER_hh_num_in!U14)</f>
        <v>67079.440191810281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46513.420732754435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308.8077444333947</v>
      </c>
      <c r="D15" s="135">
        <f>IF(SER_hh_fec_in!D15=0,0,11630*1000*SER_hh_fec_in!D15/SER_hh_num_in!D15)</f>
        <v>336.86719616861149</v>
      </c>
      <c r="E15" s="135">
        <f>IF(SER_hh_fec_in!E15=0,0,11630*1000*SER_hh_fec_in!E15/SER_hh_num_in!E15)</f>
        <v>367.45786809659313</v>
      </c>
      <c r="F15" s="135">
        <f>IF(SER_hh_fec_in!F15=0,0,11630*1000*SER_hh_fec_in!F15/SER_hh_num_in!F15)</f>
        <v>484.94049726908378</v>
      </c>
      <c r="G15" s="135">
        <f>IF(SER_hh_fec_in!G15=0,0,11630*1000*SER_hh_fec_in!G15/SER_hh_num_in!G15)</f>
        <v>572.08186231875595</v>
      </c>
      <c r="H15" s="135">
        <f>IF(SER_hh_fec_in!H15=0,0,11630*1000*SER_hh_fec_in!H15/SER_hh_num_in!H15)</f>
        <v>546.70092836205197</v>
      </c>
      <c r="I15" s="135">
        <f>IF(SER_hh_fec_in!I15=0,0,11630*1000*SER_hh_fec_in!I15/SER_hh_num_in!I15)</f>
        <v>566.68092309700739</v>
      </c>
      <c r="J15" s="135">
        <f>IF(SER_hh_fec_in!J15=0,0,11630*1000*SER_hh_fec_in!J15/SER_hh_num_in!J15)</f>
        <v>541.08128335886624</v>
      </c>
      <c r="K15" s="135">
        <f>IF(SER_hh_fec_in!K15=0,0,11630*1000*SER_hh_fec_in!K15/SER_hh_num_in!K15)</f>
        <v>554.14041475192437</v>
      </c>
      <c r="L15" s="135">
        <f>IF(SER_hh_fec_in!L15=0,0,11630*1000*SER_hh_fec_in!L15/SER_hh_num_in!L15)</f>
        <v>418.35168846741084</v>
      </c>
      <c r="M15" s="135">
        <f>IF(SER_hh_fec_in!M15=0,0,11630*1000*SER_hh_fec_in!M15/SER_hh_num_in!M15)</f>
        <v>458.10003582315687</v>
      </c>
      <c r="N15" s="135">
        <f>IF(SER_hh_fec_in!N15=0,0,11630*1000*SER_hh_fec_in!N15/SER_hh_num_in!N15)</f>
        <v>378.30872626196606</v>
      </c>
      <c r="O15" s="135">
        <f>IF(SER_hh_fec_in!O15=0,0,11630*1000*SER_hh_fec_in!O15/SER_hh_num_in!O15)</f>
        <v>531.95245221403616</v>
      </c>
      <c r="P15" s="135">
        <f>IF(SER_hh_fec_in!P15=0,0,11630*1000*SER_hh_fec_in!P15/SER_hh_num_in!P15)</f>
        <v>170.15400679253807</v>
      </c>
      <c r="Q15" s="135">
        <f>IF(SER_hh_fec_in!Q15=0,0,11630*1000*SER_hh_fec_in!Q15/SER_hh_num_in!Q15)</f>
        <v>620.47343320792322</v>
      </c>
      <c r="R15" s="135">
        <f>IF(SER_hh_fec_in!R15=0,0,11630*1000*SER_hh_fec_in!R15/SER_hh_num_in!R15)</f>
        <v>602.04790043065259</v>
      </c>
      <c r="S15" s="135">
        <f>IF(SER_hh_fec_in!S15=0,0,11630*1000*SER_hh_fec_in!S15/SER_hh_num_in!S15)</f>
        <v>556.62107771198521</v>
      </c>
      <c r="T15" s="135">
        <f>IF(SER_hh_fec_in!T15=0,0,11630*1000*SER_hh_fec_in!T15/SER_hh_num_in!T15)</f>
        <v>571.23242234469694</v>
      </c>
      <c r="U15" s="135">
        <f>IF(SER_hh_fec_in!U15=0,0,11630*1000*SER_hh_fec_in!U15/SER_hh_num_in!U15)</f>
        <v>570.45913800774701</v>
      </c>
      <c r="V15" s="135">
        <f>IF(SER_hh_fec_in!V15=0,0,11630*1000*SER_hh_fec_in!V15/SER_hh_num_in!V15)</f>
        <v>343.62612814333301</v>
      </c>
      <c r="W15" s="135">
        <f>IF(SER_hh_fec_in!W15=0,0,11630*1000*SER_hh_fec_in!W15/SER_hh_num_in!W15)</f>
        <v>472.49203537944072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10102.995135880674</v>
      </c>
      <c r="D16" s="131">
        <f>IF(SER_hh_fec_in!D16=0,0,11630*1000*SER_hh_fec_in!D16/SER_hh_num_in!D16)</f>
        <v>8706.2157106449467</v>
      </c>
      <c r="E16" s="131">
        <f>IF(SER_hh_fec_in!E16=0,0,11630*1000*SER_hh_fec_in!E16/SER_hh_num_in!E16)</f>
        <v>11940.139916053769</v>
      </c>
      <c r="F16" s="131">
        <f>IF(SER_hh_fec_in!F16=0,0,11630*1000*SER_hh_fec_in!F16/SER_hh_num_in!F16)</f>
        <v>9647.8670986510624</v>
      </c>
      <c r="G16" s="131">
        <f>IF(SER_hh_fec_in!G16=0,0,11630*1000*SER_hh_fec_in!G16/SER_hh_num_in!G16)</f>
        <v>10253.419628722368</v>
      </c>
      <c r="H16" s="131">
        <f>IF(SER_hh_fec_in!H16=0,0,11630*1000*SER_hh_fec_in!H16/SER_hh_num_in!H16)</f>
        <v>11997.116317731532</v>
      </c>
      <c r="I16" s="131">
        <f>IF(SER_hh_fec_in!I16=0,0,11630*1000*SER_hh_fec_in!I16/SER_hh_num_in!I16)</f>
        <v>7564.6726133844149</v>
      </c>
      <c r="J16" s="131">
        <f>IF(SER_hh_fec_in!J16=0,0,11630*1000*SER_hh_fec_in!J16/SER_hh_num_in!J16)</f>
        <v>7121.6452128936817</v>
      </c>
      <c r="K16" s="131">
        <f>IF(SER_hh_fec_in!K16=0,0,11630*1000*SER_hh_fec_in!K16/SER_hh_num_in!K16)</f>
        <v>8424.5764328868245</v>
      </c>
      <c r="L16" s="131">
        <f>IF(SER_hh_fec_in!L16=0,0,11630*1000*SER_hh_fec_in!L16/SER_hh_num_in!L16)</f>
        <v>11087.443058442172</v>
      </c>
      <c r="M16" s="131">
        <f>IF(SER_hh_fec_in!M16=0,0,11630*1000*SER_hh_fec_in!M16/SER_hh_num_in!M16)</f>
        <v>7039.8053677972584</v>
      </c>
      <c r="N16" s="131">
        <f>IF(SER_hh_fec_in!N16=0,0,11630*1000*SER_hh_fec_in!N16/SER_hh_num_in!N16)</f>
        <v>7038.3259778099291</v>
      </c>
      <c r="O16" s="131">
        <f>IF(SER_hh_fec_in!O16=0,0,11630*1000*SER_hh_fec_in!O16/SER_hh_num_in!O16)</f>
        <v>8704.7935954077075</v>
      </c>
      <c r="P16" s="131">
        <f>IF(SER_hh_fec_in!P16=0,0,11630*1000*SER_hh_fec_in!P16/SER_hh_num_in!P16)</f>
        <v>5552.9136068259277</v>
      </c>
      <c r="Q16" s="131">
        <f>IF(SER_hh_fec_in!Q16=0,0,11630*1000*SER_hh_fec_in!Q16/SER_hh_num_in!Q16)</f>
        <v>6248.4935950644431</v>
      </c>
      <c r="R16" s="131">
        <f>IF(SER_hh_fec_in!R16=0,0,11630*1000*SER_hh_fec_in!R16/SER_hh_num_in!R16)</f>
        <v>9101.8413026719627</v>
      </c>
      <c r="S16" s="131">
        <f>IF(SER_hh_fec_in!S16=0,0,11630*1000*SER_hh_fec_in!S16/SER_hh_num_in!S16)</f>
        <v>8366.6555430171647</v>
      </c>
      <c r="T16" s="131">
        <f>IF(SER_hh_fec_in!T16=0,0,11630*1000*SER_hh_fec_in!T16/SER_hh_num_in!T16)</f>
        <v>6999.4953253459626</v>
      </c>
      <c r="U16" s="131">
        <f>IF(SER_hh_fec_in!U16=0,0,11630*1000*SER_hh_fec_in!U16/SER_hh_num_in!U16)</f>
        <v>5382.0190198440714</v>
      </c>
      <c r="V16" s="131">
        <f>IF(SER_hh_fec_in!V16=0,0,11630*1000*SER_hh_fec_in!V16/SER_hh_num_in!V16)</f>
        <v>7656.3424691524615</v>
      </c>
      <c r="W16" s="131">
        <f>IF(SER_hh_fec_in!W16=0,0,11630*1000*SER_hh_fec_in!W16/SER_hh_num_in!W16)</f>
        <v>4631.4038000254395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18096.265199726109</v>
      </c>
      <c r="D17" s="133">
        <f>IF(SER_hh_fec_in!D17=0,0,11630*1000*SER_hh_fec_in!D17/SER_hh_num_in!D17)</f>
        <v>16065.358515110449</v>
      </c>
      <c r="E17" s="133">
        <f>IF(SER_hh_fec_in!E17=0,0,11630*1000*SER_hh_fec_in!E17/SER_hh_num_in!E17)</f>
        <v>22676.027715855285</v>
      </c>
      <c r="F17" s="133">
        <f>IF(SER_hh_fec_in!F17=0,0,11630*1000*SER_hh_fec_in!F17/SER_hh_num_in!F17)</f>
        <v>18819.582555890422</v>
      </c>
      <c r="G17" s="133">
        <f>IF(SER_hh_fec_in!G17=0,0,11630*1000*SER_hh_fec_in!G17/SER_hh_num_in!G17)</f>
        <v>20628.94100305091</v>
      </c>
      <c r="H17" s="133">
        <f>IF(SER_hh_fec_in!H17=0,0,11630*1000*SER_hh_fec_in!H17/SER_hh_num_in!H17)</f>
        <v>24821.445667336076</v>
      </c>
      <c r="I17" s="133">
        <f>IF(SER_hh_fec_in!I17=0,0,11630*1000*SER_hh_fec_in!I17/SER_hh_num_in!I17)</f>
        <v>16053.562968721646</v>
      </c>
      <c r="J17" s="133">
        <f>IF(SER_hh_fec_in!J17=0,0,11630*1000*SER_hh_fec_in!J17/SER_hh_num_in!J17)</f>
        <v>15532.544863358786</v>
      </c>
      <c r="K17" s="133">
        <f>IF(SER_hh_fec_in!K17=0,0,11630*1000*SER_hh_fec_in!K17/SER_hh_num_in!K17)</f>
        <v>18771.03176851942</v>
      </c>
      <c r="L17" s="133">
        <f>IF(SER_hh_fec_in!L17=0,0,11630*1000*SER_hh_fec_in!L17/SER_hh_num_in!L17)</f>
        <v>25533.05668066657</v>
      </c>
      <c r="M17" s="133">
        <f>IF(SER_hh_fec_in!M17=0,0,11630*1000*SER_hh_fec_in!M17/SER_hh_num_in!M17)</f>
        <v>16578.168073177534</v>
      </c>
      <c r="N17" s="133">
        <f>IF(SER_hh_fec_in!N17=0,0,11630*1000*SER_hh_fec_in!N17/SER_hh_num_in!N17)</f>
        <v>17082.37581094437</v>
      </c>
      <c r="O17" s="133">
        <f>IF(SER_hh_fec_in!O17=0,0,11630*1000*SER_hh_fec_in!O17/SER_hh_num_in!O17)</f>
        <v>21568.682309177664</v>
      </c>
      <c r="P17" s="133">
        <f>IF(SER_hh_fec_in!P17=0,0,11630*1000*SER_hh_fec_in!P17/SER_hh_num_in!P17)</f>
        <v>14064.515077229868</v>
      </c>
      <c r="Q17" s="133">
        <f>IF(SER_hh_fec_in!Q17=0,0,11630*1000*SER_hh_fec_in!Q17/SER_hh_num_in!Q17)</f>
        <v>15963.409473341037</v>
      </c>
      <c r="R17" s="133">
        <f>IF(SER_hh_fec_in!R17=0,0,11630*1000*SER_hh_fec_in!R17/SER_hh_num_in!R17)</f>
        <v>23192.356709718024</v>
      </c>
      <c r="S17" s="133">
        <f>IF(SER_hh_fec_in!S17=0,0,11630*1000*SER_hh_fec_in!S17/SER_hh_num_in!S17)</f>
        <v>21379.94695180214</v>
      </c>
      <c r="T17" s="133">
        <f>IF(SER_hh_fec_in!T17=0,0,11630*1000*SER_hh_fec_in!T17/SER_hh_num_in!T17)</f>
        <v>17544.092828836267</v>
      </c>
      <c r="U17" s="133">
        <f>IF(SER_hh_fec_in!U17=0,0,11630*1000*SER_hh_fec_in!U17/SER_hh_num_in!U17)</f>
        <v>13416.717721164687</v>
      </c>
      <c r="V17" s="133">
        <f>IF(SER_hh_fec_in!V17=0,0,11630*1000*SER_hh_fec_in!V17/SER_hh_num_in!V17)</f>
        <v>17800.223418553429</v>
      </c>
      <c r="W17" s="133">
        <f>IF(SER_hh_fec_in!W17=0,0,11630*1000*SER_hh_fec_in!W17/SER_hh_num_in!W17)</f>
        <v>11139.21685564337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10084.38453968053</v>
      </c>
      <c r="D18" s="133">
        <f>IF(SER_hh_fec_in!D18=0,0,11630*1000*SER_hh_fec_in!D18/SER_hh_num_in!D18)</f>
        <v>8697.8652086388975</v>
      </c>
      <c r="E18" s="133">
        <f>IF(SER_hh_fec_in!E18=0,0,11630*1000*SER_hh_fec_in!E18/SER_hh_num_in!E18)</f>
        <v>11928.07724141365</v>
      </c>
      <c r="F18" s="133">
        <f>IF(SER_hh_fec_in!F18=0,0,11630*1000*SER_hh_fec_in!F18/SER_hh_num_in!F18)</f>
        <v>9600.3854388509662</v>
      </c>
      <c r="G18" s="133">
        <f>IF(SER_hh_fec_in!G18=0,0,11630*1000*SER_hh_fec_in!G18/SER_hh_num_in!G18)</f>
        <v>10226.09959283149</v>
      </c>
      <c r="H18" s="133">
        <f>IF(SER_hh_fec_in!H18=0,0,11630*1000*SER_hh_fec_in!H18/SER_hh_num_in!H18)</f>
        <v>11958.339915040589</v>
      </c>
      <c r="I18" s="133">
        <f>IF(SER_hh_fec_in!I18=0,0,11630*1000*SER_hh_fec_in!I18/SER_hh_num_in!I18)</f>
        <v>7515.5639342188106</v>
      </c>
      <c r="J18" s="133">
        <f>IF(SER_hh_fec_in!J18=0,0,11630*1000*SER_hh_fec_in!J18/SER_hh_num_in!J18)</f>
        <v>7078.7221074552235</v>
      </c>
      <c r="K18" s="133">
        <f>IF(SER_hh_fec_in!K18=0,0,11630*1000*SER_hh_fec_in!K18/SER_hh_num_in!K18)</f>
        <v>8325.4422544428926</v>
      </c>
      <c r="L18" s="133">
        <f>IF(SER_hh_fec_in!L18=0,0,11630*1000*SER_hh_fec_in!L18/SER_hh_num_in!L18)</f>
        <v>11032.590770414101</v>
      </c>
      <c r="M18" s="133">
        <f>IF(SER_hh_fec_in!M18=0,0,11630*1000*SER_hh_fec_in!M18/SER_hh_num_in!M18)</f>
        <v>6965.2812148447492</v>
      </c>
      <c r="N18" s="133">
        <f>IF(SER_hh_fec_in!N18=0,0,11630*1000*SER_hh_fec_in!N18/SER_hh_num_in!N18)</f>
        <v>6983.3410711722145</v>
      </c>
      <c r="O18" s="133">
        <f>IF(SER_hh_fec_in!O18=0,0,11630*1000*SER_hh_fec_in!O18/SER_hh_num_in!O18)</f>
        <v>8578.6484139636013</v>
      </c>
      <c r="P18" s="133">
        <f>IF(SER_hh_fec_in!P18=0,0,11630*1000*SER_hh_fec_in!P18/SER_hh_num_in!P18)</f>
        <v>5466.4134185064622</v>
      </c>
      <c r="Q18" s="133">
        <f>IF(SER_hh_fec_in!Q18=0,0,11630*1000*SER_hh_fec_in!Q18/SER_hh_num_in!Q18)</f>
        <v>6117.7545028082613</v>
      </c>
      <c r="R18" s="133">
        <f>IF(SER_hh_fec_in!R18=0,0,11630*1000*SER_hh_fec_in!R18/SER_hh_num_in!R18)</f>
        <v>8852.8338195181695</v>
      </c>
      <c r="S18" s="133">
        <f>IF(SER_hh_fec_in!S18=0,0,11630*1000*SER_hh_fec_in!S18/SER_hh_num_in!S18)</f>
        <v>8174.332841504418</v>
      </c>
      <c r="T18" s="133">
        <f>IF(SER_hh_fec_in!T18=0,0,11630*1000*SER_hh_fec_in!T18/SER_hh_num_in!T18)</f>
        <v>6824.9340399044358</v>
      </c>
      <c r="U18" s="133">
        <f>IF(SER_hh_fec_in!U18=0,0,11630*1000*SER_hh_fec_in!U18/SER_hh_num_in!U18)</f>
        <v>5219.3346892801528</v>
      </c>
      <c r="V18" s="133">
        <f>IF(SER_hh_fec_in!V18=0,0,11630*1000*SER_hh_fec_in!V18/SER_hh_num_in!V18)</f>
        <v>7484.2692957212048</v>
      </c>
      <c r="W18" s="133">
        <f>IF(SER_hh_fec_in!W18=0,0,11630*1000*SER_hh_fec_in!W18/SER_hh_num_in!W18)</f>
        <v>4548.293516559409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12368.679843794076</v>
      </c>
      <c r="D19" s="131">
        <f>IF(SER_hh_fec_in!D19=0,0,11630*1000*SER_hh_fec_in!D19/SER_hh_num_in!D19)</f>
        <v>12060.013416640488</v>
      </c>
      <c r="E19" s="131">
        <f>IF(SER_hh_fec_in!E19=0,0,11630*1000*SER_hh_fec_in!E19/SER_hh_num_in!E19)</f>
        <v>12390.781138250122</v>
      </c>
      <c r="F19" s="131">
        <f>IF(SER_hh_fec_in!F19=0,0,11630*1000*SER_hh_fec_in!F19/SER_hh_num_in!F19)</f>
        <v>12421.900800119331</v>
      </c>
      <c r="G19" s="131">
        <f>IF(SER_hh_fec_in!G19=0,0,11630*1000*SER_hh_fec_in!G19/SER_hh_num_in!G19)</f>
        <v>11452.821593566896</v>
      </c>
      <c r="H19" s="131">
        <f>IF(SER_hh_fec_in!H19=0,0,11630*1000*SER_hh_fec_in!H19/SER_hh_num_in!H19)</f>
        <v>12585.872434880435</v>
      </c>
      <c r="I19" s="131">
        <f>IF(SER_hh_fec_in!I19=0,0,11630*1000*SER_hh_fec_in!I19/SER_hh_num_in!I19)</f>
        <v>11909.391221706837</v>
      </c>
      <c r="J19" s="131">
        <f>IF(SER_hh_fec_in!J19=0,0,11630*1000*SER_hh_fec_in!J19/SER_hh_num_in!J19)</f>
        <v>10834.861913116431</v>
      </c>
      <c r="K19" s="131">
        <f>IF(SER_hh_fec_in!K19=0,0,11630*1000*SER_hh_fec_in!K19/SER_hh_num_in!K19)</f>
        <v>11316.513671090983</v>
      </c>
      <c r="L19" s="131">
        <f>IF(SER_hh_fec_in!L19=0,0,11630*1000*SER_hh_fec_in!L19/SER_hh_num_in!L19)</f>
        <v>11038.608098927763</v>
      </c>
      <c r="M19" s="131">
        <f>IF(SER_hh_fec_in!M19=0,0,11630*1000*SER_hh_fec_in!M19/SER_hh_num_in!M19)</f>
        <v>11561.641581867527</v>
      </c>
      <c r="N19" s="131">
        <f>IF(SER_hh_fec_in!N19=0,0,11630*1000*SER_hh_fec_in!N19/SER_hh_num_in!N19)</f>
        <v>11677.230881181053</v>
      </c>
      <c r="O19" s="131">
        <f>IF(SER_hh_fec_in!O19=0,0,11630*1000*SER_hh_fec_in!O19/SER_hh_num_in!O19)</f>
        <v>11527.051726973919</v>
      </c>
      <c r="P19" s="131">
        <f>IF(SER_hh_fec_in!P19=0,0,11630*1000*SER_hh_fec_in!P19/SER_hh_num_in!P19)</f>
        <v>10660.965751595008</v>
      </c>
      <c r="Q19" s="131">
        <f>IF(SER_hh_fec_in!Q19=0,0,11630*1000*SER_hh_fec_in!Q19/SER_hh_num_in!Q19)</f>
        <v>10596.013997329672</v>
      </c>
      <c r="R19" s="131">
        <f>IF(SER_hh_fec_in!R19=0,0,11630*1000*SER_hh_fec_in!R19/SER_hh_num_in!R19)</f>
        <v>10534.510469291443</v>
      </c>
      <c r="S19" s="131">
        <f>IF(SER_hh_fec_in!S19=0,0,11630*1000*SER_hh_fec_in!S19/SER_hh_num_in!S19)</f>
        <v>10468.426011259386</v>
      </c>
      <c r="T19" s="131">
        <f>IF(SER_hh_fec_in!T19=0,0,11630*1000*SER_hh_fec_in!T19/SER_hh_num_in!T19)</f>
        <v>10608.100868914215</v>
      </c>
      <c r="U19" s="131">
        <f>IF(SER_hh_fec_in!U19=0,0,11630*1000*SER_hh_fec_in!U19/SER_hh_num_in!U19)</f>
        <v>10452.209777425513</v>
      </c>
      <c r="V19" s="131">
        <f>IF(SER_hh_fec_in!V19=0,0,11630*1000*SER_hh_fec_in!V19/SER_hh_num_in!V19)</f>
        <v>9016.7139537057228</v>
      </c>
      <c r="W19" s="131">
        <f>IF(SER_hh_fec_in!W19=0,0,11630*1000*SER_hh_fec_in!W19/SER_hh_num_in!W19)</f>
        <v>9596.9003329398965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15227.126152039142</v>
      </c>
      <c r="D21" s="133">
        <f>IF(SER_hh_fec_in!D21=0,0,11630*1000*SER_hh_fec_in!D21/SER_hh_num_in!D21)</f>
        <v>15284.203991573719</v>
      </c>
      <c r="E21" s="133">
        <f>IF(SER_hh_fec_in!E21=0,0,11630*1000*SER_hh_fec_in!E21/SER_hh_num_in!E21)</f>
        <v>15272.826567349395</v>
      </c>
      <c r="F21" s="133">
        <f>IF(SER_hh_fec_in!F21=0,0,11630*1000*SER_hh_fec_in!F21/SER_hh_num_in!F21)</f>
        <v>15108.129450575996</v>
      </c>
      <c r="G21" s="133">
        <f>IF(SER_hh_fec_in!G21=0,0,11630*1000*SER_hh_fec_in!G21/SER_hh_num_in!G21)</f>
        <v>14064.767758039783</v>
      </c>
      <c r="H21" s="133">
        <f>IF(SER_hh_fec_in!H21=0,0,11630*1000*SER_hh_fec_in!H21/SER_hh_num_in!H21)</f>
        <v>14495.373680042816</v>
      </c>
      <c r="I21" s="133">
        <f>IF(SER_hh_fec_in!I21=0,0,11630*1000*SER_hh_fec_in!I21/SER_hh_num_in!I21)</f>
        <v>14255.346104162538</v>
      </c>
      <c r="J21" s="133">
        <f>IF(SER_hh_fec_in!J21=0,0,11630*1000*SER_hh_fec_in!J21/SER_hh_num_in!J21)</f>
        <v>11378.971947120395</v>
      </c>
      <c r="K21" s="133">
        <f>IF(SER_hh_fec_in!K21=0,0,11630*1000*SER_hh_fec_in!K21/SER_hh_num_in!K21)</f>
        <v>13655.914454131103</v>
      </c>
      <c r="L21" s="133">
        <f>IF(SER_hh_fec_in!L21=0,0,11630*1000*SER_hh_fec_in!L21/SER_hh_num_in!L21)</f>
        <v>11577.75648464499</v>
      </c>
      <c r="M21" s="133">
        <f>IF(SER_hh_fec_in!M21=0,0,11630*1000*SER_hh_fec_in!M21/SER_hh_num_in!M21)</f>
        <v>13535.45965257253</v>
      </c>
      <c r="N21" s="133">
        <f>IF(SER_hh_fec_in!N21=0,0,11630*1000*SER_hh_fec_in!N21/SER_hh_num_in!N21)</f>
        <v>13157.049176251008</v>
      </c>
      <c r="O21" s="133">
        <f>IF(SER_hh_fec_in!O21=0,0,11630*1000*SER_hh_fec_in!O21/SER_hh_num_in!O21)</f>
        <v>13257.772335977688</v>
      </c>
      <c r="P21" s="133">
        <f>IF(SER_hh_fec_in!P21=0,0,11630*1000*SER_hh_fec_in!P21/SER_hh_num_in!P21)</f>
        <v>12240.156292137941</v>
      </c>
      <c r="Q21" s="133">
        <f>IF(SER_hh_fec_in!Q21=0,0,11630*1000*SER_hh_fec_in!Q21/SER_hh_num_in!Q21)</f>
        <v>12200.582649877168</v>
      </c>
      <c r="R21" s="133">
        <f>IF(SER_hh_fec_in!R21=0,0,11630*1000*SER_hh_fec_in!R21/SER_hh_num_in!R21)</f>
        <v>11439.153597100569</v>
      </c>
      <c r="S21" s="133">
        <f>IF(SER_hh_fec_in!S21=0,0,11630*1000*SER_hh_fec_in!S21/SER_hh_num_in!S21)</f>
        <v>11198.465677152644</v>
      </c>
      <c r="T21" s="133">
        <f>IF(SER_hh_fec_in!T21=0,0,11630*1000*SER_hh_fec_in!T21/SER_hh_num_in!T21)</f>
        <v>10985.90385124298</v>
      </c>
      <c r="U21" s="133">
        <f>IF(SER_hh_fec_in!U21=0,0,11630*1000*SER_hh_fec_in!U21/SER_hh_num_in!U21)</f>
        <v>10411.366326448049</v>
      </c>
      <c r="V21" s="133">
        <f>IF(SER_hh_fec_in!V21=0,0,11630*1000*SER_hh_fec_in!V21/SER_hh_num_in!V21)</f>
        <v>6931.5997620896133</v>
      </c>
      <c r="W21" s="133">
        <f>IF(SER_hh_fec_in!W21=0,0,11630*1000*SER_hh_fec_in!W21/SER_hh_num_in!W21)</f>
        <v>10511.369965150878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16381.886580059512</v>
      </c>
      <c r="D22" s="133">
        <f>IF(SER_hh_fec_in!D22=0,0,11630*1000*SER_hh_fec_in!D22/SER_hh_num_in!D22)</f>
        <v>16231.791405106114</v>
      </c>
      <c r="E22" s="133">
        <f>IF(SER_hh_fec_in!E22=0,0,11630*1000*SER_hh_fec_in!E22/SER_hh_num_in!E22)</f>
        <v>16295.013877371526</v>
      </c>
      <c r="F22" s="133">
        <f>IF(SER_hh_fec_in!F22=0,0,11630*1000*SER_hh_fec_in!F22/SER_hh_num_in!F22)</f>
        <v>16222.527934387332</v>
      </c>
      <c r="G22" s="133">
        <f>IF(SER_hh_fec_in!G22=0,0,11630*1000*SER_hh_fec_in!G22/SER_hh_num_in!G22)</f>
        <v>14817.806710563196</v>
      </c>
      <c r="H22" s="133">
        <f>IF(SER_hh_fec_in!H22=0,0,11630*1000*SER_hh_fec_in!H22/SER_hh_num_in!H22)</f>
        <v>15369.825183894973</v>
      </c>
      <c r="I22" s="133">
        <f>IF(SER_hh_fec_in!I22=0,0,11630*1000*SER_hh_fec_in!I22/SER_hh_num_in!I22)</f>
        <v>15046.968761784858</v>
      </c>
      <c r="J22" s="133">
        <f>IF(SER_hh_fec_in!J22=0,0,11630*1000*SER_hh_fec_in!J22/SER_hh_num_in!J22)</f>
        <v>11619.496566921425</v>
      </c>
      <c r="K22" s="133">
        <f>IF(SER_hh_fec_in!K22=0,0,11630*1000*SER_hh_fec_in!K22/SER_hh_num_in!K22)</f>
        <v>13963.68175607477</v>
      </c>
      <c r="L22" s="133">
        <f>IF(SER_hh_fec_in!L22=0,0,11630*1000*SER_hh_fec_in!L22/SER_hh_num_in!L22)</f>
        <v>12199.082006162052</v>
      </c>
      <c r="M22" s="133">
        <f>IF(SER_hh_fec_in!M22=0,0,11630*1000*SER_hh_fec_in!M22/SER_hh_num_in!M22)</f>
        <v>14308.201364885253</v>
      </c>
      <c r="N22" s="133">
        <f>IF(SER_hh_fec_in!N22=0,0,11630*1000*SER_hh_fec_in!N22/SER_hh_num_in!N22)</f>
        <v>13858.00154012747</v>
      </c>
      <c r="O22" s="133">
        <f>IF(SER_hh_fec_in!O22=0,0,11630*1000*SER_hh_fec_in!O22/SER_hh_num_in!O22)</f>
        <v>14155.447330255569</v>
      </c>
      <c r="P22" s="133">
        <f>IF(SER_hh_fec_in!P22=0,0,11630*1000*SER_hh_fec_in!P22/SER_hh_num_in!P22)</f>
        <v>12902.029566245259</v>
      </c>
      <c r="Q22" s="133">
        <f>IF(SER_hh_fec_in!Q22=0,0,11630*1000*SER_hh_fec_in!Q22/SER_hh_num_in!Q22)</f>
        <v>12693.268407817499</v>
      </c>
      <c r="R22" s="133">
        <f>IF(SER_hh_fec_in!R22=0,0,11630*1000*SER_hh_fec_in!R22/SER_hh_num_in!R22)</f>
        <v>11675.173894681766</v>
      </c>
      <c r="S22" s="133">
        <f>IF(SER_hh_fec_in!S22=0,0,11630*1000*SER_hh_fec_in!S22/SER_hh_num_in!S22)</f>
        <v>11564.14467234296</v>
      </c>
      <c r="T22" s="133">
        <f>IF(SER_hh_fec_in!T22=0,0,11630*1000*SER_hh_fec_in!T22/SER_hh_num_in!T22)</f>
        <v>11466.481515105763</v>
      </c>
      <c r="U22" s="133">
        <f>IF(SER_hh_fec_in!U22=0,0,11630*1000*SER_hh_fec_in!U22/SER_hh_num_in!U22)</f>
        <v>10616.029633742235</v>
      </c>
      <c r="V22" s="133">
        <f>IF(SER_hh_fec_in!V22=0,0,11630*1000*SER_hh_fec_in!V22/SER_hh_num_in!V22)</f>
        <v>6894.2290534208059</v>
      </c>
      <c r="W22" s="133">
        <f>IF(SER_hh_fec_in!W22=0,0,11630*1000*SER_hh_fec_in!W22/SER_hh_num_in!W22)</f>
        <v>11328.281575083432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14658.566050777295</v>
      </c>
      <c r="D23" s="133">
        <f>IF(SER_hh_fec_in!D23=0,0,11630*1000*SER_hh_fec_in!D23/SER_hh_num_in!D23)</f>
        <v>14617.314552509612</v>
      </c>
      <c r="E23" s="133">
        <f>IF(SER_hh_fec_in!E23=0,0,11630*1000*SER_hh_fec_in!E23/SER_hh_num_in!E23)</f>
        <v>14124.505831045315</v>
      </c>
      <c r="F23" s="133">
        <f>IF(SER_hh_fec_in!F23=0,0,11630*1000*SER_hh_fec_in!F23/SER_hh_num_in!F23)</f>
        <v>14000.824778037037</v>
      </c>
      <c r="G23" s="133">
        <f>IF(SER_hh_fec_in!G23=0,0,11630*1000*SER_hh_fec_in!G23/SER_hh_num_in!G23)</f>
        <v>13414.497696522762</v>
      </c>
      <c r="H23" s="133">
        <f>IF(SER_hh_fec_in!H23=0,0,11630*1000*SER_hh_fec_in!H23/SER_hh_num_in!H23)</f>
        <v>13574.463943163128</v>
      </c>
      <c r="I23" s="133">
        <f>IF(SER_hh_fec_in!I23=0,0,11630*1000*SER_hh_fec_in!I23/SER_hh_num_in!I23)</f>
        <v>13523.221211558788</v>
      </c>
      <c r="J23" s="133">
        <f>IF(SER_hh_fec_in!J23=0,0,11630*1000*SER_hh_fec_in!J23/SER_hh_num_in!J23)</f>
        <v>11170.888429999468</v>
      </c>
      <c r="K23" s="133">
        <f>IF(SER_hh_fec_in!K23=0,0,11630*1000*SER_hh_fec_in!K23/SER_hh_num_in!K23)</f>
        <v>12484.530972728899</v>
      </c>
      <c r="L23" s="133">
        <f>IF(SER_hh_fec_in!L23=0,0,11630*1000*SER_hh_fec_in!L23/SER_hh_num_in!L23)</f>
        <v>11076.665576453239</v>
      </c>
      <c r="M23" s="133">
        <f>IF(SER_hh_fec_in!M23=0,0,11630*1000*SER_hh_fec_in!M23/SER_hh_num_in!M23)</f>
        <v>12712.482144131356</v>
      </c>
      <c r="N23" s="133">
        <f>IF(SER_hh_fec_in!N23=0,0,11630*1000*SER_hh_fec_in!N23/SER_hh_num_in!N23)</f>
        <v>12424.859836836009</v>
      </c>
      <c r="O23" s="133">
        <f>IF(SER_hh_fec_in!O23=0,0,11630*1000*SER_hh_fec_in!O23/SER_hh_num_in!O23)</f>
        <v>12686.838879336199</v>
      </c>
      <c r="P23" s="133">
        <f>IF(SER_hh_fec_in!P23=0,0,11630*1000*SER_hh_fec_in!P23/SER_hh_num_in!P23)</f>
        <v>11639.548661967796</v>
      </c>
      <c r="Q23" s="133">
        <f>IF(SER_hh_fec_in!Q23=0,0,11630*1000*SER_hh_fec_in!Q23/SER_hh_num_in!Q23)</f>
        <v>11575.184830511207</v>
      </c>
      <c r="R23" s="133">
        <f>IF(SER_hh_fec_in!R23=0,0,11630*1000*SER_hh_fec_in!R23/SER_hh_num_in!R23)</f>
        <v>11132.93723368003</v>
      </c>
      <c r="S23" s="133">
        <f>IF(SER_hh_fec_in!S23=0,0,11630*1000*SER_hh_fec_in!S23/SER_hh_num_in!S23)</f>
        <v>11194.896814571508</v>
      </c>
      <c r="T23" s="133">
        <f>IF(SER_hh_fec_in!T23=0,0,11630*1000*SER_hh_fec_in!T23/SER_hh_num_in!T23)</f>
        <v>11261.246468219922</v>
      </c>
      <c r="U23" s="133">
        <f>IF(SER_hh_fec_in!U23=0,0,11630*1000*SER_hh_fec_in!U23/SER_hh_num_in!U23)</f>
        <v>10755.728378873651</v>
      </c>
      <c r="V23" s="133">
        <f>IF(SER_hh_fec_in!V23=0,0,11630*1000*SER_hh_fec_in!V23/SER_hh_num_in!V23)</f>
        <v>6166.2256873103788</v>
      </c>
      <c r="W23" s="133">
        <f>IF(SER_hh_fec_in!W23=0,0,11630*1000*SER_hh_fec_in!W23/SER_hh_num_in!W23)</f>
        <v>11086.711679373177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10562.331329243976</v>
      </c>
      <c r="D25" s="133">
        <f>IF(SER_hh_fec_in!D25=0,0,11630*1000*SER_hh_fec_in!D25/SER_hh_num_in!D25)</f>
        <v>10945.135438089332</v>
      </c>
      <c r="E25" s="133">
        <f>IF(SER_hh_fec_in!E25=0,0,11630*1000*SER_hh_fec_in!E25/SER_hh_num_in!E25)</f>
        <v>11034.605613585143</v>
      </c>
      <c r="F25" s="133">
        <f>IF(SER_hh_fec_in!F25=0,0,11630*1000*SER_hh_fec_in!F25/SER_hh_num_in!F25)</f>
        <v>11318.550720751871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2307.0195024160507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2301.4629595762144</v>
      </c>
      <c r="M25" s="133">
        <f>IF(SER_hh_fec_in!M25=0,0,11630*1000*SER_hh_fec_in!M25/SER_hh_num_in!M25)</f>
        <v>8506.0371083127502</v>
      </c>
      <c r="N25" s="133">
        <f>IF(SER_hh_fec_in!N25=0,0,11630*1000*SER_hh_fec_in!N25/SER_hh_num_in!N25)</f>
        <v>9946.130919049685</v>
      </c>
      <c r="O25" s="133">
        <f>IF(SER_hh_fec_in!O25=0,0,11630*1000*SER_hh_fec_in!O25/SER_hh_num_in!O25)</f>
        <v>11229.72100858776</v>
      </c>
      <c r="P25" s="133">
        <f>IF(SER_hh_fec_in!P25=0,0,11630*1000*SER_hh_fec_in!P25/SER_hh_num_in!P25)</f>
        <v>10352.062060999473</v>
      </c>
      <c r="Q25" s="133">
        <f>IF(SER_hh_fec_in!Q25=0,0,11630*1000*SER_hh_fec_in!Q25/SER_hh_num_in!Q25)</f>
        <v>10877.638598342814</v>
      </c>
      <c r="R25" s="133">
        <f>IF(SER_hh_fec_in!R25=0,0,11630*1000*SER_hh_fec_in!R25/SER_hh_num_in!R25)</f>
        <v>9994.8466451278982</v>
      </c>
      <c r="S25" s="133">
        <f>IF(SER_hh_fec_in!S25=0,0,11630*1000*SER_hh_fec_in!S25/SER_hh_num_in!S25)</f>
        <v>10734.396421736252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9873.0855536420131</v>
      </c>
      <c r="D26" s="65">
        <f>IF(SER_hh_fec_in!D26=0,0,11630*1000*SER_hh_fec_in!D26/SER_hh_num_in!D26)</f>
        <v>8292.9924772594331</v>
      </c>
      <c r="E26" s="65">
        <f>IF(SER_hh_fec_in!E26=0,0,11630*1000*SER_hh_fec_in!E26/SER_hh_num_in!E26)</f>
        <v>8921.2358855878028</v>
      </c>
      <c r="F26" s="65">
        <f>IF(SER_hh_fec_in!F26=0,0,11630*1000*SER_hh_fec_in!F26/SER_hh_num_in!F26)</f>
        <v>8333.792679755381</v>
      </c>
      <c r="G26" s="65">
        <f>IF(SER_hh_fec_in!G26=0,0,11630*1000*SER_hh_fec_in!G26/SER_hh_num_in!G26)</f>
        <v>3829.4002167808299</v>
      </c>
      <c r="H26" s="65">
        <f>IF(SER_hh_fec_in!H26=0,0,11630*1000*SER_hh_fec_in!H26/SER_hh_num_in!H26)</f>
        <v>8683.8367566627894</v>
      </c>
      <c r="I26" s="65">
        <f>IF(SER_hh_fec_in!I26=0,0,11630*1000*SER_hh_fec_in!I26/SER_hh_num_in!I26)</f>
        <v>5357.9931354096307</v>
      </c>
      <c r="J26" s="65">
        <f>IF(SER_hh_fec_in!J26=0,0,11630*1000*SER_hh_fec_in!J26/SER_hh_num_in!J26)</f>
        <v>2174.9743834516808</v>
      </c>
      <c r="K26" s="65">
        <f>IF(SER_hh_fec_in!K26=0,0,11630*1000*SER_hh_fec_in!K26/SER_hh_num_in!K26)</f>
        <v>2284.2818715211192</v>
      </c>
      <c r="L26" s="65">
        <f>IF(SER_hh_fec_in!L26=0,0,11630*1000*SER_hh_fec_in!L26/SER_hh_num_in!L26)</f>
        <v>1143.6163754355684</v>
      </c>
      <c r="M26" s="65">
        <f>IF(SER_hh_fec_in!M26=0,0,11630*1000*SER_hh_fec_in!M26/SER_hh_num_in!M26)</f>
        <v>188.5050229725293</v>
      </c>
      <c r="N26" s="65">
        <f>IF(SER_hh_fec_in!N26=0,0,11630*1000*SER_hh_fec_in!N26/SER_hh_num_in!N26)</f>
        <v>122.38639701284308</v>
      </c>
      <c r="O26" s="65">
        <f>IF(SER_hh_fec_in!O26=0,0,11630*1000*SER_hh_fec_in!O26/SER_hh_num_in!O26)</f>
        <v>115.38440793858885</v>
      </c>
      <c r="P26" s="65">
        <f>IF(SER_hh_fec_in!P26=0,0,11630*1000*SER_hh_fec_in!P26/SER_hh_num_in!P26)</f>
        <v>113.6414794152426</v>
      </c>
      <c r="Q26" s="65">
        <f>IF(SER_hh_fec_in!Q26=0,0,11630*1000*SER_hh_fec_in!Q26/SER_hh_num_in!Q26)</f>
        <v>111.50212182477155</v>
      </c>
      <c r="R26" s="65">
        <f>IF(SER_hh_fec_in!R26=0,0,11630*1000*SER_hh_fec_in!R26/SER_hh_num_in!R26)</f>
        <v>107.87714739090762</v>
      </c>
      <c r="S26" s="65">
        <f>IF(SER_hh_fec_in!S26=0,0,11630*1000*SER_hh_fec_in!S26/SER_hh_num_in!S26)</f>
        <v>102.33975582985948</v>
      </c>
      <c r="T26" s="65">
        <f>IF(SER_hh_fec_in!T26=0,0,11630*1000*SER_hh_fec_in!T26/SER_hh_num_in!T26)</f>
        <v>97.895003944209435</v>
      </c>
      <c r="U26" s="65">
        <f>IF(SER_hh_fec_in!U26=0,0,11630*1000*SER_hh_fec_in!U26/SER_hh_num_in!U26)</f>
        <v>97.065567062870542</v>
      </c>
      <c r="V26" s="65">
        <f>IF(SER_hh_fec_in!V26=0,0,11630*1000*SER_hh_fec_in!V26/SER_hh_num_in!V26)</f>
        <v>75.363008122745384</v>
      </c>
      <c r="W26" s="65">
        <f>IF(SER_hh_fec_in!W26=0,0,11630*1000*SER_hh_fec_in!W26/SER_hh_num_in!W26)</f>
        <v>8473.1451219989867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1576.0110095433822</v>
      </c>
      <c r="D27" s="146">
        <f>IF(SER_hh_fec_in!D27=0,0,11630*1000*SER_hh_fec_in!D27/SER_hh_num_in!D19)</f>
        <v>2587.2122224330319</v>
      </c>
      <c r="E27" s="146">
        <f>IF(SER_hh_fec_in!E27=0,0,11630*1000*SER_hh_fec_in!E27/SER_hh_num_in!E19)</f>
        <v>1978.9174575285065</v>
      </c>
      <c r="F27" s="146">
        <f>IF(SER_hh_fec_in!F27=0,0,11630*1000*SER_hh_fec_in!F27/SER_hh_num_in!F19)</f>
        <v>2296.3363595557171</v>
      </c>
      <c r="G27" s="146">
        <f>IF(SER_hh_fec_in!G27=0,0,11630*1000*SER_hh_fec_in!G27/SER_hh_num_in!G19)</f>
        <v>4323.5029294050037</v>
      </c>
      <c r="H27" s="146">
        <f>IF(SER_hh_fec_in!H27=0,0,11630*1000*SER_hh_fec_in!H27/SER_hh_num_in!H19)</f>
        <v>1894.9863095900023</v>
      </c>
      <c r="I27" s="146">
        <f>IF(SER_hh_fec_in!I27=0,0,11630*1000*SER_hh_fec_in!I27/SER_hh_num_in!I19)</f>
        <v>3379.2724070099571</v>
      </c>
      <c r="J27" s="146">
        <f>IF(SER_hh_fec_in!J27=0,0,11630*1000*SER_hh_fec_in!J27/SER_hh_num_in!J19)</f>
        <v>5235.2141226947597</v>
      </c>
      <c r="K27" s="146">
        <f>IF(SER_hh_fec_in!K27=0,0,11630*1000*SER_hh_fec_in!K27/SER_hh_num_in!K19)</f>
        <v>4786.4672130078725</v>
      </c>
      <c r="L27" s="146">
        <f>IF(SER_hh_fec_in!L27=0,0,11630*1000*SER_hh_fec_in!L27/SER_hh_num_in!L19)</f>
        <v>5410.3241543251479</v>
      </c>
      <c r="M27" s="146">
        <f>IF(SER_hh_fec_in!M27=0,0,11630*1000*SER_hh_fec_in!M27/SER_hh_num_in!M19)</f>
        <v>5276.5117250539461</v>
      </c>
      <c r="N27" s="146">
        <f>IF(SER_hh_fec_in!N27=0,0,11630*1000*SER_hh_fec_in!N27/SER_hh_num_in!N19)</f>
        <v>4931.3833730800561</v>
      </c>
      <c r="O27" s="146">
        <f>IF(SER_hh_fec_in!O27=0,0,11630*1000*SER_hh_fec_in!O27/SER_hh_num_in!O19)</f>
        <v>5059.3327700209356</v>
      </c>
      <c r="P27" s="146">
        <f>IF(SER_hh_fec_in!P27=0,0,11630*1000*SER_hh_fec_in!P27/SER_hh_num_in!P19)</f>
        <v>5823.7980210447904</v>
      </c>
      <c r="Q27" s="146">
        <f>IF(SER_hh_fec_in!Q27=0,0,11630*1000*SER_hh_fec_in!Q27/SER_hh_num_in!Q19)</f>
        <v>5655.5115111436007</v>
      </c>
      <c r="R27" s="146">
        <f>IF(SER_hh_fec_in!R27=0,0,11630*1000*SER_hh_fec_in!R27/SER_hh_num_in!R19)</f>
        <v>5411.6269939350877</v>
      </c>
      <c r="S27" s="146">
        <f>IF(SER_hh_fec_in!S27=0,0,11630*1000*SER_hh_fec_in!S27/SER_hh_num_in!S19)</f>
        <v>5260.4300176729566</v>
      </c>
      <c r="T27" s="146">
        <f>IF(SER_hh_fec_in!T27=0,0,11630*1000*SER_hh_fec_in!T27/SER_hh_num_in!T19)</f>
        <v>4962.114544956894</v>
      </c>
      <c r="U27" s="146">
        <f>IF(SER_hh_fec_in!U27=0,0,11630*1000*SER_hh_fec_in!U27/SER_hh_num_in!U19)</f>
        <v>5198.792914235315</v>
      </c>
      <c r="V27" s="146">
        <f>IF(SER_hh_fec_in!V27=0,0,11630*1000*SER_hh_fec_in!V27/SER_hh_num_in!V19)</f>
        <v>5571.1027063978327</v>
      </c>
      <c r="W27" s="146">
        <f>IF(SER_hh_fec_in!W27=0,0,11630*1000*SER_hh_fec_in!W27/SER_hh_num_in!W19)</f>
        <v>9.648303141845668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6680.9655281919877</v>
      </c>
      <c r="D28" s="147">
        <f>IF(SER_hh_fec_in!D27=0,0,11630*1000*SER_hh_fec_in!D27/SER_hh_num_in!D27)</f>
        <v>6726.6276311257761</v>
      </c>
      <c r="E28" s="147">
        <f>IF(SER_hh_fec_in!E27=0,0,11630*1000*SER_hh_fec_in!E27/SER_hh_num_in!E27)</f>
        <v>7072.8826470396216</v>
      </c>
      <c r="F28" s="147">
        <f>IF(SER_hh_fec_in!F27=0,0,11630*1000*SER_hh_fec_in!F27/SER_hh_num_in!F27)</f>
        <v>7134.4313488481857</v>
      </c>
      <c r="G28" s="147">
        <f>IF(SER_hh_fec_in!G27=0,0,11630*1000*SER_hh_fec_in!G27/SER_hh_num_in!G27)</f>
        <v>6754.5331693623566</v>
      </c>
      <c r="H28" s="147">
        <f>IF(SER_hh_fec_in!H27=0,0,11630*1000*SER_hh_fec_in!H27/SER_hh_num_in!H27)</f>
        <v>6903.4816812567815</v>
      </c>
      <c r="I28" s="147">
        <f>IF(SER_hh_fec_in!I27=0,0,11630*1000*SER_hh_fec_in!I27/SER_hh_num_in!I27)</f>
        <v>6948.584800918853</v>
      </c>
      <c r="J28" s="147">
        <f>IF(SER_hh_fec_in!J27=0,0,11630*1000*SER_hh_fec_in!J27/SER_hh_num_in!J27)</f>
        <v>6971.2689978846875</v>
      </c>
      <c r="K28" s="147">
        <f>IF(SER_hh_fec_in!K27=0,0,11630*1000*SER_hh_fec_in!K27/SER_hh_num_in!K27)</f>
        <v>7007.8117866462326</v>
      </c>
      <c r="L28" s="147">
        <f>IF(SER_hh_fec_in!L27=0,0,11630*1000*SER_hh_fec_in!L27/SER_hh_num_in!L27)</f>
        <v>7381.4566947090352</v>
      </c>
      <c r="M28" s="147">
        <f>IF(SER_hh_fec_in!M27=0,0,11630*1000*SER_hh_fec_in!M27/SER_hh_num_in!M27)</f>
        <v>8201.859808514504</v>
      </c>
      <c r="N28" s="147">
        <f>IF(SER_hh_fec_in!N27=0,0,11630*1000*SER_hh_fec_in!N27/SER_hh_num_in!N27)</f>
        <v>8064.1925539005761</v>
      </c>
      <c r="O28" s="147">
        <f>IF(SER_hh_fec_in!O27=0,0,11630*1000*SER_hh_fec_in!O27/SER_hh_num_in!O27)</f>
        <v>8560.1021267125871</v>
      </c>
      <c r="P28" s="147">
        <f>IF(SER_hh_fec_in!P27=0,0,11630*1000*SER_hh_fec_in!P27/SER_hh_num_in!P27)</f>
        <v>8611.4304390586785</v>
      </c>
      <c r="Q28" s="147">
        <f>IF(SER_hh_fec_in!Q27=0,0,11630*1000*SER_hh_fec_in!Q27/SER_hh_num_in!Q27)</f>
        <v>8782.6896552673807</v>
      </c>
      <c r="R28" s="147">
        <f>IF(SER_hh_fec_in!R27=0,0,11630*1000*SER_hh_fec_in!R27/SER_hh_num_in!R27)</f>
        <v>8494.052417247045</v>
      </c>
      <c r="S28" s="147">
        <f>IF(SER_hh_fec_in!S27=0,0,11630*1000*SER_hh_fec_in!S27/SER_hh_num_in!S27)</f>
        <v>8522.0177653480187</v>
      </c>
      <c r="T28" s="147">
        <f>IF(SER_hh_fec_in!T27=0,0,11630*1000*SER_hh_fec_in!T27/SER_hh_num_in!T27)</f>
        <v>8854.9362892443041</v>
      </c>
      <c r="U28" s="147">
        <f>IF(SER_hh_fec_in!U27=0,0,11630*1000*SER_hh_fec_in!U27/SER_hh_num_in!U27)</f>
        <v>8729.0062825238001</v>
      </c>
      <c r="V28" s="147">
        <f>IF(SER_hh_fec_in!V27=0,0,11630*1000*SER_hh_fec_in!V27/SER_hh_num_in!V27)</f>
        <v>6691.5804053672146</v>
      </c>
      <c r="W28" s="147">
        <f>IF(SER_hh_fec_in!W27=0,0,11630*1000*SER_hh_fec_in!W27/SER_hh_num_in!W27)</f>
        <v>9343.5840893045679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12062.234063428756</v>
      </c>
      <c r="D29" s="131">
        <f>IF(SER_hh_fec_in!D29=0,0,11630*1000*SER_hh_fec_in!D29/SER_hh_num_in!D29)</f>
        <v>14578.485456449265</v>
      </c>
      <c r="E29" s="131">
        <f>IF(SER_hh_fec_in!E29=0,0,11630*1000*SER_hh_fec_in!E29/SER_hh_num_in!E29)</f>
        <v>14657.609851155126</v>
      </c>
      <c r="F29" s="131">
        <f>IF(SER_hh_fec_in!F29=0,0,11630*1000*SER_hh_fec_in!F29/SER_hh_num_in!F29)</f>
        <v>14973.375044819733</v>
      </c>
      <c r="G29" s="131">
        <f>IF(SER_hh_fec_in!G29=0,0,11630*1000*SER_hh_fec_in!G29/SER_hh_num_in!G29)</f>
        <v>17288.352016373567</v>
      </c>
      <c r="H29" s="131">
        <f>IF(SER_hh_fec_in!H29=0,0,11630*1000*SER_hh_fec_in!H29/SER_hh_num_in!H29)</f>
        <v>14544.835879383718</v>
      </c>
      <c r="I29" s="131">
        <f>IF(SER_hh_fec_in!I29=0,0,11630*1000*SER_hh_fec_in!I29/SER_hh_num_in!I29)</f>
        <v>14459.955097282755</v>
      </c>
      <c r="J29" s="131">
        <f>IF(SER_hh_fec_in!J29=0,0,11630*1000*SER_hh_fec_in!J29/SER_hh_num_in!J29)</f>
        <v>13412.458223794956</v>
      </c>
      <c r="K29" s="131">
        <f>IF(SER_hh_fec_in!K29=0,0,11630*1000*SER_hh_fec_in!K29/SER_hh_num_in!K29)</f>
        <v>12346.126332865728</v>
      </c>
      <c r="L29" s="131">
        <f>IF(SER_hh_fec_in!L29=0,0,11630*1000*SER_hh_fec_in!L29/SER_hh_num_in!L29)</f>
        <v>14802.586882272153</v>
      </c>
      <c r="M29" s="131">
        <f>IF(SER_hh_fec_in!M29=0,0,11630*1000*SER_hh_fec_in!M29/SER_hh_num_in!M29)</f>
        <v>14419.738257742947</v>
      </c>
      <c r="N29" s="131">
        <f>IF(SER_hh_fec_in!N29=0,0,11630*1000*SER_hh_fec_in!N29/SER_hh_num_in!N29)</f>
        <v>25006.656171475588</v>
      </c>
      <c r="O29" s="131">
        <f>IF(SER_hh_fec_in!O29=0,0,11630*1000*SER_hh_fec_in!O29/SER_hh_num_in!O29)</f>
        <v>15278.233258501266</v>
      </c>
      <c r="P29" s="131">
        <f>IF(SER_hh_fec_in!P29=0,0,11630*1000*SER_hh_fec_in!P29/SER_hh_num_in!P29)</f>
        <v>18157.693290012085</v>
      </c>
      <c r="Q29" s="131">
        <f>IF(SER_hh_fec_in!Q29=0,0,11630*1000*SER_hh_fec_in!Q29/SER_hh_num_in!Q29)</f>
        <v>16834.257593397433</v>
      </c>
      <c r="R29" s="131">
        <f>IF(SER_hh_fec_in!R29=0,0,11630*1000*SER_hh_fec_in!R29/SER_hh_num_in!R29)</f>
        <v>15180.442043936211</v>
      </c>
      <c r="S29" s="131">
        <f>IF(SER_hh_fec_in!S29=0,0,11630*1000*SER_hh_fec_in!S29/SER_hh_num_in!S29)</f>
        <v>14887.737977343741</v>
      </c>
      <c r="T29" s="131">
        <f>IF(SER_hh_fec_in!T29=0,0,11630*1000*SER_hh_fec_in!T29/SER_hh_num_in!T29)</f>
        <v>14945.614765194754</v>
      </c>
      <c r="U29" s="131">
        <f>IF(SER_hh_fec_in!U29=0,0,11630*1000*SER_hh_fec_in!U29/SER_hh_num_in!U29)</f>
        <v>12605.717045479358</v>
      </c>
      <c r="V29" s="131">
        <f>IF(SER_hh_fec_in!V29=0,0,11630*1000*SER_hh_fec_in!V29/SER_hh_num_in!V29)</f>
        <v>12294.490947545717</v>
      </c>
      <c r="W29" s="131">
        <f>IF(SER_hh_fec_in!W29=0,0,11630*1000*SER_hh_fec_in!W29/SER_hh_num_in!W29)</f>
        <v>12514.9999213751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11845.809246042374</v>
      </c>
      <c r="D30" s="133">
        <f>IF(SER_hh_fec_in!D30=0,0,11630*1000*SER_hh_fec_in!D30/SER_hh_num_in!D30)</f>
        <v>16670.762930018183</v>
      </c>
      <c r="E30" s="133">
        <f>IF(SER_hh_fec_in!E30=0,0,11630*1000*SER_hh_fec_in!E30/SER_hh_num_in!E30)</f>
        <v>15657.159957741669</v>
      </c>
      <c r="F30" s="133">
        <f>IF(SER_hh_fec_in!F30=0,0,11630*1000*SER_hh_fec_in!F30/SER_hh_num_in!F30)</f>
        <v>15484.886858567677</v>
      </c>
      <c r="G30" s="133">
        <f>IF(SER_hh_fec_in!G30=0,0,11630*1000*SER_hh_fec_in!G30/SER_hh_num_in!G30)</f>
        <v>19543.388935074156</v>
      </c>
      <c r="H30" s="133">
        <f>IF(SER_hh_fec_in!H30=0,0,11630*1000*SER_hh_fec_in!H30/SER_hh_num_in!H30)</f>
        <v>16425.397594316601</v>
      </c>
      <c r="I30" s="133">
        <f>IF(SER_hh_fec_in!I30=0,0,11630*1000*SER_hh_fec_in!I30/SER_hh_num_in!I30)</f>
        <v>16589.079523560435</v>
      </c>
      <c r="J30" s="133">
        <f>IF(SER_hh_fec_in!J30=0,0,11630*1000*SER_hh_fec_in!J30/SER_hh_num_in!J30)</f>
        <v>19470.33128551357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12639.99124116541</v>
      </c>
      <c r="O30" s="133">
        <f>IF(SER_hh_fec_in!O30=0,0,11630*1000*SER_hh_fec_in!O30/SER_hh_num_in!O30)</f>
        <v>12663.956507258967</v>
      </c>
      <c r="P30" s="133">
        <f>IF(SER_hh_fec_in!P30=0,0,11630*1000*SER_hh_fec_in!P30/SER_hh_num_in!P30)</f>
        <v>19356.004459701915</v>
      </c>
      <c r="Q30" s="133">
        <f>IF(SER_hh_fec_in!Q30=0,0,11630*1000*SER_hh_fec_in!Q30/SER_hh_num_in!Q30)</f>
        <v>18995.82346321578</v>
      </c>
      <c r="R30" s="133">
        <f>IF(SER_hh_fec_in!R30=0,0,11630*1000*SER_hh_fec_in!R30/SER_hh_num_in!R30)</f>
        <v>16726.454082770942</v>
      </c>
      <c r="S30" s="133">
        <f>IF(SER_hh_fec_in!S30=0,0,11630*1000*SER_hh_fec_in!S30/SER_hh_num_in!S30)</f>
        <v>16068.600584062433</v>
      </c>
      <c r="T30" s="133">
        <f>IF(SER_hh_fec_in!T30=0,0,11630*1000*SER_hh_fec_in!T30/SER_hh_num_in!T30)</f>
        <v>20250.205562405612</v>
      </c>
      <c r="U30" s="133">
        <f>IF(SER_hh_fec_in!U30=0,0,11630*1000*SER_hh_fec_in!U30/SER_hh_num_in!U30)</f>
        <v>19904.687049509303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14874.550525501278</v>
      </c>
      <c r="D31" s="133">
        <f>IF(SER_hh_fec_in!D31=0,0,11630*1000*SER_hh_fec_in!D31/SER_hh_num_in!D31)</f>
        <v>15950.210483440835</v>
      </c>
      <c r="E31" s="133">
        <f>IF(SER_hh_fec_in!E31=0,0,11630*1000*SER_hh_fec_in!E31/SER_hh_num_in!E31)</f>
        <v>15804.104554174772</v>
      </c>
      <c r="F31" s="133">
        <f>IF(SER_hh_fec_in!F31=0,0,11630*1000*SER_hh_fec_in!F31/SER_hh_num_in!F31)</f>
        <v>16735.472964602432</v>
      </c>
      <c r="G31" s="133">
        <f>IF(SER_hh_fec_in!G31=0,0,11630*1000*SER_hh_fec_in!G31/SER_hh_num_in!G31)</f>
        <v>17005.787596740342</v>
      </c>
      <c r="H31" s="133">
        <f>IF(SER_hh_fec_in!H31=0,0,11630*1000*SER_hh_fec_in!H31/SER_hh_num_in!H31)</f>
        <v>17026.092868963075</v>
      </c>
      <c r="I31" s="133">
        <f>IF(SER_hh_fec_in!I31=0,0,11630*1000*SER_hh_fec_in!I31/SER_hh_num_in!I31)</f>
        <v>16841.08526470331</v>
      </c>
      <c r="J31" s="133">
        <f>IF(SER_hh_fec_in!J31=0,0,11630*1000*SER_hh_fec_in!J31/SER_hh_num_in!J31)</f>
        <v>16214.694160275756</v>
      </c>
      <c r="K31" s="133">
        <f>IF(SER_hh_fec_in!K31=0,0,11630*1000*SER_hh_fec_in!K31/SER_hh_num_in!K31)</f>
        <v>16355.436304337214</v>
      </c>
      <c r="L31" s="133">
        <f>IF(SER_hh_fec_in!L31=0,0,11630*1000*SER_hh_fec_in!L31/SER_hh_num_in!L31)</f>
        <v>18173.090683087561</v>
      </c>
      <c r="M31" s="133">
        <f>IF(SER_hh_fec_in!M31=0,0,11630*1000*SER_hh_fec_in!M31/SER_hh_num_in!M31)</f>
        <v>16962.023453656962</v>
      </c>
      <c r="N31" s="133">
        <f>IF(SER_hh_fec_in!N31=0,0,11630*1000*SER_hh_fec_in!N31/SER_hh_num_in!N31)</f>
        <v>15892.868912053627</v>
      </c>
      <c r="O31" s="133">
        <f>IF(SER_hh_fec_in!O31=0,0,11630*1000*SER_hh_fec_in!O31/SER_hh_num_in!O31)</f>
        <v>17587.4019939256</v>
      </c>
      <c r="P31" s="133">
        <f>IF(SER_hh_fec_in!P31=0,0,11630*1000*SER_hh_fec_in!P31/SER_hh_num_in!P31)</f>
        <v>16579.904190425277</v>
      </c>
      <c r="Q31" s="133">
        <f>IF(SER_hh_fec_in!Q31=0,0,11630*1000*SER_hh_fec_in!Q31/SER_hh_num_in!Q31)</f>
        <v>17547.131335284528</v>
      </c>
      <c r="R31" s="133">
        <f>IF(SER_hh_fec_in!R31=0,0,11630*1000*SER_hh_fec_in!R31/SER_hh_num_in!R31)</f>
        <v>17727.585711225729</v>
      </c>
      <c r="S31" s="133">
        <f>IF(SER_hh_fec_in!S31=0,0,11630*1000*SER_hh_fec_in!S31/SER_hh_num_in!S31)</f>
        <v>17577.046821966356</v>
      </c>
      <c r="T31" s="133">
        <f>IF(SER_hh_fec_in!T31=0,0,11630*1000*SER_hh_fec_in!T31/SER_hh_num_in!T31)</f>
        <v>17555.670219635605</v>
      </c>
      <c r="U31" s="133">
        <f>IF(SER_hh_fec_in!U31=0,0,11630*1000*SER_hh_fec_in!U31/SER_hh_num_in!U31)</f>
        <v>18036.107184848152</v>
      </c>
      <c r="V31" s="133">
        <f>IF(SER_hh_fec_in!V31=0,0,11630*1000*SER_hh_fec_in!V31/SER_hh_num_in!V31)</f>
        <v>16669.924903290863</v>
      </c>
      <c r="W31" s="133">
        <f>IF(SER_hh_fec_in!W31=0,0,11630*1000*SER_hh_fec_in!W31/SER_hh_num_in!W31)</f>
        <v>15313.292241902478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27544.15398463175</v>
      </c>
      <c r="O32" s="133">
        <f>IF(SER_hh_fec_in!O32=0,0,11630*1000*SER_hh_fec_in!O32/SER_hh_num_in!O32)</f>
        <v>15017.023076911104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17315.055548181699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11867.940512595846</v>
      </c>
      <c r="D33" s="68">
        <f>IF(SER_hh_fec_in!D33=0,0,11630*1000*SER_hh_fec_in!D33/SER_hh_num_in!D33)</f>
        <v>12090.110702133543</v>
      </c>
      <c r="E33" s="68">
        <f>IF(SER_hh_fec_in!E33=0,0,11630*1000*SER_hh_fec_in!E33/SER_hh_num_in!E33)</f>
        <v>12896.361315387523</v>
      </c>
      <c r="F33" s="68">
        <f>IF(SER_hh_fec_in!F33=0,0,11630*1000*SER_hh_fec_in!F33/SER_hh_num_in!F33)</f>
        <v>13120.158799965951</v>
      </c>
      <c r="G33" s="68">
        <f>IF(SER_hh_fec_in!G33=0,0,11630*1000*SER_hh_fec_in!G33/SER_hh_num_in!G33)</f>
        <v>11320.894440090218</v>
      </c>
      <c r="H33" s="68">
        <f>IF(SER_hh_fec_in!H33=0,0,11630*1000*SER_hh_fec_in!H33/SER_hh_num_in!H33)</f>
        <v>13087.483871271636</v>
      </c>
      <c r="I33" s="68">
        <f>IF(SER_hh_fec_in!I33=0,0,11630*1000*SER_hh_fec_in!I33/SER_hh_num_in!I33)</f>
        <v>12914.136331931539</v>
      </c>
      <c r="J33" s="68">
        <f>IF(SER_hh_fec_in!J33=0,0,11630*1000*SER_hh_fec_in!J33/SER_hh_num_in!J33)</f>
        <v>12214.969151317595</v>
      </c>
      <c r="K33" s="68">
        <f>IF(SER_hh_fec_in!K33=0,0,11630*1000*SER_hh_fec_in!K33/SER_hh_num_in!K33)</f>
        <v>11655.309527087184</v>
      </c>
      <c r="L33" s="68">
        <f>IF(SER_hh_fec_in!L33=0,0,11630*1000*SER_hh_fec_in!L33/SER_hh_num_in!L33)</f>
        <v>14264.626330114554</v>
      </c>
      <c r="M33" s="68">
        <f>IF(SER_hh_fec_in!M33=0,0,11630*1000*SER_hh_fec_in!M33/SER_hh_num_in!M33)</f>
        <v>13519.029621594118</v>
      </c>
      <c r="N33" s="68">
        <f>IF(SER_hh_fec_in!N33=0,0,11630*1000*SER_hh_fec_in!N33/SER_hh_num_in!N33)</f>
        <v>0</v>
      </c>
      <c r="O33" s="68">
        <f>IF(SER_hh_fec_in!O33=0,0,11630*1000*SER_hh_fec_in!O33/SER_hh_num_in!O33)</f>
        <v>12303.195201970275</v>
      </c>
      <c r="P33" s="68">
        <f>IF(SER_hh_fec_in!P33=0,0,11630*1000*SER_hh_fec_in!P33/SER_hh_num_in!P33)</f>
        <v>12166.266824620892</v>
      </c>
      <c r="Q33" s="68">
        <f>IF(SER_hh_fec_in!Q33=0,0,11630*1000*SER_hh_fec_in!Q33/SER_hh_num_in!Q33)</f>
        <v>11790.360997264113</v>
      </c>
      <c r="R33" s="68">
        <f>IF(SER_hh_fec_in!R33=0,0,11630*1000*SER_hh_fec_in!R33/SER_hh_num_in!R33)</f>
        <v>12907.462313951006</v>
      </c>
      <c r="S33" s="68">
        <f>IF(SER_hh_fec_in!S33=0,0,11630*1000*SER_hh_fec_in!S33/SER_hh_num_in!S33)</f>
        <v>13248.690534589137</v>
      </c>
      <c r="T33" s="68">
        <f>IF(SER_hh_fec_in!T33=0,0,11630*1000*SER_hh_fec_in!T33/SER_hh_num_in!T33)</f>
        <v>11423.360299195196</v>
      </c>
      <c r="U33" s="68">
        <f>IF(SER_hh_fec_in!U33=0,0,11630*1000*SER_hh_fec_in!U33/SER_hh_num_in!U33)</f>
        <v>11125.669937614532</v>
      </c>
      <c r="V33" s="68">
        <f>IF(SER_hh_fec_in!V33=0,0,11630*1000*SER_hh_fec_in!V33/SER_hh_num_in!V33)</f>
        <v>11563.019276409716</v>
      </c>
      <c r="W33" s="68">
        <f>IF(SER_hh_fec_in!W33=0,0,11630*1000*SER_hh_fec_in!W33/SER_hh_num_in!W33)</f>
        <v>11757.337065807467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55782.916604295096</v>
      </c>
      <c r="D3" s="126">
        <f>IF(SER_hh_tes_in!D3=0,0,11630*1000*SER_hh_tes_in!D3/SER_hh_num_in!D3)</f>
        <v>54649.667438756682</v>
      </c>
      <c r="E3" s="126">
        <f>IF(SER_hh_tes_in!E3=0,0,11630*1000*SER_hh_tes_in!E3/SER_hh_num_in!E3)</f>
        <v>68942.682897257182</v>
      </c>
      <c r="F3" s="126">
        <f>IF(SER_hh_tes_in!F3=0,0,11630*1000*SER_hh_tes_in!F3/SER_hh_num_in!F3)</f>
        <v>65966.019602191038</v>
      </c>
      <c r="G3" s="126">
        <f>IF(SER_hh_tes_in!G3=0,0,11630*1000*SER_hh_tes_in!G3/SER_hh_num_in!G3)</f>
        <v>74681.318602963744</v>
      </c>
      <c r="H3" s="126">
        <f>IF(SER_hh_tes_in!H3=0,0,11630*1000*SER_hh_tes_in!H3/SER_hh_num_in!H3)</f>
        <v>80891.592136082516</v>
      </c>
      <c r="I3" s="126">
        <f>IF(SER_hh_tes_in!I3=0,0,11630*1000*SER_hh_tes_in!I3/SER_hh_num_in!I3)</f>
        <v>71279.061709357848</v>
      </c>
      <c r="J3" s="126">
        <f>IF(SER_hh_tes_in!J3=0,0,11630*1000*SER_hh_tes_in!J3/SER_hh_num_in!J3)</f>
        <v>72259.087852011915</v>
      </c>
      <c r="K3" s="126">
        <f>IF(SER_hh_tes_in!K3=0,0,11630*1000*SER_hh_tes_in!K3/SER_hh_num_in!K3)</f>
        <v>74812.35268124532</v>
      </c>
      <c r="L3" s="126">
        <f>IF(SER_hh_tes_in!L3=0,0,11630*1000*SER_hh_tes_in!L3/SER_hh_num_in!L3)</f>
        <v>86182.895074350206</v>
      </c>
      <c r="M3" s="126">
        <f>IF(SER_hh_tes_in!M3=0,0,11630*1000*SER_hh_tes_in!M3/SER_hh_num_in!M3)</f>
        <v>75980.816278419617</v>
      </c>
      <c r="N3" s="126">
        <f>IF(SER_hh_tes_in!N3=0,0,11630*1000*SER_hh_tes_in!N3/SER_hh_num_in!N3)</f>
        <v>83193.114187165294</v>
      </c>
      <c r="O3" s="126">
        <f>IF(SER_hh_tes_in!O3=0,0,11630*1000*SER_hh_tes_in!O3/SER_hh_num_in!O3)</f>
        <v>83014.726690188079</v>
      </c>
      <c r="P3" s="126">
        <f>IF(SER_hh_tes_in!P3=0,0,11630*1000*SER_hh_tes_in!P3/SER_hh_num_in!P3)</f>
        <v>83117.556450663455</v>
      </c>
      <c r="Q3" s="126">
        <f>IF(SER_hh_tes_in!Q3=0,0,11630*1000*SER_hh_tes_in!Q3/SER_hh_num_in!Q3)</f>
        <v>84598.756287843964</v>
      </c>
      <c r="R3" s="126">
        <f>IF(SER_hh_tes_in!R3=0,0,11630*1000*SER_hh_tes_in!R3/SER_hh_num_in!R3)</f>
        <v>91132.537498713209</v>
      </c>
      <c r="S3" s="126">
        <f>IF(SER_hh_tes_in!S3=0,0,11630*1000*SER_hh_tes_in!S3/SER_hh_num_in!S3)</f>
        <v>86600.130978664441</v>
      </c>
      <c r="T3" s="126">
        <f>IF(SER_hh_tes_in!T3=0,0,11630*1000*SER_hh_tes_in!T3/SER_hh_num_in!T3)</f>
        <v>87618.129814222237</v>
      </c>
      <c r="U3" s="126">
        <f>IF(SER_hh_tes_in!U3=0,0,11630*1000*SER_hh_tes_in!U3/SER_hh_num_in!U3)</f>
        <v>79282.996659009325</v>
      </c>
      <c r="V3" s="126">
        <f>IF(SER_hh_tes_in!V3=0,0,11630*1000*SER_hh_tes_in!V3/SER_hh_num_in!V3)</f>
        <v>83635.943174482047</v>
      </c>
      <c r="W3" s="126">
        <f>IF(SER_hh_tes_in!W3=0,0,11630*1000*SER_hh_tes_in!W3/SER_hh_num_in!W3)</f>
        <v>71396.34192600922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16667.041984056574</v>
      </c>
      <c r="D4" s="131">
        <f>IF(SER_hh_tes_in!D4=0,0,11630*1000*SER_hh_tes_in!D4/SER_hh_num_in!D4)</f>
        <v>17173.494412904394</v>
      </c>
      <c r="E4" s="131">
        <f>IF(SER_hh_tes_in!E4=0,0,11630*1000*SER_hh_tes_in!E4/SER_hh_num_in!E4)</f>
        <v>23153.127277408974</v>
      </c>
      <c r="F4" s="131">
        <f>IF(SER_hh_tes_in!F4=0,0,11630*1000*SER_hh_tes_in!F4/SER_hh_num_in!F4)</f>
        <v>25001.947292536766</v>
      </c>
      <c r="G4" s="131">
        <f>IF(SER_hh_tes_in!G4=0,0,11630*1000*SER_hh_tes_in!G4/SER_hh_num_in!G4)</f>
        <v>30247.720882624391</v>
      </c>
      <c r="H4" s="131">
        <f>IF(SER_hh_tes_in!H4=0,0,11630*1000*SER_hh_tes_in!H4/SER_hh_num_in!H4)</f>
        <v>31795.425765266809</v>
      </c>
      <c r="I4" s="131">
        <f>IF(SER_hh_tes_in!I4=0,0,11630*1000*SER_hh_tes_in!I4/SER_hh_num_in!I4)</f>
        <v>33289.017127012405</v>
      </c>
      <c r="J4" s="131">
        <f>IF(SER_hh_tes_in!J4=0,0,11630*1000*SER_hh_tes_in!J4/SER_hh_num_in!J4)</f>
        <v>35040.493573040629</v>
      </c>
      <c r="K4" s="131">
        <f>IF(SER_hh_tes_in!K4=0,0,11630*1000*SER_hh_tes_in!K4/SER_hh_num_in!K4)</f>
        <v>33783.093758480536</v>
      </c>
      <c r="L4" s="131">
        <f>IF(SER_hh_tes_in!L4=0,0,11630*1000*SER_hh_tes_in!L4/SER_hh_num_in!L4)</f>
        <v>34583.442233534843</v>
      </c>
      <c r="M4" s="131">
        <f>IF(SER_hh_tes_in!M4=0,0,11630*1000*SER_hh_tes_in!M4/SER_hh_num_in!M4)</f>
        <v>36055.232273570313</v>
      </c>
      <c r="N4" s="131">
        <f>IF(SER_hh_tes_in!N4=0,0,11630*1000*SER_hh_tes_in!N4/SER_hh_num_in!N4)</f>
        <v>37570.826654061711</v>
      </c>
      <c r="O4" s="131">
        <f>IF(SER_hh_tes_in!O4=0,0,11630*1000*SER_hh_tes_in!O4/SER_hh_num_in!O4)</f>
        <v>36721.341948413945</v>
      </c>
      <c r="P4" s="131">
        <f>IF(SER_hh_tes_in!P4=0,0,11630*1000*SER_hh_tes_in!P4/SER_hh_num_in!P4)</f>
        <v>44945.226289702427</v>
      </c>
      <c r="Q4" s="131">
        <f>IF(SER_hh_tes_in!Q4=0,0,11630*1000*SER_hh_tes_in!Q4/SER_hh_num_in!Q4)</f>
        <v>43556.042503599172</v>
      </c>
      <c r="R4" s="131">
        <f>IF(SER_hh_tes_in!R4=0,0,11630*1000*SER_hh_tes_in!R4/SER_hh_num_in!R4)</f>
        <v>39655.47834892937</v>
      </c>
      <c r="S4" s="131">
        <f>IF(SER_hh_tes_in!S4=0,0,11630*1000*SER_hh_tes_in!S4/SER_hh_num_in!S4)</f>
        <v>36883.416536546974</v>
      </c>
      <c r="T4" s="131">
        <f>IF(SER_hh_tes_in!T4=0,0,11630*1000*SER_hh_tes_in!T4/SER_hh_num_in!T4)</f>
        <v>42431.765606125773</v>
      </c>
      <c r="U4" s="131">
        <f>IF(SER_hh_tes_in!U4=0,0,11630*1000*SER_hh_tes_in!U4/SER_hh_num_in!U4)</f>
        <v>40463.48678542651</v>
      </c>
      <c r="V4" s="131">
        <f>IF(SER_hh_tes_in!V4=0,0,11630*1000*SER_hh_tes_in!V4/SER_hh_num_in!V4)</f>
        <v>36411.472795109985</v>
      </c>
      <c r="W4" s="131">
        <f>IF(SER_hh_tes_in!W4=0,0,11630*1000*SER_hh_tes_in!W4/SER_hh_num_in!W4)</f>
        <v>35625.824803630188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16771.800111923862</v>
      </c>
      <c r="D7" s="133">
        <f>IF(SER_hh_tes_in!D7=0,0,11630*1000*SER_hh_tes_in!D7/SER_hh_num_in!D7)</f>
        <v>17965.978931702739</v>
      </c>
      <c r="E7" s="133">
        <f>IF(SER_hh_tes_in!E7=0,0,11630*1000*SER_hh_tes_in!E7/SER_hh_num_in!E7)</f>
        <v>20014.227727040849</v>
      </c>
      <c r="F7" s="133">
        <f>IF(SER_hh_tes_in!F7=0,0,11630*1000*SER_hh_tes_in!F7/SER_hh_num_in!F7)</f>
        <v>26407.4135531883</v>
      </c>
      <c r="G7" s="133">
        <f>IF(SER_hh_tes_in!G7=0,0,11630*1000*SER_hh_tes_in!G7/SER_hh_num_in!G7)</f>
        <v>31617.131565557582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0</v>
      </c>
      <c r="O7" s="133">
        <f>IF(SER_hh_tes_in!O7=0,0,11630*1000*SER_hh_tes_in!O7/SER_hh_num_in!O7)</f>
        <v>35818.286440404168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35125.350430242361</v>
      </c>
      <c r="S7" s="133">
        <f>IF(SER_hh_tes_in!S7=0,0,11630*1000*SER_hh_tes_in!S7/SER_hh_num_in!S7)</f>
        <v>35066.042145477943</v>
      </c>
      <c r="T7" s="133">
        <f>IF(SER_hh_tes_in!T7=0,0,11630*1000*SER_hh_tes_in!T7/SER_hh_num_in!T7)</f>
        <v>38279.740090588479</v>
      </c>
      <c r="U7" s="133">
        <f>IF(SER_hh_tes_in!U7=0,0,11630*1000*SER_hh_tes_in!U7/SER_hh_num_in!U7)</f>
        <v>38908.223953261608</v>
      </c>
      <c r="V7" s="133">
        <f>IF(SER_hh_tes_in!V7=0,0,11630*1000*SER_hh_tes_in!V7/SER_hh_num_in!V7)</f>
        <v>0</v>
      </c>
      <c r="W7" s="133">
        <f>IF(SER_hh_tes_in!W7=0,0,11630*1000*SER_hh_tes_in!W7/SER_hh_num_in!W7)</f>
        <v>29679.126415890118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15871.373235343162</v>
      </c>
      <c r="D8" s="133">
        <f>IF(SER_hh_tes_in!D8=0,0,11630*1000*SER_hh_tes_in!D8/SER_hh_num_in!D8)</f>
        <v>19416.322493205109</v>
      </c>
      <c r="E8" s="133">
        <f>IF(SER_hh_tes_in!E8=0,0,11630*1000*SER_hh_tes_in!E8/SER_hh_num_in!E8)</f>
        <v>23063.660123305901</v>
      </c>
      <c r="F8" s="133">
        <f>IF(SER_hh_tes_in!F8=0,0,11630*1000*SER_hh_tes_in!F8/SER_hh_num_in!F8)</f>
        <v>25417.418180697234</v>
      </c>
      <c r="G8" s="133">
        <f>IF(SER_hh_tes_in!G8=0,0,11630*1000*SER_hh_tes_in!G8/SER_hh_num_in!G8)</f>
        <v>26583.039222550025</v>
      </c>
      <c r="H8" s="133">
        <f>IF(SER_hh_tes_in!H8=0,0,11630*1000*SER_hh_tes_in!H8/SER_hh_num_in!H8)</f>
        <v>30275.649519130227</v>
      </c>
      <c r="I8" s="133">
        <f>IF(SER_hh_tes_in!I8=0,0,11630*1000*SER_hh_tes_in!I8/SER_hh_num_in!I8)</f>
        <v>32078.396263872466</v>
      </c>
      <c r="J8" s="133">
        <f>IF(SER_hh_tes_in!J8=0,0,11630*1000*SER_hh_tes_in!J8/SER_hh_num_in!J8)</f>
        <v>34445.697181806521</v>
      </c>
      <c r="K8" s="133">
        <f>IF(SER_hh_tes_in!K8=0,0,11630*1000*SER_hh_tes_in!K8/SER_hh_num_in!K8)</f>
        <v>32908.925460107501</v>
      </c>
      <c r="L8" s="133">
        <f>IF(SER_hh_tes_in!L8=0,0,11630*1000*SER_hh_tes_in!L8/SER_hh_num_in!L8)</f>
        <v>33595.181966627541</v>
      </c>
      <c r="M8" s="133">
        <f>IF(SER_hh_tes_in!M8=0,0,11630*1000*SER_hh_tes_in!M8/SER_hh_num_in!M8)</f>
        <v>35870.115583739855</v>
      </c>
      <c r="N8" s="133">
        <f>IF(SER_hh_tes_in!N8=0,0,11630*1000*SER_hh_tes_in!N8/SER_hh_num_in!N8)</f>
        <v>36386.499172668118</v>
      </c>
      <c r="O8" s="133">
        <f>IF(SER_hh_tes_in!O8=0,0,11630*1000*SER_hh_tes_in!O8/SER_hh_num_in!O8)</f>
        <v>38492.06165433149</v>
      </c>
      <c r="P8" s="133">
        <f>IF(SER_hh_tes_in!P8=0,0,11630*1000*SER_hh_tes_in!P8/SER_hh_num_in!P8)</f>
        <v>41684.694373794926</v>
      </c>
      <c r="Q8" s="133">
        <f>IF(SER_hh_tes_in!Q8=0,0,11630*1000*SER_hh_tes_in!Q8/SER_hh_num_in!Q8)</f>
        <v>42841.613697930487</v>
      </c>
      <c r="R8" s="133">
        <f>IF(SER_hh_tes_in!R8=0,0,11630*1000*SER_hh_tes_in!R8/SER_hh_num_in!R8)</f>
        <v>40099.156787225147</v>
      </c>
      <c r="S8" s="133">
        <f>IF(SER_hh_tes_in!S8=0,0,11630*1000*SER_hh_tes_in!S8/SER_hh_num_in!S8)</f>
        <v>38322.678950617817</v>
      </c>
      <c r="T8" s="133">
        <f>IF(SER_hh_tes_in!T8=0,0,11630*1000*SER_hh_tes_in!T8/SER_hh_num_in!T8)</f>
        <v>37955.024421245842</v>
      </c>
      <c r="U8" s="133">
        <f>IF(SER_hh_tes_in!U8=0,0,11630*1000*SER_hh_tes_in!U8/SER_hh_num_in!U8)</f>
        <v>37771.299270065909</v>
      </c>
      <c r="V8" s="133">
        <f>IF(SER_hh_tes_in!V8=0,0,11630*1000*SER_hh_tes_in!V8/SER_hh_num_in!V8)</f>
        <v>35309.260332389742</v>
      </c>
      <c r="W8" s="133">
        <f>IF(SER_hh_tes_in!W8=0,0,11630*1000*SER_hh_tes_in!W8/SER_hh_num_in!W8)</f>
        <v>36312.010993865035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15763.485848749073</v>
      </c>
      <c r="D9" s="133">
        <f>IF(SER_hh_tes_in!D9=0,0,11630*1000*SER_hh_tes_in!D9/SER_hh_num_in!D9)</f>
        <v>19854.4740485818</v>
      </c>
      <c r="E9" s="133">
        <f>IF(SER_hh_tes_in!E9=0,0,11630*1000*SER_hh_tes_in!E9/SER_hh_num_in!E9)</f>
        <v>21333.654464930332</v>
      </c>
      <c r="F9" s="133">
        <f>IF(SER_hh_tes_in!F9=0,0,11630*1000*SER_hh_tes_in!F9/SER_hh_num_in!F9)</f>
        <v>27013.62376712526</v>
      </c>
      <c r="G9" s="133">
        <f>IF(SER_hh_tes_in!G9=0,0,11630*1000*SER_hh_tes_in!G9/SER_hh_num_in!G9)</f>
        <v>0</v>
      </c>
      <c r="H9" s="133">
        <f>IF(SER_hh_tes_in!H9=0,0,11630*1000*SER_hh_tes_in!H9/SER_hh_num_in!H9)</f>
        <v>31148.459956750965</v>
      </c>
      <c r="I9" s="133">
        <f>IF(SER_hh_tes_in!I9=0,0,11630*1000*SER_hh_tes_in!I9/SER_hh_num_in!I9)</f>
        <v>32757.833690337186</v>
      </c>
      <c r="J9" s="133">
        <f>IF(SER_hh_tes_in!J9=0,0,11630*1000*SER_hh_tes_in!J9/SER_hh_num_in!J9)</f>
        <v>33336.532354377341</v>
      </c>
      <c r="K9" s="133">
        <f>IF(SER_hh_tes_in!K9=0,0,11630*1000*SER_hh_tes_in!K9/SER_hh_num_in!K9)</f>
        <v>36184.328636317638</v>
      </c>
      <c r="L9" s="133">
        <f>IF(SER_hh_tes_in!L9=0,0,11630*1000*SER_hh_tes_in!L9/SER_hh_num_in!L9)</f>
        <v>31848.658769113146</v>
      </c>
      <c r="M9" s="133">
        <f>IF(SER_hh_tes_in!M9=0,0,11630*1000*SER_hh_tes_in!M9/SER_hh_num_in!M9)</f>
        <v>35922.785124339214</v>
      </c>
      <c r="N9" s="133">
        <f>IF(SER_hh_tes_in!N9=0,0,11630*1000*SER_hh_tes_in!N9/SER_hh_num_in!N9)</f>
        <v>36970.855974642531</v>
      </c>
      <c r="O9" s="133">
        <f>IF(SER_hh_tes_in!O9=0,0,11630*1000*SER_hh_tes_in!O9/SER_hh_num_in!O9)</f>
        <v>36336.253785619469</v>
      </c>
      <c r="P9" s="133">
        <f>IF(SER_hh_tes_in!P9=0,0,11630*1000*SER_hh_tes_in!P9/SER_hh_num_in!P9)</f>
        <v>0</v>
      </c>
      <c r="Q9" s="133">
        <f>IF(SER_hh_tes_in!Q9=0,0,11630*1000*SER_hh_tes_in!Q9/SER_hh_num_in!Q9)</f>
        <v>39317.33964592839</v>
      </c>
      <c r="R9" s="133">
        <f>IF(SER_hh_tes_in!R9=0,0,11630*1000*SER_hh_tes_in!R9/SER_hh_num_in!R9)</f>
        <v>40421.231427545034</v>
      </c>
      <c r="S9" s="133">
        <f>IF(SER_hh_tes_in!S9=0,0,11630*1000*SER_hh_tes_in!S9/SER_hh_num_in!S9)</f>
        <v>39252.144655439442</v>
      </c>
      <c r="T9" s="133">
        <f>IF(SER_hh_tes_in!T9=0,0,11630*1000*SER_hh_tes_in!T9/SER_hh_num_in!T9)</f>
        <v>41477.44114608979</v>
      </c>
      <c r="U9" s="133">
        <f>IF(SER_hh_tes_in!U9=0,0,11630*1000*SER_hh_tes_in!U9/SER_hh_num_in!U9)</f>
        <v>0</v>
      </c>
      <c r="V9" s="133">
        <f>IF(SER_hh_tes_in!V9=0,0,11630*1000*SER_hh_tes_in!V9/SER_hh_num_in!V9)</f>
        <v>29163.597002065337</v>
      </c>
      <c r="W9" s="133">
        <f>IF(SER_hh_tes_in!W9=0,0,11630*1000*SER_hh_tes_in!W9/SER_hh_num_in!W9)</f>
        <v>40357.052490874594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51460.843908083276</v>
      </c>
      <c r="N10" s="133">
        <f>IF(SER_hh_tes_in!N10=0,0,11630*1000*SER_hh_tes_in!N10/SER_hh_num_in!N10)</f>
        <v>45353.467858317061</v>
      </c>
      <c r="O10" s="133">
        <f>IF(SER_hh_tes_in!O10=0,0,11630*1000*SER_hh_tes_in!O10/SER_hh_num_in!O10)</f>
        <v>0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0</v>
      </c>
      <c r="R10" s="133">
        <f>IF(SER_hh_tes_in!R10=0,0,11630*1000*SER_hh_tes_in!R10/SER_hh_num_in!R10)</f>
        <v>35848.80755524394</v>
      </c>
      <c r="S10" s="133">
        <f>IF(SER_hh_tes_in!S10=0,0,11630*1000*SER_hh_tes_in!S10/SER_hh_num_in!S10)</f>
        <v>44719.780715879584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37330.996616180571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16501.572505480795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33241.313039484339</v>
      </c>
      <c r="K11" s="133">
        <f>IF(SER_hh_tes_in!K11=0,0,11630*1000*SER_hh_tes_in!K11/SER_hh_num_in!K11)</f>
        <v>32295.620535510279</v>
      </c>
      <c r="L11" s="133">
        <f>IF(SER_hh_tes_in!L11=0,0,11630*1000*SER_hh_tes_in!L11/SER_hh_num_in!L11)</f>
        <v>29403.947677030257</v>
      </c>
      <c r="M11" s="133">
        <f>IF(SER_hh_tes_in!M11=0,0,11630*1000*SER_hh_tes_in!M11/SER_hh_num_in!M11)</f>
        <v>40124.124622271818</v>
      </c>
      <c r="N11" s="133">
        <f>IF(SER_hh_tes_in!N11=0,0,11630*1000*SER_hh_tes_in!N11/SER_hh_num_in!N11)</f>
        <v>40022.404828472652</v>
      </c>
      <c r="O11" s="133">
        <f>IF(SER_hh_tes_in!O11=0,0,11630*1000*SER_hh_tes_in!O11/SER_hh_num_in!O11)</f>
        <v>34253.139157161102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43345.203065395763</v>
      </c>
      <c r="R11" s="133">
        <f>IF(SER_hh_tes_in!R11=0,0,11630*1000*SER_hh_tes_in!R11/SER_hh_num_in!R11)</f>
        <v>36613.706612088085</v>
      </c>
      <c r="S11" s="133">
        <f>IF(SER_hh_tes_in!S11=0,0,11630*1000*SER_hh_tes_in!S11/SER_hh_num_in!S11)</f>
        <v>38526.502684281106</v>
      </c>
      <c r="T11" s="133">
        <f>IF(SER_hh_tes_in!T11=0,0,11630*1000*SER_hh_tes_in!T11/SER_hh_num_in!T11)</f>
        <v>41627.751610267376</v>
      </c>
      <c r="U11" s="133">
        <f>IF(SER_hh_tes_in!U11=0,0,11630*1000*SER_hh_tes_in!U11/SER_hh_num_in!U11)</f>
        <v>41121.645715976047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35024.449272345359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15962.283895419829</v>
      </c>
      <c r="D12" s="133">
        <f>IF(SER_hh_tes_in!D12=0,0,11630*1000*SER_hh_tes_in!D12/SER_hh_num_in!D12)</f>
        <v>21403.522899263673</v>
      </c>
      <c r="E12" s="133">
        <f>IF(SER_hh_tes_in!E12=0,0,11630*1000*SER_hh_tes_in!E12/SER_hh_num_in!E12)</f>
        <v>21417.339282931105</v>
      </c>
      <c r="F12" s="133">
        <f>IF(SER_hh_tes_in!F12=0,0,11630*1000*SER_hh_tes_in!F12/SER_hh_num_in!F12)</f>
        <v>28700.914010555152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31576.151566940007</v>
      </c>
      <c r="K12" s="133">
        <f>IF(SER_hh_tes_in!K12=0,0,11630*1000*SER_hh_tes_in!K12/SER_hh_num_in!K12)</f>
        <v>28270.35930876479</v>
      </c>
      <c r="L12" s="133">
        <f>IF(SER_hh_tes_in!L12=0,0,11630*1000*SER_hh_tes_in!L12/SER_hh_num_in!L12)</f>
        <v>36945.821606196674</v>
      </c>
      <c r="M12" s="133">
        <f>IF(SER_hh_tes_in!M12=0,0,11630*1000*SER_hh_tes_in!M12/SER_hh_num_in!M12)</f>
        <v>31321.138978340772</v>
      </c>
      <c r="N12" s="133">
        <f>IF(SER_hh_tes_in!N12=0,0,11630*1000*SER_hh_tes_in!N12/SER_hh_num_in!N12)</f>
        <v>40198.365157715489</v>
      </c>
      <c r="O12" s="133">
        <f>IF(SER_hh_tes_in!O12=0,0,11630*1000*SER_hh_tes_in!O12/SER_hh_num_in!O12)</f>
        <v>39545.497237209318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39539.89951671537</v>
      </c>
      <c r="R12" s="133">
        <f>IF(SER_hh_tes_in!R12=0,0,11630*1000*SER_hh_tes_in!R12/SER_hh_num_in!R12)</f>
        <v>37028.537796439246</v>
      </c>
      <c r="S12" s="133">
        <f>IF(SER_hh_tes_in!S12=0,0,11630*1000*SER_hh_tes_in!S12/SER_hh_num_in!S12)</f>
        <v>40178.099318658693</v>
      </c>
      <c r="T12" s="133">
        <f>IF(SER_hh_tes_in!T12=0,0,11630*1000*SER_hh_tes_in!T12/SER_hh_num_in!T12)</f>
        <v>39289.379016021448</v>
      </c>
      <c r="U12" s="133">
        <f>IF(SER_hh_tes_in!U12=0,0,11630*1000*SER_hh_tes_in!U12/SER_hh_num_in!U12)</f>
        <v>37876.081687604019</v>
      </c>
      <c r="V12" s="133">
        <f>IF(SER_hh_tes_in!V12=0,0,11630*1000*SER_hh_tes_in!V12/SER_hh_num_in!V12)</f>
        <v>35631.557990499699</v>
      </c>
      <c r="W12" s="133">
        <f>IF(SER_hh_tes_in!W12=0,0,11630*1000*SER_hh_tes_in!W12/SER_hh_num_in!W12)</f>
        <v>35619.957825497237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16069.738149217752</v>
      </c>
      <c r="D13" s="133">
        <f>IF(SER_hh_tes_in!D13=0,0,11630*1000*SER_hh_tes_in!D13/SER_hh_num_in!D13)</f>
        <v>14490.012258170425</v>
      </c>
      <c r="E13" s="133">
        <f>IF(SER_hh_tes_in!E13=0,0,11630*1000*SER_hh_tes_in!E13/SER_hh_num_in!E13)</f>
        <v>24731.438455027012</v>
      </c>
      <c r="F13" s="133">
        <f>IF(SER_hh_tes_in!F13=0,0,11630*1000*SER_hh_tes_in!F13/SER_hh_num_in!F13)</f>
        <v>23127.23975463571</v>
      </c>
      <c r="G13" s="133">
        <f>IF(SER_hh_tes_in!G13=0,0,11630*1000*SER_hh_tes_in!G13/SER_hh_num_in!G13)</f>
        <v>29421.349614980561</v>
      </c>
      <c r="H13" s="133">
        <f>IF(SER_hh_tes_in!H13=0,0,11630*1000*SER_hh_tes_in!H13/SER_hh_num_in!H13)</f>
        <v>31909.191461242041</v>
      </c>
      <c r="I13" s="133">
        <f>IF(SER_hh_tes_in!I13=0,0,11630*1000*SER_hh_tes_in!I13/SER_hh_num_in!I13)</f>
        <v>32761.186493320438</v>
      </c>
      <c r="J13" s="133">
        <f>IF(SER_hh_tes_in!J13=0,0,11630*1000*SER_hh_tes_in!J13/SER_hh_num_in!J13)</f>
        <v>35271.750788703568</v>
      </c>
      <c r="K13" s="133">
        <f>IF(SER_hh_tes_in!K13=0,0,11630*1000*SER_hh_tes_in!K13/SER_hh_num_in!K13)</f>
        <v>33307.310099823844</v>
      </c>
      <c r="L13" s="133">
        <f>IF(SER_hh_tes_in!L13=0,0,11630*1000*SER_hh_tes_in!L13/SER_hh_num_in!L13)</f>
        <v>34749.219588846805</v>
      </c>
      <c r="M13" s="133">
        <f>IF(SER_hh_tes_in!M13=0,0,11630*1000*SER_hh_tes_in!M13/SER_hh_num_in!M13)</f>
        <v>34627.754016807143</v>
      </c>
      <c r="N13" s="133">
        <f>IF(SER_hh_tes_in!N13=0,0,11630*1000*SER_hh_tes_in!N13/SER_hh_num_in!N13)</f>
        <v>37234.544539380819</v>
      </c>
      <c r="O13" s="133">
        <f>IF(SER_hh_tes_in!O13=0,0,11630*1000*SER_hh_tes_in!O13/SER_hh_num_in!O13)</f>
        <v>38060.350797161314</v>
      </c>
      <c r="P13" s="133">
        <f>IF(SER_hh_tes_in!P13=0,0,11630*1000*SER_hh_tes_in!P13/SER_hh_num_in!P13)</f>
        <v>42739.00382074283</v>
      </c>
      <c r="Q13" s="133">
        <f>IF(SER_hh_tes_in!Q13=0,0,11630*1000*SER_hh_tes_in!Q13/SER_hh_num_in!Q13)</f>
        <v>41384.406599519134</v>
      </c>
      <c r="R13" s="133">
        <f>IF(SER_hh_tes_in!R13=0,0,11630*1000*SER_hh_tes_in!R13/SER_hh_num_in!R13)</f>
        <v>39398.490721872993</v>
      </c>
      <c r="S13" s="133">
        <f>IF(SER_hh_tes_in!S13=0,0,11630*1000*SER_hh_tes_in!S13/SER_hh_num_in!S13)</f>
        <v>38889.520073545777</v>
      </c>
      <c r="T13" s="133">
        <f>IF(SER_hh_tes_in!T13=0,0,11630*1000*SER_hh_tes_in!T13/SER_hh_num_in!T13)</f>
        <v>38749.719168920761</v>
      </c>
      <c r="U13" s="133">
        <f>IF(SER_hh_tes_in!U13=0,0,11630*1000*SER_hh_tes_in!U13/SER_hh_num_in!U13)</f>
        <v>38220.018718125466</v>
      </c>
      <c r="V13" s="133">
        <f>IF(SER_hh_tes_in!V13=0,0,11630*1000*SER_hh_tes_in!V13/SER_hh_num_in!V13)</f>
        <v>36615.776150277357</v>
      </c>
      <c r="W13" s="133">
        <f>IF(SER_hh_tes_in!W13=0,0,11630*1000*SER_hh_tes_in!W13/SER_hh_num_in!W13)</f>
        <v>35542.592325712569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16395.450963754232</v>
      </c>
      <c r="D14" s="65">
        <f>IF(SER_hh_tes_in!D14=0,0,11630*1000*SER_hh_tes_in!D14/SER_hh_num_in!D14)</f>
        <v>18189.999981869387</v>
      </c>
      <c r="E14" s="65">
        <f>IF(SER_hh_tes_in!E14=0,0,11630*1000*SER_hh_tes_in!E14/SER_hh_num_in!E14)</f>
        <v>19860.916831054827</v>
      </c>
      <c r="F14" s="65">
        <f>IF(SER_hh_tes_in!F14=0,0,11630*1000*SER_hh_tes_in!F14/SER_hh_num_in!F14)</f>
        <v>26312.040686974735</v>
      </c>
      <c r="G14" s="65">
        <f>IF(SER_hh_tes_in!G14=0,0,11630*1000*SER_hh_tes_in!G14/SER_hh_num_in!G14)</f>
        <v>31625.336213941489</v>
      </c>
      <c r="H14" s="65">
        <f>IF(SER_hh_tes_in!H14=0,0,11630*1000*SER_hh_tes_in!H14/SER_hh_num_in!H14)</f>
        <v>31378.75973272818</v>
      </c>
      <c r="I14" s="65">
        <f>IF(SER_hh_tes_in!I14=0,0,11630*1000*SER_hh_tes_in!I14/SER_hh_num_in!I14)</f>
        <v>36237.126127578966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9821.4360725785973</v>
      </c>
      <c r="P14" s="65">
        <f>IF(SER_hh_tes_in!P14=0,0,11630*1000*SER_hh_tes_in!P14/SER_hh_num_in!P14)</f>
        <v>52170.624669081073</v>
      </c>
      <c r="Q14" s="65">
        <f>IF(SER_hh_tes_in!Q14=0,0,11630*1000*SER_hh_tes_in!Q14/SER_hh_num_in!Q14)</f>
        <v>61961.487302167399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24131.070607862657</v>
      </c>
      <c r="T14" s="65">
        <f>IF(SER_hh_tes_in!T14=0,0,11630*1000*SER_hh_tes_in!T14/SER_hh_num_in!T14)</f>
        <v>50997.611729276505</v>
      </c>
      <c r="U14" s="65">
        <f>IF(SER_hh_tes_in!U14=0,0,11630*1000*SER_hh_tes_in!U14/SER_hh_num_in!U14)</f>
        <v>54915.041847418215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38703.982278787887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308.8077444333947</v>
      </c>
      <c r="D15" s="135">
        <f>IF(SER_hh_tes_in!D15=0,0,11630*1000*SER_hh_tes_in!D15/SER_hh_num_in!D15)</f>
        <v>336.86719616861149</v>
      </c>
      <c r="E15" s="135">
        <f>IF(SER_hh_tes_in!E15=0,0,11630*1000*SER_hh_tes_in!E15/SER_hh_num_in!E15)</f>
        <v>367.45786809659313</v>
      </c>
      <c r="F15" s="135">
        <f>IF(SER_hh_tes_in!F15=0,0,11630*1000*SER_hh_tes_in!F15/SER_hh_num_in!F15)</f>
        <v>484.94049726908378</v>
      </c>
      <c r="G15" s="135">
        <f>IF(SER_hh_tes_in!G15=0,0,11630*1000*SER_hh_tes_in!G15/SER_hh_num_in!G15)</f>
        <v>572.08186231875595</v>
      </c>
      <c r="H15" s="135">
        <f>IF(SER_hh_tes_in!H15=0,0,11630*1000*SER_hh_tes_in!H15/SER_hh_num_in!H15)</f>
        <v>546.70092836205197</v>
      </c>
      <c r="I15" s="135">
        <f>IF(SER_hh_tes_in!I15=0,0,11630*1000*SER_hh_tes_in!I15/SER_hh_num_in!I15)</f>
        <v>566.68092309700739</v>
      </c>
      <c r="J15" s="135">
        <f>IF(SER_hh_tes_in!J15=0,0,11630*1000*SER_hh_tes_in!J15/SER_hh_num_in!J15)</f>
        <v>541.08128335886624</v>
      </c>
      <c r="K15" s="135">
        <f>IF(SER_hh_tes_in!K15=0,0,11630*1000*SER_hh_tes_in!K15/SER_hh_num_in!K15)</f>
        <v>554.14041475192437</v>
      </c>
      <c r="L15" s="135">
        <f>IF(SER_hh_tes_in!L15=0,0,11630*1000*SER_hh_tes_in!L15/SER_hh_num_in!L15)</f>
        <v>418.35168846741084</v>
      </c>
      <c r="M15" s="135">
        <f>IF(SER_hh_tes_in!M15=0,0,11630*1000*SER_hh_tes_in!M15/SER_hh_num_in!M15)</f>
        <v>458.10003582315687</v>
      </c>
      <c r="N15" s="135">
        <f>IF(SER_hh_tes_in!N15=0,0,11630*1000*SER_hh_tes_in!N15/SER_hh_num_in!N15)</f>
        <v>378.30872626196606</v>
      </c>
      <c r="O15" s="135">
        <f>IF(SER_hh_tes_in!O15=0,0,11630*1000*SER_hh_tes_in!O15/SER_hh_num_in!O15)</f>
        <v>531.95245221403616</v>
      </c>
      <c r="P15" s="135">
        <f>IF(SER_hh_tes_in!P15=0,0,11630*1000*SER_hh_tes_in!P15/SER_hh_num_in!P15)</f>
        <v>170.15400679253807</v>
      </c>
      <c r="Q15" s="135">
        <f>IF(SER_hh_tes_in!Q15=0,0,11630*1000*SER_hh_tes_in!Q15/SER_hh_num_in!Q15)</f>
        <v>620.47343320792322</v>
      </c>
      <c r="R15" s="135">
        <f>IF(SER_hh_tes_in!R15=0,0,11630*1000*SER_hh_tes_in!R15/SER_hh_num_in!R15)</f>
        <v>602.04790043065259</v>
      </c>
      <c r="S15" s="135">
        <f>IF(SER_hh_tes_in!S15=0,0,11630*1000*SER_hh_tes_in!S15/SER_hh_num_in!S15)</f>
        <v>556.62107771198521</v>
      </c>
      <c r="T15" s="135">
        <f>IF(SER_hh_tes_in!T15=0,0,11630*1000*SER_hh_tes_in!T15/SER_hh_num_in!T15)</f>
        <v>571.23242234469694</v>
      </c>
      <c r="U15" s="135">
        <f>IF(SER_hh_tes_in!U15=0,0,11630*1000*SER_hh_tes_in!U15/SER_hh_num_in!U15)</f>
        <v>570.45913800774701</v>
      </c>
      <c r="V15" s="135">
        <f>IF(SER_hh_tes_in!V15=0,0,11630*1000*SER_hh_tes_in!V15/SER_hh_num_in!V15)</f>
        <v>343.62612814333301</v>
      </c>
      <c r="W15" s="135">
        <f>IF(SER_hh_tes_in!W15=0,0,11630*1000*SER_hh_tes_in!W15/SER_hh_num_in!W15)</f>
        <v>472.49203537944072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22903.567560240623</v>
      </c>
      <c r="D16" s="131">
        <f>IF(SER_hh_tes_in!D16=0,0,11630*1000*SER_hh_tes_in!D16/SER_hh_num_in!D16)</f>
        <v>20404.305977585151</v>
      </c>
      <c r="E16" s="131">
        <f>IF(SER_hh_tes_in!E16=0,0,11630*1000*SER_hh_tes_in!E16/SER_hh_num_in!E16)</f>
        <v>28882.569653431969</v>
      </c>
      <c r="F16" s="131">
        <f>IF(SER_hh_tes_in!F16=0,0,11630*1000*SER_hh_tes_in!F16/SER_hh_num_in!F16)</f>
        <v>23972.057796998281</v>
      </c>
      <c r="G16" s="131">
        <f>IF(SER_hh_tes_in!G16=0,0,11630*1000*SER_hh_tes_in!G16/SER_hh_num_in!G16)</f>
        <v>26314.596108561622</v>
      </c>
      <c r="H16" s="131">
        <f>IF(SER_hh_tes_in!H16=0,0,11630*1000*SER_hh_tes_in!H16/SER_hh_num_in!H16)</f>
        <v>31692.161738236744</v>
      </c>
      <c r="I16" s="131">
        <f>IF(SER_hh_tes_in!I16=0,0,11630*1000*SER_hh_tes_in!I16/SER_hh_num_in!I16)</f>
        <v>20502.168141777383</v>
      </c>
      <c r="J16" s="131">
        <f>IF(SER_hh_tes_in!J16=0,0,11630*1000*SER_hh_tes_in!J16/SER_hh_num_in!J16)</f>
        <v>19870.626503425541</v>
      </c>
      <c r="K16" s="131">
        <f>IF(SER_hh_tes_in!K16=0,0,11630*1000*SER_hh_tes_in!K16/SER_hh_num_in!K16)</f>
        <v>24045.701062542739</v>
      </c>
      <c r="L16" s="131">
        <f>IF(SER_hh_tes_in!L16=0,0,11630*1000*SER_hh_tes_in!L16/SER_hh_num_in!L16)</f>
        <v>32781.949013868885</v>
      </c>
      <c r="M16" s="131">
        <f>IF(SER_hh_tes_in!M16=0,0,11630*1000*SER_hh_tes_in!M16/SER_hh_num_in!M16)</f>
        <v>21388.615551351682</v>
      </c>
      <c r="N16" s="131">
        <f>IF(SER_hh_tes_in!N16=0,0,11630*1000*SER_hh_tes_in!N16/SER_hh_num_in!N16)</f>
        <v>22282.983316203918</v>
      </c>
      <c r="O16" s="131">
        <f>IF(SER_hh_tes_in!O16=0,0,11630*1000*SER_hh_tes_in!O16/SER_hh_num_in!O16)</f>
        <v>28604.530216902582</v>
      </c>
      <c r="P16" s="131">
        <f>IF(SER_hh_tes_in!P16=0,0,11630*1000*SER_hh_tes_in!P16/SER_hh_num_in!P16)</f>
        <v>19077.911596664748</v>
      </c>
      <c r="Q16" s="131">
        <f>IF(SER_hh_tes_in!Q16=0,0,11630*1000*SER_hh_tes_in!Q16/SER_hh_num_in!Q16)</f>
        <v>22169.663489411538</v>
      </c>
      <c r="R16" s="131">
        <f>IF(SER_hh_tes_in!R16=0,0,11630*1000*SER_hh_tes_in!R16/SER_hh_num_in!R16)</f>
        <v>32824.82783102704</v>
      </c>
      <c r="S16" s="131">
        <f>IF(SER_hh_tes_in!S16=0,0,11630*1000*SER_hh_tes_in!S16/SER_hh_num_in!S16)</f>
        <v>30854.473635250164</v>
      </c>
      <c r="T16" s="131">
        <f>IF(SER_hh_tes_in!T16=0,0,11630*1000*SER_hh_tes_in!T16/SER_hh_num_in!T16)</f>
        <v>26137.901699640963</v>
      </c>
      <c r="U16" s="131">
        <f>IF(SER_hh_tes_in!U16=0,0,11630*1000*SER_hh_tes_in!U16/SER_hh_num_in!U16)</f>
        <v>20257.441241237022</v>
      </c>
      <c r="V16" s="131">
        <f>IF(SER_hh_tes_in!V16=0,0,11630*1000*SER_hh_tes_in!V16/SER_hh_num_in!V16)</f>
        <v>29402.407846660015</v>
      </c>
      <c r="W16" s="131">
        <f>IF(SER_hh_tes_in!W16=0,0,11630*1000*SER_hh_tes_in!W16/SER_hh_num_in!W16)</f>
        <v>18110.622781356422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22901.929545519735</v>
      </c>
      <c r="D17" s="133">
        <f>IF(SER_hh_tes_in!D17=0,0,11630*1000*SER_hh_tes_in!D17/SER_hh_num_in!D17)</f>
        <v>20395.719908230047</v>
      </c>
      <c r="E17" s="133">
        <f>IF(SER_hh_tes_in!E17=0,0,11630*1000*SER_hh_tes_in!E17/SER_hh_num_in!E17)</f>
        <v>28861.38107430578</v>
      </c>
      <c r="F17" s="133">
        <f>IF(SER_hh_tes_in!F17=0,0,11630*1000*SER_hh_tes_in!F17/SER_hh_num_in!F17)</f>
        <v>24002.000260334415</v>
      </c>
      <c r="G17" s="133">
        <f>IF(SER_hh_tes_in!G17=0,0,11630*1000*SER_hh_tes_in!G17/SER_hh_num_in!G17)</f>
        <v>26351.096790937198</v>
      </c>
      <c r="H17" s="133">
        <f>IF(SER_hh_tes_in!H17=0,0,11630*1000*SER_hh_tes_in!H17/SER_hh_num_in!H17)</f>
        <v>31747.702624581631</v>
      </c>
      <c r="I17" s="133">
        <f>IF(SER_hh_tes_in!I17=0,0,11630*1000*SER_hh_tes_in!I17/SER_hh_num_in!I17)</f>
        <v>20555.326186457172</v>
      </c>
      <c r="J17" s="133">
        <f>IF(SER_hh_tes_in!J17=0,0,11630*1000*SER_hh_tes_in!J17/SER_hh_num_in!J17)</f>
        <v>19909.080085153335</v>
      </c>
      <c r="K17" s="133">
        <f>IF(SER_hh_tes_in!K17=0,0,11630*1000*SER_hh_tes_in!K17/SER_hh_num_in!K17)</f>
        <v>24091.360405948657</v>
      </c>
      <c r="L17" s="133">
        <f>IF(SER_hh_tes_in!L17=0,0,11630*1000*SER_hh_tes_in!L17/SER_hh_num_in!L17)</f>
        <v>32826.622147007321</v>
      </c>
      <c r="M17" s="133">
        <f>IF(SER_hh_tes_in!M17=0,0,11630*1000*SER_hh_tes_in!M17/SER_hh_num_in!M17)</f>
        <v>21410.002329208222</v>
      </c>
      <c r="N17" s="133">
        <f>IF(SER_hh_tes_in!N17=0,0,11630*1000*SER_hh_tes_in!N17/SER_hh_num_in!N17)</f>
        <v>22292.907624025629</v>
      </c>
      <c r="O17" s="133">
        <f>IF(SER_hh_tes_in!O17=0,0,11630*1000*SER_hh_tes_in!O17/SER_hh_num_in!O17)</f>
        <v>28640.380099328057</v>
      </c>
      <c r="P17" s="133">
        <f>IF(SER_hh_tes_in!P17=0,0,11630*1000*SER_hh_tes_in!P17/SER_hh_num_in!P17)</f>
        <v>19121.499530147274</v>
      </c>
      <c r="Q17" s="133">
        <f>IF(SER_hh_tes_in!Q17=0,0,11630*1000*SER_hh_tes_in!Q17/SER_hh_num_in!Q17)</f>
        <v>22244.081673782937</v>
      </c>
      <c r="R17" s="133">
        <f>IF(SER_hh_tes_in!R17=0,0,11630*1000*SER_hh_tes_in!R17/SER_hh_num_in!R17)</f>
        <v>32967.168856689474</v>
      </c>
      <c r="S17" s="133">
        <f>IF(SER_hh_tes_in!S17=0,0,11630*1000*SER_hh_tes_in!S17/SER_hh_num_in!S17)</f>
        <v>30984.77707462911</v>
      </c>
      <c r="T17" s="133">
        <f>IF(SER_hh_tes_in!T17=0,0,11630*1000*SER_hh_tes_in!T17/SER_hh_num_in!T17)</f>
        <v>25996.177293816676</v>
      </c>
      <c r="U17" s="133">
        <f>IF(SER_hh_tes_in!U17=0,0,11630*1000*SER_hh_tes_in!U17/SER_hh_num_in!U17)</f>
        <v>20342.756884389542</v>
      </c>
      <c r="V17" s="133">
        <f>IF(SER_hh_tes_in!V17=0,0,11630*1000*SER_hh_tes_in!V17/SER_hh_num_in!V17)</f>
        <v>27582.778689335595</v>
      </c>
      <c r="W17" s="133">
        <f>IF(SER_hh_tes_in!W17=0,0,11630*1000*SER_hh_tes_in!W17/SER_hh_num_in!W17)</f>
        <v>17564.336024769946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22903.571374002742</v>
      </c>
      <c r="D18" s="133">
        <f>IF(SER_hh_tes_in!D18=0,0,11630*1000*SER_hh_tes_in!D18/SER_hh_num_in!D18)</f>
        <v>20404.315720294497</v>
      </c>
      <c r="E18" s="133">
        <f>IF(SER_hh_tes_in!E18=0,0,11630*1000*SER_hh_tes_in!E18/SER_hh_num_in!E18)</f>
        <v>28882.593460586151</v>
      </c>
      <c r="F18" s="133">
        <f>IF(SER_hh_tes_in!F18=0,0,11630*1000*SER_hh_tes_in!F18/SER_hh_num_in!F18)</f>
        <v>23971.902785881295</v>
      </c>
      <c r="G18" s="133">
        <f>IF(SER_hh_tes_in!G18=0,0,11630*1000*SER_hh_tes_in!G18/SER_hh_num_in!G18)</f>
        <v>26314.499997733397</v>
      </c>
      <c r="H18" s="133">
        <f>IF(SER_hh_tes_in!H18=0,0,11630*1000*SER_hh_tes_in!H18/SER_hh_num_in!H18)</f>
        <v>31691.993801519275</v>
      </c>
      <c r="I18" s="133">
        <f>IF(SER_hh_tes_in!I18=0,0,11630*1000*SER_hh_tes_in!I18/SER_hh_num_in!I18)</f>
        <v>20501.860619680621</v>
      </c>
      <c r="J18" s="133">
        <f>IF(SER_hh_tes_in!J18=0,0,11630*1000*SER_hh_tes_in!J18/SER_hh_num_in!J18)</f>
        <v>19870.430264353436</v>
      </c>
      <c r="K18" s="133">
        <f>IF(SER_hh_tes_in!K18=0,0,11630*1000*SER_hh_tes_in!K18/SER_hh_num_in!K18)</f>
        <v>24045.26357923566</v>
      </c>
      <c r="L18" s="133">
        <f>IF(SER_hh_tes_in!L18=0,0,11630*1000*SER_hh_tes_in!L18/SER_hh_num_in!L18)</f>
        <v>32781.77938289092</v>
      </c>
      <c r="M18" s="133">
        <f>IF(SER_hh_tes_in!M18=0,0,11630*1000*SER_hh_tes_in!M18/SER_hh_num_in!M18)</f>
        <v>21388.44845438196</v>
      </c>
      <c r="N18" s="133">
        <f>IF(SER_hh_tes_in!N18=0,0,11630*1000*SER_hh_tes_in!N18/SER_hh_num_in!N18)</f>
        <v>22282.928986810086</v>
      </c>
      <c r="O18" s="133">
        <f>IF(SER_hh_tes_in!O18=0,0,11630*1000*SER_hh_tes_in!O18/SER_hh_num_in!O18)</f>
        <v>28604.178667691922</v>
      </c>
      <c r="P18" s="133">
        <f>IF(SER_hh_tes_in!P18=0,0,11630*1000*SER_hh_tes_in!P18/SER_hh_num_in!P18)</f>
        <v>19077.468628973205</v>
      </c>
      <c r="Q18" s="133">
        <f>IF(SER_hh_tes_in!Q18=0,0,11630*1000*SER_hh_tes_in!Q18/SER_hh_num_in!Q18)</f>
        <v>22168.662002008667</v>
      </c>
      <c r="R18" s="133">
        <f>IF(SER_hh_tes_in!R18=0,0,11630*1000*SER_hh_tes_in!R18/SER_hh_num_in!R18)</f>
        <v>32822.312381483447</v>
      </c>
      <c r="S18" s="133">
        <f>IF(SER_hh_tes_in!S18=0,0,11630*1000*SER_hh_tes_in!S18/SER_hh_num_in!S18)</f>
        <v>30852.547888051366</v>
      </c>
      <c r="T18" s="133">
        <f>IF(SER_hh_tes_in!T18=0,0,11630*1000*SER_hh_tes_in!T18/SER_hh_num_in!T18)</f>
        <v>26140.247886344721</v>
      </c>
      <c r="U18" s="133">
        <f>IF(SER_hh_tes_in!U18=0,0,11630*1000*SER_hh_tes_in!U18/SER_hh_num_in!U18)</f>
        <v>20255.713793972496</v>
      </c>
      <c r="V18" s="133">
        <f>IF(SER_hh_tes_in!V18=0,0,11630*1000*SER_hh_tes_in!V18/SER_hh_num_in!V18)</f>
        <v>29433.274668257258</v>
      </c>
      <c r="W18" s="133">
        <f>IF(SER_hh_tes_in!W18=0,0,11630*1000*SER_hh_tes_in!W18/SER_hh_num_in!W18)</f>
        <v>18117.599325827756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8241.9915957973681</v>
      </c>
      <c r="D19" s="131">
        <f>IF(SER_hh_tes_in!D19=0,0,11630*1000*SER_hh_tes_in!D19/SER_hh_num_in!D19)</f>
        <v>8475.5423242605248</v>
      </c>
      <c r="E19" s="131">
        <f>IF(SER_hh_tes_in!E19=0,0,11630*1000*SER_hh_tes_in!E19/SER_hh_num_in!E19)</f>
        <v>8352.6301807545369</v>
      </c>
      <c r="F19" s="131">
        <f>IF(SER_hh_tes_in!F19=0,0,11630*1000*SER_hh_tes_in!F19/SER_hh_num_in!F19)</f>
        <v>8434.0663861344092</v>
      </c>
      <c r="G19" s="131">
        <f>IF(SER_hh_tes_in!G19=0,0,11630*1000*SER_hh_tes_in!G19/SER_hh_num_in!G19)</f>
        <v>8475.3325318953175</v>
      </c>
      <c r="H19" s="131">
        <f>IF(SER_hh_tes_in!H19=0,0,11630*1000*SER_hh_tes_in!H19/SER_hh_num_in!H19)</f>
        <v>8354.1572707096966</v>
      </c>
      <c r="I19" s="131">
        <f>IF(SER_hh_tes_in!I19=0,0,11630*1000*SER_hh_tes_in!I19/SER_hh_num_in!I19)</f>
        <v>8466.3691575732937</v>
      </c>
      <c r="J19" s="131">
        <f>IF(SER_hh_tes_in!J19=0,0,11630*1000*SER_hh_tes_in!J19/SER_hh_num_in!J19)</f>
        <v>8519.0363935042478</v>
      </c>
      <c r="K19" s="131">
        <f>IF(SER_hh_tes_in!K19=0,0,11630*1000*SER_hh_tes_in!K19/SER_hh_num_in!K19)</f>
        <v>8627.294692477235</v>
      </c>
      <c r="L19" s="131">
        <f>IF(SER_hh_tes_in!L19=0,0,11630*1000*SER_hh_tes_in!L19/SER_hh_num_in!L19)</f>
        <v>8700.1071432742574</v>
      </c>
      <c r="M19" s="131">
        <f>IF(SER_hh_tes_in!M19=0,0,11630*1000*SER_hh_tes_in!M19/SER_hh_num_in!M19)</f>
        <v>8993.8230486159937</v>
      </c>
      <c r="N19" s="131">
        <f>IF(SER_hh_tes_in!N19=0,0,11630*1000*SER_hh_tes_in!N19/SER_hh_num_in!N19)</f>
        <v>9073.4340043324974</v>
      </c>
      <c r="O19" s="131">
        <f>IF(SER_hh_tes_in!O19=0,0,11630*1000*SER_hh_tes_in!O19/SER_hh_num_in!O19)</f>
        <v>9228.2992085084334</v>
      </c>
      <c r="P19" s="131">
        <f>IF(SER_hh_tes_in!P19=0,0,11630*1000*SER_hh_tes_in!P19/SER_hh_num_in!P19)</f>
        <v>9179.0037421518646</v>
      </c>
      <c r="Q19" s="131">
        <f>IF(SER_hh_tes_in!Q19=0,0,11630*1000*SER_hh_tes_in!Q19/SER_hh_num_in!Q19)</f>
        <v>9205.1987451382829</v>
      </c>
      <c r="R19" s="131">
        <f>IF(SER_hh_tes_in!R19=0,0,11630*1000*SER_hh_tes_in!R19/SER_hh_num_in!R19)</f>
        <v>9174.5102657250318</v>
      </c>
      <c r="S19" s="131">
        <f>IF(SER_hh_tes_in!S19=0,0,11630*1000*SER_hh_tes_in!S19/SER_hh_num_in!S19)</f>
        <v>9169.0298039527897</v>
      </c>
      <c r="T19" s="131">
        <f>IF(SER_hh_tes_in!T19=0,0,11630*1000*SER_hh_tes_in!T19/SER_hh_num_in!T19)</f>
        <v>9272.2205035367133</v>
      </c>
      <c r="U19" s="131">
        <f>IF(SER_hh_tes_in!U19=0,0,11630*1000*SER_hh_tes_in!U19/SER_hh_num_in!U19)</f>
        <v>9279.7797395178441</v>
      </c>
      <c r="V19" s="131">
        <f>IF(SER_hh_tes_in!V19=0,0,11630*1000*SER_hh_tes_in!V19/SER_hh_num_in!V19)</f>
        <v>8278.8200027636867</v>
      </c>
      <c r="W19" s="131">
        <f>IF(SER_hh_tes_in!W19=0,0,11630*1000*SER_hh_tes_in!W19/SER_hh_num_in!W19)</f>
        <v>8003.5784378580738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8169.899615659705</v>
      </c>
      <c r="D21" s="133">
        <f>IF(SER_hh_tes_in!D21=0,0,11630*1000*SER_hh_tes_in!D21/SER_hh_num_in!D21)</f>
        <v>8232.8763040924787</v>
      </c>
      <c r="E21" s="133">
        <f>IF(SER_hh_tes_in!E21=0,0,11630*1000*SER_hh_tes_in!E21/SER_hh_num_in!E21)</f>
        <v>8264.4278745483916</v>
      </c>
      <c r="F21" s="133">
        <f>IF(SER_hh_tes_in!F21=0,0,11630*1000*SER_hh_tes_in!F21/SER_hh_num_in!F21)</f>
        <v>8213.3026494860915</v>
      </c>
      <c r="G21" s="133">
        <f>IF(SER_hh_tes_in!G21=0,0,11630*1000*SER_hh_tes_in!G21/SER_hh_num_in!G21)</f>
        <v>7686.005553900749</v>
      </c>
      <c r="H21" s="133">
        <f>IF(SER_hh_tes_in!H21=0,0,11630*1000*SER_hh_tes_in!H21/SER_hh_num_in!H21)</f>
        <v>7966.6421490233552</v>
      </c>
      <c r="I21" s="133">
        <f>IF(SER_hh_tes_in!I21=0,0,11630*1000*SER_hh_tes_in!I21/SER_hh_num_in!I21)</f>
        <v>7884.3814802699908</v>
      </c>
      <c r="J21" s="133">
        <f>IF(SER_hh_tes_in!J21=0,0,11630*1000*SER_hh_tes_in!J21/SER_hh_num_in!J21)</f>
        <v>6340.3657397563275</v>
      </c>
      <c r="K21" s="133">
        <f>IF(SER_hh_tes_in!K21=0,0,11630*1000*SER_hh_tes_in!K21/SER_hh_num_in!K21)</f>
        <v>7677.1952250126005</v>
      </c>
      <c r="L21" s="133">
        <f>IF(SER_hh_tes_in!L21=0,0,11630*1000*SER_hh_tes_in!L21/SER_hh_num_in!L21)</f>
        <v>6577.4364391996933</v>
      </c>
      <c r="M21" s="133">
        <f>IF(SER_hh_tes_in!M21=0,0,11630*1000*SER_hh_tes_in!M21/SER_hh_num_in!M21)</f>
        <v>7858.2004522637526</v>
      </c>
      <c r="N21" s="133">
        <f>IF(SER_hh_tes_in!N21=0,0,11630*1000*SER_hh_tes_in!N21/SER_hh_num_in!N21)</f>
        <v>7911.7049517872538</v>
      </c>
      <c r="O21" s="133">
        <f>IF(SER_hh_tes_in!O21=0,0,11630*1000*SER_hh_tes_in!O21/SER_hh_num_in!O21)</f>
        <v>8377.4012126833804</v>
      </c>
      <c r="P21" s="133">
        <f>IF(SER_hh_tes_in!P21=0,0,11630*1000*SER_hh_tes_in!P21/SER_hh_num_in!P21)</f>
        <v>8190.1254872943528</v>
      </c>
      <c r="Q21" s="133">
        <f>IF(SER_hh_tes_in!Q21=0,0,11630*1000*SER_hh_tes_in!Q21/SER_hh_num_in!Q21)</f>
        <v>8576.0996856258171</v>
      </c>
      <c r="R21" s="133">
        <f>IF(SER_hh_tes_in!R21=0,0,11630*1000*SER_hh_tes_in!R21/SER_hh_num_in!R21)</f>
        <v>8301.8556593444628</v>
      </c>
      <c r="S21" s="133">
        <f>IF(SER_hh_tes_in!S21=0,0,11630*1000*SER_hh_tes_in!S21/SER_hh_num_in!S21)</f>
        <v>8373.3806057212441</v>
      </c>
      <c r="T21" s="133">
        <f>IF(SER_hh_tes_in!T21=0,0,11630*1000*SER_hh_tes_in!T21/SER_hh_num_in!T21)</f>
        <v>8433.1855917863595</v>
      </c>
      <c r="U21" s="133">
        <f>IF(SER_hh_tes_in!U21=0,0,11630*1000*SER_hh_tes_in!U21/SER_hh_num_in!U21)</f>
        <v>8164.9020106790158</v>
      </c>
      <c r="V21" s="133">
        <f>IF(SER_hh_tes_in!V21=0,0,11630*1000*SER_hh_tes_in!V21/SER_hh_num_in!V21)</f>
        <v>5519.35105089444</v>
      </c>
      <c r="W21" s="133">
        <f>IF(SER_hh_tes_in!W21=0,0,11630*1000*SER_hh_tes_in!W21/SER_hh_num_in!W21)</f>
        <v>8429.2564680618361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8286.7242444404783</v>
      </c>
      <c r="D22" s="133">
        <f>IF(SER_hh_tes_in!D22=0,0,11630*1000*SER_hh_tes_in!D22/SER_hh_num_in!D22)</f>
        <v>8246.770688788758</v>
      </c>
      <c r="E22" s="133">
        <f>IF(SER_hh_tes_in!E22=0,0,11630*1000*SER_hh_tes_in!E22/SER_hh_num_in!E22)</f>
        <v>8320.9814655012324</v>
      </c>
      <c r="F22" s="133">
        <f>IF(SER_hh_tes_in!F22=0,0,11630*1000*SER_hh_tes_in!F22/SER_hh_num_in!F22)</f>
        <v>8326.6809393558833</v>
      </c>
      <c r="G22" s="133">
        <f>IF(SER_hh_tes_in!G22=0,0,11630*1000*SER_hh_tes_in!G22/SER_hh_num_in!G22)</f>
        <v>7649.6890415027165</v>
      </c>
      <c r="H22" s="133">
        <f>IF(SER_hh_tes_in!H22=0,0,11630*1000*SER_hh_tes_in!H22/SER_hh_num_in!H22)</f>
        <v>7984.981687800595</v>
      </c>
      <c r="I22" s="133">
        <f>IF(SER_hh_tes_in!I22=0,0,11630*1000*SER_hh_tes_in!I22/SER_hh_num_in!I22)</f>
        <v>7872.1275321690973</v>
      </c>
      <c r="J22" s="133">
        <f>IF(SER_hh_tes_in!J22=0,0,11630*1000*SER_hh_tes_in!J22/SER_hh_num_in!J22)</f>
        <v>6129.069356201855</v>
      </c>
      <c r="K22" s="133">
        <f>IF(SER_hh_tes_in!K22=0,0,11630*1000*SER_hh_tes_in!K22/SER_hh_num_in!K22)</f>
        <v>7438.5062413803025</v>
      </c>
      <c r="L22" s="133">
        <f>IF(SER_hh_tes_in!L22=0,0,11630*1000*SER_hh_tes_in!L22/SER_hh_num_in!L22)</f>
        <v>6574.125908808227</v>
      </c>
      <c r="M22" s="133">
        <f>IF(SER_hh_tes_in!M22=0,0,11630*1000*SER_hh_tes_in!M22/SER_hh_num_in!M22)</f>
        <v>7897.3030892401857</v>
      </c>
      <c r="N22" s="133">
        <f>IF(SER_hh_tes_in!N22=0,0,11630*1000*SER_hh_tes_in!N22/SER_hh_num_in!N22)</f>
        <v>7950.08210989283</v>
      </c>
      <c r="O22" s="133">
        <f>IF(SER_hh_tes_in!O22=0,0,11630*1000*SER_hh_tes_in!O22/SER_hh_num_in!O22)</f>
        <v>8573.5937236113496</v>
      </c>
      <c r="P22" s="133">
        <f>IF(SER_hh_tes_in!P22=0,0,11630*1000*SER_hh_tes_in!P22/SER_hh_num_in!P22)</f>
        <v>8317.3746197849377</v>
      </c>
      <c r="Q22" s="133">
        <f>IF(SER_hh_tes_in!Q22=0,0,11630*1000*SER_hh_tes_in!Q22/SER_hh_num_in!Q22)</f>
        <v>8632.0556944277887</v>
      </c>
      <c r="R22" s="133">
        <f>IF(SER_hh_tes_in!R22=0,0,11630*1000*SER_hh_tes_in!R22/SER_hh_num_in!R22)</f>
        <v>8218.5778111256386</v>
      </c>
      <c r="S22" s="133">
        <f>IF(SER_hh_tes_in!S22=0,0,11630*1000*SER_hh_tes_in!S22/SER_hh_num_in!S22)</f>
        <v>8406.6008604422223</v>
      </c>
      <c r="T22" s="133">
        <f>IF(SER_hh_tes_in!T22=0,0,11630*1000*SER_hh_tes_in!T22/SER_hh_num_in!T22)</f>
        <v>8574.63749807352</v>
      </c>
      <c r="U22" s="133">
        <f>IF(SER_hh_tes_in!U22=0,0,11630*1000*SER_hh_tes_in!U22/SER_hh_num_in!U22)</f>
        <v>8123.0898169007378</v>
      </c>
      <c r="V22" s="133">
        <f>IF(SER_hh_tes_in!V22=0,0,11630*1000*SER_hh_tes_in!V22/SER_hh_num_in!V22)</f>
        <v>5362.1019704583969</v>
      </c>
      <c r="W22" s="133">
        <f>IF(SER_hh_tes_in!W22=0,0,11630*1000*SER_hh_tes_in!W22/SER_hh_num_in!W22)</f>
        <v>8877.8732812414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8093.6401688348606</v>
      </c>
      <c r="D23" s="133">
        <f>IF(SER_hh_tes_in!D23=0,0,11630*1000*SER_hh_tes_in!D23/SER_hh_num_in!D23)</f>
        <v>8159.0886453662906</v>
      </c>
      <c r="E23" s="133">
        <f>IF(SER_hh_tes_in!E23=0,0,11630*1000*SER_hh_tes_in!E23/SER_hh_num_in!E23)</f>
        <v>7972.9495861848409</v>
      </c>
      <c r="F23" s="133">
        <f>IF(SER_hh_tes_in!F23=0,0,11630*1000*SER_hh_tes_in!F23/SER_hh_num_in!F23)</f>
        <v>7992.0051371976842</v>
      </c>
      <c r="G23" s="133">
        <f>IF(SER_hh_tes_in!G23=0,0,11630*1000*SER_hh_tes_in!G23/SER_hh_num_in!G23)</f>
        <v>7745.6598138906666</v>
      </c>
      <c r="H23" s="133">
        <f>IF(SER_hh_tes_in!H23=0,0,11630*1000*SER_hh_tes_in!H23/SER_hh_num_in!H23)</f>
        <v>7930.312730753124</v>
      </c>
      <c r="I23" s="133">
        <f>IF(SER_hh_tes_in!I23=0,0,11630*1000*SER_hh_tes_in!I23/SER_hh_num_in!I23)</f>
        <v>7995.7839807785558</v>
      </c>
      <c r="J23" s="133">
        <f>IF(SER_hh_tes_in!J23=0,0,11630*1000*SER_hh_tes_in!J23/SER_hh_num_in!J23)</f>
        <v>6688.6760080884715</v>
      </c>
      <c r="K23" s="133">
        <f>IF(SER_hh_tes_in!K23=0,0,11630*1000*SER_hh_tes_in!K23/SER_hh_num_in!K23)</f>
        <v>7576.2493296974226</v>
      </c>
      <c r="L23" s="133">
        <f>IF(SER_hh_tes_in!L23=0,0,11630*1000*SER_hh_tes_in!L23/SER_hh_num_in!L23)</f>
        <v>6818.5002775394141</v>
      </c>
      <c r="M23" s="133">
        <f>IF(SER_hh_tes_in!M23=0,0,11630*1000*SER_hh_tes_in!M23/SER_hh_num_in!M23)</f>
        <v>7993.1499631948118</v>
      </c>
      <c r="N23" s="133">
        <f>IF(SER_hh_tes_in!N23=0,0,11630*1000*SER_hh_tes_in!N23/SER_hh_num_in!N23)</f>
        <v>8046.3848415032253</v>
      </c>
      <c r="O23" s="133">
        <f>IF(SER_hh_tes_in!O23=0,0,11630*1000*SER_hh_tes_in!O23/SER_hh_num_in!O23)</f>
        <v>8537.79528204501</v>
      </c>
      <c r="P23" s="133">
        <f>IF(SER_hh_tes_in!P23=0,0,11630*1000*SER_hh_tes_in!P23/SER_hh_num_in!P23)</f>
        <v>8176.5082753521165</v>
      </c>
      <c r="Q23" s="133">
        <f>IF(SER_hh_tes_in!Q23=0,0,11630*1000*SER_hh_tes_in!Q23/SER_hh_num_in!Q23)</f>
        <v>8434.8512452865707</v>
      </c>
      <c r="R23" s="133">
        <f>IF(SER_hh_tes_in!R23=0,0,11630*1000*SER_hh_tes_in!R23/SER_hh_num_in!R23)</f>
        <v>8304.5554313162575</v>
      </c>
      <c r="S23" s="133">
        <f>IF(SER_hh_tes_in!S23=0,0,11630*1000*SER_hh_tes_in!S23/SER_hh_num_in!S23)</f>
        <v>8526.9094579586326</v>
      </c>
      <c r="T23" s="133">
        <f>IF(SER_hh_tes_in!T23=0,0,11630*1000*SER_hh_tes_in!T23/SER_hh_num_in!T23)</f>
        <v>8733.0229857353588</v>
      </c>
      <c r="U23" s="133">
        <f>IF(SER_hh_tes_in!U23=0,0,11630*1000*SER_hh_tes_in!U23/SER_hh_num_in!U23)</f>
        <v>8464.0616323244649</v>
      </c>
      <c r="V23" s="133">
        <f>IF(SER_hh_tes_in!V23=0,0,11630*1000*SER_hh_tes_in!V23/SER_hh_num_in!V23)</f>
        <v>4905.2584499300674</v>
      </c>
      <c r="W23" s="133">
        <f>IF(SER_hh_tes_in!W23=0,0,11630*1000*SER_hh_tes_in!W23/SER_hh_num_in!W23)</f>
        <v>8868.5575116170621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8151.3313112176002</v>
      </c>
      <c r="D25" s="133">
        <f>IF(SER_hh_tes_in!D25=0,0,11630*1000*SER_hh_tes_in!D25/SER_hh_num_in!D25)</f>
        <v>8468.7997514713843</v>
      </c>
      <c r="E25" s="133">
        <f>IF(SER_hh_tes_in!E25=0,0,11630*1000*SER_hh_tes_in!E25/SER_hh_num_in!E25)</f>
        <v>8560.85225698256</v>
      </c>
      <c r="F25" s="133">
        <f>IF(SER_hh_tes_in!F25=0,0,11630*1000*SER_hh_tes_in!F25/SER_hh_num_in!F25)</f>
        <v>8804.6383619718908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1809.6665125761288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1822.3129985290848</v>
      </c>
      <c r="M25" s="133">
        <f>IF(SER_hh_tes_in!M25=0,0,11630*1000*SER_hh_tes_in!M25/SER_hh_num_in!M25)</f>
        <v>6765.809457387184</v>
      </c>
      <c r="N25" s="133">
        <f>IF(SER_hh_tes_in!N25=0,0,11630*1000*SER_hh_tes_in!N25/SER_hh_num_in!N25)</f>
        <v>7959.8053424878944</v>
      </c>
      <c r="O25" s="133">
        <f>IF(SER_hh_tes_in!O25=0,0,11630*1000*SER_hh_tes_in!O25/SER_hh_num_in!O25)</f>
        <v>9058.8006770834181</v>
      </c>
      <c r="P25" s="133">
        <f>IF(SER_hh_tes_in!P25=0,0,11630*1000*SER_hh_tes_in!P25/SER_hh_num_in!P25)</f>
        <v>8427.907333890691</v>
      </c>
      <c r="Q25" s="133">
        <f>IF(SER_hh_tes_in!Q25=0,0,11630*1000*SER_hh_tes_in!Q25/SER_hh_num_in!Q25)</f>
        <v>8932.2266419049956</v>
      </c>
      <c r="R25" s="133">
        <f>IF(SER_hh_tes_in!R25=0,0,11630*1000*SER_hh_tes_in!R25/SER_hh_num_in!R25)</f>
        <v>8261.1322222656236</v>
      </c>
      <c r="S25" s="133">
        <f>IF(SER_hh_tes_in!S25=0,0,11630*1000*SER_hh_tes_in!S25/SER_hh_num_in!S25)</f>
        <v>8928.625370009082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6307.3110390177735</v>
      </c>
      <c r="D26" s="65">
        <f>IF(SER_hh_tes_in!D26=0,0,11630*1000*SER_hh_tes_in!D26/SER_hh_num_in!D26)</f>
        <v>5319.4149059812262</v>
      </c>
      <c r="E26" s="65">
        <f>IF(SER_hh_tes_in!E26=0,0,11630*1000*SER_hh_tes_in!E26/SER_hh_num_in!E26)</f>
        <v>5747.3331814092771</v>
      </c>
      <c r="F26" s="65">
        <f>IF(SER_hh_tes_in!F26=0,0,11630*1000*SER_hh_tes_in!F26/SER_hh_num_in!F26)</f>
        <v>5392.4068054908957</v>
      </c>
      <c r="G26" s="65">
        <f>IF(SER_hh_tes_in!G26=0,0,11630*1000*SER_hh_tes_in!G26/SER_hh_num_in!G26)</f>
        <v>2489.344430431705</v>
      </c>
      <c r="H26" s="65">
        <f>IF(SER_hh_tes_in!H26=0,0,11630*1000*SER_hh_tes_in!H26/SER_hh_num_in!H26)</f>
        <v>5672.6027647403243</v>
      </c>
      <c r="I26" s="65">
        <f>IF(SER_hh_tes_in!I26=0,0,11630*1000*SER_hh_tes_in!I26/SER_hh_num_in!I26)</f>
        <v>3518.1744266626069</v>
      </c>
      <c r="J26" s="65">
        <f>IF(SER_hh_tes_in!J26=0,0,11630*1000*SER_hh_tes_in!J26/SER_hh_num_in!J26)</f>
        <v>1436.3113780385013</v>
      </c>
      <c r="K26" s="65">
        <f>IF(SER_hh_tes_in!K26=0,0,11630*1000*SER_hh_tes_in!K26/SER_hh_num_in!K26)</f>
        <v>1518.2729002571523</v>
      </c>
      <c r="L26" s="65">
        <f>IF(SER_hh_tes_in!L26=0,0,11630*1000*SER_hh_tes_in!L26/SER_hh_num_in!L26)</f>
        <v>765.66633333846789</v>
      </c>
      <c r="M26" s="65">
        <f>IF(SER_hh_tes_in!M26=0,0,11630*1000*SER_hh_tes_in!M26/SER_hh_num_in!M26)</f>
        <v>127.86297419992812</v>
      </c>
      <c r="N26" s="65">
        <f>IF(SER_hh_tes_in!N26=0,0,11630*1000*SER_hh_tes_in!N26/SER_hh_num_in!N26)</f>
        <v>84.752423463348165</v>
      </c>
      <c r="O26" s="65">
        <f>IF(SER_hh_tes_in!O26=0,0,11630*1000*SER_hh_tes_in!O26/SER_hh_num_in!O26)</f>
        <v>82.384888073892427</v>
      </c>
      <c r="P26" s="65">
        <f>IF(SER_hh_tes_in!P26=0,0,11630*1000*SER_hh_tes_in!P26/SER_hh_num_in!P26)</f>
        <v>84.319567893257997</v>
      </c>
      <c r="Q26" s="65">
        <f>IF(SER_hh_tes_in!Q26=0,0,11630*1000*SER_hh_tes_in!Q26/SER_hh_num_in!Q26)</f>
        <v>85.792981941428735</v>
      </c>
      <c r="R26" s="65">
        <f>IF(SER_hh_tes_in!R26=0,0,11630*1000*SER_hh_tes_in!R26/SER_hh_num_in!R26)</f>
        <v>85.126620744354653</v>
      </c>
      <c r="S26" s="65">
        <f>IF(SER_hh_tes_in!S26=0,0,11630*1000*SER_hh_tes_in!S26/SER_hh_num_in!S26)</f>
        <v>82.751007828764969</v>
      </c>
      <c r="T26" s="65">
        <f>IF(SER_hh_tes_in!T26=0,0,11630*1000*SER_hh_tes_in!T26/SER_hh_num_in!T26)</f>
        <v>81.005416701949088</v>
      </c>
      <c r="U26" s="65">
        <f>IF(SER_hh_tes_in!U26=0,0,11630*1000*SER_hh_tes_in!U26/SER_hh_num_in!U26)</f>
        <v>82.040699368906388</v>
      </c>
      <c r="V26" s="65">
        <f>IF(SER_hh_tes_in!V26=0,0,11630*1000*SER_hh_tes_in!V26/SER_hh_num_in!V26)</f>
        <v>64.885224130298553</v>
      </c>
      <c r="W26" s="65">
        <f>IF(SER_hh_tes_in!W26=0,0,11630*1000*SER_hh_tes_in!W26/SER_hh_num_in!W26)</f>
        <v>7400.2360378428793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1576.0110095433822</v>
      </c>
      <c r="D27" s="146">
        <f>IF(SER_hh_tes_in!D27=0,0,11630*1000*SER_hh_tes_in!D27/SER_hh_num_in!D19)</f>
        <v>2587.2122224330319</v>
      </c>
      <c r="E27" s="146">
        <f>IF(SER_hh_tes_in!E27=0,0,11630*1000*SER_hh_tes_in!E27/SER_hh_num_in!E19)</f>
        <v>1978.9174575285065</v>
      </c>
      <c r="F27" s="146">
        <f>IF(SER_hh_tes_in!F27=0,0,11630*1000*SER_hh_tes_in!F27/SER_hh_num_in!F19)</f>
        <v>2296.3363595557171</v>
      </c>
      <c r="G27" s="146">
        <f>IF(SER_hh_tes_in!G27=0,0,11630*1000*SER_hh_tes_in!G27/SER_hh_num_in!G19)</f>
        <v>4323.5029294050037</v>
      </c>
      <c r="H27" s="146">
        <f>IF(SER_hh_tes_in!H27=0,0,11630*1000*SER_hh_tes_in!H27/SER_hh_num_in!H19)</f>
        <v>1894.9863095900023</v>
      </c>
      <c r="I27" s="146">
        <f>IF(SER_hh_tes_in!I27=0,0,11630*1000*SER_hh_tes_in!I27/SER_hh_num_in!I19)</f>
        <v>3379.2724070099571</v>
      </c>
      <c r="J27" s="146">
        <f>IF(SER_hh_tes_in!J27=0,0,11630*1000*SER_hh_tes_in!J27/SER_hh_num_in!J19)</f>
        <v>5235.2141226947597</v>
      </c>
      <c r="K27" s="146">
        <f>IF(SER_hh_tes_in!K27=0,0,11630*1000*SER_hh_tes_in!K27/SER_hh_num_in!K19)</f>
        <v>4786.4672130078725</v>
      </c>
      <c r="L27" s="146">
        <f>IF(SER_hh_tes_in!L27=0,0,11630*1000*SER_hh_tes_in!L27/SER_hh_num_in!L19)</f>
        <v>5410.3241543251479</v>
      </c>
      <c r="M27" s="146">
        <f>IF(SER_hh_tes_in!M27=0,0,11630*1000*SER_hh_tes_in!M27/SER_hh_num_in!M19)</f>
        <v>5276.5117250539461</v>
      </c>
      <c r="N27" s="146">
        <f>IF(SER_hh_tes_in!N27=0,0,11630*1000*SER_hh_tes_in!N27/SER_hh_num_in!N19)</f>
        <v>4931.3833730800561</v>
      </c>
      <c r="O27" s="146">
        <f>IF(SER_hh_tes_in!O27=0,0,11630*1000*SER_hh_tes_in!O27/SER_hh_num_in!O19)</f>
        <v>5059.3327700209356</v>
      </c>
      <c r="P27" s="146">
        <f>IF(SER_hh_tes_in!P27=0,0,11630*1000*SER_hh_tes_in!P27/SER_hh_num_in!P19)</f>
        <v>5823.7980210447904</v>
      </c>
      <c r="Q27" s="146">
        <f>IF(SER_hh_tes_in!Q27=0,0,11630*1000*SER_hh_tes_in!Q27/SER_hh_num_in!Q19)</f>
        <v>5655.5115111436007</v>
      </c>
      <c r="R27" s="146">
        <f>IF(SER_hh_tes_in!R27=0,0,11630*1000*SER_hh_tes_in!R27/SER_hh_num_in!R19)</f>
        <v>5411.6269939350877</v>
      </c>
      <c r="S27" s="146">
        <f>IF(SER_hh_tes_in!S27=0,0,11630*1000*SER_hh_tes_in!S27/SER_hh_num_in!S19)</f>
        <v>5260.4300176729566</v>
      </c>
      <c r="T27" s="146">
        <f>IF(SER_hh_tes_in!T27=0,0,11630*1000*SER_hh_tes_in!T27/SER_hh_num_in!T19)</f>
        <v>4962.114544956894</v>
      </c>
      <c r="U27" s="146">
        <f>IF(SER_hh_tes_in!U27=0,0,11630*1000*SER_hh_tes_in!U27/SER_hh_num_in!U19)</f>
        <v>5198.792914235315</v>
      </c>
      <c r="V27" s="146">
        <f>IF(SER_hh_tes_in!V27=0,0,11630*1000*SER_hh_tes_in!V27/SER_hh_num_in!V19)</f>
        <v>5571.1027063978327</v>
      </c>
      <c r="W27" s="146">
        <f>IF(SER_hh_tes_in!W27=0,0,11630*1000*SER_hh_tes_in!W27/SER_hh_num_in!W19)</f>
        <v>9.648303141845668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6680.9655281919877</v>
      </c>
      <c r="D28" s="147">
        <f>IF(SER_hh_tes_in!D27=0,0,11630*1000*SER_hh_tes_in!D27/SER_hh_num_in!D27)</f>
        <v>6726.6276311257761</v>
      </c>
      <c r="E28" s="147">
        <f>IF(SER_hh_tes_in!E27=0,0,11630*1000*SER_hh_tes_in!E27/SER_hh_num_in!E27)</f>
        <v>7072.8826470396216</v>
      </c>
      <c r="F28" s="147">
        <f>IF(SER_hh_tes_in!F27=0,0,11630*1000*SER_hh_tes_in!F27/SER_hh_num_in!F27)</f>
        <v>7134.4313488481857</v>
      </c>
      <c r="G28" s="147">
        <f>IF(SER_hh_tes_in!G27=0,0,11630*1000*SER_hh_tes_in!G27/SER_hh_num_in!G27)</f>
        <v>6754.5331693623566</v>
      </c>
      <c r="H28" s="147">
        <f>IF(SER_hh_tes_in!H27=0,0,11630*1000*SER_hh_tes_in!H27/SER_hh_num_in!H27)</f>
        <v>6903.4816812567815</v>
      </c>
      <c r="I28" s="147">
        <f>IF(SER_hh_tes_in!I27=0,0,11630*1000*SER_hh_tes_in!I27/SER_hh_num_in!I27)</f>
        <v>6948.584800918853</v>
      </c>
      <c r="J28" s="147">
        <f>IF(SER_hh_tes_in!J27=0,0,11630*1000*SER_hh_tes_in!J27/SER_hh_num_in!J27)</f>
        <v>6971.2689978846875</v>
      </c>
      <c r="K28" s="147">
        <f>IF(SER_hh_tes_in!K27=0,0,11630*1000*SER_hh_tes_in!K27/SER_hh_num_in!K27)</f>
        <v>7007.8117866462326</v>
      </c>
      <c r="L28" s="147">
        <f>IF(SER_hh_tes_in!L27=0,0,11630*1000*SER_hh_tes_in!L27/SER_hh_num_in!L27)</f>
        <v>7381.4566947090352</v>
      </c>
      <c r="M28" s="147">
        <f>IF(SER_hh_tes_in!M27=0,0,11630*1000*SER_hh_tes_in!M27/SER_hh_num_in!M27)</f>
        <v>8201.859808514504</v>
      </c>
      <c r="N28" s="147">
        <f>IF(SER_hh_tes_in!N27=0,0,11630*1000*SER_hh_tes_in!N27/SER_hh_num_in!N27)</f>
        <v>8064.1925539005761</v>
      </c>
      <c r="O28" s="147">
        <f>IF(SER_hh_tes_in!O27=0,0,11630*1000*SER_hh_tes_in!O27/SER_hh_num_in!O27)</f>
        <v>8560.1021267125871</v>
      </c>
      <c r="P28" s="147">
        <f>IF(SER_hh_tes_in!P27=0,0,11630*1000*SER_hh_tes_in!P27/SER_hh_num_in!P27)</f>
        <v>8611.4304390586785</v>
      </c>
      <c r="Q28" s="147">
        <f>IF(SER_hh_tes_in!Q27=0,0,11630*1000*SER_hh_tes_in!Q27/SER_hh_num_in!Q27)</f>
        <v>8782.6896552673807</v>
      </c>
      <c r="R28" s="147">
        <f>IF(SER_hh_tes_in!R27=0,0,11630*1000*SER_hh_tes_in!R27/SER_hh_num_in!R27)</f>
        <v>8494.052417247045</v>
      </c>
      <c r="S28" s="147">
        <f>IF(SER_hh_tes_in!S27=0,0,11630*1000*SER_hh_tes_in!S27/SER_hh_num_in!S27)</f>
        <v>8522.0177653480187</v>
      </c>
      <c r="T28" s="147">
        <f>IF(SER_hh_tes_in!T27=0,0,11630*1000*SER_hh_tes_in!T27/SER_hh_num_in!T27)</f>
        <v>8854.9362892443041</v>
      </c>
      <c r="U28" s="147">
        <f>IF(SER_hh_tes_in!U27=0,0,11630*1000*SER_hh_tes_in!U27/SER_hh_num_in!U27)</f>
        <v>8729.0062825238001</v>
      </c>
      <c r="V28" s="147">
        <f>IF(SER_hh_tes_in!V27=0,0,11630*1000*SER_hh_tes_in!V27/SER_hh_num_in!V27)</f>
        <v>6691.5804053672146</v>
      </c>
      <c r="W28" s="147">
        <f>IF(SER_hh_tes_in!W27=0,0,11630*1000*SER_hh_tes_in!W27/SER_hh_num_in!W27)</f>
        <v>9343.5840893045679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7970.315464200532</v>
      </c>
      <c r="D29" s="131">
        <f>IF(SER_hh_tes_in!D29=0,0,11630*1000*SER_hh_tes_in!D29/SER_hh_num_in!D29)</f>
        <v>8596.3247240066048</v>
      </c>
      <c r="E29" s="131">
        <f>IF(SER_hh_tes_in!E29=0,0,11630*1000*SER_hh_tes_in!E29/SER_hh_num_in!E29)</f>
        <v>8554.3557856616826</v>
      </c>
      <c r="F29" s="131">
        <f>IF(SER_hh_tes_in!F29=0,0,11630*1000*SER_hh_tes_in!F29/SER_hh_num_in!F29)</f>
        <v>8557.9481265215945</v>
      </c>
      <c r="G29" s="131">
        <f>IF(SER_hh_tes_in!G29=0,0,11630*1000*SER_hh_tes_in!G29/SER_hh_num_in!G29)</f>
        <v>9643.6690798824166</v>
      </c>
      <c r="H29" s="131">
        <f>IF(SER_hh_tes_in!H29=0,0,11630*1000*SER_hh_tes_in!H29/SER_hh_num_in!H29)</f>
        <v>9049.8473618692678</v>
      </c>
      <c r="I29" s="131">
        <f>IF(SER_hh_tes_in!I29=0,0,11630*1000*SER_hh_tes_in!I29/SER_hh_num_in!I29)</f>
        <v>9021.5072829947785</v>
      </c>
      <c r="J29" s="131">
        <f>IF(SER_hh_tes_in!J29=0,0,11630*1000*SER_hh_tes_in!J29/SER_hh_num_in!J29)</f>
        <v>8828.9313820414845</v>
      </c>
      <c r="K29" s="131">
        <f>IF(SER_hh_tes_in!K29=0,0,11630*1000*SER_hh_tes_in!K29/SER_hh_num_in!K29)</f>
        <v>8356.2631677448062</v>
      </c>
      <c r="L29" s="131">
        <f>IF(SER_hh_tes_in!L29=0,0,11630*1000*SER_hh_tes_in!L29/SER_hh_num_in!L29)</f>
        <v>10117.396683672216</v>
      </c>
      <c r="M29" s="131">
        <f>IF(SER_hh_tes_in!M29=0,0,11630*1000*SER_hh_tes_in!M29/SER_hh_num_in!M29)</f>
        <v>9543.1454048816249</v>
      </c>
      <c r="N29" s="131">
        <f>IF(SER_hh_tes_in!N29=0,0,11630*1000*SER_hh_tes_in!N29/SER_hh_num_in!N29)</f>
        <v>14265.870212567159</v>
      </c>
      <c r="O29" s="131">
        <f>IF(SER_hh_tes_in!O29=0,0,11630*1000*SER_hh_tes_in!O29/SER_hh_num_in!O29)</f>
        <v>8460.5553163631303</v>
      </c>
      <c r="P29" s="131">
        <f>IF(SER_hh_tes_in!P29=0,0,11630*1000*SER_hh_tes_in!P29/SER_hh_num_in!P29)</f>
        <v>9915.4148221444193</v>
      </c>
      <c r="Q29" s="131">
        <f>IF(SER_hh_tes_in!Q29=0,0,11630*1000*SER_hh_tes_in!Q29/SER_hh_num_in!Q29)</f>
        <v>9667.8515496949767</v>
      </c>
      <c r="R29" s="131">
        <f>IF(SER_hh_tes_in!R29=0,0,11630*1000*SER_hh_tes_in!R29/SER_hh_num_in!R29)</f>
        <v>9477.7210530317752</v>
      </c>
      <c r="S29" s="131">
        <f>IF(SER_hh_tes_in!S29=0,0,11630*1000*SER_hh_tes_in!S29/SER_hh_num_in!S29)</f>
        <v>9693.2110029145133</v>
      </c>
      <c r="T29" s="131">
        <f>IF(SER_hh_tes_in!T29=0,0,11630*1000*SER_hh_tes_in!T29/SER_hh_num_in!T29)</f>
        <v>9776.2420049187913</v>
      </c>
      <c r="U29" s="131">
        <f>IF(SER_hh_tes_in!U29=0,0,11630*1000*SER_hh_tes_in!U29/SER_hh_num_in!U29)</f>
        <v>9282.2888928279408</v>
      </c>
      <c r="V29" s="131">
        <f>IF(SER_hh_tes_in!V29=0,0,11630*1000*SER_hh_tes_in!V29/SER_hh_num_in!V29)</f>
        <v>9543.2425299483712</v>
      </c>
      <c r="W29" s="131">
        <f>IF(SER_hh_tes_in!W29=0,0,11630*1000*SER_hh_tes_in!W29/SER_hh_num_in!W29)</f>
        <v>9656.3159031645209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6229.7462725166997</v>
      </c>
      <c r="D30" s="133">
        <f>IF(SER_hh_tes_in!D30=0,0,11630*1000*SER_hh_tes_in!D30/SER_hh_num_in!D30)</f>
        <v>8787.6251479204893</v>
      </c>
      <c r="E30" s="133">
        <f>IF(SER_hh_tes_in!E30=0,0,11630*1000*SER_hh_tes_in!E30/SER_hh_num_in!E30)</f>
        <v>8272.2359477549362</v>
      </c>
      <c r="F30" s="133">
        <f>IF(SER_hh_tes_in!F30=0,0,11630*1000*SER_hh_tes_in!F30/SER_hh_num_in!F30)</f>
        <v>8199.8826514959146</v>
      </c>
      <c r="G30" s="133">
        <f>IF(SER_hh_tes_in!G30=0,0,11630*1000*SER_hh_tes_in!G30/SER_hh_num_in!G30)</f>
        <v>10372.271653264306</v>
      </c>
      <c r="H30" s="133">
        <f>IF(SER_hh_tes_in!H30=0,0,11630*1000*SER_hh_tes_in!H30/SER_hh_num_in!H30)</f>
        <v>8736.761655010574</v>
      </c>
      <c r="I30" s="133">
        <f>IF(SER_hh_tes_in!I30=0,0,11630*1000*SER_hh_tes_in!I30/SER_hh_num_in!I30)</f>
        <v>8843.0284910572627</v>
      </c>
      <c r="J30" s="133">
        <f>IF(SER_hh_tes_in!J30=0,0,11630*1000*SER_hh_tes_in!J30/SER_hh_num_in!J30)</f>
        <v>10400.847823302041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6786.0149675664879</v>
      </c>
      <c r="O30" s="133">
        <f>IF(SER_hh_tes_in!O30=0,0,11630*1000*SER_hh_tes_in!O30/SER_hh_num_in!O30)</f>
        <v>6798.8811674957196</v>
      </c>
      <c r="P30" s="133">
        <f>IF(SER_hh_tes_in!P30=0,0,11630*1000*SER_hh_tes_in!P30/SER_hh_num_in!P30)</f>
        <v>10391.631882468801</v>
      </c>
      <c r="Q30" s="133">
        <f>IF(SER_hh_tes_in!Q30=0,0,11630*1000*SER_hh_tes_in!Q30/SER_hh_num_in!Q30)</f>
        <v>10198.26199901289</v>
      </c>
      <c r="R30" s="133">
        <f>IF(SER_hh_tes_in!R30=0,0,11630*1000*SER_hh_tes_in!R30/SER_hh_num_in!R30)</f>
        <v>9038.9014498036649</v>
      </c>
      <c r="S30" s="133">
        <f>IF(SER_hh_tes_in!S30=0,0,11630*1000*SER_hh_tes_in!S30/SER_hh_num_in!S30)</f>
        <v>8776.0727597620353</v>
      </c>
      <c r="T30" s="133">
        <f>IF(SER_hh_tes_in!T30=0,0,11630*1000*SER_hh_tes_in!T30/SER_hh_num_in!T30)</f>
        <v>11196.163881920806</v>
      </c>
      <c r="U30" s="133">
        <f>IF(SER_hh_tes_in!U30=0,0,11630*1000*SER_hh_tes_in!U30/SER_hh_num_in!U30)</f>
        <v>11143.841841345004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7863.2821134529395</v>
      </c>
      <c r="D31" s="133">
        <f>IF(SER_hh_tes_in!D31=0,0,11630*1000*SER_hh_tes_in!D31/SER_hh_num_in!D31)</f>
        <v>8450.9758254343596</v>
      </c>
      <c r="E31" s="133">
        <f>IF(SER_hh_tes_in!E31=0,0,11630*1000*SER_hh_tes_in!E31/SER_hh_num_in!E31)</f>
        <v>8392.1798173804582</v>
      </c>
      <c r="F31" s="133">
        <f>IF(SER_hh_tes_in!F31=0,0,11630*1000*SER_hh_tes_in!F31/SER_hh_num_in!F31)</f>
        <v>8906.4228634872525</v>
      </c>
      <c r="G31" s="133">
        <f>IF(SER_hh_tes_in!G31=0,0,11630*1000*SER_hh_tes_in!G31/SER_hh_num_in!G31)</f>
        <v>9070.0096596320127</v>
      </c>
      <c r="H31" s="133">
        <f>IF(SER_hh_tes_in!H31=0,0,11630*1000*SER_hh_tes_in!H31/SER_hh_num_in!H31)</f>
        <v>9100.3548532091681</v>
      </c>
      <c r="I31" s="133">
        <f>IF(SER_hh_tes_in!I31=0,0,11630*1000*SER_hh_tes_in!I31/SER_hh_num_in!I31)</f>
        <v>9020.4836918318579</v>
      </c>
      <c r="J31" s="133">
        <f>IF(SER_hh_tes_in!J31=0,0,11630*1000*SER_hh_tes_in!J31/SER_hh_num_in!J31)</f>
        <v>8702.7864002756996</v>
      </c>
      <c r="K31" s="133">
        <f>IF(SER_hh_tes_in!K31=0,0,11630*1000*SER_hh_tes_in!K31/SER_hh_num_in!K31)</f>
        <v>8795.6086050368194</v>
      </c>
      <c r="L31" s="133">
        <f>IF(SER_hh_tes_in!L31=0,0,11630*1000*SER_hh_tes_in!L31/SER_hh_num_in!L31)</f>
        <v>9791.49259242464</v>
      </c>
      <c r="M31" s="133">
        <f>IF(SER_hh_tes_in!M31=0,0,11630*1000*SER_hh_tes_in!M31/SER_hh_num_in!M31)</f>
        <v>9148.2164700886042</v>
      </c>
      <c r="N31" s="133">
        <f>IF(SER_hh_tes_in!N31=0,0,11630*1000*SER_hh_tes_in!N31/SER_hh_num_in!N31)</f>
        <v>8571.5837815836894</v>
      </c>
      <c r="O31" s="133">
        <f>IF(SER_hh_tes_in!O31=0,0,11630*1000*SER_hh_tes_in!O31/SER_hh_num_in!O31)</f>
        <v>9485.5051360167308</v>
      </c>
      <c r="P31" s="133">
        <f>IF(SER_hh_tes_in!P31=0,0,11630*1000*SER_hh_tes_in!P31/SER_hh_num_in!P31)</f>
        <v>8942.12609726339</v>
      </c>
      <c r="Q31" s="133">
        <f>IF(SER_hh_tes_in!Q31=0,0,11630*1000*SER_hh_tes_in!Q31/SER_hh_num_in!Q31)</f>
        <v>9463.7857519085701</v>
      </c>
      <c r="R31" s="133">
        <f>IF(SER_hh_tes_in!R31=0,0,11630*1000*SER_hh_tes_in!R31/SER_hh_num_in!R31)</f>
        <v>9622.0927485916945</v>
      </c>
      <c r="S31" s="133">
        <f>IF(SER_hh_tes_in!S31=0,0,11630*1000*SER_hh_tes_in!S31/SER_hh_num_in!S31)</f>
        <v>9639.255921909129</v>
      </c>
      <c r="T31" s="133">
        <f>IF(SER_hh_tes_in!T31=0,0,11630*1000*SER_hh_tes_in!T31/SER_hh_num_in!T31)</f>
        <v>9742.743299565931</v>
      </c>
      <c r="U31" s="133">
        <f>IF(SER_hh_tes_in!U31=0,0,11630*1000*SER_hh_tes_in!U31/SER_hh_num_in!U31)</f>
        <v>10131.958395770722</v>
      </c>
      <c r="V31" s="133">
        <f>IF(SER_hh_tes_in!V31=0,0,11630*1000*SER_hh_tes_in!V31/SER_hh_num_in!V31)</f>
        <v>9469.9827193291476</v>
      </c>
      <c r="W31" s="133">
        <f>IF(SER_hh_tes_in!W31=0,0,11630*1000*SER_hh_tes_in!W31/SER_hh_num_in!W31)</f>
        <v>8789.0233880787146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15851.140561794331</v>
      </c>
      <c r="O32" s="133">
        <f>IF(SER_hh_tes_in!O32=0,0,11630*1000*SER_hh_tes_in!O32/SER_hh_num_in!O32)</f>
        <v>8642.0132469721084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10157.415556749238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8246.0208691472308</v>
      </c>
      <c r="D33" s="68">
        <f>IF(SER_hh_tes_in!D33=0,0,11630*1000*SER_hh_tes_in!D33/SER_hh_num_in!D33)</f>
        <v>8421.5852944539365</v>
      </c>
      <c r="E33" s="68">
        <f>IF(SER_hh_tes_in!E33=0,0,11630*1000*SER_hh_tes_in!E33/SER_hh_num_in!E33)</f>
        <v>9006.6407029887814</v>
      </c>
      <c r="F33" s="68">
        <f>IF(SER_hh_tes_in!F33=0,0,11630*1000*SER_hh_tes_in!F33/SER_hh_num_in!F33)</f>
        <v>9186.9076162625788</v>
      </c>
      <c r="G33" s="68">
        <f>IF(SER_hh_tes_in!G33=0,0,11630*1000*SER_hh_tes_in!G33/SER_hh_num_in!G33)</f>
        <v>7948.3976729761571</v>
      </c>
      <c r="H33" s="68">
        <f>IF(SER_hh_tes_in!H33=0,0,11630*1000*SER_hh_tes_in!H33/SER_hh_num_in!H33)</f>
        <v>9214.1112334169047</v>
      </c>
      <c r="I33" s="68">
        <f>IF(SER_hh_tes_in!I33=0,0,11630*1000*SER_hh_tes_in!I33/SER_hh_num_in!I33)</f>
        <v>9117.9753259023273</v>
      </c>
      <c r="J33" s="68">
        <f>IF(SER_hh_tes_in!J33=0,0,11630*1000*SER_hh_tes_in!J33/SER_hh_num_in!J33)</f>
        <v>8650.2696614112101</v>
      </c>
      <c r="K33" s="68">
        <f>IF(SER_hh_tes_in!K33=0,0,11630*1000*SER_hh_tes_in!K33/SER_hh_num_in!K33)</f>
        <v>8280.5625574694532</v>
      </c>
      <c r="L33" s="68">
        <f>IF(SER_hh_tes_in!L33=0,0,11630*1000*SER_hh_tes_in!L33/SER_hh_num_in!L33)</f>
        <v>10169.413698112476</v>
      </c>
      <c r="M33" s="68">
        <f>IF(SER_hh_tes_in!M33=0,0,11630*1000*SER_hh_tes_in!M33/SER_hh_num_in!M33)</f>
        <v>9683.065152203777</v>
      </c>
      <c r="N33" s="68">
        <f>IF(SER_hh_tes_in!N33=0,0,11630*1000*SER_hh_tes_in!N33/SER_hh_num_in!N33)</f>
        <v>0</v>
      </c>
      <c r="O33" s="68">
        <f>IF(SER_hh_tes_in!O33=0,0,11630*1000*SER_hh_tes_in!O33/SER_hh_num_in!O33)</f>
        <v>8940.6931647951606</v>
      </c>
      <c r="P33" s="68">
        <f>IF(SER_hh_tes_in!P33=0,0,11630*1000*SER_hh_tes_in!P33/SER_hh_num_in!P33)</f>
        <v>8936.6839101892856</v>
      </c>
      <c r="Q33" s="68">
        <f>IF(SER_hh_tes_in!Q33=0,0,11630*1000*SER_hh_tes_in!Q33/SER_hh_num_in!Q33)</f>
        <v>8779.8426761352275</v>
      </c>
      <c r="R33" s="68">
        <f>IF(SER_hh_tes_in!R33=0,0,11630*1000*SER_hh_tes_in!R33/SER_hh_num_in!R33)</f>
        <v>9789.3407099072792</v>
      </c>
      <c r="S33" s="68">
        <f>IF(SER_hh_tes_in!S33=0,0,11630*1000*SER_hh_tes_in!S33/SER_hh_num_in!S33)</f>
        <v>10275.701982311492</v>
      </c>
      <c r="T33" s="68">
        <f>IF(SER_hh_tes_in!T33=0,0,11630*1000*SER_hh_tes_in!T33/SER_hh_num_in!T33)</f>
        <v>9070.9338222952501</v>
      </c>
      <c r="U33" s="68">
        <f>IF(SER_hh_tes_in!U33=0,0,11630*1000*SER_hh_tes_in!U33/SER_hh_num_in!U33)</f>
        <v>9030.750553129099</v>
      </c>
      <c r="V33" s="68">
        <f>IF(SER_hh_tes_in!V33=0,0,11630*1000*SER_hh_tes_in!V33/SER_hh_num_in!V33)</f>
        <v>9555.4898811009098</v>
      </c>
      <c r="W33" s="68">
        <f>IF(SER_hh_tes_in!W33=0,0,11630*1000*SER_hh_tes_in!W33/SER_hh_num_in!W33)</f>
        <v>9845.1462037513993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7333.2400436886428</v>
      </c>
      <c r="D3" s="126">
        <f>IF(SER_hh_emi_in!D3=0,0,1000000*SER_hh_emi_in!D3/SER_hh_num_in!D3)</f>
        <v>5834.2652283542739</v>
      </c>
      <c r="E3" s="126">
        <f>IF(SER_hh_emi_in!E3=0,0,1000000*SER_hh_emi_in!E3/SER_hh_num_in!E3)</f>
        <v>5233.6525493279214</v>
      </c>
      <c r="F3" s="126">
        <f>IF(SER_hh_emi_in!F3=0,0,1000000*SER_hh_emi_in!F3/SER_hh_num_in!F3)</f>
        <v>7167.1646622864619</v>
      </c>
      <c r="G3" s="126">
        <f>IF(SER_hh_emi_in!G3=0,0,1000000*SER_hh_emi_in!G3/SER_hh_num_in!G3)</f>
        <v>6125.1567663059068</v>
      </c>
      <c r="H3" s="126">
        <f>IF(SER_hh_emi_in!H3=0,0,1000000*SER_hh_emi_in!H3/SER_hh_num_in!H3)</f>
        <v>3614.2667253641075</v>
      </c>
      <c r="I3" s="126">
        <f>IF(SER_hh_emi_in!I3=0,0,1000000*SER_hh_emi_in!I3/SER_hh_num_in!I3)</f>
        <v>3942.1542975230523</v>
      </c>
      <c r="J3" s="126">
        <f>IF(SER_hh_emi_in!J3=0,0,1000000*SER_hh_emi_in!J3/SER_hh_num_in!J3)</f>
        <v>3414.9345132567851</v>
      </c>
      <c r="K3" s="126">
        <f>IF(SER_hh_emi_in!K3=0,0,1000000*SER_hh_emi_in!K3/SER_hh_num_in!K3)</f>
        <v>3616.060316433171</v>
      </c>
      <c r="L3" s="126">
        <f>IF(SER_hh_emi_in!L3=0,0,1000000*SER_hh_emi_in!L3/SER_hh_num_in!L3)</f>
        <v>2705.6797873590745</v>
      </c>
      <c r="M3" s="126">
        <f>IF(SER_hh_emi_in!M3=0,0,1000000*SER_hh_emi_in!M3/SER_hh_num_in!M3)</f>
        <v>3690.1373493408419</v>
      </c>
      <c r="N3" s="126">
        <f>IF(SER_hh_emi_in!N3=0,0,1000000*SER_hh_emi_in!N3/SER_hh_num_in!N3)</f>
        <v>2878.330350597108</v>
      </c>
      <c r="O3" s="126">
        <f>IF(SER_hh_emi_in!O3=0,0,1000000*SER_hh_emi_in!O3/SER_hh_num_in!O3)</f>
        <v>7055.021637834614</v>
      </c>
      <c r="P3" s="126">
        <f>IF(SER_hh_emi_in!P3=0,0,1000000*SER_hh_emi_in!P3/SER_hh_num_in!P3)</f>
        <v>4848.6013507862208</v>
      </c>
      <c r="Q3" s="126">
        <f>IF(SER_hh_emi_in!Q3=0,0,1000000*SER_hh_emi_in!Q3/SER_hh_num_in!Q3)</f>
        <v>6153.0842403217057</v>
      </c>
      <c r="R3" s="126">
        <f>IF(SER_hh_emi_in!R3=0,0,1000000*SER_hh_emi_in!R3/SER_hh_num_in!R3)</f>
        <v>6448.3587368956887</v>
      </c>
      <c r="S3" s="126">
        <f>IF(SER_hh_emi_in!S3=0,0,1000000*SER_hh_emi_in!S3/SER_hh_num_in!S3)</f>
        <v>6254.7809756930237</v>
      </c>
      <c r="T3" s="126">
        <f>IF(SER_hh_emi_in!T3=0,0,1000000*SER_hh_emi_in!T3/SER_hh_num_in!T3)</f>
        <v>4377.0590373174127</v>
      </c>
      <c r="U3" s="126">
        <f>IF(SER_hh_emi_in!U3=0,0,1000000*SER_hh_emi_in!U3/SER_hh_num_in!U3)</f>
        <v>3667.7008929419021</v>
      </c>
      <c r="V3" s="126">
        <f>IF(SER_hh_emi_in!V3=0,0,1000000*SER_hh_emi_in!V3/SER_hh_num_in!V3)</f>
        <v>1588.2573386532922</v>
      </c>
      <c r="W3" s="126">
        <f>IF(SER_hh_emi_in!W3=0,0,1000000*SER_hh_emi_in!W3/SER_hh_num_in!W3)</f>
        <v>2571.9734543685177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6213.2833600592066</v>
      </c>
      <c r="D4" s="131">
        <f>IF(SER_hh_emi_in!D4=0,0,1000000*SER_hh_emi_in!D4/SER_hh_num_in!D4)</f>
        <v>3233.960678247101</v>
      </c>
      <c r="E4" s="131">
        <f>IF(SER_hh_emi_in!E4=0,0,1000000*SER_hh_emi_in!E4/SER_hh_num_in!E4)</f>
        <v>2201.3171947917458</v>
      </c>
      <c r="F4" s="131">
        <f>IF(SER_hh_emi_in!F4=0,0,1000000*SER_hh_emi_in!F4/SER_hh_num_in!F4)</f>
        <v>3690.0295172707383</v>
      </c>
      <c r="G4" s="131">
        <f>IF(SER_hh_emi_in!G4=0,0,1000000*SER_hh_emi_in!G4/SER_hh_num_in!G4)</f>
        <v>1769.8776243484974</v>
      </c>
      <c r="H4" s="131">
        <f>IF(SER_hh_emi_in!H4=0,0,1000000*SER_hh_emi_in!H4/SER_hh_num_in!H4)</f>
        <v>872.94176370249033</v>
      </c>
      <c r="I4" s="131">
        <f>IF(SER_hh_emi_in!I4=0,0,1000000*SER_hh_emi_in!I4/SER_hh_num_in!I4)</f>
        <v>1208.6807903132142</v>
      </c>
      <c r="J4" s="131">
        <f>IF(SER_hh_emi_in!J4=0,0,1000000*SER_hh_emi_in!J4/SER_hh_num_in!J4)</f>
        <v>1585.2315742667656</v>
      </c>
      <c r="K4" s="131">
        <f>IF(SER_hh_emi_in!K4=0,0,1000000*SER_hh_emi_in!K4/SER_hh_num_in!K4)</f>
        <v>1896.6298588711907</v>
      </c>
      <c r="L4" s="131">
        <f>IF(SER_hh_emi_in!L4=0,0,1000000*SER_hh_emi_in!L4/SER_hh_num_in!L4)</f>
        <v>1004.1721929466644</v>
      </c>
      <c r="M4" s="131">
        <f>IF(SER_hh_emi_in!M4=0,0,1000000*SER_hh_emi_in!M4/SER_hh_num_in!M4)</f>
        <v>1340.424436966613</v>
      </c>
      <c r="N4" s="131">
        <f>IF(SER_hh_emi_in!N4=0,0,1000000*SER_hh_emi_in!N4/SER_hh_num_in!N4)</f>
        <v>645.94445664025</v>
      </c>
      <c r="O4" s="131">
        <f>IF(SER_hh_emi_in!O4=0,0,1000000*SER_hh_emi_in!O4/SER_hh_num_in!O4)</f>
        <v>2881.8121679329142</v>
      </c>
      <c r="P4" s="131">
        <f>IF(SER_hh_emi_in!P4=0,0,1000000*SER_hh_emi_in!P4/SER_hh_num_in!P4)</f>
        <v>14.114117983172591</v>
      </c>
      <c r="Q4" s="131">
        <f>IF(SER_hh_emi_in!Q4=0,0,1000000*SER_hh_emi_in!Q4/SER_hh_num_in!Q4)</f>
        <v>2046.0645139132619</v>
      </c>
      <c r="R4" s="131">
        <f>IF(SER_hh_emi_in!R4=0,0,1000000*SER_hh_emi_in!R4/SER_hh_num_in!R4)</f>
        <v>3219.6870962379994</v>
      </c>
      <c r="S4" s="131">
        <f>IF(SER_hh_emi_in!S4=0,0,1000000*SER_hh_emi_in!S4/SER_hh_num_in!S4)</f>
        <v>3288.0799451390531</v>
      </c>
      <c r="T4" s="131">
        <f>IF(SER_hh_emi_in!T4=0,0,1000000*SER_hh_emi_in!T4/SER_hh_num_in!T4)</f>
        <v>1131.9212902548495</v>
      </c>
      <c r="U4" s="131">
        <f>IF(SER_hh_emi_in!U4=0,0,1000000*SER_hh_emi_in!U4/SER_hh_num_in!U4)</f>
        <v>1618.1946911353332</v>
      </c>
      <c r="V4" s="131">
        <f>IF(SER_hh_emi_in!V4=0,0,1000000*SER_hh_emi_in!V4/SER_hh_num_in!V4)</f>
        <v>226.91968509940094</v>
      </c>
      <c r="W4" s="131">
        <f>IF(SER_hh_emi_in!W4=0,0,1000000*SER_hh_emi_in!W4/SER_hh_num_in!W4)</f>
        <v>883.88032436762524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8998.5574991490012</v>
      </c>
      <c r="D7" s="133">
        <f>IF(SER_hh_emi_in!D7=0,0,1000000*SER_hh_emi_in!D7/SER_hh_num_in!D7)</f>
        <v>9532.6861194492267</v>
      </c>
      <c r="E7" s="133">
        <f>IF(SER_hh_emi_in!E7=0,0,1000000*SER_hh_emi_in!E7/SER_hh_num_in!E7)</f>
        <v>10489.775337638521</v>
      </c>
      <c r="F7" s="133">
        <f>IF(SER_hh_emi_in!F7=0,0,1000000*SER_hh_emi_in!F7/SER_hh_num_in!F7)</f>
        <v>13822.241401787838</v>
      </c>
      <c r="G7" s="133">
        <f>IF(SER_hh_emi_in!G7=0,0,1000000*SER_hh_emi_in!G7/SER_hh_num_in!G7)</f>
        <v>16422.690601224578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0</v>
      </c>
      <c r="O7" s="133">
        <f>IF(SER_hh_emi_in!O7=0,0,1000000*SER_hh_emi_in!O7/SER_hh_num_in!O7)</f>
        <v>15214.214513390654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13545.577285781977</v>
      </c>
      <c r="S7" s="133">
        <f>IF(SER_hh_emi_in!S7=0,0,1000000*SER_hh_emi_in!S7/SER_hh_num_in!S7)</f>
        <v>13376.485704770963</v>
      </c>
      <c r="T7" s="133">
        <f>IF(SER_hh_emi_in!T7=0,0,1000000*SER_hh_emi_in!T7/SER_hh_num_in!T7)</f>
        <v>14416.800233163503</v>
      </c>
      <c r="U7" s="133">
        <f>IF(SER_hh_emi_in!U7=0,0,1000000*SER_hh_emi_in!U7/SER_hh_num_in!U7)</f>
        <v>14582.51244140772</v>
      </c>
      <c r="V7" s="133">
        <f>IF(SER_hh_emi_in!V7=0,0,1000000*SER_hh_emi_in!V7/SER_hh_num_in!V7)</f>
        <v>0</v>
      </c>
      <c r="W7" s="133">
        <f>IF(SER_hh_emi_in!W7=0,0,1000000*SER_hh_emi_in!W7/SER_hh_num_in!W7)</f>
        <v>10882.825591539018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2911.5211284266138</v>
      </c>
      <c r="D8" s="133">
        <f>IF(SER_hh_emi_in!D8=0,0,1000000*SER_hh_emi_in!D8/SER_hh_num_in!D8)</f>
        <v>3335.2768224602382</v>
      </c>
      <c r="E8" s="133">
        <f>IF(SER_hh_emi_in!E8=0,0,1000000*SER_hh_emi_in!E8/SER_hh_num_in!E8)</f>
        <v>3709.8738370805204</v>
      </c>
      <c r="F8" s="133">
        <f>IF(SER_hh_emi_in!F8=0,0,1000000*SER_hh_emi_in!F8/SER_hh_num_in!F8)</f>
        <v>3839.830979033512</v>
      </c>
      <c r="G8" s="133">
        <f>IF(SER_hh_emi_in!G8=0,0,1000000*SER_hh_emi_in!G8/SER_hh_num_in!G8)</f>
        <v>3781.0089887663939</v>
      </c>
      <c r="H8" s="133">
        <f>IF(SER_hh_emi_in!H8=0,0,1000000*SER_hh_emi_in!H8/SER_hh_num_in!H8)</f>
        <v>4063.6501350473709</v>
      </c>
      <c r="I8" s="133">
        <f>IF(SER_hh_emi_in!I8=0,0,1000000*SER_hh_emi_in!I8/SER_hh_num_in!I8)</f>
        <v>4071.5212661692726</v>
      </c>
      <c r="J8" s="133">
        <f>IF(SER_hh_emi_in!J8=0,0,1000000*SER_hh_emi_in!J8/SER_hh_num_in!J8)</f>
        <v>4141.5830343534308</v>
      </c>
      <c r="K8" s="133">
        <f>IF(SER_hh_emi_in!K8=0,0,1000000*SER_hh_emi_in!K8/SER_hh_num_in!K8)</f>
        <v>3754.0525598993781</v>
      </c>
      <c r="L8" s="133">
        <f>IF(SER_hh_emi_in!L8=0,0,1000000*SER_hh_emi_in!L8/SER_hh_num_in!L8)</f>
        <v>3641.2159743057141</v>
      </c>
      <c r="M8" s="133">
        <f>IF(SER_hh_emi_in!M8=0,0,1000000*SER_hh_emi_in!M8/SER_hh_num_in!M8)</f>
        <v>3685.4943026419073</v>
      </c>
      <c r="N8" s="133">
        <f>IF(SER_hh_emi_in!N8=0,0,1000000*SER_hh_emi_in!N8/SER_hh_num_in!N8)</f>
        <v>3534.5037466826507</v>
      </c>
      <c r="O8" s="133">
        <f>IF(SER_hh_emi_in!O8=0,0,1000000*SER_hh_emi_in!O8/SER_hh_num_in!O8)</f>
        <v>3529.0780141318046</v>
      </c>
      <c r="P8" s="133">
        <f>IF(SER_hh_emi_in!P8=0,0,1000000*SER_hh_emi_in!P8/SER_hh_num_in!P8)</f>
        <v>3617.3897453555355</v>
      </c>
      <c r="Q8" s="133">
        <f>IF(SER_hh_emi_in!Q8=0,0,1000000*SER_hh_emi_in!Q8/SER_hh_num_in!Q8)</f>
        <v>3561.6250613557295</v>
      </c>
      <c r="R8" s="133">
        <f>IF(SER_hh_emi_in!R8=0,0,1000000*SER_hh_emi_in!R8/SER_hh_num_in!R8)</f>
        <v>3278.4144564450235</v>
      </c>
      <c r="S8" s="133">
        <f>IF(SER_hh_emi_in!S8=0,0,1000000*SER_hh_emi_in!S8/SER_hh_num_in!S8)</f>
        <v>3100.1509547631895</v>
      </c>
      <c r="T8" s="133">
        <f>IF(SER_hh_emi_in!T8=0,0,1000000*SER_hh_emi_in!T8/SER_hh_num_in!T8)</f>
        <v>3049.3549065624306</v>
      </c>
      <c r="U8" s="133">
        <f>IF(SER_hh_emi_in!U8=0,0,1000000*SER_hh_emi_in!U8/SER_hh_num_in!U8)</f>
        <v>3018.0419982643034</v>
      </c>
      <c r="V8" s="133">
        <f>IF(SER_hh_emi_in!V8=0,0,1000000*SER_hh_emi_in!V8/SER_hh_num_in!V8)</f>
        <v>2803.4383315223827</v>
      </c>
      <c r="W8" s="133">
        <f>IF(SER_hh_emi_in!W8=0,0,1000000*SER_hh_emi_in!W8/SER_hh_num_in!W8)</f>
        <v>2862.9923954980532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5599.5702076968555</v>
      </c>
      <c r="D9" s="133">
        <f>IF(SER_hh_emi_in!D9=0,0,1000000*SER_hh_emi_in!D9/SER_hh_num_in!D9)</f>
        <v>6980.378006111031</v>
      </c>
      <c r="E9" s="133">
        <f>IF(SER_hh_emi_in!E9=0,0,1000000*SER_hh_emi_in!E9/SER_hh_num_in!E9)</f>
        <v>7402.7447510038628</v>
      </c>
      <c r="F9" s="133">
        <f>IF(SER_hh_emi_in!F9=0,0,1000000*SER_hh_emi_in!F9/SER_hh_num_in!F9)</f>
        <v>9254.6477984006651</v>
      </c>
      <c r="G9" s="133">
        <f>IF(SER_hh_emi_in!G9=0,0,1000000*SER_hh_emi_in!G9/SER_hh_num_in!G9)</f>
        <v>0</v>
      </c>
      <c r="H9" s="133">
        <f>IF(SER_hh_emi_in!H9=0,0,1000000*SER_hh_emi_in!H9/SER_hh_num_in!H9)</f>
        <v>10407.321390681522</v>
      </c>
      <c r="I9" s="133">
        <f>IF(SER_hh_emi_in!I9=0,0,1000000*SER_hh_emi_in!I9/SER_hh_num_in!I9)</f>
        <v>10811.361809432618</v>
      </c>
      <c r="J9" s="133">
        <f>IF(SER_hh_emi_in!J9=0,0,1000000*SER_hh_emi_in!J9/SER_hh_num_in!J9)</f>
        <v>10867.85809644401</v>
      </c>
      <c r="K9" s="133">
        <f>IF(SER_hh_emi_in!K9=0,0,1000000*SER_hh_emi_in!K9/SER_hh_num_in!K9)</f>
        <v>11650.495096446068</v>
      </c>
      <c r="L9" s="133">
        <f>IF(SER_hh_emi_in!L9=0,0,1000000*SER_hh_emi_in!L9/SER_hh_num_in!L9)</f>
        <v>10126.154165119333</v>
      </c>
      <c r="M9" s="133">
        <f>IF(SER_hh_emi_in!M9=0,0,1000000*SER_hh_emi_in!M9/SER_hh_num_in!M9)</f>
        <v>11241.639400579807</v>
      </c>
      <c r="N9" s="133">
        <f>IF(SER_hh_emi_in!N9=0,0,1000000*SER_hh_emi_in!N9/SER_hh_num_in!N9)</f>
        <v>11340.45109167705</v>
      </c>
      <c r="O9" s="133">
        <f>IF(SER_hh_emi_in!O9=0,0,1000000*SER_hh_emi_in!O9/SER_hh_num_in!O9)</f>
        <v>10876.442523561516</v>
      </c>
      <c r="P9" s="133">
        <f>IF(SER_hh_emi_in!P9=0,0,1000000*SER_hh_emi_in!P9/SER_hh_num_in!P9)</f>
        <v>0</v>
      </c>
      <c r="Q9" s="133">
        <f>IF(SER_hh_emi_in!Q9=0,0,1000000*SER_hh_emi_in!Q9/SER_hh_num_in!Q9)</f>
        <v>11212.647432815675</v>
      </c>
      <c r="R9" s="133">
        <f>IF(SER_hh_emi_in!R9=0,0,1000000*SER_hh_emi_in!R9/SER_hh_num_in!R9)</f>
        <v>11387.126451474945</v>
      </c>
      <c r="S9" s="133">
        <f>IF(SER_hh_emi_in!S9=0,0,1000000*SER_hh_emi_in!S9/SER_hh_num_in!S9)</f>
        <v>10954.833746455099</v>
      </c>
      <c r="T9" s="133">
        <f>IF(SER_hh_emi_in!T9=0,0,1000000*SER_hh_emi_in!T9/SER_hh_num_in!T9)</f>
        <v>11490.639997648044</v>
      </c>
      <c r="U9" s="133">
        <f>IF(SER_hh_emi_in!U9=0,0,1000000*SER_hh_emi_in!U9/SER_hh_num_in!U9)</f>
        <v>0</v>
      </c>
      <c r="V9" s="133">
        <f>IF(SER_hh_emi_in!V9=0,0,1000000*SER_hh_emi_in!V9/SER_hh_num_in!V9)</f>
        <v>7987.7917801118974</v>
      </c>
      <c r="W9" s="133">
        <f>IF(SER_hh_emi_in!W9=0,0,1000000*SER_hh_emi_in!W9/SER_hh_num_in!W9)</f>
        <v>11013.532808701362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8.4643816526294771</v>
      </c>
      <c r="D16" s="131">
        <f>IF(SER_hh_emi_in!D16=0,0,1000000*SER_hh_emi_in!D16/SER_hh_num_in!D16)</f>
        <v>3.677465596411464</v>
      </c>
      <c r="E16" s="131">
        <f>IF(SER_hh_emi_in!E16=0,0,1000000*SER_hh_emi_in!E16/SER_hh_num_in!E16)</f>
        <v>5.1398482689200566</v>
      </c>
      <c r="F16" s="131">
        <f>IF(SER_hh_emi_in!F16=0,0,1000000*SER_hh_emi_in!F16/SER_hh_num_in!F16)</f>
        <v>19.575287049509789</v>
      </c>
      <c r="G16" s="131">
        <f>IF(SER_hh_emi_in!G16=0,0,1000000*SER_hh_emi_in!G16/SER_hh_num_in!G16)</f>
        <v>10.941366950750069</v>
      </c>
      <c r="H16" s="131">
        <f>IF(SER_hh_emi_in!H16=0,0,1000000*SER_hh_emi_in!H16/SER_hh_num_in!H16)</f>
        <v>15.111727412264953</v>
      </c>
      <c r="I16" s="131">
        <f>IF(SER_hh_emi_in!I16=0,0,1000000*SER_hh_emi_in!I16/SER_hh_num_in!I16)</f>
        <v>18.648287238192093</v>
      </c>
      <c r="J16" s="131">
        <f>IF(SER_hh_emi_in!J16=0,0,1000000*SER_hh_emi_in!J16/SER_hh_num_in!J16)</f>
        <v>15.927439927083865</v>
      </c>
      <c r="K16" s="131">
        <f>IF(SER_hh_emi_in!K16=0,0,1000000*SER_hh_emi_in!K16/SER_hh_num_in!K16)</f>
        <v>35.978575423654462</v>
      </c>
      <c r="L16" s="131">
        <f>IF(SER_hh_emi_in!L16=0,0,1000000*SER_hh_emi_in!L16/SER_hh_num_in!L16)</f>
        <v>19.506572333817147</v>
      </c>
      <c r="M16" s="131">
        <f>IF(SER_hh_emi_in!M16=0,0,1000000*SER_hh_emi_in!M16/SER_hh_num_in!M16)</f>
        <v>25.956439435701611</v>
      </c>
      <c r="N16" s="131">
        <f>IF(SER_hh_emi_in!N16=0,0,1000000*SER_hh_emi_in!N16/SER_hh_num_in!N16)</f>
        <v>18.783532038030184</v>
      </c>
      <c r="O16" s="131">
        <f>IF(SER_hh_emi_in!O16=0,0,1000000*SER_hh_emi_in!O16/SER_hh_num_in!O16)</f>
        <v>42.300875608632431</v>
      </c>
      <c r="P16" s="131">
        <f>IF(SER_hh_emi_in!P16=0,0,1000000*SER_hh_emi_in!P16/SER_hh_num_in!P16)</f>
        <v>28.576208259724318</v>
      </c>
      <c r="Q16" s="131">
        <f>IF(SER_hh_emi_in!Q16=0,0,1000000*SER_hh_emi_in!Q16/SER_hh_num_in!Q16)</f>
        <v>42.810654618137882</v>
      </c>
      <c r="R16" s="131">
        <f>IF(SER_hh_emi_in!R16=0,0,1000000*SER_hh_emi_in!R16/SER_hh_num_in!R16)</f>
        <v>81.336960887726718</v>
      </c>
      <c r="S16" s="131">
        <f>IF(SER_hh_emi_in!S16=0,0,1000000*SER_hh_emi_in!S16/SER_hh_num_in!S16)</f>
        <v>62.884546572665322</v>
      </c>
      <c r="T16" s="131">
        <f>IF(SER_hh_emi_in!T16=0,0,1000000*SER_hh_emi_in!T16/SER_hh_num_in!T16)</f>
        <v>57.701022012701429</v>
      </c>
      <c r="U16" s="131">
        <f>IF(SER_hh_emi_in!U16=0,0,1000000*SER_hh_emi_in!U16/SER_hh_num_in!U16)</f>
        <v>53.775213180106832</v>
      </c>
      <c r="V16" s="131">
        <f>IF(SER_hh_emi_in!V16=0,0,1000000*SER_hh_emi_in!V16/SER_hh_num_in!V16)</f>
        <v>59.96455035987649</v>
      </c>
      <c r="W16" s="131">
        <f>IF(SER_hh_emi_in!W16=0,0,1000000*SER_hh_emi_in!W16/SER_hh_num_in!W16)</f>
        <v>28.367987317618258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3643.9249410731386</v>
      </c>
      <c r="D17" s="133">
        <f>IF(SER_hh_emi_in!D17=0,0,1000000*SER_hh_emi_in!D17/SER_hh_num_in!D17)</f>
        <v>3244.5598057117068</v>
      </c>
      <c r="E17" s="133">
        <f>IF(SER_hh_emi_in!E17=0,0,1000000*SER_hh_emi_in!E17/SER_hh_num_in!E17)</f>
        <v>4579.650557494133</v>
      </c>
      <c r="F17" s="133">
        <f>IF(SER_hh_emi_in!F17=0,0,1000000*SER_hh_emi_in!F17/SER_hh_num_in!F17)</f>
        <v>3800.8028929876295</v>
      </c>
      <c r="G17" s="133">
        <f>IF(SER_hh_emi_in!G17=0,0,1000000*SER_hh_emi_in!G17/SER_hh_num_in!G17)</f>
        <v>4166.2209249761618</v>
      </c>
      <c r="H17" s="133">
        <f>IF(SER_hh_emi_in!H17=0,0,1000000*SER_hh_emi_in!H17/SER_hh_num_in!H17)</f>
        <v>5012.939166975194</v>
      </c>
      <c r="I17" s="133">
        <f>IF(SER_hh_emi_in!I17=0,0,1000000*SER_hh_emi_in!I17/SER_hh_num_in!I17)</f>
        <v>3242.1775771630246</v>
      </c>
      <c r="J17" s="133">
        <f>IF(SER_hh_emi_in!J17=0,0,1000000*SER_hh_emi_in!J17/SER_hh_num_in!J17)</f>
        <v>3136.9527606039405</v>
      </c>
      <c r="K17" s="133">
        <f>IF(SER_hh_emi_in!K17=0,0,1000000*SER_hh_emi_in!K17/SER_hh_num_in!K17)</f>
        <v>3790.9975759701833</v>
      </c>
      <c r="L17" s="133">
        <f>IF(SER_hh_emi_in!L17=0,0,1000000*SER_hh_emi_in!L17/SER_hh_num_in!L17)</f>
        <v>5156.6561272274221</v>
      </c>
      <c r="M17" s="133">
        <f>IF(SER_hh_emi_in!M17=0,0,1000000*SER_hh_emi_in!M17/SER_hh_num_in!M17)</f>
        <v>3348.1268240589347</v>
      </c>
      <c r="N17" s="133">
        <f>IF(SER_hh_emi_in!N17=0,0,1000000*SER_hh_emi_in!N17/SER_hh_num_in!N17)</f>
        <v>3449.9566187783253</v>
      </c>
      <c r="O17" s="133">
        <f>IF(SER_hh_emi_in!O17=0,0,1000000*SER_hh_emi_in!O17/SER_hh_num_in!O17)</f>
        <v>4356.0110791615216</v>
      </c>
      <c r="P17" s="133">
        <f>IF(SER_hh_emi_in!P17=0,0,1000000*SER_hh_emi_in!P17/SER_hh_num_in!P17)</f>
        <v>2840.4694649973449</v>
      </c>
      <c r="Q17" s="133">
        <f>IF(SER_hh_emi_in!Q17=0,0,1000000*SER_hh_emi_in!Q17/SER_hh_num_in!Q17)</f>
        <v>3223.9701772359563</v>
      </c>
      <c r="R17" s="133">
        <f>IF(SER_hh_emi_in!R17=0,0,1000000*SER_hh_emi_in!R17/SER_hh_num_in!R17)</f>
        <v>4683.9283610946513</v>
      </c>
      <c r="S17" s="133">
        <f>IF(SER_hh_emi_in!S17=0,0,1000000*SER_hh_emi_in!S17/SER_hh_num_in!S17)</f>
        <v>4317.8940863859616</v>
      </c>
      <c r="T17" s="133">
        <f>IF(SER_hh_emi_in!T17=0,0,1000000*SER_hh_emi_in!T17/SER_hh_num_in!T17)</f>
        <v>3543.2049877117729</v>
      </c>
      <c r="U17" s="133">
        <f>IF(SER_hh_emi_in!U17=0,0,1000000*SER_hh_emi_in!U17/SER_hh_num_in!U17)</f>
        <v>2709.6403109664207</v>
      </c>
      <c r="V17" s="133">
        <f>IF(SER_hh_emi_in!V17=0,0,1000000*SER_hh_emi_in!V17/SER_hh_num_in!V17)</f>
        <v>3594.9331216110509</v>
      </c>
      <c r="W17" s="133">
        <f>IF(SER_hh_emi_in!W17=0,0,1000000*SER_hh_emi_in!W17/SER_hh_num_in!W17)</f>
        <v>2249.6762361657352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580.71965951676498</v>
      </c>
      <c r="D19" s="131">
        <f>IF(SER_hh_emi_in!D19=0,0,1000000*SER_hh_emi_in!D19/SER_hh_num_in!D19)</f>
        <v>536.83285655445127</v>
      </c>
      <c r="E19" s="131">
        <f>IF(SER_hh_emi_in!E19=0,0,1000000*SER_hh_emi_in!E19/SER_hh_num_in!E19)</f>
        <v>814.76482672938323</v>
      </c>
      <c r="F19" s="131">
        <f>IF(SER_hh_emi_in!F19=0,0,1000000*SER_hh_emi_in!F19/SER_hh_num_in!F19)</f>
        <v>935.9869070770352</v>
      </c>
      <c r="G19" s="131">
        <f>IF(SER_hh_emi_in!G19=0,0,1000000*SER_hh_emi_in!G19/SER_hh_num_in!G19)</f>
        <v>1080.3338324809222</v>
      </c>
      <c r="H19" s="131">
        <f>IF(SER_hh_emi_in!H19=0,0,1000000*SER_hh_emi_in!H19/SER_hh_num_in!H19)</f>
        <v>1191.8444670031881</v>
      </c>
      <c r="I19" s="131">
        <f>IF(SER_hh_emi_in!I19=0,0,1000000*SER_hh_emi_in!I19/SER_hh_num_in!I19)</f>
        <v>1190.8402768766884</v>
      </c>
      <c r="J19" s="131">
        <f>IF(SER_hh_emi_in!J19=0,0,1000000*SER_hh_emi_in!J19/SER_hh_num_in!J19)</f>
        <v>982.70579966894468</v>
      </c>
      <c r="K19" s="131">
        <f>IF(SER_hh_emi_in!K19=0,0,1000000*SER_hh_emi_in!K19/SER_hh_num_in!K19)</f>
        <v>1197.961290663349</v>
      </c>
      <c r="L19" s="131">
        <f>IF(SER_hh_emi_in!L19=0,0,1000000*SER_hh_emi_in!L19/SER_hh_num_in!L19)</f>
        <v>1176.8299991637878</v>
      </c>
      <c r="M19" s="131">
        <f>IF(SER_hh_emi_in!M19=0,0,1000000*SER_hh_emi_in!M19/SER_hh_num_in!M19)</f>
        <v>1427.5850241540875</v>
      </c>
      <c r="N19" s="131">
        <f>IF(SER_hh_emi_in!N19=0,0,1000000*SER_hh_emi_in!N19/SER_hh_num_in!N19)</f>
        <v>1515.177232048173</v>
      </c>
      <c r="O19" s="131">
        <f>IF(SER_hh_emi_in!O19=0,0,1000000*SER_hh_emi_in!O19/SER_hh_num_in!O19)</f>
        <v>1415.2312616938295</v>
      </c>
      <c r="P19" s="131">
        <f>IF(SER_hh_emi_in!P19=0,0,1000000*SER_hh_emi_in!P19/SER_hh_num_in!P19)</f>
        <v>970.88294483323796</v>
      </c>
      <c r="Q19" s="131">
        <f>IF(SER_hh_emi_in!Q19=0,0,1000000*SER_hh_emi_in!Q19/SER_hh_num_in!Q19)</f>
        <v>1021.1187614953167</v>
      </c>
      <c r="R19" s="131">
        <f>IF(SER_hh_emi_in!R19=0,0,1000000*SER_hh_emi_in!R19/SER_hh_num_in!R19)</f>
        <v>1096.3207458236143</v>
      </c>
      <c r="S19" s="131">
        <f>IF(SER_hh_emi_in!S19=0,0,1000000*SER_hh_emi_in!S19/SER_hh_num_in!S19)</f>
        <v>1138.6335846274967</v>
      </c>
      <c r="T19" s="131">
        <f>IF(SER_hh_emi_in!T19=0,0,1000000*SER_hh_emi_in!T19/SER_hh_num_in!T19)</f>
        <v>1289.8015413413029</v>
      </c>
      <c r="U19" s="131">
        <f>IF(SER_hh_emi_in!U19=0,0,1000000*SER_hh_emi_in!U19/SER_hh_num_in!U19)</f>
        <v>1217.9087134632741</v>
      </c>
      <c r="V19" s="131">
        <f>IF(SER_hh_emi_in!V19=0,0,1000000*SER_hh_emi_in!V19/SER_hh_num_in!V19)</f>
        <v>819.16035876374713</v>
      </c>
      <c r="W19" s="131">
        <f>IF(SER_hh_emi_in!W19=0,0,1000000*SER_hh_emi_in!W19/SER_hh_num_in!W19)</f>
        <v>1089.9062193896639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3458.9939766972125</v>
      </c>
      <c r="D21" s="133">
        <f>IF(SER_hh_emi_in!D21=0,0,1000000*SER_hh_emi_in!D21/SER_hh_num_in!D21)</f>
        <v>3471.9597787258867</v>
      </c>
      <c r="E21" s="133">
        <f>IF(SER_hh_emi_in!E21=0,0,1000000*SER_hh_emi_in!E21/SER_hh_num_in!E21)</f>
        <v>3469.375283039089</v>
      </c>
      <c r="F21" s="133">
        <f>IF(SER_hh_emi_in!F21=0,0,1000000*SER_hh_emi_in!F21/SER_hh_num_in!F21)</f>
        <v>3431.9626859928439</v>
      </c>
      <c r="G21" s="133">
        <f>IF(SER_hh_emi_in!G21=0,0,1000000*SER_hh_emi_in!G21/SER_hh_num_in!G21)</f>
        <v>3194.9526439163174</v>
      </c>
      <c r="H21" s="133">
        <f>IF(SER_hh_emi_in!H21=0,0,1000000*SER_hh_emi_in!H21/SER_hh_num_in!H21)</f>
        <v>3292.7690851585262</v>
      </c>
      <c r="I21" s="133">
        <f>IF(SER_hh_emi_in!I21=0,0,1000000*SER_hh_emi_in!I21/SER_hh_num_in!I21)</f>
        <v>3238.2444210215631</v>
      </c>
      <c r="J21" s="133">
        <f>IF(SER_hh_emi_in!J21=0,0,1000000*SER_hh_emi_in!J21/SER_hh_num_in!J21)</f>
        <v>2584.8472675078692</v>
      </c>
      <c r="K21" s="133">
        <f>IF(SER_hh_emi_in!K21=0,0,1000000*SER_hh_emi_in!K21/SER_hh_num_in!K21)</f>
        <v>3102.0775274004222</v>
      </c>
      <c r="L21" s="133">
        <f>IF(SER_hh_emi_in!L21=0,0,1000000*SER_hh_emi_in!L21/SER_hh_num_in!L21)</f>
        <v>2630.0031630519566</v>
      </c>
      <c r="M21" s="133">
        <f>IF(SER_hh_emi_in!M21=0,0,1000000*SER_hh_emi_in!M21/SER_hh_num_in!M21)</f>
        <v>3074.7150146783765</v>
      </c>
      <c r="N21" s="133">
        <f>IF(SER_hh_emi_in!N21=0,0,1000000*SER_hh_emi_in!N21/SER_hh_num_in!N21)</f>
        <v>2988.7552908771804</v>
      </c>
      <c r="O21" s="133">
        <f>IF(SER_hh_emi_in!O21=0,0,1000000*SER_hh_emi_in!O21/SER_hh_num_in!O21)</f>
        <v>3011.6355638406926</v>
      </c>
      <c r="P21" s="133">
        <f>IF(SER_hh_emi_in!P21=0,0,1000000*SER_hh_emi_in!P21/SER_hh_num_in!P21)</f>
        <v>2780.4739033220553</v>
      </c>
      <c r="Q21" s="133">
        <f>IF(SER_hh_emi_in!Q21=0,0,1000000*SER_hh_emi_in!Q21/SER_hh_num_in!Q21)</f>
        <v>2771.4843547460982</v>
      </c>
      <c r="R21" s="133">
        <f>IF(SER_hh_emi_in!R21=0,0,1000000*SER_hh_emi_in!R21/SER_hh_num_in!R21)</f>
        <v>2598.518131117366</v>
      </c>
      <c r="S21" s="133">
        <f>IF(SER_hh_emi_in!S21=0,0,1000000*SER_hh_emi_in!S21/SER_hh_num_in!S21)</f>
        <v>2543.8434632219951</v>
      </c>
      <c r="T21" s="133">
        <f>IF(SER_hh_emi_in!T21=0,0,1000000*SER_hh_emi_in!T21/SER_hh_num_in!T21)</f>
        <v>2495.5579188483562</v>
      </c>
      <c r="U21" s="133">
        <f>IF(SER_hh_emi_in!U21=0,0,1000000*SER_hh_emi_in!U21/SER_hh_num_in!U21)</f>
        <v>2365.0459747159398</v>
      </c>
      <c r="V21" s="133">
        <f>IF(SER_hh_emi_in!V21=0,0,1000000*SER_hh_emi_in!V21/SER_hh_num_in!V21)</f>
        <v>1574.5822019562765</v>
      </c>
      <c r="W21" s="133">
        <f>IF(SER_hh_emi_in!W21=0,0,1000000*SER_hh_emi_in!W21/SER_hh_num_in!W21)</f>
        <v>2387.7628012836735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4359.4897602083329</v>
      </c>
      <c r="D22" s="133">
        <f>IF(SER_hh_emi_in!D22=0,0,1000000*SER_hh_emi_in!D22/SER_hh_num_in!D22)</f>
        <v>4322.9609176301346</v>
      </c>
      <c r="E22" s="133">
        <f>IF(SER_hh_emi_in!E22=0,0,1000000*SER_hh_emi_in!E22/SER_hh_num_in!E22)</f>
        <v>4339.3423733510999</v>
      </c>
      <c r="F22" s="133">
        <f>IF(SER_hh_emi_in!F22=0,0,1000000*SER_hh_emi_in!F22/SER_hh_num_in!F22)</f>
        <v>4366.3233389719453</v>
      </c>
      <c r="G22" s="133">
        <f>IF(SER_hh_emi_in!G22=0,0,1000000*SER_hh_emi_in!G22/SER_hh_num_in!G22)</f>
        <v>4006.285501974231</v>
      </c>
      <c r="H22" s="133">
        <f>IF(SER_hh_emi_in!H22=0,0,1000000*SER_hh_emi_in!H22/SER_hh_num_in!H22)</f>
        <v>4157.5245456437242</v>
      </c>
      <c r="I22" s="133">
        <f>IF(SER_hh_emi_in!I22=0,0,1000000*SER_hh_emi_in!I22/SER_hh_num_in!I22)</f>
        <v>4000.7821861690841</v>
      </c>
      <c r="J22" s="133">
        <f>IF(SER_hh_emi_in!J22=0,0,1000000*SER_hh_emi_in!J22/SER_hh_num_in!J22)</f>
        <v>3069.0577873338693</v>
      </c>
      <c r="K22" s="133">
        <f>IF(SER_hh_emi_in!K22=0,0,1000000*SER_hh_emi_in!K22/SER_hh_num_in!K22)</f>
        <v>3687.8521084474796</v>
      </c>
      <c r="L22" s="133">
        <f>IF(SER_hh_emi_in!L22=0,0,1000000*SER_hh_emi_in!L22/SER_hh_num_in!L22)</f>
        <v>3264.9474826641544</v>
      </c>
      <c r="M22" s="133">
        <f>IF(SER_hh_emi_in!M22=0,0,1000000*SER_hh_emi_in!M22/SER_hh_num_in!M22)</f>
        <v>3807.9798850670759</v>
      </c>
      <c r="N22" s="133">
        <f>IF(SER_hh_emi_in!N22=0,0,1000000*SER_hh_emi_in!N22/SER_hh_num_in!N22)</f>
        <v>3689.4745244021656</v>
      </c>
      <c r="O22" s="133">
        <f>IF(SER_hh_emi_in!O22=0,0,1000000*SER_hh_emi_in!O22/SER_hh_num_in!O22)</f>
        <v>3698.0729252360879</v>
      </c>
      <c r="P22" s="133">
        <f>IF(SER_hh_emi_in!P22=0,0,1000000*SER_hh_emi_in!P22/SER_hh_num_in!P22)</f>
        <v>3388.402001632187</v>
      </c>
      <c r="Q22" s="133">
        <f>IF(SER_hh_emi_in!Q22=0,0,1000000*SER_hh_emi_in!Q22/SER_hh_num_in!Q22)</f>
        <v>3326.7386832909488</v>
      </c>
      <c r="R22" s="133">
        <f>IF(SER_hh_emi_in!R22=0,0,1000000*SER_hh_emi_in!R22/SER_hh_num_in!R22)</f>
        <v>3071.2399599818623</v>
      </c>
      <c r="S22" s="133">
        <f>IF(SER_hh_emi_in!S22=0,0,1000000*SER_hh_emi_in!S22/SER_hh_num_in!S22)</f>
        <v>3047.5395669175364</v>
      </c>
      <c r="T22" s="133">
        <f>IF(SER_hh_emi_in!T22=0,0,1000000*SER_hh_emi_in!T22/SER_hh_num_in!T22)</f>
        <v>3010.9334577151144</v>
      </c>
      <c r="U22" s="133">
        <f>IF(SER_hh_emi_in!U22=0,0,1000000*SER_hh_emi_in!U22/SER_hh_num_in!U22)</f>
        <v>2793.8776890980757</v>
      </c>
      <c r="V22" s="133">
        <f>IF(SER_hh_emi_in!V22=0,0,1000000*SER_hh_emi_in!V22/SER_hh_num_in!V22)</f>
        <v>1808.8774647906821</v>
      </c>
      <c r="W22" s="133">
        <f>IF(SER_hh_emi_in!W22=0,0,1000000*SER_hh_emi_in!W22/SER_hh_num_in!W22)</f>
        <v>2946.2872629835238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2951.6982561464561</v>
      </c>
      <c r="D23" s="133">
        <f>IF(SER_hh_emi_in!D23=0,0,1000000*SER_hh_emi_in!D23/SER_hh_num_in!D23)</f>
        <v>2952.1128470248414</v>
      </c>
      <c r="E23" s="133">
        <f>IF(SER_hh_emi_in!E23=0,0,1000000*SER_hh_emi_in!E23/SER_hh_num_in!E23)</f>
        <v>2852.5851976379117</v>
      </c>
      <c r="F23" s="133">
        <f>IF(SER_hh_emi_in!F23=0,0,1000000*SER_hh_emi_in!F23/SER_hh_num_in!F23)</f>
        <v>2827.6065721723598</v>
      </c>
      <c r="G23" s="133">
        <f>IF(SER_hh_emi_in!G23=0,0,1000000*SER_hh_emi_in!G23/SER_hh_num_in!G23)</f>
        <v>2709.1919547897373</v>
      </c>
      <c r="H23" s="133">
        <f>IF(SER_hh_emi_in!H23=0,0,1000000*SER_hh_emi_in!H23/SER_hh_num_in!H23)</f>
        <v>2741.4987379612253</v>
      </c>
      <c r="I23" s="133">
        <f>IF(SER_hh_emi_in!I23=0,0,1000000*SER_hh_emi_in!I23/SER_hh_num_in!I23)</f>
        <v>2731.1497558864135</v>
      </c>
      <c r="J23" s="133">
        <f>IF(SER_hh_emi_in!J23=0,0,1000000*SER_hh_emi_in!J23/SER_hh_num_in!J23)</f>
        <v>2256.0726273226924</v>
      </c>
      <c r="K23" s="133">
        <f>IF(SER_hh_emi_in!K23=0,0,1000000*SER_hh_emi_in!K23/SER_hh_num_in!K23)</f>
        <v>2521.3758752523281</v>
      </c>
      <c r="L23" s="133">
        <f>IF(SER_hh_emi_in!L23=0,0,1000000*SER_hh_emi_in!L23/SER_hh_num_in!L23)</f>
        <v>2237.0433798204967</v>
      </c>
      <c r="M23" s="133">
        <f>IF(SER_hh_emi_in!M23=0,0,1000000*SER_hh_emi_in!M23/SER_hh_num_in!M23)</f>
        <v>2567.412893828769</v>
      </c>
      <c r="N23" s="133">
        <f>IF(SER_hh_emi_in!N23=0,0,1000000*SER_hh_emi_in!N23/SER_hh_num_in!N23)</f>
        <v>2509.3246926474012</v>
      </c>
      <c r="O23" s="133">
        <f>IF(SER_hh_emi_in!O23=0,0,1000000*SER_hh_emi_in!O23/SER_hh_num_in!O23)</f>
        <v>2562.2339800707391</v>
      </c>
      <c r="P23" s="133">
        <f>IF(SER_hh_emi_in!P23=0,0,1000000*SER_hh_emi_in!P23/SER_hh_num_in!P23)</f>
        <v>2350.7232477710163</v>
      </c>
      <c r="Q23" s="133">
        <f>IF(SER_hh_emi_in!Q23=0,0,1000000*SER_hh_emi_in!Q23/SER_hh_num_in!Q23)</f>
        <v>2337.7243283700441</v>
      </c>
      <c r="R23" s="133">
        <f>IF(SER_hh_emi_in!R23=0,0,1000000*SER_hh_emi_in!R23/SER_hh_num_in!R23)</f>
        <v>2248.4080037140193</v>
      </c>
      <c r="S23" s="133">
        <f>IF(SER_hh_emi_in!S23=0,0,1000000*SER_hh_emi_in!S23/SER_hh_num_in!S23)</f>
        <v>2260.9213606708618</v>
      </c>
      <c r="T23" s="133">
        <f>IF(SER_hh_emi_in!T23=0,0,1000000*SER_hh_emi_in!T23/SER_hh_num_in!T23)</f>
        <v>2274.3213367216954</v>
      </c>
      <c r="U23" s="133">
        <f>IF(SER_hh_emi_in!U23=0,0,1000000*SER_hh_emi_in!U23/SER_hh_num_in!U23)</f>
        <v>2172.226903397323</v>
      </c>
      <c r="V23" s="133">
        <f>IF(SER_hh_emi_in!V23=0,0,1000000*SER_hh_emi_in!V23/SER_hh_num_in!V23)</f>
        <v>1245.3309398092042</v>
      </c>
      <c r="W23" s="133">
        <f>IF(SER_hh_emi_in!W23=0,0,1000000*SER_hh_emi_in!W23/SER_hh_num_in!W23)</f>
        <v>2239.0722907662071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530.77264246004268</v>
      </c>
      <c r="D29" s="131">
        <f>IF(SER_hh_emi_in!D29=0,0,1000000*SER_hh_emi_in!D29/SER_hh_num_in!D29)</f>
        <v>2059.7942279563113</v>
      </c>
      <c r="E29" s="131">
        <f>IF(SER_hh_emi_in!E29=0,0,1000000*SER_hh_emi_in!E29/SER_hh_num_in!E29)</f>
        <v>2212.430679537872</v>
      </c>
      <c r="F29" s="131">
        <f>IF(SER_hh_emi_in!F29=0,0,1000000*SER_hh_emi_in!F29/SER_hh_num_in!F29)</f>
        <v>2521.5729508891786</v>
      </c>
      <c r="G29" s="131">
        <f>IF(SER_hh_emi_in!G29=0,0,1000000*SER_hh_emi_in!G29/SER_hh_num_in!G29)</f>
        <v>3264.0039425257369</v>
      </c>
      <c r="H29" s="131">
        <f>IF(SER_hh_emi_in!H29=0,0,1000000*SER_hh_emi_in!H29/SER_hh_num_in!H29)</f>
        <v>1534.3687672461642</v>
      </c>
      <c r="I29" s="131">
        <f>IF(SER_hh_emi_in!I29=0,0,1000000*SER_hh_emi_in!I29/SER_hh_num_in!I29)</f>
        <v>1523.984943094958</v>
      </c>
      <c r="J29" s="131">
        <f>IF(SER_hh_emi_in!J29=0,0,1000000*SER_hh_emi_in!J29/SER_hh_num_in!J29)</f>
        <v>831.06969939399107</v>
      </c>
      <c r="K29" s="131">
        <f>IF(SER_hh_emi_in!K29=0,0,1000000*SER_hh_emi_in!K29/SER_hh_num_in!K29)</f>
        <v>485.49059147497775</v>
      </c>
      <c r="L29" s="131">
        <f>IF(SER_hh_emi_in!L29=0,0,1000000*SER_hh_emi_in!L29/SER_hh_num_in!L29)</f>
        <v>505.17102291480518</v>
      </c>
      <c r="M29" s="131">
        <f>IF(SER_hh_emi_in!M29=0,0,1000000*SER_hh_emi_in!M29/SER_hh_num_in!M29)</f>
        <v>896.17144878443935</v>
      </c>
      <c r="N29" s="131">
        <f>IF(SER_hh_emi_in!N29=0,0,1000000*SER_hh_emi_in!N29/SER_hh_num_in!N29)</f>
        <v>698.42512987065459</v>
      </c>
      <c r="O29" s="131">
        <f>IF(SER_hh_emi_in!O29=0,0,1000000*SER_hh_emi_in!O29/SER_hh_num_in!O29)</f>
        <v>2715.6773325992372</v>
      </c>
      <c r="P29" s="131">
        <f>IF(SER_hh_emi_in!P29=0,0,1000000*SER_hh_emi_in!P29/SER_hh_num_in!P29)</f>
        <v>3835.0280797100868</v>
      </c>
      <c r="Q29" s="131">
        <f>IF(SER_hh_emi_in!Q29=0,0,1000000*SER_hh_emi_in!Q29/SER_hh_num_in!Q29)</f>
        <v>3043.0903102949896</v>
      </c>
      <c r="R29" s="131">
        <f>IF(SER_hh_emi_in!R29=0,0,1000000*SER_hh_emi_in!R29/SER_hh_num_in!R29)</f>
        <v>2051.0139339463481</v>
      </c>
      <c r="S29" s="131">
        <f>IF(SER_hh_emi_in!S29=0,0,1000000*SER_hh_emi_in!S29/SER_hh_num_in!S29)</f>
        <v>1765.1828993538077</v>
      </c>
      <c r="T29" s="131">
        <f>IF(SER_hh_emi_in!T29=0,0,1000000*SER_hh_emi_in!T29/SER_hh_num_in!T29)</f>
        <v>1897.635183708559</v>
      </c>
      <c r="U29" s="131">
        <f>IF(SER_hh_emi_in!U29=0,0,1000000*SER_hh_emi_in!U29/SER_hh_num_in!U29)</f>
        <v>777.82227516318756</v>
      </c>
      <c r="V29" s="131">
        <f>IF(SER_hh_emi_in!V29=0,0,1000000*SER_hh_emi_in!V29/SER_hh_num_in!V29)</f>
        <v>482.21274443026743</v>
      </c>
      <c r="W29" s="131">
        <f>IF(SER_hh_emi_in!W29=0,0,1000000*SER_hh_emi_in!W29/SER_hh_num_in!W29)</f>
        <v>569.81892329360971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2690.8940283309857</v>
      </c>
      <c r="D30" s="133">
        <f>IF(SER_hh_emi_in!D30=0,0,1000000*SER_hh_emi_in!D30/SER_hh_num_in!D30)</f>
        <v>3786.9305071829308</v>
      </c>
      <c r="E30" s="133">
        <f>IF(SER_hh_emi_in!E30=0,0,1000000*SER_hh_emi_in!E30/SER_hh_num_in!E30)</f>
        <v>3556.6804560005976</v>
      </c>
      <c r="F30" s="133">
        <f>IF(SER_hh_emi_in!F30=0,0,1000000*SER_hh_emi_in!F30/SER_hh_num_in!F30)</f>
        <v>3517.5468987922341</v>
      </c>
      <c r="G30" s="133">
        <f>IF(SER_hh_emi_in!G30=0,0,1000000*SER_hh_emi_in!G30/SER_hh_num_in!G30)</f>
        <v>4439.4762304914466</v>
      </c>
      <c r="H30" s="133">
        <f>IF(SER_hh_emi_in!H30=0,0,1000000*SER_hh_emi_in!H30/SER_hh_num_in!H30)</f>
        <v>3731.1933175249596</v>
      </c>
      <c r="I30" s="133">
        <f>IF(SER_hh_emi_in!I30=0,0,1000000*SER_hh_emi_in!I30/SER_hh_num_in!I30)</f>
        <v>3768.3753045719891</v>
      </c>
      <c r="J30" s="133">
        <f>IF(SER_hh_emi_in!J30=0,0,1000000*SER_hh_emi_in!J30/SER_hh_num_in!J30)</f>
        <v>4422.8804548172629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2871.3004103431354</v>
      </c>
      <c r="O30" s="133">
        <f>IF(SER_hh_emi_in!O30=0,0,1000000*SER_hh_emi_in!O30/SER_hh_num_in!O30)</f>
        <v>2876.7443601889477</v>
      </c>
      <c r="P30" s="133">
        <f>IF(SER_hh_emi_in!P30=0,0,1000000*SER_hh_emi_in!P30/SER_hh_num_in!P30)</f>
        <v>4396.9099730658872</v>
      </c>
      <c r="Q30" s="133">
        <f>IF(SER_hh_emi_in!Q30=0,0,1000000*SER_hh_emi_in!Q30/SER_hh_num_in!Q30)</f>
        <v>4315.0912579040978</v>
      </c>
      <c r="R30" s="133">
        <f>IF(SER_hh_emi_in!R30=0,0,1000000*SER_hh_emi_in!R30/SER_hh_num_in!R30)</f>
        <v>3799.5813094422479</v>
      </c>
      <c r="S30" s="133">
        <f>IF(SER_hh_emi_in!S30=0,0,1000000*SER_hh_emi_in!S30/SER_hh_num_in!S30)</f>
        <v>3650.1433086756228</v>
      </c>
      <c r="T30" s="133">
        <f>IF(SER_hh_emi_in!T30=0,0,1000000*SER_hh_emi_in!T30/SER_hh_num_in!T30)</f>
        <v>4600.0366955560594</v>
      </c>
      <c r="U30" s="133">
        <f>IF(SER_hh_emi_in!U30=0,0,1000000*SER_hh_emi_in!U30/SER_hh_num_in!U30)</f>
        <v>4521.5487101665331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2995.1896177973249</v>
      </c>
      <c r="D31" s="133">
        <f>IF(SER_hh_emi_in!D31=0,0,1000000*SER_hh_emi_in!D31/SER_hh_num_in!D31)</f>
        <v>3221.3045092357115</v>
      </c>
      <c r="E31" s="133">
        <f>IF(SER_hh_emi_in!E31=0,0,1000000*SER_hh_emi_in!E31/SER_hh_num_in!E31)</f>
        <v>3191.7969557611368</v>
      </c>
      <c r="F31" s="133">
        <f>IF(SER_hh_emi_in!F31=0,0,1000000*SER_hh_emi_in!F31/SER_hh_num_in!F31)</f>
        <v>3379.8961199311075</v>
      </c>
      <c r="G31" s="133">
        <f>IF(SER_hh_emi_in!G31=0,0,1000000*SER_hh_emi_in!G31/SER_hh_num_in!G31)</f>
        <v>3434.4888630376795</v>
      </c>
      <c r="H31" s="133">
        <f>IF(SER_hh_emi_in!H31=0,0,1000000*SER_hh_emi_in!H31/SER_hh_num_in!H31)</f>
        <v>3438.5897158157832</v>
      </c>
      <c r="I31" s="133">
        <f>IF(SER_hh_emi_in!I31=0,0,1000000*SER_hh_emi_in!I31/SER_hh_num_in!I31)</f>
        <v>3401.2255800594808</v>
      </c>
      <c r="J31" s="133">
        <f>IF(SER_hh_emi_in!J31=0,0,1000000*SER_hh_emi_in!J31/SER_hh_num_in!J31)</f>
        <v>3274.7196326092917</v>
      </c>
      <c r="K31" s="133">
        <f>IF(SER_hh_emi_in!K31=0,0,1000000*SER_hh_emi_in!K31/SER_hh_num_in!K31)</f>
        <v>3303.1439160239443</v>
      </c>
      <c r="L31" s="133">
        <f>IF(SER_hh_emi_in!L31=0,0,1000000*SER_hh_emi_in!L31/SER_hh_num_in!L31)</f>
        <v>3670.2373943563643</v>
      </c>
      <c r="M31" s="133">
        <f>IF(SER_hh_emi_in!M31=0,0,1000000*SER_hh_emi_in!M31/SER_hh_num_in!M31)</f>
        <v>3425.6502567005605</v>
      </c>
      <c r="N31" s="133">
        <f>IF(SER_hh_emi_in!N31=0,0,1000000*SER_hh_emi_in!N31/SER_hh_num_in!N31)</f>
        <v>3209.7238054783511</v>
      </c>
      <c r="O31" s="133">
        <f>IF(SER_hh_emi_in!O31=0,0,1000000*SER_hh_emi_in!O31/SER_hh_num_in!O31)</f>
        <v>3551.9517066932149</v>
      </c>
      <c r="P31" s="133">
        <f>IF(SER_hh_emi_in!P31=0,0,1000000*SER_hh_emi_in!P31/SER_hh_num_in!P31)</f>
        <v>3348.4774502982891</v>
      </c>
      <c r="Q31" s="133">
        <f>IF(SER_hh_emi_in!Q31=0,0,1000000*SER_hh_emi_in!Q31/SER_hh_num_in!Q31)</f>
        <v>3543.8186444740631</v>
      </c>
      <c r="R31" s="133">
        <f>IF(SER_hh_emi_in!R31=0,0,1000000*SER_hh_emi_in!R31/SER_hh_num_in!R31)</f>
        <v>3580.2632102391485</v>
      </c>
      <c r="S31" s="133">
        <f>IF(SER_hh_emi_in!S31=0,0,1000000*SER_hh_emi_in!S31/SER_hh_num_in!S31)</f>
        <v>3549.8603761643253</v>
      </c>
      <c r="T31" s="133">
        <f>IF(SER_hh_emi_in!T31=0,0,1000000*SER_hh_emi_in!T31/SER_hh_num_in!T31)</f>
        <v>3545.5431575576072</v>
      </c>
      <c r="U31" s="133">
        <f>IF(SER_hh_emi_in!U31=0,0,1000000*SER_hh_emi_in!U31/SER_hh_num_in!U31)</f>
        <v>3642.5722070519328</v>
      </c>
      <c r="V31" s="133">
        <f>IF(SER_hh_emi_in!V31=0,0,1000000*SER_hh_emi_in!V31/SER_hh_num_in!V31)</f>
        <v>3366.6580334686237</v>
      </c>
      <c r="W31" s="133">
        <f>IF(SER_hh_emi_in!W31=0,0,1000000*SER_hh_emi_in!W31/SER_hh_num_in!W31)</f>
        <v>3092.6725011746248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70.270995967162278</v>
      </c>
      <c r="D3" s="126">
        <f>IF(SER_hh_fech_in!D3=0,0,SER_hh_fech_in!D3/SER_summary!D$27)</f>
        <v>63.626467333270107</v>
      </c>
      <c r="E3" s="126">
        <f>IF(SER_hh_fech_in!E3=0,0,SER_hh_fech_in!E3/SER_summary!E$27)</f>
        <v>67.810464839088084</v>
      </c>
      <c r="F3" s="126">
        <f>IF(SER_hh_fech_in!F3=0,0,SER_hh_fech_in!F3/SER_summary!F$27)</f>
        <v>73.599478154337277</v>
      </c>
      <c r="G3" s="126">
        <f>IF(SER_hh_fech_in!G3=0,0,SER_hh_fech_in!G3/SER_summary!G$27)</f>
        <v>73.181828632790968</v>
      </c>
      <c r="H3" s="126">
        <f>IF(SER_hh_fech_in!H3=0,0,SER_hh_fech_in!H3/SER_summary!H$27)</f>
        <v>69.18454411219578</v>
      </c>
      <c r="I3" s="126">
        <f>IF(SER_hh_fech_in!I3=0,0,SER_hh_fech_in!I3/SER_summary!I$27)</f>
        <v>63.991794275430571</v>
      </c>
      <c r="J3" s="126">
        <f>IF(SER_hh_fech_in!J3=0,0,SER_hh_fech_in!J3/SER_summary!J$27)</f>
        <v>57.753556785509133</v>
      </c>
      <c r="K3" s="126">
        <f>IF(SER_hh_fech_in!K3=0,0,SER_hh_fech_in!K3/SER_summary!K$27)</f>
        <v>58.783085916068288</v>
      </c>
      <c r="L3" s="126">
        <f>IF(SER_hh_fech_in!L3=0,0,SER_hh_fech_in!L3/SER_summary!L$27)</f>
        <v>60.89683184319825</v>
      </c>
      <c r="M3" s="126">
        <f>IF(SER_hh_fech_in!M3=0,0,SER_hh_fech_in!M3/SER_summary!M$27)</f>
        <v>64.336197440115697</v>
      </c>
      <c r="N3" s="126">
        <f>IF(SER_hh_fech_in!N3=0,0,SER_hh_fech_in!N3/SER_summary!N$27)</f>
        <v>68.725010727708082</v>
      </c>
      <c r="O3" s="126">
        <f>IF(SER_hh_fech_in!O3=0,0,SER_hh_fech_in!O3/SER_summary!O$27)</f>
        <v>63.90590338049816</v>
      </c>
      <c r="P3" s="126">
        <f>IF(SER_hh_fech_in!P3=0,0,SER_hh_fech_in!P3/SER_summary!P$27)</f>
        <v>66.788061240759234</v>
      </c>
      <c r="Q3" s="126">
        <f>IF(SER_hh_fech_in!Q3=0,0,SER_hh_fech_in!Q3/SER_summary!Q$27)</f>
        <v>68.434599241440822</v>
      </c>
      <c r="R3" s="126">
        <f>IF(SER_hh_fech_in!R3=0,0,SER_hh_fech_in!R3/SER_summary!R$27)</f>
        <v>65.756674428865821</v>
      </c>
      <c r="S3" s="126">
        <f>IF(SER_hh_fech_in!S3=0,0,SER_hh_fech_in!S3/SER_summary!S$27)</f>
        <v>66.667855127227796</v>
      </c>
      <c r="T3" s="126">
        <f>IF(SER_hh_fech_in!T3=0,0,SER_hh_fech_in!T3/SER_summary!T$27)</f>
        <v>69.665959729005593</v>
      </c>
      <c r="U3" s="126">
        <f>IF(SER_hh_fech_in!U3=0,0,SER_hh_fech_in!U3/SER_summary!U$27)</f>
        <v>56.950839164857513</v>
      </c>
      <c r="V3" s="126">
        <f>IF(SER_hh_fech_in!V3=0,0,SER_hh_fech_in!V3/SER_summary!V$27)</f>
        <v>44.385979697843091</v>
      </c>
      <c r="W3" s="126">
        <f>IF(SER_hh_fech_in!W3=0,0,SER_hh_fech_in!W3/SER_summary!W$27)</f>
        <v>45.101770739990648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31.899985919269486</v>
      </c>
      <c r="D4" s="131">
        <f>IF(SER_hh_fech_in!D4=0,0,SER_hh_fech_in!D4/SER_summary!D$27)</f>
        <v>24.354562240231555</v>
      </c>
      <c r="E4" s="131">
        <f>IF(SER_hh_fech_in!E4=0,0,SER_hh_fech_in!E4/SER_summary!E$27)</f>
        <v>24.489874944133604</v>
      </c>
      <c r="F4" s="131">
        <f>IF(SER_hh_fech_in!F4=0,0,SER_hh_fech_in!F4/SER_summary!F$27)</f>
        <v>32.440430439237147</v>
      </c>
      <c r="G4" s="131">
        <f>IF(SER_hh_fech_in!G4=0,0,SER_hh_fech_in!G4/SER_summary!G$27)</f>
        <v>29.854502812054481</v>
      </c>
      <c r="H4" s="131">
        <f>IF(SER_hh_fech_in!H4=0,0,SER_hh_fech_in!H4/SER_summary!H$27)</f>
        <v>25.709183409978344</v>
      </c>
      <c r="I4" s="131">
        <f>IF(SER_hh_fech_in!I4=0,0,SER_hh_fech_in!I4/SER_summary!I$27)</f>
        <v>26.287328795015007</v>
      </c>
      <c r="J4" s="131">
        <f>IF(SER_hh_fech_in!J4=0,0,SER_hh_fech_in!J4/SER_summary!J$27)</f>
        <v>22.899150841281276</v>
      </c>
      <c r="K4" s="131">
        <f>IF(SER_hh_fech_in!K4=0,0,SER_hh_fech_in!K4/SER_summary!K$27)</f>
        <v>23.130623208464367</v>
      </c>
      <c r="L4" s="131">
        <f>IF(SER_hh_fech_in!L4=0,0,SER_hh_fech_in!L4/SER_summary!L$27)</f>
        <v>19.865011799151482</v>
      </c>
      <c r="M4" s="131">
        <f>IF(SER_hh_fech_in!M4=0,0,SER_hh_fech_in!M4/SER_summary!M$27)</f>
        <v>27.6459916541071</v>
      </c>
      <c r="N4" s="131">
        <f>IF(SER_hh_fech_in!N4=0,0,SER_hh_fech_in!N4/SER_summary!N$27)</f>
        <v>20.144774027189666</v>
      </c>
      <c r="O4" s="131">
        <f>IF(SER_hh_fech_in!O4=0,0,SER_hh_fech_in!O4/SER_summary!O$27)</f>
        <v>24.450260512850495</v>
      </c>
      <c r="P4" s="131">
        <f>IF(SER_hh_fech_in!P4=0,0,SER_hh_fech_in!P4/SER_summary!P$27)</f>
        <v>28.597424964722542</v>
      </c>
      <c r="Q4" s="131">
        <f>IF(SER_hh_fech_in!Q4=0,0,SER_hh_fech_in!Q4/SER_summary!Q$27)</f>
        <v>31.01374903500577</v>
      </c>
      <c r="R4" s="131">
        <f>IF(SER_hh_fech_in!R4=0,0,SER_hh_fech_in!R4/SER_summary!R$27)</f>
        <v>27.071347966755141</v>
      </c>
      <c r="S4" s="131">
        <f>IF(SER_hh_fech_in!S4=0,0,SER_hh_fech_in!S4/SER_summary!S$27)</f>
        <v>29.198055647649682</v>
      </c>
      <c r="T4" s="131">
        <f>IF(SER_hh_fech_in!T4=0,0,SER_hh_fech_in!T4/SER_summary!T$27)</f>
        <v>33.495725329611197</v>
      </c>
      <c r="U4" s="131">
        <f>IF(SER_hh_fech_in!U4=0,0,SER_hh_fech_in!U4/SER_summary!U$27)</f>
        <v>25.350899339580923</v>
      </c>
      <c r="V4" s="131">
        <f>IF(SER_hh_fech_in!V4=0,0,SER_hh_fech_in!V4/SER_summary!V$27)</f>
        <v>12.199815952949866</v>
      </c>
      <c r="W4" s="131">
        <f>IF(SER_hh_fech_in!W4=0,0,SER_hh_fech_in!W4/SER_summary!W$27)</f>
        <v>15.386988457390164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37.571509114752274</v>
      </c>
      <c r="D7" s="133">
        <f>IF(SER_hh_fech_in!D7=0,0,SER_hh_fech_in!D7/SER_summary!D$27)</f>
        <v>39.770213972817544</v>
      </c>
      <c r="E7" s="133">
        <f>IF(SER_hh_fech_in!E7=0,0,SER_hh_fech_in!E7/SER_summary!E$27)</f>
        <v>43.767777590513397</v>
      </c>
      <c r="F7" s="133">
        <f>IF(SER_hh_fech_in!F7=0,0,SER_hh_fech_in!F7/SER_summary!F$27)</f>
        <v>57.060897909473908</v>
      </c>
      <c r="G7" s="133">
        <f>IF(SER_hh_fech_in!G7=0,0,SER_hh_fech_in!G7/SER_summary!G$27)</f>
        <v>67.490684291640861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0</v>
      </c>
      <c r="O7" s="133">
        <f>IF(SER_hh_fech_in!O7=0,0,SER_hh_fech_in!O7/SER_summary!O$27)</f>
        <v>64.707579256525065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57.21430373255135</v>
      </c>
      <c r="S7" s="133">
        <f>IF(SER_hh_fech_in!S7=0,0,SER_hh_fech_in!S7/SER_summary!S$27)</f>
        <v>56.397997466803545</v>
      </c>
      <c r="T7" s="133">
        <f>IF(SER_hh_fech_in!T7=0,0,SER_hh_fech_in!T7/SER_summary!T$27)</f>
        <v>61.003589345341496</v>
      </c>
      <c r="U7" s="133">
        <f>IF(SER_hh_fech_in!U7=0,0,SER_hh_fech_in!U7/SER_summary!U$27)</f>
        <v>61.566516123002849</v>
      </c>
      <c r="V7" s="133">
        <f>IF(SER_hh_fech_in!V7=0,0,SER_hh_fech_in!V7/SER_summary!V$27)</f>
        <v>0</v>
      </c>
      <c r="W7" s="133">
        <f>IF(SER_hh_fech_in!W7=0,0,SER_hh_fech_in!W7/SER_summary!W$27)</f>
        <v>46.493057430989744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16.065600608208548</v>
      </c>
      <c r="D8" s="133">
        <f>IF(SER_hh_fech_in!D8=0,0,SER_hh_fech_in!D8/SER_summary!D$27)</f>
        <v>18.349490671751489</v>
      </c>
      <c r="E8" s="133">
        <f>IF(SER_hh_fech_in!E8=0,0,SER_hh_fech_in!E8/SER_summary!E$27)</f>
        <v>20.410388399685971</v>
      </c>
      <c r="F8" s="133">
        <f>IF(SER_hh_fech_in!F8=0,0,SER_hh_fech_in!F8/SER_summary!F$27)</f>
        <v>21.125365743675928</v>
      </c>
      <c r="G8" s="133">
        <f>IF(SER_hh_fech_in!G8=0,0,SER_hh_fech_in!G8/SER_summary!G$27)</f>
        <v>20.80174835922621</v>
      </c>
      <c r="H8" s="133">
        <f>IF(SER_hh_fech_in!H8=0,0,SER_hh_fech_in!H8/SER_summary!H$27)</f>
        <v>22.356738050699651</v>
      </c>
      <c r="I8" s="133">
        <f>IF(SER_hh_fech_in!I8=0,0,SER_hh_fech_in!I8/SER_summary!I$27)</f>
        <v>22.400042176499596</v>
      </c>
      <c r="J8" s="133">
        <f>IF(SER_hh_fech_in!J8=0,0,SER_hh_fech_in!J8/SER_summary!J$27)</f>
        <v>22.78549676698043</v>
      </c>
      <c r="K8" s="133">
        <f>IF(SER_hh_fech_in!K8=0,0,SER_hh_fech_in!K8/SER_summary!K$27)</f>
        <v>20.653443805700679</v>
      </c>
      <c r="L8" s="133">
        <f>IF(SER_hh_fech_in!L8=0,0,SER_hh_fech_in!L8/SER_summary!L$27)</f>
        <v>20.032657590643439</v>
      </c>
      <c r="M8" s="133">
        <f>IF(SER_hh_fech_in!M8=0,0,SER_hh_fech_in!M8/SER_summary!M$27)</f>
        <v>20.276260990305605</v>
      </c>
      <c r="N8" s="133">
        <f>IF(SER_hh_fech_in!N8=0,0,SER_hh_fech_in!N8/SER_summary!N$27)</f>
        <v>19.445565385239377</v>
      </c>
      <c r="O8" s="133">
        <f>IF(SER_hh_fech_in!O8=0,0,SER_hh_fech_in!O8/SER_summary!O$27)</f>
        <v>19.415714960783241</v>
      </c>
      <c r="P8" s="133">
        <f>IF(SER_hh_fech_in!P8=0,0,SER_hh_fech_in!P8/SER_summary!P$27)</f>
        <v>19.901574268587478</v>
      </c>
      <c r="Q8" s="133">
        <f>IF(SER_hh_fech_in!Q8=0,0,SER_hh_fech_in!Q8/SER_summary!Q$27)</f>
        <v>19.594777081026656</v>
      </c>
      <c r="R8" s="133">
        <f>IF(SER_hh_fech_in!R8=0,0,SER_hh_fech_in!R8/SER_summary!R$27)</f>
        <v>18.036654433468801</v>
      </c>
      <c r="S8" s="133">
        <f>IF(SER_hh_fech_in!S8=0,0,SER_hh_fech_in!S8/SER_summary!S$27)</f>
        <v>17.055912913245688</v>
      </c>
      <c r="T8" s="133">
        <f>IF(SER_hh_fech_in!T8=0,0,SER_hh_fech_in!T8/SER_summary!T$27)</f>
        <v>16.776451368601212</v>
      </c>
      <c r="U8" s="133">
        <f>IF(SER_hh_fech_in!U8=0,0,SER_hh_fech_in!U8/SER_summary!U$27)</f>
        <v>16.604179035806332</v>
      </c>
      <c r="V8" s="133">
        <f>IF(SER_hh_fech_in!V8=0,0,SER_hh_fech_in!V8/SER_summary!V$27)</f>
        <v>15.423507028467585</v>
      </c>
      <c r="W8" s="133">
        <f>IF(SER_hh_fech_in!W8=0,0,SER_hh_fech_in!W8/SER_summary!W$27)</f>
        <v>15.751152018540811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30.89809572602886</v>
      </c>
      <c r="D9" s="133">
        <f>IF(SER_hh_fech_in!D9=0,0,SER_hh_fech_in!D9/SER_summary!D$27)</f>
        <v>38.403523283549156</v>
      </c>
      <c r="E9" s="133">
        <f>IF(SER_hh_fech_in!E9=0,0,SER_hh_fech_in!E9/SER_summary!E$27)</f>
        <v>40.727232845909334</v>
      </c>
      <c r="F9" s="133">
        <f>IF(SER_hh_fech_in!F9=0,0,SER_hh_fech_in!F9/SER_summary!F$27)</f>
        <v>50.915735780466221</v>
      </c>
      <c r="G9" s="133">
        <f>IF(SER_hh_fech_in!G9=0,0,SER_hh_fech_in!G9/SER_summary!G$27)</f>
        <v>0</v>
      </c>
      <c r="H9" s="133">
        <f>IF(SER_hh_fech_in!H9=0,0,SER_hh_fech_in!H9/SER_summary!H$27)</f>
        <v>57.257330333187639</v>
      </c>
      <c r="I9" s="133">
        <f>IF(SER_hh_fech_in!I9=0,0,SER_hh_fech_in!I9/SER_summary!I$27)</f>
        <v>59.480215055966077</v>
      </c>
      <c r="J9" s="133">
        <f>IF(SER_hh_fech_in!J9=0,0,SER_hh_fech_in!J9/SER_summary!J$27)</f>
        <v>59.791037259545377</v>
      </c>
      <c r="K9" s="133">
        <f>IF(SER_hh_fech_in!K9=0,0,SER_hh_fech_in!K9/SER_summary!K$27)</f>
        <v>64.096823883970785</v>
      </c>
      <c r="L9" s="133">
        <f>IF(SER_hh_fech_in!L9=0,0,SER_hh_fech_in!L9/SER_summary!L$27)</f>
        <v>55.710449622143734</v>
      </c>
      <c r="M9" s="133">
        <f>IF(SER_hh_fech_in!M9=0,0,SER_hh_fech_in!M9/SER_summary!M$27)</f>
        <v>61.847447242467183</v>
      </c>
      <c r="N9" s="133">
        <f>IF(SER_hh_fech_in!N9=0,0,SER_hh_fech_in!N9/SER_summary!N$27)</f>
        <v>62.391073544139921</v>
      </c>
      <c r="O9" s="133">
        <f>IF(SER_hh_fech_in!O9=0,0,SER_hh_fech_in!O9/SER_summary!O$27)</f>
        <v>59.838265682761808</v>
      </c>
      <c r="P9" s="133">
        <f>IF(SER_hh_fech_in!P9=0,0,SER_hh_fech_in!P9/SER_summary!P$27)</f>
        <v>0</v>
      </c>
      <c r="Q9" s="133">
        <f>IF(SER_hh_fech_in!Q9=0,0,SER_hh_fech_in!Q9/SER_summary!Q$27)</f>
        <v>61.68794388776476</v>
      </c>
      <c r="R9" s="133">
        <f>IF(SER_hh_fech_in!R9=0,0,SER_hh_fech_in!R9/SER_summary!R$27)</f>
        <v>62.64786454674713</v>
      </c>
      <c r="S9" s="133">
        <f>IF(SER_hh_fech_in!S9=0,0,SER_hh_fech_in!S9/SER_summary!S$27)</f>
        <v>60.26954593019024</v>
      </c>
      <c r="T9" s="133">
        <f>IF(SER_hh_fech_in!T9=0,0,SER_hh_fech_in!T9/SER_summary!T$27)</f>
        <v>63.217358759974722</v>
      </c>
      <c r="U9" s="133">
        <f>IF(SER_hh_fech_in!U9=0,0,SER_hh_fech_in!U9/SER_summary!U$27)</f>
        <v>0</v>
      </c>
      <c r="V9" s="133">
        <f>IF(SER_hh_fech_in!V9=0,0,SER_hh_fech_in!V9/SER_summary!V$27)</f>
        <v>43.945950683919243</v>
      </c>
      <c r="W9" s="133">
        <f>IF(SER_hh_fech_in!W9=0,0,SER_hh_fech_in!W9/SER_summary!W$27)</f>
        <v>60.592487008986161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108.48930125905885</v>
      </c>
      <c r="N10" s="133">
        <f>IF(SER_hh_fech_in!N10=0,0,SER_hh_fech_in!N10/SER_summary!N$27)</f>
        <v>94.305509057587983</v>
      </c>
      <c r="O10" s="133">
        <f>IF(SER_hh_fech_in!O10=0,0,SER_hh_fech_in!O10/SER_summary!O$27)</f>
        <v>0</v>
      </c>
      <c r="P10" s="133">
        <f>IF(SER_hh_fech_in!P10=0,0,SER_hh_fech_in!P10/SER_summary!P$27)</f>
        <v>0</v>
      </c>
      <c r="Q10" s="133">
        <f>IF(SER_hh_fech_in!Q10=0,0,SER_hh_fech_in!Q10/SER_summary!Q$27)</f>
        <v>0</v>
      </c>
      <c r="R10" s="133">
        <f>IF(SER_hh_fech_in!R10=0,0,SER_hh_fech_in!R10/SER_summary!R$27)</f>
        <v>70.965256043600164</v>
      </c>
      <c r="S10" s="133">
        <f>IF(SER_hh_fech_in!S10=0,0,SER_hh_fech_in!S10/SER_summary!S$27)</f>
        <v>86.913267008619741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68.403026097709784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23.996282207464112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46.478894612410109</v>
      </c>
      <c r="K11" s="133">
        <f>IF(SER_hh_fech_in!K11=0,0,SER_hh_fech_in!K11/SER_summary!K$27)</f>
        <v>44.909519174871086</v>
      </c>
      <c r="L11" s="133">
        <f>IF(SER_hh_fech_in!L11=0,0,SER_hh_fech_in!L11/SER_summary!L$27)</f>
        <v>40.665827060797596</v>
      </c>
      <c r="M11" s="133">
        <f>IF(SER_hh_fech_in!M11=0,0,SER_hh_fech_in!M11/SER_summary!M$27)</f>
        <v>55.188231675423772</v>
      </c>
      <c r="N11" s="133">
        <f>IF(SER_hh_fech_in!N11=0,0,SER_hh_fech_in!N11/SER_summary!N$27)</f>
        <v>54.744444324740449</v>
      </c>
      <c r="O11" s="133">
        <f>IF(SER_hh_fech_in!O11=0,0,SER_hh_fech_in!O11/SER_summary!O$27)</f>
        <v>46.593304301901561</v>
      </c>
      <c r="P11" s="133">
        <f>IF(SER_hh_fech_in!P11=0,0,SER_hh_fech_in!P11/SER_summary!P$27)</f>
        <v>0</v>
      </c>
      <c r="Q11" s="133">
        <f>IF(SER_hh_fech_in!Q11=0,0,SER_hh_fech_in!Q11/SER_summary!Q$27)</f>
        <v>58.34401253352582</v>
      </c>
      <c r="R11" s="133">
        <f>IF(SER_hh_fech_in!R11=0,0,SER_hh_fech_in!R11/SER_summary!R$27)</f>
        <v>49.067420183818896</v>
      </c>
      <c r="S11" s="133">
        <f>IF(SER_hh_fech_in!S11=0,0,SER_hh_fech_in!S11/SER_summary!S$27)</f>
        <v>51.423489190915085</v>
      </c>
      <c r="T11" s="133">
        <f>IF(SER_hh_fech_in!T11=0,0,SER_hh_fech_in!T11/SER_summary!T$27)</f>
        <v>55.355801652413078</v>
      </c>
      <c r="U11" s="133">
        <f>IF(SER_hh_fech_in!U11=0,0,SER_hh_fech_in!U11/SER_summary!U$27)</f>
        <v>54.490774128131214</v>
      </c>
      <c r="V11" s="133">
        <f>IF(SER_hh_fech_in!V11=0,0,SER_hh_fech_in!V11/SER_summary!V$27)</f>
        <v>0</v>
      </c>
      <c r="W11" s="133">
        <f>IF(SER_hh_fech_in!W11=0,0,SER_hh_fech_in!W11/SER_summary!W$27)</f>
        <v>46.109857567048145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23.115624204179717</v>
      </c>
      <c r="D12" s="133">
        <f>IF(SER_hh_fech_in!D12=0,0,SER_hh_fech_in!D12/SER_summary!D$27)</f>
        <v>30.923336819851404</v>
      </c>
      <c r="E12" s="133">
        <f>IF(SER_hh_fech_in!E12=0,0,SER_hh_fech_in!E12/SER_summary!E$27)</f>
        <v>30.869691040066702</v>
      </c>
      <c r="F12" s="133">
        <f>IF(SER_hh_fech_in!F12=0,0,SER_hh_fech_in!F12/SER_summary!F$27)</f>
        <v>41.269283967641378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44.947366651950354</v>
      </c>
      <c r="K12" s="133">
        <f>IF(SER_hh_fech_in!K12=0,0,SER_hh_fech_in!K12/SER_summary!K$27)</f>
        <v>40.129601261866462</v>
      </c>
      <c r="L12" s="133">
        <f>IF(SER_hh_fech_in!L12=0,0,SER_hh_fech_in!L12/SER_summary!L$27)</f>
        <v>52.290119775283465</v>
      </c>
      <c r="M12" s="133">
        <f>IF(SER_hh_fech_in!M12=0,0,SER_hh_fech_in!M12/SER_summary!M$27)</f>
        <v>44.149605570239324</v>
      </c>
      <c r="N12" s="133">
        <f>IF(SER_hh_fech_in!N12=0,0,SER_hh_fech_in!N12/SER_summary!N$27)</f>
        <v>56.35352767916774</v>
      </c>
      <c r="O12" s="133">
        <f>IF(SER_hh_fech_in!O12=0,0,SER_hh_fech_in!O12/SER_summary!O$27)</f>
        <v>55.044902111358653</v>
      </c>
      <c r="P12" s="133">
        <f>IF(SER_hh_fech_in!P12=0,0,SER_hh_fech_in!P12/SER_summary!P$27)</f>
        <v>0</v>
      </c>
      <c r="Q12" s="133">
        <f>IF(SER_hh_fech_in!Q12=0,0,SER_hh_fech_in!Q12/SER_summary!Q$27)</f>
        <v>54.166393892166468</v>
      </c>
      <c r="R12" s="133">
        <f>IF(SER_hh_fech_in!R12=0,0,SER_hh_fech_in!R12/SER_summary!R$27)</f>
        <v>50.429255295750814</v>
      </c>
      <c r="S12" s="133">
        <f>IF(SER_hh_fech_in!S12=0,0,SER_hh_fech_in!S12/SER_summary!S$27)</f>
        <v>54.408970615330972</v>
      </c>
      <c r="T12" s="133">
        <f>IF(SER_hh_fech_in!T12=0,0,SER_hh_fech_in!T12/SER_summary!T$27)</f>
        <v>52.916354436264498</v>
      </c>
      <c r="U12" s="133">
        <f>IF(SER_hh_fech_in!U12=0,0,SER_hh_fech_in!U12/SER_summary!U$27)</f>
        <v>50.748901909036171</v>
      </c>
      <c r="V12" s="133">
        <f>IF(SER_hh_fech_in!V12=0,0,SER_hh_fech_in!V12/SER_summary!V$27)</f>
        <v>47.508462221882105</v>
      </c>
      <c r="W12" s="133">
        <f>IF(SER_hh_fech_in!W12=0,0,SER_hh_fech_in!W12/SER_summary!W$27)</f>
        <v>47.280360607229646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11.714605479711533</v>
      </c>
      <c r="D13" s="133">
        <f>IF(SER_hh_fech_in!D13=0,0,SER_hh_fech_in!D13/SER_summary!D$27)</f>
        <v>9.8032360814965571</v>
      </c>
      <c r="E13" s="133">
        <f>IF(SER_hh_fech_in!E13=0,0,SER_hh_fech_in!E13/SER_summary!E$27)</f>
        <v>15.579402473687862</v>
      </c>
      <c r="F13" s="133">
        <f>IF(SER_hh_fech_in!F13=0,0,SER_hh_fech_in!F13/SER_summary!F$27)</f>
        <v>13.609102648172414</v>
      </c>
      <c r="G13" s="133">
        <f>IF(SER_hh_fech_in!G13=0,0,SER_hh_fech_in!G13/SER_summary!G$27)</f>
        <v>16.216246508316203</v>
      </c>
      <c r="H13" s="133">
        <f>IF(SER_hh_fech_in!H13=0,0,SER_hh_fech_in!H13/SER_summary!H$27)</f>
        <v>16.515049371170903</v>
      </c>
      <c r="I13" s="133">
        <f>IF(SER_hh_fech_in!I13=0,0,SER_hh_fech_in!I13/SER_summary!I$27)</f>
        <v>15.958438573748989</v>
      </c>
      <c r="J13" s="133">
        <f>IF(SER_hh_fech_in!J13=0,0,SER_hh_fech_in!J13/SER_summary!J$27)</f>
        <v>16.202135913567073</v>
      </c>
      <c r="K13" s="133">
        <f>IF(SER_hh_fech_in!K13=0,0,SER_hh_fech_in!K13/SER_summary!K$27)</f>
        <v>14.45254345988802</v>
      </c>
      <c r="L13" s="133">
        <f>IF(SER_hh_fech_in!L13=0,0,SER_hh_fech_in!L13/SER_summary!L$27)</f>
        <v>14.266290736261279</v>
      </c>
      <c r="M13" s="133">
        <f>IF(SER_hh_fech_in!M13=0,0,SER_hh_fech_in!M13/SER_summary!M$27)</f>
        <v>13.421732861761129</v>
      </c>
      <c r="N13" s="133">
        <f>IF(SER_hh_fech_in!N13=0,0,SER_hh_fech_in!N13/SER_summary!N$27)</f>
        <v>13.590864935205088</v>
      </c>
      <c r="O13" s="133">
        <f>IF(SER_hh_fech_in!O13=0,0,SER_hh_fech_in!O13/SER_summary!O$27)</f>
        <v>13.06462376654507</v>
      </c>
      <c r="P13" s="133">
        <f>IF(SER_hh_fech_in!P13=0,0,SER_hh_fech_in!P13/SER_summary!P$27)</f>
        <v>13.842810621737641</v>
      </c>
      <c r="Q13" s="133">
        <f>IF(SER_hh_fech_in!Q13=0,0,SER_hh_fech_in!Q13/SER_summary!Q$27)</f>
        <v>12.81147477547033</v>
      </c>
      <c r="R13" s="133">
        <f>IF(SER_hh_fech_in!R13=0,0,SER_hh_fech_in!R13/SER_summary!R$27)</f>
        <v>11.988747760893292</v>
      </c>
      <c r="S13" s="133">
        <f>IF(SER_hh_fech_in!S13=0,0,SER_hh_fech_in!S13/SER_summary!S$27)</f>
        <v>11.707530298758996</v>
      </c>
      <c r="T13" s="133">
        <f>IF(SER_hh_fech_in!T13=0,0,SER_hh_fech_in!T13/SER_summary!T$27)</f>
        <v>11.586109850636978</v>
      </c>
      <c r="U13" s="133">
        <f>IF(SER_hh_fech_in!U13=0,0,SER_hh_fech_in!U13/SER_summary!U$27)</f>
        <v>11.366210824612791</v>
      </c>
      <c r="V13" s="133">
        <f>IF(SER_hh_fech_in!V13=0,0,SER_hh_fech_in!V13/SER_summary!V$27)</f>
        <v>10.81882212735648</v>
      </c>
      <c r="W13" s="133">
        <f>IF(SER_hh_fech_in!W13=0,0,SER_hh_fech_in!W13/SER_summary!W$27)</f>
        <v>10.424784371259653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26.213277435574767</v>
      </c>
      <c r="D14" s="65">
        <f>IF(SER_hh_fech_in!D14=0,0,SER_hh_fech_in!D14/SER_summary!D$27)</f>
        <v>28.957232390838588</v>
      </c>
      <c r="E14" s="65">
        <f>IF(SER_hh_fech_in!E14=0,0,SER_hh_fech_in!E14/SER_summary!E$27)</f>
        <v>31.478232057106251</v>
      </c>
      <c r="F14" s="65">
        <f>IF(SER_hh_fech_in!F14=0,0,SER_hh_fech_in!F14/SER_summary!F$27)</f>
        <v>41.519702182484799</v>
      </c>
      <c r="G14" s="65">
        <f>IF(SER_hh_fech_in!G14=0,0,SER_hh_fech_in!G14/SER_summary!G$27)</f>
        <v>49.680770104358466</v>
      </c>
      <c r="H14" s="65">
        <f>IF(SER_hh_fech_in!H14=0,0,SER_hh_fech_in!H14/SER_summary!H$27)</f>
        <v>49.069574024353685</v>
      </c>
      <c r="I14" s="65">
        <f>IF(SER_hh_fech_in!I14=0,0,SER_hh_fech_in!I14/SER_summary!I$27)</f>
        <v>56.404648339942568</v>
      </c>
      <c r="J14" s="65">
        <f>IF(SER_hh_fech_in!J14=0,0,SER_hh_fech_in!J14/SER_summary!J$27)</f>
        <v>0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14.643582334935834</v>
      </c>
      <c r="P14" s="65">
        <f>IF(SER_hh_fech_in!P14=0,0,SER_hh_fech_in!P14/SER_summary!P$27)</f>
        <v>76.71639387773422</v>
      </c>
      <c r="Q14" s="65">
        <f>IF(SER_hh_fech_in!Q14=0,0,SER_hh_fech_in!Q14/SER_summary!Q$27)</f>
        <v>89.801935030939333</v>
      </c>
      <c r="R14" s="65">
        <f>IF(SER_hh_fech_in!R14=0,0,SER_hh_fech_in!R14/SER_summary!R$27)</f>
        <v>0</v>
      </c>
      <c r="S14" s="65">
        <f>IF(SER_hh_fech_in!S14=0,0,SER_hh_fech_in!S14/SER_summary!S$27)</f>
        <v>33.840204561038391</v>
      </c>
      <c r="T14" s="65">
        <f>IF(SER_hh_fech_in!T14=0,0,SER_hh_fech_in!T14/SER_summary!T$27)</f>
        <v>70.2767051547834</v>
      </c>
      <c r="U14" s="65">
        <f>IF(SER_hh_fech_in!U14=0,0,SER_hh_fech_in!U14/SER_summary!U$27)</f>
        <v>74.532711324233631</v>
      </c>
      <c r="V14" s="65">
        <f>IF(SER_hh_fech_in!V14=0,0,SER_hh_fech_in!V14/SER_summary!V$27)</f>
        <v>0</v>
      </c>
      <c r="W14" s="65">
        <f>IF(SER_hh_fech_in!W14=0,0,SER_hh_fech_in!W14/SER_summary!W$27)</f>
        <v>51.681578591949368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0.34311971603710528</v>
      </c>
      <c r="D15" s="135">
        <f>IF(SER_hh_fech_in!D15=0,0,SER_hh_fech_in!D15/SER_summary!D$27)</f>
        <v>0.37429688463179056</v>
      </c>
      <c r="E15" s="135">
        <f>IF(SER_hh_fech_in!E15=0,0,SER_hh_fech_in!E15/SER_summary!E$27)</f>
        <v>0.40828652010732575</v>
      </c>
      <c r="F15" s="135">
        <f>IF(SER_hh_fech_in!F15=0,0,SER_hh_fech_in!F15/SER_summary!F$27)</f>
        <v>0.53882277474342632</v>
      </c>
      <c r="G15" s="135">
        <f>IF(SER_hh_fech_in!G15=0,0,SER_hh_fech_in!G15/SER_summary!G$27)</f>
        <v>0.63564651368750658</v>
      </c>
      <c r="H15" s="135">
        <f>IF(SER_hh_fech_in!H15=0,0,SER_hh_fech_in!H15/SER_summary!H$27)</f>
        <v>0.60744547595783549</v>
      </c>
      <c r="I15" s="135">
        <f>IF(SER_hh_fech_in!I15=0,0,SER_hh_fech_in!I15/SER_summary!I$27)</f>
        <v>0.62964547010778604</v>
      </c>
      <c r="J15" s="135">
        <f>IF(SER_hh_fech_in!J15=0,0,SER_hh_fech_in!J15/SER_summary!J$27)</f>
        <v>0.60120142595429582</v>
      </c>
      <c r="K15" s="135">
        <f>IF(SER_hh_fech_in!K15=0,0,SER_hh_fech_in!K15/SER_summary!K$27)</f>
        <v>0.61571157194658266</v>
      </c>
      <c r="L15" s="135">
        <f>IF(SER_hh_fech_in!L15=0,0,SER_hh_fech_in!L15/SER_summary!L$27)</f>
        <v>0.46483520940823425</v>
      </c>
      <c r="M15" s="135">
        <f>IF(SER_hh_fech_in!M15=0,0,SER_hh_fech_in!M15/SER_summary!M$27)</f>
        <v>0.50900003980350772</v>
      </c>
      <c r="N15" s="135">
        <f>IF(SER_hh_fech_in!N15=0,0,SER_hh_fech_in!N15/SER_summary!N$27)</f>
        <v>0.42034302917996225</v>
      </c>
      <c r="O15" s="135">
        <f>IF(SER_hh_fech_in!O15=0,0,SER_hh_fech_in!O15/SER_summary!O$27)</f>
        <v>0.59105828023781803</v>
      </c>
      <c r="P15" s="135">
        <f>IF(SER_hh_fech_in!P15=0,0,SER_hh_fech_in!P15/SER_summary!P$27)</f>
        <v>0.18906000754726449</v>
      </c>
      <c r="Q15" s="135">
        <f>IF(SER_hh_fech_in!Q15=0,0,SER_hh_fech_in!Q15/SER_summary!Q$27)</f>
        <v>0.68941492578658137</v>
      </c>
      <c r="R15" s="135">
        <f>IF(SER_hh_fech_in!R15=0,0,SER_hh_fech_in!R15/SER_summary!R$27)</f>
        <v>0.66894211158961403</v>
      </c>
      <c r="S15" s="135">
        <f>IF(SER_hh_fech_in!S15=0,0,SER_hh_fech_in!S15/SER_summary!S$27)</f>
        <v>0.61846786412442811</v>
      </c>
      <c r="T15" s="135">
        <f>IF(SER_hh_fech_in!T15=0,0,SER_hh_fech_in!T15/SER_summary!T$27)</f>
        <v>0.63470269149410785</v>
      </c>
      <c r="U15" s="135">
        <f>IF(SER_hh_fech_in!U15=0,0,SER_hh_fech_in!U15/SER_summary!U$27)</f>
        <v>0.63384348667527435</v>
      </c>
      <c r="V15" s="135">
        <f>IF(SER_hh_fech_in!V15=0,0,SER_hh_fech_in!V15/SER_summary!V$27)</f>
        <v>0.38180680904814779</v>
      </c>
      <c r="W15" s="135">
        <f>IF(SER_hh_fech_in!W15=0,0,SER_hh_fech_in!W15/SER_summary!W$27)</f>
        <v>0.52499115042160072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11.225550150978528</v>
      </c>
      <c r="D16" s="131">
        <f>IF(SER_hh_fech_in!D16=0,0,SER_hh_fech_in!D16/SER_summary!D$27)</f>
        <v>9.6735730118277186</v>
      </c>
      <c r="E16" s="131">
        <f>IF(SER_hh_fech_in!E16=0,0,SER_hh_fech_in!E16/SER_summary!E$27)</f>
        <v>13.266822128948634</v>
      </c>
      <c r="F16" s="131">
        <f>IF(SER_hh_fech_in!F16=0,0,SER_hh_fech_in!F16/SER_summary!F$27)</f>
        <v>10.719852331834513</v>
      </c>
      <c r="G16" s="131">
        <f>IF(SER_hh_fech_in!G16=0,0,SER_hh_fech_in!G16/SER_summary!G$27)</f>
        <v>11.392688476358185</v>
      </c>
      <c r="H16" s="131">
        <f>IF(SER_hh_fech_in!H16=0,0,SER_hh_fech_in!H16/SER_summary!H$27)</f>
        <v>13.330129241923924</v>
      </c>
      <c r="I16" s="131">
        <f>IF(SER_hh_fech_in!I16=0,0,SER_hh_fech_in!I16/SER_summary!I$27)</f>
        <v>8.4051917926493509</v>
      </c>
      <c r="J16" s="131">
        <f>IF(SER_hh_fech_in!J16=0,0,SER_hh_fech_in!J16/SER_summary!J$27)</f>
        <v>7.9129391254374237</v>
      </c>
      <c r="K16" s="131">
        <f>IF(SER_hh_fech_in!K16=0,0,SER_hh_fech_in!K16/SER_summary!K$27)</f>
        <v>9.3606404809853618</v>
      </c>
      <c r="L16" s="131">
        <f>IF(SER_hh_fech_in!L16=0,0,SER_hh_fech_in!L16/SER_summary!L$27)</f>
        <v>12.319381176046857</v>
      </c>
      <c r="M16" s="131">
        <f>IF(SER_hh_fech_in!M16=0,0,SER_hh_fech_in!M16/SER_summary!M$27)</f>
        <v>7.8220059642191773</v>
      </c>
      <c r="N16" s="131">
        <f>IF(SER_hh_fech_in!N16=0,0,SER_hh_fech_in!N16/SER_summary!N$27)</f>
        <v>7.8203621975665865</v>
      </c>
      <c r="O16" s="131">
        <f>IF(SER_hh_fech_in!O16=0,0,SER_hh_fech_in!O16/SER_summary!O$27)</f>
        <v>9.6719928837863431</v>
      </c>
      <c r="P16" s="131">
        <f>IF(SER_hh_fech_in!P16=0,0,SER_hh_fech_in!P16/SER_summary!P$27)</f>
        <v>6.1699040075843632</v>
      </c>
      <c r="Q16" s="131">
        <f>IF(SER_hh_fech_in!Q16=0,0,SER_hh_fech_in!Q16/SER_summary!Q$27)</f>
        <v>6.9427706611827142</v>
      </c>
      <c r="R16" s="131">
        <f>IF(SER_hh_fech_in!R16=0,0,SER_hh_fech_in!R16/SER_summary!R$27)</f>
        <v>10.113157002968848</v>
      </c>
      <c r="S16" s="131">
        <f>IF(SER_hh_fech_in!S16=0,0,SER_hh_fech_in!S16/SER_summary!S$27)</f>
        <v>9.2962839366857395</v>
      </c>
      <c r="T16" s="131">
        <f>IF(SER_hh_fech_in!T16=0,0,SER_hh_fech_in!T16/SER_summary!T$27)</f>
        <v>7.7772170281621822</v>
      </c>
      <c r="U16" s="131">
        <f>IF(SER_hh_fech_in!U16=0,0,SER_hh_fech_in!U16/SER_summary!U$27)</f>
        <v>5.9800211331600783</v>
      </c>
      <c r="V16" s="131">
        <f>IF(SER_hh_fech_in!V16=0,0,SER_hh_fech_in!V16/SER_summary!V$27)</f>
        <v>8.5070471879471796</v>
      </c>
      <c r="W16" s="131">
        <f>IF(SER_hh_fech_in!W16=0,0,SER_hh_fech_in!W16/SER_summary!W$27)</f>
        <v>5.1460042222504878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20.106961333029012</v>
      </c>
      <c r="D17" s="133">
        <f>IF(SER_hh_fech_in!D17=0,0,SER_hh_fech_in!D17/SER_summary!D$27)</f>
        <v>17.85039835012272</v>
      </c>
      <c r="E17" s="133">
        <f>IF(SER_hh_fech_in!E17=0,0,SER_hh_fech_in!E17/SER_summary!E$27)</f>
        <v>25.195586350950322</v>
      </c>
      <c r="F17" s="133">
        <f>IF(SER_hh_fech_in!F17=0,0,SER_hh_fech_in!F17/SER_summary!F$27)</f>
        <v>20.910647284322689</v>
      </c>
      <c r="G17" s="133">
        <f>IF(SER_hh_fech_in!G17=0,0,SER_hh_fech_in!G17/SER_summary!G$27)</f>
        <v>22.921045558945451</v>
      </c>
      <c r="H17" s="133">
        <f>IF(SER_hh_fech_in!H17=0,0,SER_hh_fech_in!H17/SER_summary!H$27)</f>
        <v>27.579384074817863</v>
      </c>
      <c r="I17" s="133">
        <f>IF(SER_hh_fech_in!I17=0,0,SER_hh_fech_in!I17/SER_summary!I$27)</f>
        <v>17.837292187468499</v>
      </c>
      <c r="J17" s="133">
        <f>IF(SER_hh_fech_in!J17=0,0,SER_hh_fech_in!J17/SER_summary!J$27)</f>
        <v>17.25838318150976</v>
      </c>
      <c r="K17" s="133">
        <f>IF(SER_hh_fech_in!K17=0,0,SER_hh_fech_in!K17/SER_summary!K$27)</f>
        <v>20.856701965021582</v>
      </c>
      <c r="L17" s="133">
        <f>IF(SER_hh_fech_in!L17=0,0,SER_hh_fech_in!L17/SER_summary!L$27)</f>
        <v>28.370062978518412</v>
      </c>
      <c r="M17" s="133">
        <f>IF(SER_hh_fech_in!M17=0,0,SER_hh_fech_in!M17/SER_summary!M$27)</f>
        <v>18.420186747975041</v>
      </c>
      <c r="N17" s="133">
        <f>IF(SER_hh_fech_in!N17=0,0,SER_hh_fech_in!N17/SER_summary!N$27)</f>
        <v>18.980417567715964</v>
      </c>
      <c r="O17" s="133">
        <f>IF(SER_hh_fech_in!O17=0,0,SER_hh_fech_in!O17/SER_summary!O$27)</f>
        <v>23.965202565752964</v>
      </c>
      <c r="P17" s="133">
        <f>IF(SER_hh_fech_in!P17=0,0,SER_hh_fech_in!P17/SER_summary!P$27)</f>
        <v>15.627238974699852</v>
      </c>
      <c r="Q17" s="133">
        <f>IF(SER_hh_fech_in!Q17=0,0,SER_hh_fech_in!Q17/SER_summary!Q$27)</f>
        <v>17.737121637045597</v>
      </c>
      <c r="R17" s="133">
        <f>IF(SER_hh_fech_in!R17=0,0,SER_hh_fech_in!R17/SER_summary!R$27)</f>
        <v>25.769285233020028</v>
      </c>
      <c r="S17" s="133">
        <f>IF(SER_hh_fech_in!S17=0,0,SER_hh_fech_in!S17/SER_summary!S$27)</f>
        <v>23.755496613113493</v>
      </c>
      <c r="T17" s="133">
        <f>IF(SER_hh_fech_in!T17=0,0,SER_hh_fech_in!T17/SER_summary!T$27)</f>
        <v>19.493436476484746</v>
      </c>
      <c r="U17" s="133">
        <f>IF(SER_hh_fech_in!U17=0,0,SER_hh_fech_in!U17/SER_summary!U$27)</f>
        <v>14.907464134627428</v>
      </c>
      <c r="V17" s="133">
        <f>IF(SER_hh_fech_in!V17=0,0,SER_hh_fech_in!V17/SER_summary!V$27)</f>
        <v>19.77802602061492</v>
      </c>
      <c r="W17" s="133">
        <f>IF(SER_hh_fech_in!W17=0,0,SER_hh_fech_in!W17/SER_summary!W$27)</f>
        <v>12.376907617381521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11.204871710756146</v>
      </c>
      <c r="D18" s="133">
        <f>IF(SER_hh_fech_in!D18=0,0,SER_hh_fech_in!D18/SER_summary!D$27)</f>
        <v>9.6642946762654418</v>
      </c>
      <c r="E18" s="133">
        <f>IF(SER_hh_fech_in!E18=0,0,SER_hh_fech_in!E18/SER_summary!E$27)</f>
        <v>13.253419157126279</v>
      </c>
      <c r="F18" s="133">
        <f>IF(SER_hh_fech_in!F18=0,0,SER_hh_fech_in!F18/SER_summary!F$27)</f>
        <v>10.667094932056628</v>
      </c>
      <c r="G18" s="133">
        <f>IF(SER_hh_fech_in!G18=0,0,SER_hh_fech_in!G18/SER_summary!G$27)</f>
        <v>11.362332880923876</v>
      </c>
      <c r="H18" s="133">
        <f>IF(SER_hh_fech_in!H18=0,0,SER_hh_fech_in!H18/SER_summary!H$27)</f>
        <v>13.287044350045099</v>
      </c>
      <c r="I18" s="133">
        <f>IF(SER_hh_fech_in!I18=0,0,SER_hh_fech_in!I18/SER_summary!I$27)</f>
        <v>8.3506265935764574</v>
      </c>
      <c r="J18" s="133">
        <f>IF(SER_hh_fech_in!J18=0,0,SER_hh_fech_in!J18/SER_summary!J$27)</f>
        <v>7.8652467860613591</v>
      </c>
      <c r="K18" s="133">
        <f>IF(SER_hh_fech_in!K18=0,0,SER_hh_fech_in!K18/SER_summary!K$27)</f>
        <v>9.2504913938254365</v>
      </c>
      <c r="L18" s="133">
        <f>IF(SER_hh_fech_in!L18=0,0,SER_hh_fech_in!L18/SER_summary!L$27)</f>
        <v>12.258434189349002</v>
      </c>
      <c r="M18" s="133">
        <f>IF(SER_hh_fech_in!M18=0,0,SER_hh_fech_in!M18/SER_summary!M$27)</f>
        <v>7.7392013498274999</v>
      </c>
      <c r="N18" s="133">
        <f>IF(SER_hh_fech_in!N18=0,0,SER_hh_fech_in!N18/SER_summary!N$27)</f>
        <v>7.7592678568580151</v>
      </c>
      <c r="O18" s="133">
        <f>IF(SER_hh_fech_in!O18=0,0,SER_hh_fech_in!O18/SER_summary!O$27)</f>
        <v>9.5318315710706703</v>
      </c>
      <c r="P18" s="133">
        <f>IF(SER_hh_fech_in!P18=0,0,SER_hh_fech_in!P18/SER_summary!P$27)</f>
        <v>6.0737926872294015</v>
      </c>
      <c r="Q18" s="133">
        <f>IF(SER_hh_fech_in!Q18=0,0,SER_hh_fech_in!Q18/SER_summary!Q$27)</f>
        <v>6.7975050031202908</v>
      </c>
      <c r="R18" s="133">
        <f>IF(SER_hh_fech_in!R18=0,0,SER_hh_fech_in!R18/SER_summary!R$27)</f>
        <v>9.8364820216868551</v>
      </c>
      <c r="S18" s="133">
        <f>IF(SER_hh_fech_in!S18=0,0,SER_hh_fech_in!S18/SER_summary!S$27)</f>
        <v>9.0825920461160212</v>
      </c>
      <c r="T18" s="133">
        <f>IF(SER_hh_fech_in!T18=0,0,SER_hh_fech_in!T18/SER_summary!T$27)</f>
        <v>7.5832600443382638</v>
      </c>
      <c r="U18" s="133">
        <f>IF(SER_hh_fech_in!U18=0,0,SER_hh_fech_in!U18/SER_summary!U$27)</f>
        <v>5.799260765866836</v>
      </c>
      <c r="V18" s="133">
        <f>IF(SER_hh_fech_in!V18=0,0,SER_hh_fech_in!V18/SER_summary!V$27)</f>
        <v>8.3158547730235615</v>
      </c>
      <c r="W18" s="133">
        <f>IF(SER_hh_fech_in!W18=0,0,SER_hh_fech_in!W18/SER_summary!W$27)</f>
        <v>5.053659462843787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13.742977604215643</v>
      </c>
      <c r="D19" s="131">
        <f>IF(SER_hh_fech_in!D19=0,0,SER_hh_fech_in!D19/SER_summary!D$27)</f>
        <v>13.400014907378321</v>
      </c>
      <c r="E19" s="131">
        <f>IF(SER_hh_fech_in!E19=0,0,SER_hh_fech_in!E19/SER_summary!E$27)</f>
        <v>13.767534598055693</v>
      </c>
      <c r="F19" s="131">
        <f>IF(SER_hh_fech_in!F19=0,0,SER_hh_fech_in!F19/SER_summary!F$27)</f>
        <v>13.802112000132588</v>
      </c>
      <c r="G19" s="131">
        <f>IF(SER_hh_fech_in!G19=0,0,SER_hh_fech_in!G19/SER_summary!G$27)</f>
        <v>12.725357326185438</v>
      </c>
      <c r="H19" s="131">
        <f>IF(SER_hh_fech_in!H19=0,0,SER_hh_fech_in!H19/SER_summary!H$27)</f>
        <v>13.984302705422706</v>
      </c>
      <c r="I19" s="131">
        <f>IF(SER_hh_fech_in!I19=0,0,SER_hh_fech_in!I19/SER_summary!I$27)</f>
        <v>13.232656913007599</v>
      </c>
      <c r="J19" s="131">
        <f>IF(SER_hh_fech_in!J19=0,0,SER_hh_fech_in!J19/SER_summary!J$27)</f>
        <v>12.038735459018255</v>
      </c>
      <c r="K19" s="131">
        <f>IF(SER_hh_fech_in!K19=0,0,SER_hh_fech_in!K19/SER_summary!K$27)</f>
        <v>12.573904078989983</v>
      </c>
      <c r="L19" s="131">
        <f>IF(SER_hh_fech_in!L19=0,0,SER_hh_fech_in!L19/SER_summary!L$27)</f>
        <v>12.265120109919737</v>
      </c>
      <c r="M19" s="131">
        <f>IF(SER_hh_fech_in!M19=0,0,SER_hh_fech_in!M19/SER_summary!M$27)</f>
        <v>12.846268424297254</v>
      </c>
      <c r="N19" s="131">
        <f>IF(SER_hh_fech_in!N19=0,0,SER_hh_fech_in!N19/SER_summary!N$27)</f>
        <v>12.974700979090057</v>
      </c>
      <c r="O19" s="131">
        <f>IF(SER_hh_fech_in!O19=0,0,SER_hh_fech_in!O19/SER_summary!O$27)</f>
        <v>12.807835252193245</v>
      </c>
      <c r="P19" s="131">
        <f>IF(SER_hh_fech_in!P19=0,0,SER_hh_fech_in!P19/SER_summary!P$27)</f>
        <v>11.845517501772228</v>
      </c>
      <c r="Q19" s="131">
        <f>IF(SER_hh_fech_in!Q19=0,0,SER_hh_fech_in!Q19/SER_summary!Q$27)</f>
        <v>11.773348885921857</v>
      </c>
      <c r="R19" s="131">
        <f>IF(SER_hh_fech_in!R19=0,0,SER_hh_fech_in!R19/SER_summary!R$27)</f>
        <v>11.705011632546048</v>
      </c>
      <c r="S19" s="131">
        <f>IF(SER_hh_fech_in!S19=0,0,SER_hh_fech_in!S19/SER_summary!S$27)</f>
        <v>11.631584456954874</v>
      </c>
      <c r="T19" s="131">
        <f>IF(SER_hh_fech_in!T19=0,0,SER_hh_fech_in!T19/SER_summary!T$27)</f>
        <v>11.786778743238019</v>
      </c>
      <c r="U19" s="131">
        <f>IF(SER_hh_fech_in!U19=0,0,SER_hh_fech_in!U19/SER_summary!U$27)</f>
        <v>11.613566419361678</v>
      </c>
      <c r="V19" s="131">
        <f>IF(SER_hh_fech_in!V19=0,0,SER_hh_fech_in!V19/SER_summary!V$27)</f>
        <v>10.018571059673025</v>
      </c>
      <c r="W19" s="131">
        <f>IF(SER_hh_fech_in!W19=0,0,SER_hh_fech_in!W19/SER_summary!W$27)</f>
        <v>10.663222592155439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16.91902905782127</v>
      </c>
      <c r="D21" s="133">
        <f>IF(SER_hh_fech_in!D21=0,0,SER_hh_fech_in!D21/SER_summary!D$27)</f>
        <v>16.982448879526356</v>
      </c>
      <c r="E21" s="133">
        <f>IF(SER_hh_fech_in!E21=0,0,SER_hh_fech_in!E21/SER_summary!E$27)</f>
        <v>16.969807297054885</v>
      </c>
      <c r="F21" s="133">
        <f>IF(SER_hh_fech_in!F21=0,0,SER_hh_fech_in!F21/SER_summary!F$27)</f>
        <v>16.786810500639994</v>
      </c>
      <c r="G21" s="133">
        <f>IF(SER_hh_fech_in!G21=0,0,SER_hh_fech_in!G21/SER_summary!G$27)</f>
        <v>15.627519731155312</v>
      </c>
      <c r="H21" s="133">
        <f>IF(SER_hh_fech_in!H21=0,0,SER_hh_fech_in!H21/SER_summary!H$27)</f>
        <v>16.105970755603128</v>
      </c>
      <c r="I21" s="133">
        <f>IF(SER_hh_fech_in!I21=0,0,SER_hh_fech_in!I21/SER_summary!I$27)</f>
        <v>15.839273449069488</v>
      </c>
      <c r="J21" s="133">
        <f>IF(SER_hh_fech_in!J21=0,0,SER_hh_fech_in!J21/SER_summary!J$27)</f>
        <v>12.643302163467105</v>
      </c>
      <c r="K21" s="133">
        <f>IF(SER_hh_fech_in!K21=0,0,SER_hh_fech_in!K21/SER_summary!K$27)</f>
        <v>15.173238282367894</v>
      </c>
      <c r="L21" s="133">
        <f>IF(SER_hh_fech_in!L21=0,0,SER_hh_fech_in!L21/SER_summary!L$27)</f>
        <v>12.864173871827767</v>
      </c>
      <c r="M21" s="133">
        <f>IF(SER_hh_fech_in!M21=0,0,SER_hh_fech_in!M21/SER_summary!M$27)</f>
        <v>15.039399613969479</v>
      </c>
      <c r="N21" s="133">
        <f>IF(SER_hh_fech_in!N21=0,0,SER_hh_fech_in!N21/SER_summary!N$27)</f>
        <v>14.618943529167785</v>
      </c>
      <c r="O21" s="133">
        <f>IF(SER_hh_fech_in!O21=0,0,SER_hh_fech_in!O21/SER_summary!O$27)</f>
        <v>14.730858151086322</v>
      </c>
      <c r="P21" s="133">
        <f>IF(SER_hh_fech_in!P21=0,0,SER_hh_fech_in!P21/SER_summary!P$27)</f>
        <v>13.600173657931045</v>
      </c>
      <c r="Q21" s="133">
        <f>IF(SER_hh_fech_in!Q21=0,0,SER_hh_fech_in!Q21/SER_summary!Q$27)</f>
        <v>13.556202944307964</v>
      </c>
      <c r="R21" s="133">
        <f>IF(SER_hh_fech_in!R21=0,0,SER_hh_fech_in!R21/SER_summary!R$27)</f>
        <v>12.710170663445076</v>
      </c>
      <c r="S21" s="133">
        <f>IF(SER_hh_fech_in!S21=0,0,SER_hh_fech_in!S21/SER_summary!S$27)</f>
        <v>12.442739641280717</v>
      </c>
      <c r="T21" s="133">
        <f>IF(SER_hh_fech_in!T21=0,0,SER_hh_fech_in!T21/SER_summary!T$27)</f>
        <v>12.206559834714424</v>
      </c>
      <c r="U21" s="133">
        <f>IF(SER_hh_fech_in!U21=0,0,SER_hh_fech_in!U21/SER_summary!U$27)</f>
        <v>11.568184807164497</v>
      </c>
      <c r="V21" s="133">
        <f>IF(SER_hh_fech_in!V21=0,0,SER_hh_fech_in!V21/SER_summary!V$27)</f>
        <v>7.7017775134329032</v>
      </c>
      <c r="W21" s="133">
        <f>IF(SER_hh_fech_in!W21=0,0,SER_hh_fech_in!W21/SER_summary!W$27)</f>
        <v>11.679299961278751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18.202096200066126</v>
      </c>
      <c r="D22" s="133">
        <f>IF(SER_hh_fech_in!D22=0,0,SER_hh_fech_in!D22/SER_summary!D$27)</f>
        <v>18.03532378345124</v>
      </c>
      <c r="E22" s="133">
        <f>IF(SER_hh_fech_in!E22=0,0,SER_hh_fech_in!E22/SER_summary!E$27)</f>
        <v>18.105570974857255</v>
      </c>
      <c r="F22" s="133">
        <f>IF(SER_hh_fech_in!F22=0,0,SER_hh_fech_in!F22/SER_summary!F$27)</f>
        <v>18.025031038208144</v>
      </c>
      <c r="G22" s="133">
        <f>IF(SER_hh_fech_in!G22=0,0,SER_hh_fech_in!G22/SER_summary!G$27)</f>
        <v>16.464229678403548</v>
      </c>
      <c r="H22" s="133">
        <f>IF(SER_hh_fech_in!H22=0,0,SER_hh_fech_in!H22/SER_summary!H$27)</f>
        <v>17.077583537661081</v>
      </c>
      <c r="I22" s="133">
        <f>IF(SER_hh_fech_in!I22=0,0,SER_hh_fech_in!I22/SER_summary!I$27)</f>
        <v>16.718854179760957</v>
      </c>
      <c r="J22" s="133">
        <f>IF(SER_hh_fech_in!J22=0,0,SER_hh_fech_in!J22/SER_summary!J$27)</f>
        <v>12.910551741023806</v>
      </c>
      <c r="K22" s="133">
        <f>IF(SER_hh_fech_in!K22=0,0,SER_hh_fech_in!K22/SER_summary!K$27)</f>
        <v>15.515201951194189</v>
      </c>
      <c r="L22" s="133">
        <f>IF(SER_hh_fech_in!L22=0,0,SER_hh_fech_in!L22/SER_summary!L$27)</f>
        <v>13.554535562402281</v>
      </c>
      <c r="M22" s="133">
        <f>IF(SER_hh_fech_in!M22=0,0,SER_hh_fech_in!M22/SER_summary!M$27)</f>
        <v>15.898001516539173</v>
      </c>
      <c r="N22" s="133">
        <f>IF(SER_hh_fech_in!N22=0,0,SER_hh_fech_in!N22/SER_summary!N$27)</f>
        <v>15.397779489030521</v>
      </c>
      <c r="O22" s="133">
        <f>IF(SER_hh_fech_in!O22=0,0,SER_hh_fech_in!O22/SER_summary!O$27)</f>
        <v>15.728274811395078</v>
      </c>
      <c r="P22" s="133">
        <f>IF(SER_hh_fech_in!P22=0,0,SER_hh_fech_in!P22/SER_summary!P$27)</f>
        <v>14.335588406939175</v>
      </c>
      <c r="Q22" s="133">
        <f>IF(SER_hh_fech_in!Q22=0,0,SER_hh_fech_in!Q22/SER_summary!Q$27)</f>
        <v>14.103631564241665</v>
      </c>
      <c r="R22" s="133">
        <f>IF(SER_hh_fech_in!R22=0,0,SER_hh_fech_in!R22/SER_summary!R$27)</f>
        <v>12.972415438535295</v>
      </c>
      <c r="S22" s="133">
        <f>IF(SER_hh_fech_in!S22=0,0,SER_hh_fech_in!S22/SER_summary!S$27)</f>
        <v>12.849049635936623</v>
      </c>
      <c r="T22" s="133">
        <f>IF(SER_hh_fech_in!T22=0,0,SER_hh_fech_in!T22/SER_summary!T$27)</f>
        <v>12.740535016784184</v>
      </c>
      <c r="U22" s="133">
        <f>IF(SER_hh_fech_in!U22=0,0,SER_hh_fech_in!U22/SER_summary!U$27)</f>
        <v>11.795588481935816</v>
      </c>
      <c r="V22" s="133">
        <f>IF(SER_hh_fech_in!V22=0,0,SER_hh_fech_in!V22/SER_summary!V$27)</f>
        <v>7.6602545038008953</v>
      </c>
      <c r="W22" s="133">
        <f>IF(SER_hh_fech_in!W22=0,0,SER_hh_fech_in!W22/SER_summary!W$27)</f>
        <v>12.586979527870479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16.287295611974773</v>
      </c>
      <c r="D23" s="133">
        <f>IF(SER_hh_fech_in!D23=0,0,SER_hh_fech_in!D23/SER_summary!D$27)</f>
        <v>16.241460613899569</v>
      </c>
      <c r="E23" s="133">
        <f>IF(SER_hh_fech_in!E23=0,0,SER_hh_fech_in!E23/SER_summary!E$27)</f>
        <v>15.69389536782813</v>
      </c>
      <c r="F23" s="133">
        <f>IF(SER_hh_fech_in!F23=0,0,SER_hh_fech_in!F23/SER_summary!F$27)</f>
        <v>15.556471975596706</v>
      </c>
      <c r="G23" s="133">
        <f>IF(SER_hh_fech_in!G23=0,0,SER_hh_fech_in!G23/SER_summary!G$27)</f>
        <v>14.904997440580845</v>
      </c>
      <c r="H23" s="133">
        <f>IF(SER_hh_fech_in!H23=0,0,SER_hh_fech_in!H23/SER_summary!H$27)</f>
        <v>15.082737714625697</v>
      </c>
      <c r="I23" s="133">
        <f>IF(SER_hh_fech_in!I23=0,0,SER_hh_fech_in!I23/SER_summary!I$27)</f>
        <v>15.025801346176433</v>
      </c>
      <c r="J23" s="133">
        <f>IF(SER_hh_fech_in!J23=0,0,SER_hh_fech_in!J23/SER_summary!J$27)</f>
        <v>12.412098255554964</v>
      </c>
      <c r="K23" s="133">
        <f>IF(SER_hh_fech_in!K23=0,0,SER_hh_fech_in!K23/SER_summary!K$27)</f>
        <v>13.871701080809888</v>
      </c>
      <c r="L23" s="133">
        <f>IF(SER_hh_fech_in!L23=0,0,SER_hh_fech_in!L23/SER_summary!L$27)</f>
        <v>12.307406196059155</v>
      </c>
      <c r="M23" s="133">
        <f>IF(SER_hh_fech_in!M23=0,0,SER_hh_fech_in!M23/SER_summary!M$27)</f>
        <v>14.124980160145952</v>
      </c>
      <c r="N23" s="133">
        <f>IF(SER_hh_fech_in!N23=0,0,SER_hh_fech_in!N23/SER_summary!N$27)</f>
        <v>13.805399818706675</v>
      </c>
      <c r="O23" s="133">
        <f>IF(SER_hh_fech_in!O23=0,0,SER_hh_fech_in!O23/SER_summary!O$27)</f>
        <v>14.09648764370689</v>
      </c>
      <c r="P23" s="133">
        <f>IF(SER_hh_fech_in!P23=0,0,SER_hh_fech_in!P23/SER_summary!P$27)</f>
        <v>12.932831846630883</v>
      </c>
      <c r="Q23" s="133">
        <f>IF(SER_hh_fech_in!Q23=0,0,SER_hh_fech_in!Q23/SER_summary!Q$27)</f>
        <v>12.861316478345787</v>
      </c>
      <c r="R23" s="133">
        <f>IF(SER_hh_fech_in!R23=0,0,SER_hh_fech_in!R23/SER_summary!R$27)</f>
        <v>12.369930259644477</v>
      </c>
      <c r="S23" s="133">
        <f>IF(SER_hh_fech_in!S23=0,0,SER_hh_fech_in!S23/SER_summary!S$27)</f>
        <v>12.438774238412789</v>
      </c>
      <c r="T23" s="133">
        <f>IF(SER_hh_fech_in!T23=0,0,SER_hh_fech_in!T23/SER_summary!T$27)</f>
        <v>12.512496075799916</v>
      </c>
      <c r="U23" s="133">
        <f>IF(SER_hh_fech_in!U23=0,0,SER_hh_fech_in!U23/SER_summary!U$27)</f>
        <v>11.950809309859611</v>
      </c>
      <c r="V23" s="133">
        <f>IF(SER_hh_fech_in!V23=0,0,SER_hh_fech_in!V23/SER_summary!V$27)</f>
        <v>6.8513618747893101</v>
      </c>
      <c r="W23" s="133">
        <f>IF(SER_hh_fech_in!W23=0,0,SER_hh_fech_in!W23/SER_summary!W$27)</f>
        <v>12.318568532636862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11.735923699159976</v>
      </c>
      <c r="D25" s="133">
        <f>IF(SER_hh_fech_in!D25=0,0,SER_hh_fech_in!D25/SER_summary!D$27)</f>
        <v>12.161261597877035</v>
      </c>
      <c r="E25" s="133">
        <f>IF(SER_hh_fech_in!E25=0,0,SER_hh_fech_in!E25/SER_summary!E$27)</f>
        <v>12.260672903983494</v>
      </c>
      <c r="F25" s="133">
        <f>IF(SER_hh_fech_in!F25=0,0,SER_hh_fech_in!F25/SER_summary!F$27)</f>
        <v>12.576167467502078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2.5633550026845011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2.5571810661957937</v>
      </c>
      <c r="M25" s="133">
        <f>IF(SER_hh_fech_in!M25=0,0,SER_hh_fech_in!M25/SER_summary!M$27)</f>
        <v>9.4511523425697241</v>
      </c>
      <c r="N25" s="133">
        <f>IF(SER_hh_fech_in!N25=0,0,SER_hh_fech_in!N25/SER_summary!N$27)</f>
        <v>11.051256576721871</v>
      </c>
      <c r="O25" s="133">
        <f>IF(SER_hh_fech_in!O25=0,0,SER_hh_fech_in!O25/SER_summary!O$27)</f>
        <v>12.477467787319734</v>
      </c>
      <c r="P25" s="133">
        <f>IF(SER_hh_fech_in!P25=0,0,SER_hh_fech_in!P25/SER_summary!P$27)</f>
        <v>11.502291178888301</v>
      </c>
      <c r="Q25" s="133">
        <f>IF(SER_hh_fech_in!Q25=0,0,SER_hh_fech_in!Q25/SER_summary!Q$27)</f>
        <v>12.086265109269792</v>
      </c>
      <c r="R25" s="133">
        <f>IF(SER_hh_fech_in!R25=0,0,SER_hh_fech_in!R25/SER_summary!R$27)</f>
        <v>11.105385161253221</v>
      </c>
      <c r="S25" s="133">
        <f>IF(SER_hh_fech_in!S25=0,0,SER_hh_fech_in!S25/SER_summary!S$27)</f>
        <v>11.927107135262503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10.970095059602238</v>
      </c>
      <c r="D26" s="65">
        <f>IF(SER_hh_fech_in!D26=0,0,SER_hh_fech_in!D26/SER_summary!D$27)</f>
        <v>9.2144360858438148</v>
      </c>
      <c r="E26" s="65">
        <f>IF(SER_hh_fech_in!E26=0,0,SER_hh_fech_in!E26/SER_summary!E$27)</f>
        <v>9.9124843173197821</v>
      </c>
      <c r="F26" s="65">
        <f>IF(SER_hh_fech_in!F26=0,0,SER_hh_fech_in!F26/SER_summary!F$27)</f>
        <v>9.2597696441726445</v>
      </c>
      <c r="G26" s="65">
        <f>IF(SER_hh_fech_in!G26=0,0,SER_hh_fech_in!G26/SER_summary!G$27)</f>
        <v>4.254889129756477</v>
      </c>
      <c r="H26" s="65">
        <f>IF(SER_hh_fech_in!H26=0,0,SER_hh_fech_in!H26/SER_summary!H$27)</f>
        <v>9.648707507403099</v>
      </c>
      <c r="I26" s="65">
        <f>IF(SER_hh_fech_in!I26=0,0,SER_hh_fech_in!I26/SER_summary!I$27)</f>
        <v>5.9533257060107019</v>
      </c>
      <c r="J26" s="65">
        <f>IF(SER_hh_fech_in!J26=0,0,SER_hh_fech_in!J26/SER_summary!J$27)</f>
        <v>2.416638203835201</v>
      </c>
      <c r="K26" s="65">
        <f>IF(SER_hh_fech_in!K26=0,0,SER_hh_fech_in!K26/SER_summary!K$27)</f>
        <v>2.5380909683567996</v>
      </c>
      <c r="L26" s="65">
        <f>IF(SER_hh_fech_in!L26=0,0,SER_hh_fech_in!L26/SER_summary!L$27)</f>
        <v>1.2706848615950761</v>
      </c>
      <c r="M26" s="65">
        <f>IF(SER_hh_fech_in!M26=0,0,SER_hh_fech_in!M26/SER_summary!M$27)</f>
        <v>0.20945002552503258</v>
      </c>
      <c r="N26" s="65">
        <f>IF(SER_hh_fech_in!N26=0,0,SER_hh_fech_in!N26/SER_summary!N$27)</f>
        <v>0.13598488556982563</v>
      </c>
      <c r="O26" s="65">
        <f>IF(SER_hh_fech_in!O26=0,0,SER_hh_fech_in!O26/SER_summary!O$27)</f>
        <v>0.12820489770954319</v>
      </c>
      <c r="P26" s="65">
        <f>IF(SER_hh_fech_in!P26=0,0,SER_hh_fech_in!P26/SER_summary!P$27)</f>
        <v>0.12626831046138065</v>
      </c>
      <c r="Q26" s="65">
        <f>IF(SER_hh_fech_in!Q26=0,0,SER_hh_fech_in!Q26/SER_summary!Q$27)</f>
        <v>0.12389124647196839</v>
      </c>
      <c r="R26" s="65">
        <f>IF(SER_hh_fech_in!R26=0,0,SER_hh_fech_in!R26/SER_summary!R$27)</f>
        <v>0.11986349710100846</v>
      </c>
      <c r="S26" s="65">
        <f>IF(SER_hh_fech_in!S26=0,0,SER_hh_fech_in!S26/SER_summary!S$27)</f>
        <v>0.11371083981095499</v>
      </c>
      <c r="T26" s="65">
        <f>IF(SER_hh_fech_in!T26=0,0,SER_hh_fech_in!T26/SER_summary!T$27)</f>
        <v>0.10877222660467718</v>
      </c>
      <c r="U26" s="65">
        <f>IF(SER_hh_fech_in!U26=0,0,SER_hh_fech_in!U26/SER_summary!U$27)</f>
        <v>0.10785063006985614</v>
      </c>
      <c r="V26" s="65">
        <f>IF(SER_hh_fech_in!V26=0,0,SER_hh_fech_in!V26/SER_summary!V$27)</f>
        <v>8.3736675691939322E-2</v>
      </c>
      <c r="W26" s="65">
        <f>IF(SER_hh_fech_in!W26=0,0,SER_hh_fech_in!W26/SER_summary!W$27)</f>
        <v>9.4146056911099834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1.7511233439370917</v>
      </c>
      <c r="D27" s="146">
        <f>IF(SER_hh_fech_in!D27=0,0,SER_hh_fech_in!D27/SER_summary!D$27)</f>
        <v>2.8746802471478134</v>
      </c>
      <c r="E27" s="146">
        <f>IF(SER_hh_fech_in!E27=0,0,SER_hh_fech_in!E27/SER_summary!E$27)</f>
        <v>2.1987971750316739</v>
      </c>
      <c r="F27" s="146">
        <f>IF(SER_hh_fech_in!F27=0,0,SER_hh_fech_in!F27/SER_summary!F$27)</f>
        <v>2.5514848439507962</v>
      </c>
      <c r="G27" s="146">
        <f>IF(SER_hh_fech_in!G27=0,0,SER_hh_fech_in!G27/SER_summary!G$27)</f>
        <v>4.8038921437833366</v>
      </c>
      <c r="H27" s="146">
        <f>IF(SER_hh_fech_in!H27=0,0,SER_hh_fech_in!H27/SER_summary!H$27)</f>
        <v>2.1055403439888916</v>
      </c>
      <c r="I27" s="146">
        <f>IF(SER_hh_fech_in!I27=0,0,SER_hh_fech_in!I27/SER_summary!I$27)</f>
        <v>3.7547471188999526</v>
      </c>
      <c r="J27" s="146">
        <f>IF(SER_hh_fech_in!J27=0,0,SER_hh_fech_in!J27/SER_summary!J$27)</f>
        <v>5.816904580771955</v>
      </c>
      <c r="K27" s="146">
        <f>IF(SER_hh_fech_in!K27=0,0,SER_hh_fech_in!K27/SER_summary!K$27)</f>
        <v>5.3182969033420813</v>
      </c>
      <c r="L27" s="146">
        <f>IF(SER_hh_fech_in!L27=0,0,SER_hh_fech_in!L27/SER_summary!L$27)</f>
        <v>6.0114712825834973</v>
      </c>
      <c r="M27" s="146">
        <f>IF(SER_hh_fech_in!M27=0,0,SER_hh_fech_in!M27/SER_summary!M$27)</f>
        <v>5.8627908056154965</v>
      </c>
      <c r="N27" s="146">
        <f>IF(SER_hh_fech_in!N27=0,0,SER_hh_fech_in!N27/SER_summary!N$27)</f>
        <v>5.4793148589778395</v>
      </c>
      <c r="O27" s="146">
        <f>IF(SER_hh_fech_in!O27=0,0,SER_hh_fech_in!O27/SER_summary!O$27)</f>
        <v>5.6214808555788185</v>
      </c>
      <c r="P27" s="146">
        <f>IF(SER_hh_fech_in!P27=0,0,SER_hh_fech_in!P27/SER_summary!P$27)</f>
        <v>6.4708866900497659</v>
      </c>
      <c r="Q27" s="146">
        <f>IF(SER_hh_fech_in!Q27=0,0,SER_hh_fech_in!Q27/SER_summary!Q$27)</f>
        <v>6.2839016790484452</v>
      </c>
      <c r="R27" s="146">
        <f>IF(SER_hh_fech_in!R27=0,0,SER_hh_fech_in!R27/SER_summary!R$27)</f>
        <v>6.0129188821500978</v>
      </c>
      <c r="S27" s="146">
        <f>IF(SER_hh_fech_in!S27=0,0,SER_hh_fech_in!S27/SER_summary!S$27)</f>
        <v>5.8449222418588418</v>
      </c>
      <c r="T27" s="146">
        <f>IF(SER_hh_fech_in!T27=0,0,SER_hh_fech_in!T27/SER_summary!T$27)</f>
        <v>5.5134606055076611</v>
      </c>
      <c r="U27" s="146">
        <f>IF(SER_hh_fech_in!U27=0,0,SER_hh_fech_in!U27/SER_summary!U$27)</f>
        <v>5.7764365713725718</v>
      </c>
      <c r="V27" s="146">
        <f>IF(SER_hh_fech_in!V27=0,0,SER_hh_fech_in!V27/SER_summary!V$27)</f>
        <v>6.1901141182198138</v>
      </c>
      <c r="W27" s="146">
        <f>IF(SER_hh_fech_in!W27=0,0,SER_hh_fech_in!W27/SER_summary!W$27)</f>
        <v>1.0720336824272963E-2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7.4232950313244315</v>
      </c>
      <c r="D28" s="147">
        <f>IF(SER_hh_fech_in!D28=0,0,SER_hh_fech_in!D28/SER_summary!D$27)</f>
        <v>7.4740307012508627</v>
      </c>
      <c r="E28" s="147">
        <f>IF(SER_hh_fech_in!E28=0,0,SER_hh_fech_in!E28/SER_summary!E$27)</f>
        <v>7.858758496710692</v>
      </c>
      <c r="F28" s="147">
        <f>IF(SER_hh_fech_in!F28=0,0,SER_hh_fech_in!F28/SER_summary!F$27)</f>
        <v>7.9271459431646498</v>
      </c>
      <c r="G28" s="147">
        <f>IF(SER_hh_fech_in!G28=0,0,SER_hh_fech_in!G28/SER_summary!G$27)</f>
        <v>7.5050368548470621</v>
      </c>
      <c r="H28" s="147">
        <f>IF(SER_hh_fech_in!H28=0,0,SER_hh_fech_in!H28/SER_summary!H$27)</f>
        <v>7.6705352013964241</v>
      </c>
      <c r="I28" s="147">
        <f>IF(SER_hh_fech_in!I28=0,0,SER_hh_fech_in!I28/SER_summary!I$27)</f>
        <v>7.7206497787987267</v>
      </c>
      <c r="J28" s="147">
        <f>IF(SER_hh_fech_in!J28=0,0,SER_hh_fech_in!J28/SER_summary!J$27)</f>
        <v>7.7458544420940969</v>
      </c>
      <c r="K28" s="147">
        <f>IF(SER_hh_fech_in!K28=0,0,SER_hh_fech_in!K28/SER_summary!K$27)</f>
        <v>7.786457540718037</v>
      </c>
      <c r="L28" s="147">
        <f>IF(SER_hh_fech_in!L28=0,0,SER_hh_fech_in!L28/SER_summary!L$27)</f>
        <v>8.2016185496767058</v>
      </c>
      <c r="M28" s="147">
        <f>IF(SER_hh_fech_in!M28=0,0,SER_hh_fech_in!M28/SER_summary!M$27)</f>
        <v>9.113177565016116</v>
      </c>
      <c r="N28" s="147">
        <f>IF(SER_hh_fech_in!N28=0,0,SER_hh_fech_in!N28/SER_summary!N$27)</f>
        <v>8.9602139487784171</v>
      </c>
      <c r="O28" s="147">
        <f>IF(SER_hh_fech_in!O28=0,0,SER_hh_fech_in!O28/SER_summary!O$27)</f>
        <v>9.5112245852362083</v>
      </c>
      <c r="P28" s="147">
        <f>IF(SER_hh_fech_in!P28=0,0,SER_hh_fech_in!P28/SER_summary!P$27)</f>
        <v>9.5682560433985309</v>
      </c>
      <c r="Q28" s="147">
        <f>IF(SER_hh_fech_in!Q28=0,0,SER_hh_fech_in!Q28/SER_summary!Q$27)</f>
        <v>9.7585440614082</v>
      </c>
      <c r="R28" s="147">
        <f>IF(SER_hh_fech_in!R28=0,0,SER_hh_fech_in!R28/SER_summary!R$27)</f>
        <v>9.4378360191633828</v>
      </c>
      <c r="S28" s="147">
        <f>IF(SER_hh_fech_in!S28=0,0,SER_hh_fech_in!S28/SER_summary!S$27)</f>
        <v>9.468908628164467</v>
      </c>
      <c r="T28" s="147">
        <f>IF(SER_hh_fech_in!T28=0,0,SER_hh_fech_in!T28/SER_summary!T$27)</f>
        <v>9.8388180991603402</v>
      </c>
      <c r="U28" s="147">
        <f>IF(SER_hh_fech_in!U28=0,0,SER_hh_fech_in!U28/SER_summary!U$27)</f>
        <v>9.6988958694708884</v>
      </c>
      <c r="V28" s="147">
        <f>IF(SER_hh_fech_in!V28=0,0,SER_hh_fech_in!V28/SER_summary!V$27)</f>
        <v>7.4350893392969049</v>
      </c>
      <c r="W28" s="147">
        <f>IF(SER_hh_fech_in!W28=0,0,SER_hh_fech_in!W28/SER_summary!W$27)</f>
        <v>10.381760099227296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13.402482292698618</v>
      </c>
      <c r="D29" s="131">
        <f>IF(SER_hh_fech_in!D29=0,0,SER_hh_fech_in!D29/SER_summary!D$27)</f>
        <v>16.198317173832518</v>
      </c>
      <c r="E29" s="131">
        <f>IF(SER_hh_fech_in!E29=0,0,SER_hh_fech_in!E29/SER_summary!E$27)</f>
        <v>16.286233167950144</v>
      </c>
      <c r="F29" s="131">
        <f>IF(SER_hh_fech_in!F29=0,0,SER_hh_fech_in!F29/SER_summary!F$27)</f>
        <v>16.637083383133035</v>
      </c>
      <c r="G29" s="131">
        <f>IF(SER_hh_fech_in!G29=0,0,SER_hh_fech_in!G29/SER_summary!G$27)</f>
        <v>19.20928001819285</v>
      </c>
      <c r="H29" s="131">
        <f>IF(SER_hh_fech_in!H29=0,0,SER_hh_fech_in!H29/SER_summary!H$27)</f>
        <v>16.160928754870799</v>
      </c>
      <c r="I29" s="131">
        <f>IF(SER_hh_fech_in!I29=0,0,SER_hh_fech_in!I29/SER_summary!I$27)</f>
        <v>16.066616774758618</v>
      </c>
      <c r="J29" s="131">
        <f>IF(SER_hh_fech_in!J29=0,0,SER_hh_fech_in!J29/SER_summary!J$27)</f>
        <v>14.902731359772174</v>
      </c>
      <c r="K29" s="131">
        <f>IF(SER_hh_fech_in!K29=0,0,SER_hh_fech_in!K29/SER_summary!K$27)</f>
        <v>13.717918147628588</v>
      </c>
      <c r="L29" s="131">
        <f>IF(SER_hh_fech_in!L29=0,0,SER_hh_fech_in!L29/SER_summary!L$27)</f>
        <v>16.447318758080169</v>
      </c>
      <c r="M29" s="131">
        <f>IF(SER_hh_fech_in!M29=0,0,SER_hh_fech_in!M29/SER_summary!M$27)</f>
        <v>16.021931397492164</v>
      </c>
      <c r="N29" s="131">
        <f>IF(SER_hh_fech_in!N29=0,0,SER_hh_fech_in!N29/SER_summary!N$27)</f>
        <v>27.785173523861761</v>
      </c>
      <c r="O29" s="131">
        <f>IF(SER_hh_fech_in!O29=0,0,SER_hh_fech_in!O29/SER_summary!O$27)</f>
        <v>16.975814731668077</v>
      </c>
      <c r="P29" s="131">
        <f>IF(SER_hh_fech_in!P29=0,0,SER_hh_fech_in!P29/SER_summary!P$27)</f>
        <v>20.175214766680092</v>
      </c>
      <c r="Q29" s="131">
        <f>IF(SER_hh_fech_in!Q29=0,0,SER_hh_fech_in!Q29/SER_summary!Q$27)</f>
        <v>18.70473065933048</v>
      </c>
      <c r="R29" s="131">
        <f>IF(SER_hh_fech_in!R29=0,0,SER_hh_fech_in!R29/SER_summary!R$27)</f>
        <v>16.86715782659579</v>
      </c>
      <c r="S29" s="131">
        <f>IF(SER_hh_fech_in!S29=0,0,SER_hh_fech_in!S29/SER_summary!S$27)</f>
        <v>16.541931085937492</v>
      </c>
      <c r="T29" s="131">
        <f>IF(SER_hh_fech_in!T29=0,0,SER_hh_fech_in!T29/SER_summary!T$27)</f>
        <v>16.606238627994177</v>
      </c>
      <c r="U29" s="131">
        <f>IF(SER_hh_fech_in!U29=0,0,SER_hh_fech_in!U29/SER_summary!U$27)</f>
        <v>14.006352272754841</v>
      </c>
      <c r="V29" s="131">
        <f>IF(SER_hh_fech_in!V29=0,0,SER_hh_fech_in!V29/SER_summary!V$27)</f>
        <v>13.660545497273018</v>
      </c>
      <c r="W29" s="131">
        <f>IF(SER_hh_fech_in!W29=0,0,SER_hh_fech_in!W29/SER_summary!W$27)</f>
        <v>13.905555468194553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13.162010273380417</v>
      </c>
      <c r="D30" s="133">
        <f>IF(SER_hh_fech_in!D30=0,0,SER_hh_fech_in!D30/SER_summary!D$27)</f>
        <v>18.523069922242428</v>
      </c>
      <c r="E30" s="133">
        <f>IF(SER_hh_fech_in!E30=0,0,SER_hh_fech_in!E30/SER_summary!E$27)</f>
        <v>17.396844397490746</v>
      </c>
      <c r="F30" s="133">
        <f>IF(SER_hh_fech_in!F30=0,0,SER_hh_fech_in!F30/SER_summary!F$27)</f>
        <v>17.205429842852972</v>
      </c>
      <c r="G30" s="133">
        <f>IF(SER_hh_fech_in!G30=0,0,SER_hh_fech_in!G30/SER_summary!G$27)</f>
        <v>21.714876594526835</v>
      </c>
      <c r="H30" s="133">
        <f>IF(SER_hh_fech_in!H30=0,0,SER_hh_fech_in!H30/SER_summary!H$27)</f>
        <v>18.250441771462889</v>
      </c>
      <c r="I30" s="133">
        <f>IF(SER_hh_fech_in!I30=0,0,SER_hh_fech_in!I30/SER_summary!I$27)</f>
        <v>18.43231058173382</v>
      </c>
      <c r="J30" s="133">
        <f>IF(SER_hh_fech_in!J30=0,0,SER_hh_fech_in!J30/SER_summary!J$27)</f>
        <v>21.633701428348409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14.044434712406009</v>
      </c>
      <c r="O30" s="133">
        <f>IF(SER_hh_fech_in!O30=0,0,SER_hh_fech_in!O30/SER_summary!O$27)</f>
        <v>14.071062785843298</v>
      </c>
      <c r="P30" s="133">
        <f>IF(SER_hh_fech_in!P30=0,0,SER_hh_fech_in!P30/SER_summary!P$27)</f>
        <v>21.506671621891012</v>
      </c>
      <c r="Q30" s="133">
        <f>IF(SER_hh_fech_in!Q30=0,0,SER_hh_fech_in!Q30/SER_summary!Q$27)</f>
        <v>21.106470514684201</v>
      </c>
      <c r="R30" s="133">
        <f>IF(SER_hh_fech_in!R30=0,0,SER_hh_fech_in!R30/SER_summary!R$27)</f>
        <v>18.584948980856602</v>
      </c>
      <c r="S30" s="133">
        <f>IF(SER_hh_fech_in!S30=0,0,SER_hh_fech_in!S30/SER_summary!S$27)</f>
        <v>17.854000648958262</v>
      </c>
      <c r="T30" s="133">
        <f>IF(SER_hh_fech_in!T30=0,0,SER_hh_fech_in!T30/SER_summary!T$27)</f>
        <v>22.500228402672906</v>
      </c>
      <c r="U30" s="133">
        <f>IF(SER_hh_fech_in!U30=0,0,SER_hh_fech_in!U30/SER_summary!U$27)</f>
        <v>22.116318943899223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16.527278361668088</v>
      </c>
      <c r="D31" s="133">
        <f>IF(SER_hh_fech_in!D31=0,0,SER_hh_fech_in!D31/SER_summary!D$27)</f>
        <v>17.72245609271204</v>
      </c>
      <c r="E31" s="133">
        <f>IF(SER_hh_fech_in!E31=0,0,SER_hh_fech_in!E31/SER_summary!E$27)</f>
        <v>17.560116171305303</v>
      </c>
      <c r="F31" s="133">
        <f>IF(SER_hh_fech_in!F31=0,0,SER_hh_fech_in!F31/SER_summary!F$27)</f>
        <v>18.594969960669367</v>
      </c>
      <c r="G31" s="133">
        <f>IF(SER_hh_fech_in!G31=0,0,SER_hh_fech_in!G31/SER_summary!G$27)</f>
        <v>18.89531955193371</v>
      </c>
      <c r="H31" s="133">
        <f>IF(SER_hh_fech_in!H31=0,0,SER_hh_fech_in!H31/SER_summary!H$27)</f>
        <v>18.917880965514527</v>
      </c>
      <c r="I31" s="133">
        <f>IF(SER_hh_fech_in!I31=0,0,SER_hh_fech_in!I31/SER_summary!I$27)</f>
        <v>18.712316960781457</v>
      </c>
      <c r="J31" s="133">
        <f>IF(SER_hh_fech_in!J31=0,0,SER_hh_fech_in!J31/SER_summary!J$27)</f>
        <v>18.016326844750839</v>
      </c>
      <c r="K31" s="133">
        <f>IF(SER_hh_fech_in!K31=0,0,SER_hh_fech_in!K31/SER_summary!K$27)</f>
        <v>18.172707004819131</v>
      </c>
      <c r="L31" s="133">
        <f>IF(SER_hh_fech_in!L31=0,0,SER_hh_fech_in!L31/SER_summary!L$27)</f>
        <v>20.192322981208402</v>
      </c>
      <c r="M31" s="133">
        <f>IF(SER_hh_fech_in!M31=0,0,SER_hh_fech_in!M31/SER_summary!M$27)</f>
        <v>18.846692726285514</v>
      </c>
      <c r="N31" s="133">
        <f>IF(SER_hh_fech_in!N31=0,0,SER_hh_fech_in!N31/SER_summary!N$27)</f>
        <v>17.658743235615141</v>
      </c>
      <c r="O31" s="133">
        <f>IF(SER_hh_fech_in!O31=0,0,SER_hh_fech_in!O31/SER_summary!O$27)</f>
        <v>19.541557771028447</v>
      </c>
      <c r="P31" s="133">
        <f>IF(SER_hh_fech_in!P31=0,0,SER_hh_fech_in!P31/SER_summary!P$27)</f>
        <v>18.422115767139193</v>
      </c>
      <c r="Q31" s="133">
        <f>IF(SER_hh_fech_in!Q31=0,0,SER_hh_fech_in!Q31/SER_summary!Q$27)</f>
        <v>19.496812594760588</v>
      </c>
      <c r="R31" s="133">
        <f>IF(SER_hh_fech_in!R31=0,0,SER_hh_fech_in!R31/SER_summary!R$27)</f>
        <v>19.697317456917478</v>
      </c>
      <c r="S31" s="133">
        <f>IF(SER_hh_fech_in!S31=0,0,SER_hh_fech_in!S31/SER_summary!S$27)</f>
        <v>19.530052024407066</v>
      </c>
      <c r="T31" s="133">
        <f>IF(SER_hh_fech_in!T31=0,0,SER_hh_fech_in!T31/SER_summary!T$27)</f>
        <v>19.506300244039565</v>
      </c>
      <c r="U31" s="133">
        <f>IF(SER_hh_fech_in!U31=0,0,SER_hh_fech_in!U31/SER_summary!U$27)</f>
        <v>20.04011909427572</v>
      </c>
      <c r="V31" s="133">
        <f>IF(SER_hh_fech_in!V31=0,0,SER_hh_fech_in!V31/SER_summary!V$27)</f>
        <v>18.522138781434293</v>
      </c>
      <c r="W31" s="133">
        <f>IF(SER_hh_fech_in!W31=0,0,SER_hh_fech_in!W31/SER_summary!W$27)</f>
        <v>17.014769157669416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30.604615538479717</v>
      </c>
      <c r="O32" s="133">
        <f>IF(SER_hh_fech_in!O32=0,0,SER_hh_fech_in!O32/SER_summary!O$27)</f>
        <v>16.685581196567895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19.238950609090775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13.186600569550942</v>
      </c>
      <c r="D33" s="68">
        <f>IF(SER_hh_fech_in!D33=0,0,SER_hh_fech_in!D33/SER_summary!D$27)</f>
        <v>13.433456335703937</v>
      </c>
      <c r="E33" s="68">
        <f>IF(SER_hh_fech_in!E33=0,0,SER_hh_fech_in!E33/SER_summary!E$27)</f>
        <v>14.329290350430583</v>
      </c>
      <c r="F33" s="68">
        <f>IF(SER_hh_fech_in!F33=0,0,SER_hh_fech_in!F33/SER_summary!F$27)</f>
        <v>14.577954222184388</v>
      </c>
      <c r="G33" s="68">
        <f>IF(SER_hh_fech_in!G33=0,0,SER_hh_fech_in!G33/SER_summary!G$27)</f>
        <v>12.578771600100241</v>
      </c>
      <c r="H33" s="68">
        <f>IF(SER_hh_fech_in!H33=0,0,SER_hh_fech_in!H33/SER_summary!H$27)</f>
        <v>14.541648745857373</v>
      </c>
      <c r="I33" s="68">
        <f>IF(SER_hh_fech_in!I33=0,0,SER_hh_fech_in!I33/SER_summary!I$27)</f>
        <v>14.349040368812823</v>
      </c>
      <c r="J33" s="68">
        <f>IF(SER_hh_fech_in!J33=0,0,SER_hh_fech_in!J33/SER_summary!J$27)</f>
        <v>13.572187945908439</v>
      </c>
      <c r="K33" s="68">
        <f>IF(SER_hh_fech_in!K33=0,0,SER_hh_fech_in!K33/SER_summary!K$27)</f>
        <v>12.950343918985761</v>
      </c>
      <c r="L33" s="68">
        <f>IF(SER_hh_fech_in!L33=0,0,SER_hh_fech_in!L33/SER_summary!L$27)</f>
        <v>15.849584811238392</v>
      </c>
      <c r="M33" s="68">
        <f>IF(SER_hh_fech_in!M33=0,0,SER_hh_fech_in!M33/SER_summary!M$27)</f>
        <v>15.021144023993466</v>
      </c>
      <c r="N33" s="68">
        <f>IF(SER_hh_fech_in!N33=0,0,SER_hh_fech_in!N33/SER_summary!N$27)</f>
        <v>0</v>
      </c>
      <c r="O33" s="68">
        <f>IF(SER_hh_fech_in!O33=0,0,SER_hh_fech_in!O33/SER_summary!O$27)</f>
        <v>13.670216891078084</v>
      </c>
      <c r="P33" s="68">
        <f>IF(SER_hh_fech_in!P33=0,0,SER_hh_fech_in!P33/SER_summary!P$27)</f>
        <v>13.518074249578767</v>
      </c>
      <c r="Q33" s="68">
        <f>IF(SER_hh_fech_in!Q33=0,0,SER_hh_fech_in!Q33/SER_summary!Q$27)</f>
        <v>13.100401108071237</v>
      </c>
      <c r="R33" s="68">
        <f>IF(SER_hh_fech_in!R33=0,0,SER_hh_fech_in!R33/SER_summary!R$27)</f>
        <v>14.341624793278896</v>
      </c>
      <c r="S33" s="68">
        <f>IF(SER_hh_fech_in!S33=0,0,SER_hh_fech_in!S33/SER_summary!S$27)</f>
        <v>14.720767260654599</v>
      </c>
      <c r="T33" s="68">
        <f>IF(SER_hh_fech_in!T33=0,0,SER_hh_fech_in!T33/SER_summary!T$27)</f>
        <v>12.692622554661332</v>
      </c>
      <c r="U33" s="68">
        <f>IF(SER_hh_fech_in!U33=0,0,SER_hh_fech_in!U33/SER_summary!U$27)</f>
        <v>12.361855486238367</v>
      </c>
      <c r="V33" s="68">
        <f>IF(SER_hh_fech_in!V33=0,0,SER_hh_fech_in!V33/SER_summary!V$27)</f>
        <v>12.847799196010795</v>
      </c>
      <c r="W33" s="68">
        <f>IF(SER_hh_fech_in!W33=0,0,SER_hh_fech_in!W33/SER_summary!W$27)</f>
        <v>13.063707850897185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61.981018449216783</v>
      </c>
      <c r="D3" s="126">
        <f>IF(SER_hh_tesh_in!D3=0,0,SER_hh_tesh_in!D3/SER_summary!D$27)</f>
        <v>60.721852709729646</v>
      </c>
      <c r="E3" s="126">
        <f>IF(SER_hh_tesh_in!E3=0,0,SER_hh_tesh_in!E3/SER_summary!E$27)</f>
        <v>76.602980996952439</v>
      </c>
      <c r="F3" s="126">
        <f>IF(SER_hh_tesh_in!F3=0,0,SER_hh_tesh_in!F3/SER_summary!F$27)</f>
        <v>73.295577335767817</v>
      </c>
      <c r="G3" s="126">
        <f>IF(SER_hh_tesh_in!G3=0,0,SER_hh_tesh_in!G3/SER_summary!G$27)</f>
        <v>82.979242892181929</v>
      </c>
      <c r="H3" s="126">
        <f>IF(SER_hh_tesh_in!H3=0,0,SER_hh_tesh_in!H3/SER_summary!H$27)</f>
        <v>89.879546817869468</v>
      </c>
      <c r="I3" s="126">
        <f>IF(SER_hh_tesh_in!I3=0,0,SER_hh_tesh_in!I3/SER_summary!I$27)</f>
        <v>79.198957454842059</v>
      </c>
      <c r="J3" s="126">
        <f>IF(SER_hh_tesh_in!J3=0,0,SER_hh_tesh_in!J3/SER_summary!J$27)</f>
        <v>80.287875391124345</v>
      </c>
      <c r="K3" s="126">
        <f>IF(SER_hh_tesh_in!K3=0,0,SER_hh_tesh_in!K3/SER_summary!K$27)</f>
        <v>83.124836312494807</v>
      </c>
      <c r="L3" s="126">
        <f>IF(SER_hh_tesh_in!L3=0,0,SER_hh_tesh_in!L3/SER_summary!L$27)</f>
        <v>95.758772304833556</v>
      </c>
      <c r="M3" s="126">
        <f>IF(SER_hh_tesh_in!M3=0,0,SER_hh_tesh_in!M3/SER_summary!M$27)</f>
        <v>84.423129198244027</v>
      </c>
      <c r="N3" s="126">
        <f>IF(SER_hh_tesh_in!N3=0,0,SER_hh_tesh_in!N3/SER_summary!N$27)</f>
        <v>92.436793541294762</v>
      </c>
      <c r="O3" s="126">
        <f>IF(SER_hh_tesh_in!O3=0,0,SER_hh_tesh_in!O3/SER_summary!O$27)</f>
        <v>92.2385852113201</v>
      </c>
      <c r="P3" s="126">
        <f>IF(SER_hh_tesh_in!P3=0,0,SER_hh_tesh_in!P3/SER_summary!P$27)</f>
        <v>92.352840500737159</v>
      </c>
      <c r="Q3" s="126">
        <f>IF(SER_hh_tesh_in!Q3=0,0,SER_hh_tesh_in!Q3/SER_summary!Q$27)</f>
        <v>93.998618097604407</v>
      </c>
      <c r="R3" s="126">
        <f>IF(SER_hh_tesh_in!R3=0,0,SER_hh_tesh_in!R3/SER_summary!R$27)</f>
        <v>101.25837499857023</v>
      </c>
      <c r="S3" s="126">
        <f>IF(SER_hh_tesh_in!S3=0,0,SER_hh_tesh_in!S3/SER_summary!S$27)</f>
        <v>96.222367754071612</v>
      </c>
      <c r="T3" s="126">
        <f>IF(SER_hh_tesh_in!T3=0,0,SER_hh_tesh_in!T3/SER_summary!T$27)</f>
        <v>97.35347757135807</v>
      </c>
      <c r="U3" s="126">
        <f>IF(SER_hh_tesh_in!U3=0,0,SER_hh_tesh_in!U3/SER_summary!U$27)</f>
        <v>88.092218510010355</v>
      </c>
      <c r="V3" s="126">
        <f>IF(SER_hh_tesh_in!V3=0,0,SER_hh_tesh_in!V3/SER_summary!V$27)</f>
        <v>92.92882574942449</v>
      </c>
      <c r="W3" s="126">
        <f>IF(SER_hh_tesh_in!W3=0,0,SER_hh_tesh_in!W3/SER_summary!W$27)</f>
        <v>79.329268806676907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18.51893553784064</v>
      </c>
      <c r="D4" s="131">
        <f>IF(SER_hh_tesh_in!D4=0,0,SER_hh_tesh_in!D4/SER_summary!D$27)</f>
        <v>19.081660458782661</v>
      </c>
      <c r="E4" s="131">
        <f>IF(SER_hh_tesh_in!E4=0,0,SER_hh_tesh_in!E4/SER_summary!E$27)</f>
        <v>25.725696974898863</v>
      </c>
      <c r="F4" s="131">
        <f>IF(SER_hh_tesh_in!F4=0,0,SER_hh_tesh_in!F4/SER_summary!F$27)</f>
        <v>27.779941436151958</v>
      </c>
      <c r="G4" s="131">
        <f>IF(SER_hh_tesh_in!G4=0,0,SER_hh_tesh_in!G4/SER_summary!G$27)</f>
        <v>33.608578758471545</v>
      </c>
      <c r="H4" s="131">
        <f>IF(SER_hh_tesh_in!H4=0,0,SER_hh_tesh_in!H4/SER_summary!H$27)</f>
        <v>35.328250850296456</v>
      </c>
      <c r="I4" s="131">
        <f>IF(SER_hh_tesh_in!I4=0,0,SER_hh_tesh_in!I4/SER_summary!I$27)</f>
        <v>36.987796807791568</v>
      </c>
      <c r="J4" s="131">
        <f>IF(SER_hh_tesh_in!J4=0,0,SER_hh_tesh_in!J4/SER_summary!J$27)</f>
        <v>38.933881747822923</v>
      </c>
      <c r="K4" s="131">
        <f>IF(SER_hh_tesh_in!K4=0,0,SER_hh_tesh_in!K4/SER_summary!K$27)</f>
        <v>37.536770842756155</v>
      </c>
      <c r="L4" s="131">
        <f>IF(SER_hh_tesh_in!L4=0,0,SER_hh_tesh_in!L4/SER_summary!L$27)</f>
        <v>38.426046926149823</v>
      </c>
      <c r="M4" s="131">
        <f>IF(SER_hh_tesh_in!M4=0,0,SER_hh_tesh_in!M4/SER_summary!M$27)</f>
        <v>40.061369192855906</v>
      </c>
      <c r="N4" s="131">
        <f>IF(SER_hh_tesh_in!N4=0,0,SER_hh_tesh_in!N4/SER_summary!N$27)</f>
        <v>41.74536294895745</v>
      </c>
      <c r="O4" s="131">
        <f>IF(SER_hh_tesh_in!O4=0,0,SER_hh_tesh_in!O4/SER_summary!O$27)</f>
        <v>40.801491053793278</v>
      </c>
      <c r="P4" s="131">
        <f>IF(SER_hh_tesh_in!P4=0,0,SER_hh_tesh_in!P4/SER_summary!P$27)</f>
        <v>49.939140321891578</v>
      </c>
      <c r="Q4" s="131">
        <f>IF(SER_hh_tesh_in!Q4=0,0,SER_hh_tesh_in!Q4/SER_summary!Q$27)</f>
        <v>48.395602781776859</v>
      </c>
      <c r="R4" s="131">
        <f>IF(SER_hh_tesh_in!R4=0,0,SER_hh_tesh_in!R4/SER_summary!R$27)</f>
        <v>44.06164260992152</v>
      </c>
      <c r="S4" s="131">
        <f>IF(SER_hh_tesh_in!S4=0,0,SER_hh_tesh_in!S4/SER_summary!S$27)</f>
        <v>40.981573929496641</v>
      </c>
      <c r="T4" s="131">
        <f>IF(SER_hh_tesh_in!T4=0,0,SER_hh_tesh_in!T4/SER_summary!T$27)</f>
        <v>47.146406229028649</v>
      </c>
      <c r="U4" s="131">
        <f>IF(SER_hh_tesh_in!U4=0,0,SER_hh_tesh_in!U4/SER_summary!U$27)</f>
        <v>44.959429761585007</v>
      </c>
      <c r="V4" s="131">
        <f>IF(SER_hh_tesh_in!V4=0,0,SER_hh_tesh_in!V4/SER_summary!V$27)</f>
        <v>40.457191994566649</v>
      </c>
      <c r="W4" s="131">
        <f>IF(SER_hh_tesh_in!W4=0,0,SER_hh_tesh_in!W4/SER_summary!W$27)</f>
        <v>39.584249781811316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18.635333457693182</v>
      </c>
      <c r="D7" s="133">
        <f>IF(SER_hh_tesh_in!D7=0,0,SER_hh_tesh_in!D7/SER_summary!D$27)</f>
        <v>19.962198813003042</v>
      </c>
      <c r="E7" s="133">
        <f>IF(SER_hh_tesh_in!E7=0,0,SER_hh_tesh_in!E7/SER_summary!E$27)</f>
        <v>22.238030807823169</v>
      </c>
      <c r="F7" s="133">
        <f>IF(SER_hh_tesh_in!F7=0,0,SER_hh_tesh_in!F7/SER_summary!F$27)</f>
        <v>29.341570614653662</v>
      </c>
      <c r="G7" s="133">
        <f>IF(SER_hh_tesh_in!G7=0,0,SER_hh_tesh_in!G7/SER_summary!G$27)</f>
        <v>35.130146183952867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0</v>
      </c>
      <c r="O7" s="133">
        <f>IF(SER_hh_tesh_in!O7=0,0,SER_hh_tesh_in!O7/SER_summary!O$27)</f>
        <v>39.798096044893526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39.028167144713734</v>
      </c>
      <c r="S7" s="133">
        <f>IF(SER_hh_tesh_in!S7=0,0,SER_hh_tesh_in!S7/SER_summary!S$27)</f>
        <v>38.962269050531049</v>
      </c>
      <c r="T7" s="133">
        <f>IF(SER_hh_tesh_in!T7=0,0,SER_hh_tesh_in!T7/SER_summary!T$27)</f>
        <v>42.533044545098321</v>
      </c>
      <c r="U7" s="133">
        <f>IF(SER_hh_tesh_in!U7=0,0,SER_hh_tesh_in!U7/SER_summary!U$27)</f>
        <v>43.231359948068445</v>
      </c>
      <c r="V7" s="133">
        <f>IF(SER_hh_tesh_in!V7=0,0,SER_hh_tesh_in!V7/SER_summary!V$27)</f>
        <v>0</v>
      </c>
      <c r="W7" s="133">
        <f>IF(SER_hh_tesh_in!W7=0,0,SER_hh_tesh_in!W7/SER_summary!W$27)</f>
        <v>32.976807128766794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17.634859150381295</v>
      </c>
      <c r="D8" s="133">
        <f>IF(SER_hh_tesh_in!D8=0,0,SER_hh_tesh_in!D8/SER_summary!D$27)</f>
        <v>21.573691659116786</v>
      </c>
      <c r="E8" s="133">
        <f>IF(SER_hh_tesh_in!E8=0,0,SER_hh_tesh_in!E8/SER_summary!E$27)</f>
        <v>25.626289025895449</v>
      </c>
      <c r="F8" s="133">
        <f>IF(SER_hh_tesh_in!F8=0,0,SER_hh_tesh_in!F8/SER_summary!F$27)</f>
        <v>28.241575756330256</v>
      </c>
      <c r="G8" s="133">
        <f>IF(SER_hh_tesh_in!G8=0,0,SER_hh_tesh_in!G8/SER_summary!G$27)</f>
        <v>29.536710247277803</v>
      </c>
      <c r="H8" s="133">
        <f>IF(SER_hh_tesh_in!H8=0,0,SER_hh_tesh_in!H8/SER_summary!H$27)</f>
        <v>33.639610576811364</v>
      </c>
      <c r="I8" s="133">
        <f>IF(SER_hh_tesh_in!I8=0,0,SER_hh_tesh_in!I8/SER_summary!I$27)</f>
        <v>35.642662515413853</v>
      </c>
      <c r="J8" s="133">
        <f>IF(SER_hh_tesh_in!J8=0,0,SER_hh_tesh_in!J8/SER_summary!J$27)</f>
        <v>38.272996868673914</v>
      </c>
      <c r="K8" s="133">
        <f>IF(SER_hh_tesh_in!K8=0,0,SER_hh_tesh_in!K8/SER_summary!K$27)</f>
        <v>36.565472733452786</v>
      </c>
      <c r="L8" s="133">
        <f>IF(SER_hh_tesh_in!L8=0,0,SER_hh_tesh_in!L8/SER_summary!L$27)</f>
        <v>37.327979962919493</v>
      </c>
      <c r="M8" s="133">
        <f>IF(SER_hh_tesh_in!M8=0,0,SER_hh_tesh_in!M8/SER_summary!M$27)</f>
        <v>39.855683981933176</v>
      </c>
      <c r="N8" s="133">
        <f>IF(SER_hh_tesh_in!N8=0,0,SER_hh_tesh_in!N8/SER_summary!N$27)</f>
        <v>40.429443525186791</v>
      </c>
      <c r="O8" s="133">
        <f>IF(SER_hh_tesh_in!O8=0,0,SER_hh_tesh_in!O8/SER_summary!O$27)</f>
        <v>42.768957393701662</v>
      </c>
      <c r="P8" s="133">
        <f>IF(SER_hh_tesh_in!P8=0,0,SER_hh_tesh_in!P8/SER_summary!P$27)</f>
        <v>46.316327081994359</v>
      </c>
      <c r="Q8" s="133">
        <f>IF(SER_hh_tesh_in!Q8=0,0,SER_hh_tesh_in!Q8/SER_summary!Q$27)</f>
        <v>47.601792997700542</v>
      </c>
      <c r="R8" s="133">
        <f>IF(SER_hh_tesh_in!R8=0,0,SER_hh_tesh_in!R8/SER_summary!R$27)</f>
        <v>44.554618652472385</v>
      </c>
      <c r="S8" s="133">
        <f>IF(SER_hh_tesh_in!S8=0,0,SER_hh_tesh_in!S8/SER_summary!S$27)</f>
        <v>42.580754389575361</v>
      </c>
      <c r="T8" s="133">
        <f>IF(SER_hh_tesh_in!T8=0,0,SER_hh_tesh_in!T8/SER_summary!T$27)</f>
        <v>42.172249356939837</v>
      </c>
      <c r="U8" s="133">
        <f>IF(SER_hh_tesh_in!U8=0,0,SER_hh_tesh_in!U8/SER_summary!U$27)</f>
        <v>41.968110300073228</v>
      </c>
      <c r="V8" s="133">
        <f>IF(SER_hh_tesh_in!V8=0,0,SER_hh_tesh_in!V8/SER_summary!V$27)</f>
        <v>39.232511480433047</v>
      </c>
      <c r="W8" s="133">
        <f>IF(SER_hh_tesh_in!W8=0,0,SER_hh_tesh_in!W8/SER_summary!W$27)</f>
        <v>40.346678882072254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17.51498427638786</v>
      </c>
      <c r="D9" s="133">
        <f>IF(SER_hh_tesh_in!D9=0,0,SER_hh_tesh_in!D9/SER_summary!D$27)</f>
        <v>22.060526720646443</v>
      </c>
      <c r="E9" s="133">
        <f>IF(SER_hh_tesh_in!E9=0,0,SER_hh_tesh_in!E9/SER_summary!E$27)</f>
        <v>23.704060516589262</v>
      </c>
      <c r="F9" s="133">
        <f>IF(SER_hh_tesh_in!F9=0,0,SER_hh_tesh_in!F9/SER_summary!F$27)</f>
        <v>30.015137519028062</v>
      </c>
      <c r="G9" s="133">
        <f>IF(SER_hh_tesh_in!G9=0,0,SER_hh_tesh_in!G9/SER_summary!G$27)</f>
        <v>0</v>
      </c>
      <c r="H9" s="133">
        <f>IF(SER_hh_tesh_in!H9=0,0,SER_hh_tesh_in!H9/SER_summary!H$27)</f>
        <v>34.60939995194552</v>
      </c>
      <c r="I9" s="133">
        <f>IF(SER_hh_tesh_in!I9=0,0,SER_hh_tesh_in!I9/SER_summary!I$27)</f>
        <v>36.397592989263543</v>
      </c>
      <c r="J9" s="133">
        <f>IF(SER_hh_tesh_in!J9=0,0,SER_hh_tesh_in!J9/SER_summary!J$27)</f>
        <v>37.040591504863713</v>
      </c>
      <c r="K9" s="133">
        <f>IF(SER_hh_tesh_in!K9=0,0,SER_hh_tesh_in!K9/SER_summary!K$27)</f>
        <v>40.204809595908493</v>
      </c>
      <c r="L9" s="133">
        <f>IF(SER_hh_tesh_in!L9=0,0,SER_hh_tesh_in!L9/SER_summary!L$27)</f>
        <v>35.387398632347939</v>
      </c>
      <c r="M9" s="133">
        <f>IF(SER_hh_tesh_in!M9=0,0,SER_hh_tesh_in!M9/SER_summary!M$27)</f>
        <v>39.914205693710244</v>
      </c>
      <c r="N9" s="133">
        <f>IF(SER_hh_tesh_in!N9=0,0,SER_hh_tesh_in!N9/SER_summary!N$27)</f>
        <v>41.078728860713916</v>
      </c>
      <c r="O9" s="133">
        <f>IF(SER_hh_tesh_in!O9=0,0,SER_hh_tesh_in!O9/SER_summary!O$27)</f>
        <v>40.373615317354968</v>
      </c>
      <c r="P9" s="133">
        <f>IF(SER_hh_tesh_in!P9=0,0,SER_hh_tesh_in!P9/SER_summary!P$27)</f>
        <v>0</v>
      </c>
      <c r="Q9" s="133">
        <f>IF(SER_hh_tesh_in!Q9=0,0,SER_hh_tesh_in!Q9/SER_summary!Q$27)</f>
        <v>43.685932939920434</v>
      </c>
      <c r="R9" s="133">
        <f>IF(SER_hh_tesh_in!R9=0,0,SER_hh_tesh_in!R9/SER_summary!R$27)</f>
        <v>44.912479363938928</v>
      </c>
      <c r="S9" s="133">
        <f>IF(SER_hh_tesh_in!S9=0,0,SER_hh_tesh_in!S9/SER_summary!S$27)</f>
        <v>43.613494061599383</v>
      </c>
      <c r="T9" s="133">
        <f>IF(SER_hh_tesh_in!T9=0,0,SER_hh_tesh_in!T9/SER_summary!T$27)</f>
        <v>46.086045717877553</v>
      </c>
      <c r="U9" s="133">
        <f>IF(SER_hh_tesh_in!U9=0,0,SER_hh_tesh_in!U9/SER_summary!U$27)</f>
        <v>0</v>
      </c>
      <c r="V9" s="133">
        <f>IF(SER_hh_tesh_in!V9=0,0,SER_hh_tesh_in!V9/SER_summary!V$27)</f>
        <v>32.403996668961483</v>
      </c>
      <c r="W9" s="133">
        <f>IF(SER_hh_tesh_in!W9=0,0,SER_hh_tesh_in!W9/SER_summary!W$27)</f>
        <v>44.841169434305101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57.178715453425866</v>
      </c>
      <c r="N10" s="133">
        <f>IF(SER_hh_tesh_in!N10=0,0,SER_hh_tesh_in!N10/SER_summary!N$27)</f>
        <v>50.392742064796728</v>
      </c>
      <c r="O10" s="133">
        <f>IF(SER_hh_tesh_in!O10=0,0,SER_hh_tesh_in!O10/SER_summary!O$27)</f>
        <v>0</v>
      </c>
      <c r="P10" s="133">
        <f>IF(SER_hh_tesh_in!P10=0,0,SER_hh_tesh_in!P10/SER_summary!P$27)</f>
        <v>0</v>
      </c>
      <c r="Q10" s="133">
        <f>IF(SER_hh_tesh_in!Q10=0,0,SER_hh_tesh_in!Q10/SER_summary!Q$27)</f>
        <v>0</v>
      </c>
      <c r="R10" s="133">
        <f>IF(SER_hh_tesh_in!R10=0,0,SER_hh_tesh_in!R10/SER_summary!R$27)</f>
        <v>39.832008394715487</v>
      </c>
      <c r="S10" s="133">
        <f>IF(SER_hh_tesh_in!S10=0,0,SER_hh_tesh_in!S10/SER_summary!S$27)</f>
        <v>49.688645239866212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41.47888512908952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18.335080561645331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36.934792266093709</v>
      </c>
      <c r="K11" s="133">
        <f>IF(SER_hh_tesh_in!K11=0,0,SER_hh_tesh_in!K11/SER_summary!K$27)</f>
        <v>35.88402281723365</v>
      </c>
      <c r="L11" s="133">
        <f>IF(SER_hh_tesh_in!L11=0,0,SER_hh_tesh_in!L11/SER_summary!L$27)</f>
        <v>32.671052974478066</v>
      </c>
      <c r="M11" s="133">
        <f>IF(SER_hh_tesh_in!M11=0,0,SER_hh_tesh_in!M11/SER_summary!M$27)</f>
        <v>44.582360691413136</v>
      </c>
      <c r="N11" s="133">
        <f>IF(SER_hh_tesh_in!N11=0,0,SER_hh_tesh_in!N11/SER_summary!N$27)</f>
        <v>44.469338698302941</v>
      </c>
      <c r="O11" s="133">
        <f>IF(SER_hh_tesh_in!O11=0,0,SER_hh_tesh_in!O11/SER_summary!O$27)</f>
        <v>38.059043507956787</v>
      </c>
      <c r="P11" s="133">
        <f>IF(SER_hh_tesh_in!P11=0,0,SER_hh_tesh_in!P11/SER_summary!P$27)</f>
        <v>0</v>
      </c>
      <c r="Q11" s="133">
        <f>IF(SER_hh_tesh_in!Q11=0,0,SER_hh_tesh_in!Q11/SER_summary!Q$27)</f>
        <v>48.161336739328625</v>
      </c>
      <c r="R11" s="133">
        <f>IF(SER_hh_tesh_in!R11=0,0,SER_hh_tesh_in!R11/SER_summary!R$27)</f>
        <v>40.681896235653426</v>
      </c>
      <c r="S11" s="133">
        <f>IF(SER_hh_tesh_in!S11=0,0,SER_hh_tesh_in!S11/SER_summary!S$27)</f>
        <v>42.80722520475679</v>
      </c>
      <c r="T11" s="133">
        <f>IF(SER_hh_tesh_in!T11=0,0,SER_hh_tesh_in!T11/SER_summary!T$27)</f>
        <v>46.253057344741542</v>
      </c>
      <c r="U11" s="133">
        <f>IF(SER_hh_tesh_in!U11=0,0,SER_hh_tesh_in!U11/SER_summary!U$27)</f>
        <v>45.6907174621956</v>
      </c>
      <c r="V11" s="133">
        <f>IF(SER_hh_tesh_in!V11=0,0,SER_hh_tesh_in!V11/SER_summary!V$27)</f>
        <v>0</v>
      </c>
      <c r="W11" s="133">
        <f>IF(SER_hh_tesh_in!W11=0,0,SER_hh_tesh_in!W11/SER_summary!W$27)</f>
        <v>38.916054747050396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17.735870994910922</v>
      </c>
      <c r="D12" s="133">
        <f>IF(SER_hh_tesh_in!D12=0,0,SER_hh_tesh_in!D12/SER_summary!D$27)</f>
        <v>23.781692110292969</v>
      </c>
      <c r="E12" s="133">
        <f>IF(SER_hh_tesh_in!E12=0,0,SER_hh_tesh_in!E12/SER_summary!E$27)</f>
        <v>23.79704364770123</v>
      </c>
      <c r="F12" s="133">
        <f>IF(SER_hh_tesh_in!F12=0,0,SER_hh_tesh_in!F12/SER_summary!F$27)</f>
        <v>31.889904456172388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35.084612852155566</v>
      </c>
      <c r="K12" s="133">
        <f>IF(SER_hh_tesh_in!K12=0,0,SER_hh_tesh_in!K12/SER_summary!K$27)</f>
        <v>31.411510343071992</v>
      </c>
      <c r="L12" s="133">
        <f>IF(SER_hh_tesh_in!L12=0,0,SER_hh_tesh_in!L12/SER_summary!L$27)</f>
        <v>41.050912895774083</v>
      </c>
      <c r="M12" s="133">
        <f>IF(SER_hh_tesh_in!M12=0,0,SER_hh_tesh_in!M12/SER_summary!M$27)</f>
        <v>34.801265531489754</v>
      </c>
      <c r="N12" s="133">
        <f>IF(SER_hh_tesh_in!N12=0,0,SER_hh_tesh_in!N12/SER_summary!N$27)</f>
        <v>44.66485017523943</v>
      </c>
      <c r="O12" s="133">
        <f>IF(SER_hh_tesh_in!O12=0,0,SER_hh_tesh_in!O12/SER_summary!O$27)</f>
        <v>43.939441374677024</v>
      </c>
      <c r="P12" s="133">
        <f>IF(SER_hh_tesh_in!P12=0,0,SER_hh_tesh_in!P12/SER_summary!P$27)</f>
        <v>0</v>
      </c>
      <c r="Q12" s="133">
        <f>IF(SER_hh_tesh_in!Q12=0,0,SER_hh_tesh_in!Q12/SER_summary!Q$27)</f>
        <v>43.933221685239303</v>
      </c>
      <c r="R12" s="133">
        <f>IF(SER_hh_tesh_in!R12=0,0,SER_hh_tesh_in!R12/SER_summary!R$27)</f>
        <v>41.142819773821387</v>
      </c>
      <c r="S12" s="133">
        <f>IF(SER_hh_tesh_in!S12=0,0,SER_hh_tesh_in!S12/SER_summary!S$27)</f>
        <v>44.642332576287444</v>
      </c>
      <c r="T12" s="133">
        <f>IF(SER_hh_tesh_in!T12=0,0,SER_hh_tesh_in!T12/SER_summary!T$27)</f>
        <v>43.654865573357178</v>
      </c>
      <c r="U12" s="133">
        <f>IF(SER_hh_tesh_in!U12=0,0,SER_hh_tesh_in!U12/SER_summary!U$27)</f>
        <v>42.084535208448905</v>
      </c>
      <c r="V12" s="133">
        <f>IF(SER_hh_tesh_in!V12=0,0,SER_hh_tesh_in!V12/SER_summary!V$27)</f>
        <v>39.590619989444107</v>
      </c>
      <c r="W12" s="133">
        <f>IF(SER_hh_tesh_in!W12=0,0,SER_hh_tesh_in!W12/SER_summary!W$27)</f>
        <v>39.577730917219149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17.855264610241949</v>
      </c>
      <c r="D13" s="133">
        <f>IF(SER_hh_tesh_in!D13=0,0,SER_hh_tesh_in!D13/SER_summary!D$27)</f>
        <v>16.100013620189362</v>
      </c>
      <c r="E13" s="133">
        <f>IF(SER_hh_tesh_in!E13=0,0,SER_hh_tesh_in!E13/SER_summary!E$27)</f>
        <v>27.479376061141128</v>
      </c>
      <c r="F13" s="133">
        <f>IF(SER_hh_tesh_in!F13=0,0,SER_hh_tesh_in!F13/SER_summary!F$27)</f>
        <v>25.696933060706339</v>
      </c>
      <c r="G13" s="133">
        <f>IF(SER_hh_tesh_in!G13=0,0,SER_hh_tesh_in!G13/SER_summary!G$27)</f>
        <v>32.690388461089512</v>
      </c>
      <c r="H13" s="133">
        <f>IF(SER_hh_tesh_in!H13=0,0,SER_hh_tesh_in!H13/SER_summary!H$27)</f>
        <v>35.45465717915782</v>
      </c>
      <c r="I13" s="133">
        <f>IF(SER_hh_tesh_in!I13=0,0,SER_hh_tesh_in!I13/SER_summary!I$27)</f>
        <v>36.401318325911603</v>
      </c>
      <c r="J13" s="133">
        <f>IF(SER_hh_tesh_in!J13=0,0,SER_hh_tesh_in!J13/SER_summary!J$27)</f>
        <v>39.190834209670633</v>
      </c>
      <c r="K13" s="133">
        <f>IF(SER_hh_tesh_in!K13=0,0,SER_hh_tesh_in!K13/SER_summary!K$27)</f>
        <v>37.008122333137607</v>
      </c>
      <c r="L13" s="133">
        <f>IF(SER_hh_tesh_in!L13=0,0,SER_hh_tesh_in!L13/SER_summary!L$27)</f>
        <v>38.610243987607561</v>
      </c>
      <c r="M13" s="133">
        <f>IF(SER_hh_tesh_in!M13=0,0,SER_hh_tesh_in!M13/SER_summary!M$27)</f>
        <v>38.475282240896831</v>
      </c>
      <c r="N13" s="133">
        <f>IF(SER_hh_tesh_in!N13=0,0,SER_hh_tesh_in!N13/SER_summary!N$27)</f>
        <v>41.37171615486757</v>
      </c>
      <c r="O13" s="133">
        <f>IF(SER_hh_tesh_in!O13=0,0,SER_hh_tesh_in!O13/SER_summary!O$27)</f>
        <v>42.289278663512576</v>
      </c>
      <c r="P13" s="133">
        <f>IF(SER_hh_tesh_in!P13=0,0,SER_hh_tesh_in!P13/SER_summary!P$27)</f>
        <v>47.487782023047579</v>
      </c>
      <c r="Q13" s="133">
        <f>IF(SER_hh_tesh_in!Q13=0,0,SER_hh_tesh_in!Q13/SER_summary!Q$27)</f>
        <v>45.982673999465703</v>
      </c>
      <c r="R13" s="133">
        <f>IF(SER_hh_tesh_in!R13=0,0,SER_hh_tesh_in!R13/SER_summary!R$27)</f>
        <v>43.776100802081103</v>
      </c>
      <c r="S13" s="133">
        <f>IF(SER_hh_tesh_in!S13=0,0,SER_hh_tesh_in!S13/SER_summary!S$27)</f>
        <v>43.210577859495309</v>
      </c>
      <c r="T13" s="133">
        <f>IF(SER_hh_tesh_in!T13=0,0,SER_hh_tesh_in!T13/SER_summary!T$27)</f>
        <v>43.05524352102308</v>
      </c>
      <c r="U13" s="133">
        <f>IF(SER_hh_tesh_in!U13=0,0,SER_hh_tesh_in!U13/SER_summary!U$27)</f>
        <v>42.466687464583849</v>
      </c>
      <c r="V13" s="133">
        <f>IF(SER_hh_tesh_in!V13=0,0,SER_hh_tesh_in!V13/SER_summary!V$27)</f>
        <v>40.684195722530397</v>
      </c>
      <c r="W13" s="133">
        <f>IF(SER_hh_tesh_in!W13=0,0,SER_hh_tesh_in!W13/SER_summary!W$27)</f>
        <v>39.491769250791741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18.217167737504706</v>
      </c>
      <c r="D14" s="65">
        <f>IF(SER_hh_tesh_in!D14=0,0,SER_hh_tesh_in!D14/SER_summary!D$27)</f>
        <v>20.211111090965986</v>
      </c>
      <c r="E14" s="65">
        <f>IF(SER_hh_tesh_in!E14=0,0,SER_hh_tesh_in!E14/SER_summary!E$27)</f>
        <v>22.067685367838699</v>
      </c>
      <c r="F14" s="65">
        <f>IF(SER_hh_tesh_in!F14=0,0,SER_hh_tesh_in!F14/SER_summary!F$27)</f>
        <v>29.235600763305257</v>
      </c>
      <c r="G14" s="65">
        <f>IF(SER_hh_tesh_in!G14=0,0,SER_hh_tesh_in!G14/SER_summary!G$27)</f>
        <v>35.139262459934983</v>
      </c>
      <c r="H14" s="65">
        <f>IF(SER_hh_tesh_in!H14=0,0,SER_hh_tesh_in!H14/SER_summary!H$27)</f>
        <v>34.865288591920198</v>
      </c>
      <c r="I14" s="65">
        <f>IF(SER_hh_tesh_in!I14=0,0,SER_hh_tesh_in!I14/SER_summary!I$27)</f>
        <v>40.263473475087743</v>
      </c>
      <c r="J14" s="65">
        <f>IF(SER_hh_tesh_in!J14=0,0,SER_hh_tesh_in!J14/SER_summary!J$27)</f>
        <v>0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10.912706747309555</v>
      </c>
      <c r="P14" s="65">
        <f>IF(SER_hh_tesh_in!P14=0,0,SER_hh_tesh_in!P14/SER_summary!P$27)</f>
        <v>57.967360743423406</v>
      </c>
      <c r="Q14" s="65">
        <f>IF(SER_hh_tesh_in!Q14=0,0,SER_hh_tesh_in!Q14/SER_summary!Q$27)</f>
        <v>68.846097002408214</v>
      </c>
      <c r="R14" s="65">
        <f>IF(SER_hh_tesh_in!R14=0,0,SER_hh_tesh_in!R14/SER_summary!R$27)</f>
        <v>0</v>
      </c>
      <c r="S14" s="65">
        <f>IF(SER_hh_tesh_in!S14=0,0,SER_hh_tesh_in!S14/SER_summary!S$27)</f>
        <v>26.812300675402955</v>
      </c>
      <c r="T14" s="65">
        <f>IF(SER_hh_tesh_in!T14=0,0,SER_hh_tesh_in!T14/SER_summary!T$27)</f>
        <v>56.664013032529461</v>
      </c>
      <c r="U14" s="65">
        <f>IF(SER_hh_tesh_in!U14=0,0,SER_hh_tesh_in!U14/SER_summary!U$27)</f>
        <v>61.016713163798009</v>
      </c>
      <c r="V14" s="65">
        <f>IF(SER_hh_tesh_in!V14=0,0,SER_hh_tesh_in!V14/SER_summary!V$27)</f>
        <v>0</v>
      </c>
      <c r="W14" s="65">
        <f>IF(SER_hh_tesh_in!W14=0,0,SER_hh_tesh_in!W14/SER_summary!W$27)</f>
        <v>43.004424754208756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0.34311971603710528</v>
      </c>
      <c r="D15" s="135">
        <f>IF(SER_hh_tesh_in!D15=0,0,SER_hh_tesh_in!D15/SER_summary!D$27)</f>
        <v>0.37429688463179056</v>
      </c>
      <c r="E15" s="135">
        <f>IF(SER_hh_tesh_in!E15=0,0,SER_hh_tesh_in!E15/SER_summary!E$27)</f>
        <v>0.40828652010732575</v>
      </c>
      <c r="F15" s="135">
        <f>IF(SER_hh_tesh_in!F15=0,0,SER_hh_tesh_in!F15/SER_summary!F$27)</f>
        <v>0.53882277474342632</v>
      </c>
      <c r="G15" s="135">
        <f>IF(SER_hh_tesh_in!G15=0,0,SER_hh_tesh_in!G15/SER_summary!G$27)</f>
        <v>0.63564651368750658</v>
      </c>
      <c r="H15" s="135">
        <f>IF(SER_hh_tesh_in!H15=0,0,SER_hh_tesh_in!H15/SER_summary!H$27)</f>
        <v>0.60744547595783549</v>
      </c>
      <c r="I15" s="135">
        <f>IF(SER_hh_tesh_in!I15=0,0,SER_hh_tesh_in!I15/SER_summary!I$27)</f>
        <v>0.62964547010778604</v>
      </c>
      <c r="J15" s="135">
        <f>IF(SER_hh_tesh_in!J15=0,0,SER_hh_tesh_in!J15/SER_summary!J$27)</f>
        <v>0.60120142595429582</v>
      </c>
      <c r="K15" s="135">
        <f>IF(SER_hh_tesh_in!K15=0,0,SER_hh_tesh_in!K15/SER_summary!K$27)</f>
        <v>0.61571157194658266</v>
      </c>
      <c r="L15" s="135">
        <f>IF(SER_hh_tesh_in!L15=0,0,SER_hh_tesh_in!L15/SER_summary!L$27)</f>
        <v>0.46483520940823425</v>
      </c>
      <c r="M15" s="135">
        <f>IF(SER_hh_tesh_in!M15=0,0,SER_hh_tesh_in!M15/SER_summary!M$27)</f>
        <v>0.50900003980350772</v>
      </c>
      <c r="N15" s="135">
        <f>IF(SER_hh_tesh_in!N15=0,0,SER_hh_tesh_in!N15/SER_summary!N$27)</f>
        <v>0.42034302917996225</v>
      </c>
      <c r="O15" s="135">
        <f>IF(SER_hh_tesh_in!O15=0,0,SER_hh_tesh_in!O15/SER_summary!O$27)</f>
        <v>0.59105828023781803</v>
      </c>
      <c r="P15" s="135">
        <f>IF(SER_hh_tesh_in!P15=0,0,SER_hh_tesh_in!P15/SER_summary!P$27)</f>
        <v>0.18906000754726449</v>
      </c>
      <c r="Q15" s="135">
        <f>IF(SER_hh_tesh_in!Q15=0,0,SER_hh_tesh_in!Q15/SER_summary!Q$27)</f>
        <v>0.68941492578658137</v>
      </c>
      <c r="R15" s="135">
        <f>IF(SER_hh_tesh_in!R15=0,0,SER_hh_tesh_in!R15/SER_summary!R$27)</f>
        <v>0.66894211158961403</v>
      </c>
      <c r="S15" s="135">
        <f>IF(SER_hh_tesh_in!S15=0,0,SER_hh_tesh_in!S15/SER_summary!S$27)</f>
        <v>0.61846786412442811</v>
      </c>
      <c r="T15" s="135">
        <f>IF(SER_hh_tesh_in!T15=0,0,SER_hh_tesh_in!T15/SER_summary!T$27)</f>
        <v>0.63470269149410785</v>
      </c>
      <c r="U15" s="135">
        <f>IF(SER_hh_tesh_in!U15=0,0,SER_hh_tesh_in!U15/SER_summary!U$27)</f>
        <v>0.63384348667527435</v>
      </c>
      <c r="V15" s="135">
        <f>IF(SER_hh_tesh_in!V15=0,0,SER_hh_tesh_in!V15/SER_summary!V$27)</f>
        <v>0.38180680904814779</v>
      </c>
      <c r="W15" s="135">
        <f>IF(SER_hh_tesh_in!W15=0,0,SER_hh_tesh_in!W15/SER_summary!W$27)</f>
        <v>0.52499115042160072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25.448408400267361</v>
      </c>
      <c r="D16" s="131">
        <f>IF(SER_hh_tesh_in!D16=0,0,SER_hh_tesh_in!D16/SER_summary!D$27)</f>
        <v>22.671451086205725</v>
      </c>
      <c r="E16" s="131">
        <f>IF(SER_hh_tesh_in!E16=0,0,SER_hh_tesh_in!E16/SER_summary!E$27)</f>
        <v>32.091744059368857</v>
      </c>
      <c r="F16" s="131">
        <f>IF(SER_hh_tesh_in!F16=0,0,SER_hh_tesh_in!F16/SER_summary!F$27)</f>
        <v>26.635619774442532</v>
      </c>
      <c r="G16" s="131">
        <f>IF(SER_hh_tesh_in!G16=0,0,SER_hh_tesh_in!G16/SER_summary!G$27)</f>
        <v>29.23844012062402</v>
      </c>
      <c r="H16" s="131">
        <f>IF(SER_hh_tesh_in!H16=0,0,SER_hh_tesh_in!H16/SER_summary!H$27)</f>
        <v>35.213513042485268</v>
      </c>
      <c r="I16" s="131">
        <f>IF(SER_hh_tesh_in!I16=0,0,SER_hh_tesh_in!I16/SER_summary!I$27)</f>
        <v>22.780186824197095</v>
      </c>
      <c r="J16" s="131">
        <f>IF(SER_hh_tesh_in!J16=0,0,SER_hh_tesh_in!J16/SER_summary!J$27)</f>
        <v>22.078473892695047</v>
      </c>
      <c r="K16" s="131">
        <f>IF(SER_hh_tesh_in!K16=0,0,SER_hh_tesh_in!K16/SER_summary!K$27)</f>
        <v>26.717445625047493</v>
      </c>
      <c r="L16" s="131">
        <f>IF(SER_hh_tesh_in!L16=0,0,SER_hh_tesh_in!L16/SER_summary!L$27)</f>
        <v>36.424387793187648</v>
      </c>
      <c r="M16" s="131">
        <f>IF(SER_hh_tesh_in!M16=0,0,SER_hh_tesh_in!M16/SER_summary!M$27)</f>
        <v>23.76512839039076</v>
      </c>
      <c r="N16" s="131">
        <f>IF(SER_hh_tesh_in!N16=0,0,SER_hh_tesh_in!N16/SER_summary!N$27)</f>
        <v>24.758870351337684</v>
      </c>
      <c r="O16" s="131">
        <f>IF(SER_hh_tesh_in!O16=0,0,SER_hh_tesh_in!O16/SER_summary!O$27)</f>
        <v>31.782811352113985</v>
      </c>
      <c r="P16" s="131">
        <f>IF(SER_hh_tesh_in!P16=0,0,SER_hh_tesh_in!P16/SER_summary!P$27)</f>
        <v>21.197679551849717</v>
      </c>
      <c r="Q16" s="131">
        <f>IF(SER_hh_tesh_in!Q16=0,0,SER_hh_tesh_in!Q16/SER_summary!Q$27)</f>
        <v>24.632959432679485</v>
      </c>
      <c r="R16" s="131">
        <f>IF(SER_hh_tesh_in!R16=0,0,SER_hh_tesh_in!R16/SER_summary!R$27)</f>
        <v>36.472030923363377</v>
      </c>
      <c r="S16" s="131">
        <f>IF(SER_hh_tesh_in!S16=0,0,SER_hh_tesh_in!S16/SER_summary!S$27)</f>
        <v>34.2827484836113</v>
      </c>
      <c r="T16" s="131">
        <f>IF(SER_hh_tesh_in!T16=0,0,SER_hh_tesh_in!T16/SER_summary!T$27)</f>
        <v>29.042112999601077</v>
      </c>
      <c r="U16" s="131">
        <f>IF(SER_hh_tesh_in!U16=0,0,SER_hh_tesh_in!U16/SER_summary!U$27)</f>
        <v>22.508268045818909</v>
      </c>
      <c r="V16" s="131">
        <f>IF(SER_hh_tesh_in!V16=0,0,SER_hh_tesh_in!V16/SER_summary!V$27)</f>
        <v>32.66934205184446</v>
      </c>
      <c r="W16" s="131">
        <f>IF(SER_hh_tesh_in!W16=0,0,SER_hh_tesh_in!W16/SER_summary!W$27)</f>
        <v>20.122914201507133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25.446588383910822</v>
      </c>
      <c r="D17" s="133">
        <f>IF(SER_hh_tesh_in!D17=0,0,SER_hh_tesh_in!D17/SER_summary!D$27)</f>
        <v>22.661911009144497</v>
      </c>
      <c r="E17" s="133">
        <f>IF(SER_hh_tesh_in!E17=0,0,SER_hh_tesh_in!E17/SER_summary!E$27)</f>
        <v>32.06820119367309</v>
      </c>
      <c r="F17" s="133">
        <f>IF(SER_hh_tesh_in!F17=0,0,SER_hh_tesh_in!F17/SER_summary!F$27)</f>
        <v>26.668889178149346</v>
      </c>
      <c r="G17" s="133">
        <f>IF(SER_hh_tesh_in!G17=0,0,SER_hh_tesh_in!G17/SER_summary!G$27)</f>
        <v>29.278996434374662</v>
      </c>
      <c r="H17" s="133">
        <f>IF(SER_hh_tesh_in!H17=0,0,SER_hh_tesh_in!H17/SER_summary!H$27)</f>
        <v>35.275225138424034</v>
      </c>
      <c r="I17" s="133">
        <f>IF(SER_hh_tesh_in!I17=0,0,SER_hh_tesh_in!I17/SER_summary!I$27)</f>
        <v>22.839251318285751</v>
      </c>
      <c r="J17" s="133">
        <f>IF(SER_hh_tesh_in!J17=0,0,SER_hh_tesh_in!J17/SER_summary!J$27)</f>
        <v>22.121200094614817</v>
      </c>
      <c r="K17" s="133">
        <f>IF(SER_hh_tesh_in!K17=0,0,SER_hh_tesh_in!K17/SER_summary!K$27)</f>
        <v>26.768178228831843</v>
      </c>
      <c r="L17" s="133">
        <f>IF(SER_hh_tesh_in!L17=0,0,SER_hh_tesh_in!L17/SER_summary!L$27)</f>
        <v>36.474024607785914</v>
      </c>
      <c r="M17" s="133">
        <f>IF(SER_hh_tesh_in!M17=0,0,SER_hh_tesh_in!M17/SER_summary!M$27)</f>
        <v>23.788891476898026</v>
      </c>
      <c r="N17" s="133">
        <f>IF(SER_hh_tesh_in!N17=0,0,SER_hh_tesh_in!N17/SER_summary!N$27)</f>
        <v>24.769897360028473</v>
      </c>
      <c r="O17" s="133">
        <f>IF(SER_hh_tesh_in!O17=0,0,SER_hh_tesh_in!O17/SER_summary!O$27)</f>
        <v>31.822644554808956</v>
      </c>
      <c r="P17" s="133">
        <f>IF(SER_hh_tesh_in!P17=0,0,SER_hh_tesh_in!P17/SER_summary!P$27)</f>
        <v>21.246110589052524</v>
      </c>
      <c r="Q17" s="133">
        <f>IF(SER_hh_tesh_in!Q17=0,0,SER_hh_tesh_in!Q17/SER_summary!Q$27)</f>
        <v>24.715646304203265</v>
      </c>
      <c r="R17" s="133">
        <f>IF(SER_hh_tesh_in!R17=0,0,SER_hh_tesh_in!R17/SER_summary!R$27)</f>
        <v>36.630187618543857</v>
      </c>
      <c r="S17" s="133">
        <f>IF(SER_hh_tesh_in!S17=0,0,SER_hh_tesh_in!S17/SER_summary!S$27)</f>
        <v>34.427530082921237</v>
      </c>
      <c r="T17" s="133">
        <f>IF(SER_hh_tesh_in!T17=0,0,SER_hh_tesh_in!T17/SER_summary!T$27)</f>
        <v>28.884641437574093</v>
      </c>
      <c r="U17" s="133">
        <f>IF(SER_hh_tesh_in!U17=0,0,SER_hh_tesh_in!U17/SER_summary!U$27)</f>
        <v>22.603063204877266</v>
      </c>
      <c r="V17" s="133">
        <f>IF(SER_hh_tesh_in!V17=0,0,SER_hh_tesh_in!V17/SER_summary!V$27)</f>
        <v>30.647531877039551</v>
      </c>
      <c r="W17" s="133">
        <f>IF(SER_hh_tesh_in!W17=0,0,SER_hh_tesh_in!W17/SER_summary!W$27)</f>
        <v>19.515928916411049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25.448412637780827</v>
      </c>
      <c r="D18" s="133">
        <f>IF(SER_hh_tesh_in!D18=0,0,SER_hh_tesh_in!D18/SER_summary!D$27)</f>
        <v>22.671461911438328</v>
      </c>
      <c r="E18" s="133">
        <f>IF(SER_hh_tesh_in!E18=0,0,SER_hh_tesh_in!E18/SER_summary!E$27)</f>
        <v>32.091770511762391</v>
      </c>
      <c r="F18" s="133">
        <f>IF(SER_hh_tesh_in!F18=0,0,SER_hh_tesh_in!F18/SER_summary!F$27)</f>
        <v>26.635447539868103</v>
      </c>
      <c r="G18" s="133">
        <f>IF(SER_hh_tesh_in!G18=0,0,SER_hh_tesh_in!G18/SER_summary!G$27)</f>
        <v>29.238333330814882</v>
      </c>
      <c r="H18" s="133">
        <f>IF(SER_hh_tesh_in!H18=0,0,SER_hh_tesh_in!H18/SER_summary!H$27)</f>
        <v>35.213326446132527</v>
      </c>
      <c r="I18" s="133">
        <f>IF(SER_hh_tesh_in!I18=0,0,SER_hh_tesh_in!I18/SER_summary!I$27)</f>
        <v>22.779845132978473</v>
      </c>
      <c r="J18" s="133">
        <f>IF(SER_hh_tesh_in!J18=0,0,SER_hh_tesh_in!J18/SER_summary!J$27)</f>
        <v>22.078255849281597</v>
      </c>
      <c r="K18" s="133">
        <f>IF(SER_hh_tesh_in!K18=0,0,SER_hh_tesh_in!K18/SER_summary!K$27)</f>
        <v>26.716959532484069</v>
      </c>
      <c r="L18" s="133">
        <f>IF(SER_hh_tesh_in!L18=0,0,SER_hh_tesh_in!L18/SER_summary!L$27)</f>
        <v>36.424199314323246</v>
      </c>
      <c r="M18" s="133">
        <f>IF(SER_hh_tesh_in!M18=0,0,SER_hh_tesh_in!M18/SER_summary!M$27)</f>
        <v>23.764942727091068</v>
      </c>
      <c r="N18" s="133">
        <f>IF(SER_hh_tesh_in!N18=0,0,SER_hh_tesh_in!N18/SER_summary!N$27)</f>
        <v>24.758809985344538</v>
      </c>
      <c r="O18" s="133">
        <f>IF(SER_hh_tesh_in!O18=0,0,SER_hh_tesh_in!O18/SER_summary!O$27)</f>
        <v>31.782420741879918</v>
      </c>
      <c r="P18" s="133">
        <f>IF(SER_hh_tesh_in!P18=0,0,SER_hh_tesh_in!P18/SER_summary!P$27)</f>
        <v>21.197187365525782</v>
      </c>
      <c r="Q18" s="133">
        <f>IF(SER_hh_tesh_in!Q18=0,0,SER_hh_tesh_in!Q18/SER_summary!Q$27)</f>
        <v>24.631846668898518</v>
      </c>
      <c r="R18" s="133">
        <f>IF(SER_hh_tesh_in!R18=0,0,SER_hh_tesh_in!R18/SER_summary!R$27)</f>
        <v>36.469235979426053</v>
      </c>
      <c r="S18" s="133">
        <f>IF(SER_hh_tesh_in!S18=0,0,SER_hh_tesh_in!S18/SER_summary!S$27)</f>
        <v>34.280608764501523</v>
      </c>
      <c r="T18" s="133">
        <f>IF(SER_hh_tesh_in!T18=0,0,SER_hh_tesh_in!T18/SER_summary!T$27)</f>
        <v>29.044719873716364</v>
      </c>
      <c r="U18" s="133">
        <f>IF(SER_hh_tesh_in!U18=0,0,SER_hh_tesh_in!U18/SER_summary!U$27)</f>
        <v>22.506348659969436</v>
      </c>
      <c r="V18" s="133">
        <f>IF(SER_hh_tesh_in!V18=0,0,SER_hh_tesh_in!V18/SER_summary!V$27)</f>
        <v>32.703638520285843</v>
      </c>
      <c r="W18" s="133">
        <f>IF(SER_hh_tesh_in!W18=0,0,SER_hh_tesh_in!W18/SER_summary!W$27)</f>
        <v>20.130665917586391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9.1577684397748538</v>
      </c>
      <c r="D19" s="131">
        <f>IF(SER_hh_tesh_in!D19=0,0,SER_hh_tesh_in!D19/SER_summary!D$27)</f>
        <v>9.4172692491783607</v>
      </c>
      <c r="E19" s="131">
        <f>IF(SER_hh_tesh_in!E19=0,0,SER_hh_tesh_in!E19/SER_summary!E$27)</f>
        <v>9.2807002008383748</v>
      </c>
      <c r="F19" s="131">
        <f>IF(SER_hh_tesh_in!F19=0,0,SER_hh_tesh_in!F19/SER_summary!F$27)</f>
        <v>9.3711848734826759</v>
      </c>
      <c r="G19" s="131">
        <f>IF(SER_hh_tesh_in!G19=0,0,SER_hh_tesh_in!G19/SER_summary!G$27)</f>
        <v>9.4170361465503518</v>
      </c>
      <c r="H19" s="131">
        <f>IF(SER_hh_tesh_in!H19=0,0,SER_hh_tesh_in!H19/SER_summary!H$27)</f>
        <v>9.2823969674552185</v>
      </c>
      <c r="I19" s="131">
        <f>IF(SER_hh_tesh_in!I19=0,0,SER_hh_tesh_in!I19/SER_summary!I$27)</f>
        <v>9.4070768417481059</v>
      </c>
      <c r="J19" s="131">
        <f>IF(SER_hh_tesh_in!J19=0,0,SER_hh_tesh_in!J19/SER_summary!J$27)</f>
        <v>9.4655959927824984</v>
      </c>
      <c r="K19" s="131">
        <f>IF(SER_hh_tesh_in!K19=0,0,SER_hh_tesh_in!K19/SER_summary!K$27)</f>
        <v>9.5858829916413733</v>
      </c>
      <c r="L19" s="131">
        <f>IF(SER_hh_tesh_in!L19=0,0,SER_hh_tesh_in!L19/SER_summary!L$27)</f>
        <v>9.6667857147491745</v>
      </c>
      <c r="M19" s="131">
        <f>IF(SER_hh_tesh_in!M19=0,0,SER_hh_tesh_in!M19/SER_summary!M$27)</f>
        <v>9.9931367206844381</v>
      </c>
      <c r="N19" s="131">
        <f>IF(SER_hh_tesh_in!N19=0,0,SER_hh_tesh_in!N19/SER_summary!N$27)</f>
        <v>10.081593338147218</v>
      </c>
      <c r="O19" s="131">
        <f>IF(SER_hh_tesh_in!O19=0,0,SER_hh_tesh_in!O19/SER_summary!O$27)</f>
        <v>10.253665787231593</v>
      </c>
      <c r="P19" s="131">
        <f>IF(SER_hh_tesh_in!P19=0,0,SER_hh_tesh_in!P19/SER_summary!P$27)</f>
        <v>10.198893046835403</v>
      </c>
      <c r="Q19" s="131">
        <f>IF(SER_hh_tesh_in!Q19=0,0,SER_hh_tesh_in!Q19/SER_summary!Q$27)</f>
        <v>10.227998605709203</v>
      </c>
      <c r="R19" s="131">
        <f>IF(SER_hh_tesh_in!R19=0,0,SER_hh_tesh_in!R19/SER_summary!R$27)</f>
        <v>10.193900295250035</v>
      </c>
      <c r="S19" s="131">
        <f>IF(SER_hh_tesh_in!S19=0,0,SER_hh_tesh_in!S19/SER_summary!S$27)</f>
        <v>10.187810893280879</v>
      </c>
      <c r="T19" s="131">
        <f>IF(SER_hh_tesh_in!T19=0,0,SER_hh_tesh_in!T19/SER_summary!T$27)</f>
        <v>10.302467226151906</v>
      </c>
      <c r="U19" s="131">
        <f>IF(SER_hh_tesh_in!U19=0,0,SER_hh_tesh_in!U19/SER_summary!U$27)</f>
        <v>10.310866377242048</v>
      </c>
      <c r="V19" s="131">
        <f>IF(SER_hh_tesh_in!V19=0,0,SER_hh_tesh_in!V19/SER_summary!V$27)</f>
        <v>9.1986888919596517</v>
      </c>
      <c r="W19" s="131">
        <f>IF(SER_hh_tesh_in!W19=0,0,SER_hh_tesh_in!W19/SER_summary!W$27)</f>
        <v>8.8928649309534133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9.0776662396218963</v>
      </c>
      <c r="D21" s="133">
        <f>IF(SER_hh_tesh_in!D21=0,0,SER_hh_tesh_in!D21/SER_summary!D$27)</f>
        <v>9.1476403378805315</v>
      </c>
      <c r="E21" s="133">
        <f>IF(SER_hh_tesh_in!E21=0,0,SER_hh_tesh_in!E21/SER_summary!E$27)</f>
        <v>9.1826976383871024</v>
      </c>
      <c r="F21" s="133">
        <f>IF(SER_hh_tesh_in!F21=0,0,SER_hh_tesh_in!F21/SER_summary!F$27)</f>
        <v>9.1258918327623224</v>
      </c>
      <c r="G21" s="133">
        <f>IF(SER_hh_tesh_in!G21=0,0,SER_hh_tesh_in!G21/SER_summary!G$27)</f>
        <v>8.5400061710008313</v>
      </c>
      <c r="H21" s="133">
        <f>IF(SER_hh_tesh_in!H21=0,0,SER_hh_tesh_in!H21/SER_summary!H$27)</f>
        <v>8.8518246100259503</v>
      </c>
      <c r="I21" s="133">
        <f>IF(SER_hh_tesh_in!I21=0,0,SER_hh_tesh_in!I21/SER_summary!I$27)</f>
        <v>8.7604238669666579</v>
      </c>
      <c r="J21" s="133">
        <f>IF(SER_hh_tesh_in!J21=0,0,SER_hh_tesh_in!J21/SER_summary!J$27)</f>
        <v>7.0448508219514752</v>
      </c>
      <c r="K21" s="133">
        <f>IF(SER_hh_tesh_in!K21=0,0,SER_hh_tesh_in!K21/SER_summary!K$27)</f>
        <v>8.5302169166806685</v>
      </c>
      <c r="L21" s="133">
        <f>IF(SER_hh_tesh_in!L21=0,0,SER_hh_tesh_in!L21/SER_summary!L$27)</f>
        <v>7.3082627102218813</v>
      </c>
      <c r="M21" s="133">
        <f>IF(SER_hh_tesh_in!M21=0,0,SER_hh_tesh_in!M21/SER_summary!M$27)</f>
        <v>8.7313338358486146</v>
      </c>
      <c r="N21" s="133">
        <f>IF(SER_hh_tesh_in!N21=0,0,SER_hh_tesh_in!N21/SER_summary!N$27)</f>
        <v>8.7907832797636143</v>
      </c>
      <c r="O21" s="133">
        <f>IF(SER_hh_tesh_in!O21=0,0,SER_hh_tesh_in!O21/SER_summary!O$27)</f>
        <v>9.3082235696482023</v>
      </c>
      <c r="P21" s="133">
        <f>IF(SER_hh_tesh_in!P21=0,0,SER_hh_tesh_in!P21/SER_summary!P$27)</f>
        <v>9.100139430327058</v>
      </c>
      <c r="Q21" s="133">
        <f>IF(SER_hh_tesh_in!Q21=0,0,SER_hh_tesh_in!Q21/SER_summary!Q$27)</f>
        <v>9.5289996506953525</v>
      </c>
      <c r="R21" s="133">
        <f>IF(SER_hh_tesh_in!R21=0,0,SER_hh_tesh_in!R21/SER_summary!R$27)</f>
        <v>9.2242840659382921</v>
      </c>
      <c r="S21" s="133">
        <f>IF(SER_hh_tesh_in!S21=0,0,SER_hh_tesh_in!S21/SER_summary!S$27)</f>
        <v>9.3037562285791608</v>
      </c>
      <c r="T21" s="133">
        <f>IF(SER_hh_tesh_in!T21=0,0,SER_hh_tesh_in!T21/SER_summary!T$27)</f>
        <v>9.3702062130959582</v>
      </c>
      <c r="U21" s="133">
        <f>IF(SER_hh_tesh_in!U21=0,0,SER_hh_tesh_in!U21/SER_summary!U$27)</f>
        <v>9.0721133451989058</v>
      </c>
      <c r="V21" s="133">
        <f>IF(SER_hh_tesh_in!V21=0,0,SER_hh_tesh_in!V21/SER_summary!V$27)</f>
        <v>6.1326122787716004</v>
      </c>
      <c r="W21" s="133">
        <f>IF(SER_hh_tesh_in!W21=0,0,SER_hh_tesh_in!W21/SER_summary!W$27)</f>
        <v>9.3658405200687049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9.2074713827116437</v>
      </c>
      <c r="D22" s="133">
        <f>IF(SER_hh_tesh_in!D22=0,0,SER_hh_tesh_in!D22/SER_summary!D$27)</f>
        <v>9.1630785430986208</v>
      </c>
      <c r="E22" s="133">
        <f>IF(SER_hh_tesh_in!E22=0,0,SER_hh_tesh_in!E22/SER_summary!E$27)</f>
        <v>9.2455349616680369</v>
      </c>
      <c r="F22" s="133">
        <f>IF(SER_hh_tesh_in!F22=0,0,SER_hh_tesh_in!F22/SER_summary!F$27)</f>
        <v>9.251867710395425</v>
      </c>
      <c r="G22" s="133">
        <f>IF(SER_hh_tesh_in!G22=0,0,SER_hh_tesh_in!G22/SER_summary!G$27)</f>
        <v>8.4996544905585729</v>
      </c>
      <c r="H22" s="133">
        <f>IF(SER_hh_tesh_in!H22=0,0,SER_hh_tesh_in!H22/SER_summary!H$27)</f>
        <v>8.8722018753339942</v>
      </c>
      <c r="I22" s="133">
        <f>IF(SER_hh_tesh_in!I22=0,0,SER_hh_tesh_in!I22/SER_summary!I$27)</f>
        <v>8.7468083690767759</v>
      </c>
      <c r="J22" s="133">
        <f>IF(SER_hh_tesh_in!J22=0,0,SER_hh_tesh_in!J22/SER_summary!J$27)</f>
        <v>6.8100770624465055</v>
      </c>
      <c r="K22" s="133">
        <f>IF(SER_hh_tesh_in!K22=0,0,SER_hh_tesh_in!K22/SER_summary!K$27)</f>
        <v>8.265006934867003</v>
      </c>
      <c r="L22" s="133">
        <f>IF(SER_hh_tesh_in!L22=0,0,SER_hh_tesh_in!L22/SER_summary!L$27)</f>
        <v>7.3045843431202524</v>
      </c>
      <c r="M22" s="133">
        <f>IF(SER_hh_tesh_in!M22=0,0,SER_hh_tesh_in!M22/SER_summary!M$27)</f>
        <v>8.774781210266875</v>
      </c>
      <c r="N22" s="133">
        <f>IF(SER_hh_tesh_in!N22=0,0,SER_hh_tesh_in!N22/SER_summary!N$27)</f>
        <v>8.8334245665475883</v>
      </c>
      <c r="O22" s="133">
        <f>IF(SER_hh_tesh_in!O22=0,0,SER_hh_tesh_in!O22/SER_summary!O$27)</f>
        <v>9.5262152484570564</v>
      </c>
      <c r="P22" s="133">
        <f>IF(SER_hh_tesh_in!P22=0,0,SER_hh_tesh_in!P22/SER_summary!P$27)</f>
        <v>9.2415273553165971</v>
      </c>
      <c r="Q22" s="133">
        <f>IF(SER_hh_tesh_in!Q22=0,0,SER_hh_tesh_in!Q22/SER_summary!Q$27)</f>
        <v>9.5911729938086534</v>
      </c>
      <c r="R22" s="133">
        <f>IF(SER_hh_tesh_in!R22=0,0,SER_hh_tesh_in!R22/SER_summary!R$27)</f>
        <v>9.1317531234729312</v>
      </c>
      <c r="S22" s="133">
        <f>IF(SER_hh_tesh_in!S22=0,0,SER_hh_tesh_in!S22/SER_summary!S$27)</f>
        <v>9.3406676227135819</v>
      </c>
      <c r="T22" s="133">
        <f>IF(SER_hh_tesh_in!T22=0,0,SER_hh_tesh_in!T22/SER_summary!T$27)</f>
        <v>9.5273749978594697</v>
      </c>
      <c r="U22" s="133">
        <f>IF(SER_hh_tesh_in!U22=0,0,SER_hh_tesh_in!U22/SER_summary!U$27)</f>
        <v>9.0256553521119294</v>
      </c>
      <c r="V22" s="133">
        <f>IF(SER_hh_tesh_in!V22=0,0,SER_hh_tesh_in!V22/SER_summary!V$27)</f>
        <v>5.9578910782871075</v>
      </c>
      <c r="W22" s="133">
        <f>IF(SER_hh_tesh_in!W22=0,0,SER_hh_tesh_in!W22/SER_summary!W$27)</f>
        <v>9.8643036458237763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8.9929335209276235</v>
      </c>
      <c r="D23" s="133">
        <f>IF(SER_hh_tesh_in!D23=0,0,SER_hh_tesh_in!D23/SER_summary!D$27)</f>
        <v>9.0656540504069891</v>
      </c>
      <c r="E23" s="133">
        <f>IF(SER_hh_tesh_in!E23=0,0,SER_hh_tesh_in!E23/SER_summary!E$27)</f>
        <v>8.858832873538713</v>
      </c>
      <c r="F23" s="133">
        <f>IF(SER_hh_tesh_in!F23=0,0,SER_hh_tesh_in!F23/SER_summary!F$27)</f>
        <v>8.8800057079974266</v>
      </c>
      <c r="G23" s="133">
        <f>IF(SER_hh_tesh_in!G23=0,0,SER_hh_tesh_in!G23/SER_summary!G$27)</f>
        <v>8.6062886821007396</v>
      </c>
      <c r="H23" s="133">
        <f>IF(SER_hh_tesh_in!H23=0,0,SER_hh_tesh_in!H23/SER_summary!H$27)</f>
        <v>8.8114585897256941</v>
      </c>
      <c r="I23" s="133">
        <f>IF(SER_hh_tesh_in!I23=0,0,SER_hh_tesh_in!I23/SER_summary!I$27)</f>
        <v>8.8842044230872848</v>
      </c>
      <c r="J23" s="133">
        <f>IF(SER_hh_tesh_in!J23=0,0,SER_hh_tesh_in!J23/SER_summary!J$27)</f>
        <v>7.4318622312094131</v>
      </c>
      <c r="K23" s="133">
        <f>IF(SER_hh_tesh_in!K23=0,0,SER_hh_tesh_in!K23/SER_summary!K$27)</f>
        <v>8.4180548107749154</v>
      </c>
      <c r="L23" s="133">
        <f>IF(SER_hh_tesh_in!L23=0,0,SER_hh_tesh_in!L23/SER_summary!L$27)</f>
        <v>7.576111419488238</v>
      </c>
      <c r="M23" s="133">
        <f>IF(SER_hh_tesh_in!M23=0,0,SER_hh_tesh_in!M23/SER_summary!M$27)</f>
        <v>8.8812777368831259</v>
      </c>
      <c r="N23" s="133">
        <f>IF(SER_hh_tesh_in!N23=0,0,SER_hh_tesh_in!N23/SER_summary!N$27)</f>
        <v>8.9404276016702493</v>
      </c>
      <c r="O23" s="133">
        <f>IF(SER_hh_tesh_in!O23=0,0,SER_hh_tesh_in!O23/SER_summary!O$27)</f>
        <v>9.4864392022722352</v>
      </c>
      <c r="P23" s="133">
        <f>IF(SER_hh_tesh_in!P23=0,0,SER_hh_tesh_in!P23/SER_summary!P$27)</f>
        <v>9.085009194835683</v>
      </c>
      <c r="Q23" s="133">
        <f>IF(SER_hh_tesh_in!Q23=0,0,SER_hh_tesh_in!Q23/SER_summary!Q$27)</f>
        <v>9.372056939207301</v>
      </c>
      <c r="R23" s="133">
        <f>IF(SER_hh_tesh_in!R23=0,0,SER_hh_tesh_in!R23/SER_summary!R$27)</f>
        <v>9.227283812573619</v>
      </c>
      <c r="S23" s="133">
        <f>IF(SER_hh_tesh_in!S23=0,0,SER_hh_tesh_in!S23/SER_summary!S$27)</f>
        <v>9.4743438421762605</v>
      </c>
      <c r="T23" s="133">
        <f>IF(SER_hh_tesh_in!T23=0,0,SER_hh_tesh_in!T23/SER_summary!T$27)</f>
        <v>9.7033588730392903</v>
      </c>
      <c r="U23" s="133">
        <f>IF(SER_hh_tesh_in!U23=0,0,SER_hh_tesh_in!U23/SER_summary!U$27)</f>
        <v>9.4045129248049602</v>
      </c>
      <c r="V23" s="133">
        <f>IF(SER_hh_tesh_in!V23=0,0,SER_hh_tesh_in!V23/SER_summary!V$27)</f>
        <v>5.4502871665889634</v>
      </c>
      <c r="W23" s="133">
        <f>IF(SER_hh_tesh_in!W23=0,0,SER_hh_tesh_in!W23/SER_summary!W$27)</f>
        <v>9.8539527906856232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9.0570347902417794</v>
      </c>
      <c r="D25" s="133">
        <f>IF(SER_hh_tesh_in!D25=0,0,SER_hh_tesh_in!D25/SER_summary!D$27)</f>
        <v>9.4097775016348706</v>
      </c>
      <c r="E25" s="133">
        <f>IF(SER_hh_tesh_in!E25=0,0,SER_hh_tesh_in!E25/SER_summary!E$27)</f>
        <v>9.5120580633139564</v>
      </c>
      <c r="F25" s="133">
        <f>IF(SER_hh_tesh_in!F25=0,0,SER_hh_tesh_in!F25/SER_summary!F$27)</f>
        <v>9.7829315133020991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2.0107405695290321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2.0247922205878721</v>
      </c>
      <c r="M25" s="133">
        <f>IF(SER_hh_tesh_in!M25=0,0,SER_hh_tesh_in!M25/SER_summary!M$27)</f>
        <v>7.5175660637635389</v>
      </c>
      <c r="N25" s="133">
        <f>IF(SER_hh_tesh_in!N25=0,0,SER_hh_tesh_in!N25/SER_summary!N$27)</f>
        <v>8.844228158319881</v>
      </c>
      <c r="O25" s="133">
        <f>IF(SER_hh_tesh_in!O25=0,0,SER_hh_tesh_in!O25/SER_summary!O$27)</f>
        <v>10.065334085648244</v>
      </c>
      <c r="P25" s="133">
        <f>IF(SER_hh_tesh_in!P25=0,0,SER_hh_tesh_in!P25/SER_summary!P$27)</f>
        <v>9.364341482100766</v>
      </c>
      <c r="Q25" s="133">
        <f>IF(SER_hh_tesh_in!Q25=0,0,SER_hh_tesh_in!Q25/SER_summary!Q$27)</f>
        <v>9.9246962687833289</v>
      </c>
      <c r="R25" s="133">
        <f>IF(SER_hh_tesh_in!R25=0,0,SER_hh_tesh_in!R25/SER_summary!R$27)</f>
        <v>9.17903580251736</v>
      </c>
      <c r="S25" s="133">
        <f>IF(SER_hh_tesh_in!S25=0,0,SER_hh_tesh_in!S25/SER_summary!S$27)</f>
        <v>9.9206948555656478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7.0081233766864157</v>
      </c>
      <c r="D26" s="65">
        <f>IF(SER_hh_tesh_in!D26=0,0,SER_hh_tesh_in!D26/SER_summary!D$27)</f>
        <v>5.9104610066458072</v>
      </c>
      <c r="E26" s="65">
        <f>IF(SER_hh_tesh_in!E26=0,0,SER_hh_tesh_in!E26/SER_summary!E$27)</f>
        <v>6.3859257571214201</v>
      </c>
      <c r="F26" s="65">
        <f>IF(SER_hh_tesh_in!F26=0,0,SER_hh_tesh_in!F26/SER_summary!F$27)</f>
        <v>5.991563117212106</v>
      </c>
      <c r="G26" s="65">
        <f>IF(SER_hh_tesh_in!G26=0,0,SER_hh_tesh_in!G26/SER_summary!G$27)</f>
        <v>2.7659382560352275</v>
      </c>
      <c r="H26" s="65">
        <f>IF(SER_hh_tesh_in!H26=0,0,SER_hh_tesh_in!H26/SER_summary!H$27)</f>
        <v>6.3028919608225822</v>
      </c>
      <c r="I26" s="65">
        <f>IF(SER_hh_tesh_in!I26=0,0,SER_hh_tesh_in!I26/SER_summary!I$27)</f>
        <v>3.9090826962917862</v>
      </c>
      <c r="J26" s="65">
        <f>IF(SER_hh_tesh_in!J26=0,0,SER_hh_tesh_in!J26/SER_summary!J$27)</f>
        <v>1.5959015311538902</v>
      </c>
      <c r="K26" s="65">
        <f>IF(SER_hh_tesh_in!K26=0,0,SER_hh_tesh_in!K26/SER_summary!K$27)</f>
        <v>1.6869698891746139</v>
      </c>
      <c r="L26" s="65">
        <f>IF(SER_hh_tesh_in!L26=0,0,SER_hh_tesh_in!L26/SER_summary!L$27)</f>
        <v>0.85074037037607542</v>
      </c>
      <c r="M26" s="65">
        <f>IF(SER_hh_tesh_in!M26=0,0,SER_hh_tesh_in!M26/SER_summary!M$27)</f>
        <v>0.14206997133325347</v>
      </c>
      <c r="N26" s="65">
        <f>IF(SER_hh_tesh_in!N26=0,0,SER_hh_tesh_in!N26/SER_summary!N$27)</f>
        <v>9.4169359403720176E-2</v>
      </c>
      <c r="O26" s="65">
        <f>IF(SER_hh_tesh_in!O26=0,0,SER_hh_tesh_in!O26/SER_summary!O$27)</f>
        <v>9.1538764526547148E-2</v>
      </c>
      <c r="P26" s="65">
        <f>IF(SER_hh_tesh_in!P26=0,0,SER_hh_tesh_in!P26/SER_summary!P$27)</f>
        <v>9.3688408770286655E-2</v>
      </c>
      <c r="Q26" s="65">
        <f>IF(SER_hh_tesh_in!Q26=0,0,SER_hh_tesh_in!Q26/SER_summary!Q$27)</f>
        <v>9.5325535490476371E-2</v>
      </c>
      <c r="R26" s="65">
        <f>IF(SER_hh_tesh_in!R26=0,0,SER_hh_tesh_in!R26/SER_summary!R$27)</f>
        <v>9.458513416039406E-2</v>
      </c>
      <c r="S26" s="65">
        <f>IF(SER_hh_tesh_in!S26=0,0,SER_hh_tesh_in!S26/SER_summary!S$27)</f>
        <v>9.1945564254183307E-2</v>
      </c>
      <c r="T26" s="65">
        <f>IF(SER_hh_tesh_in!T26=0,0,SER_hh_tesh_in!T26/SER_summary!T$27)</f>
        <v>9.0006018557721237E-2</v>
      </c>
      <c r="U26" s="65">
        <f>IF(SER_hh_tesh_in!U26=0,0,SER_hh_tesh_in!U26/SER_summary!U$27)</f>
        <v>9.1156332632118198E-2</v>
      </c>
      <c r="V26" s="65">
        <f>IF(SER_hh_tesh_in!V26=0,0,SER_hh_tesh_in!V26/SER_summary!V$27)</f>
        <v>7.2094693478109498E-2</v>
      </c>
      <c r="W26" s="65">
        <f>IF(SER_hh_tesh_in!W26=0,0,SER_hh_tesh_in!W26/SER_summary!W$27)</f>
        <v>8.2224844864920872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1.7511233439370917</v>
      </c>
      <c r="D27" s="146">
        <f>IF(SER_hh_tesh_in!D27=0,0,SER_hh_tesh_in!D27/SER_summary!D$27)</f>
        <v>2.8746802471478134</v>
      </c>
      <c r="E27" s="146">
        <f>IF(SER_hh_tesh_in!E27=0,0,SER_hh_tesh_in!E27/SER_summary!E$27)</f>
        <v>2.1987971750316739</v>
      </c>
      <c r="F27" s="146">
        <f>IF(SER_hh_tesh_in!F27=0,0,SER_hh_tesh_in!F27/SER_summary!F$27)</f>
        <v>2.5514848439507962</v>
      </c>
      <c r="G27" s="146">
        <f>IF(SER_hh_tesh_in!G27=0,0,SER_hh_tesh_in!G27/SER_summary!G$27)</f>
        <v>4.8038921437833366</v>
      </c>
      <c r="H27" s="146">
        <f>IF(SER_hh_tesh_in!H27=0,0,SER_hh_tesh_in!H27/SER_summary!H$27)</f>
        <v>2.1055403439888916</v>
      </c>
      <c r="I27" s="146">
        <f>IF(SER_hh_tesh_in!I27=0,0,SER_hh_tesh_in!I27/SER_summary!I$27)</f>
        <v>3.7547471188999526</v>
      </c>
      <c r="J27" s="146">
        <f>IF(SER_hh_tesh_in!J27=0,0,SER_hh_tesh_in!J27/SER_summary!J$27)</f>
        <v>5.816904580771955</v>
      </c>
      <c r="K27" s="146">
        <f>IF(SER_hh_tesh_in!K27=0,0,SER_hh_tesh_in!K27/SER_summary!K$27)</f>
        <v>5.3182969033420813</v>
      </c>
      <c r="L27" s="146">
        <f>IF(SER_hh_tesh_in!L27=0,0,SER_hh_tesh_in!L27/SER_summary!L$27)</f>
        <v>6.0114712825834973</v>
      </c>
      <c r="M27" s="146">
        <f>IF(SER_hh_tesh_in!M27=0,0,SER_hh_tesh_in!M27/SER_summary!M$27)</f>
        <v>5.8627908056154965</v>
      </c>
      <c r="N27" s="146">
        <f>IF(SER_hh_tesh_in!N27=0,0,SER_hh_tesh_in!N27/SER_summary!N$27)</f>
        <v>5.4793148589778395</v>
      </c>
      <c r="O27" s="146">
        <f>IF(SER_hh_tesh_in!O27=0,0,SER_hh_tesh_in!O27/SER_summary!O$27)</f>
        <v>5.6214808555788185</v>
      </c>
      <c r="P27" s="146">
        <f>IF(SER_hh_tesh_in!P27=0,0,SER_hh_tesh_in!P27/SER_summary!P$27)</f>
        <v>6.4708866900497659</v>
      </c>
      <c r="Q27" s="146">
        <f>IF(SER_hh_tesh_in!Q27=0,0,SER_hh_tesh_in!Q27/SER_summary!Q$27)</f>
        <v>6.2839016790484452</v>
      </c>
      <c r="R27" s="146">
        <f>IF(SER_hh_tesh_in!R27=0,0,SER_hh_tesh_in!R27/SER_summary!R$27)</f>
        <v>6.0129188821500978</v>
      </c>
      <c r="S27" s="146">
        <f>IF(SER_hh_tesh_in!S27=0,0,SER_hh_tesh_in!S27/SER_summary!S$27)</f>
        <v>5.8449222418588418</v>
      </c>
      <c r="T27" s="146">
        <f>IF(SER_hh_tesh_in!T27=0,0,SER_hh_tesh_in!T27/SER_summary!T$27)</f>
        <v>5.5134606055076611</v>
      </c>
      <c r="U27" s="146">
        <f>IF(SER_hh_tesh_in!U27=0,0,SER_hh_tesh_in!U27/SER_summary!U$27)</f>
        <v>5.7764365713725718</v>
      </c>
      <c r="V27" s="146">
        <f>IF(SER_hh_tesh_in!V27=0,0,SER_hh_tesh_in!V27/SER_summary!V$27)</f>
        <v>6.1901141182198138</v>
      </c>
      <c r="W27" s="146">
        <f>IF(SER_hh_tesh_in!W27=0,0,SER_hh_tesh_in!W27/SER_summary!W$27)</f>
        <v>1.0720336824272963E-2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7.4232950313244315</v>
      </c>
      <c r="D28" s="147">
        <f>IF(SER_hh_tesh_in!D28=0,0,SER_hh_tesh_in!D28/SER_summary!D$27)</f>
        <v>7.4740307012508627</v>
      </c>
      <c r="E28" s="147">
        <f>IF(SER_hh_tesh_in!E28=0,0,SER_hh_tesh_in!E28/SER_summary!E$27)</f>
        <v>7.858758496710692</v>
      </c>
      <c r="F28" s="147">
        <f>IF(SER_hh_tesh_in!F28=0,0,SER_hh_tesh_in!F28/SER_summary!F$27)</f>
        <v>7.9271459431646498</v>
      </c>
      <c r="G28" s="147">
        <f>IF(SER_hh_tesh_in!G28=0,0,SER_hh_tesh_in!G28/SER_summary!G$27)</f>
        <v>7.5050368548470621</v>
      </c>
      <c r="H28" s="147">
        <f>IF(SER_hh_tesh_in!H28=0,0,SER_hh_tesh_in!H28/SER_summary!H$27)</f>
        <v>7.6705352013964241</v>
      </c>
      <c r="I28" s="147">
        <f>IF(SER_hh_tesh_in!I28=0,0,SER_hh_tesh_in!I28/SER_summary!I$27)</f>
        <v>7.7206497787987267</v>
      </c>
      <c r="J28" s="147">
        <f>IF(SER_hh_tesh_in!J28=0,0,SER_hh_tesh_in!J28/SER_summary!J$27)</f>
        <v>7.7458544420940969</v>
      </c>
      <c r="K28" s="147">
        <f>IF(SER_hh_tesh_in!K28=0,0,SER_hh_tesh_in!K28/SER_summary!K$27)</f>
        <v>7.786457540718037</v>
      </c>
      <c r="L28" s="147">
        <f>IF(SER_hh_tesh_in!L28=0,0,SER_hh_tesh_in!L28/SER_summary!L$27)</f>
        <v>8.2016185496767058</v>
      </c>
      <c r="M28" s="147">
        <f>IF(SER_hh_tesh_in!M28=0,0,SER_hh_tesh_in!M28/SER_summary!M$27)</f>
        <v>9.113177565016116</v>
      </c>
      <c r="N28" s="147">
        <f>IF(SER_hh_tesh_in!N28=0,0,SER_hh_tesh_in!N28/SER_summary!N$27)</f>
        <v>8.9602139487784171</v>
      </c>
      <c r="O28" s="147">
        <f>IF(SER_hh_tesh_in!O28=0,0,SER_hh_tesh_in!O28/SER_summary!O$27)</f>
        <v>9.5112245852362083</v>
      </c>
      <c r="P28" s="147">
        <f>IF(SER_hh_tesh_in!P28=0,0,SER_hh_tesh_in!P28/SER_summary!P$27)</f>
        <v>9.5682560433985309</v>
      </c>
      <c r="Q28" s="147">
        <f>IF(SER_hh_tesh_in!Q28=0,0,SER_hh_tesh_in!Q28/SER_summary!Q$27)</f>
        <v>9.7585440614082</v>
      </c>
      <c r="R28" s="147">
        <f>IF(SER_hh_tesh_in!R28=0,0,SER_hh_tesh_in!R28/SER_summary!R$27)</f>
        <v>9.4378360191633828</v>
      </c>
      <c r="S28" s="147">
        <f>IF(SER_hh_tesh_in!S28=0,0,SER_hh_tesh_in!S28/SER_summary!S$27)</f>
        <v>9.468908628164467</v>
      </c>
      <c r="T28" s="147">
        <f>IF(SER_hh_tesh_in!T28=0,0,SER_hh_tesh_in!T28/SER_summary!T$27)</f>
        <v>9.8388180991603402</v>
      </c>
      <c r="U28" s="147">
        <f>IF(SER_hh_tesh_in!U28=0,0,SER_hh_tesh_in!U28/SER_summary!U$27)</f>
        <v>9.6988958694708884</v>
      </c>
      <c r="V28" s="147">
        <f>IF(SER_hh_tesh_in!V28=0,0,SER_hh_tesh_in!V28/SER_summary!V$27)</f>
        <v>7.4350893392969049</v>
      </c>
      <c r="W28" s="147">
        <f>IF(SER_hh_tesh_in!W28=0,0,SER_hh_tesh_in!W28/SER_summary!W$27)</f>
        <v>10.381760099227296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8.8559060713339264</v>
      </c>
      <c r="D29" s="131">
        <f>IF(SER_hh_tesh_in!D29=0,0,SER_hh_tesh_in!D29/SER_summary!D$27)</f>
        <v>9.5514719155628942</v>
      </c>
      <c r="E29" s="131">
        <f>IF(SER_hh_tesh_in!E29=0,0,SER_hh_tesh_in!E29/SER_summary!E$27)</f>
        <v>9.5048397618463145</v>
      </c>
      <c r="F29" s="131">
        <f>IF(SER_hh_tesh_in!F29=0,0,SER_hh_tesh_in!F29/SER_summary!F$27)</f>
        <v>9.5088312516906601</v>
      </c>
      <c r="G29" s="131">
        <f>IF(SER_hh_tesh_in!G29=0,0,SER_hh_tesh_in!G29/SER_summary!G$27)</f>
        <v>10.715187866536017</v>
      </c>
      <c r="H29" s="131">
        <f>IF(SER_hh_tesh_in!H29=0,0,SER_hh_tesh_in!H29/SER_summary!H$27)</f>
        <v>10.05538595763252</v>
      </c>
      <c r="I29" s="131">
        <f>IF(SER_hh_tesh_in!I29=0,0,SER_hh_tesh_in!I29/SER_summary!I$27)</f>
        <v>10.023896981105311</v>
      </c>
      <c r="J29" s="131">
        <f>IF(SER_hh_tesh_in!J29=0,0,SER_hh_tesh_in!J29/SER_summary!J$27)</f>
        <v>9.8099237578238725</v>
      </c>
      <c r="K29" s="131">
        <f>IF(SER_hh_tesh_in!K29=0,0,SER_hh_tesh_in!K29/SER_summary!K$27)</f>
        <v>9.284736853049786</v>
      </c>
      <c r="L29" s="131">
        <f>IF(SER_hh_tesh_in!L29=0,0,SER_hh_tesh_in!L29/SER_summary!L$27)</f>
        <v>11.241551870746907</v>
      </c>
      <c r="M29" s="131">
        <f>IF(SER_hh_tesh_in!M29=0,0,SER_hh_tesh_in!M29/SER_summary!M$27)</f>
        <v>10.603494894312918</v>
      </c>
      <c r="N29" s="131">
        <f>IF(SER_hh_tesh_in!N29=0,0,SER_hh_tesh_in!N29/SER_summary!N$27)</f>
        <v>15.850966902852397</v>
      </c>
      <c r="O29" s="131">
        <f>IF(SER_hh_tesh_in!O29=0,0,SER_hh_tesh_in!O29/SER_summary!O$27)</f>
        <v>9.4006170181812578</v>
      </c>
      <c r="P29" s="131">
        <f>IF(SER_hh_tesh_in!P29=0,0,SER_hh_tesh_in!P29/SER_summary!P$27)</f>
        <v>11.017127580160464</v>
      </c>
      <c r="Q29" s="131">
        <f>IF(SER_hh_tesh_in!Q29=0,0,SER_hh_tesh_in!Q29/SER_summary!Q$27)</f>
        <v>10.742057277438864</v>
      </c>
      <c r="R29" s="131">
        <f>IF(SER_hh_tesh_in!R29=0,0,SER_hh_tesh_in!R29/SER_summary!R$27)</f>
        <v>10.530801170035305</v>
      </c>
      <c r="S29" s="131">
        <f>IF(SER_hh_tesh_in!S29=0,0,SER_hh_tesh_in!S29/SER_summary!S$27)</f>
        <v>10.770234447682794</v>
      </c>
      <c r="T29" s="131">
        <f>IF(SER_hh_tesh_in!T29=0,0,SER_hh_tesh_in!T29/SER_summary!T$27)</f>
        <v>10.862491116576438</v>
      </c>
      <c r="U29" s="131">
        <f>IF(SER_hh_tesh_in!U29=0,0,SER_hh_tesh_in!U29/SER_summary!U$27)</f>
        <v>10.313654325364377</v>
      </c>
      <c r="V29" s="131">
        <f>IF(SER_hh_tesh_in!V29=0,0,SER_hh_tesh_in!V29/SER_summary!V$27)</f>
        <v>10.603602811053745</v>
      </c>
      <c r="W29" s="131">
        <f>IF(SER_hh_tesh_in!W29=0,0,SER_hh_tesh_in!W29/SER_summary!W$27)</f>
        <v>10.729239892405023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6.921940302796334</v>
      </c>
      <c r="D30" s="133">
        <f>IF(SER_hh_tesh_in!D30=0,0,SER_hh_tesh_in!D30/SER_summary!D$27)</f>
        <v>9.7640279421338771</v>
      </c>
      <c r="E30" s="133">
        <f>IF(SER_hh_tesh_in!E30=0,0,SER_hh_tesh_in!E30/SER_summary!E$27)</f>
        <v>9.1913732752832633</v>
      </c>
      <c r="F30" s="133">
        <f>IF(SER_hh_tesh_in!F30=0,0,SER_hh_tesh_in!F30/SER_summary!F$27)</f>
        <v>9.1109807238843477</v>
      </c>
      <c r="G30" s="133">
        <f>IF(SER_hh_tesh_in!G30=0,0,SER_hh_tesh_in!G30/SER_summary!G$27)</f>
        <v>11.524746281404783</v>
      </c>
      <c r="H30" s="133">
        <f>IF(SER_hh_tesh_in!H30=0,0,SER_hh_tesh_in!H30/SER_summary!H$27)</f>
        <v>9.7075129500117487</v>
      </c>
      <c r="I30" s="133">
        <f>IF(SER_hh_tesh_in!I30=0,0,SER_hh_tesh_in!I30/SER_summary!I$27)</f>
        <v>9.8255872122858481</v>
      </c>
      <c r="J30" s="133">
        <f>IF(SER_hh_tesh_in!J30=0,0,SER_hh_tesh_in!J30/SER_summary!J$27)</f>
        <v>11.556497581446713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7.5400166306294301</v>
      </c>
      <c r="O30" s="133">
        <f>IF(SER_hh_tesh_in!O30=0,0,SER_hh_tesh_in!O30/SER_summary!O$27)</f>
        <v>7.5543124083285784</v>
      </c>
      <c r="P30" s="133">
        <f>IF(SER_hh_tesh_in!P30=0,0,SER_hh_tesh_in!P30/SER_summary!P$27)</f>
        <v>11.546257647187554</v>
      </c>
      <c r="Q30" s="133">
        <f>IF(SER_hh_tesh_in!Q30=0,0,SER_hh_tesh_in!Q30/SER_summary!Q$27)</f>
        <v>11.331402221125433</v>
      </c>
      <c r="R30" s="133">
        <f>IF(SER_hh_tesh_in!R30=0,0,SER_hh_tesh_in!R30/SER_summary!R$27)</f>
        <v>10.043223833115183</v>
      </c>
      <c r="S30" s="133">
        <f>IF(SER_hh_tesh_in!S30=0,0,SER_hh_tesh_in!S30/SER_summary!S$27)</f>
        <v>9.7511919552911515</v>
      </c>
      <c r="T30" s="133">
        <f>IF(SER_hh_tesh_in!T30=0,0,SER_hh_tesh_in!T30/SER_summary!T$27)</f>
        <v>12.44018209102312</v>
      </c>
      <c r="U30" s="133">
        <f>IF(SER_hh_tesh_in!U30=0,0,SER_hh_tesh_in!U30/SER_summary!U$27)</f>
        <v>12.382046490383336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8.7369801260588229</v>
      </c>
      <c r="D31" s="133">
        <f>IF(SER_hh_tesh_in!D31=0,0,SER_hh_tesh_in!D31/SER_summary!D$27)</f>
        <v>9.3899731393715111</v>
      </c>
      <c r="E31" s="133">
        <f>IF(SER_hh_tesh_in!E31=0,0,SER_hh_tesh_in!E31/SER_summary!E$27)</f>
        <v>9.3246442415338429</v>
      </c>
      <c r="F31" s="133">
        <f>IF(SER_hh_tesh_in!F31=0,0,SER_hh_tesh_in!F31/SER_summary!F$27)</f>
        <v>9.8960254038747237</v>
      </c>
      <c r="G31" s="133">
        <f>IF(SER_hh_tesh_in!G31=0,0,SER_hh_tesh_in!G31/SER_summary!G$27)</f>
        <v>10.077788510702234</v>
      </c>
      <c r="H31" s="133">
        <f>IF(SER_hh_tesh_in!H31=0,0,SER_hh_tesh_in!H31/SER_summary!H$27)</f>
        <v>10.111505392454632</v>
      </c>
      <c r="I31" s="133">
        <f>IF(SER_hh_tesh_in!I31=0,0,SER_hh_tesh_in!I31/SER_summary!I$27)</f>
        <v>10.022759657590955</v>
      </c>
      <c r="J31" s="133">
        <f>IF(SER_hh_tesh_in!J31=0,0,SER_hh_tesh_in!J31/SER_summary!J$27)</f>
        <v>9.6697626669729999</v>
      </c>
      <c r="K31" s="133">
        <f>IF(SER_hh_tesh_in!K31=0,0,SER_hh_tesh_in!K31/SER_summary!K$27)</f>
        <v>9.7728984500409108</v>
      </c>
      <c r="L31" s="133">
        <f>IF(SER_hh_tesh_in!L31=0,0,SER_hh_tesh_in!L31/SER_summary!L$27)</f>
        <v>10.879436213805155</v>
      </c>
      <c r="M31" s="133">
        <f>IF(SER_hh_tesh_in!M31=0,0,SER_hh_tesh_in!M31/SER_summary!M$27)</f>
        <v>10.164684966765117</v>
      </c>
      <c r="N31" s="133">
        <f>IF(SER_hh_tesh_in!N31=0,0,SER_hh_tesh_in!N31/SER_summary!N$27)</f>
        <v>9.5239819795374316</v>
      </c>
      <c r="O31" s="133">
        <f>IF(SER_hh_tesh_in!O31=0,0,SER_hh_tesh_in!O31/SER_summary!O$27)</f>
        <v>10.539450151129703</v>
      </c>
      <c r="P31" s="133">
        <f>IF(SER_hh_tesh_in!P31=0,0,SER_hh_tesh_in!P31/SER_summary!P$27)</f>
        <v>9.935695663625987</v>
      </c>
      <c r="Q31" s="133">
        <f>IF(SER_hh_tesh_in!Q31=0,0,SER_hh_tesh_in!Q31/SER_summary!Q$27)</f>
        <v>10.515317502120633</v>
      </c>
      <c r="R31" s="133">
        <f>IF(SER_hh_tesh_in!R31=0,0,SER_hh_tesh_in!R31/SER_summary!R$27)</f>
        <v>10.691214165101883</v>
      </c>
      <c r="S31" s="133">
        <f>IF(SER_hh_tesh_in!S31=0,0,SER_hh_tesh_in!S31/SER_summary!S$27)</f>
        <v>10.710284357676811</v>
      </c>
      <c r="T31" s="133">
        <f>IF(SER_hh_tesh_in!T31=0,0,SER_hh_tesh_in!T31/SER_summary!T$27)</f>
        <v>10.825270332851037</v>
      </c>
      <c r="U31" s="133">
        <f>IF(SER_hh_tesh_in!U31=0,0,SER_hh_tesh_in!U31/SER_summary!U$27)</f>
        <v>11.257731550856356</v>
      </c>
      <c r="V31" s="133">
        <f>IF(SER_hh_tesh_in!V31=0,0,SER_hh_tesh_in!V31/SER_summary!V$27)</f>
        <v>10.52220302147683</v>
      </c>
      <c r="W31" s="133">
        <f>IF(SER_hh_tesh_in!W31=0,0,SER_hh_tesh_in!W31/SER_summary!W$27)</f>
        <v>9.7655815423096808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17.612378401993698</v>
      </c>
      <c r="O32" s="133">
        <f>IF(SER_hh_tesh_in!O32=0,0,SER_hh_tesh_in!O32/SER_summary!O$27)</f>
        <v>9.6022369410801218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11.28601728527693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9.1622454101635906</v>
      </c>
      <c r="D33" s="68">
        <f>IF(SER_hh_tesh_in!D33=0,0,SER_hh_tesh_in!D33/SER_summary!D$27)</f>
        <v>9.3573169938377081</v>
      </c>
      <c r="E33" s="68">
        <f>IF(SER_hh_tesh_in!E33=0,0,SER_hh_tesh_in!E33/SER_summary!E$27)</f>
        <v>10.007378558876425</v>
      </c>
      <c r="F33" s="68">
        <f>IF(SER_hh_tesh_in!F33=0,0,SER_hh_tesh_in!F33/SER_summary!F$27)</f>
        <v>10.207675129180641</v>
      </c>
      <c r="G33" s="68">
        <f>IF(SER_hh_tesh_in!G33=0,0,SER_hh_tesh_in!G33/SER_summary!G$27)</f>
        <v>8.8315529699735063</v>
      </c>
      <c r="H33" s="68">
        <f>IF(SER_hh_tesh_in!H33=0,0,SER_hh_tesh_in!H33/SER_summary!H$27)</f>
        <v>10.237901370463227</v>
      </c>
      <c r="I33" s="68">
        <f>IF(SER_hh_tesh_in!I33=0,0,SER_hh_tesh_in!I33/SER_summary!I$27)</f>
        <v>10.131083695447032</v>
      </c>
      <c r="J33" s="68">
        <f>IF(SER_hh_tesh_in!J33=0,0,SER_hh_tesh_in!J33/SER_summary!J$27)</f>
        <v>9.6114107349013445</v>
      </c>
      <c r="K33" s="68">
        <f>IF(SER_hh_tesh_in!K33=0,0,SER_hh_tesh_in!K33/SER_summary!K$27)</f>
        <v>9.2006250638549485</v>
      </c>
      <c r="L33" s="68">
        <f>IF(SER_hh_tesh_in!L33=0,0,SER_hh_tesh_in!L33/SER_summary!L$27)</f>
        <v>11.299348553458307</v>
      </c>
      <c r="M33" s="68">
        <f>IF(SER_hh_tesh_in!M33=0,0,SER_hh_tesh_in!M33/SER_summary!M$27)</f>
        <v>10.758961280226421</v>
      </c>
      <c r="N33" s="68">
        <f>IF(SER_hh_tesh_in!N33=0,0,SER_hh_tesh_in!N33/SER_summary!N$27)</f>
        <v>0</v>
      </c>
      <c r="O33" s="68">
        <f>IF(SER_hh_tesh_in!O33=0,0,SER_hh_tesh_in!O33/SER_summary!O$27)</f>
        <v>9.9341035164390679</v>
      </c>
      <c r="P33" s="68">
        <f>IF(SER_hh_tesh_in!P33=0,0,SER_hh_tesh_in!P33/SER_summary!P$27)</f>
        <v>9.9296487890992058</v>
      </c>
      <c r="Q33" s="68">
        <f>IF(SER_hh_tesh_in!Q33=0,0,SER_hh_tesh_in!Q33/SER_summary!Q$27)</f>
        <v>9.7553807512613631</v>
      </c>
      <c r="R33" s="68">
        <f>IF(SER_hh_tesh_in!R33=0,0,SER_hh_tesh_in!R33/SER_summary!R$27)</f>
        <v>10.87704523323031</v>
      </c>
      <c r="S33" s="68">
        <f>IF(SER_hh_tesh_in!S33=0,0,SER_hh_tesh_in!S33/SER_summary!S$27)</f>
        <v>11.41744664701277</v>
      </c>
      <c r="T33" s="68">
        <f>IF(SER_hh_tesh_in!T33=0,0,SER_hh_tesh_in!T33/SER_summary!T$27)</f>
        <v>10.078815358105835</v>
      </c>
      <c r="U33" s="68">
        <f>IF(SER_hh_tesh_in!U33=0,0,SER_hh_tesh_in!U33/SER_summary!U$27)</f>
        <v>10.034167281254554</v>
      </c>
      <c r="V33" s="68">
        <f>IF(SER_hh_tesh_in!V33=0,0,SER_hh_tesh_in!V33/SER_summary!V$27)</f>
        <v>10.61721097900101</v>
      </c>
      <c r="W33" s="68">
        <f>IF(SER_hh_tesh_in!W33=0,0,SER_hh_tesh_in!W33/SER_summary!W$27)</f>
        <v>10.939051337501553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8.1480444929873812</v>
      </c>
      <c r="D3" s="126">
        <f>IF(SER_hh_emih_in!D3=0,0,SER_hh_emih_in!D3/SER_summary!D$27)</f>
        <v>6.4825169203936372</v>
      </c>
      <c r="E3" s="126">
        <f>IF(SER_hh_emih_in!E3=0,0,SER_hh_emih_in!E3/SER_summary!E$27)</f>
        <v>5.8151694992532468</v>
      </c>
      <c r="F3" s="126">
        <f>IF(SER_hh_emih_in!F3=0,0,SER_hh_emih_in!F3/SER_summary!F$27)</f>
        <v>7.9635162914294009</v>
      </c>
      <c r="G3" s="126">
        <f>IF(SER_hh_emih_in!G3=0,0,SER_hh_emih_in!G3/SER_summary!G$27)</f>
        <v>6.8057297403398955</v>
      </c>
      <c r="H3" s="126">
        <f>IF(SER_hh_emih_in!H3=0,0,SER_hh_emih_in!H3/SER_summary!H$27)</f>
        <v>4.015851917071231</v>
      </c>
      <c r="I3" s="126">
        <f>IF(SER_hh_emih_in!I3=0,0,SER_hh_emih_in!I3/SER_summary!I$27)</f>
        <v>4.3801714416922808</v>
      </c>
      <c r="J3" s="126">
        <f>IF(SER_hh_emih_in!J3=0,0,SER_hh_emih_in!J3/SER_summary!J$27)</f>
        <v>3.7943716813964277</v>
      </c>
      <c r="K3" s="126">
        <f>IF(SER_hh_emih_in!K3=0,0,SER_hh_emih_in!K3/SER_summary!K$27)</f>
        <v>4.0178447960368571</v>
      </c>
      <c r="L3" s="126">
        <f>IF(SER_hh_emih_in!L3=0,0,SER_hh_emih_in!L3/SER_summary!L$27)</f>
        <v>3.006310874843416</v>
      </c>
      <c r="M3" s="126">
        <f>IF(SER_hh_emih_in!M3=0,0,SER_hh_emih_in!M3/SER_summary!M$27)</f>
        <v>4.1001526103787134</v>
      </c>
      <c r="N3" s="126">
        <f>IF(SER_hh_emih_in!N3=0,0,SER_hh_emih_in!N3/SER_summary!N$27)</f>
        <v>3.1981448339967864</v>
      </c>
      <c r="O3" s="126">
        <f>IF(SER_hh_emih_in!O3=0,0,SER_hh_emih_in!O3/SER_summary!O$27)</f>
        <v>7.83891293092735</v>
      </c>
      <c r="P3" s="126">
        <f>IF(SER_hh_emih_in!P3=0,0,SER_hh_emih_in!P3/SER_summary!P$27)</f>
        <v>5.3873348342069116</v>
      </c>
      <c r="Q3" s="126">
        <f>IF(SER_hh_emih_in!Q3=0,0,SER_hh_emih_in!Q3/SER_summary!Q$27)</f>
        <v>6.8367602670241174</v>
      </c>
      <c r="R3" s="126">
        <f>IF(SER_hh_emih_in!R3=0,0,SER_hh_emih_in!R3/SER_summary!R$27)</f>
        <v>7.1648430409952093</v>
      </c>
      <c r="S3" s="126">
        <f>IF(SER_hh_emih_in!S3=0,0,SER_hh_emih_in!S3/SER_summary!S$27)</f>
        <v>6.9497566396589159</v>
      </c>
      <c r="T3" s="126">
        <f>IF(SER_hh_emih_in!T3=0,0,SER_hh_emih_in!T3/SER_summary!T$27)</f>
        <v>4.8633989303526821</v>
      </c>
      <c r="U3" s="126">
        <f>IF(SER_hh_emih_in!U3=0,0,SER_hh_emih_in!U3/SER_summary!U$27)</f>
        <v>4.075223214379891</v>
      </c>
      <c r="V3" s="126">
        <f>IF(SER_hh_emih_in!V3=0,0,SER_hh_emih_in!V3/SER_summary!V$27)</f>
        <v>1.7647303762814357</v>
      </c>
      <c r="W3" s="126">
        <f>IF(SER_hh_emih_in!W3=0,0,SER_hh_emih_in!W3/SER_summary!W$27)</f>
        <v>2.857748282631686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6.9036481778435634</v>
      </c>
      <c r="D4" s="131">
        <f>IF(SER_hh_emih_in!D4=0,0,SER_hh_emih_in!D4/SER_summary!D$27)</f>
        <v>3.5932896424967788</v>
      </c>
      <c r="E4" s="131">
        <f>IF(SER_hh_emih_in!E4=0,0,SER_hh_emih_in!E4/SER_summary!E$27)</f>
        <v>2.4459079942130511</v>
      </c>
      <c r="F4" s="131">
        <f>IF(SER_hh_emih_in!F4=0,0,SER_hh_emih_in!F4/SER_summary!F$27)</f>
        <v>4.1000327969674863</v>
      </c>
      <c r="G4" s="131">
        <f>IF(SER_hh_emih_in!G4=0,0,SER_hh_emih_in!G4/SER_summary!G$27)</f>
        <v>1.9665306937205524</v>
      </c>
      <c r="H4" s="131">
        <f>IF(SER_hh_emih_in!H4=0,0,SER_hh_emih_in!H4/SER_summary!H$27)</f>
        <v>0.96993529300276704</v>
      </c>
      <c r="I4" s="131">
        <f>IF(SER_hh_emih_in!I4=0,0,SER_hh_emih_in!I4/SER_summary!I$27)</f>
        <v>1.3429786559035715</v>
      </c>
      <c r="J4" s="131">
        <f>IF(SER_hh_emih_in!J4=0,0,SER_hh_emih_in!J4/SER_summary!J$27)</f>
        <v>1.7613684158519618</v>
      </c>
      <c r="K4" s="131">
        <f>IF(SER_hh_emih_in!K4=0,0,SER_hh_emih_in!K4/SER_summary!K$27)</f>
        <v>2.1073665098568788</v>
      </c>
      <c r="L4" s="131">
        <f>IF(SER_hh_emih_in!L4=0,0,SER_hh_emih_in!L4/SER_summary!L$27)</f>
        <v>1.1157468810518494</v>
      </c>
      <c r="M4" s="131">
        <f>IF(SER_hh_emih_in!M4=0,0,SER_hh_emih_in!M4/SER_summary!M$27)</f>
        <v>1.489360485518459</v>
      </c>
      <c r="N4" s="131">
        <f>IF(SER_hh_emih_in!N4=0,0,SER_hh_emih_in!N4/SER_summary!N$27)</f>
        <v>0.71771606293361101</v>
      </c>
      <c r="O4" s="131">
        <f>IF(SER_hh_emih_in!O4=0,0,SER_hh_emih_in!O4/SER_summary!O$27)</f>
        <v>3.2020135199254605</v>
      </c>
      <c r="P4" s="131">
        <f>IF(SER_hh_emih_in!P4=0,0,SER_hh_emih_in!P4/SER_summary!P$27)</f>
        <v>1.5682353314636209E-2</v>
      </c>
      <c r="Q4" s="131">
        <f>IF(SER_hh_emih_in!Q4=0,0,SER_hh_emih_in!Q4/SER_summary!Q$27)</f>
        <v>2.2734050154591801</v>
      </c>
      <c r="R4" s="131">
        <f>IF(SER_hh_emih_in!R4=0,0,SER_hh_emih_in!R4/SER_summary!R$27)</f>
        <v>3.5774301069311103</v>
      </c>
      <c r="S4" s="131">
        <f>IF(SER_hh_emih_in!S4=0,0,SER_hh_emih_in!S4/SER_summary!S$27)</f>
        <v>3.653422161265615</v>
      </c>
      <c r="T4" s="131">
        <f>IF(SER_hh_emih_in!T4=0,0,SER_hh_emih_in!T4/SER_summary!T$27)</f>
        <v>1.2576903225053886</v>
      </c>
      <c r="U4" s="131">
        <f>IF(SER_hh_emih_in!U4=0,0,SER_hh_emih_in!U4/SER_summary!U$27)</f>
        <v>1.7979941012614811</v>
      </c>
      <c r="V4" s="131">
        <f>IF(SER_hh_emih_in!V4=0,0,SER_hh_emih_in!V4/SER_summary!V$27)</f>
        <v>0.25213298344377882</v>
      </c>
      <c r="W4" s="131">
        <f>IF(SER_hh_emih_in!W4=0,0,SER_hh_emih_in!W4/SER_summary!W$27)</f>
        <v>0.9820892492973613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9.9983972212766687</v>
      </c>
      <c r="D7" s="133">
        <f>IF(SER_hh_emih_in!D7=0,0,SER_hh_emih_in!D7/SER_summary!D$27)</f>
        <v>10.591873466054697</v>
      </c>
      <c r="E7" s="133">
        <f>IF(SER_hh_emih_in!E7=0,0,SER_hh_emih_in!E7/SER_summary!E$27)</f>
        <v>11.655305930709469</v>
      </c>
      <c r="F7" s="133">
        <f>IF(SER_hh_emih_in!F7=0,0,SER_hh_emih_in!F7/SER_summary!F$27)</f>
        <v>15.358046001986486</v>
      </c>
      <c r="G7" s="133">
        <f>IF(SER_hh_emih_in!G7=0,0,SER_hh_emih_in!G7/SER_summary!G$27)</f>
        <v>18.247434001360642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0</v>
      </c>
      <c r="O7" s="133">
        <f>IF(SER_hh_emih_in!O7=0,0,SER_hh_emih_in!O7/SER_summary!O$27)</f>
        <v>16.904682792656285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15.050641428646642</v>
      </c>
      <c r="S7" s="133">
        <f>IF(SER_hh_emih_in!S7=0,0,SER_hh_emih_in!S7/SER_summary!S$27)</f>
        <v>14.86276189418996</v>
      </c>
      <c r="T7" s="133">
        <f>IF(SER_hh_emih_in!T7=0,0,SER_hh_emih_in!T7/SER_summary!T$27)</f>
        <v>16.018666925737229</v>
      </c>
      <c r="U7" s="133">
        <f>IF(SER_hh_emih_in!U7=0,0,SER_hh_emih_in!U7/SER_summary!U$27)</f>
        <v>16.20279160156413</v>
      </c>
      <c r="V7" s="133">
        <f>IF(SER_hh_emih_in!V7=0,0,SER_hh_emih_in!V7/SER_summary!V$27)</f>
        <v>0</v>
      </c>
      <c r="W7" s="133">
        <f>IF(SER_hh_emih_in!W7=0,0,SER_hh_emih_in!W7/SER_summary!W$27)</f>
        <v>12.092028435043352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3.2350234760295713</v>
      </c>
      <c r="D8" s="133">
        <f>IF(SER_hh_emih_in!D8=0,0,SER_hh_emih_in!D8/SER_summary!D$27)</f>
        <v>3.7058631360669314</v>
      </c>
      <c r="E8" s="133">
        <f>IF(SER_hh_emih_in!E8=0,0,SER_hh_emih_in!E8/SER_summary!E$27)</f>
        <v>4.1220820412005788</v>
      </c>
      <c r="F8" s="133">
        <f>IF(SER_hh_emih_in!F8=0,0,SER_hh_emih_in!F8/SER_summary!F$27)</f>
        <v>4.2664788655927905</v>
      </c>
      <c r="G8" s="133">
        <f>IF(SER_hh_emih_in!G8=0,0,SER_hh_emih_in!G8/SER_summary!G$27)</f>
        <v>4.2011210986293257</v>
      </c>
      <c r="H8" s="133">
        <f>IF(SER_hh_emih_in!H8=0,0,SER_hh_emih_in!H8/SER_summary!H$27)</f>
        <v>4.5151668167193009</v>
      </c>
      <c r="I8" s="133">
        <f>IF(SER_hh_emih_in!I8=0,0,SER_hh_emih_in!I8/SER_summary!I$27)</f>
        <v>4.5239125179658588</v>
      </c>
      <c r="J8" s="133">
        <f>IF(SER_hh_emih_in!J8=0,0,SER_hh_emih_in!J8/SER_summary!J$27)</f>
        <v>4.6017589270593673</v>
      </c>
      <c r="K8" s="133">
        <f>IF(SER_hh_emih_in!K8=0,0,SER_hh_emih_in!K8/SER_summary!K$27)</f>
        <v>4.1711695109993094</v>
      </c>
      <c r="L8" s="133">
        <f>IF(SER_hh_emih_in!L8=0,0,SER_hh_emih_in!L8/SER_summary!L$27)</f>
        <v>4.0457955270063488</v>
      </c>
      <c r="M8" s="133">
        <f>IF(SER_hh_emih_in!M8=0,0,SER_hh_emih_in!M8/SER_summary!M$27)</f>
        <v>4.0949936696021201</v>
      </c>
      <c r="N8" s="133">
        <f>IF(SER_hh_emih_in!N8=0,0,SER_hh_emih_in!N8/SER_summary!N$27)</f>
        <v>3.9272263852029448</v>
      </c>
      <c r="O8" s="133">
        <f>IF(SER_hh_emih_in!O8=0,0,SER_hh_emih_in!O8/SER_summary!O$27)</f>
        <v>3.9211977934797835</v>
      </c>
      <c r="P8" s="133">
        <f>IF(SER_hh_emih_in!P8=0,0,SER_hh_emih_in!P8/SER_summary!P$27)</f>
        <v>4.0193219392839277</v>
      </c>
      <c r="Q8" s="133">
        <f>IF(SER_hh_emih_in!Q8=0,0,SER_hh_emih_in!Q8/SER_summary!Q$27)</f>
        <v>3.9573611792841437</v>
      </c>
      <c r="R8" s="133">
        <f>IF(SER_hh_emih_in!R8=0,0,SER_hh_emih_in!R8/SER_summary!R$27)</f>
        <v>3.6426827293833592</v>
      </c>
      <c r="S8" s="133">
        <f>IF(SER_hh_emih_in!S8=0,0,SER_hh_emih_in!S8/SER_summary!S$27)</f>
        <v>3.4446121719590996</v>
      </c>
      <c r="T8" s="133">
        <f>IF(SER_hh_emih_in!T8=0,0,SER_hh_emih_in!T8/SER_summary!T$27)</f>
        <v>3.3881721184027014</v>
      </c>
      <c r="U8" s="133">
        <f>IF(SER_hh_emih_in!U8=0,0,SER_hh_emih_in!U8/SER_summary!U$27)</f>
        <v>3.3533799980714476</v>
      </c>
      <c r="V8" s="133">
        <f>IF(SER_hh_emih_in!V8=0,0,SER_hh_emih_in!V8/SER_summary!V$27)</f>
        <v>3.1149314794693139</v>
      </c>
      <c r="W8" s="133">
        <f>IF(SER_hh_emih_in!W8=0,0,SER_hh_emih_in!W8/SER_summary!W$27)</f>
        <v>3.1811026616645033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6.2217446752187291</v>
      </c>
      <c r="D9" s="133">
        <f>IF(SER_hh_emih_in!D9=0,0,SER_hh_emih_in!D9/SER_summary!D$27)</f>
        <v>7.7559755623455899</v>
      </c>
      <c r="E9" s="133">
        <f>IF(SER_hh_emih_in!E9=0,0,SER_hh_emih_in!E9/SER_summary!E$27)</f>
        <v>8.2252719455598484</v>
      </c>
      <c r="F9" s="133">
        <f>IF(SER_hh_emih_in!F9=0,0,SER_hh_emih_in!F9/SER_summary!F$27)</f>
        <v>10.28294199822296</v>
      </c>
      <c r="G9" s="133">
        <f>IF(SER_hh_emih_in!G9=0,0,SER_hh_emih_in!G9/SER_summary!G$27)</f>
        <v>0</v>
      </c>
      <c r="H9" s="133">
        <f>IF(SER_hh_emih_in!H9=0,0,SER_hh_emih_in!H9/SER_summary!H$27)</f>
        <v>11.56369043409058</v>
      </c>
      <c r="I9" s="133">
        <f>IF(SER_hh_emih_in!I9=0,0,SER_hh_emih_in!I9/SER_summary!I$27)</f>
        <v>12.01262423270291</v>
      </c>
      <c r="J9" s="133">
        <f>IF(SER_hh_emih_in!J9=0,0,SER_hh_emih_in!J9/SER_summary!J$27)</f>
        <v>12.075397884937789</v>
      </c>
      <c r="K9" s="133">
        <f>IF(SER_hh_emih_in!K9=0,0,SER_hh_emih_in!K9/SER_summary!K$27)</f>
        <v>12.944994551606744</v>
      </c>
      <c r="L9" s="133">
        <f>IF(SER_hh_emih_in!L9=0,0,SER_hh_emih_in!L9/SER_summary!L$27)</f>
        <v>11.251282405688148</v>
      </c>
      <c r="M9" s="133">
        <f>IF(SER_hh_emih_in!M9=0,0,SER_hh_emih_in!M9/SER_summary!M$27)</f>
        <v>12.490710445088675</v>
      </c>
      <c r="N9" s="133">
        <f>IF(SER_hh_emih_in!N9=0,0,SER_hh_emih_in!N9/SER_summary!N$27)</f>
        <v>12.6005012129745</v>
      </c>
      <c r="O9" s="133">
        <f>IF(SER_hh_emih_in!O9=0,0,SER_hh_emih_in!O9/SER_summary!O$27)</f>
        <v>12.084936137290574</v>
      </c>
      <c r="P9" s="133">
        <f>IF(SER_hh_emih_in!P9=0,0,SER_hh_emih_in!P9/SER_summary!P$27)</f>
        <v>0</v>
      </c>
      <c r="Q9" s="133">
        <f>IF(SER_hh_emih_in!Q9=0,0,SER_hh_emih_in!Q9/SER_summary!Q$27)</f>
        <v>12.458497147572972</v>
      </c>
      <c r="R9" s="133">
        <f>IF(SER_hh_emih_in!R9=0,0,SER_hh_emih_in!R9/SER_summary!R$27)</f>
        <v>12.652362723861051</v>
      </c>
      <c r="S9" s="133">
        <f>IF(SER_hh_emih_in!S9=0,0,SER_hh_emih_in!S9/SER_summary!S$27)</f>
        <v>12.172037496061222</v>
      </c>
      <c r="T9" s="133">
        <f>IF(SER_hh_emih_in!T9=0,0,SER_hh_emih_in!T9/SER_summary!T$27)</f>
        <v>12.767377775164498</v>
      </c>
      <c r="U9" s="133">
        <f>IF(SER_hh_emih_in!U9=0,0,SER_hh_emih_in!U9/SER_summary!U$27)</f>
        <v>0</v>
      </c>
      <c r="V9" s="133">
        <f>IF(SER_hh_emih_in!V9=0,0,SER_hh_emih_in!V9/SER_summary!V$27)</f>
        <v>8.8753242001243304</v>
      </c>
      <c r="W9" s="133">
        <f>IF(SER_hh_emih_in!W9=0,0,SER_hh_emih_in!W9/SER_summary!W$27)</f>
        <v>12.237258676334845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9.4048685029216421E-3</v>
      </c>
      <c r="D16" s="131">
        <f>IF(SER_hh_emih_in!D16=0,0,SER_hh_emih_in!D16/SER_summary!D$27)</f>
        <v>4.0860728849016264E-3</v>
      </c>
      <c r="E16" s="131">
        <f>IF(SER_hh_emih_in!E16=0,0,SER_hh_emih_in!E16/SER_summary!E$27)</f>
        <v>5.7109425210222862E-3</v>
      </c>
      <c r="F16" s="131">
        <f>IF(SER_hh_emih_in!F16=0,0,SER_hh_emih_in!F16/SER_summary!F$27)</f>
        <v>2.1750318943899765E-2</v>
      </c>
      <c r="G16" s="131">
        <f>IF(SER_hh_emih_in!G16=0,0,SER_hh_emih_in!G16/SER_summary!G$27)</f>
        <v>1.2157074389722298E-2</v>
      </c>
      <c r="H16" s="131">
        <f>IF(SER_hh_emih_in!H16=0,0,SER_hh_emih_in!H16/SER_summary!H$27)</f>
        <v>1.6790808235849948E-2</v>
      </c>
      <c r="I16" s="131">
        <f>IF(SER_hh_emih_in!I16=0,0,SER_hh_emih_in!I16/SER_summary!I$27)</f>
        <v>2.0720319153546773E-2</v>
      </c>
      <c r="J16" s="131">
        <f>IF(SER_hh_emih_in!J16=0,0,SER_hh_emih_in!J16/SER_summary!J$27)</f>
        <v>1.7697155474537627E-2</v>
      </c>
      <c r="K16" s="131">
        <f>IF(SER_hh_emih_in!K16=0,0,SER_hh_emih_in!K16/SER_summary!K$27)</f>
        <v>3.9976194915171633E-2</v>
      </c>
      <c r="L16" s="131">
        <f>IF(SER_hh_emih_in!L16=0,0,SER_hh_emih_in!L16/SER_summary!L$27)</f>
        <v>2.1673969259796831E-2</v>
      </c>
      <c r="M16" s="131">
        <f>IF(SER_hh_emih_in!M16=0,0,SER_hh_emih_in!M16/SER_summary!M$27)</f>
        <v>2.8840488261890684E-2</v>
      </c>
      <c r="N16" s="131">
        <f>IF(SER_hh_emih_in!N16=0,0,SER_hh_emih_in!N16/SER_summary!N$27)</f>
        <v>2.0870591153366869E-2</v>
      </c>
      <c r="O16" s="131">
        <f>IF(SER_hh_emih_in!O16=0,0,SER_hh_emih_in!O16/SER_summary!O$27)</f>
        <v>4.7000972898480486E-2</v>
      </c>
      <c r="P16" s="131">
        <f>IF(SER_hh_emih_in!P16=0,0,SER_hh_emih_in!P16/SER_summary!P$27)</f>
        <v>3.1751342510804796E-2</v>
      </c>
      <c r="Q16" s="131">
        <f>IF(SER_hh_emih_in!Q16=0,0,SER_hh_emih_in!Q16/SER_summary!Q$27)</f>
        <v>4.7567394020153204E-2</v>
      </c>
      <c r="R16" s="131">
        <f>IF(SER_hh_emih_in!R16=0,0,SER_hh_emih_in!R16/SER_summary!R$27)</f>
        <v>9.0374400986363027E-2</v>
      </c>
      <c r="S16" s="131">
        <f>IF(SER_hh_emih_in!S16=0,0,SER_hh_emih_in!S16/SER_summary!S$27)</f>
        <v>6.9871718414072595E-2</v>
      </c>
      <c r="T16" s="131">
        <f>IF(SER_hh_emih_in!T16=0,0,SER_hh_emih_in!T16/SER_summary!T$27)</f>
        <v>6.4112246680779389E-2</v>
      </c>
      <c r="U16" s="131">
        <f>IF(SER_hh_emih_in!U16=0,0,SER_hh_emih_in!U16/SER_summary!U$27)</f>
        <v>5.9750236866785364E-2</v>
      </c>
      <c r="V16" s="131">
        <f>IF(SER_hh_emih_in!V16=0,0,SER_hh_emih_in!V16/SER_summary!V$27)</f>
        <v>6.6627278177640539E-2</v>
      </c>
      <c r="W16" s="131">
        <f>IF(SER_hh_emih_in!W16=0,0,SER_hh_emih_in!W16/SER_summary!W$27)</f>
        <v>3.1519985908464727E-2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4.048805490081266</v>
      </c>
      <c r="D17" s="133">
        <f>IF(SER_hh_emih_in!D17=0,0,SER_hh_emih_in!D17/SER_summary!D$27)</f>
        <v>3.6050664507907855</v>
      </c>
      <c r="E17" s="133">
        <f>IF(SER_hh_emih_in!E17=0,0,SER_hh_emih_in!E17/SER_summary!E$27)</f>
        <v>5.0885006194379265</v>
      </c>
      <c r="F17" s="133">
        <f>IF(SER_hh_emih_in!F17=0,0,SER_hh_emih_in!F17/SER_summary!F$27)</f>
        <v>4.2231143255418102</v>
      </c>
      <c r="G17" s="133">
        <f>IF(SER_hh_emih_in!G17=0,0,SER_hh_emih_in!G17/SER_summary!G$27)</f>
        <v>4.6291343610846232</v>
      </c>
      <c r="H17" s="133">
        <f>IF(SER_hh_emih_in!H17=0,0,SER_hh_emih_in!H17/SER_summary!H$27)</f>
        <v>5.5699324077502155</v>
      </c>
      <c r="I17" s="133">
        <f>IF(SER_hh_emih_in!I17=0,0,SER_hh_emih_in!I17/SER_summary!I$27)</f>
        <v>3.6024195301811388</v>
      </c>
      <c r="J17" s="133">
        <f>IF(SER_hh_emih_in!J17=0,0,SER_hh_emih_in!J17/SER_summary!J$27)</f>
        <v>3.4855030673377119</v>
      </c>
      <c r="K17" s="133">
        <f>IF(SER_hh_emih_in!K17=0,0,SER_hh_emih_in!K17/SER_summary!K$27)</f>
        <v>4.2122195288557602</v>
      </c>
      <c r="L17" s="133">
        <f>IF(SER_hh_emih_in!L17=0,0,SER_hh_emih_in!L17/SER_summary!L$27)</f>
        <v>5.7296179191415799</v>
      </c>
      <c r="M17" s="133">
        <f>IF(SER_hh_emih_in!M17=0,0,SER_hh_emih_in!M17/SER_summary!M$27)</f>
        <v>3.7201409156210392</v>
      </c>
      <c r="N17" s="133">
        <f>IF(SER_hh_emih_in!N17=0,0,SER_hh_emih_in!N17/SER_summary!N$27)</f>
        <v>3.8332851319759165</v>
      </c>
      <c r="O17" s="133">
        <f>IF(SER_hh_emih_in!O17=0,0,SER_hh_emih_in!O17/SER_summary!O$27)</f>
        <v>4.8400123101794694</v>
      </c>
      <c r="P17" s="133">
        <f>IF(SER_hh_emih_in!P17=0,0,SER_hh_emih_in!P17/SER_summary!P$27)</f>
        <v>3.1560771833303827</v>
      </c>
      <c r="Q17" s="133">
        <f>IF(SER_hh_emih_in!Q17=0,0,SER_hh_emih_in!Q17/SER_summary!Q$27)</f>
        <v>3.582189085817729</v>
      </c>
      <c r="R17" s="133">
        <f>IF(SER_hh_emih_in!R17=0,0,SER_hh_emih_in!R17/SER_summary!R$27)</f>
        <v>5.2043648456607237</v>
      </c>
      <c r="S17" s="133">
        <f>IF(SER_hh_emih_in!S17=0,0,SER_hh_emih_in!S17/SER_summary!S$27)</f>
        <v>4.7976600959844022</v>
      </c>
      <c r="T17" s="133">
        <f>IF(SER_hh_emih_in!T17=0,0,SER_hh_emih_in!T17/SER_summary!T$27)</f>
        <v>3.93689443079086</v>
      </c>
      <c r="U17" s="133">
        <f>IF(SER_hh_emih_in!U17=0,0,SER_hh_emih_in!U17/SER_summary!U$27)</f>
        <v>3.0107114566293558</v>
      </c>
      <c r="V17" s="133">
        <f>IF(SER_hh_emih_in!V17=0,0,SER_hh_emih_in!V17/SER_summary!V$27)</f>
        <v>3.9943701351233898</v>
      </c>
      <c r="W17" s="133">
        <f>IF(SER_hh_emih_in!W17=0,0,SER_hh_emih_in!W17/SER_summary!W$27)</f>
        <v>2.499640262406372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0.64524406612973895</v>
      </c>
      <c r="D19" s="131">
        <f>IF(SER_hh_emih_in!D19=0,0,SER_hh_emih_in!D19/SER_summary!D$27)</f>
        <v>0.59648095172716808</v>
      </c>
      <c r="E19" s="131">
        <f>IF(SER_hh_emih_in!E19=0,0,SER_hh_emih_in!E19/SER_summary!E$27)</f>
        <v>0.90529425192153701</v>
      </c>
      <c r="F19" s="131">
        <f>IF(SER_hh_emih_in!F19=0,0,SER_hh_emih_in!F19/SER_summary!F$27)</f>
        <v>1.0399854523078167</v>
      </c>
      <c r="G19" s="131">
        <f>IF(SER_hh_emih_in!G19=0,0,SER_hh_emih_in!G19/SER_summary!G$27)</f>
        <v>1.2003709249788024</v>
      </c>
      <c r="H19" s="131">
        <f>IF(SER_hh_emih_in!H19=0,0,SER_hh_emih_in!H19/SER_summary!H$27)</f>
        <v>1.3242716300035424</v>
      </c>
      <c r="I19" s="131">
        <f>IF(SER_hh_emih_in!I19=0,0,SER_hh_emih_in!I19/SER_summary!I$27)</f>
        <v>1.3231558631963207</v>
      </c>
      <c r="J19" s="131">
        <f>IF(SER_hh_emih_in!J19=0,0,SER_hh_emih_in!J19/SER_summary!J$27)</f>
        <v>1.0918953329654941</v>
      </c>
      <c r="K19" s="131">
        <f>IF(SER_hh_emih_in!K19=0,0,SER_hh_emih_in!K19/SER_summary!K$27)</f>
        <v>1.3310681007370546</v>
      </c>
      <c r="L19" s="131">
        <f>IF(SER_hh_emih_in!L19=0,0,SER_hh_emih_in!L19/SER_summary!L$27)</f>
        <v>1.3075888879597641</v>
      </c>
      <c r="M19" s="131">
        <f>IF(SER_hh_emih_in!M19=0,0,SER_hh_emih_in!M19/SER_summary!M$27)</f>
        <v>1.5862055823934307</v>
      </c>
      <c r="N19" s="131">
        <f>IF(SER_hh_emih_in!N19=0,0,SER_hh_emih_in!N19/SER_summary!N$27)</f>
        <v>1.6835302578313032</v>
      </c>
      <c r="O19" s="131">
        <f>IF(SER_hh_emih_in!O19=0,0,SER_hh_emih_in!O19/SER_summary!O$27)</f>
        <v>1.5724791796598108</v>
      </c>
      <c r="P19" s="131">
        <f>IF(SER_hh_emih_in!P19=0,0,SER_hh_emih_in!P19/SER_summary!P$27)</f>
        <v>1.0787588275924864</v>
      </c>
      <c r="Q19" s="131">
        <f>IF(SER_hh_emih_in!Q19=0,0,SER_hh_emih_in!Q19/SER_summary!Q$27)</f>
        <v>1.134576401661463</v>
      </c>
      <c r="R19" s="131">
        <f>IF(SER_hh_emih_in!R19=0,0,SER_hh_emih_in!R19/SER_summary!R$27)</f>
        <v>1.218134162026238</v>
      </c>
      <c r="S19" s="131">
        <f>IF(SER_hh_emih_in!S19=0,0,SER_hh_emih_in!S19/SER_summary!S$27)</f>
        <v>1.2651484273638853</v>
      </c>
      <c r="T19" s="131">
        <f>IF(SER_hh_emih_in!T19=0,0,SER_hh_emih_in!T19/SER_summary!T$27)</f>
        <v>1.4331128237125592</v>
      </c>
      <c r="U19" s="131">
        <f>IF(SER_hh_emih_in!U19=0,0,SER_hh_emih_in!U19/SER_summary!U$27)</f>
        <v>1.3532319038480822</v>
      </c>
      <c r="V19" s="131">
        <f>IF(SER_hh_emih_in!V19=0,0,SER_hh_emih_in!V19/SER_summary!V$27)</f>
        <v>0.91017817640416343</v>
      </c>
      <c r="W19" s="131">
        <f>IF(SER_hh_emih_in!W19=0,0,SER_hh_emih_in!W19/SER_summary!W$27)</f>
        <v>1.2110069104329597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3.8433266407746811</v>
      </c>
      <c r="D21" s="133">
        <f>IF(SER_hh_emih_in!D21=0,0,SER_hh_emih_in!D21/SER_summary!D$27)</f>
        <v>3.8577330874732074</v>
      </c>
      <c r="E21" s="133">
        <f>IF(SER_hh_emih_in!E21=0,0,SER_hh_emih_in!E21/SER_summary!E$27)</f>
        <v>3.8548614255989881</v>
      </c>
      <c r="F21" s="133">
        <f>IF(SER_hh_emih_in!F21=0,0,SER_hh_emih_in!F21/SER_summary!F$27)</f>
        <v>3.8132918733253818</v>
      </c>
      <c r="G21" s="133">
        <f>IF(SER_hh_emih_in!G21=0,0,SER_hh_emih_in!G21/SER_summary!G$27)</f>
        <v>3.5499473821292411</v>
      </c>
      <c r="H21" s="133">
        <f>IF(SER_hh_emih_in!H21=0,0,SER_hh_emih_in!H21/SER_summary!H$27)</f>
        <v>3.658632316842807</v>
      </c>
      <c r="I21" s="133">
        <f>IF(SER_hh_emih_in!I21=0,0,SER_hh_emih_in!I21/SER_summary!I$27)</f>
        <v>3.598049356690626</v>
      </c>
      <c r="J21" s="133">
        <f>IF(SER_hh_emih_in!J21=0,0,SER_hh_emih_in!J21/SER_summary!J$27)</f>
        <v>2.8720525194531881</v>
      </c>
      <c r="K21" s="133">
        <f>IF(SER_hh_emih_in!K21=0,0,SER_hh_emih_in!K21/SER_summary!K$27)</f>
        <v>3.4467528082226919</v>
      </c>
      <c r="L21" s="133">
        <f>IF(SER_hh_emih_in!L21=0,0,SER_hh_emih_in!L21/SER_summary!L$27)</f>
        <v>2.9222257367243962</v>
      </c>
      <c r="M21" s="133">
        <f>IF(SER_hh_emih_in!M21=0,0,SER_hh_emih_in!M21/SER_summary!M$27)</f>
        <v>3.4163500163093077</v>
      </c>
      <c r="N21" s="133">
        <f>IF(SER_hh_emih_in!N21=0,0,SER_hh_emih_in!N21/SER_summary!N$27)</f>
        <v>3.3208392120857555</v>
      </c>
      <c r="O21" s="133">
        <f>IF(SER_hh_emih_in!O21=0,0,SER_hh_emih_in!O21/SER_summary!O$27)</f>
        <v>3.3462617376007699</v>
      </c>
      <c r="P21" s="133">
        <f>IF(SER_hh_emih_in!P21=0,0,SER_hh_emih_in!P21/SER_summary!P$27)</f>
        <v>3.0894154481356164</v>
      </c>
      <c r="Q21" s="133">
        <f>IF(SER_hh_emih_in!Q21=0,0,SER_hh_emih_in!Q21/SER_summary!Q$27)</f>
        <v>3.0794270608289982</v>
      </c>
      <c r="R21" s="133">
        <f>IF(SER_hh_emih_in!R21=0,0,SER_hh_emih_in!R21/SER_summary!R$27)</f>
        <v>2.8872423679081844</v>
      </c>
      <c r="S21" s="133">
        <f>IF(SER_hh_emih_in!S21=0,0,SER_hh_emih_in!S21/SER_summary!S$27)</f>
        <v>2.8264927369133281</v>
      </c>
      <c r="T21" s="133">
        <f>IF(SER_hh_emih_in!T21=0,0,SER_hh_emih_in!T21/SER_summary!T$27)</f>
        <v>2.77284213205373</v>
      </c>
      <c r="U21" s="133">
        <f>IF(SER_hh_emih_in!U21=0,0,SER_hh_emih_in!U21/SER_summary!U$27)</f>
        <v>2.6278288607954883</v>
      </c>
      <c r="V21" s="133">
        <f>IF(SER_hh_emih_in!V21=0,0,SER_hh_emih_in!V21/SER_summary!V$27)</f>
        <v>1.7495357799514184</v>
      </c>
      <c r="W21" s="133">
        <f>IF(SER_hh_emih_in!W21=0,0,SER_hh_emih_in!W21/SER_summary!W$27)</f>
        <v>2.6530697792040812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4.8438775113425931</v>
      </c>
      <c r="D22" s="133">
        <f>IF(SER_hh_emih_in!D22=0,0,SER_hh_emih_in!D22/SER_summary!D$27)</f>
        <v>4.803289908477927</v>
      </c>
      <c r="E22" s="133">
        <f>IF(SER_hh_emih_in!E22=0,0,SER_hh_emih_in!E22/SER_summary!E$27)</f>
        <v>4.8214915259456674</v>
      </c>
      <c r="F22" s="133">
        <f>IF(SER_hh_emih_in!F22=0,0,SER_hh_emih_in!F22/SER_summary!F$27)</f>
        <v>4.8514703766354943</v>
      </c>
      <c r="G22" s="133">
        <f>IF(SER_hh_emih_in!G22=0,0,SER_hh_emih_in!G22/SER_summary!G$27)</f>
        <v>4.4514283355269226</v>
      </c>
      <c r="H22" s="133">
        <f>IF(SER_hh_emih_in!H22=0,0,SER_hh_emih_in!H22/SER_summary!H$27)</f>
        <v>4.6194717173819155</v>
      </c>
      <c r="I22" s="133">
        <f>IF(SER_hh_emih_in!I22=0,0,SER_hh_emih_in!I22/SER_summary!I$27)</f>
        <v>4.4453135401878718</v>
      </c>
      <c r="J22" s="133">
        <f>IF(SER_hh_emih_in!J22=0,0,SER_hh_emih_in!J22/SER_summary!J$27)</f>
        <v>3.4100642081487438</v>
      </c>
      <c r="K22" s="133">
        <f>IF(SER_hh_emih_in!K22=0,0,SER_hh_emih_in!K22/SER_summary!K$27)</f>
        <v>4.0976134538305331</v>
      </c>
      <c r="L22" s="133">
        <f>IF(SER_hh_emih_in!L22=0,0,SER_hh_emih_in!L22/SER_summary!L$27)</f>
        <v>3.6277194251823937</v>
      </c>
      <c r="M22" s="133">
        <f>IF(SER_hh_emih_in!M22=0,0,SER_hh_emih_in!M22/SER_summary!M$27)</f>
        <v>4.2310887611856405</v>
      </c>
      <c r="N22" s="133">
        <f>IF(SER_hh_emih_in!N22=0,0,SER_hh_emih_in!N22/SER_summary!N$27)</f>
        <v>4.0994161382246279</v>
      </c>
      <c r="O22" s="133">
        <f>IF(SER_hh_emih_in!O22=0,0,SER_hh_emih_in!O22/SER_summary!O$27)</f>
        <v>4.1089699169289871</v>
      </c>
      <c r="P22" s="133">
        <f>IF(SER_hh_emih_in!P22=0,0,SER_hh_emih_in!P22/SER_summary!P$27)</f>
        <v>3.7648911129246518</v>
      </c>
      <c r="Q22" s="133">
        <f>IF(SER_hh_emih_in!Q22=0,0,SER_hh_emih_in!Q22/SER_summary!Q$27)</f>
        <v>3.6963763147677207</v>
      </c>
      <c r="R22" s="133">
        <f>IF(SER_hh_emih_in!R22=0,0,SER_hh_emih_in!R22/SER_summary!R$27)</f>
        <v>3.4124888444242916</v>
      </c>
      <c r="S22" s="133">
        <f>IF(SER_hh_emih_in!S22=0,0,SER_hh_emih_in!S22/SER_summary!S$27)</f>
        <v>3.3861550743528186</v>
      </c>
      <c r="T22" s="133">
        <f>IF(SER_hh_emih_in!T22=0,0,SER_hh_emih_in!T22/SER_summary!T$27)</f>
        <v>3.3454816196834614</v>
      </c>
      <c r="U22" s="133">
        <f>IF(SER_hh_emih_in!U22=0,0,SER_hh_emih_in!U22/SER_summary!U$27)</f>
        <v>3.1043085434423059</v>
      </c>
      <c r="V22" s="133">
        <f>IF(SER_hh_emih_in!V22=0,0,SER_hh_emih_in!V22/SER_summary!V$27)</f>
        <v>2.0098638497674246</v>
      </c>
      <c r="W22" s="133">
        <f>IF(SER_hh_emih_in!W22=0,0,SER_hh_emih_in!W22/SER_summary!W$27)</f>
        <v>3.273652514426137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3.2796647290516181</v>
      </c>
      <c r="D23" s="133">
        <f>IF(SER_hh_emih_in!D23=0,0,SER_hh_emih_in!D23/SER_summary!D$27)</f>
        <v>3.2801253855831569</v>
      </c>
      <c r="E23" s="133">
        <f>IF(SER_hh_emih_in!E23=0,0,SER_hh_emih_in!E23/SER_summary!E$27)</f>
        <v>3.1695391084865689</v>
      </c>
      <c r="F23" s="133">
        <f>IF(SER_hh_emih_in!F23=0,0,SER_hh_emih_in!F23/SER_summary!F$27)</f>
        <v>3.1417850801915104</v>
      </c>
      <c r="G23" s="133">
        <f>IF(SER_hh_emih_in!G23=0,0,SER_hh_emih_in!G23/SER_summary!G$27)</f>
        <v>3.0102132830997079</v>
      </c>
      <c r="H23" s="133">
        <f>IF(SER_hh_emih_in!H23=0,0,SER_hh_emih_in!H23/SER_summary!H$27)</f>
        <v>3.046109708845806</v>
      </c>
      <c r="I23" s="133">
        <f>IF(SER_hh_emih_in!I23=0,0,SER_hh_emih_in!I23/SER_summary!I$27)</f>
        <v>3.034610839873793</v>
      </c>
      <c r="J23" s="133">
        <f>IF(SER_hh_emih_in!J23=0,0,SER_hh_emih_in!J23/SER_summary!J$27)</f>
        <v>2.5067473636918804</v>
      </c>
      <c r="K23" s="133">
        <f>IF(SER_hh_emih_in!K23=0,0,SER_hh_emih_in!K23/SER_summary!K$27)</f>
        <v>2.8015287502803647</v>
      </c>
      <c r="L23" s="133">
        <f>IF(SER_hh_emih_in!L23=0,0,SER_hh_emih_in!L23/SER_summary!L$27)</f>
        <v>2.4856037553561077</v>
      </c>
      <c r="M23" s="133">
        <f>IF(SER_hh_emih_in!M23=0,0,SER_hh_emih_in!M23/SER_summary!M$27)</f>
        <v>2.852680993143077</v>
      </c>
      <c r="N23" s="133">
        <f>IF(SER_hh_emih_in!N23=0,0,SER_hh_emih_in!N23/SER_summary!N$27)</f>
        <v>2.788138547386001</v>
      </c>
      <c r="O23" s="133">
        <f>IF(SER_hh_emih_in!O23=0,0,SER_hh_emih_in!O23/SER_summary!O$27)</f>
        <v>2.8469266445230437</v>
      </c>
      <c r="P23" s="133">
        <f>IF(SER_hh_emih_in!P23=0,0,SER_hh_emih_in!P23/SER_summary!P$27)</f>
        <v>2.6119147197455734</v>
      </c>
      <c r="Q23" s="133">
        <f>IF(SER_hh_emih_in!Q23=0,0,SER_hh_emih_in!Q23/SER_summary!Q$27)</f>
        <v>2.5974714759667155</v>
      </c>
      <c r="R23" s="133">
        <f>IF(SER_hh_emih_in!R23=0,0,SER_hh_emih_in!R23/SER_summary!R$27)</f>
        <v>2.4982311152377994</v>
      </c>
      <c r="S23" s="133">
        <f>IF(SER_hh_emih_in!S23=0,0,SER_hh_emih_in!S23/SER_summary!S$27)</f>
        <v>2.5121348451898466</v>
      </c>
      <c r="T23" s="133">
        <f>IF(SER_hh_emih_in!T23=0,0,SER_hh_emih_in!T23/SER_summary!T$27)</f>
        <v>2.5270237074685511</v>
      </c>
      <c r="U23" s="133">
        <f>IF(SER_hh_emih_in!U23=0,0,SER_hh_emih_in!U23/SER_summary!U$27)</f>
        <v>2.4135854482192474</v>
      </c>
      <c r="V23" s="133">
        <f>IF(SER_hh_emih_in!V23=0,0,SER_hh_emih_in!V23/SER_summary!V$27)</f>
        <v>1.3837010442324491</v>
      </c>
      <c r="W23" s="133">
        <f>IF(SER_hh_emih_in!W23=0,0,SER_hh_emih_in!W23/SER_summary!W$27)</f>
        <v>2.4878581008513407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0.5897473805111586</v>
      </c>
      <c r="D29" s="131">
        <f>IF(SER_hh_emih_in!D29=0,0,SER_hh_emih_in!D29/SER_summary!D$27)</f>
        <v>2.2886602532847902</v>
      </c>
      <c r="E29" s="131">
        <f>IF(SER_hh_emih_in!E29=0,0,SER_hh_emih_in!E29/SER_summary!E$27)</f>
        <v>2.4582563105976361</v>
      </c>
      <c r="F29" s="131">
        <f>IF(SER_hh_emih_in!F29=0,0,SER_hh_emih_in!F29/SER_summary!F$27)</f>
        <v>2.8017477232101982</v>
      </c>
      <c r="G29" s="131">
        <f>IF(SER_hh_emih_in!G29=0,0,SER_hh_emih_in!G29/SER_summary!G$27)</f>
        <v>3.6266710472508183</v>
      </c>
      <c r="H29" s="131">
        <f>IF(SER_hh_emih_in!H29=0,0,SER_hh_emih_in!H29/SER_summary!H$27)</f>
        <v>1.7048541858290713</v>
      </c>
      <c r="I29" s="131">
        <f>IF(SER_hh_emih_in!I29=0,0,SER_hh_emih_in!I29/SER_summary!I$27)</f>
        <v>1.6933166034388425</v>
      </c>
      <c r="J29" s="131">
        <f>IF(SER_hh_emih_in!J29=0,0,SER_hh_emih_in!J29/SER_summary!J$27)</f>
        <v>0.92341077710443453</v>
      </c>
      <c r="K29" s="131">
        <f>IF(SER_hh_emih_in!K29=0,0,SER_hh_emih_in!K29/SER_summary!K$27)</f>
        <v>0.53943399052775309</v>
      </c>
      <c r="L29" s="131">
        <f>IF(SER_hh_emih_in!L29=0,0,SER_hh_emih_in!L29/SER_summary!L$27)</f>
        <v>0.56130113657200575</v>
      </c>
      <c r="M29" s="131">
        <f>IF(SER_hh_emih_in!M29=0,0,SER_hh_emih_in!M29/SER_summary!M$27)</f>
        <v>0.99574605420493278</v>
      </c>
      <c r="N29" s="131">
        <f>IF(SER_hh_emih_in!N29=0,0,SER_hh_emih_in!N29/SER_summary!N$27)</f>
        <v>0.77602792207850502</v>
      </c>
      <c r="O29" s="131">
        <f>IF(SER_hh_emih_in!O29=0,0,SER_hh_emih_in!O29/SER_summary!O$27)</f>
        <v>3.017419258443597</v>
      </c>
      <c r="P29" s="131">
        <f>IF(SER_hh_emih_in!P29=0,0,SER_hh_emih_in!P29/SER_summary!P$27)</f>
        <v>4.2611423107889852</v>
      </c>
      <c r="Q29" s="131">
        <f>IF(SER_hh_emih_in!Q29=0,0,SER_hh_emih_in!Q29/SER_summary!Q$27)</f>
        <v>3.3812114558833217</v>
      </c>
      <c r="R29" s="131">
        <f>IF(SER_hh_emih_in!R29=0,0,SER_hh_emih_in!R29/SER_summary!R$27)</f>
        <v>2.2789043710514978</v>
      </c>
      <c r="S29" s="131">
        <f>IF(SER_hh_emih_in!S29=0,0,SER_hh_emih_in!S29/SER_summary!S$27)</f>
        <v>1.9613143326153422</v>
      </c>
      <c r="T29" s="131">
        <f>IF(SER_hh_emih_in!T29=0,0,SER_hh_emih_in!T29/SER_summary!T$27)</f>
        <v>2.1084835374539548</v>
      </c>
      <c r="U29" s="131">
        <f>IF(SER_hh_emih_in!U29=0,0,SER_hh_emih_in!U29/SER_summary!U$27)</f>
        <v>0.86424697240354165</v>
      </c>
      <c r="V29" s="131">
        <f>IF(SER_hh_emih_in!V29=0,0,SER_hh_emih_in!V29/SER_summary!V$27)</f>
        <v>0.5357919382558527</v>
      </c>
      <c r="W29" s="131">
        <f>IF(SER_hh_emih_in!W29=0,0,SER_hh_emih_in!W29/SER_summary!W$27)</f>
        <v>0.63313213699289961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2.9898822537010958</v>
      </c>
      <c r="D30" s="133">
        <f>IF(SER_hh_emih_in!D30=0,0,SER_hh_emih_in!D30/SER_summary!D$27)</f>
        <v>4.2077005635365898</v>
      </c>
      <c r="E30" s="133">
        <f>IF(SER_hh_emih_in!E30=0,0,SER_hh_emih_in!E30/SER_summary!E$27)</f>
        <v>3.9518671733339978</v>
      </c>
      <c r="F30" s="133">
        <f>IF(SER_hh_emih_in!F30=0,0,SER_hh_emih_in!F30/SER_summary!F$27)</f>
        <v>3.9083854431024818</v>
      </c>
      <c r="G30" s="133">
        <f>IF(SER_hh_emih_in!G30=0,0,SER_hh_emih_in!G30/SER_summary!G$27)</f>
        <v>4.9327513672127177</v>
      </c>
      <c r="H30" s="133">
        <f>IF(SER_hh_emih_in!H30=0,0,SER_hh_emih_in!H30/SER_summary!H$27)</f>
        <v>4.1457703528055108</v>
      </c>
      <c r="I30" s="133">
        <f>IF(SER_hh_emih_in!I30=0,0,SER_hh_emih_in!I30/SER_summary!I$27)</f>
        <v>4.1870836717466551</v>
      </c>
      <c r="J30" s="133">
        <f>IF(SER_hh_emih_in!J30=0,0,SER_hh_emih_in!J30/SER_summary!J$27)</f>
        <v>4.9143116164636256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3.19033378927015</v>
      </c>
      <c r="O30" s="133">
        <f>IF(SER_hh_emih_in!O30=0,0,SER_hh_emih_in!O30/SER_summary!O$27)</f>
        <v>3.1963826224321643</v>
      </c>
      <c r="P30" s="133">
        <f>IF(SER_hh_emih_in!P30=0,0,SER_hh_emih_in!P30/SER_summary!P$27)</f>
        <v>4.8854555256287631</v>
      </c>
      <c r="Q30" s="133">
        <f>IF(SER_hh_emih_in!Q30=0,0,SER_hh_emih_in!Q30/SER_summary!Q$27)</f>
        <v>4.7945458421156646</v>
      </c>
      <c r="R30" s="133">
        <f>IF(SER_hh_emih_in!R30=0,0,SER_hh_emih_in!R30/SER_summary!R$27)</f>
        <v>4.2217570104913866</v>
      </c>
      <c r="S30" s="133">
        <f>IF(SER_hh_emih_in!S30=0,0,SER_hh_emih_in!S30/SER_summary!S$27)</f>
        <v>4.0557147874173589</v>
      </c>
      <c r="T30" s="133">
        <f>IF(SER_hh_emih_in!T30=0,0,SER_hh_emih_in!T30/SER_summary!T$27)</f>
        <v>5.1111518839511785</v>
      </c>
      <c r="U30" s="133">
        <f>IF(SER_hh_emih_in!U30=0,0,SER_hh_emih_in!U30/SER_summary!U$27)</f>
        <v>5.0239430112961472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3.3279884642192501</v>
      </c>
      <c r="D31" s="133">
        <f>IF(SER_hh_emih_in!D31=0,0,SER_hh_emih_in!D31/SER_summary!D$27)</f>
        <v>3.5792272324841239</v>
      </c>
      <c r="E31" s="133">
        <f>IF(SER_hh_emih_in!E31=0,0,SER_hh_emih_in!E31/SER_summary!E$27)</f>
        <v>3.546441061956819</v>
      </c>
      <c r="F31" s="133">
        <f>IF(SER_hh_emih_in!F31=0,0,SER_hh_emih_in!F31/SER_summary!F$27)</f>
        <v>3.7554401332567857</v>
      </c>
      <c r="G31" s="133">
        <f>IF(SER_hh_emih_in!G31=0,0,SER_hh_emih_in!G31/SER_summary!G$27)</f>
        <v>3.8160987367085322</v>
      </c>
      <c r="H31" s="133">
        <f>IF(SER_hh_emih_in!H31=0,0,SER_hh_emih_in!H31/SER_summary!H$27)</f>
        <v>3.8206552397953146</v>
      </c>
      <c r="I31" s="133">
        <f>IF(SER_hh_emih_in!I31=0,0,SER_hh_emih_in!I31/SER_summary!I$27)</f>
        <v>3.7791395333994235</v>
      </c>
      <c r="J31" s="133">
        <f>IF(SER_hh_emih_in!J31=0,0,SER_hh_emih_in!J31/SER_summary!J$27)</f>
        <v>3.6385773695658798</v>
      </c>
      <c r="K31" s="133">
        <f>IF(SER_hh_emih_in!K31=0,0,SER_hh_emih_in!K31/SER_summary!K$27)</f>
        <v>3.670159906693272</v>
      </c>
      <c r="L31" s="133">
        <f>IF(SER_hh_emih_in!L31=0,0,SER_hh_emih_in!L31/SER_summary!L$27)</f>
        <v>4.0780415492848494</v>
      </c>
      <c r="M31" s="133">
        <f>IF(SER_hh_emih_in!M31=0,0,SER_hh_emih_in!M31/SER_summary!M$27)</f>
        <v>3.8062780630006232</v>
      </c>
      <c r="N31" s="133">
        <f>IF(SER_hh_emih_in!N31=0,0,SER_hh_emih_in!N31/SER_summary!N$27)</f>
        <v>3.5663597838648342</v>
      </c>
      <c r="O31" s="133">
        <f>IF(SER_hh_emih_in!O31=0,0,SER_hh_emih_in!O31/SER_summary!O$27)</f>
        <v>3.9466130074369059</v>
      </c>
      <c r="P31" s="133">
        <f>IF(SER_hh_emih_in!P31=0,0,SER_hh_emih_in!P31/SER_summary!P$27)</f>
        <v>3.720530500331432</v>
      </c>
      <c r="Q31" s="133">
        <f>IF(SER_hh_emih_in!Q31=0,0,SER_hh_emih_in!Q31/SER_summary!Q$27)</f>
        <v>3.9375762716378477</v>
      </c>
      <c r="R31" s="133">
        <f>IF(SER_hh_emih_in!R31=0,0,SER_hh_emih_in!R31/SER_summary!R$27)</f>
        <v>3.9780702335990541</v>
      </c>
      <c r="S31" s="133">
        <f>IF(SER_hh_emih_in!S31=0,0,SER_hh_emih_in!S31/SER_summary!S$27)</f>
        <v>3.9442893068492508</v>
      </c>
      <c r="T31" s="133">
        <f>IF(SER_hh_emih_in!T31=0,0,SER_hh_emih_in!T31/SER_summary!T$27)</f>
        <v>3.939492397286231</v>
      </c>
      <c r="U31" s="133">
        <f>IF(SER_hh_emih_in!U31=0,0,SER_hh_emih_in!U31/SER_summary!U$27)</f>
        <v>4.0473024522799248</v>
      </c>
      <c r="V31" s="133">
        <f>IF(SER_hh_emih_in!V31=0,0,SER_hh_emih_in!V31/SER_summary!V$27)</f>
        <v>3.7407311482984706</v>
      </c>
      <c r="W31" s="133">
        <f>IF(SER_hh_emih_in!W31=0,0,SER_hh_emih_in!W31/SER_summary!W$27)</f>
        <v>3.4363027790829159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603.68431758827398</v>
      </c>
      <c r="C3" s="180">
        <f t="shared" ref="C3:W3" si="1">SUM(C4:C9)</f>
        <v>631.25716681665801</v>
      </c>
      <c r="D3" s="180">
        <f t="shared" si="1"/>
        <v>650.97151578278977</v>
      </c>
      <c r="E3" s="180">
        <f t="shared" si="1"/>
        <v>668.33711053563218</v>
      </c>
      <c r="F3" s="180">
        <f t="shared" si="1"/>
        <v>687.92881091627055</v>
      </c>
      <c r="G3" s="180">
        <f t="shared" si="1"/>
        <v>707.90385441235844</v>
      </c>
      <c r="H3" s="180">
        <f t="shared" si="1"/>
        <v>726.61264342082734</v>
      </c>
      <c r="I3" s="180">
        <f t="shared" si="1"/>
        <v>743.18300723999357</v>
      </c>
      <c r="J3" s="180">
        <f t="shared" si="1"/>
        <v>755.43992184199647</v>
      </c>
      <c r="K3" s="180">
        <f t="shared" si="1"/>
        <v>763.9655768715063</v>
      </c>
      <c r="L3" s="180">
        <f t="shared" si="1"/>
        <v>773.30849771909516</v>
      </c>
      <c r="M3" s="180">
        <f t="shared" si="1"/>
        <v>780.86070974014001</v>
      </c>
      <c r="N3" s="180">
        <f t="shared" si="1"/>
        <v>787.49064407036985</v>
      </c>
      <c r="O3" s="180">
        <f t="shared" si="1"/>
        <v>796.75517471036642</v>
      </c>
      <c r="P3" s="180">
        <f t="shared" si="1"/>
        <v>811.06120869410722</v>
      </c>
      <c r="Q3" s="180">
        <f t="shared" si="1"/>
        <v>825.81961771527028</v>
      </c>
      <c r="R3" s="180">
        <f t="shared" si="1"/>
        <v>813.89999352415657</v>
      </c>
      <c r="S3" s="180">
        <f t="shared" si="1"/>
        <v>814.96948285226199</v>
      </c>
      <c r="T3" s="180">
        <f t="shared" si="1"/>
        <v>805.60252484427065</v>
      </c>
      <c r="U3" s="180">
        <f t="shared" si="1"/>
        <v>784.24869742598662</v>
      </c>
      <c r="V3" s="180">
        <f t="shared" si="1"/>
        <v>728.54977344449514</v>
      </c>
      <c r="W3" s="180">
        <f t="shared" si="1"/>
        <v>696.98598522467194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31.661366535556635</v>
      </c>
      <c r="C4" s="181">
        <f t="shared" ref="C4:R9" si="3">C12*C44/11630</f>
        <v>32.883773498921606</v>
      </c>
      <c r="D4" s="181">
        <f t="shared" si="3"/>
        <v>33.66787373252631</v>
      </c>
      <c r="E4" s="181">
        <f t="shared" si="3"/>
        <v>34.380187615281194</v>
      </c>
      <c r="F4" s="181">
        <f t="shared" si="3"/>
        <v>35.309390905013665</v>
      </c>
      <c r="G4" s="181">
        <f t="shared" si="3"/>
        <v>36.370359886888714</v>
      </c>
      <c r="H4" s="181">
        <f t="shared" si="3"/>
        <v>37.648971207855048</v>
      </c>
      <c r="I4" s="181">
        <f t="shared" si="3"/>
        <v>38.624809467202915</v>
      </c>
      <c r="J4" s="181">
        <f t="shared" si="3"/>
        <v>39.415976813087305</v>
      </c>
      <c r="K4" s="181">
        <f t="shared" si="3"/>
        <v>39.915012367565822</v>
      </c>
      <c r="L4" s="181">
        <f t="shared" si="3"/>
        <v>40.403860538683574</v>
      </c>
      <c r="M4" s="181">
        <f t="shared" si="3"/>
        <v>40.800133543333438</v>
      </c>
      <c r="N4" s="181">
        <f t="shared" si="3"/>
        <v>41.06022380493053</v>
      </c>
      <c r="O4" s="181">
        <f t="shared" si="3"/>
        <v>41.418012927790038</v>
      </c>
      <c r="P4" s="181">
        <f t="shared" si="3"/>
        <v>41.775951233529916</v>
      </c>
      <c r="Q4" s="181">
        <f t="shared" si="3"/>
        <v>42.193174935873728</v>
      </c>
      <c r="R4" s="181">
        <f t="shared" si="3"/>
        <v>42.652325199627064</v>
      </c>
      <c r="S4" s="181">
        <f t="shared" ref="D4:W9" si="4">S12*S44/11630</f>
        <v>43.177993861701104</v>
      </c>
      <c r="T4" s="181">
        <f t="shared" si="4"/>
        <v>43.639917388055885</v>
      </c>
      <c r="U4" s="181">
        <f t="shared" si="4"/>
        <v>44.129940467462674</v>
      </c>
      <c r="V4" s="181">
        <f t="shared" si="4"/>
        <v>44.661650447992123</v>
      </c>
      <c r="W4" s="181">
        <f t="shared" si="4"/>
        <v>45.145585319163352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95.7587381952752</v>
      </c>
      <c r="C5" s="181">
        <f t="shared" si="3"/>
        <v>97.111646700514356</v>
      </c>
      <c r="D5" s="181">
        <f t="shared" si="4"/>
        <v>98.2796913285394</v>
      </c>
      <c r="E5" s="181">
        <f t="shared" si="4"/>
        <v>99.316264090008829</v>
      </c>
      <c r="F5" s="181">
        <f t="shared" si="4"/>
        <v>99.67507814313835</v>
      </c>
      <c r="G5" s="181">
        <f t="shared" si="4"/>
        <v>100.13242275360084</v>
      </c>
      <c r="H5" s="181">
        <f t="shared" si="4"/>
        <v>100.19490690193295</v>
      </c>
      <c r="I5" s="181">
        <f t="shared" si="4"/>
        <v>100.38796087893587</v>
      </c>
      <c r="J5" s="181">
        <f t="shared" si="4"/>
        <v>101.14848281438535</v>
      </c>
      <c r="K5" s="181">
        <f t="shared" si="4"/>
        <v>101.71714202535908</v>
      </c>
      <c r="L5" s="181">
        <f t="shared" si="4"/>
        <v>102.8340144131239</v>
      </c>
      <c r="M5" s="181">
        <f t="shared" si="4"/>
        <v>104.0565947451902</v>
      </c>
      <c r="N5" s="181">
        <f t="shared" si="4"/>
        <v>105.04530726588744</v>
      </c>
      <c r="O5" s="181">
        <f t="shared" si="4"/>
        <v>105.97232296645552</v>
      </c>
      <c r="P5" s="181">
        <f t="shared" si="4"/>
        <v>107.07372359824002</v>
      </c>
      <c r="Q5" s="181">
        <f t="shared" si="4"/>
        <v>108.8463301172312</v>
      </c>
      <c r="R5" s="181">
        <f t="shared" si="4"/>
        <v>105.87815688986811</v>
      </c>
      <c r="S5" s="181">
        <f t="shared" si="4"/>
        <v>104.77408335229119</v>
      </c>
      <c r="T5" s="181">
        <f t="shared" si="4"/>
        <v>101.41997411872093</v>
      </c>
      <c r="U5" s="181">
        <f t="shared" si="4"/>
        <v>97.571919994541005</v>
      </c>
      <c r="V5" s="181">
        <f t="shared" si="4"/>
        <v>93.520423157839559</v>
      </c>
      <c r="W5" s="181">
        <f t="shared" si="4"/>
        <v>89.644756237120802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229.16556383596435</v>
      </c>
      <c r="C6" s="181">
        <f t="shared" si="3"/>
        <v>237.78321934457307</v>
      </c>
      <c r="D6" s="181">
        <f t="shared" si="4"/>
        <v>241.14775570722659</v>
      </c>
      <c r="E6" s="181">
        <f t="shared" si="4"/>
        <v>243.41434061389967</v>
      </c>
      <c r="F6" s="181">
        <f t="shared" si="4"/>
        <v>247.38881794042919</v>
      </c>
      <c r="G6" s="181">
        <f t="shared" si="4"/>
        <v>250.60900593669248</v>
      </c>
      <c r="H6" s="181">
        <f t="shared" si="4"/>
        <v>254.45113536413132</v>
      </c>
      <c r="I6" s="181">
        <f t="shared" si="4"/>
        <v>258.3823927075361</v>
      </c>
      <c r="J6" s="181">
        <f t="shared" si="4"/>
        <v>262.04844862817203</v>
      </c>
      <c r="K6" s="181">
        <f t="shared" si="4"/>
        <v>263.32526109363897</v>
      </c>
      <c r="L6" s="181">
        <f t="shared" si="4"/>
        <v>265.00910087331727</v>
      </c>
      <c r="M6" s="181">
        <f t="shared" si="4"/>
        <v>268.08870467524292</v>
      </c>
      <c r="N6" s="181">
        <f t="shared" si="4"/>
        <v>270.90535528030546</v>
      </c>
      <c r="O6" s="181">
        <f t="shared" si="4"/>
        <v>273.29610520335638</v>
      </c>
      <c r="P6" s="181">
        <f t="shared" si="4"/>
        <v>275.43638617996226</v>
      </c>
      <c r="Q6" s="181">
        <f t="shared" si="4"/>
        <v>277.6730281106224</v>
      </c>
      <c r="R6" s="181">
        <f t="shared" si="4"/>
        <v>266.69686123608733</v>
      </c>
      <c r="S6" s="181">
        <f t="shared" si="4"/>
        <v>263.42270314151637</v>
      </c>
      <c r="T6" s="181">
        <f t="shared" si="4"/>
        <v>247.62011548550916</v>
      </c>
      <c r="U6" s="181">
        <f t="shared" si="4"/>
        <v>229.98418120062939</v>
      </c>
      <c r="V6" s="181">
        <f t="shared" si="4"/>
        <v>196.99278089256916</v>
      </c>
      <c r="W6" s="181">
        <f t="shared" si="4"/>
        <v>179.82944955297751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108.93933845057953</v>
      </c>
      <c r="C7" s="181">
        <f t="shared" si="3"/>
        <v>113.76512892349052</v>
      </c>
      <c r="D7" s="181">
        <f t="shared" si="4"/>
        <v>118.93377681959007</v>
      </c>
      <c r="E7" s="181">
        <f t="shared" si="4"/>
        <v>123.25795281651448</v>
      </c>
      <c r="F7" s="181">
        <f t="shared" si="4"/>
        <v>128.18025505705666</v>
      </c>
      <c r="G7" s="181">
        <f t="shared" si="4"/>
        <v>132.50205497885563</v>
      </c>
      <c r="H7" s="181">
        <f t="shared" si="4"/>
        <v>136.06494476637863</v>
      </c>
      <c r="I7" s="181">
        <f t="shared" si="4"/>
        <v>137.68859150213126</v>
      </c>
      <c r="J7" s="181">
        <f t="shared" si="4"/>
        <v>138.38150536594324</v>
      </c>
      <c r="K7" s="181">
        <f t="shared" si="4"/>
        <v>138.62929890357941</v>
      </c>
      <c r="L7" s="181">
        <f t="shared" si="4"/>
        <v>138.72619928215542</v>
      </c>
      <c r="M7" s="181">
        <f t="shared" si="4"/>
        <v>138.44207071242104</v>
      </c>
      <c r="N7" s="181">
        <f t="shared" si="4"/>
        <v>138.16008634656509</v>
      </c>
      <c r="O7" s="181">
        <f t="shared" si="4"/>
        <v>137.89813400666881</v>
      </c>
      <c r="P7" s="181">
        <f t="shared" si="4"/>
        <v>137.99830582646678</v>
      </c>
      <c r="Q7" s="181">
        <f t="shared" si="4"/>
        <v>138.92448851846206</v>
      </c>
      <c r="R7" s="181">
        <f t="shared" si="4"/>
        <v>137.8769641844425</v>
      </c>
      <c r="S7" s="181">
        <f t="shared" si="4"/>
        <v>137.09391530454045</v>
      </c>
      <c r="T7" s="181">
        <f t="shared" si="4"/>
        <v>136.35565519471669</v>
      </c>
      <c r="U7" s="181">
        <f t="shared" si="4"/>
        <v>135.45673328234446</v>
      </c>
      <c r="V7" s="181">
        <f t="shared" si="4"/>
        <v>134.3178978066347</v>
      </c>
      <c r="W7" s="181">
        <f t="shared" si="4"/>
        <v>132.54669217456629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70.471116054656278</v>
      </c>
      <c r="C8" s="55">
        <f t="shared" si="3"/>
        <v>75.138764198870874</v>
      </c>
      <c r="D8" s="55">
        <f t="shared" si="4"/>
        <v>78.897684222406227</v>
      </c>
      <c r="E8" s="55">
        <f t="shared" si="4"/>
        <v>82.304882048085659</v>
      </c>
      <c r="F8" s="55">
        <f t="shared" si="4"/>
        <v>86.224711568194053</v>
      </c>
      <c r="G8" s="55">
        <f t="shared" si="4"/>
        <v>90.994734410452494</v>
      </c>
      <c r="H8" s="55">
        <f t="shared" si="4"/>
        <v>96.319341634521265</v>
      </c>
      <c r="I8" s="55">
        <f t="shared" si="4"/>
        <v>100.85604610860671</v>
      </c>
      <c r="J8" s="55">
        <f t="shared" si="4"/>
        <v>103.71381480564341</v>
      </c>
      <c r="K8" s="55">
        <f t="shared" si="4"/>
        <v>106.09076968617087</v>
      </c>
      <c r="L8" s="55">
        <f t="shared" si="4"/>
        <v>107.64103031047915</v>
      </c>
      <c r="M8" s="55">
        <f t="shared" si="4"/>
        <v>108.86112169340312</v>
      </c>
      <c r="N8" s="55">
        <f t="shared" si="4"/>
        <v>109.35672607678563</v>
      </c>
      <c r="O8" s="55">
        <f t="shared" si="4"/>
        <v>109.4348659870451</v>
      </c>
      <c r="P8" s="55">
        <f t="shared" si="4"/>
        <v>108.87143888999634</v>
      </c>
      <c r="Q8" s="55">
        <f t="shared" si="4"/>
        <v>107.94829444720067</v>
      </c>
      <c r="R8" s="55">
        <f t="shared" si="4"/>
        <v>107.38619915119048</v>
      </c>
      <c r="S8" s="55">
        <f t="shared" si="4"/>
        <v>109.57525794709841</v>
      </c>
      <c r="T8" s="55">
        <f t="shared" si="4"/>
        <v>110.1553671741308</v>
      </c>
      <c r="U8" s="55">
        <f t="shared" si="4"/>
        <v>110.08746819007823</v>
      </c>
      <c r="V8" s="55">
        <f t="shared" si="4"/>
        <v>100.76137581144614</v>
      </c>
      <c r="W8" s="55">
        <f t="shared" si="4"/>
        <v>98.282607327795745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67.688194516241964</v>
      </c>
      <c r="C9" s="63">
        <f t="shared" si="3"/>
        <v>74.574634150287537</v>
      </c>
      <c r="D9" s="63">
        <f t="shared" si="4"/>
        <v>80.044733972501177</v>
      </c>
      <c r="E9" s="63">
        <f t="shared" si="4"/>
        <v>85.663483351842302</v>
      </c>
      <c r="F9" s="63">
        <f t="shared" si="4"/>
        <v>91.150557302438671</v>
      </c>
      <c r="G9" s="63">
        <f t="shared" si="4"/>
        <v>97.295276445868367</v>
      </c>
      <c r="H9" s="63">
        <f t="shared" si="4"/>
        <v>101.93334354600815</v>
      </c>
      <c r="I9" s="63">
        <f t="shared" si="4"/>
        <v>107.24320657558076</v>
      </c>
      <c r="J9" s="63">
        <f t="shared" si="4"/>
        <v>110.7316934147651</v>
      </c>
      <c r="K9" s="63">
        <f t="shared" si="4"/>
        <v>114.2880927951922</v>
      </c>
      <c r="L9" s="63">
        <f t="shared" si="4"/>
        <v>118.69429230133579</v>
      </c>
      <c r="M9" s="63">
        <f t="shared" si="4"/>
        <v>120.61208437054925</v>
      </c>
      <c r="N9" s="63">
        <f t="shared" si="4"/>
        <v>122.96294529589571</v>
      </c>
      <c r="O9" s="63">
        <f t="shared" si="4"/>
        <v>128.73573361905062</v>
      </c>
      <c r="P9" s="63">
        <f t="shared" si="4"/>
        <v>139.905402965912</v>
      </c>
      <c r="Q9" s="63">
        <f t="shared" si="4"/>
        <v>150.23430158588016</v>
      </c>
      <c r="R9" s="63">
        <f t="shared" si="4"/>
        <v>153.40948686294109</v>
      </c>
      <c r="S9" s="63">
        <f t="shared" si="4"/>
        <v>156.92552924511449</v>
      </c>
      <c r="T9" s="63">
        <f t="shared" si="4"/>
        <v>166.41149548313732</v>
      </c>
      <c r="U9" s="63">
        <f t="shared" si="4"/>
        <v>167.01845429093092</v>
      </c>
      <c r="V9" s="63">
        <f t="shared" si="4"/>
        <v>158.29564532801353</v>
      </c>
      <c r="W9" s="63">
        <f t="shared" si="4"/>
        <v>151.53689461304825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3018.9625512370058</v>
      </c>
      <c r="C11" s="180">
        <f t="shared" ref="C11:W11" si="6">SUM(C12:C17)</f>
        <v>3163.9834603224135</v>
      </c>
      <c r="D11" s="180">
        <f t="shared" si="6"/>
        <v>3256.7704411858986</v>
      </c>
      <c r="E11" s="180">
        <f t="shared" si="6"/>
        <v>3341.2195645701063</v>
      </c>
      <c r="F11" s="180">
        <f t="shared" si="6"/>
        <v>3434.5084339395989</v>
      </c>
      <c r="G11" s="180">
        <f t="shared" si="6"/>
        <v>3538.8829164765634</v>
      </c>
      <c r="H11" s="180">
        <f t="shared" si="6"/>
        <v>3639.6261525914629</v>
      </c>
      <c r="I11" s="180">
        <f t="shared" si="6"/>
        <v>3735.3112008699131</v>
      </c>
      <c r="J11" s="180">
        <f t="shared" si="6"/>
        <v>3799.3015582532089</v>
      </c>
      <c r="K11" s="180">
        <f t="shared" si="6"/>
        <v>3847.6644897930423</v>
      </c>
      <c r="L11" s="180">
        <f t="shared" si="6"/>
        <v>3891.5892917475285</v>
      </c>
      <c r="M11" s="180">
        <f t="shared" si="6"/>
        <v>3925.7048854088625</v>
      </c>
      <c r="N11" s="180">
        <f t="shared" si="6"/>
        <v>3953.6051673234542</v>
      </c>
      <c r="O11" s="180">
        <f t="shared" si="6"/>
        <v>3994.0103157980943</v>
      </c>
      <c r="P11" s="180">
        <f t="shared" si="6"/>
        <v>4055.4488950690929</v>
      </c>
      <c r="Q11" s="180">
        <f t="shared" si="6"/>
        <v>4111.3228574044542</v>
      </c>
      <c r="R11" s="180">
        <f t="shared" si="6"/>
        <v>4102.3661043977809</v>
      </c>
      <c r="S11" s="180">
        <f t="shared" si="6"/>
        <v>4070.4767796309593</v>
      </c>
      <c r="T11" s="180">
        <f t="shared" si="6"/>
        <v>4068.7867601483731</v>
      </c>
      <c r="U11" s="180">
        <f t="shared" si="6"/>
        <v>3991.8873946013041</v>
      </c>
      <c r="V11" s="180">
        <f t="shared" si="6"/>
        <v>3907.2750240482928</v>
      </c>
      <c r="W11" s="180">
        <f t="shared" si="6"/>
        <v>3787.2955517824798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42.034439818324621</v>
      </c>
      <c r="C12" s="181">
        <f t="shared" ref="C12:W12" si="7">C20*C52</f>
        <v>43.657338560782925</v>
      </c>
      <c r="D12" s="181">
        <f t="shared" si="7"/>
        <v>44.698330080968155</v>
      </c>
      <c r="E12" s="181">
        <f t="shared" si="7"/>
        <v>45.644016206132463</v>
      </c>
      <c r="F12" s="181">
        <f t="shared" si="7"/>
        <v>46.877650254030712</v>
      </c>
      <c r="G12" s="181">
        <f t="shared" si="7"/>
        <v>48.286219804168461</v>
      </c>
      <c r="H12" s="181">
        <f t="shared" si="7"/>
        <v>49.983736888967393</v>
      </c>
      <c r="I12" s="181">
        <f t="shared" si="7"/>
        <v>51.279284715019386</v>
      </c>
      <c r="J12" s="181">
        <f t="shared" si="7"/>
        <v>52.329658714178684</v>
      </c>
      <c r="K12" s="181">
        <f t="shared" si="7"/>
        <v>52.992191077030881</v>
      </c>
      <c r="L12" s="181">
        <f t="shared" si="7"/>
        <v>53.641198409234022</v>
      </c>
      <c r="M12" s="181">
        <f t="shared" si="7"/>
        <v>54.1673005832155</v>
      </c>
      <c r="N12" s="181">
        <f t="shared" si="7"/>
        <v>54.512603065221697</v>
      </c>
      <c r="O12" s="181">
        <f t="shared" si="7"/>
        <v>54.987613053675581</v>
      </c>
      <c r="P12" s="181">
        <f t="shared" si="7"/>
        <v>55.462821101136178</v>
      </c>
      <c r="Q12" s="181">
        <f t="shared" si="7"/>
        <v>56.016737957101775</v>
      </c>
      <c r="R12" s="181">
        <f t="shared" si="7"/>
        <v>56.626317588089371</v>
      </c>
      <c r="S12" s="181">
        <f t="shared" si="7"/>
        <v>57.324208745614619</v>
      </c>
      <c r="T12" s="181">
        <f t="shared" si="7"/>
        <v>57.937470230946353</v>
      </c>
      <c r="U12" s="181">
        <f t="shared" si="7"/>
        <v>58.588037401437319</v>
      </c>
      <c r="V12" s="181">
        <f t="shared" si="7"/>
        <v>59.293949167825183</v>
      </c>
      <c r="W12" s="181">
        <f t="shared" si="7"/>
        <v>59.936433477382401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294.01618491340139</v>
      </c>
      <c r="C13" s="181">
        <f t="shared" ref="C13:W13" si="8">C21*C53/1000</f>
        <v>298.01007112785737</v>
      </c>
      <c r="D13" s="181">
        <f t="shared" si="8"/>
        <v>301.28210082905883</v>
      </c>
      <c r="E13" s="181">
        <f t="shared" si="8"/>
        <v>304.3391069004067</v>
      </c>
      <c r="F13" s="181">
        <f t="shared" si="8"/>
        <v>305.26525267573248</v>
      </c>
      <c r="G13" s="181">
        <f t="shared" si="8"/>
        <v>306.51468341139361</v>
      </c>
      <c r="H13" s="181">
        <f t="shared" si="8"/>
        <v>306.67975631711118</v>
      </c>
      <c r="I13" s="181">
        <f t="shared" si="8"/>
        <v>307.27014133584703</v>
      </c>
      <c r="J13" s="181">
        <f t="shared" si="8"/>
        <v>310.03354359679975</v>
      </c>
      <c r="K13" s="181">
        <f t="shared" si="8"/>
        <v>312.01598855524128</v>
      </c>
      <c r="L13" s="181">
        <f t="shared" si="8"/>
        <v>315.86998607544791</v>
      </c>
      <c r="M13" s="181">
        <f t="shared" si="8"/>
        <v>320.2641743845432</v>
      </c>
      <c r="N13" s="181">
        <f t="shared" si="8"/>
        <v>324.40447957092829</v>
      </c>
      <c r="O13" s="181">
        <f t="shared" si="8"/>
        <v>329.58383662612158</v>
      </c>
      <c r="P13" s="181">
        <f t="shared" si="8"/>
        <v>335.56710695444389</v>
      </c>
      <c r="Q13" s="181">
        <f t="shared" si="8"/>
        <v>343.07028826995389</v>
      </c>
      <c r="R13" s="181">
        <f t="shared" si="8"/>
        <v>338.62981442022658</v>
      </c>
      <c r="S13" s="181">
        <f t="shared" si="8"/>
        <v>332.23148277725875</v>
      </c>
      <c r="T13" s="181">
        <f t="shared" si="8"/>
        <v>324.46541633829742</v>
      </c>
      <c r="U13" s="181">
        <f t="shared" si="8"/>
        <v>314.52299410124607</v>
      </c>
      <c r="V13" s="181">
        <f t="shared" si="8"/>
        <v>302.43483010315452</v>
      </c>
      <c r="W13" s="181">
        <f t="shared" si="8"/>
        <v>289.28746751365702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1173.9160866868215</v>
      </c>
      <c r="C14" s="181">
        <f t="shared" ref="C14:W14" si="9">C22*C54</f>
        <v>1209.5999810736407</v>
      </c>
      <c r="D14" s="181">
        <f t="shared" si="9"/>
        <v>1220.5482041704811</v>
      </c>
      <c r="E14" s="181">
        <f t="shared" si="9"/>
        <v>1228.1056000740989</v>
      </c>
      <c r="F14" s="181">
        <f t="shared" si="9"/>
        <v>1241.4466973305559</v>
      </c>
      <c r="G14" s="181">
        <f t="shared" si="9"/>
        <v>1251.5963668976963</v>
      </c>
      <c r="H14" s="181">
        <f t="shared" si="9"/>
        <v>1264.1990151510081</v>
      </c>
      <c r="I14" s="181">
        <f t="shared" si="9"/>
        <v>1277.9093447231749</v>
      </c>
      <c r="J14" s="181">
        <f t="shared" si="9"/>
        <v>1291.633074413804</v>
      </c>
      <c r="K14" s="181">
        <f t="shared" si="9"/>
        <v>1294.999253852151</v>
      </c>
      <c r="L14" s="181">
        <f t="shared" si="9"/>
        <v>1300.3298651692387</v>
      </c>
      <c r="M14" s="181">
        <f t="shared" si="9"/>
        <v>1313.3909226027572</v>
      </c>
      <c r="N14" s="181">
        <f t="shared" si="9"/>
        <v>1324.7615996000955</v>
      </c>
      <c r="O14" s="181">
        <f t="shared" si="9"/>
        <v>1332.5104995090715</v>
      </c>
      <c r="P14" s="181">
        <f t="shared" si="9"/>
        <v>1337.5293179509458</v>
      </c>
      <c r="Q14" s="181">
        <f t="shared" si="9"/>
        <v>1344.9259972870436</v>
      </c>
      <c r="R14" s="181">
        <f t="shared" si="9"/>
        <v>1309.92382956249</v>
      </c>
      <c r="S14" s="181">
        <f t="shared" si="9"/>
        <v>1267.8098486132194</v>
      </c>
      <c r="T14" s="181">
        <f t="shared" si="9"/>
        <v>1208.6376051365739</v>
      </c>
      <c r="U14" s="181">
        <f t="shared" si="9"/>
        <v>1133.6961220979415</v>
      </c>
      <c r="V14" s="181">
        <f t="shared" si="9"/>
        <v>1061.8246348500754</v>
      </c>
      <c r="W14" s="181">
        <f t="shared" si="9"/>
        <v>990.56652500719429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144.63065139043837</v>
      </c>
      <c r="C15" s="181">
        <f t="shared" ref="C15:W15" si="10">C23*C55/1000</f>
        <v>151.03749422148351</v>
      </c>
      <c r="D15" s="181">
        <f t="shared" si="10"/>
        <v>157.89952333468412</v>
      </c>
      <c r="E15" s="181">
        <f t="shared" si="10"/>
        <v>163.64040996073786</v>
      </c>
      <c r="F15" s="181">
        <f t="shared" si="10"/>
        <v>170.17538428237086</v>
      </c>
      <c r="G15" s="181">
        <f t="shared" si="10"/>
        <v>175.91311637033007</v>
      </c>
      <c r="H15" s="181">
        <f t="shared" si="10"/>
        <v>180.6432999581032</v>
      </c>
      <c r="I15" s="181">
        <f t="shared" si="10"/>
        <v>182.79889488239584</v>
      </c>
      <c r="J15" s="181">
        <f t="shared" si="10"/>
        <v>183.71882504633797</v>
      </c>
      <c r="K15" s="181">
        <f t="shared" si="10"/>
        <v>184.04780208317678</v>
      </c>
      <c r="L15" s="181">
        <f t="shared" si="10"/>
        <v>184.17644950359221</v>
      </c>
      <c r="M15" s="181">
        <f t="shared" si="10"/>
        <v>183.79923314902473</v>
      </c>
      <c r="N15" s="181">
        <f t="shared" si="10"/>
        <v>183.42486349435532</v>
      </c>
      <c r="O15" s="181">
        <f t="shared" si="10"/>
        <v>183.07708886958437</v>
      </c>
      <c r="P15" s="181">
        <f t="shared" si="10"/>
        <v>183.2100795390192</v>
      </c>
      <c r="Q15" s="181">
        <f t="shared" si="10"/>
        <v>184.43970336412258</v>
      </c>
      <c r="R15" s="181">
        <f t="shared" si="10"/>
        <v>183.04898327226783</v>
      </c>
      <c r="S15" s="181">
        <f t="shared" si="10"/>
        <v>182.0093875561422</v>
      </c>
      <c r="T15" s="181">
        <f t="shared" si="10"/>
        <v>181.0292545564561</v>
      </c>
      <c r="U15" s="181">
        <f t="shared" si="10"/>
        <v>179.83582283945958</v>
      </c>
      <c r="V15" s="181">
        <f t="shared" si="10"/>
        <v>178.32387574100019</v>
      </c>
      <c r="W15" s="181">
        <f t="shared" si="10"/>
        <v>175.97237785276323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883.98710825557112</v>
      </c>
      <c r="C16" s="55">
        <f t="shared" ref="C16:W16" si="11">C24*C56</f>
        <v>938.05692891077615</v>
      </c>
      <c r="D16" s="55">
        <f t="shared" si="11"/>
        <v>980.70858212803739</v>
      </c>
      <c r="E16" s="55">
        <f t="shared" si="11"/>
        <v>1018.9742544945123</v>
      </c>
      <c r="F16" s="55">
        <f t="shared" si="11"/>
        <v>1063.5554330152784</v>
      </c>
      <c r="G16" s="55">
        <f t="shared" si="11"/>
        <v>1118.5270227052499</v>
      </c>
      <c r="H16" s="55">
        <f t="shared" si="11"/>
        <v>1180.1637977511698</v>
      </c>
      <c r="I16" s="55">
        <f t="shared" si="11"/>
        <v>1232.0101172867273</v>
      </c>
      <c r="J16" s="55">
        <f t="shared" si="11"/>
        <v>1263.3036924182115</v>
      </c>
      <c r="K16" s="55">
        <f t="shared" si="11"/>
        <v>1288.7678756408109</v>
      </c>
      <c r="L16" s="55">
        <f t="shared" si="11"/>
        <v>1304.2508494517865</v>
      </c>
      <c r="M16" s="55">
        <f t="shared" si="11"/>
        <v>1316.8908409890776</v>
      </c>
      <c r="N16" s="55">
        <f t="shared" si="11"/>
        <v>1320.8363909411751</v>
      </c>
      <c r="O16" s="55">
        <f t="shared" si="11"/>
        <v>1319.8231182292709</v>
      </c>
      <c r="P16" s="55">
        <f t="shared" si="11"/>
        <v>1311.1665770266143</v>
      </c>
      <c r="Q16" s="55">
        <f t="shared" si="11"/>
        <v>1298.2810958370258</v>
      </c>
      <c r="R16" s="55">
        <f t="shared" si="11"/>
        <v>1307.0311568526222</v>
      </c>
      <c r="S16" s="55">
        <f t="shared" si="11"/>
        <v>1320.5303609328682</v>
      </c>
      <c r="T16" s="55">
        <f t="shared" si="11"/>
        <v>1332.7634828480918</v>
      </c>
      <c r="U16" s="55">
        <f t="shared" si="11"/>
        <v>1340.5120310414768</v>
      </c>
      <c r="V16" s="55">
        <f t="shared" si="11"/>
        <v>1341.6236680432614</v>
      </c>
      <c r="W16" s="55">
        <f t="shared" si="11"/>
        <v>1337.3147610987753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480.37808017244902</v>
      </c>
      <c r="C17" s="63">
        <f t="shared" ref="C17:W17" si="12">C25*C57/1000</f>
        <v>523.62164642787286</v>
      </c>
      <c r="D17" s="63">
        <f t="shared" si="12"/>
        <v>551.63370064266883</v>
      </c>
      <c r="E17" s="63">
        <f t="shared" si="12"/>
        <v>580.51617693421804</v>
      </c>
      <c r="F17" s="63">
        <f t="shared" si="12"/>
        <v>607.18801638163029</v>
      </c>
      <c r="G17" s="63">
        <f t="shared" si="12"/>
        <v>638.04550728772517</v>
      </c>
      <c r="H17" s="63">
        <f t="shared" si="12"/>
        <v>657.95654652510314</v>
      </c>
      <c r="I17" s="63">
        <f t="shared" si="12"/>
        <v>684.0434179267487</v>
      </c>
      <c r="J17" s="63">
        <f t="shared" si="12"/>
        <v>698.28276406387681</v>
      </c>
      <c r="K17" s="63">
        <f t="shared" si="12"/>
        <v>714.84137858463157</v>
      </c>
      <c r="L17" s="63">
        <f t="shared" si="12"/>
        <v>733.32094313822927</v>
      </c>
      <c r="M17" s="63">
        <f t="shared" si="12"/>
        <v>737.19241370024406</v>
      </c>
      <c r="N17" s="63">
        <f t="shared" si="12"/>
        <v>745.66523065167792</v>
      </c>
      <c r="O17" s="63">
        <f t="shared" si="12"/>
        <v>774.02815951037019</v>
      </c>
      <c r="P17" s="63">
        <f t="shared" si="12"/>
        <v>832.51299249693307</v>
      </c>
      <c r="Q17" s="63">
        <f t="shared" si="12"/>
        <v>884.5890346892063</v>
      </c>
      <c r="R17" s="63">
        <f t="shared" si="12"/>
        <v>907.10600270208442</v>
      </c>
      <c r="S17" s="63">
        <f t="shared" si="12"/>
        <v>910.57149100585627</v>
      </c>
      <c r="T17" s="63">
        <f t="shared" si="12"/>
        <v>963.95353103800721</v>
      </c>
      <c r="U17" s="63">
        <f t="shared" si="12"/>
        <v>964.73238711974273</v>
      </c>
      <c r="V17" s="63">
        <f t="shared" si="12"/>
        <v>963.77406614297593</v>
      </c>
      <c r="W17" s="63">
        <f t="shared" si="12"/>
        <v>934.21798683270765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58.357984886595389</v>
      </c>
      <c r="C20" s="182">
        <v>61.191892210065582</v>
      </c>
      <c r="D20" s="182">
        <v>63.196371150373864</v>
      </c>
      <c r="E20" s="182">
        <v>65.110534807497814</v>
      </c>
      <c r="F20" s="182">
        <v>67.547458341767182</v>
      </c>
      <c r="G20" s="182">
        <v>70.349067744617344</v>
      </c>
      <c r="H20" s="182">
        <v>73.711670056630467</v>
      </c>
      <c r="I20" s="182">
        <v>76.490230296395509</v>
      </c>
      <c r="J20" s="182">
        <v>78.951149167569582</v>
      </c>
      <c r="K20" s="182">
        <v>80.849536486695385</v>
      </c>
      <c r="L20" s="182">
        <v>82.840257813065918</v>
      </c>
      <c r="M20" s="182">
        <v>84.737520113394467</v>
      </c>
      <c r="N20" s="182">
        <v>86.443962155463637</v>
      </c>
      <c r="O20" s="182">
        <v>88.561999199618398</v>
      </c>
      <c r="P20" s="182">
        <v>90.886512826749197</v>
      </c>
      <c r="Q20" s="182">
        <v>93.598960642122449</v>
      </c>
      <c r="R20" s="182">
        <v>96.512134876585151</v>
      </c>
      <c r="S20" s="182">
        <v>99.720403610083025</v>
      </c>
      <c r="T20" s="182">
        <v>102.88281627310705</v>
      </c>
      <c r="U20" s="182">
        <v>105.9636633735139</v>
      </c>
      <c r="V20" s="182">
        <v>108.89724256796877</v>
      </c>
      <c r="W20" s="182">
        <v>111.64725990179315</v>
      </c>
      <c r="DA20" s="191" t="s">
        <v>921</v>
      </c>
    </row>
    <row r="21" spans="1:105" ht="12" customHeight="1" x14ac:dyDescent="0.25">
      <c r="A21" s="132" t="s">
        <v>163</v>
      </c>
      <c r="B21" s="182">
        <v>1498.9781841412507</v>
      </c>
      <c r="C21" s="182">
        <v>1532.1898781506925</v>
      </c>
      <c r="D21" s="182">
        <v>1564.5962308929363</v>
      </c>
      <c r="E21" s="182">
        <v>1600.4840110567934</v>
      </c>
      <c r="F21" s="182">
        <v>1629.6725679754404</v>
      </c>
      <c r="G21" s="182">
        <v>1666.3854276310954</v>
      </c>
      <c r="H21" s="182">
        <v>1702.503223784561</v>
      </c>
      <c r="I21" s="182">
        <v>1747.533338118888</v>
      </c>
      <c r="J21" s="182">
        <v>1791.759663286196</v>
      </c>
      <c r="K21" s="182">
        <v>1835.0864722465326</v>
      </c>
      <c r="L21" s="182">
        <v>1893.3695420612614</v>
      </c>
      <c r="M21" s="182">
        <v>1958.5927750577982</v>
      </c>
      <c r="N21" s="182">
        <v>2028.7073912206577</v>
      </c>
      <c r="O21" s="182">
        <v>2114.7766520342602</v>
      </c>
      <c r="P21" s="182">
        <v>2221.6226114995316</v>
      </c>
      <c r="Q21" s="182">
        <v>2351.9081102035316</v>
      </c>
      <c r="R21" s="182">
        <v>2402.3450593109642</v>
      </c>
      <c r="S21" s="182">
        <v>2453.152558030923</v>
      </c>
      <c r="T21" s="182">
        <v>2501.9246233031258</v>
      </c>
      <c r="U21" s="182">
        <v>2545.8202612354416</v>
      </c>
      <c r="V21" s="182">
        <v>2583.0811101312825</v>
      </c>
      <c r="W21" s="182">
        <v>2610.4353970730099</v>
      </c>
      <c r="DA21" s="191" t="s">
        <v>922</v>
      </c>
    </row>
    <row r="22" spans="1:105" ht="12" customHeight="1" x14ac:dyDescent="0.25">
      <c r="A22" s="132" t="s">
        <v>167</v>
      </c>
      <c r="B22" s="182">
        <v>25.968910238086892</v>
      </c>
      <c r="C22" s="182">
        <v>27.102564025926338</v>
      </c>
      <c r="D22" s="182">
        <v>27.831270011967305</v>
      </c>
      <c r="E22" s="182">
        <v>28.595964058604018</v>
      </c>
      <c r="F22" s="182">
        <v>29.655242825477401</v>
      </c>
      <c r="G22" s="182">
        <v>30.833717040459064</v>
      </c>
      <c r="H22" s="182">
        <v>32.195813619910716</v>
      </c>
      <c r="I22" s="182">
        <v>33.459306095434513</v>
      </c>
      <c r="J22" s="182">
        <v>34.615788460179289</v>
      </c>
      <c r="K22" s="182">
        <v>35.607372051088589</v>
      </c>
      <c r="L22" s="182">
        <v>36.752401960542656</v>
      </c>
      <c r="M22" s="182">
        <v>38.202301521772164</v>
      </c>
      <c r="N22" s="182">
        <v>39.972355147275266</v>
      </c>
      <c r="O22" s="182">
        <v>42.057098530433933</v>
      </c>
      <c r="P22" s="182">
        <v>44.421171703409563</v>
      </c>
      <c r="Q22" s="182">
        <v>47.288401830265762</v>
      </c>
      <c r="R22" s="182">
        <v>48.96794078221339</v>
      </c>
      <c r="S22" s="182">
        <v>50.818605290654453</v>
      </c>
      <c r="T22" s="182">
        <v>52.591771281768892</v>
      </c>
      <c r="U22" s="182">
        <v>54.220471628286241</v>
      </c>
      <c r="V22" s="182">
        <v>55.580463869341543</v>
      </c>
      <c r="W22" s="182">
        <v>56.46801488106388</v>
      </c>
      <c r="DA22" s="191" t="s">
        <v>923</v>
      </c>
    </row>
    <row r="23" spans="1:105" ht="12" customHeight="1" x14ac:dyDescent="0.25">
      <c r="A23" s="132" t="s">
        <v>180</v>
      </c>
      <c r="B23" s="182">
        <v>213.00653087556583</v>
      </c>
      <c r="C23" s="182">
        <v>225.2519961010282</v>
      </c>
      <c r="D23" s="182">
        <v>239.35009956998081</v>
      </c>
      <c r="E23" s="182">
        <v>252.40517733671126</v>
      </c>
      <c r="F23" s="182">
        <v>267.36399966158609</v>
      </c>
      <c r="G23" s="182">
        <v>281.41294416668552</v>
      </c>
      <c r="H23" s="182">
        <v>294.20894107008928</v>
      </c>
      <c r="I23" s="182">
        <v>302.97175697334956</v>
      </c>
      <c r="J23" s="182">
        <v>310.15807066817109</v>
      </c>
      <c r="K23" s="182">
        <v>316.90831525468963</v>
      </c>
      <c r="L23" s="182">
        <v>323.96226946367386</v>
      </c>
      <c r="M23" s="182">
        <v>330.06127105075689</v>
      </c>
      <c r="N23" s="182">
        <v>336.18347485995099</v>
      </c>
      <c r="O23" s="182">
        <v>342.14976127235161</v>
      </c>
      <c r="P23" s="182">
        <v>350.30352107869618</v>
      </c>
      <c r="Q23" s="182">
        <v>360.947432269393</v>
      </c>
      <c r="R23" s="182">
        <v>365.81664662276751</v>
      </c>
      <c r="S23" s="182">
        <v>370.73055998652734</v>
      </c>
      <c r="T23" s="182">
        <v>375.47783763045072</v>
      </c>
      <c r="U23" s="182">
        <v>379.72198549412292</v>
      </c>
      <c r="V23" s="182">
        <v>383.36626314072208</v>
      </c>
      <c r="W23" s="182">
        <v>386.12781750067319</v>
      </c>
      <c r="DA23" s="191" t="s">
        <v>924</v>
      </c>
    </row>
    <row r="24" spans="1:105" ht="12" customHeight="1" x14ac:dyDescent="0.25">
      <c r="A24" s="60" t="s">
        <v>166</v>
      </c>
      <c r="B24" s="36">
        <v>17.752514869845939</v>
      </c>
      <c r="C24" s="36">
        <v>18.935343795803689</v>
      </c>
      <c r="D24" s="36">
        <v>19.892887754522228</v>
      </c>
      <c r="E24" s="36">
        <v>20.772918882342541</v>
      </c>
      <c r="F24" s="36">
        <v>21.816450741987218</v>
      </c>
      <c r="G24" s="36">
        <v>23.118080372940511</v>
      </c>
      <c r="H24" s="36">
        <v>24.605805499145131</v>
      </c>
      <c r="I24" s="36">
        <v>25.919482416238203</v>
      </c>
      <c r="J24" s="36">
        <v>26.815114122939672</v>
      </c>
      <c r="K24" s="36">
        <v>27.631259242487026</v>
      </c>
      <c r="L24" s="36">
        <v>28.272361728325642</v>
      </c>
      <c r="M24" s="36">
        <v>28.927936722933968</v>
      </c>
      <c r="N24" s="36">
        <v>29.472373401319867</v>
      </c>
      <c r="O24" s="36">
        <v>30.010332238493195</v>
      </c>
      <c r="P24" s="36">
        <v>30.492841075869297</v>
      </c>
      <c r="Q24" s="36">
        <v>31.045702379494731</v>
      </c>
      <c r="R24" s="36">
        <v>31.876294707683357</v>
      </c>
      <c r="S24" s="36">
        <v>32.803273948706163</v>
      </c>
      <c r="T24" s="36">
        <v>33.709228642381916</v>
      </c>
      <c r="U24" s="36">
        <v>34.579726739794729</v>
      </c>
      <c r="V24" s="36">
        <v>35.388034618779379</v>
      </c>
      <c r="W24" s="36">
        <v>36.114271612293734</v>
      </c>
      <c r="DA24" s="89" t="s">
        <v>925</v>
      </c>
    </row>
    <row r="25" spans="1:105" ht="12" customHeight="1" x14ac:dyDescent="0.25">
      <c r="A25" s="62" t="s">
        <v>164</v>
      </c>
      <c r="B25" s="38">
        <v>1261.1533683865553</v>
      </c>
      <c r="C25" s="38">
        <v>1408.7218551676017</v>
      </c>
      <c r="D25" s="38">
        <v>1526.4225756731796</v>
      </c>
      <c r="E25" s="38">
        <v>1663.090733601724</v>
      </c>
      <c r="F25" s="38">
        <v>1811.9202873867805</v>
      </c>
      <c r="G25" s="38">
        <v>1992.7440722870319</v>
      </c>
      <c r="H25" s="38">
        <v>2162.6714767458275</v>
      </c>
      <c r="I25" s="38">
        <v>2361.2911982191713</v>
      </c>
      <c r="J25" s="38">
        <v>2533.8931088615082</v>
      </c>
      <c r="K25" s="38">
        <v>2741.7399092899577</v>
      </c>
      <c r="L25" s="38">
        <v>2994.1735577360128</v>
      </c>
      <c r="M25" s="38">
        <v>3250.417579607124</v>
      </c>
      <c r="N25" s="38">
        <v>3510.7786245675215</v>
      </c>
      <c r="O25" s="38">
        <v>3860.7985733636583</v>
      </c>
      <c r="P25" s="38">
        <v>4338.879903166855</v>
      </c>
      <c r="Q25" s="38">
        <v>4739.5763559315392</v>
      </c>
      <c r="R25" s="38">
        <v>4947.0775354458292</v>
      </c>
      <c r="S25" s="38">
        <v>5045.0297514259482</v>
      </c>
      <c r="T25" s="38">
        <v>5431.6678054001422</v>
      </c>
      <c r="U25" s="38">
        <v>5543.5950471046763</v>
      </c>
      <c r="V25" s="38">
        <v>5677.0756550241822</v>
      </c>
      <c r="W25" s="38">
        <v>5630.1590739803514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5.3650872935521434</v>
      </c>
      <c r="D28" s="183">
        <v>4.6072548401189124</v>
      </c>
      <c r="E28" s="183">
        <v>4.5905606200849505</v>
      </c>
      <c r="F28" s="183">
        <v>5.1890239759047887</v>
      </c>
      <c r="G28" s="183">
        <v>5.6315546410447155</v>
      </c>
      <c r="H28" s="183">
        <v>6.2725942331005058</v>
      </c>
      <c r="I28" s="183">
        <v>5.7708630117424349</v>
      </c>
      <c r="J28" s="183">
        <v>5.5378607053760618</v>
      </c>
      <c r="K28" s="183">
        <v>5.062362281728241</v>
      </c>
      <c r="L28" s="183">
        <v>5.2441912011338161</v>
      </c>
      <c r="M28" s="183">
        <v>5.2427585040297942</v>
      </c>
      <c r="N28" s="183">
        <v>5.1465675941134492</v>
      </c>
      <c r="O28" s="183">
        <v>5.6554685918979573</v>
      </c>
      <c r="P28" s="183">
        <v>5.9620035284900155</v>
      </c>
      <c r="Q28" s="183">
        <v>6.4528262803449934</v>
      </c>
      <c r="R28" s="183">
        <v>6.7593515272151876</v>
      </c>
      <c r="S28" s="183">
        <v>7.1632374367509186</v>
      </c>
      <c r="T28" s="183">
        <v>7.2292500064781393</v>
      </c>
      <c r="U28" s="183">
        <v>8.4459343939589928</v>
      </c>
      <c r="V28" s="183">
        <v>7.5408340345737912</v>
      </c>
      <c r="W28" s="183">
        <v>7.3405779539093317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221.25015723899128</v>
      </c>
      <c r="D29" s="183">
        <v>228.5389093409508</v>
      </c>
      <c r="E29" s="183">
        <v>240.46283942173272</v>
      </c>
      <c r="F29" s="183">
        <v>242.5695253623087</v>
      </c>
      <c r="G29" s="183">
        <v>259.27878660259807</v>
      </c>
      <c r="H29" s="183">
        <v>268.26404705414393</v>
      </c>
      <c r="I29" s="183">
        <v>287.1690730981627</v>
      </c>
      <c r="J29" s="183">
        <v>265.47648240629928</v>
      </c>
      <c r="K29" s="183">
        <v>271.86571830128742</v>
      </c>
      <c r="L29" s="183">
        <v>298.74590923646156</v>
      </c>
      <c r="M29" s="183">
        <v>307.7927583588455</v>
      </c>
      <c r="N29" s="183">
        <v>329.39340276545749</v>
      </c>
      <c r="O29" s="183">
        <v>354.3333078677465</v>
      </c>
      <c r="P29" s="183">
        <v>394.01503256343403</v>
      </c>
      <c r="Q29" s="183">
        <v>395.7619811102993</v>
      </c>
      <c r="R29" s="183">
        <v>322.30266740872003</v>
      </c>
      <c r="S29" s="183">
        <v>349.55340795642041</v>
      </c>
      <c r="T29" s="183">
        <v>356.56482363104851</v>
      </c>
      <c r="U29" s="183">
        <v>373.28904069777309</v>
      </c>
      <c r="V29" s="183">
        <v>391.59415676358731</v>
      </c>
      <c r="W29" s="183">
        <v>421.36931950516146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5.1891171493253943</v>
      </c>
      <c r="D30" s="183">
        <v>4.8895236026000397</v>
      </c>
      <c r="E30" s="183">
        <v>5.0336028482008679</v>
      </c>
      <c r="F30" s="183">
        <v>5.439086784303985</v>
      </c>
      <c r="G30" s="183">
        <v>5.672062427154458</v>
      </c>
      <c r="H30" s="183">
        <v>5.9724208083259711</v>
      </c>
      <c r="I30" s="183">
        <v>6.4526096248491918</v>
      </c>
      <c r="J30" s="183">
        <v>6.046005967344815</v>
      </c>
      <c r="K30" s="183">
        <v>6.0251864391101684</v>
      </c>
      <c r="L30" s="183">
        <v>6.5841166937580518</v>
      </c>
      <c r="M30" s="183">
        <v>7.1219619883839655</v>
      </c>
      <c r="N30" s="183">
        <v>7.7424744338290736</v>
      </c>
      <c r="O30" s="183">
        <v>8.5373530080078552</v>
      </c>
      <c r="P30" s="183">
        <v>8.4100791403204411</v>
      </c>
      <c r="Q30" s="183">
        <v>8.8924165659663643</v>
      </c>
      <c r="R30" s="183">
        <v>8.2636556457056827</v>
      </c>
      <c r="S30" s="183">
        <v>8.9726264968250291</v>
      </c>
      <c r="T30" s="183">
        <v>9.5156404249435127</v>
      </c>
      <c r="U30" s="183">
        <v>10.166053354525204</v>
      </c>
      <c r="V30" s="183">
        <v>9.7700713813757432</v>
      </c>
      <c r="W30" s="183">
        <v>9.7799675776887014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31.604159578794309</v>
      </c>
      <c r="D31" s="183">
        <v>33.86457294525232</v>
      </c>
      <c r="E31" s="183">
        <v>33.237911816705491</v>
      </c>
      <c r="F31" s="183">
        <v>35.566791329013256</v>
      </c>
      <c r="G31" s="183">
        <v>35.09100358480805</v>
      </c>
      <c r="H31" s="183">
        <v>34.281289812425143</v>
      </c>
      <c r="I31" s="183">
        <v>30.700679001059257</v>
      </c>
      <c r="J31" s="183">
        <v>29.586280003667639</v>
      </c>
      <c r="K31" s="183">
        <v>29.622047934027876</v>
      </c>
      <c r="L31" s="183">
        <v>30.407533457920522</v>
      </c>
      <c r="M31" s="183">
        <v>37.703161165877304</v>
      </c>
      <c r="N31" s="183">
        <v>39.986776754446453</v>
      </c>
      <c r="O31" s="183">
        <v>39.204198229106112</v>
      </c>
      <c r="P31" s="183">
        <v>43.720551135357823</v>
      </c>
      <c r="Q31" s="183">
        <v>45.734914775504876</v>
      </c>
      <c r="R31" s="183">
        <v>39.150504165799646</v>
      </c>
      <c r="S31" s="183">
        <v>35.614592364819089</v>
      </c>
      <c r="T31" s="183">
        <v>34.333557647591022</v>
      </c>
      <c r="U31" s="183">
        <v>33.866195797700072</v>
      </c>
      <c r="V31" s="183">
        <v>34.051811104519686</v>
      </c>
      <c r="W31" s="183">
        <v>40.46471552582841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1.688464123797722</v>
      </c>
      <c r="D32" s="41">
        <v>1.5200790317377795</v>
      </c>
      <c r="E32" s="41">
        <v>1.5058691029624569</v>
      </c>
      <c r="F32" s="41">
        <v>1.7397963059268022</v>
      </c>
      <c r="G32" s="41">
        <v>2.0762457431290464</v>
      </c>
      <c r="H32" s="41">
        <v>2.3495099328916318</v>
      </c>
      <c r="I32" s="41">
        <v>2.2724396401541007</v>
      </c>
      <c r="J32" s="41">
        <v>1.9622854142148434</v>
      </c>
      <c r="K32" s="41">
        <v>2.0028309432509985</v>
      </c>
      <c r="L32" s="41">
        <v>1.9613278169464046</v>
      </c>
      <c r="M32" s="41">
        <v>2.1243672310056496</v>
      </c>
      <c r="N32" s="41">
        <v>2.1785142732240743</v>
      </c>
      <c r="O32" s="41">
        <v>2.3559215958148378</v>
      </c>
      <c r="P32" s="41">
        <v>2.505049628735982</v>
      </c>
      <c r="Q32" s="41">
        <v>2.8030015957024013</v>
      </c>
      <c r="R32" s="41">
        <v>2.5190564519863479</v>
      </c>
      <c r="S32" s="41">
        <v>2.4470582727605859</v>
      </c>
      <c r="T32" s="41">
        <v>2.4118237966382097</v>
      </c>
      <c r="U32" s="41">
        <v>2.6102944033396156</v>
      </c>
      <c r="V32" s="41">
        <v>2.8845536221136925</v>
      </c>
      <c r="W32" s="41">
        <v>3.0757469264059836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399.79916045835751</v>
      </c>
      <c r="D33" s="42">
        <v>369.93139418288888</v>
      </c>
      <c r="E33" s="42">
        <v>388.89883160585532</v>
      </c>
      <c r="F33" s="42">
        <v>401.06022746236772</v>
      </c>
      <c r="G33" s="42">
        <v>433.0544585775624</v>
      </c>
      <c r="H33" s="42">
        <v>569.72656491715315</v>
      </c>
      <c r="I33" s="42">
        <v>568.5511156562327</v>
      </c>
      <c r="J33" s="42">
        <v>561.50074224819218</v>
      </c>
      <c r="K33" s="42">
        <v>608.90702789081752</v>
      </c>
      <c r="L33" s="42">
        <v>685.48810702361743</v>
      </c>
      <c r="M33" s="42">
        <v>825.97058678826443</v>
      </c>
      <c r="N33" s="42">
        <v>828.91216061662999</v>
      </c>
      <c r="O33" s="42">
        <v>911.52069104432894</v>
      </c>
      <c r="P33" s="42">
        <v>1086.9883576940142</v>
      </c>
      <c r="Q33" s="42">
        <v>1086.1845597883016</v>
      </c>
      <c r="R33" s="42">
        <v>1033.4717663025544</v>
      </c>
      <c r="S33" s="42">
        <v>926.86437659674903</v>
      </c>
      <c r="T33" s="42">
        <v>1298.1587450185234</v>
      </c>
      <c r="U33" s="42">
        <v>1198.9155993985478</v>
      </c>
      <c r="V33" s="42">
        <v>1219.665167707808</v>
      </c>
      <c r="W33" s="42">
        <v>986.55518525872412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2.5311799700819506</v>
      </c>
      <c r="D36" s="183">
        <v>2.6027758998106378</v>
      </c>
      <c r="E36" s="183">
        <v>2.6763969629609932</v>
      </c>
      <c r="F36" s="183">
        <v>2.7521004416354202</v>
      </c>
      <c r="G36" s="183">
        <v>2.8299452381945542</v>
      </c>
      <c r="H36" s="183">
        <v>2.9099919210873821</v>
      </c>
      <c r="I36" s="183">
        <v>2.9923027719773927</v>
      </c>
      <c r="J36" s="183">
        <v>3.076941834201989</v>
      </c>
      <c r="K36" s="183">
        <v>3.1639749626024383</v>
      </c>
      <c r="L36" s="183">
        <v>3.2534698747632831</v>
      </c>
      <c r="M36" s="183">
        <v>3.345496203701245</v>
      </c>
      <c r="N36" s="183">
        <v>3.4401255520442788</v>
      </c>
      <c r="O36" s="183">
        <v>3.5374315477431963</v>
      </c>
      <c r="P36" s="183">
        <v>3.637489901359217</v>
      </c>
      <c r="Q36" s="183">
        <v>3.7403784649717409</v>
      </c>
      <c r="R36" s="183">
        <v>3.8461772927524862</v>
      </c>
      <c r="S36" s="183">
        <v>3.9549687032530443</v>
      </c>
      <c r="T36" s="183">
        <v>4.066837343454111</v>
      </c>
      <c r="U36" s="183">
        <v>5.3650872935521505</v>
      </c>
      <c r="V36" s="183">
        <v>4.6072548401189124</v>
      </c>
      <c r="W36" s="183">
        <v>4.5905606200849576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188.03846322954951</v>
      </c>
      <c r="D37" s="183">
        <v>196.13255659870697</v>
      </c>
      <c r="E37" s="183">
        <v>204.57505925787564</v>
      </c>
      <c r="F37" s="183">
        <v>213.38096844366169</v>
      </c>
      <c r="G37" s="183">
        <v>222.56592694694314</v>
      </c>
      <c r="H37" s="183">
        <v>232.1462509006783</v>
      </c>
      <c r="I37" s="183">
        <v>242.13895876383572</v>
      </c>
      <c r="J37" s="183">
        <v>221.25015723899128</v>
      </c>
      <c r="K37" s="183">
        <v>228.5389093409508</v>
      </c>
      <c r="L37" s="183">
        <v>240.46283942173272</v>
      </c>
      <c r="M37" s="183">
        <v>242.5695253623087</v>
      </c>
      <c r="N37" s="183">
        <v>259.27878660259807</v>
      </c>
      <c r="O37" s="183">
        <v>268.2640470541437</v>
      </c>
      <c r="P37" s="183">
        <v>287.1690730981627</v>
      </c>
      <c r="Q37" s="183">
        <v>265.47648240629951</v>
      </c>
      <c r="R37" s="183">
        <v>271.86571830128742</v>
      </c>
      <c r="S37" s="183">
        <v>298.74590923646156</v>
      </c>
      <c r="T37" s="183">
        <v>307.79275835884573</v>
      </c>
      <c r="U37" s="183">
        <v>329.39340276545727</v>
      </c>
      <c r="V37" s="183">
        <v>354.3333078677465</v>
      </c>
      <c r="W37" s="183">
        <v>394.01503256343403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4.0554633614859483</v>
      </c>
      <c r="D38" s="183">
        <v>4.160817616559072</v>
      </c>
      <c r="E38" s="183">
        <v>4.2689088015641588</v>
      </c>
      <c r="F38" s="183">
        <v>4.3798080174306051</v>
      </c>
      <c r="G38" s="183">
        <v>4.4935882121727957</v>
      </c>
      <c r="H38" s="183">
        <v>4.6103242288743189</v>
      </c>
      <c r="I38" s="183">
        <v>5.1891171493253978</v>
      </c>
      <c r="J38" s="183">
        <v>4.8895236026000362</v>
      </c>
      <c r="K38" s="183">
        <v>5.0336028482008714</v>
      </c>
      <c r="L38" s="183">
        <v>5.4390867843039814</v>
      </c>
      <c r="M38" s="183">
        <v>5.672062427154458</v>
      </c>
      <c r="N38" s="183">
        <v>5.9724208083259711</v>
      </c>
      <c r="O38" s="183">
        <v>6.4526096248491882</v>
      </c>
      <c r="P38" s="183">
        <v>6.0460059673448114</v>
      </c>
      <c r="Q38" s="183">
        <v>6.0251864391101648</v>
      </c>
      <c r="R38" s="183">
        <v>6.5841166937580553</v>
      </c>
      <c r="S38" s="183">
        <v>7.1219619883839655</v>
      </c>
      <c r="T38" s="183">
        <v>7.7424744338290736</v>
      </c>
      <c r="U38" s="183">
        <v>8.5373530080078552</v>
      </c>
      <c r="V38" s="183">
        <v>8.4100791403204411</v>
      </c>
      <c r="W38" s="183">
        <v>8.8924165659663572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19.358694353331941</v>
      </c>
      <c r="D39" s="183">
        <v>19.766469476299704</v>
      </c>
      <c r="E39" s="183">
        <v>20.182834049975014</v>
      </c>
      <c r="F39" s="183">
        <v>20.607969004138397</v>
      </c>
      <c r="G39" s="183">
        <v>21.042059079708622</v>
      </c>
      <c r="H39" s="183">
        <v>21.485292909021382</v>
      </c>
      <c r="I39" s="183">
        <v>21.937863097798981</v>
      </c>
      <c r="J39" s="183">
        <v>22.399966308846103</v>
      </c>
      <c r="K39" s="183">
        <v>22.871803347509342</v>
      </c>
      <c r="L39" s="183">
        <v>23.353579248936285</v>
      </c>
      <c r="M39" s="183">
        <v>31.604159578794281</v>
      </c>
      <c r="N39" s="183">
        <v>33.864572945252348</v>
      </c>
      <c r="O39" s="183">
        <v>33.237911816705491</v>
      </c>
      <c r="P39" s="183">
        <v>35.566791329013256</v>
      </c>
      <c r="Q39" s="183">
        <v>35.09100358480805</v>
      </c>
      <c r="R39" s="183">
        <v>34.281289812425143</v>
      </c>
      <c r="S39" s="183">
        <v>30.700679001059257</v>
      </c>
      <c r="T39" s="183">
        <v>29.586280003667639</v>
      </c>
      <c r="U39" s="183">
        <v>29.622047934027876</v>
      </c>
      <c r="V39" s="183">
        <v>30.407533457920522</v>
      </c>
      <c r="W39" s="183">
        <v>37.703161165877304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0.5056351978399718</v>
      </c>
      <c r="D40" s="41">
        <v>0.56253507301924088</v>
      </c>
      <c r="E40" s="41">
        <v>0.62583797514214368</v>
      </c>
      <c r="F40" s="41">
        <v>0.69626444628212525</v>
      </c>
      <c r="G40" s="41">
        <v>0.7746161121757531</v>
      </c>
      <c r="H40" s="41">
        <v>0.86178480668701241</v>
      </c>
      <c r="I40" s="41">
        <v>0.95876272306102805</v>
      </c>
      <c r="J40" s="41">
        <v>1.0666537075133746</v>
      </c>
      <c r="K40" s="41">
        <v>1.1866858237036446</v>
      </c>
      <c r="L40" s="41">
        <v>1.3202253311077889</v>
      </c>
      <c r="M40" s="41">
        <v>1.4687922363973236</v>
      </c>
      <c r="N40" s="41">
        <v>1.6340775948381747</v>
      </c>
      <c r="O40" s="41">
        <v>1.8179627586415101</v>
      </c>
      <c r="P40" s="41">
        <v>2.0225407913598836</v>
      </c>
      <c r="Q40" s="41">
        <v>2.2501402920769671</v>
      </c>
      <c r="R40" s="41">
        <v>1.688464123797722</v>
      </c>
      <c r="S40" s="41">
        <v>1.5200790317377795</v>
      </c>
      <c r="T40" s="41">
        <v>1.5058691029624569</v>
      </c>
      <c r="U40" s="41">
        <v>1.7397963059268022</v>
      </c>
      <c r="V40" s="41">
        <v>2.0762457431290429</v>
      </c>
      <c r="W40" s="41">
        <v>2.3495099328916282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252.23067367731096</v>
      </c>
      <c r="D41" s="42">
        <v>252.23067367731096</v>
      </c>
      <c r="E41" s="42">
        <v>252.23067367731096</v>
      </c>
      <c r="F41" s="42">
        <v>252.23067367731096</v>
      </c>
      <c r="G41" s="42">
        <v>252.23067367731119</v>
      </c>
      <c r="H41" s="42">
        <v>399.79916045835762</v>
      </c>
      <c r="I41" s="42">
        <v>369.93139418288911</v>
      </c>
      <c r="J41" s="42">
        <v>388.89883160585532</v>
      </c>
      <c r="K41" s="42">
        <v>401.06022746236795</v>
      </c>
      <c r="L41" s="42">
        <v>433.0544585775624</v>
      </c>
      <c r="M41" s="42">
        <v>569.72656491715315</v>
      </c>
      <c r="N41" s="42">
        <v>568.55111565623247</v>
      </c>
      <c r="O41" s="42">
        <v>561.50074224819173</v>
      </c>
      <c r="P41" s="42">
        <v>608.90702789081752</v>
      </c>
      <c r="Q41" s="42">
        <v>685.48810702361789</v>
      </c>
      <c r="R41" s="42">
        <v>825.97058678826397</v>
      </c>
      <c r="S41" s="42">
        <v>828.91216061662999</v>
      </c>
      <c r="T41" s="42">
        <v>911.5206910443294</v>
      </c>
      <c r="U41" s="42">
        <v>1086.9883576940138</v>
      </c>
      <c r="V41" s="42">
        <v>1086.1845597883021</v>
      </c>
      <c r="W41" s="42">
        <v>1033.4717663025549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8759.9999999999964</v>
      </c>
      <c r="D44" s="185">
        <v>8759.9999999999982</v>
      </c>
      <c r="E44" s="185">
        <v>8759.9999999999982</v>
      </c>
      <c r="F44" s="185">
        <v>8759.9999999999964</v>
      </c>
      <c r="G44" s="185">
        <v>8760</v>
      </c>
      <c r="H44" s="185">
        <v>8759.9999999999964</v>
      </c>
      <c r="I44" s="185">
        <v>8760.0000000000018</v>
      </c>
      <c r="J44" s="185">
        <v>8760.0000000000018</v>
      </c>
      <c r="K44" s="185">
        <v>8760</v>
      </c>
      <c r="L44" s="185">
        <v>8759.9999999999982</v>
      </c>
      <c r="M44" s="185">
        <v>8760.0000000000018</v>
      </c>
      <c r="N44" s="185">
        <v>8760</v>
      </c>
      <c r="O44" s="185">
        <v>8760.0000000000018</v>
      </c>
      <c r="P44" s="185">
        <v>8760</v>
      </c>
      <c r="Q44" s="185">
        <v>8759.9999999999982</v>
      </c>
      <c r="R44" s="185">
        <v>8759.9999999999982</v>
      </c>
      <c r="S44" s="185">
        <v>8759.9999999999964</v>
      </c>
      <c r="T44" s="185">
        <v>8759.9999999999982</v>
      </c>
      <c r="U44" s="185">
        <v>8760</v>
      </c>
      <c r="V44" s="185">
        <v>8759.9999999999964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3787.7987075407723</v>
      </c>
      <c r="C45" s="185">
        <v>3789.8331652101247</v>
      </c>
      <c r="D45" s="185">
        <v>3793.762745963536</v>
      </c>
      <c r="E45" s="185">
        <v>3795.2669413096023</v>
      </c>
      <c r="F45" s="185">
        <v>3797.4225649457712</v>
      </c>
      <c r="G45" s="185">
        <v>3799.2962153182443</v>
      </c>
      <c r="H45" s="185">
        <v>3799.620755093395</v>
      </c>
      <c r="I45" s="185">
        <v>3799.6271943193165</v>
      </c>
      <c r="J45" s="185">
        <v>3794.2889710706913</v>
      </c>
      <c r="K45" s="185">
        <v>3791.3773817571068</v>
      </c>
      <c r="L45" s="185">
        <v>3786.2400365540493</v>
      </c>
      <c r="M45" s="185">
        <v>3778.687388972497</v>
      </c>
      <c r="N45" s="185">
        <v>3765.9064545536335</v>
      </c>
      <c r="O45" s="185">
        <v>3739.4373726463191</v>
      </c>
      <c r="P45" s="185">
        <v>3710.9340565271409</v>
      </c>
      <c r="Q45" s="185">
        <v>3689.8643296889227</v>
      </c>
      <c r="R45" s="185">
        <v>3636.3099532077586</v>
      </c>
      <c r="S45" s="185">
        <v>3667.6915119573205</v>
      </c>
      <c r="T45" s="185">
        <v>3635.2542970894847</v>
      </c>
      <c r="U45" s="185">
        <v>3607.8806663376358</v>
      </c>
      <c r="V45" s="185">
        <v>3596.2872429564441</v>
      </c>
      <c r="W45" s="185">
        <v>3603.9187041121863</v>
      </c>
      <c r="DA45" s="194" t="s">
        <v>940</v>
      </c>
    </row>
    <row r="46" spans="1:105" ht="12" customHeight="1" x14ac:dyDescent="0.25">
      <c r="A46" s="132" t="s">
        <v>5</v>
      </c>
      <c r="B46" s="185">
        <v>2270.345842976159</v>
      </c>
      <c r="C46" s="185">
        <v>2286.225929437267</v>
      </c>
      <c r="D46" s="185">
        <v>2297.7776619491201</v>
      </c>
      <c r="E46" s="185">
        <v>2305.1020866355857</v>
      </c>
      <c r="F46" s="185">
        <v>2317.5638219778575</v>
      </c>
      <c r="G46" s="185">
        <v>2328.6922334778296</v>
      </c>
      <c r="H46" s="185">
        <v>2340.8234532846586</v>
      </c>
      <c r="I46" s="185">
        <v>2351.4870124371737</v>
      </c>
      <c r="J46" s="185">
        <v>2359.511782344825</v>
      </c>
      <c r="K46" s="185">
        <v>2364.8452131607646</v>
      </c>
      <c r="L46" s="185">
        <v>2370.2107639860665</v>
      </c>
      <c r="M46" s="185">
        <v>2373.9098403347912</v>
      </c>
      <c r="N46" s="185">
        <v>2378.2613285749148</v>
      </c>
      <c r="O46" s="185">
        <v>2385.2973051139525</v>
      </c>
      <c r="P46" s="185">
        <v>2394.9569764798557</v>
      </c>
      <c r="Q46" s="185">
        <v>2401.1263991035116</v>
      </c>
      <c r="R46" s="185">
        <v>2367.8357673756095</v>
      </c>
      <c r="S46" s="185">
        <v>2416.4554652158045</v>
      </c>
      <c r="T46" s="185">
        <v>2382.7009277698726</v>
      </c>
      <c r="U46" s="185">
        <v>2359.2883271168566</v>
      </c>
      <c r="V46" s="185">
        <v>2157.6312760007318</v>
      </c>
      <c r="W46" s="185">
        <v>2111.33371207546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8759.9999999999945</v>
      </c>
      <c r="D47" s="185">
        <v>8759.9999999999982</v>
      </c>
      <c r="E47" s="185">
        <v>8759.9999999999982</v>
      </c>
      <c r="F47" s="185">
        <v>8760.0000000000018</v>
      </c>
      <c r="G47" s="185">
        <v>8759.9999999999982</v>
      </c>
      <c r="H47" s="185">
        <v>8759.9999999999964</v>
      </c>
      <c r="I47" s="185">
        <v>8759.9999999999945</v>
      </c>
      <c r="J47" s="185">
        <v>8759.9999999999964</v>
      </c>
      <c r="K47" s="185">
        <v>8760</v>
      </c>
      <c r="L47" s="185">
        <v>8759.9999999999982</v>
      </c>
      <c r="M47" s="185">
        <v>8760</v>
      </c>
      <c r="N47" s="185">
        <v>8759.9999999999964</v>
      </c>
      <c r="O47" s="185">
        <v>8759.9999999999964</v>
      </c>
      <c r="P47" s="185">
        <v>8760.0000000000018</v>
      </c>
      <c r="Q47" s="185">
        <v>8760</v>
      </c>
      <c r="R47" s="185">
        <v>8760</v>
      </c>
      <c r="S47" s="185">
        <v>8759.9999999999982</v>
      </c>
      <c r="T47" s="185">
        <v>8759.9999999999982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927.13917664815369</v>
      </c>
      <c r="C48" s="44">
        <v>931.56801117343093</v>
      </c>
      <c r="D48" s="44">
        <v>935.62969084611188</v>
      </c>
      <c r="E48" s="44">
        <v>939.38171057529053</v>
      </c>
      <c r="F48" s="44">
        <v>942.86895107581233</v>
      </c>
      <c r="G48" s="44">
        <v>946.12712944033501</v>
      </c>
      <c r="H48" s="44">
        <v>949.1851430657664</v>
      </c>
      <c r="I48" s="44">
        <v>952.06670772015468</v>
      </c>
      <c r="J48" s="44">
        <v>954.79153067362995</v>
      </c>
      <c r="K48" s="44">
        <v>957.37616895258975</v>
      </c>
      <c r="L48" s="44">
        <v>959.83466910300808</v>
      </c>
      <c r="M48" s="44">
        <v>961.39695553154752</v>
      </c>
      <c r="N48" s="44">
        <v>962.88891871518604</v>
      </c>
      <c r="O48" s="44">
        <v>964.31671324023955</v>
      </c>
      <c r="P48" s="44">
        <v>965.68571566399567</v>
      </c>
      <c r="Q48" s="44">
        <v>967.00065066536251</v>
      </c>
      <c r="R48" s="44">
        <v>955.525420783193</v>
      </c>
      <c r="S48" s="44">
        <v>965.03669103412551</v>
      </c>
      <c r="T48" s="44">
        <v>961.24101291959062</v>
      </c>
      <c r="U48" s="44">
        <v>955.09568389020717</v>
      </c>
      <c r="V48" s="44">
        <v>873.46014281057796</v>
      </c>
      <c r="W48" s="44">
        <v>854.71779454757655</v>
      </c>
      <c r="DA48" s="95" t="s">
        <v>943</v>
      </c>
    </row>
    <row r="49" spans="1:105" ht="12" customHeight="1" x14ac:dyDescent="0.25">
      <c r="A49" s="62" t="s">
        <v>3</v>
      </c>
      <c r="B49" s="186">
        <v>1638.7377665968759</v>
      </c>
      <c r="C49" s="186">
        <v>1656.3543564032395</v>
      </c>
      <c r="D49" s="186">
        <v>1687.5695865130074</v>
      </c>
      <c r="E49" s="186">
        <v>1716.1732109574255</v>
      </c>
      <c r="F49" s="186">
        <v>1745.8858752592355</v>
      </c>
      <c r="G49" s="186">
        <v>1773.4535423273214</v>
      </c>
      <c r="H49" s="186">
        <v>1801.7675965092699</v>
      </c>
      <c r="I49" s="186">
        <v>1823.3323496543981</v>
      </c>
      <c r="J49" s="186">
        <v>1844.2523010576747</v>
      </c>
      <c r="K49" s="186">
        <v>1859.3922498440288</v>
      </c>
      <c r="L49" s="186">
        <v>1882.4153767613459</v>
      </c>
      <c r="M49" s="186">
        <v>1902.7848295246552</v>
      </c>
      <c r="N49" s="186">
        <v>1917.8298719137806</v>
      </c>
      <c r="O49" s="186">
        <v>1934.2921360078756</v>
      </c>
      <c r="P49" s="186">
        <v>1954.4437758423942</v>
      </c>
      <c r="Q49" s="186">
        <v>1975.1826655387613</v>
      </c>
      <c r="R49" s="186">
        <v>1966.8620060956246</v>
      </c>
      <c r="S49" s="186">
        <v>2004.2840382633326</v>
      </c>
      <c r="T49" s="186">
        <v>2007.7375414402402</v>
      </c>
      <c r="U49" s="186">
        <v>2013.4336209057244</v>
      </c>
      <c r="V49" s="186">
        <v>1910.1762745415979</v>
      </c>
      <c r="W49" s="186">
        <v>1886.4698701903105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0.72028600541996735</v>
      </c>
      <c r="C52" s="181">
        <v>0.71344972322332656</v>
      </c>
      <c r="D52" s="181">
        <v>0.70729266993210449</v>
      </c>
      <c r="E52" s="181">
        <v>0.7010235185608753</v>
      </c>
      <c r="F52" s="181">
        <v>0.69399576838029542</v>
      </c>
      <c r="G52" s="181">
        <v>0.68638037933150875</v>
      </c>
      <c r="H52" s="181">
        <v>0.67809801148944782</v>
      </c>
      <c r="I52" s="181">
        <v>0.67040306345418144</v>
      </c>
      <c r="J52" s="181">
        <v>0.66281060207384423</v>
      </c>
      <c r="K52" s="181">
        <v>0.65544211358281923</v>
      </c>
      <c r="L52" s="181">
        <v>0.64752572994495805</v>
      </c>
      <c r="M52" s="181">
        <v>0.6392363207081071</v>
      </c>
      <c r="N52" s="181">
        <v>0.63061203704643309</v>
      </c>
      <c r="O52" s="181">
        <v>0.62089399009312918</v>
      </c>
      <c r="P52" s="181">
        <v>0.61024259129471936</v>
      </c>
      <c r="Q52" s="181">
        <v>0.5984760682469854</v>
      </c>
      <c r="R52" s="181">
        <v>0.58672743754451451</v>
      </c>
      <c r="S52" s="181">
        <v>0.5748493454735516</v>
      </c>
      <c r="T52" s="181">
        <v>0.56314039923974024</v>
      </c>
      <c r="U52" s="181">
        <v>0.55290686954563772</v>
      </c>
      <c r="V52" s="181">
        <v>0.54449449563258279</v>
      </c>
      <c r="W52" s="181">
        <v>0.53683747841284701</v>
      </c>
      <c r="DA52" s="190" t="s">
        <v>945</v>
      </c>
    </row>
    <row r="53" spans="1:105" ht="12" customHeight="1" x14ac:dyDescent="0.25">
      <c r="A53" s="132" t="s">
        <v>100</v>
      </c>
      <c r="B53" s="181">
        <v>196.14440558508878</v>
      </c>
      <c r="C53" s="181">
        <v>194.49943859931162</v>
      </c>
      <c r="D53" s="181">
        <v>192.56220543054297</v>
      </c>
      <c r="E53" s="181">
        <v>190.1544187870098</v>
      </c>
      <c r="F53" s="181">
        <v>187.31692407080689</v>
      </c>
      <c r="G53" s="181">
        <v>183.93984868622476</v>
      </c>
      <c r="H53" s="181">
        <v>180.13461121993106</v>
      </c>
      <c r="I53" s="181">
        <v>175.8307750893064</v>
      </c>
      <c r="J53" s="181">
        <v>173.03299652821707</v>
      </c>
      <c r="K53" s="181">
        <v>170.02794869566443</v>
      </c>
      <c r="L53" s="181">
        <v>166.82954862132652</v>
      </c>
      <c r="M53" s="181">
        <v>163.51748993615692</v>
      </c>
      <c r="N53" s="181">
        <v>159.90698361666469</v>
      </c>
      <c r="O53" s="181">
        <v>155.84805908892841</v>
      </c>
      <c r="P53" s="181">
        <v>151.04595407765757</v>
      </c>
      <c r="Q53" s="181">
        <v>145.8689167240743</v>
      </c>
      <c r="R53" s="181">
        <v>140.95802478822574</v>
      </c>
      <c r="S53" s="181">
        <v>135.43042061922625</v>
      </c>
      <c r="T53" s="181">
        <v>129.68632760403756</v>
      </c>
      <c r="U53" s="181">
        <v>123.54485463502974</v>
      </c>
      <c r="V53" s="181">
        <v>117.08297850847725</v>
      </c>
      <c r="W53" s="181">
        <v>110.81962336169092</v>
      </c>
      <c r="DA53" s="190" t="s">
        <v>946</v>
      </c>
    </row>
    <row r="54" spans="1:105" ht="12" customHeight="1" x14ac:dyDescent="0.25">
      <c r="A54" s="132" t="s">
        <v>140</v>
      </c>
      <c r="B54" s="181">
        <v>45.204672661431744</v>
      </c>
      <c r="C54" s="181">
        <v>44.630463004036677</v>
      </c>
      <c r="D54" s="181">
        <v>43.855282336941556</v>
      </c>
      <c r="E54" s="181">
        <v>42.946815765932669</v>
      </c>
      <c r="F54" s="181">
        <v>41.862638071673608</v>
      </c>
      <c r="G54" s="181">
        <v>40.591809455064713</v>
      </c>
      <c r="H54" s="181">
        <v>39.265944016062853</v>
      </c>
      <c r="I54" s="181">
        <v>38.192942228934754</v>
      </c>
      <c r="J54" s="181">
        <v>37.313409050313865</v>
      </c>
      <c r="K54" s="181">
        <v>36.368852270089398</v>
      </c>
      <c r="L54" s="181">
        <v>35.38081311162388</v>
      </c>
      <c r="M54" s="181">
        <v>34.379889961714284</v>
      </c>
      <c r="N54" s="181">
        <v>33.141945094781299</v>
      </c>
      <c r="O54" s="181">
        <v>31.68336728090793</v>
      </c>
      <c r="P54" s="181">
        <v>30.110176446522757</v>
      </c>
      <c r="Q54" s="181">
        <v>28.440927272493639</v>
      </c>
      <c r="R54" s="181">
        <v>26.75064151438227</v>
      </c>
      <c r="S54" s="181">
        <v>24.947749773179424</v>
      </c>
      <c r="T54" s="181">
        <v>22.981496452384217</v>
      </c>
      <c r="U54" s="181">
        <v>20.909005179263406</v>
      </c>
      <c r="V54" s="181">
        <v>19.104278030968057</v>
      </c>
      <c r="W54" s="181">
        <v>17.542081603073552</v>
      </c>
      <c r="DA54" s="190" t="s">
        <v>947</v>
      </c>
    </row>
    <row r="55" spans="1:105" ht="12" customHeight="1" x14ac:dyDescent="0.25">
      <c r="A55" s="132" t="s">
        <v>181</v>
      </c>
      <c r="B55" s="181">
        <v>678.99632370863185</v>
      </c>
      <c r="C55" s="181">
        <v>670.52677372830647</v>
      </c>
      <c r="D55" s="181">
        <v>659.70109733970548</v>
      </c>
      <c r="E55" s="181">
        <v>648.3243001883427</v>
      </c>
      <c r="F55" s="181">
        <v>636.4932619865391</v>
      </c>
      <c r="G55" s="181">
        <v>625.10669824105116</v>
      </c>
      <c r="H55" s="181">
        <v>613.99663552396464</v>
      </c>
      <c r="I55" s="181">
        <v>603.35292209588852</v>
      </c>
      <c r="J55" s="181">
        <v>592.33933410326529</v>
      </c>
      <c r="K55" s="181">
        <v>580.76040679230243</v>
      </c>
      <c r="L55" s="181">
        <v>568.51203631984697</v>
      </c>
      <c r="M55" s="181">
        <v>556.86398032673162</v>
      </c>
      <c r="N55" s="181">
        <v>545.60939847137752</v>
      </c>
      <c r="O55" s="181">
        <v>535.07881516203895</v>
      </c>
      <c r="P55" s="181">
        <v>523.00381958724529</v>
      </c>
      <c r="Q55" s="181">
        <v>510.98771420672153</v>
      </c>
      <c r="R55" s="181">
        <v>500.38450945899439</v>
      </c>
      <c r="S55" s="181">
        <v>490.94789370144338</v>
      </c>
      <c r="T55" s="181">
        <v>482.13033210931349</v>
      </c>
      <c r="U55" s="181">
        <v>473.59865825373168</v>
      </c>
      <c r="V55" s="181">
        <v>465.15276091350518</v>
      </c>
      <c r="W55" s="181">
        <v>455.73607980848578</v>
      </c>
      <c r="DA55" s="190" t="s">
        <v>948</v>
      </c>
    </row>
    <row r="56" spans="1:105" ht="12" customHeight="1" x14ac:dyDescent="0.25">
      <c r="A56" s="60" t="s">
        <v>99</v>
      </c>
      <c r="B56" s="55">
        <v>49.795035505481742</v>
      </c>
      <c r="C56" s="55">
        <v>49.539999855648851</v>
      </c>
      <c r="D56" s="55">
        <v>49.299457888163772</v>
      </c>
      <c r="E56" s="55">
        <v>49.053012735762607</v>
      </c>
      <c r="F56" s="55">
        <v>48.750158565820001</v>
      </c>
      <c r="G56" s="55">
        <v>48.383213686482158</v>
      </c>
      <c r="H56" s="55">
        <v>47.962819091298265</v>
      </c>
      <c r="I56" s="55">
        <v>47.532203672203337</v>
      </c>
      <c r="J56" s="55">
        <v>47.111628413227088</v>
      </c>
      <c r="K56" s="55">
        <v>46.641662775149435</v>
      </c>
      <c r="L56" s="55">
        <v>46.131655430295297</v>
      </c>
      <c r="M56" s="55">
        <v>45.523151326069204</v>
      </c>
      <c r="N56" s="55">
        <v>44.816084980859529</v>
      </c>
      <c r="O56" s="55">
        <v>43.978957238480028</v>
      </c>
      <c r="P56" s="55">
        <v>42.999160811690132</v>
      </c>
      <c r="Q56" s="55">
        <v>41.818383748164862</v>
      </c>
      <c r="R56" s="55">
        <v>41.003233557681334</v>
      </c>
      <c r="S56" s="55">
        <v>40.25605380114667</v>
      </c>
      <c r="T56" s="55">
        <v>39.537050728370446</v>
      </c>
      <c r="U56" s="55">
        <v>38.765836443085618</v>
      </c>
      <c r="V56" s="55">
        <v>37.911788051979059</v>
      </c>
      <c r="W56" s="55">
        <v>37.030090914073348</v>
      </c>
      <c r="DA56" s="101" t="s">
        <v>949</v>
      </c>
    </row>
    <row r="57" spans="1:105" ht="12" customHeight="1" x14ac:dyDescent="0.25">
      <c r="A57" s="62" t="s">
        <v>98</v>
      </c>
      <c r="B57" s="63">
        <v>380.90377603083772</v>
      </c>
      <c r="C57" s="63">
        <v>371.69981036858076</v>
      </c>
      <c r="D57" s="63">
        <v>361.3898991237001</v>
      </c>
      <c r="E57" s="63">
        <v>349.05863234353137</v>
      </c>
      <c r="F57" s="63">
        <v>335.10746615533498</v>
      </c>
      <c r="G57" s="63">
        <v>320.18437096914977</v>
      </c>
      <c r="H57" s="63">
        <v>304.23323819627501</v>
      </c>
      <c r="I57" s="63">
        <v>289.69041109484408</v>
      </c>
      <c r="J57" s="63">
        <v>275.57704057122561</v>
      </c>
      <c r="K57" s="63">
        <v>260.72545253563374</v>
      </c>
      <c r="L57" s="63">
        <v>244.91597731319089</v>
      </c>
      <c r="M57" s="63">
        <v>226.79929444306907</v>
      </c>
      <c r="N57" s="63">
        <v>212.39312141007849</v>
      </c>
      <c r="O57" s="63">
        <v>200.48395294448389</v>
      </c>
      <c r="P57" s="63">
        <v>191.87279000031776</v>
      </c>
      <c r="Q57" s="63">
        <v>186.63884032212093</v>
      </c>
      <c r="R57" s="63">
        <v>183.36199426887217</v>
      </c>
      <c r="S57" s="63">
        <v>180.4888248178296</v>
      </c>
      <c r="T57" s="63">
        <v>177.46916151235325</v>
      </c>
      <c r="U57" s="63">
        <v>174.02648983597851</v>
      </c>
      <c r="V57" s="63">
        <v>169.76593667375931</v>
      </c>
      <c r="W57" s="63">
        <v>165.93101092830116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0.64231429304966137</v>
      </c>
      <c r="D60" s="181">
        <v>0.63285723869095434</v>
      </c>
      <c r="E60" s="181">
        <v>0.6259491248109158</v>
      </c>
      <c r="F60" s="181">
        <v>0.61975691314041315</v>
      </c>
      <c r="G60" s="181">
        <v>0.61207601115892263</v>
      </c>
      <c r="H60" s="181">
        <v>0.60478063787783165</v>
      </c>
      <c r="I60" s="181">
        <v>0.59798016859262593</v>
      </c>
      <c r="J60" s="181">
        <v>0.58987618425559585</v>
      </c>
      <c r="K60" s="181">
        <v>0.58105269560235795</v>
      </c>
      <c r="L60" s="181">
        <v>0.57061919317579501</v>
      </c>
      <c r="M60" s="181">
        <v>0.55997549161124638</v>
      </c>
      <c r="N60" s="181">
        <v>0.54855526958597178</v>
      </c>
      <c r="O60" s="181">
        <v>0.53452200791197579</v>
      </c>
      <c r="P60" s="181">
        <v>0.51916123556035831</v>
      </c>
      <c r="Q60" s="181">
        <v>0.50335449586678127</v>
      </c>
      <c r="R60" s="181">
        <v>0.50003721447429783</v>
      </c>
      <c r="S60" s="181">
        <v>0.49511129536996479</v>
      </c>
      <c r="T60" s="181">
        <v>0.490029741254842</v>
      </c>
      <c r="U60" s="181">
        <v>0.48504277105547666</v>
      </c>
      <c r="V60" s="181">
        <v>0.48027132354938978</v>
      </c>
      <c r="W60" s="181">
        <v>0.4789734179198229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184.75276728321282</v>
      </c>
      <c r="D61" s="181">
        <v>182.6486944893239</v>
      </c>
      <c r="E61" s="181">
        <v>179.58392062102303</v>
      </c>
      <c r="F61" s="181">
        <v>176.36027827478091</v>
      </c>
      <c r="G61" s="181">
        <v>173.18999663859751</v>
      </c>
      <c r="H61" s="181">
        <v>170.35179256881372</v>
      </c>
      <c r="I61" s="181">
        <v>167.44347375465449</v>
      </c>
      <c r="J61" s="181">
        <v>164.38360444264643</v>
      </c>
      <c r="K61" s="181">
        <v>160.83226183421723</v>
      </c>
      <c r="L61" s="181">
        <v>157.44904125195649</v>
      </c>
      <c r="M61" s="181">
        <v>153.26487066981329</v>
      </c>
      <c r="N61" s="181">
        <v>148.89429161236345</v>
      </c>
      <c r="O61" s="181">
        <v>143.58971404297552</v>
      </c>
      <c r="P61" s="181">
        <v>137.22282911649674</v>
      </c>
      <c r="Q61" s="181">
        <v>129.22707291067096</v>
      </c>
      <c r="R61" s="181">
        <v>121.88637734740009</v>
      </c>
      <c r="S61" s="181">
        <v>116.25955982475691</v>
      </c>
      <c r="T61" s="181">
        <v>110.52057929525031</v>
      </c>
      <c r="U61" s="181">
        <v>104.7509325652984</v>
      </c>
      <c r="V61" s="181">
        <v>99.057796661553112</v>
      </c>
      <c r="W61" s="181">
        <v>97.113133299170471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42.205597181727384</v>
      </c>
      <c r="D62" s="181">
        <v>40.706751339020535</v>
      </c>
      <c r="E62" s="181">
        <v>39.838665653073043</v>
      </c>
      <c r="F62" s="181">
        <v>38.853743906820981</v>
      </c>
      <c r="G62" s="181">
        <v>37.601993368870239</v>
      </c>
      <c r="H62" s="181">
        <v>37.005236733242</v>
      </c>
      <c r="I62" s="181">
        <v>36.066046334056239</v>
      </c>
      <c r="J62" s="181">
        <v>35.190231749205076</v>
      </c>
      <c r="K62" s="181">
        <v>33.840977768696249</v>
      </c>
      <c r="L62" s="181">
        <v>32.906387659685521</v>
      </c>
      <c r="M62" s="181">
        <v>31.780836738017609</v>
      </c>
      <c r="N62" s="181">
        <v>30.013857309575457</v>
      </c>
      <c r="O62" s="181">
        <v>28.166694921576902</v>
      </c>
      <c r="P62" s="181">
        <v>25.895020243711706</v>
      </c>
      <c r="Q62" s="181">
        <v>23.761243988833861</v>
      </c>
      <c r="R62" s="181">
        <v>21.982683740126145</v>
      </c>
      <c r="S62" s="181">
        <v>20.532218779319141</v>
      </c>
      <c r="T62" s="181">
        <v>18.202587704901099</v>
      </c>
      <c r="U62" s="181">
        <v>16.282379090805254</v>
      </c>
      <c r="V62" s="181">
        <v>14.934147013509703</v>
      </c>
      <c r="W62" s="181">
        <v>14.318735590786952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618.63138869464194</v>
      </c>
      <c r="D63" s="181">
        <v>598.95600198763532</v>
      </c>
      <c r="E63" s="181">
        <v>585.02341709189818</v>
      </c>
      <c r="F63" s="181">
        <v>577.15944417508274</v>
      </c>
      <c r="G63" s="181">
        <v>570.66515062597716</v>
      </c>
      <c r="H63" s="181">
        <v>563.53242811184498</v>
      </c>
      <c r="I63" s="181">
        <v>555.40541357841175</v>
      </c>
      <c r="J63" s="181">
        <v>545.16569629052333</v>
      </c>
      <c r="K63" s="181">
        <v>535.37309309957618</v>
      </c>
      <c r="L63" s="181">
        <v>525.71320518328457</v>
      </c>
      <c r="M63" s="181">
        <v>508.55440714457444</v>
      </c>
      <c r="N63" s="181">
        <v>497.89008221133338</v>
      </c>
      <c r="O63" s="181">
        <v>487.12084383501252</v>
      </c>
      <c r="P63" s="181">
        <v>472.56266555319019</v>
      </c>
      <c r="Q63" s="181">
        <v>464.73983335874578</v>
      </c>
      <c r="R63" s="181">
        <v>457.92254217273063</v>
      </c>
      <c r="S63" s="181">
        <v>449.58334599422579</v>
      </c>
      <c r="T63" s="181">
        <v>441.23862999157171</v>
      </c>
      <c r="U63" s="181">
        <v>433.03994924590415</v>
      </c>
      <c r="V63" s="181">
        <v>425.04919145110961</v>
      </c>
      <c r="W63" s="181">
        <v>415.73530586701742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46.934928712741559</v>
      </c>
      <c r="D64" s="55">
        <v>46.486469240056529</v>
      </c>
      <c r="E64" s="55">
        <v>46.105797922787623</v>
      </c>
      <c r="F64" s="55">
        <v>45.552281651943915</v>
      </c>
      <c r="G64" s="55">
        <v>45.05421711685478</v>
      </c>
      <c r="H64" s="55">
        <v>44.498377567747298</v>
      </c>
      <c r="I64" s="55">
        <v>43.824241406456231</v>
      </c>
      <c r="J64" s="55">
        <v>43.014962939496669</v>
      </c>
      <c r="K64" s="55">
        <v>42.217864784195953</v>
      </c>
      <c r="L64" s="55">
        <v>41.412577921411227</v>
      </c>
      <c r="M64" s="55">
        <v>40.378401552666176</v>
      </c>
      <c r="N64" s="55">
        <v>39.161782346055567</v>
      </c>
      <c r="O64" s="55">
        <v>37.99457824118884</v>
      </c>
      <c r="P64" s="55">
        <v>36.748153912161833</v>
      </c>
      <c r="Q64" s="55">
        <v>35.376481661206668</v>
      </c>
      <c r="R64" s="55">
        <v>34.93292269439825</v>
      </c>
      <c r="S64" s="55">
        <v>34.393259927003456</v>
      </c>
      <c r="T64" s="55">
        <v>33.859197586659327</v>
      </c>
      <c r="U64" s="55">
        <v>33.329665583570105</v>
      </c>
      <c r="V64" s="55">
        <v>32.814527272093628</v>
      </c>
      <c r="W64" s="55">
        <v>32.590611499246386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348.47292358040067</v>
      </c>
      <c r="D65" s="63">
        <v>335.43427835686384</v>
      </c>
      <c r="E65" s="63">
        <v>321.31259384364176</v>
      </c>
      <c r="F65" s="63">
        <v>306.05741252021733</v>
      </c>
      <c r="G65" s="63">
        <v>293.11118827298782</v>
      </c>
      <c r="H65" s="63">
        <v>279.48533793653462</v>
      </c>
      <c r="I65" s="63">
        <v>264.13551484741532</v>
      </c>
      <c r="J65" s="63">
        <v>247.90250126087938</v>
      </c>
      <c r="K65" s="63">
        <v>228.7805257975044</v>
      </c>
      <c r="L65" s="63">
        <v>212.13011575877334</v>
      </c>
      <c r="M65" s="63">
        <v>197.46670728738312</v>
      </c>
      <c r="N65" s="63">
        <v>191.39224412433168</v>
      </c>
      <c r="O65" s="63">
        <v>183.82508369600004</v>
      </c>
      <c r="P65" s="63">
        <v>181.96230124195836</v>
      </c>
      <c r="Q65" s="63">
        <v>181.81874517250219</v>
      </c>
      <c r="R65" s="63">
        <v>179.60689992167954</v>
      </c>
      <c r="S65" s="63">
        <v>174.90460416806783</v>
      </c>
      <c r="T65" s="63">
        <v>170.19675613775411</v>
      </c>
      <c r="U65" s="63">
        <v>165.62446862028526</v>
      </c>
      <c r="V65" s="63">
        <v>161.13470968351129</v>
      </c>
      <c r="W65" s="63">
        <v>158.18940807755081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363.30095556185023</v>
      </c>
      <c r="C68" s="188">
        <f>1000000*C20/SER_summary!C$8</f>
        <v>368.03358775561151</v>
      </c>
      <c r="D68" s="188">
        <f>1000000*D20/SER_summary!D$8</f>
        <v>374.46089484781112</v>
      </c>
      <c r="E68" s="188">
        <f>1000000*E20/SER_summary!E$8</f>
        <v>382.05175742340055</v>
      </c>
      <c r="F68" s="188">
        <f>1000000*F20/SER_summary!F$8</f>
        <v>389.60988238544854</v>
      </c>
      <c r="G68" s="188">
        <f>1000000*G20/SER_summary!G$8</f>
        <v>397.99150178473991</v>
      </c>
      <c r="H68" s="188">
        <f>1000000*H20/SER_summary!H$8</f>
        <v>407.22864976629359</v>
      </c>
      <c r="I68" s="188">
        <f>1000000*I20/SER_summary!I$8</f>
        <v>414.23985937992501</v>
      </c>
      <c r="J68" s="188">
        <f>1000000*J20/SER_summary!J$8</f>
        <v>422.79832890696554</v>
      </c>
      <c r="K68" s="188">
        <f>1000000*K20/SER_summary!K$8</f>
        <v>430.98969022219654</v>
      </c>
      <c r="L68" s="188">
        <f>1000000*L20/SER_summary!L$8</f>
        <v>439.83778602512081</v>
      </c>
      <c r="M68" s="188">
        <f>1000000*M20/SER_summary!M$8</f>
        <v>448.0862603206096</v>
      </c>
      <c r="N68" s="188">
        <f>1000000*N20/SER_summary!N$8</f>
        <v>456.57019836883262</v>
      </c>
      <c r="O68" s="188">
        <f>1000000*O20/SER_summary!O$8</f>
        <v>465.66308876448932</v>
      </c>
      <c r="P68" s="188">
        <f>1000000*P20/SER_summary!P$8</f>
        <v>474.44213051423992</v>
      </c>
      <c r="Q68" s="188">
        <f>1000000*Q20/SER_summary!Q$8</f>
        <v>485.36692642891268</v>
      </c>
      <c r="R68" s="188">
        <f>1000000*R20/SER_summary!R$8</f>
        <v>497.45435581508411</v>
      </c>
      <c r="S68" s="188">
        <f>1000000*S20/SER_summary!S$8</f>
        <v>509.57386172765598</v>
      </c>
      <c r="T68" s="188">
        <f>1000000*T20/SER_summary!T$8</f>
        <v>521.55580019330762</v>
      </c>
      <c r="U68" s="188">
        <f>1000000*U20/SER_summary!U$8</f>
        <v>533.29727979415225</v>
      </c>
      <c r="V68" s="188">
        <f>1000000*V20/SER_summary!V$8</f>
        <v>544.60678273035387</v>
      </c>
      <c r="W68" s="188">
        <f>1000000*W20/SER_summary!W$8</f>
        <v>555.32827882041795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0.14625572899943534</v>
      </c>
      <c r="C69" s="188">
        <f>1000*C21/SER_summary!C$3</f>
        <v>0.14831317364513952</v>
      </c>
      <c r="D69" s="188">
        <f>1000*D21/SER_summary!D$3</f>
        <v>0.15051910079031244</v>
      </c>
      <c r="E69" s="188">
        <f>1000*E21/SER_summary!E$3</f>
        <v>0.1532356659845395</v>
      </c>
      <c r="F69" s="188">
        <f>1000*F21/SER_summary!F$3</f>
        <v>0.15560630074099147</v>
      </c>
      <c r="G69" s="188">
        <f>1000*G21/SER_summary!G$3</f>
        <v>0.15878394557077108</v>
      </c>
      <c r="H69" s="188">
        <f>1000*H21/SER_summary!H$3</f>
        <v>0.16195825411754286</v>
      </c>
      <c r="I69" s="188">
        <f>1000*I21/SER_summary!I$3</f>
        <v>0.16591680393450195</v>
      </c>
      <c r="J69" s="188">
        <f>1000*J21/SER_summary!J$3</f>
        <v>0.16978130459811783</v>
      </c>
      <c r="K69" s="188">
        <f>1000*K21/SER_summary!K$3</f>
        <v>0.17372754331732709</v>
      </c>
      <c r="L69" s="188">
        <f>1000*L21/SER_summary!L$3</f>
        <v>0.1790677923568261</v>
      </c>
      <c r="M69" s="188">
        <f>1000*M21/SER_summary!M$3</f>
        <v>0.1852496415121328</v>
      </c>
      <c r="N69" s="188">
        <f>1000*N21/SER_summary!N$3</f>
        <v>0.19243320079745213</v>
      </c>
      <c r="O69" s="188">
        <f>1000*O21/SER_summary!O$3</f>
        <v>0.20165141363361497</v>
      </c>
      <c r="P69" s="188">
        <f>1000*P21/SER_summary!P$3</f>
        <v>0.213058260378168</v>
      </c>
      <c r="Q69" s="188">
        <f>1000*Q21/SER_summary!Q$3</f>
        <v>0.22669382763420245</v>
      </c>
      <c r="R69" s="188">
        <f>1000*R21/SER_summary!R$3</f>
        <v>0.23230523146548504</v>
      </c>
      <c r="S69" s="188">
        <f>1000*S21/SER_summary!S$3</f>
        <v>0.23794899730870744</v>
      </c>
      <c r="T69" s="188">
        <f>1000*T21/SER_summary!T$3</f>
        <v>0.24311709835210088</v>
      </c>
      <c r="U69" s="188">
        <f>1000*U21/SER_summary!U$3</f>
        <v>0.24772940951632638</v>
      </c>
      <c r="V69" s="188">
        <f>1000*V21/SER_summary!V$3</f>
        <v>0.25088422111454972</v>
      </c>
      <c r="W69" s="188">
        <f>1000*W21/SER_summary!W$3</f>
        <v>0.25348334815199802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161.66647842160086</v>
      </c>
      <c r="C70" s="188">
        <f>1000000*C22/SER_summary!C$8</f>
        <v>163.00613554481797</v>
      </c>
      <c r="D70" s="188">
        <f>1000000*D22/SER_summary!D$8</f>
        <v>164.91013777728082</v>
      </c>
      <c r="E70" s="188">
        <f>1000000*E22/SER_summary!E$8</f>
        <v>167.79371197159907</v>
      </c>
      <c r="F70" s="188">
        <f>1000000*F22/SER_summary!F$8</f>
        <v>171.04974714055083</v>
      </c>
      <c r="G70" s="188">
        <f>1000000*G22/SER_summary!G$8</f>
        <v>174.43809483142681</v>
      </c>
      <c r="H70" s="188">
        <f>1000000*H22/SER_summary!H$8</f>
        <v>177.86949744173012</v>
      </c>
      <c r="I70" s="188">
        <f>1000000*I22/SER_summary!I$8</f>
        <v>181.2019417148467</v>
      </c>
      <c r="J70" s="188">
        <f>1000000*J22/SER_summary!J$8</f>
        <v>185.37409105594864</v>
      </c>
      <c r="K70" s="188">
        <f>1000000*K22/SER_summary!K$8</f>
        <v>189.81444936855735</v>
      </c>
      <c r="L70" s="188">
        <f>1000000*L22/SER_summary!L$8</f>
        <v>195.13574119853553</v>
      </c>
      <c r="M70" s="188">
        <f>1000000*M22/SER_summary!M$8</f>
        <v>202.01117995457349</v>
      </c>
      <c r="N70" s="188">
        <f>1000000*N22/SER_summary!N$8</f>
        <v>211.12158285895282</v>
      </c>
      <c r="O70" s="188">
        <f>1000000*O22/SER_summary!O$8</f>
        <v>221.13816967942518</v>
      </c>
      <c r="P70" s="188">
        <f>1000000*P22/SER_summary!P$8</f>
        <v>231.88561963070219</v>
      </c>
      <c r="Q70" s="188">
        <f>1000000*Q22/SER_summary!Q$8</f>
        <v>245.21881540810875</v>
      </c>
      <c r="R70" s="188">
        <f>1000000*R22/SER_summary!R$8</f>
        <v>252.39640039624666</v>
      </c>
      <c r="S70" s="188">
        <f>1000000*S22/SER_summary!S$8</f>
        <v>259.68439765674867</v>
      </c>
      <c r="T70" s="188">
        <f>1000000*T22/SER_summary!T$8</f>
        <v>266.60956948955828</v>
      </c>
      <c r="U70" s="188">
        <f>1000000*U22/SER_summary!U$8</f>
        <v>272.88250620965846</v>
      </c>
      <c r="V70" s="188">
        <f>1000000*V22/SER_summary!V$8</f>
        <v>277.96385745626122</v>
      </c>
      <c r="W70" s="188">
        <f>1000000*W22/SER_summary!W$8</f>
        <v>280.869280087037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2.0783107976113803E-2</v>
      </c>
      <c r="C71" s="188">
        <f>1000*C23/SER_summary!C$3</f>
        <v>2.1803980621493434E-2</v>
      </c>
      <c r="D71" s="188">
        <f>1000*D23/SER_summary!D$3</f>
        <v>2.3026235810873902E-2</v>
      </c>
      <c r="E71" s="188">
        <f>1000*E23/SER_summary!E$3</f>
        <v>2.4166111738659707E-2</v>
      </c>
      <c r="F71" s="188">
        <f>1000*F23/SER_summary!F$3</f>
        <v>2.5528761885180159E-2</v>
      </c>
      <c r="G71" s="188">
        <f>1000*G23/SER_summary!G$3</f>
        <v>2.6814839393426066E-2</v>
      </c>
      <c r="H71" s="188">
        <f>1000*H23/SER_summary!H$3</f>
        <v>2.7987944912997359E-2</v>
      </c>
      <c r="I71" s="188">
        <f>1000*I23/SER_summary!I$3</f>
        <v>2.8765176894164052E-2</v>
      </c>
      <c r="J71" s="188">
        <f>1000*J23/SER_summary!J$3</f>
        <v>2.9389567668410076E-2</v>
      </c>
      <c r="K71" s="188">
        <f>1000*K23/SER_summary!K$3</f>
        <v>3.0001694142854453E-2</v>
      </c>
      <c r="L71" s="188">
        <f>1000*L23/SER_summary!L$3</f>
        <v>3.0639136793450279E-2</v>
      </c>
      <c r="M71" s="188">
        <f>1000*M23/SER_summary!M$3</f>
        <v>3.1218195491090412E-2</v>
      </c>
      <c r="N71" s="188">
        <f>1000*N23/SER_summary!N$3</f>
        <v>3.1888710221332092E-2</v>
      </c>
      <c r="O71" s="188">
        <f>1000*O23/SER_summary!O$3</f>
        <v>3.2625186668580566E-2</v>
      </c>
      <c r="P71" s="188">
        <f>1000*P23/SER_summary!P$3</f>
        <v>3.3594841184568874E-2</v>
      </c>
      <c r="Q71" s="188">
        <f>1000*Q23/SER_summary!Q$3</f>
        <v>3.4790710844908278E-2</v>
      </c>
      <c r="R71" s="188">
        <f>1000*R23/SER_summary!R$3</f>
        <v>3.5374235869348285E-2</v>
      </c>
      <c r="S71" s="188">
        <f>1000*S23/SER_summary!S$3</f>
        <v>3.5959836550604696E-2</v>
      </c>
      <c r="T71" s="188">
        <f>1000*T23/SER_summary!T$3</f>
        <v>3.6485944272661101E-2</v>
      </c>
      <c r="U71" s="188">
        <f>1000*U23/SER_summary!U$3</f>
        <v>3.6950096076765623E-2</v>
      </c>
      <c r="V71" s="188">
        <f>1000*V23/SER_summary!V$3</f>
        <v>3.7234814637612093E-2</v>
      </c>
      <c r="W71" s="188">
        <f>1000*W23/SER_summary!W$3</f>
        <v>3.7494500765826395E-2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110.51624946224645</v>
      </c>
      <c r="C72" s="188">
        <f>1000000*C24/SER_summary!C$8</f>
        <v>113.88506321445755</v>
      </c>
      <c r="D72" s="188">
        <f>1000000*D24/SER_summary!D$8</f>
        <v>117.87240966637987</v>
      </c>
      <c r="E72" s="188">
        <f>1000000*E24/SER_summary!E$8</f>
        <v>121.89010870939428</v>
      </c>
      <c r="F72" s="188">
        <f>1000000*F24/SER_summary!F$8</f>
        <v>125.83604204094463</v>
      </c>
      <c r="G72" s="188">
        <f>1000000*G24/SER_summary!G$8</f>
        <v>130.78779607155349</v>
      </c>
      <c r="H72" s="188">
        <f>1000000*H24/SER_summary!H$8</f>
        <v>135.93761940450818</v>
      </c>
      <c r="I72" s="188">
        <f>1000000*I24/SER_summary!I$8</f>
        <v>140.36933487712238</v>
      </c>
      <c r="J72" s="188">
        <f>1000000*J24/SER_summary!J$8</f>
        <v>143.60000532184114</v>
      </c>
      <c r="K72" s="188">
        <f>1000000*K24/SER_summary!K$8</f>
        <v>147.29568503250977</v>
      </c>
      <c r="L72" s="188">
        <f>1000000*L24/SER_summary!L$8</f>
        <v>150.11122993302379</v>
      </c>
      <c r="M72" s="188">
        <f>1000000*M24/SER_summary!M$8</f>
        <v>152.96896779165684</v>
      </c>
      <c r="N72" s="188">
        <f>1000000*N24/SER_summary!N$8</f>
        <v>155.66393574187214</v>
      </c>
      <c r="O72" s="188">
        <f>1000000*O24/SER_summary!O$8</f>
        <v>157.79571522009508</v>
      </c>
      <c r="P72" s="188">
        <f>1000000*P24/SER_summary!P$8</f>
        <v>159.17750649147678</v>
      </c>
      <c r="Q72" s="188">
        <f>1000000*Q24/SER_summary!Q$8</f>
        <v>160.99064604335805</v>
      </c>
      <c r="R72" s="188">
        <f>1000000*R24/SER_summary!R$8</f>
        <v>164.30059981430867</v>
      </c>
      <c r="S72" s="188">
        <f>1000000*S24/SER_summary!S$8</f>
        <v>167.62558491753077</v>
      </c>
      <c r="T72" s="188">
        <f>1000000*T24/SER_summary!T$8</f>
        <v>170.88610474859539</v>
      </c>
      <c r="U72" s="188">
        <f>1000000*U24/SER_summary!U$8</f>
        <v>174.03394351659534</v>
      </c>
      <c r="V72" s="188">
        <f>1000000*V24/SER_summary!V$8</f>
        <v>176.97935435651414</v>
      </c>
      <c r="W72" s="188">
        <f>1000000*W24/SER_summary!W$8</f>
        <v>179.63070757803754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0.12305109388842714</v>
      </c>
      <c r="C73" s="52">
        <f>1000*C25/SER_summary!C$3</f>
        <v>0.1363616951805936</v>
      </c>
      <c r="D73" s="52">
        <f>1000*D25/SER_summary!D$3</f>
        <v>0.14684667454761471</v>
      </c>
      <c r="E73" s="52">
        <f>1000*E25/SER_summary!E$3</f>
        <v>0.15922984197005724</v>
      </c>
      <c r="F73" s="52">
        <f>1000*F25/SER_summary!F$3</f>
        <v>0.17300789047954326</v>
      </c>
      <c r="G73" s="52">
        <f>1000*G25/SER_summary!G$3</f>
        <v>0.18988150104043575</v>
      </c>
      <c r="H73" s="52">
        <f>1000*H25/SER_summary!H$3</f>
        <v>0.20573382282645561</v>
      </c>
      <c r="I73" s="52">
        <f>1000*I25/SER_summary!I$3</f>
        <v>0.22418907852649048</v>
      </c>
      <c r="J73" s="52">
        <f>1000*J25/SER_summary!J$3</f>
        <v>0.24010345056304061</v>
      </c>
      <c r="K73" s="52">
        <f>1000*K25/SER_summary!K$3</f>
        <v>0.25956037824904499</v>
      </c>
      <c r="L73" s="52">
        <f>1000*L25/SER_summary!L$3</f>
        <v>0.28317770884455462</v>
      </c>
      <c r="M73" s="52">
        <f>1000*M25/SER_summary!M$3</f>
        <v>0.30743434727986524</v>
      </c>
      <c r="N73" s="52">
        <f>1000*N25/SER_summary!N$3</f>
        <v>0.33301518540350322</v>
      </c>
      <c r="O73" s="52">
        <f>1000*O25/SER_summary!O$3</f>
        <v>0.36814076291438697</v>
      </c>
      <c r="P73" s="52">
        <f>1000*P25/SER_summary!P$3</f>
        <v>0.41610766805013633</v>
      </c>
      <c r="Q73" s="52">
        <f>1000*Q25/SER_summary!Q$3</f>
        <v>0.45683447445474623</v>
      </c>
      <c r="R73" s="52">
        <f>1000*R25/SER_summary!R$3</f>
        <v>0.47837923511248831</v>
      </c>
      <c r="S73" s="52">
        <f>1000*S25/SER_summary!S$3</f>
        <v>0.48935389966451065</v>
      </c>
      <c r="T73" s="52">
        <f>1000*T25/SER_summary!T$3</f>
        <v>0.52780619518344885</v>
      </c>
      <c r="U73" s="52">
        <f>1000*U25/SER_summary!U$3</f>
        <v>0.53943773978388765</v>
      </c>
      <c r="V73" s="52">
        <f>1000*V25/SER_summary!V$3</f>
        <v>0.55139139778956692</v>
      </c>
      <c r="W73" s="52">
        <f>1000*W25/SER_summary!W$3</f>
        <v>0.54671016731580768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31.661366535556635</v>
      </c>
      <c r="C3" s="199">
        <f>'SER_se-appl'!C4</f>
        <v>32.883773498921606</v>
      </c>
      <c r="D3" s="199">
        <f>'SER_se-appl'!D4</f>
        <v>33.66787373252631</v>
      </c>
      <c r="E3" s="199">
        <f>'SER_se-appl'!E4</f>
        <v>34.380187615281194</v>
      </c>
      <c r="F3" s="199">
        <f>'SER_se-appl'!F4</f>
        <v>35.309390905013665</v>
      </c>
      <c r="G3" s="199">
        <f>'SER_se-appl'!G4</f>
        <v>36.370359886888714</v>
      </c>
      <c r="H3" s="199">
        <f>'SER_se-appl'!H4</f>
        <v>37.648971207855048</v>
      </c>
      <c r="I3" s="199">
        <f>'SER_se-appl'!I4</f>
        <v>38.624809467202915</v>
      </c>
      <c r="J3" s="199">
        <f>'SER_se-appl'!J4</f>
        <v>39.415976813087305</v>
      </c>
      <c r="K3" s="199">
        <f>'SER_se-appl'!K4</f>
        <v>39.915012367565822</v>
      </c>
      <c r="L3" s="199">
        <f>'SER_se-appl'!L4</f>
        <v>40.403860538683574</v>
      </c>
      <c r="M3" s="199">
        <f>'SER_se-appl'!M4</f>
        <v>40.800133543333438</v>
      </c>
      <c r="N3" s="199">
        <f>'SER_se-appl'!N4</f>
        <v>41.06022380493053</v>
      </c>
      <c r="O3" s="199">
        <f>'SER_se-appl'!O4</f>
        <v>41.418012927790038</v>
      </c>
      <c r="P3" s="199">
        <f>'SER_se-appl'!P4</f>
        <v>41.775951233529916</v>
      </c>
      <c r="Q3" s="199">
        <f>'SER_se-appl'!Q4</f>
        <v>42.193174935873728</v>
      </c>
      <c r="R3" s="199">
        <f>'SER_se-appl'!R4</f>
        <v>42.652325199627064</v>
      </c>
      <c r="S3" s="199">
        <f>'SER_se-appl'!S4</f>
        <v>43.177993861701104</v>
      </c>
      <c r="T3" s="199">
        <f>'SER_se-appl'!T4</f>
        <v>43.639917388055885</v>
      </c>
      <c r="U3" s="199">
        <f>'SER_se-appl'!U4</f>
        <v>44.129940467462674</v>
      </c>
      <c r="V3" s="199">
        <f>'SER_se-appl'!V4</f>
        <v>44.661650447992123</v>
      </c>
      <c r="W3" s="199">
        <f>'SER_se-appl'!W4</f>
        <v>45.145585319163352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42.034439818324621</v>
      </c>
      <c r="C5" s="59">
        <f>'SER_se-appl'!C12</f>
        <v>43.657338560782925</v>
      </c>
      <c r="D5" s="59">
        <f>'SER_se-appl'!D12</f>
        <v>44.698330080968155</v>
      </c>
      <c r="E5" s="59">
        <f>'SER_se-appl'!E12</f>
        <v>45.644016206132463</v>
      </c>
      <c r="F5" s="59">
        <f>'SER_se-appl'!F12</f>
        <v>46.877650254030712</v>
      </c>
      <c r="G5" s="59">
        <f>'SER_se-appl'!G12</f>
        <v>48.286219804168461</v>
      </c>
      <c r="H5" s="59">
        <f>'SER_se-appl'!H12</f>
        <v>49.983736888967393</v>
      </c>
      <c r="I5" s="59">
        <f>'SER_se-appl'!I12</f>
        <v>51.279284715019386</v>
      </c>
      <c r="J5" s="59">
        <f>'SER_se-appl'!J12</f>
        <v>52.329658714178684</v>
      </c>
      <c r="K5" s="59">
        <f>'SER_se-appl'!K12</f>
        <v>52.992191077030881</v>
      </c>
      <c r="L5" s="59">
        <f>'SER_se-appl'!L12</f>
        <v>53.641198409234022</v>
      </c>
      <c r="M5" s="59">
        <f>'SER_se-appl'!M12</f>
        <v>54.1673005832155</v>
      </c>
      <c r="N5" s="59">
        <f>'SER_se-appl'!N12</f>
        <v>54.512603065221697</v>
      </c>
      <c r="O5" s="59">
        <f>'SER_se-appl'!O12</f>
        <v>54.987613053675581</v>
      </c>
      <c r="P5" s="59">
        <f>'SER_se-appl'!P12</f>
        <v>55.462821101136178</v>
      </c>
      <c r="Q5" s="59">
        <f>'SER_se-appl'!Q12</f>
        <v>56.016737957101775</v>
      </c>
      <c r="R5" s="59">
        <f>'SER_se-appl'!R12</f>
        <v>56.626317588089371</v>
      </c>
      <c r="S5" s="59">
        <f>'SER_se-appl'!S12</f>
        <v>57.324208745614619</v>
      </c>
      <c r="T5" s="59">
        <f>'SER_se-appl'!T12</f>
        <v>57.937470230946353</v>
      </c>
      <c r="U5" s="59">
        <f>'SER_se-appl'!U12</f>
        <v>58.588037401437319</v>
      </c>
      <c r="V5" s="59">
        <f>'SER_se-appl'!V12</f>
        <v>59.293949167825183</v>
      </c>
      <c r="W5" s="59">
        <f>'SER_se-appl'!W12</f>
        <v>59.936433477382401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363.30095556185023</v>
      </c>
      <c r="C6" s="202">
        <f>'SER_se-appl'!C68</f>
        <v>368.03358775561151</v>
      </c>
      <c r="D6" s="202">
        <f>'SER_se-appl'!D68</f>
        <v>374.46089484781112</v>
      </c>
      <c r="E6" s="202">
        <f>'SER_se-appl'!E68</f>
        <v>382.05175742340055</v>
      </c>
      <c r="F6" s="202">
        <f>'SER_se-appl'!F68</f>
        <v>389.60988238544854</v>
      </c>
      <c r="G6" s="202">
        <f>'SER_se-appl'!G68</f>
        <v>397.99150178473991</v>
      </c>
      <c r="H6" s="202">
        <f>'SER_se-appl'!H68</f>
        <v>407.22864976629359</v>
      </c>
      <c r="I6" s="202">
        <f>'SER_se-appl'!I68</f>
        <v>414.23985937992501</v>
      </c>
      <c r="J6" s="202">
        <f>'SER_se-appl'!J68</f>
        <v>422.79832890696554</v>
      </c>
      <c r="K6" s="202">
        <f>'SER_se-appl'!K68</f>
        <v>430.98969022219654</v>
      </c>
      <c r="L6" s="202">
        <f>'SER_se-appl'!L68</f>
        <v>439.83778602512081</v>
      </c>
      <c r="M6" s="202">
        <f>'SER_se-appl'!M68</f>
        <v>448.0862603206096</v>
      </c>
      <c r="N6" s="202">
        <f>'SER_se-appl'!N68</f>
        <v>456.57019836883262</v>
      </c>
      <c r="O6" s="202">
        <f>'SER_se-appl'!O68</f>
        <v>465.66308876448932</v>
      </c>
      <c r="P6" s="202">
        <f>'SER_se-appl'!P68</f>
        <v>474.44213051423992</v>
      </c>
      <c r="Q6" s="202">
        <f>'SER_se-appl'!Q68</f>
        <v>485.36692642891268</v>
      </c>
      <c r="R6" s="202">
        <f>'SER_se-appl'!R68</f>
        <v>497.45435581508411</v>
      </c>
      <c r="S6" s="202">
        <f>'SER_se-appl'!S68</f>
        <v>509.57386172765598</v>
      </c>
      <c r="T6" s="202">
        <f>'SER_se-appl'!T68</f>
        <v>521.55580019330762</v>
      </c>
      <c r="U6" s="202">
        <f>'SER_se-appl'!U68</f>
        <v>533.29727979415225</v>
      </c>
      <c r="V6" s="202">
        <f>'SER_se-appl'!V68</f>
        <v>544.60678273035387</v>
      </c>
      <c r="W6" s="202">
        <f>'SER_se-appl'!W68</f>
        <v>555.32827882041795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58.357984886595389</v>
      </c>
      <c r="C8" s="34">
        <f>'SER_se-appl'!C20</f>
        <v>61.191892210065582</v>
      </c>
      <c r="D8" s="34">
        <f>'SER_se-appl'!D20</f>
        <v>63.196371150373864</v>
      </c>
      <c r="E8" s="34">
        <f>'SER_se-appl'!E20</f>
        <v>65.110534807497814</v>
      </c>
      <c r="F8" s="34">
        <f>'SER_se-appl'!F20</f>
        <v>67.547458341767182</v>
      </c>
      <c r="G8" s="34">
        <f>'SER_se-appl'!G20</f>
        <v>70.349067744617344</v>
      </c>
      <c r="H8" s="34">
        <f>'SER_se-appl'!H20</f>
        <v>73.711670056630467</v>
      </c>
      <c r="I8" s="34">
        <f>'SER_se-appl'!I20</f>
        <v>76.490230296395509</v>
      </c>
      <c r="J8" s="34">
        <f>'SER_se-appl'!J20</f>
        <v>78.951149167569582</v>
      </c>
      <c r="K8" s="34">
        <f>'SER_se-appl'!K20</f>
        <v>80.849536486695385</v>
      </c>
      <c r="L8" s="34">
        <f>'SER_se-appl'!L20</f>
        <v>82.840257813065918</v>
      </c>
      <c r="M8" s="34">
        <f>'SER_se-appl'!M20</f>
        <v>84.737520113394467</v>
      </c>
      <c r="N8" s="34">
        <f>'SER_se-appl'!N20</f>
        <v>86.443962155463637</v>
      </c>
      <c r="O8" s="34">
        <f>'SER_se-appl'!O20</f>
        <v>88.561999199618398</v>
      </c>
      <c r="P8" s="34">
        <f>'SER_se-appl'!P20</f>
        <v>90.886512826749197</v>
      </c>
      <c r="Q8" s="34">
        <f>'SER_se-appl'!Q20</f>
        <v>93.598960642122449</v>
      </c>
      <c r="R8" s="34">
        <f>'SER_se-appl'!R20</f>
        <v>96.512134876585151</v>
      </c>
      <c r="S8" s="34">
        <f>'SER_se-appl'!S20</f>
        <v>99.720403610083025</v>
      </c>
      <c r="T8" s="34">
        <f>'SER_se-appl'!T20</f>
        <v>102.88281627310705</v>
      </c>
      <c r="U8" s="34">
        <f>'SER_se-appl'!U20</f>
        <v>105.9636633735139</v>
      </c>
      <c r="V8" s="34">
        <f>'SER_se-appl'!V20</f>
        <v>108.89724256796877</v>
      </c>
      <c r="W8" s="34">
        <f>'SER_se-appl'!W20</f>
        <v>111.64725990179315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5.3650872935521434</v>
      </c>
      <c r="D9" s="36">
        <f>'SER_se-appl'!D28</f>
        <v>4.6072548401189124</v>
      </c>
      <c r="E9" s="36">
        <f>'SER_se-appl'!E28</f>
        <v>4.5905606200849505</v>
      </c>
      <c r="F9" s="36">
        <f>'SER_se-appl'!F28</f>
        <v>5.1890239759047887</v>
      </c>
      <c r="G9" s="36">
        <f>'SER_se-appl'!G28</f>
        <v>5.6315546410447155</v>
      </c>
      <c r="H9" s="36">
        <f>'SER_se-appl'!H28</f>
        <v>6.2725942331005058</v>
      </c>
      <c r="I9" s="36">
        <f>'SER_se-appl'!I28</f>
        <v>5.7708630117424349</v>
      </c>
      <c r="J9" s="36">
        <f>'SER_se-appl'!J28</f>
        <v>5.5378607053760618</v>
      </c>
      <c r="K9" s="36">
        <f>'SER_se-appl'!K28</f>
        <v>5.062362281728241</v>
      </c>
      <c r="L9" s="36">
        <f>'SER_se-appl'!L28</f>
        <v>5.2441912011338161</v>
      </c>
      <c r="M9" s="36">
        <f>'SER_se-appl'!M28</f>
        <v>5.2427585040297942</v>
      </c>
      <c r="N9" s="36">
        <f>'SER_se-appl'!N28</f>
        <v>5.1465675941134492</v>
      </c>
      <c r="O9" s="36">
        <f>'SER_se-appl'!O28</f>
        <v>5.6554685918979573</v>
      </c>
      <c r="P9" s="36">
        <f>'SER_se-appl'!P28</f>
        <v>5.9620035284900155</v>
      </c>
      <c r="Q9" s="36">
        <f>'SER_se-appl'!Q28</f>
        <v>6.4528262803449934</v>
      </c>
      <c r="R9" s="36">
        <f>'SER_se-appl'!R28</f>
        <v>6.7593515272151876</v>
      </c>
      <c r="S9" s="36">
        <f>'SER_se-appl'!S28</f>
        <v>7.1632374367509186</v>
      </c>
      <c r="T9" s="36">
        <f>'SER_se-appl'!T28</f>
        <v>7.2292500064781393</v>
      </c>
      <c r="U9" s="36">
        <f>'SER_se-appl'!U28</f>
        <v>8.4459343939589928</v>
      </c>
      <c r="V9" s="36">
        <f>'SER_se-appl'!V28</f>
        <v>7.5408340345737912</v>
      </c>
      <c r="W9" s="36">
        <f>'SER_se-appl'!W28</f>
        <v>7.3405779539093317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2.5311799700819506</v>
      </c>
      <c r="D10" s="38">
        <f>'SER_se-appl'!D36</f>
        <v>2.6027758998106378</v>
      </c>
      <c r="E10" s="38">
        <f>'SER_se-appl'!E36</f>
        <v>2.6763969629609932</v>
      </c>
      <c r="F10" s="38">
        <f>'SER_se-appl'!F36</f>
        <v>2.7521004416354202</v>
      </c>
      <c r="G10" s="38">
        <f>'SER_se-appl'!G36</f>
        <v>2.8299452381945542</v>
      </c>
      <c r="H10" s="38">
        <f>'SER_se-appl'!H36</f>
        <v>2.9099919210873821</v>
      </c>
      <c r="I10" s="38">
        <f>'SER_se-appl'!I36</f>
        <v>2.9923027719773927</v>
      </c>
      <c r="J10" s="38">
        <f>'SER_se-appl'!J36</f>
        <v>3.076941834201989</v>
      </c>
      <c r="K10" s="38">
        <f>'SER_se-appl'!K36</f>
        <v>3.1639749626024383</v>
      </c>
      <c r="L10" s="38">
        <f>'SER_se-appl'!L36</f>
        <v>3.2534698747632831</v>
      </c>
      <c r="M10" s="38">
        <f>'SER_se-appl'!M36</f>
        <v>3.345496203701245</v>
      </c>
      <c r="N10" s="38">
        <f>'SER_se-appl'!N36</f>
        <v>3.4401255520442788</v>
      </c>
      <c r="O10" s="38">
        <f>'SER_se-appl'!O36</f>
        <v>3.5374315477431963</v>
      </c>
      <c r="P10" s="38">
        <f>'SER_se-appl'!P36</f>
        <v>3.637489901359217</v>
      </c>
      <c r="Q10" s="38">
        <f>'SER_se-appl'!Q36</f>
        <v>3.7403784649717409</v>
      </c>
      <c r="R10" s="38">
        <f>'SER_se-appl'!R36</f>
        <v>3.8461772927524862</v>
      </c>
      <c r="S10" s="38">
        <f>'SER_se-appl'!S36</f>
        <v>3.9549687032530443</v>
      </c>
      <c r="T10" s="38">
        <f>'SER_se-appl'!T36</f>
        <v>4.066837343454111</v>
      </c>
      <c r="U10" s="38">
        <f>'SER_se-appl'!U36</f>
        <v>5.3650872935521505</v>
      </c>
      <c r="V10" s="38">
        <f>'SER_se-appl'!V36</f>
        <v>4.6072548401189124</v>
      </c>
      <c r="W10" s="38">
        <f>'SER_se-appl'!W36</f>
        <v>4.5905606200849576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8759.9999999999964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8759.9999999999964</v>
      </c>
      <c r="G12" s="205">
        <f>'SER_se-appl'!G44</f>
        <v>8760</v>
      </c>
      <c r="H12" s="205">
        <f>'SER_se-appl'!H44</f>
        <v>8759.9999999999964</v>
      </c>
      <c r="I12" s="205">
        <f>'SER_se-appl'!I44</f>
        <v>8760.0000000000018</v>
      </c>
      <c r="J12" s="205">
        <f>'SER_se-appl'!J44</f>
        <v>8760.0000000000018</v>
      </c>
      <c r="K12" s="205">
        <f>'SER_se-appl'!K44</f>
        <v>8760</v>
      </c>
      <c r="L12" s="205">
        <f>'SER_se-appl'!L44</f>
        <v>8759.9999999999982</v>
      </c>
      <c r="M12" s="205">
        <f>'SER_se-appl'!M44</f>
        <v>8760.0000000000018</v>
      </c>
      <c r="N12" s="205">
        <f>'SER_se-appl'!N44</f>
        <v>8760</v>
      </c>
      <c r="O12" s="205">
        <f>'SER_se-appl'!O44</f>
        <v>8760.0000000000018</v>
      </c>
      <c r="P12" s="205">
        <f>'SER_se-appl'!P44</f>
        <v>8760</v>
      </c>
      <c r="Q12" s="205">
        <f>'SER_se-appl'!Q44</f>
        <v>8759.9999999999982</v>
      </c>
      <c r="R12" s="205">
        <f>'SER_se-appl'!R44</f>
        <v>8759.9999999999982</v>
      </c>
      <c r="S12" s="205">
        <f>'SER_se-appl'!S44</f>
        <v>8759.9999999999964</v>
      </c>
      <c r="T12" s="205">
        <f>'SER_se-appl'!T44</f>
        <v>8759.9999999999982</v>
      </c>
      <c r="U12" s="205">
        <f>'SER_se-appl'!U44</f>
        <v>8760</v>
      </c>
      <c r="V12" s="205">
        <f>'SER_se-appl'!V44</f>
        <v>8759.9999999999964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0.72028600541996735</v>
      </c>
      <c r="C14" s="59">
        <f>'SER_se-appl'!C52</f>
        <v>0.71344972322332656</v>
      </c>
      <c r="D14" s="59">
        <f>'SER_se-appl'!D52</f>
        <v>0.70729266993210449</v>
      </c>
      <c r="E14" s="59">
        <f>'SER_se-appl'!E52</f>
        <v>0.7010235185608753</v>
      </c>
      <c r="F14" s="59">
        <f>'SER_se-appl'!F52</f>
        <v>0.69399576838029542</v>
      </c>
      <c r="G14" s="59">
        <f>'SER_se-appl'!G52</f>
        <v>0.68638037933150875</v>
      </c>
      <c r="H14" s="59">
        <f>'SER_se-appl'!H52</f>
        <v>0.67809801148944782</v>
      </c>
      <c r="I14" s="59">
        <f>'SER_se-appl'!I52</f>
        <v>0.67040306345418144</v>
      </c>
      <c r="J14" s="59">
        <f>'SER_se-appl'!J52</f>
        <v>0.66281060207384423</v>
      </c>
      <c r="K14" s="59">
        <f>'SER_se-appl'!K52</f>
        <v>0.65544211358281923</v>
      </c>
      <c r="L14" s="59">
        <f>'SER_se-appl'!L52</f>
        <v>0.64752572994495805</v>
      </c>
      <c r="M14" s="59">
        <f>'SER_se-appl'!M52</f>
        <v>0.6392363207081071</v>
      </c>
      <c r="N14" s="59">
        <f>'SER_se-appl'!N52</f>
        <v>0.63061203704643309</v>
      </c>
      <c r="O14" s="59">
        <f>'SER_se-appl'!O52</f>
        <v>0.62089399009312918</v>
      </c>
      <c r="P14" s="59">
        <f>'SER_se-appl'!P52</f>
        <v>0.61024259129471936</v>
      </c>
      <c r="Q14" s="59">
        <f>'SER_se-appl'!Q52</f>
        <v>0.5984760682469854</v>
      </c>
      <c r="R14" s="59">
        <f>'SER_se-appl'!R52</f>
        <v>0.58672743754451451</v>
      </c>
      <c r="S14" s="59">
        <f>'SER_se-appl'!S52</f>
        <v>0.5748493454735516</v>
      </c>
      <c r="T14" s="59">
        <f>'SER_se-appl'!T52</f>
        <v>0.56314039923974024</v>
      </c>
      <c r="U14" s="59">
        <f>'SER_se-appl'!U52</f>
        <v>0.55290686954563772</v>
      </c>
      <c r="V14" s="59">
        <f>'SER_se-appl'!V52</f>
        <v>0.54449449563258279</v>
      </c>
      <c r="W14" s="59">
        <f>'SER_se-appl'!W52</f>
        <v>0.53683747841284701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0.64231429304966137</v>
      </c>
      <c r="D15" s="63">
        <f>'SER_se-appl'!D60</f>
        <v>0.63285723869095434</v>
      </c>
      <c r="E15" s="63">
        <f>'SER_se-appl'!E60</f>
        <v>0.6259491248109158</v>
      </c>
      <c r="F15" s="63">
        <f>'SER_se-appl'!F60</f>
        <v>0.61975691314041315</v>
      </c>
      <c r="G15" s="63">
        <f>'SER_se-appl'!G60</f>
        <v>0.61207601115892263</v>
      </c>
      <c r="H15" s="63">
        <f>'SER_se-appl'!H60</f>
        <v>0.60478063787783165</v>
      </c>
      <c r="I15" s="63">
        <f>'SER_se-appl'!I60</f>
        <v>0.59798016859262593</v>
      </c>
      <c r="J15" s="63">
        <f>'SER_se-appl'!J60</f>
        <v>0.58987618425559585</v>
      </c>
      <c r="K15" s="63">
        <f>'SER_se-appl'!K60</f>
        <v>0.58105269560235795</v>
      </c>
      <c r="L15" s="63">
        <f>'SER_se-appl'!L60</f>
        <v>0.57061919317579501</v>
      </c>
      <c r="M15" s="63">
        <f>'SER_se-appl'!M60</f>
        <v>0.55997549161124638</v>
      </c>
      <c r="N15" s="63">
        <f>'SER_se-appl'!N60</f>
        <v>0.54855526958597178</v>
      </c>
      <c r="O15" s="63">
        <f>'SER_se-appl'!O60</f>
        <v>0.53452200791197579</v>
      </c>
      <c r="P15" s="63">
        <f>'SER_se-appl'!P60</f>
        <v>0.51916123556035831</v>
      </c>
      <c r="Q15" s="63">
        <f>'SER_se-appl'!Q60</f>
        <v>0.50335449586678127</v>
      </c>
      <c r="R15" s="63">
        <f>'SER_se-appl'!R60</f>
        <v>0.50003721447429783</v>
      </c>
      <c r="S15" s="63">
        <f>'SER_se-appl'!S60</f>
        <v>0.49511129536996479</v>
      </c>
      <c r="T15" s="63">
        <f>'SER_se-appl'!T60</f>
        <v>0.490029741254842</v>
      </c>
      <c r="U15" s="63">
        <f>'SER_se-appl'!U60</f>
        <v>0.48504277105547666</v>
      </c>
      <c r="V15" s="63">
        <f>'SER_se-appl'!V60</f>
        <v>0.48027132354938978</v>
      </c>
      <c r="W15" s="63">
        <f>'SER_se-appl'!W60</f>
        <v>0.4789734179198229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95.7587381952752</v>
      </c>
      <c r="C3" s="199">
        <f>'SER_se-appl'!C5</f>
        <v>97.111646700514356</v>
      </c>
      <c r="D3" s="199">
        <f>'SER_se-appl'!D5</f>
        <v>98.2796913285394</v>
      </c>
      <c r="E3" s="199">
        <f>'SER_se-appl'!E5</f>
        <v>99.316264090008829</v>
      </c>
      <c r="F3" s="199">
        <f>'SER_se-appl'!F5</f>
        <v>99.67507814313835</v>
      </c>
      <c r="G3" s="199">
        <f>'SER_se-appl'!G5</f>
        <v>100.13242275360084</v>
      </c>
      <c r="H3" s="199">
        <f>'SER_se-appl'!H5</f>
        <v>100.19490690193295</v>
      </c>
      <c r="I3" s="199">
        <f>'SER_se-appl'!I5</f>
        <v>100.38796087893587</v>
      </c>
      <c r="J3" s="199">
        <f>'SER_se-appl'!J5</f>
        <v>101.14848281438535</v>
      </c>
      <c r="K3" s="199">
        <f>'SER_se-appl'!K5</f>
        <v>101.71714202535908</v>
      </c>
      <c r="L3" s="199">
        <f>'SER_se-appl'!L5</f>
        <v>102.8340144131239</v>
      </c>
      <c r="M3" s="199">
        <f>'SER_se-appl'!M5</f>
        <v>104.0565947451902</v>
      </c>
      <c r="N3" s="199">
        <f>'SER_se-appl'!N5</f>
        <v>105.04530726588744</v>
      </c>
      <c r="O3" s="199">
        <f>'SER_se-appl'!O5</f>
        <v>105.97232296645552</v>
      </c>
      <c r="P3" s="199">
        <f>'SER_se-appl'!P5</f>
        <v>107.07372359824002</v>
      </c>
      <c r="Q3" s="199">
        <f>'SER_se-appl'!Q5</f>
        <v>108.8463301172312</v>
      </c>
      <c r="R3" s="199">
        <f>'SER_se-appl'!R5</f>
        <v>105.87815688986811</v>
      </c>
      <c r="S3" s="199">
        <f>'SER_se-appl'!S5</f>
        <v>104.77408335229119</v>
      </c>
      <c r="T3" s="199">
        <f>'SER_se-appl'!T5</f>
        <v>101.41997411872093</v>
      </c>
      <c r="U3" s="199">
        <f>'SER_se-appl'!U5</f>
        <v>97.571919994541005</v>
      </c>
      <c r="V3" s="199">
        <f>'SER_se-appl'!V5</f>
        <v>93.520423157839559</v>
      </c>
      <c r="W3" s="199">
        <f>'SER_se-appl'!W5</f>
        <v>89.644756237120802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294.01618491340139</v>
      </c>
      <c r="C5" s="59">
        <f>'SER_se-appl'!C13</f>
        <v>298.01007112785737</v>
      </c>
      <c r="D5" s="59">
        <f>'SER_se-appl'!D13</f>
        <v>301.28210082905883</v>
      </c>
      <c r="E5" s="59">
        <f>'SER_se-appl'!E13</f>
        <v>304.3391069004067</v>
      </c>
      <c r="F5" s="59">
        <f>'SER_se-appl'!F13</f>
        <v>305.26525267573248</v>
      </c>
      <c r="G5" s="59">
        <f>'SER_se-appl'!G13</f>
        <v>306.51468341139361</v>
      </c>
      <c r="H5" s="59">
        <f>'SER_se-appl'!H13</f>
        <v>306.67975631711118</v>
      </c>
      <c r="I5" s="59">
        <f>'SER_se-appl'!I13</f>
        <v>307.27014133584703</v>
      </c>
      <c r="J5" s="59">
        <f>'SER_se-appl'!J13</f>
        <v>310.03354359679975</v>
      </c>
      <c r="K5" s="59">
        <f>'SER_se-appl'!K13</f>
        <v>312.01598855524128</v>
      </c>
      <c r="L5" s="59">
        <f>'SER_se-appl'!L13</f>
        <v>315.86998607544791</v>
      </c>
      <c r="M5" s="59">
        <f>'SER_se-appl'!M13</f>
        <v>320.2641743845432</v>
      </c>
      <c r="N5" s="59">
        <f>'SER_se-appl'!N13</f>
        <v>324.40447957092829</v>
      </c>
      <c r="O5" s="59">
        <f>'SER_se-appl'!O13</f>
        <v>329.58383662612158</v>
      </c>
      <c r="P5" s="59">
        <f>'SER_se-appl'!P13</f>
        <v>335.56710695444389</v>
      </c>
      <c r="Q5" s="59">
        <f>'SER_se-appl'!Q13</f>
        <v>343.07028826995389</v>
      </c>
      <c r="R5" s="59">
        <f>'SER_se-appl'!R13</f>
        <v>338.62981442022658</v>
      </c>
      <c r="S5" s="59">
        <f>'SER_se-appl'!S13</f>
        <v>332.23148277725875</v>
      </c>
      <c r="T5" s="59">
        <f>'SER_se-appl'!T13</f>
        <v>324.46541633829742</v>
      </c>
      <c r="U5" s="59">
        <f>'SER_se-appl'!U13</f>
        <v>314.52299410124607</v>
      </c>
      <c r="V5" s="59">
        <f>'SER_se-appl'!V13</f>
        <v>302.43483010315452</v>
      </c>
      <c r="W5" s="59">
        <f>'SER_se-appl'!W13</f>
        <v>289.28746751365702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0.14625572899943534</v>
      </c>
      <c r="C6" s="202">
        <f>'SER_se-appl'!C69</f>
        <v>0.14831317364513952</v>
      </c>
      <c r="D6" s="202">
        <f>'SER_se-appl'!D69</f>
        <v>0.15051910079031244</v>
      </c>
      <c r="E6" s="202">
        <f>'SER_se-appl'!E69</f>
        <v>0.1532356659845395</v>
      </c>
      <c r="F6" s="202">
        <f>'SER_se-appl'!F69</f>
        <v>0.15560630074099147</v>
      </c>
      <c r="G6" s="202">
        <f>'SER_se-appl'!G69</f>
        <v>0.15878394557077108</v>
      </c>
      <c r="H6" s="202">
        <f>'SER_se-appl'!H69</f>
        <v>0.16195825411754286</v>
      </c>
      <c r="I6" s="202">
        <f>'SER_se-appl'!I69</f>
        <v>0.16591680393450195</v>
      </c>
      <c r="J6" s="202">
        <f>'SER_se-appl'!J69</f>
        <v>0.16978130459811783</v>
      </c>
      <c r="K6" s="202">
        <f>'SER_se-appl'!K69</f>
        <v>0.17372754331732709</v>
      </c>
      <c r="L6" s="202">
        <f>'SER_se-appl'!L69</f>
        <v>0.1790677923568261</v>
      </c>
      <c r="M6" s="202">
        <f>'SER_se-appl'!M69</f>
        <v>0.1852496415121328</v>
      </c>
      <c r="N6" s="202">
        <f>'SER_se-appl'!N69</f>
        <v>0.19243320079745213</v>
      </c>
      <c r="O6" s="202">
        <f>'SER_se-appl'!O69</f>
        <v>0.20165141363361497</v>
      </c>
      <c r="P6" s="202">
        <f>'SER_se-appl'!P69</f>
        <v>0.213058260378168</v>
      </c>
      <c r="Q6" s="202">
        <f>'SER_se-appl'!Q69</f>
        <v>0.22669382763420245</v>
      </c>
      <c r="R6" s="202">
        <f>'SER_se-appl'!R69</f>
        <v>0.23230523146548504</v>
      </c>
      <c r="S6" s="202">
        <f>'SER_se-appl'!S69</f>
        <v>0.23794899730870744</v>
      </c>
      <c r="T6" s="202">
        <f>'SER_se-appl'!T69</f>
        <v>0.24311709835210088</v>
      </c>
      <c r="U6" s="202">
        <f>'SER_se-appl'!U69</f>
        <v>0.24772940951632638</v>
      </c>
      <c r="V6" s="202">
        <f>'SER_se-appl'!V69</f>
        <v>0.25088422111454972</v>
      </c>
      <c r="W6" s="202">
        <f>'SER_se-appl'!W69</f>
        <v>0.25348334815199802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1498.9781841412507</v>
      </c>
      <c r="C8" s="34">
        <f>'SER_se-appl'!C21</f>
        <v>1532.1898781506925</v>
      </c>
      <c r="D8" s="34">
        <f>'SER_se-appl'!D21</f>
        <v>1564.5962308929363</v>
      </c>
      <c r="E8" s="34">
        <f>'SER_se-appl'!E21</f>
        <v>1600.4840110567934</v>
      </c>
      <c r="F8" s="34">
        <f>'SER_se-appl'!F21</f>
        <v>1629.6725679754404</v>
      </c>
      <c r="G8" s="34">
        <f>'SER_se-appl'!G21</f>
        <v>1666.3854276310954</v>
      </c>
      <c r="H8" s="34">
        <f>'SER_se-appl'!H21</f>
        <v>1702.503223784561</v>
      </c>
      <c r="I8" s="34">
        <f>'SER_se-appl'!I21</f>
        <v>1747.533338118888</v>
      </c>
      <c r="J8" s="34">
        <f>'SER_se-appl'!J21</f>
        <v>1791.759663286196</v>
      </c>
      <c r="K8" s="34">
        <f>'SER_se-appl'!K21</f>
        <v>1835.0864722465326</v>
      </c>
      <c r="L8" s="34">
        <f>'SER_se-appl'!L21</f>
        <v>1893.3695420612614</v>
      </c>
      <c r="M8" s="34">
        <f>'SER_se-appl'!M21</f>
        <v>1958.5927750577982</v>
      </c>
      <c r="N8" s="34">
        <f>'SER_se-appl'!N21</f>
        <v>2028.7073912206577</v>
      </c>
      <c r="O8" s="34">
        <f>'SER_se-appl'!O21</f>
        <v>2114.7766520342602</v>
      </c>
      <c r="P8" s="34">
        <f>'SER_se-appl'!P21</f>
        <v>2221.6226114995316</v>
      </c>
      <c r="Q8" s="34">
        <f>'SER_se-appl'!Q21</f>
        <v>2351.9081102035316</v>
      </c>
      <c r="R8" s="34">
        <f>'SER_se-appl'!R21</f>
        <v>2402.3450593109642</v>
      </c>
      <c r="S8" s="34">
        <f>'SER_se-appl'!S21</f>
        <v>2453.152558030923</v>
      </c>
      <c r="T8" s="34">
        <f>'SER_se-appl'!T21</f>
        <v>2501.9246233031258</v>
      </c>
      <c r="U8" s="34">
        <f>'SER_se-appl'!U21</f>
        <v>2545.8202612354416</v>
      </c>
      <c r="V8" s="34">
        <f>'SER_se-appl'!V21</f>
        <v>2583.0811101312825</v>
      </c>
      <c r="W8" s="34">
        <f>'SER_se-appl'!W21</f>
        <v>2610.4353970730099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221.25015723899128</v>
      </c>
      <c r="D9" s="36">
        <f>'SER_se-appl'!D29</f>
        <v>228.5389093409508</v>
      </c>
      <c r="E9" s="36">
        <f>'SER_se-appl'!E29</f>
        <v>240.46283942173272</v>
      </c>
      <c r="F9" s="36">
        <f>'SER_se-appl'!F29</f>
        <v>242.5695253623087</v>
      </c>
      <c r="G9" s="36">
        <f>'SER_se-appl'!G29</f>
        <v>259.27878660259807</v>
      </c>
      <c r="H9" s="36">
        <f>'SER_se-appl'!H29</f>
        <v>268.26404705414393</v>
      </c>
      <c r="I9" s="36">
        <f>'SER_se-appl'!I29</f>
        <v>287.1690730981627</v>
      </c>
      <c r="J9" s="36">
        <f>'SER_se-appl'!J29</f>
        <v>265.47648240629928</v>
      </c>
      <c r="K9" s="36">
        <f>'SER_se-appl'!K29</f>
        <v>271.86571830128742</v>
      </c>
      <c r="L9" s="36">
        <f>'SER_se-appl'!L29</f>
        <v>298.74590923646156</v>
      </c>
      <c r="M9" s="36">
        <f>'SER_se-appl'!M29</f>
        <v>307.7927583588455</v>
      </c>
      <c r="N9" s="36">
        <f>'SER_se-appl'!N29</f>
        <v>329.39340276545749</v>
      </c>
      <c r="O9" s="36">
        <f>'SER_se-appl'!O29</f>
        <v>354.3333078677465</v>
      </c>
      <c r="P9" s="36">
        <f>'SER_se-appl'!P29</f>
        <v>394.01503256343403</v>
      </c>
      <c r="Q9" s="36">
        <f>'SER_se-appl'!Q29</f>
        <v>395.7619811102993</v>
      </c>
      <c r="R9" s="36">
        <f>'SER_se-appl'!R29</f>
        <v>322.30266740872003</v>
      </c>
      <c r="S9" s="36">
        <f>'SER_se-appl'!S29</f>
        <v>349.55340795642041</v>
      </c>
      <c r="T9" s="36">
        <f>'SER_se-appl'!T29</f>
        <v>356.56482363104851</v>
      </c>
      <c r="U9" s="36">
        <f>'SER_se-appl'!U29</f>
        <v>373.28904069777309</v>
      </c>
      <c r="V9" s="36">
        <f>'SER_se-appl'!V29</f>
        <v>391.59415676358731</v>
      </c>
      <c r="W9" s="36">
        <f>'SER_se-appl'!W29</f>
        <v>421.36931950516146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188.03846322954951</v>
      </c>
      <c r="D10" s="38">
        <f>'SER_se-appl'!D37</f>
        <v>196.13255659870697</v>
      </c>
      <c r="E10" s="38">
        <f>'SER_se-appl'!E37</f>
        <v>204.57505925787564</v>
      </c>
      <c r="F10" s="38">
        <f>'SER_se-appl'!F37</f>
        <v>213.38096844366169</v>
      </c>
      <c r="G10" s="38">
        <f>'SER_se-appl'!G37</f>
        <v>222.56592694694314</v>
      </c>
      <c r="H10" s="38">
        <f>'SER_se-appl'!H37</f>
        <v>232.1462509006783</v>
      </c>
      <c r="I10" s="38">
        <f>'SER_se-appl'!I37</f>
        <v>242.13895876383572</v>
      </c>
      <c r="J10" s="38">
        <f>'SER_se-appl'!J37</f>
        <v>221.25015723899128</v>
      </c>
      <c r="K10" s="38">
        <f>'SER_se-appl'!K37</f>
        <v>228.5389093409508</v>
      </c>
      <c r="L10" s="38">
        <f>'SER_se-appl'!L37</f>
        <v>240.46283942173272</v>
      </c>
      <c r="M10" s="38">
        <f>'SER_se-appl'!M37</f>
        <v>242.5695253623087</v>
      </c>
      <c r="N10" s="38">
        <f>'SER_se-appl'!N37</f>
        <v>259.27878660259807</v>
      </c>
      <c r="O10" s="38">
        <f>'SER_se-appl'!O37</f>
        <v>268.2640470541437</v>
      </c>
      <c r="P10" s="38">
        <f>'SER_se-appl'!P37</f>
        <v>287.1690730981627</v>
      </c>
      <c r="Q10" s="38">
        <f>'SER_se-appl'!Q37</f>
        <v>265.47648240629951</v>
      </c>
      <c r="R10" s="38">
        <f>'SER_se-appl'!R37</f>
        <v>271.86571830128742</v>
      </c>
      <c r="S10" s="38">
        <f>'SER_se-appl'!S37</f>
        <v>298.74590923646156</v>
      </c>
      <c r="T10" s="38">
        <f>'SER_se-appl'!T37</f>
        <v>307.79275835884573</v>
      </c>
      <c r="U10" s="38">
        <f>'SER_se-appl'!U37</f>
        <v>329.39340276545727</v>
      </c>
      <c r="V10" s="38">
        <f>'SER_se-appl'!V37</f>
        <v>354.3333078677465</v>
      </c>
      <c r="W10" s="38">
        <f>'SER_se-appl'!W37</f>
        <v>394.01503256343403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3787.7987075407723</v>
      </c>
      <c r="C12" s="205">
        <f>'SER_se-appl'!C45</f>
        <v>3789.8331652101247</v>
      </c>
      <c r="D12" s="205">
        <f>'SER_se-appl'!D45</f>
        <v>3793.762745963536</v>
      </c>
      <c r="E12" s="205">
        <f>'SER_se-appl'!E45</f>
        <v>3795.2669413096023</v>
      </c>
      <c r="F12" s="205">
        <f>'SER_se-appl'!F45</f>
        <v>3797.4225649457712</v>
      </c>
      <c r="G12" s="205">
        <f>'SER_se-appl'!G45</f>
        <v>3799.2962153182443</v>
      </c>
      <c r="H12" s="205">
        <f>'SER_se-appl'!H45</f>
        <v>3799.620755093395</v>
      </c>
      <c r="I12" s="205">
        <f>'SER_se-appl'!I45</f>
        <v>3799.6271943193165</v>
      </c>
      <c r="J12" s="205">
        <f>'SER_se-appl'!J45</f>
        <v>3794.2889710706913</v>
      </c>
      <c r="K12" s="205">
        <f>'SER_se-appl'!K45</f>
        <v>3791.3773817571068</v>
      </c>
      <c r="L12" s="205">
        <f>'SER_se-appl'!L45</f>
        <v>3786.2400365540493</v>
      </c>
      <c r="M12" s="205">
        <f>'SER_se-appl'!M45</f>
        <v>3778.687388972497</v>
      </c>
      <c r="N12" s="205">
        <f>'SER_se-appl'!N45</f>
        <v>3765.9064545536335</v>
      </c>
      <c r="O12" s="205">
        <f>'SER_se-appl'!O45</f>
        <v>3739.4373726463191</v>
      </c>
      <c r="P12" s="205">
        <f>'SER_se-appl'!P45</f>
        <v>3710.9340565271409</v>
      </c>
      <c r="Q12" s="205">
        <f>'SER_se-appl'!Q45</f>
        <v>3689.8643296889227</v>
      </c>
      <c r="R12" s="205">
        <f>'SER_se-appl'!R45</f>
        <v>3636.3099532077586</v>
      </c>
      <c r="S12" s="205">
        <f>'SER_se-appl'!S45</f>
        <v>3667.6915119573205</v>
      </c>
      <c r="T12" s="205">
        <f>'SER_se-appl'!T45</f>
        <v>3635.2542970894847</v>
      </c>
      <c r="U12" s="205">
        <f>'SER_se-appl'!U45</f>
        <v>3607.8806663376358</v>
      </c>
      <c r="V12" s="205">
        <f>'SER_se-appl'!V45</f>
        <v>3596.2872429564441</v>
      </c>
      <c r="W12" s="205">
        <f>'SER_se-appl'!W45</f>
        <v>3603.9187041121863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196.14440558508878</v>
      </c>
      <c r="C14" s="59">
        <f>'SER_se-appl'!C53</f>
        <v>194.49943859931162</v>
      </c>
      <c r="D14" s="59">
        <f>'SER_se-appl'!D53</f>
        <v>192.56220543054297</v>
      </c>
      <c r="E14" s="59">
        <f>'SER_se-appl'!E53</f>
        <v>190.1544187870098</v>
      </c>
      <c r="F14" s="59">
        <f>'SER_se-appl'!F53</f>
        <v>187.31692407080689</v>
      </c>
      <c r="G14" s="59">
        <f>'SER_se-appl'!G53</f>
        <v>183.93984868622476</v>
      </c>
      <c r="H14" s="59">
        <f>'SER_se-appl'!H53</f>
        <v>180.13461121993106</v>
      </c>
      <c r="I14" s="59">
        <f>'SER_se-appl'!I53</f>
        <v>175.8307750893064</v>
      </c>
      <c r="J14" s="59">
        <f>'SER_se-appl'!J53</f>
        <v>173.03299652821707</v>
      </c>
      <c r="K14" s="59">
        <f>'SER_se-appl'!K53</f>
        <v>170.02794869566443</v>
      </c>
      <c r="L14" s="59">
        <f>'SER_se-appl'!L53</f>
        <v>166.82954862132652</v>
      </c>
      <c r="M14" s="59">
        <f>'SER_se-appl'!M53</f>
        <v>163.51748993615692</v>
      </c>
      <c r="N14" s="59">
        <f>'SER_se-appl'!N53</f>
        <v>159.90698361666469</v>
      </c>
      <c r="O14" s="59">
        <f>'SER_se-appl'!O53</f>
        <v>155.84805908892841</v>
      </c>
      <c r="P14" s="59">
        <f>'SER_se-appl'!P53</f>
        <v>151.04595407765757</v>
      </c>
      <c r="Q14" s="59">
        <f>'SER_se-appl'!Q53</f>
        <v>145.8689167240743</v>
      </c>
      <c r="R14" s="59">
        <f>'SER_se-appl'!R53</f>
        <v>140.95802478822574</v>
      </c>
      <c r="S14" s="59">
        <f>'SER_se-appl'!S53</f>
        <v>135.43042061922625</v>
      </c>
      <c r="T14" s="59">
        <f>'SER_se-appl'!T53</f>
        <v>129.68632760403756</v>
      </c>
      <c r="U14" s="59">
        <f>'SER_se-appl'!U53</f>
        <v>123.54485463502974</v>
      </c>
      <c r="V14" s="59">
        <f>'SER_se-appl'!V53</f>
        <v>117.08297850847725</v>
      </c>
      <c r="W14" s="59">
        <f>'SER_se-appl'!W53</f>
        <v>110.81962336169092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184.75276728321282</v>
      </c>
      <c r="D15" s="63">
        <f>'SER_se-appl'!D61</f>
        <v>182.6486944893239</v>
      </c>
      <c r="E15" s="63">
        <f>'SER_se-appl'!E61</f>
        <v>179.58392062102303</v>
      </c>
      <c r="F15" s="63">
        <f>'SER_se-appl'!F61</f>
        <v>176.36027827478091</v>
      </c>
      <c r="G15" s="63">
        <f>'SER_se-appl'!G61</f>
        <v>173.18999663859751</v>
      </c>
      <c r="H15" s="63">
        <f>'SER_se-appl'!H61</f>
        <v>170.35179256881372</v>
      </c>
      <c r="I15" s="63">
        <f>'SER_se-appl'!I61</f>
        <v>167.44347375465449</v>
      </c>
      <c r="J15" s="63">
        <f>'SER_se-appl'!J61</f>
        <v>164.38360444264643</v>
      </c>
      <c r="K15" s="63">
        <f>'SER_se-appl'!K61</f>
        <v>160.83226183421723</v>
      </c>
      <c r="L15" s="63">
        <f>'SER_se-appl'!L61</f>
        <v>157.44904125195649</v>
      </c>
      <c r="M15" s="63">
        <f>'SER_se-appl'!M61</f>
        <v>153.26487066981329</v>
      </c>
      <c r="N15" s="63">
        <f>'SER_se-appl'!N61</f>
        <v>148.89429161236345</v>
      </c>
      <c r="O15" s="63">
        <f>'SER_se-appl'!O61</f>
        <v>143.58971404297552</v>
      </c>
      <c r="P15" s="63">
        <f>'SER_se-appl'!P61</f>
        <v>137.22282911649674</v>
      </c>
      <c r="Q15" s="63">
        <f>'SER_se-appl'!Q61</f>
        <v>129.22707291067096</v>
      </c>
      <c r="R15" s="63">
        <f>'SER_se-appl'!R61</f>
        <v>121.88637734740009</v>
      </c>
      <c r="S15" s="63">
        <f>'SER_se-appl'!S61</f>
        <v>116.25955982475691</v>
      </c>
      <c r="T15" s="63">
        <f>'SER_se-appl'!T61</f>
        <v>110.52057929525031</v>
      </c>
      <c r="U15" s="63">
        <f>'SER_se-appl'!U61</f>
        <v>104.7509325652984</v>
      </c>
      <c r="V15" s="63">
        <f>'SER_se-appl'!V61</f>
        <v>99.057796661553112</v>
      </c>
      <c r="W15" s="63">
        <f>'SER_se-appl'!W61</f>
        <v>97.113133299170471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229.16556383596435</v>
      </c>
      <c r="C3" s="199">
        <f>'SER_se-appl'!C6</f>
        <v>237.78321934457307</v>
      </c>
      <c r="D3" s="199">
        <f>'SER_se-appl'!D6</f>
        <v>241.14775570722659</v>
      </c>
      <c r="E3" s="199">
        <f>'SER_se-appl'!E6</f>
        <v>243.41434061389967</v>
      </c>
      <c r="F3" s="199">
        <f>'SER_se-appl'!F6</f>
        <v>247.38881794042919</v>
      </c>
      <c r="G3" s="199">
        <f>'SER_se-appl'!G6</f>
        <v>250.60900593669248</v>
      </c>
      <c r="H3" s="199">
        <f>'SER_se-appl'!H6</f>
        <v>254.45113536413132</v>
      </c>
      <c r="I3" s="199">
        <f>'SER_se-appl'!I6</f>
        <v>258.3823927075361</v>
      </c>
      <c r="J3" s="199">
        <f>'SER_se-appl'!J6</f>
        <v>262.04844862817203</v>
      </c>
      <c r="K3" s="199">
        <f>'SER_se-appl'!K6</f>
        <v>263.32526109363897</v>
      </c>
      <c r="L3" s="199">
        <f>'SER_se-appl'!L6</f>
        <v>265.00910087331727</v>
      </c>
      <c r="M3" s="199">
        <f>'SER_se-appl'!M6</f>
        <v>268.08870467524292</v>
      </c>
      <c r="N3" s="199">
        <f>'SER_se-appl'!N6</f>
        <v>270.90535528030546</v>
      </c>
      <c r="O3" s="199">
        <f>'SER_se-appl'!O6</f>
        <v>273.29610520335638</v>
      </c>
      <c r="P3" s="199">
        <f>'SER_se-appl'!P6</f>
        <v>275.43638617996226</v>
      </c>
      <c r="Q3" s="199">
        <f>'SER_se-appl'!Q6</f>
        <v>277.6730281106224</v>
      </c>
      <c r="R3" s="199">
        <f>'SER_se-appl'!R6</f>
        <v>266.69686123608733</v>
      </c>
      <c r="S3" s="199">
        <f>'SER_se-appl'!S6</f>
        <v>263.42270314151637</v>
      </c>
      <c r="T3" s="199">
        <f>'SER_se-appl'!T6</f>
        <v>247.62011548550916</v>
      </c>
      <c r="U3" s="199">
        <f>'SER_se-appl'!U6</f>
        <v>229.98418120062939</v>
      </c>
      <c r="V3" s="199">
        <f>'SER_se-appl'!V6</f>
        <v>196.99278089256916</v>
      </c>
      <c r="W3" s="199">
        <f>'SER_se-appl'!W6</f>
        <v>179.82944955297751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1173.9160866868215</v>
      </c>
      <c r="C5" s="59">
        <f>'SER_se-appl'!C14</f>
        <v>1209.5999810736407</v>
      </c>
      <c r="D5" s="59">
        <f>'SER_se-appl'!D14</f>
        <v>1220.5482041704811</v>
      </c>
      <c r="E5" s="59">
        <f>'SER_se-appl'!E14</f>
        <v>1228.1056000740989</v>
      </c>
      <c r="F5" s="59">
        <f>'SER_se-appl'!F14</f>
        <v>1241.4466973305559</v>
      </c>
      <c r="G5" s="59">
        <f>'SER_se-appl'!G14</f>
        <v>1251.5963668976963</v>
      </c>
      <c r="H5" s="59">
        <f>'SER_se-appl'!H14</f>
        <v>1264.1990151510081</v>
      </c>
      <c r="I5" s="59">
        <f>'SER_se-appl'!I14</f>
        <v>1277.9093447231749</v>
      </c>
      <c r="J5" s="59">
        <f>'SER_se-appl'!J14</f>
        <v>1291.633074413804</v>
      </c>
      <c r="K5" s="59">
        <f>'SER_se-appl'!K14</f>
        <v>1294.999253852151</v>
      </c>
      <c r="L5" s="59">
        <f>'SER_se-appl'!L14</f>
        <v>1300.3298651692387</v>
      </c>
      <c r="M5" s="59">
        <f>'SER_se-appl'!M14</f>
        <v>1313.3909226027572</v>
      </c>
      <c r="N5" s="59">
        <f>'SER_se-appl'!N14</f>
        <v>1324.7615996000955</v>
      </c>
      <c r="O5" s="59">
        <f>'SER_se-appl'!O14</f>
        <v>1332.5104995090715</v>
      </c>
      <c r="P5" s="59">
        <f>'SER_se-appl'!P14</f>
        <v>1337.5293179509458</v>
      </c>
      <c r="Q5" s="59">
        <f>'SER_se-appl'!Q14</f>
        <v>1344.9259972870436</v>
      </c>
      <c r="R5" s="59">
        <f>'SER_se-appl'!R14</f>
        <v>1309.92382956249</v>
      </c>
      <c r="S5" s="59">
        <f>'SER_se-appl'!S14</f>
        <v>1267.8098486132194</v>
      </c>
      <c r="T5" s="59">
        <f>'SER_se-appl'!T14</f>
        <v>1208.6376051365739</v>
      </c>
      <c r="U5" s="59">
        <f>'SER_se-appl'!U14</f>
        <v>1133.6961220979415</v>
      </c>
      <c r="V5" s="59">
        <f>'SER_se-appl'!V14</f>
        <v>1061.8246348500754</v>
      </c>
      <c r="W5" s="59">
        <f>'SER_se-appl'!W14</f>
        <v>990.56652500719429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161.66647842160086</v>
      </c>
      <c r="C6" s="202">
        <f>'SER_se-appl'!C70</f>
        <v>163.00613554481797</v>
      </c>
      <c r="D6" s="202">
        <f>'SER_se-appl'!D70</f>
        <v>164.91013777728082</v>
      </c>
      <c r="E6" s="202">
        <f>'SER_se-appl'!E70</f>
        <v>167.79371197159907</v>
      </c>
      <c r="F6" s="202">
        <f>'SER_se-appl'!F70</f>
        <v>171.04974714055083</v>
      </c>
      <c r="G6" s="202">
        <f>'SER_se-appl'!G70</f>
        <v>174.43809483142681</v>
      </c>
      <c r="H6" s="202">
        <f>'SER_se-appl'!H70</f>
        <v>177.86949744173012</v>
      </c>
      <c r="I6" s="202">
        <f>'SER_se-appl'!I70</f>
        <v>181.2019417148467</v>
      </c>
      <c r="J6" s="202">
        <f>'SER_se-appl'!J70</f>
        <v>185.37409105594864</v>
      </c>
      <c r="K6" s="202">
        <f>'SER_se-appl'!K70</f>
        <v>189.81444936855735</v>
      </c>
      <c r="L6" s="202">
        <f>'SER_se-appl'!L70</f>
        <v>195.13574119853553</v>
      </c>
      <c r="M6" s="202">
        <f>'SER_se-appl'!M70</f>
        <v>202.01117995457349</v>
      </c>
      <c r="N6" s="202">
        <f>'SER_se-appl'!N70</f>
        <v>211.12158285895282</v>
      </c>
      <c r="O6" s="202">
        <f>'SER_se-appl'!O70</f>
        <v>221.13816967942518</v>
      </c>
      <c r="P6" s="202">
        <f>'SER_se-appl'!P70</f>
        <v>231.88561963070219</v>
      </c>
      <c r="Q6" s="202">
        <f>'SER_se-appl'!Q70</f>
        <v>245.21881540810875</v>
      </c>
      <c r="R6" s="202">
        <f>'SER_se-appl'!R70</f>
        <v>252.39640039624666</v>
      </c>
      <c r="S6" s="202">
        <f>'SER_se-appl'!S70</f>
        <v>259.68439765674867</v>
      </c>
      <c r="T6" s="202">
        <f>'SER_se-appl'!T70</f>
        <v>266.60956948955828</v>
      </c>
      <c r="U6" s="202">
        <f>'SER_se-appl'!U70</f>
        <v>272.88250620965846</v>
      </c>
      <c r="V6" s="202">
        <f>'SER_se-appl'!V70</f>
        <v>277.96385745626122</v>
      </c>
      <c r="W6" s="202">
        <f>'SER_se-appl'!W70</f>
        <v>280.869280087037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25.968910238086892</v>
      </c>
      <c r="C8" s="34">
        <f>'SER_se-appl'!C22</f>
        <v>27.102564025926338</v>
      </c>
      <c r="D8" s="34">
        <f>'SER_se-appl'!D22</f>
        <v>27.831270011967305</v>
      </c>
      <c r="E8" s="34">
        <f>'SER_se-appl'!E22</f>
        <v>28.595964058604018</v>
      </c>
      <c r="F8" s="34">
        <f>'SER_se-appl'!F22</f>
        <v>29.655242825477401</v>
      </c>
      <c r="G8" s="34">
        <f>'SER_se-appl'!G22</f>
        <v>30.833717040459064</v>
      </c>
      <c r="H8" s="34">
        <f>'SER_se-appl'!H22</f>
        <v>32.195813619910716</v>
      </c>
      <c r="I8" s="34">
        <f>'SER_se-appl'!I22</f>
        <v>33.459306095434513</v>
      </c>
      <c r="J8" s="34">
        <f>'SER_se-appl'!J22</f>
        <v>34.615788460179289</v>
      </c>
      <c r="K8" s="34">
        <f>'SER_se-appl'!K22</f>
        <v>35.607372051088589</v>
      </c>
      <c r="L8" s="34">
        <f>'SER_se-appl'!L22</f>
        <v>36.752401960542656</v>
      </c>
      <c r="M8" s="34">
        <f>'SER_se-appl'!M22</f>
        <v>38.202301521772164</v>
      </c>
      <c r="N8" s="34">
        <f>'SER_se-appl'!N22</f>
        <v>39.972355147275266</v>
      </c>
      <c r="O8" s="34">
        <f>'SER_se-appl'!O22</f>
        <v>42.057098530433933</v>
      </c>
      <c r="P8" s="34">
        <f>'SER_se-appl'!P22</f>
        <v>44.421171703409563</v>
      </c>
      <c r="Q8" s="34">
        <f>'SER_se-appl'!Q22</f>
        <v>47.288401830265762</v>
      </c>
      <c r="R8" s="34">
        <f>'SER_se-appl'!R22</f>
        <v>48.96794078221339</v>
      </c>
      <c r="S8" s="34">
        <f>'SER_se-appl'!S22</f>
        <v>50.818605290654453</v>
      </c>
      <c r="T8" s="34">
        <f>'SER_se-appl'!T22</f>
        <v>52.591771281768892</v>
      </c>
      <c r="U8" s="34">
        <f>'SER_se-appl'!U22</f>
        <v>54.220471628286241</v>
      </c>
      <c r="V8" s="34">
        <f>'SER_se-appl'!V22</f>
        <v>55.580463869341543</v>
      </c>
      <c r="W8" s="34">
        <f>'SER_se-appl'!W22</f>
        <v>56.46801488106388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5.1891171493253943</v>
      </c>
      <c r="D9" s="36">
        <f>'SER_se-appl'!D30</f>
        <v>4.8895236026000397</v>
      </c>
      <c r="E9" s="36">
        <f>'SER_se-appl'!E30</f>
        <v>5.0336028482008679</v>
      </c>
      <c r="F9" s="36">
        <f>'SER_se-appl'!F30</f>
        <v>5.439086784303985</v>
      </c>
      <c r="G9" s="36">
        <f>'SER_se-appl'!G30</f>
        <v>5.672062427154458</v>
      </c>
      <c r="H9" s="36">
        <f>'SER_se-appl'!H30</f>
        <v>5.9724208083259711</v>
      </c>
      <c r="I9" s="36">
        <f>'SER_se-appl'!I30</f>
        <v>6.4526096248491918</v>
      </c>
      <c r="J9" s="36">
        <f>'SER_se-appl'!J30</f>
        <v>6.046005967344815</v>
      </c>
      <c r="K9" s="36">
        <f>'SER_se-appl'!K30</f>
        <v>6.0251864391101684</v>
      </c>
      <c r="L9" s="36">
        <f>'SER_se-appl'!L30</f>
        <v>6.5841166937580518</v>
      </c>
      <c r="M9" s="36">
        <f>'SER_se-appl'!M30</f>
        <v>7.1219619883839655</v>
      </c>
      <c r="N9" s="36">
        <f>'SER_se-appl'!N30</f>
        <v>7.7424744338290736</v>
      </c>
      <c r="O9" s="36">
        <f>'SER_se-appl'!O30</f>
        <v>8.5373530080078552</v>
      </c>
      <c r="P9" s="36">
        <f>'SER_se-appl'!P30</f>
        <v>8.4100791403204411</v>
      </c>
      <c r="Q9" s="36">
        <f>'SER_se-appl'!Q30</f>
        <v>8.8924165659663643</v>
      </c>
      <c r="R9" s="36">
        <f>'SER_se-appl'!R30</f>
        <v>8.2636556457056827</v>
      </c>
      <c r="S9" s="36">
        <f>'SER_se-appl'!S30</f>
        <v>8.9726264968250291</v>
      </c>
      <c r="T9" s="36">
        <f>'SER_se-appl'!T30</f>
        <v>9.5156404249435127</v>
      </c>
      <c r="U9" s="36">
        <f>'SER_se-appl'!U30</f>
        <v>10.166053354525204</v>
      </c>
      <c r="V9" s="36">
        <f>'SER_se-appl'!V30</f>
        <v>9.7700713813757432</v>
      </c>
      <c r="W9" s="36">
        <f>'SER_se-appl'!W30</f>
        <v>9.7799675776887014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4.0554633614859483</v>
      </c>
      <c r="D10" s="38">
        <f>'SER_se-appl'!D38</f>
        <v>4.160817616559072</v>
      </c>
      <c r="E10" s="38">
        <f>'SER_se-appl'!E38</f>
        <v>4.2689088015641588</v>
      </c>
      <c r="F10" s="38">
        <f>'SER_se-appl'!F38</f>
        <v>4.3798080174306051</v>
      </c>
      <c r="G10" s="38">
        <f>'SER_se-appl'!G38</f>
        <v>4.4935882121727957</v>
      </c>
      <c r="H10" s="38">
        <f>'SER_se-appl'!H38</f>
        <v>4.6103242288743189</v>
      </c>
      <c r="I10" s="38">
        <f>'SER_se-appl'!I38</f>
        <v>5.1891171493253978</v>
      </c>
      <c r="J10" s="38">
        <f>'SER_se-appl'!J38</f>
        <v>4.8895236026000362</v>
      </c>
      <c r="K10" s="38">
        <f>'SER_se-appl'!K38</f>
        <v>5.0336028482008714</v>
      </c>
      <c r="L10" s="38">
        <f>'SER_se-appl'!L38</f>
        <v>5.4390867843039814</v>
      </c>
      <c r="M10" s="38">
        <f>'SER_se-appl'!M38</f>
        <v>5.672062427154458</v>
      </c>
      <c r="N10" s="38">
        <f>'SER_se-appl'!N38</f>
        <v>5.9724208083259711</v>
      </c>
      <c r="O10" s="38">
        <f>'SER_se-appl'!O38</f>
        <v>6.4526096248491882</v>
      </c>
      <c r="P10" s="38">
        <f>'SER_se-appl'!P38</f>
        <v>6.0460059673448114</v>
      </c>
      <c r="Q10" s="38">
        <f>'SER_se-appl'!Q38</f>
        <v>6.0251864391101648</v>
      </c>
      <c r="R10" s="38">
        <f>'SER_se-appl'!R38</f>
        <v>6.5841166937580553</v>
      </c>
      <c r="S10" s="38">
        <f>'SER_se-appl'!S38</f>
        <v>7.1219619883839655</v>
      </c>
      <c r="T10" s="38">
        <f>'SER_se-appl'!T38</f>
        <v>7.7424744338290736</v>
      </c>
      <c r="U10" s="38">
        <f>'SER_se-appl'!U38</f>
        <v>8.5373530080078552</v>
      </c>
      <c r="V10" s="38">
        <f>'SER_se-appl'!V38</f>
        <v>8.4100791403204411</v>
      </c>
      <c r="W10" s="38">
        <f>'SER_se-appl'!W38</f>
        <v>8.8924165659663572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2270.345842976159</v>
      </c>
      <c r="C12" s="205">
        <f>'SER_se-appl'!C46</f>
        <v>2286.225929437267</v>
      </c>
      <c r="D12" s="205">
        <f>'SER_se-appl'!D46</f>
        <v>2297.7776619491201</v>
      </c>
      <c r="E12" s="205">
        <f>'SER_se-appl'!E46</f>
        <v>2305.1020866355857</v>
      </c>
      <c r="F12" s="205">
        <f>'SER_se-appl'!F46</f>
        <v>2317.5638219778575</v>
      </c>
      <c r="G12" s="205">
        <f>'SER_se-appl'!G46</f>
        <v>2328.6922334778296</v>
      </c>
      <c r="H12" s="205">
        <f>'SER_se-appl'!H46</f>
        <v>2340.8234532846586</v>
      </c>
      <c r="I12" s="205">
        <f>'SER_se-appl'!I46</f>
        <v>2351.4870124371737</v>
      </c>
      <c r="J12" s="205">
        <f>'SER_se-appl'!J46</f>
        <v>2359.511782344825</v>
      </c>
      <c r="K12" s="205">
        <f>'SER_se-appl'!K46</f>
        <v>2364.8452131607646</v>
      </c>
      <c r="L12" s="205">
        <f>'SER_se-appl'!L46</f>
        <v>2370.2107639860665</v>
      </c>
      <c r="M12" s="205">
        <f>'SER_se-appl'!M46</f>
        <v>2373.9098403347912</v>
      </c>
      <c r="N12" s="205">
        <f>'SER_se-appl'!N46</f>
        <v>2378.2613285749148</v>
      </c>
      <c r="O12" s="205">
        <f>'SER_se-appl'!O46</f>
        <v>2385.2973051139525</v>
      </c>
      <c r="P12" s="205">
        <f>'SER_se-appl'!P46</f>
        <v>2394.9569764798557</v>
      </c>
      <c r="Q12" s="205">
        <f>'SER_se-appl'!Q46</f>
        <v>2401.1263991035116</v>
      </c>
      <c r="R12" s="205">
        <f>'SER_se-appl'!R46</f>
        <v>2367.8357673756095</v>
      </c>
      <c r="S12" s="205">
        <f>'SER_se-appl'!S46</f>
        <v>2416.4554652158045</v>
      </c>
      <c r="T12" s="205">
        <f>'SER_se-appl'!T46</f>
        <v>2382.7009277698726</v>
      </c>
      <c r="U12" s="205">
        <f>'SER_se-appl'!U46</f>
        <v>2359.2883271168566</v>
      </c>
      <c r="V12" s="205">
        <f>'SER_se-appl'!V46</f>
        <v>2157.6312760007318</v>
      </c>
      <c r="W12" s="205">
        <f>'SER_se-appl'!W46</f>
        <v>2111.33371207546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45.204672661431744</v>
      </c>
      <c r="C14" s="59">
        <f>'SER_se-appl'!C54</f>
        <v>44.630463004036677</v>
      </c>
      <c r="D14" s="59">
        <f>'SER_se-appl'!D54</f>
        <v>43.855282336941556</v>
      </c>
      <c r="E14" s="59">
        <f>'SER_se-appl'!E54</f>
        <v>42.946815765932669</v>
      </c>
      <c r="F14" s="59">
        <f>'SER_se-appl'!F54</f>
        <v>41.862638071673608</v>
      </c>
      <c r="G14" s="59">
        <f>'SER_se-appl'!G54</f>
        <v>40.591809455064713</v>
      </c>
      <c r="H14" s="59">
        <f>'SER_se-appl'!H54</f>
        <v>39.265944016062853</v>
      </c>
      <c r="I14" s="59">
        <f>'SER_se-appl'!I54</f>
        <v>38.192942228934754</v>
      </c>
      <c r="J14" s="59">
        <f>'SER_se-appl'!J54</f>
        <v>37.313409050313865</v>
      </c>
      <c r="K14" s="59">
        <f>'SER_se-appl'!K54</f>
        <v>36.368852270089398</v>
      </c>
      <c r="L14" s="59">
        <f>'SER_se-appl'!L54</f>
        <v>35.38081311162388</v>
      </c>
      <c r="M14" s="59">
        <f>'SER_se-appl'!M54</f>
        <v>34.379889961714284</v>
      </c>
      <c r="N14" s="59">
        <f>'SER_se-appl'!N54</f>
        <v>33.141945094781299</v>
      </c>
      <c r="O14" s="59">
        <f>'SER_se-appl'!O54</f>
        <v>31.68336728090793</v>
      </c>
      <c r="P14" s="59">
        <f>'SER_se-appl'!P54</f>
        <v>30.110176446522757</v>
      </c>
      <c r="Q14" s="59">
        <f>'SER_se-appl'!Q54</f>
        <v>28.440927272493639</v>
      </c>
      <c r="R14" s="59">
        <f>'SER_se-appl'!R54</f>
        <v>26.75064151438227</v>
      </c>
      <c r="S14" s="59">
        <f>'SER_se-appl'!S54</f>
        <v>24.947749773179424</v>
      </c>
      <c r="T14" s="59">
        <f>'SER_se-appl'!T54</f>
        <v>22.981496452384217</v>
      </c>
      <c r="U14" s="59">
        <f>'SER_se-appl'!U54</f>
        <v>20.909005179263406</v>
      </c>
      <c r="V14" s="59">
        <f>'SER_se-appl'!V54</f>
        <v>19.104278030968057</v>
      </c>
      <c r="W14" s="59">
        <f>'SER_se-appl'!W54</f>
        <v>17.542081603073552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42.205597181727384</v>
      </c>
      <c r="D15" s="63">
        <f>'SER_se-appl'!D62</f>
        <v>40.706751339020535</v>
      </c>
      <c r="E15" s="63">
        <f>'SER_se-appl'!E62</f>
        <v>39.838665653073043</v>
      </c>
      <c r="F15" s="63">
        <f>'SER_se-appl'!F62</f>
        <v>38.853743906820981</v>
      </c>
      <c r="G15" s="63">
        <f>'SER_se-appl'!G62</f>
        <v>37.601993368870239</v>
      </c>
      <c r="H15" s="63">
        <f>'SER_se-appl'!H62</f>
        <v>37.005236733242</v>
      </c>
      <c r="I15" s="63">
        <f>'SER_se-appl'!I62</f>
        <v>36.066046334056239</v>
      </c>
      <c r="J15" s="63">
        <f>'SER_se-appl'!J62</f>
        <v>35.190231749205076</v>
      </c>
      <c r="K15" s="63">
        <f>'SER_se-appl'!K62</f>
        <v>33.840977768696249</v>
      </c>
      <c r="L15" s="63">
        <f>'SER_se-appl'!L62</f>
        <v>32.906387659685521</v>
      </c>
      <c r="M15" s="63">
        <f>'SER_se-appl'!M62</f>
        <v>31.780836738017609</v>
      </c>
      <c r="N15" s="63">
        <f>'SER_se-appl'!N62</f>
        <v>30.013857309575457</v>
      </c>
      <c r="O15" s="63">
        <f>'SER_se-appl'!O62</f>
        <v>28.166694921576902</v>
      </c>
      <c r="P15" s="63">
        <f>'SER_se-appl'!P62</f>
        <v>25.895020243711706</v>
      </c>
      <c r="Q15" s="63">
        <f>'SER_se-appl'!Q62</f>
        <v>23.761243988833861</v>
      </c>
      <c r="R15" s="63">
        <f>'SER_se-appl'!R62</f>
        <v>21.982683740126145</v>
      </c>
      <c r="S15" s="63">
        <f>'SER_se-appl'!S62</f>
        <v>20.532218779319141</v>
      </c>
      <c r="T15" s="63">
        <f>'SER_se-appl'!T62</f>
        <v>18.202587704901099</v>
      </c>
      <c r="U15" s="63">
        <f>'SER_se-appl'!U62</f>
        <v>16.282379090805254</v>
      </c>
      <c r="V15" s="63">
        <f>'SER_se-appl'!V62</f>
        <v>14.934147013509703</v>
      </c>
      <c r="W15" s="63">
        <f>'SER_se-appl'!W62</f>
        <v>14.318735590786952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108.93933845057953</v>
      </c>
      <c r="C3" s="199">
        <f>'SER_se-appl'!C7</f>
        <v>113.76512892349052</v>
      </c>
      <c r="D3" s="199">
        <f>'SER_se-appl'!D7</f>
        <v>118.93377681959007</v>
      </c>
      <c r="E3" s="199">
        <f>'SER_se-appl'!E7</f>
        <v>123.25795281651448</v>
      </c>
      <c r="F3" s="199">
        <f>'SER_se-appl'!F7</f>
        <v>128.18025505705666</v>
      </c>
      <c r="G3" s="199">
        <f>'SER_se-appl'!G7</f>
        <v>132.50205497885563</v>
      </c>
      <c r="H3" s="199">
        <f>'SER_se-appl'!H7</f>
        <v>136.06494476637863</v>
      </c>
      <c r="I3" s="199">
        <f>'SER_se-appl'!I7</f>
        <v>137.68859150213126</v>
      </c>
      <c r="J3" s="199">
        <f>'SER_se-appl'!J7</f>
        <v>138.38150536594324</v>
      </c>
      <c r="K3" s="199">
        <f>'SER_se-appl'!K7</f>
        <v>138.62929890357941</v>
      </c>
      <c r="L3" s="199">
        <f>'SER_se-appl'!L7</f>
        <v>138.72619928215542</v>
      </c>
      <c r="M3" s="199">
        <f>'SER_se-appl'!M7</f>
        <v>138.44207071242104</v>
      </c>
      <c r="N3" s="199">
        <f>'SER_se-appl'!N7</f>
        <v>138.16008634656509</v>
      </c>
      <c r="O3" s="199">
        <f>'SER_se-appl'!O7</f>
        <v>137.89813400666881</v>
      </c>
      <c r="P3" s="199">
        <f>'SER_se-appl'!P7</f>
        <v>137.99830582646678</v>
      </c>
      <c r="Q3" s="199">
        <f>'SER_se-appl'!Q7</f>
        <v>138.92448851846206</v>
      </c>
      <c r="R3" s="199">
        <f>'SER_se-appl'!R7</f>
        <v>137.8769641844425</v>
      </c>
      <c r="S3" s="199">
        <f>'SER_se-appl'!S7</f>
        <v>137.09391530454045</v>
      </c>
      <c r="T3" s="199">
        <f>'SER_se-appl'!T7</f>
        <v>136.35565519471669</v>
      </c>
      <c r="U3" s="199">
        <f>'SER_se-appl'!U7</f>
        <v>135.45673328234446</v>
      </c>
      <c r="V3" s="199">
        <f>'SER_se-appl'!V7</f>
        <v>134.3178978066347</v>
      </c>
      <c r="W3" s="199">
        <f>'SER_se-appl'!W7</f>
        <v>132.54669217456629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144.63065139043837</v>
      </c>
      <c r="C5" s="59">
        <f>'SER_se-appl'!C15</f>
        <v>151.03749422148351</v>
      </c>
      <c r="D5" s="59">
        <f>'SER_se-appl'!D15</f>
        <v>157.89952333468412</v>
      </c>
      <c r="E5" s="59">
        <f>'SER_se-appl'!E15</f>
        <v>163.64040996073786</v>
      </c>
      <c r="F5" s="59">
        <f>'SER_se-appl'!F15</f>
        <v>170.17538428237086</v>
      </c>
      <c r="G5" s="59">
        <f>'SER_se-appl'!G15</f>
        <v>175.91311637033007</v>
      </c>
      <c r="H5" s="59">
        <f>'SER_se-appl'!H15</f>
        <v>180.6432999581032</v>
      </c>
      <c r="I5" s="59">
        <f>'SER_se-appl'!I15</f>
        <v>182.79889488239584</v>
      </c>
      <c r="J5" s="59">
        <f>'SER_se-appl'!J15</f>
        <v>183.71882504633797</v>
      </c>
      <c r="K5" s="59">
        <f>'SER_se-appl'!K15</f>
        <v>184.04780208317678</v>
      </c>
      <c r="L5" s="59">
        <f>'SER_se-appl'!L15</f>
        <v>184.17644950359221</v>
      </c>
      <c r="M5" s="59">
        <f>'SER_se-appl'!M15</f>
        <v>183.79923314902473</v>
      </c>
      <c r="N5" s="59">
        <f>'SER_se-appl'!N15</f>
        <v>183.42486349435532</v>
      </c>
      <c r="O5" s="59">
        <f>'SER_se-appl'!O15</f>
        <v>183.07708886958437</v>
      </c>
      <c r="P5" s="59">
        <f>'SER_se-appl'!P15</f>
        <v>183.2100795390192</v>
      </c>
      <c r="Q5" s="59">
        <f>'SER_se-appl'!Q15</f>
        <v>184.43970336412258</v>
      </c>
      <c r="R5" s="59">
        <f>'SER_se-appl'!R15</f>
        <v>183.04898327226783</v>
      </c>
      <c r="S5" s="59">
        <f>'SER_se-appl'!S15</f>
        <v>182.0093875561422</v>
      </c>
      <c r="T5" s="59">
        <f>'SER_se-appl'!T15</f>
        <v>181.0292545564561</v>
      </c>
      <c r="U5" s="59">
        <f>'SER_se-appl'!U15</f>
        <v>179.83582283945958</v>
      </c>
      <c r="V5" s="59">
        <f>'SER_se-appl'!V15</f>
        <v>178.32387574100019</v>
      </c>
      <c r="W5" s="59">
        <f>'SER_se-appl'!W15</f>
        <v>175.97237785276323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2.0783107976113803E-2</v>
      </c>
      <c r="C6" s="202">
        <f>'SER_se-appl'!C71</f>
        <v>2.1803980621493434E-2</v>
      </c>
      <c r="D6" s="202">
        <f>'SER_se-appl'!D71</f>
        <v>2.3026235810873902E-2</v>
      </c>
      <c r="E6" s="202">
        <f>'SER_se-appl'!E71</f>
        <v>2.4166111738659707E-2</v>
      </c>
      <c r="F6" s="202">
        <f>'SER_se-appl'!F71</f>
        <v>2.5528761885180159E-2</v>
      </c>
      <c r="G6" s="202">
        <f>'SER_se-appl'!G71</f>
        <v>2.6814839393426066E-2</v>
      </c>
      <c r="H6" s="202">
        <f>'SER_se-appl'!H71</f>
        <v>2.7987944912997359E-2</v>
      </c>
      <c r="I6" s="202">
        <f>'SER_se-appl'!I71</f>
        <v>2.8765176894164052E-2</v>
      </c>
      <c r="J6" s="202">
        <f>'SER_se-appl'!J71</f>
        <v>2.9389567668410076E-2</v>
      </c>
      <c r="K6" s="202">
        <f>'SER_se-appl'!K71</f>
        <v>3.0001694142854453E-2</v>
      </c>
      <c r="L6" s="202">
        <f>'SER_se-appl'!L71</f>
        <v>3.0639136793450279E-2</v>
      </c>
      <c r="M6" s="202">
        <f>'SER_se-appl'!M71</f>
        <v>3.1218195491090412E-2</v>
      </c>
      <c r="N6" s="202">
        <f>'SER_se-appl'!N71</f>
        <v>3.1888710221332092E-2</v>
      </c>
      <c r="O6" s="202">
        <f>'SER_se-appl'!O71</f>
        <v>3.2625186668580566E-2</v>
      </c>
      <c r="P6" s="202">
        <f>'SER_se-appl'!P71</f>
        <v>3.3594841184568874E-2</v>
      </c>
      <c r="Q6" s="202">
        <f>'SER_se-appl'!Q71</f>
        <v>3.4790710844908278E-2</v>
      </c>
      <c r="R6" s="202">
        <f>'SER_se-appl'!R71</f>
        <v>3.5374235869348285E-2</v>
      </c>
      <c r="S6" s="202">
        <f>'SER_se-appl'!S71</f>
        <v>3.5959836550604696E-2</v>
      </c>
      <c r="T6" s="202">
        <f>'SER_se-appl'!T71</f>
        <v>3.6485944272661101E-2</v>
      </c>
      <c r="U6" s="202">
        <f>'SER_se-appl'!U71</f>
        <v>3.6950096076765623E-2</v>
      </c>
      <c r="V6" s="202">
        <f>'SER_se-appl'!V71</f>
        <v>3.7234814637612093E-2</v>
      </c>
      <c r="W6" s="202">
        <f>'SER_se-appl'!W71</f>
        <v>3.7494500765826395E-2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213.00653087556583</v>
      </c>
      <c r="C8" s="34">
        <f>'SER_se-appl'!C23</f>
        <v>225.2519961010282</v>
      </c>
      <c r="D8" s="34">
        <f>'SER_se-appl'!D23</f>
        <v>239.35009956998081</v>
      </c>
      <c r="E8" s="34">
        <f>'SER_se-appl'!E23</f>
        <v>252.40517733671126</v>
      </c>
      <c r="F8" s="34">
        <f>'SER_se-appl'!F23</f>
        <v>267.36399966158609</v>
      </c>
      <c r="G8" s="34">
        <f>'SER_se-appl'!G23</f>
        <v>281.41294416668552</v>
      </c>
      <c r="H8" s="34">
        <f>'SER_se-appl'!H23</f>
        <v>294.20894107008928</v>
      </c>
      <c r="I8" s="34">
        <f>'SER_se-appl'!I23</f>
        <v>302.97175697334956</v>
      </c>
      <c r="J8" s="34">
        <f>'SER_se-appl'!J23</f>
        <v>310.15807066817109</v>
      </c>
      <c r="K8" s="34">
        <f>'SER_se-appl'!K23</f>
        <v>316.90831525468963</v>
      </c>
      <c r="L8" s="34">
        <f>'SER_se-appl'!L23</f>
        <v>323.96226946367386</v>
      </c>
      <c r="M8" s="34">
        <f>'SER_se-appl'!M23</f>
        <v>330.06127105075689</v>
      </c>
      <c r="N8" s="34">
        <f>'SER_se-appl'!N23</f>
        <v>336.18347485995099</v>
      </c>
      <c r="O8" s="34">
        <f>'SER_se-appl'!O23</f>
        <v>342.14976127235161</v>
      </c>
      <c r="P8" s="34">
        <f>'SER_se-appl'!P23</f>
        <v>350.30352107869618</v>
      </c>
      <c r="Q8" s="34">
        <f>'SER_se-appl'!Q23</f>
        <v>360.947432269393</v>
      </c>
      <c r="R8" s="34">
        <f>'SER_se-appl'!R23</f>
        <v>365.81664662276751</v>
      </c>
      <c r="S8" s="34">
        <f>'SER_se-appl'!S23</f>
        <v>370.73055998652734</v>
      </c>
      <c r="T8" s="34">
        <f>'SER_se-appl'!T23</f>
        <v>375.47783763045072</v>
      </c>
      <c r="U8" s="34">
        <f>'SER_se-appl'!U23</f>
        <v>379.72198549412292</v>
      </c>
      <c r="V8" s="34">
        <f>'SER_se-appl'!V23</f>
        <v>383.36626314072208</v>
      </c>
      <c r="W8" s="34">
        <f>'SER_se-appl'!W23</f>
        <v>386.12781750067319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31.604159578794309</v>
      </c>
      <c r="D9" s="36">
        <f>'SER_se-appl'!D31</f>
        <v>33.86457294525232</v>
      </c>
      <c r="E9" s="36">
        <f>'SER_se-appl'!E31</f>
        <v>33.237911816705491</v>
      </c>
      <c r="F9" s="36">
        <f>'SER_se-appl'!F31</f>
        <v>35.566791329013256</v>
      </c>
      <c r="G9" s="36">
        <f>'SER_se-appl'!G31</f>
        <v>35.09100358480805</v>
      </c>
      <c r="H9" s="36">
        <f>'SER_se-appl'!H31</f>
        <v>34.281289812425143</v>
      </c>
      <c r="I9" s="36">
        <f>'SER_se-appl'!I31</f>
        <v>30.700679001059257</v>
      </c>
      <c r="J9" s="36">
        <f>'SER_se-appl'!J31</f>
        <v>29.586280003667639</v>
      </c>
      <c r="K9" s="36">
        <f>'SER_se-appl'!K31</f>
        <v>29.622047934027876</v>
      </c>
      <c r="L9" s="36">
        <f>'SER_se-appl'!L31</f>
        <v>30.407533457920522</v>
      </c>
      <c r="M9" s="36">
        <f>'SER_se-appl'!M31</f>
        <v>37.703161165877304</v>
      </c>
      <c r="N9" s="36">
        <f>'SER_se-appl'!N31</f>
        <v>39.986776754446453</v>
      </c>
      <c r="O9" s="36">
        <f>'SER_se-appl'!O31</f>
        <v>39.204198229106112</v>
      </c>
      <c r="P9" s="36">
        <f>'SER_se-appl'!P31</f>
        <v>43.720551135357823</v>
      </c>
      <c r="Q9" s="36">
        <f>'SER_se-appl'!Q31</f>
        <v>45.734914775504876</v>
      </c>
      <c r="R9" s="36">
        <f>'SER_se-appl'!R31</f>
        <v>39.150504165799646</v>
      </c>
      <c r="S9" s="36">
        <f>'SER_se-appl'!S31</f>
        <v>35.614592364819089</v>
      </c>
      <c r="T9" s="36">
        <f>'SER_se-appl'!T31</f>
        <v>34.333557647591022</v>
      </c>
      <c r="U9" s="36">
        <f>'SER_se-appl'!U31</f>
        <v>33.866195797700072</v>
      </c>
      <c r="V9" s="36">
        <f>'SER_se-appl'!V31</f>
        <v>34.051811104519686</v>
      </c>
      <c r="W9" s="36">
        <f>'SER_se-appl'!W31</f>
        <v>40.46471552582841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19.358694353331941</v>
      </c>
      <c r="D10" s="38">
        <f>'SER_se-appl'!D39</f>
        <v>19.766469476299704</v>
      </c>
      <c r="E10" s="38">
        <f>'SER_se-appl'!E39</f>
        <v>20.182834049975014</v>
      </c>
      <c r="F10" s="38">
        <f>'SER_se-appl'!F39</f>
        <v>20.607969004138397</v>
      </c>
      <c r="G10" s="38">
        <f>'SER_se-appl'!G39</f>
        <v>21.042059079708622</v>
      </c>
      <c r="H10" s="38">
        <f>'SER_se-appl'!H39</f>
        <v>21.485292909021382</v>
      </c>
      <c r="I10" s="38">
        <f>'SER_se-appl'!I39</f>
        <v>21.937863097798981</v>
      </c>
      <c r="J10" s="38">
        <f>'SER_se-appl'!J39</f>
        <v>22.399966308846103</v>
      </c>
      <c r="K10" s="38">
        <f>'SER_se-appl'!K39</f>
        <v>22.871803347509342</v>
      </c>
      <c r="L10" s="38">
        <f>'SER_se-appl'!L39</f>
        <v>23.353579248936285</v>
      </c>
      <c r="M10" s="38">
        <f>'SER_se-appl'!M39</f>
        <v>31.604159578794281</v>
      </c>
      <c r="N10" s="38">
        <f>'SER_se-appl'!N39</f>
        <v>33.864572945252348</v>
      </c>
      <c r="O10" s="38">
        <f>'SER_se-appl'!O39</f>
        <v>33.237911816705491</v>
      </c>
      <c r="P10" s="38">
        <f>'SER_se-appl'!P39</f>
        <v>35.566791329013256</v>
      </c>
      <c r="Q10" s="38">
        <f>'SER_se-appl'!Q39</f>
        <v>35.09100358480805</v>
      </c>
      <c r="R10" s="38">
        <f>'SER_se-appl'!R39</f>
        <v>34.281289812425143</v>
      </c>
      <c r="S10" s="38">
        <f>'SER_se-appl'!S39</f>
        <v>30.700679001059257</v>
      </c>
      <c r="T10" s="38">
        <f>'SER_se-appl'!T39</f>
        <v>29.586280003667639</v>
      </c>
      <c r="U10" s="38">
        <f>'SER_se-appl'!U39</f>
        <v>29.622047934027876</v>
      </c>
      <c r="V10" s="38">
        <f>'SER_se-appl'!V39</f>
        <v>30.407533457920522</v>
      </c>
      <c r="W10" s="38">
        <f>'SER_se-appl'!W39</f>
        <v>37.703161165877304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8759.9999999999945</v>
      </c>
      <c r="D12" s="205">
        <f>'SER_se-appl'!D47</f>
        <v>8759.9999999999982</v>
      </c>
      <c r="E12" s="205">
        <f>'SER_se-appl'!E47</f>
        <v>8759.9999999999982</v>
      </c>
      <c r="F12" s="205">
        <f>'SER_se-appl'!F47</f>
        <v>8760.0000000000018</v>
      </c>
      <c r="G12" s="205">
        <f>'SER_se-appl'!G47</f>
        <v>8759.9999999999982</v>
      </c>
      <c r="H12" s="205">
        <f>'SER_se-appl'!H47</f>
        <v>8759.9999999999964</v>
      </c>
      <c r="I12" s="205">
        <f>'SER_se-appl'!I47</f>
        <v>8759.9999999999945</v>
      </c>
      <c r="J12" s="205">
        <f>'SER_se-appl'!J47</f>
        <v>8759.9999999999964</v>
      </c>
      <c r="K12" s="205">
        <f>'SER_se-appl'!K47</f>
        <v>8760</v>
      </c>
      <c r="L12" s="205">
        <f>'SER_se-appl'!L47</f>
        <v>8759.9999999999982</v>
      </c>
      <c r="M12" s="205">
        <f>'SER_se-appl'!M47</f>
        <v>8760</v>
      </c>
      <c r="N12" s="205">
        <f>'SER_se-appl'!N47</f>
        <v>8759.9999999999964</v>
      </c>
      <c r="O12" s="205">
        <f>'SER_se-appl'!O47</f>
        <v>8759.9999999999964</v>
      </c>
      <c r="P12" s="205">
        <f>'SER_se-appl'!P47</f>
        <v>8760.0000000000018</v>
      </c>
      <c r="Q12" s="205">
        <f>'SER_se-appl'!Q47</f>
        <v>8760</v>
      </c>
      <c r="R12" s="205">
        <f>'SER_se-appl'!R47</f>
        <v>8760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678.99632370863185</v>
      </c>
      <c r="C14" s="59">
        <f>'SER_se-appl'!C55</f>
        <v>670.52677372830647</v>
      </c>
      <c r="D14" s="59">
        <f>'SER_se-appl'!D55</f>
        <v>659.70109733970548</v>
      </c>
      <c r="E14" s="59">
        <f>'SER_se-appl'!E55</f>
        <v>648.3243001883427</v>
      </c>
      <c r="F14" s="59">
        <f>'SER_se-appl'!F55</f>
        <v>636.4932619865391</v>
      </c>
      <c r="G14" s="59">
        <f>'SER_se-appl'!G55</f>
        <v>625.10669824105116</v>
      </c>
      <c r="H14" s="59">
        <f>'SER_se-appl'!H55</f>
        <v>613.99663552396464</v>
      </c>
      <c r="I14" s="59">
        <f>'SER_se-appl'!I55</f>
        <v>603.35292209588852</v>
      </c>
      <c r="J14" s="59">
        <f>'SER_se-appl'!J55</f>
        <v>592.33933410326529</v>
      </c>
      <c r="K14" s="59">
        <f>'SER_se-appl'!K55</f>
        <v>580.76040679230243</v>
      </c>
      <c r="L14" s="59">
        <f>'SER_se-appl'!L55</f>
        <v>568.51203631984697</v>
      </c>
      <c r="M14" s="59">
        <f>'SER_se-appl'!M55</f>
        <v>556.86398032673162</v>
      </c>
      <c r="N14" s="59">
        <f>'SER_se-appl'!N55</f>
        <v>545.60939847137752</v>
      </c>
      <c r="O14" s="59">
        <f>'SER_se-appl'!O55</f>
        <v>535.07881516203895</v>
      </c>
      <c r="P14" s="59">
        <f>'SER_se-appl'!P55</f>
        <v>523.00381958724529</v>
      </c>
      <c r="Q14" s="59">
        <f>'SER_se-appl'!Q55</f>
        <v>510.98771420672153</v>
      </c>
      <c r="R14" s="59">
        <f>'SER_se-appl'!R55</f>
        <v>500.38450945899439</v>
      </c>
      <c r="S14" s="59">
        <f>'SER_se-appl'!S55</f>
        <v>490.94789370144338</v>
      </c>
      <c r="T14" s="59">
        <f>'SER_se-appl'!T55</f>
        <v>482.13033210931349</v>
      </c>
      <c r="U14" s="59">
        <f>'SER_se-appl'!U55</f>
        <v>473.59865825373168</v>
      </c>
      <c r="V14" s="59">
        <f>'SER_se-appl'!V55</f>
        <v>465.15276091350518</v>
      </c>
      <c r="W14" s="59">
        <f>'SER_se-appl'!W55</f>
        <v>455.73607980848578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618.63138869464194</v>
      </c>
      <c r="D15" s="63">
        <f>'SER_se-appl'!D63</f>
        <v>598.95600198763532</v>
      </c>
      <c r="E15" s="63">
        <f>'SER_se-appl'!E63</f>
        <v>585.02341709189818</v>
      </c>
      <c r="F15" s="63">
        <f>'SER_se-appl'!F63</f>
        <v>577.15944417508274</v>
      </c>
      <c r="G15" s="63">
        <f>'SER_se-appl'!G63</f>
        <v>570.66515062597716</v>
      </c>
      <c r="H15" s="63">
        <f>'SER_se-appl'!H63</f>
        <v>563.53242811184498</v>
      </c>
      <c r="I15" s="63">
        <f>'SER_se-appl'!I63</f>
        <v>555.40541357841175</v>
      </c>
      <c r="J15" s="63">
        <f>'SER_se-appl'!J63</f>
        <v>545.16569629052333</v>
      </c>
      <c r="K15" s="63">
        <f>'SER_se-appl'!K63</f>
        <v>535.37309309957618</v>
      </c>
      <c r="L15" s="63">
        <f>'SER_se-appl'!L63</f>
        <v>525.71320518328457</v>
      </c>
      <c r="M15" s="63">
        <f>'SER_se-appl'!M63</f>
        <v>508.55440714457444</v>
      </c>
      <c r="N15" s="63">
        <f>'SER_se-appl'!N63</f>
        <v>497.89008221133338</v>
      </c>
      <c r="O15" s="63">
        <f>'SER_se-appl'!O63</f>
        <v>487.12084383501252</v>
      </c>
      <c r="P15" s="63">
        <f>'SER_se-appl'!P63</f>
        <v>472.56266555319019</v>
      </c>
      <c r="Q15" s="63">
        <f>'SER_se-appl'!Q63</f>
        <v>464.73983335874578</v>
      </c>
      <c r="R15" s="63">
        <f>'SER_se-appl'!R63</f>
        <v>457.92254217273063</v>
      </c>
      <c r="S15" s="63">
        <f>'SER_se-appl'!S63</f>
        <v>449.58334599422579</v>
      </c>
      <c r="T15" s="63">
        <f>'SER_se-appl'!T63</f>
        <v>441.23862999157171</v>
      </c>
      <c r="U15" s="63">
        <f>'SER_se-appl'!U63</f>
        <v>433.03994924590415</v>
      </c>
      <c r="V15" s="63">
        <f>'SER_se-appl'!V63</f>
        <v>425.04919145110961</v>
      </c>
      <c r="W15" s="63">
        <f>'SER_se-appl'!W63</f>
        <v>415.73530586701742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70.471116054656278</v>
      </c>
      <c r="C3" s="199">
        <f>'SER_se-appl'!C8</f>
        <v>75.138764198870874</v>
      </c>
      <c r="D3" s="199">
        <f>'SER_se-appl'!D8</f>
        <v>78.897684222406227</v>
      </c>
      <c r="E3" s="199">
        <f>'SER_se-appl'!E8</f>
        <v>82.304882048085659</v>
      </c>
      <c r="F3" s="199">
        <f>'SER_se-appl'!F8</f>
        <v>86.224711568194053</v>
      </c>
      <c r="G3" s="199">
        <f>'SER_se-appl'!G8</f>
        <v>90.994734410452494</v>
      </c>
      <c r="H3" s="199">
        <f>'SER_se-appl'!H8</f>
        <v>96.319341634521265</v>
      </c>
      <c r="I3" s="199">
        <f>'SER_se-appl'!I8</f>
        <v>100.85604610860671</v>
      </c>
      <c r="J3" s="199">
        <f>'SER_se-appl'!J8</f>
        <v>103.71381480564341</v>
      </c>
      <c r="K3" s="199">
        <f>'SER_se-appl'!K8</f>
        <v>106.09076968617087</v>
      </c>
      <c r="L3" s="199">
        <f>'SER_se-appl'!L8</f>
        <v>107.64103031047915</v>
      </c>
      <c r="M3" s="199">
        <f>'SER_se-appl'!M8</f>
        <v>108.86112169340312</v>
      </c>
      <c r="N3" s="199">
        <f>'SER_se-appl'!N8</f>
        <v>109.35672607678563</v>
      </c>
      <c r="O3" s="199">
        <f>'SER_se-appl'!O8</f>
        <v>109.4348659870451</v>
      </c>
      <c r="P3" s="199">
        <f>'SER_se-appl'!P8</f>
        <v>108.87143888999634</v>
      </c>
      <c r="Q3" s="199">
        <f>'SER_se-appl'!Q8</f>
        <v>107.94829444720067</v>
      </c>
      <c r="R3" s="199">
        <f>'SER_se-appl'!R8</f>
        <v>107.38619915119048</v>
      </c>
      <c r="S3" s="199">
        <f>'SER_se-appl'!S8</f>
        <v>109.57525794709841</v>
      </c>
      <c r="T3" s="199">
        <f>'SER_se-appl'!T8</f>
        <v>110.1553671741308</v>
      </c>
      <c r="U3" s="199">
        <f>'SER_se-appl'!U8</f>
        <v>110.08746819007823</v>
      </c>
      <c r="V3" s="199">
        <f>'SER_se-appl'!V8</f>
        <v>100.76137581144614</v>
      </c>
      <c r="W3" s="199">
        <f>'SER_se-appl'!W8</f>
        <v>98.282607327795745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883.98710825557112</v>
      </c>
      <c r="C5" s="59">
        <f>'SER_se-appl'!C16</f>
        <v>938.05692891077615</v>
      </c>
      <c r="D5" s="59">
        <f>'SER_se-appl'!D16</f>
        <v>980.70858212803739</v>
      </c>
      <c r="E5" s="59">
        <f>'SER_se-appl'!E16</f>
        <v>1018.9742544945123</v>
      </c>
      <c r="F5" s="59">
        <f>'SER_se-appl'!F16</f>
        <v>1063.5554330152784</v>
      </c>
      <c r="G5" s="59">
        <f>'SER_se-appl'!G16</f>
        <v>1118.5270227052499</v>
      </c>
      <c r="H5" s="59">
        <f>'SER_se-appl'!H16</f>
        <v>1180.1637977511698</v>
      </c>
      <c r="I5" s="59">
        <f>'SER_se-appl'!I16</f>
        <v>1232.0101172867273</v>
      </c>
      <c r="J5" s="59">
        <f>'SER_se-appl'!J16</f>
        <v>1263.3036924182115</v>
      </c>
      <c r="K5" s="59">
        <f>'SER_se-appl'!K16</f>
        <v>1288.7678756408109</v>
      </c>
      <c r="L5" s="59">
        <f>'SER_se-appl'!L16</f>
        <v>1304.2508494517865</v>
      </c>
      <c r="M5" s="59">
        <f>'SER_se-appl'!M16</f>
        <v>1316.8908409890776</v>
      </c>
      <c r="N5" s="59">
        <f>'SER_se-appl'!N16</f>
        <v>1320.8363909411751</v>
      </c>
      <c r="O5" s="59">
        <f>'SER_se-appl'!O16</f>
        <v>1319.8231182292709</v>
      </c>
      <c r="P5" s="59">
        <f>'SER_se-appl'!P16</f>
        <v>1311.1665770266143</v>
      </c>
      <c r="Q5" s="59">
        <f>'SER_se-appl'!Q16</f>
        <v>1298.2810958370258</v>
      </c>
      <c r="R5" s="59">
        <f>'SER_se-appl'!R16</f>
        <v>1307.0311568526222</v>
      </c>
      <c r="S5" s="59">
        <f>'SER_se-appl'!S16</f>
        <v>1320.5303609328682</v>
      </c>
      <c r="T5" s="59">
        <f>'SER_se-appl'!T16</f>
        <v>1332.7634828480918</v>
      </c>
      <c r="U5" s="59">
        <f>'SER_se-appl'!U16</f>
        <v>1340.5120310414768</v>
      </c>
      <c r="V5" s="59">
        <f>'SER_se-appl'!V16</f>
        <v>1341.6236680432614</v>
      </c>
      <c r="W5" s="59">
        <f>'SER_se-appl'!W16</f>
        <v>1337.3147610987753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110.51624946224645</v>
      </c>
      <c r="C6" s="202">
        <f>'SER_se-appl'!C72</f>
        <v>113.88506321445755</v>
      </c>
      <c r="D6" s="202">
        <f>'SER_se-appl'!D72</f>
        <v>117.87240966637987</v>
      </c>
      <c r="E6" s="202">
        <f>'SER_se-appl'!E72</f>
        <v>121.89010870939428</v>
      </c>
      <c r="F6" s="202">
        <f>'SER_se-appl'!F72</f>
        <v>125.83604204094463</v>
      </c>
      <c r="G6" s="202">
        <f>'SER_se-appl'!G72</f>
        <v>130.78779607155349</v>
      </c>
      <c r="H6" s="202">
        <f>'SER_se-appl'!H72</f>
        <v>135.93761940450818</v>
      </c>
      <c r="I6" s="202">
        <f>'SER_se-appl'!I72</f>
        <v>140.36933487712238</v>
      </c>
      <c r="J6" s="202">
        <f>'SER_se-appl'!J72</f>
        <v>143.60000532184114</v>
      </c>
      <c r="K6" s="202">
        <f>'SER_se-appl'!K72</f>
        <v>147.29568503250977</v>
      </c>
      <c r="L6" s="202">
        <f>'SER_se-appl'!L72</f>
        <v>150.11122993302379</v>
      </c>
      <c r="M6" s="202">
        <f>'SER_se-appl'!M72</f>
        <v>152.96896779165684</v>
      </c>
      <c r="N6" s="202">
        <f>'SER_se-appl'!N72</f>
        <v>155.66393574187214</v>
      </c>
      <c r="O6" s="202">
        <f>'SER_se-appl'!O72</f>
        <v>157.79571522009508</v>
      </c>
      <c r="P6" s="202">
        <f>'SER_se-appl'!P72</f>
        <v>159.17750649147678</v>
      </c>
      <c r="Q6" s="202">
        <f>'SER_se-appl'!Q72</f>
        <v>160.99064604335805</v>
      </c>
      <c r="R6" s="202">
        <f>'SER_se-appl'!R72</f>
        <v>164.30059981430867</v>
      </c>
      <c r="S6" s="202">
        <f>'SER_se-appl'!S72</f>
        <v>167.62558491753077</v>
      </c>
      <c r="T6" s="202">
        <f>'SER_se-appl'!T72</f>
        <v>170.88610474859539</v>
      </c>
      <c r="U6" s="202">
        <f>'SER_se-appl'!U72</f>
        <v>174.03394351659534</v>
      </c>
      <c r="V6" s="202">
        <f>'SER_se-appl'!V72</f>
        <v>176.97935435651414</v>
      </c>
      <c r="W6" s="202">
        <f>'SER_se-appl'!W72</f>
        <v>179.63070757803754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17.752514869845939</v>
      </c>
      <c r="C8" s="34">
        <f>'SER_se-appl'!C24</f>
        <v>18.935343795803689</v>
      </c>
      <c r="D8" s="34">
        <f>'SER_se-appl'!D24</f>
        <v>19.892887754522228</v>
      </c>
      <c r="E8" s="34">
        <f>'SER_se-appl'!E24</f>
        <v>20.772918882342541</v>
      </c>
      <c r="F8" s="34">
        <f>'SER_se-appl'!F24</f>
        <v>21.816450741987218</v>
      </c>
      <c r="G8" s="34">
        <f>'SER_se-appl'!G24</f>
        <v>23.118080372940511</v>
      </c>
      <c r="H8" s="34">
        <f>'SER_se-appl'!H24</f>
        <v>24.605805499145131</v>
      </c>
      <c r="I8" s="34">
        <f>'SER_se-appl'!I24</f>
        <v>25.919482416238203</v>
      </c>
      <c r="J8" s="34">
        <f>'SER_se-appl'!J24</f>
        <v>26.815114122939672</v>
      </c>
      <c r="K8" s="34">
        <f>'SER_se-appl'!K24</f>
        <v>27.631259242487026</v>
      </c>
      <c r="L8" s="34">
        <f>'SER_se-appl'!L24</f>
        <v>28.272361728325642</v>
      </c>
      <c r="M8" s="34">
        <f>'SER_se-appl'!M24</f>
        <v>28.927936722933968</v>
      </c>
      <c r="N8" s="34">
        <f>'SER_se-appl'!N24</f>
        <v>29.472373401319867</v>
      </c>
      <c r="O8" s="34">
        <f>'SER_se-appl'!O24</f>
        <v>30.010332238493195</v>
      </c>
      <c r="P8" s="34">
        <f>'SER_se-appl'!P24</f>
        <v>30.492841075869297</v>
      </c>
      <c r="Q8" s="34">
        <f>'SER_se-appl'!Q24</f>
        <v>31.045702379494731</v>
      </c>
      <c r="R8" s="34">
        <f>'SER_se-appl'!R24</f>
        <v>31.876294707683357</v>
      </c>
      <c r="S8" s="34">
        <f>'SER_se-appl'!S24</f>
        <v>32.803273948706163</v>
      </c>
      <c r="T8" s="34">
        <f>'SER_se-appl'!T24</f>
        <v>33.709228642381916</v>
      </c>
      <c r="U8" s="34">
        <f>'SER_se-appl'!U24</f>
        <v>34.579726739794729</v>
      </c>
      <c r="V8" s="34">
        <f>'SER_se-appl'!V24</f>
        <v>35.388034618779379</v>
      </c>
      <c r="W8" s="34">
        <f>'SER_se-appl'!W24</f>
        <v>36.114271612293734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1.688464123797722</v>
      </c>
      <c r="D9" s="36">
        <f>'SER_se-appl'!D32</f>
        <v>1.5200790317377795</v>
      </c>
      <c r="E9" s="36">
        <f>'SER_se-appl'!E32</f>
        <v>1.5058691029624569</v>
      </c>
      <c r="F9" s="36">
        <f>'SER_se-appl'!F32</f>
        <v>1.7397963059268022</v>
      </c>
      <c r="G9" s="36">
        <f>'SER_se-appl'!G32</f>
        <v>2.0762457431290464</v>
      </c>
      <c r="H9" s="36">
        <f>'SER_se-appl'!H32</f>
        <v>2.3495099328916318</v>
      </c>
      <c r="I9" s="36">
        <f>'SER_se-appl'!I32</f>
        <v>2.2724396401541007</v>
      </c>
      <c r="J9" s="36">
        <f>'SER_se-appl'!J32</f>
        <v>1.9622854142148434</v>
      </c>
      <c r="K9" s="36">
        <f>'SER_se-appl'!K32</f>
        <v>2.0028309432509985</v>
      </c>
      <c r="L9" s="36">
        <f>'SER_se-appl'!L32</f>
        <v>1.9613278169464046</v>
      </c>
      <c r="M9" s="36">
        <f>'SER_se-appl'!M32</f>
        <v>2.1243672310056496</v>
      </c>
      <c r="N9" s="36">
        <f>'SER_se-appl'!N32</f>
        <v>2.1785142732240743</v>
      </c>
      <c r="O9" s="36">
        <f>'SER_se-appl'!O32</f>
        <v>2.3559215958148378</v>
      </c>
      <c r="P9" s="36">
        <f>'SER_se-appl'!P32</f>
        <v>2.505049628735982</v>
      </c>
      <c r="Q9" s="36">
        <f>'SER_se-appl'!Q32</f>
        <v>2.8030015957024013</v>
      </c>
      <c r="R9" s="36">
        <f>'SER_se-appl'!R32</f>
        <v>2.5190564519863479</v>
      </c>
      <c r="S9" s="36">
        <f>'SER_se-appl'!S32</f>
        <v>2.4470582727605859</v>
      </c>
      <c r="T9" s="36">
        <f>'SER_se-appl'!T32</f>
        <v>2.4118237966382097</v>
      </c>
      <c r="U9" s="36">
        <f>'SER_se-appl'!U32</f>
        <v>2.6102944033396156</v>
      </c>
      <c r="V9" s="36">
        <f>'SER_se-appl'!V32</f>
        <v>2.8845536221136925</v>
      </c>
      <c r="W9" s="36">
        <f>'SER_se-appl'!W32</f>
        <v>3.0757469264059836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0.5056351978399718</v>
      </c>
      <c r="D10" s="38">
        <f>'SER_se-appl'!D40</f>
        <v>0.56253507301924088</v>
      </c>
      <c r="E10" s="38">
        <f>'SER_se-appl'!E40</f>
        <v>0.62583797514214368</v>
      </c>
      <c r="F10" s="38">
        <f>'SER_se-appl'!F40</f>
        <v>0.69626444628212525</v>
      </c>
      <c r="G10" s="38">
        <f>'SER_se-appl'!G40</f>
        <v>0.7746161121757531</v>
      </c>
      <c r="H10" s="38">
        <f>'SER_se-appl'!H40</f>
        <v>0.86178480668701241</v>
      </c>
      <c r="I10" s="38">
        <f>'SER_se-appl'!I40</f>
        <v>0.95876272306102805</v>
      </c>
      <c r="J10" s="38">
        <f>'SER_se-appl'!J40</f>
        <v>1.0666537075133746</v>
      </c>
      <c r="K10" s="38">
        <f>'SER_se-appl'!K40</f>
        <v>1.1866858237036446</v>
      </c>
      <c r="L10" s="38">
        <f>'SER_se-appl'!L40</f>
        <v>1.3202253311077889</v>
      </c>
      <c r="M10" s="38">
        <f>'SER_se-appl'!M40</f>
        <v>1.4687922363973236</v>
      </c>
      <c r="N10" s="38">
        <f>'SER_se-appl'!N40</f>
        <v>1.6340775948381747</v>
      </c>
      <c r="O10" s="38">
        <f>'SER_se-appl'!O40</f>
        <v>1.8179627586415101</v>
      </c>
      <c r="P10" s="38">
        <f>'SER_se-appl'!P40</f>
        <v>2.0225407913598836</v>
      </c>
      <c r="Q10" s="38">
        <f>'SER_se-appl'!Q40</f>
        <v>2.2501402920769671</v>
      </c>
      <c r="R10" s="38">
        <f>'SER_se-appl'!R40</f>
        <v>1.688464123797722</v>
      </c>
      <c r="S10" s="38">
        <f>'SER_se-appl'!S40</f>
        <v>1.5200790317377795</v>
      </c>
      <c r="T10" s="38">
        <f>'SER_se-appl'!T40</f>
        <v>1.5058691029624569</v>
      </c>
      <c r="U10" s="38">
        <f>'SER_se-appl'!U40</f>
        <v>1.7397963059268022</v>
      </c>
      <c r="V10" s="38">
        <f>'SER_se-appl'!V40</f>
        <v>2.0762457431290429</v>
      </c>
      <c r="W10" s="38">
        <f>'SER_se-appl'!W40</f>
        <v>2.3495099328916282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927.13917664815369</v>
      </c>
      <c r="C12" s="205">
        <f>'SER_se-appl'!C48</f>
        <v>931.56801117343093</v>
      </c>
      <c r="D12" s="205">
        <f>'SER_se-appl'!D48</f>
        <v>935.62969084611188</v>
      </c>
      <c r="E12" s="205">
        <f>'SER_se-appl'!E48</f>
        <v>939.38171057529053</v>
      </c>
      <c r="F12" s="205">
        <f>'SER_se-appl'!F48</f>
        <v>942.86895107581233</v>
      </c>
      <c r="G12" s="205">
        <f>'SER_se-appl'!G48</f>
        <v>946.12712944033501</v>
      </c>
      <c r="H12" s="205">
        <f>'SER_se-appl'!H48</f>
        <v>949.1851430657664</v>
      </c>
      <c r="I12" s="205">
        <f>'SER_se-appl'!I48</f>
        <v>952.06670772015468</v>
      </c>
      <c r="J12" s="205">
        <f>'SER_se-appl'!J48</f>
        <v>954.79153067362995</v>
      </c>
      <c r="K12" s="205">
        <f>'SER_se-appl'!K48</f>
        <v>957.37616895258975</v>
      </c>
      <c r="L12" s="205">
        <f>'SER_se-appl'!L48</f>
        <v>959.83466910300808</v>
      </c>
      <c r="M12" s="205">
        <f>'SER_se-appl'!M48</f>
        <v>961.39695553154752</v>
      </c>
      <c r="N12" s="205">
        <f>'SER_se-appl'!N48</f>
        <v>962.88891871518604</v>
      </c>
      <c r="O12" s="205">
        <f>'SER_se-appl'!O48</f>
        <v>964.31671324023955</v>
      </c>
      <c r="P12" s="205">
        <f>'SER_se-appl'!P48</f>
        <v>965.68571566399567</v>
      </c>
      <c r="Q12" s="205">
        <f>'SER_se-appl'!Q48</f>
        <v>967.00065066536251</v>
      </c>
      <c r="R12" s="205">
        <f>'SER_se-appl'!R48</f>
        <v>955.525420783193</v>
      </c>
      <c r="S12" s="205">
        <f>'SER_se-appl'!S48</f>
        <v>965.03669103412551</v>
      </c>
      <c r="T12" s="205">
        <f>'SER_se-appl'!T48</f>
        <v>961.24101291959062</v>
      </c>
      <c r="U12" s="205">
        <f>'SER_se-appl'!U48</f>
        <v>955.09568389020717</v>
      </c>
      <c r="V12" s="205">
        <f>'SER_se-appl'!V48</f>
        <v>873.46014281057796</v>
      </c>
      <c r="W12" s="205">
        <f>'SER_se-appl'!W48</f>
        <v>854.71779454757655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49.795035505481742</v>
      </c>
      <c r="C14" s="59">
        <f>'SER_se-appl'!C56</f>
        <v>49.539999855648851</v>
      </c>
      <c r="D14" s="59">
        <f>'SER_se-appl'!D56</f>
        <v>49.299457888163772</v>
      </c>
      <c r="E14" s="59">
        <f>'SER_se-appl'!E56</f>
        <v>49.053012735762607</v>
      </c>
      <c r="F14" s="59">
        <f>'SER_se-appl'!F56</f>
        <v>48.750158565820001</v>
      </c>
      <c r="G14" s="59">
        <f>'SER_se-appl'!G56</f>
        <v>48.383213686482158</v>
      </c>
      <c r="H14" s="59">
        <f>'SER_se-appl'!H56</f>
        <v>47.962819091298265</v>
      </c>
      <c r="I14" s="59">
        <f>'SER_se-appl'!I56</f>
        <v>47.532203672203337</v>
      </c>
      <c r="J14" s="59">
        <f>'SER_se-appl'!J56</f>
        <v>47.111628413227088</v>
      </c>
      <c r="K14" s="59">
        <f>'SER_se-appl'!K56</f>
        <v>46.641662775149435</v>
      </c>
      <c r="L14" s="59">
        <f>'SER_se-appl'!L56</f>
        <v>46.131655430295297</v>
      </c>
      <c r="M14" s="59">
        <f>'SER_se-appl'!M56</f>
        <v>45.523151326069204</v>
      </c>
      <c r="N14" s="59">
        <f>'SER_se-appl'!N56</f>
        <v>44.816084980859529</v>
      </c>
      <c r="O14" s="59">
        <f>'SER_se-appl'!O56</f>
        <v>43.978957238480028</v>
      </c>
      <c r="P14" s="59">
        <f>'SER_se-appl'!P56</f>
        <v>42.999160811690132</v>
      </c>
      <c r="Q14" s="59">
        <f>'SER_se-appl'!Q56</f>
        <v>41.818383748164862</v>
      </c>
      <c r="R14" s="59">
        <f>'SER_se-appl'!R56</f>
        <v>41.003233557681334</v>
      </c>
      <c r="S14" s="59">
        <f>'SER_se-appl'!S56</f>
        <v>40.25605380114667</v>
      </c>
      <c r="T14" s="59">
        <f>'SER_se-appl'!T56</f>
        <v>39.537050728370446</v>
      </c>
      <c r="U14" s="59">
        <f>'SER_se-appl'!U56</f>
        <v>38.765836443085618</v>
      </c>
      <c r="V14" s="59">
        <f>'SER_se-appl'!V56</f>
        <v>37.911788051979059</v>
      </c>
      <c r="W14" s="59">
        <f>'SER_se-appl'!W56</f>
        <v>37.030090914073348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46.934928712741559</v>
      </c>
      <c r="D15" s="63">
        <f>'SER_se-appl'!D64</f>
        <v>46.486469240056529</v>
      </c>
      <c r="E15" s="63">
        <f>'SER_se-appl'!E64</f>
        <v>46.105797922787623</v>
      </c>
      <c r="F15" s="63">
        <f>'SER_se-appl'!F64</f>
        <v>45.552281651943915</v>
      </c>
      <c r="G15" s="63">
        <f>'SER_se-appl'!G64</f>
        <v>45.05421711685478</v>
      </c>
      <c r="H15" s="63">
        <f>'SER_se-appl'!H64</f>
        <v>44.498377567747298</v>
      </c>
      <c r="I15" s="63">
        <f>'SER_se-appl'!I64</f>
        <v>43.824241406456231</v>
      </c>
      <c r="J15" s="63">
        <f>'SER_se-appl'!J64</f>
        <v>43.014962939496669</v>
      </c>
      <c r="K15" s="63">
        <f>'SER_se-appl'!K64</f>
        <v>42.217864784195953</v>
      </c>
      <c r="L15" s="63">
        <f>'SER_se-appl'!L64</f>
        <v>41.412577921411227</v>
      </c>
      <c r="M15" s="63">
        <f>'SER_se-appl'!M64</f>
        <v>40.378401552666176</v>
      </c>
      <c r="N15" s="63">
        <f>'SER_se-appl'!N64</f>
        <v>39.161782346055567</v>
      </c>
      <c r="O15" s="63">
        <f>'SER_se-appl'!O64</f>
        <v>37.99457824118884</v>
      </c>
      <c r="P15" s="63">
        <f>'SER_se-appl'!P64</f>
        <v>36.748153912161833</v>
      </c>
      <c r="Q15" s="63">
        <f>'SER_se-appl'!Q64</f>
        <v>35.376481661206668</v>
      </c>
      <c r="R15" s="63">
        <f>'SER_se-appl'!R64</f>
        <v>34.93292269439825</v>
      </c>
      <c r="S15" s="63">
        <f>'SER_se-appl'!S64</f>
        <v>34.393259927003456</v>
      </c>
      <c r="T15" s="63">
        <f>'SER_se-appl'!T64</f>
        <v>33.859197586659327</v>
      </c>
      <c r="U15" s="63">
        <f>'SER_se-appl'!U64</f>
        <v>33.329665583570105</v>
      </c>
      <c r="V15" s="63">
        <f>'SER_se-appl'!V64</f>
        <v>32.814527272093628</v>
      </c>
      <c r="W15" s="63">
        <f>'SER_se-appl'!W64</f>
        <v>32.590611499246386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67.688194516241964</v>
      </c>
      <c r="C3" s="199">
        <f>'SER_se-appl'!C9</f>
        <v>74.574634150287537</v>
      </c>
      <c r="D3" s="199">
        <f>'SER_se-appl'!D9</f>
        <v>80.044733972501177</v>
      </c>
      <c r="E3" s="199">
        <f>'SER_se-appl'!E9</f>
        <v>85.663483351842302</v>
      </c>
      <c r="F3" s="199">
        <f>'SER_se-appl'!F9</f>
        <v>91.150557302438671</v>
      </c>
      <c r="G3" s="199">
        <f>'SER_se-appl'!G9</f>
        <v>97.295276445868367</v>
      </c>
      <c r="H3" s="199">
        <f>'SER_se-appl'!H9</f>
        <v>101.93334354600815</v>
      </c>
      <c r="I3" s="199">
        <f>'SER_se-appl'!I9</f>
        <v>107.24320657558076</v>
      </c>
      <c r="J3" s="199">
        <f>'SER_se-appl'!J9</f>
        <v>110.7316934147651</v>
      </c>
      <c r="K3" s="199">
        <f>'SER_se-appl'!K9</f>
        <v>114.2880927951922</v>
      </c>
      <c r="L3" s="199">
        <f>'SER_se-appl'!L9</f>
        <v>118.69429230133579</v>
      </c>
      <c r="M3" s="199">
        <f>'SER_se-appl'!M9</f>
        <v>120.61208437054925</v>
      </c>
      <c r="N3" s="199">
        <f>'SER_se-appl'!N9</f>
        <v>122.96294529589571</v>
      </c>
      <c r="O3" s="199">
        <f>'SER_se-appl'!O9</f>
        <v>128.73573361905062</v>
      </c>
      <c r="P3" s="199">
        <f>'SER_se-appl'!P9</f>
        <v>139.905402965912</v>
      </c>
      <c r="Q3" s="199">
        <f>'SER_se-appl'!Q9</f>
        <v>150.23430158588016</v>
      </c>
      <c r="R3" s="199">
        <f>'SER_se-appl'!R9</f>
        <v>153.40948686294109</v>
      </c>
      <c r="S3" s="199">
        <f>'SER_se-appl'!S9</f>
        <v>156.92552924511449</v>
      </c>
      <c r="T3" s="199">
        <f>'SER_se-appl'!T9</f>
        <v>166.41149548313732</v>
      </c>
      <c r="U3" s="199">
        <f>'SER_se-appl'!U9</f>
        <v>167.01845429093092</v>
      </c>
      <c r="V3" s="199">
        <f>'SER_se-appl'!V9</f>
        <v>158.29564532801353</v>
      </c>
      <c r="W3" s="199">
        <f>'SER_se-appl'!W9</f>
        <v>151.53689461304825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480.37808017244902</v>
      </c>
      <c r="C5" s="59">
        <f>'SER_se-appl'!C17</f>
        <v>523.62164642787286</v>
      </c>
      <c r="D5" s="59">
        <f>'SER_se-appl'!D17</f>
        <v>551.63370064266883</v>
      </c>
      <c r="E5" s="59">
        <f>'SER_se-appl'!E17</f>
        <v>580.51617693421804</v>
      </c>
      <c r="F5" s="59">
        <f>'SER_se-appl'!F17</f>
        <v>607.18801638163029</v>
      </c>
      <c r="G5" s="59">
        <f>'SER_se-appl'!G17</f>
        <v>638.04550728772517</v>
      </c>
      <c r="H5" s="59">
        <f>'SER_se-appl'!H17</f>
        <v>657.95654652510314</v>
      </c>
      <c r="I5" s="59">
        <f>'SER_se-appl'!I17</f>
        <v>684.0434179267487</v>
      </c>
      <c r="J5" s="59">
        <f>'SER_se-appl'!J17</f>
        <v>698.28276406387681</v>
      </c>
      <c r="K5" s="59">
        <f>'SER_se-appl'!K17</f>
        <v>714.84137858463157</v>
      </c>
      <c r="L5" s="59">
        <f>'SER_se-appl'!L17</f>
        <v>733.32094313822927</v>
      </c>
      <c r="M5" s="59">
        <f>'SER_se-appl'!M17</f>
        <v>737.19241370024406</v>
      </c>
      <c r="N5" s="59">
        <f>'SER_se-appl'!N17</f>
        <v>745.66523065167792</v>
      </c>
      <c r="O5" s="59">
        <f>'SER_se-appl'!O17</f>
        <v>774.02815951037019</v>
      </c>
      <c r="P5" s="59">
        <f>'SER_se-appl'!P17</f>
        <v>832.51299249693307</v>
      </c>
      <c r="Q5" s="59">
        <f>'SER_se-appl'!Q17</f>
        <v>884.5890346892063</v>
      </c>
      <c r="R5" s="59">
        <f>'SER_se-appl'!R17</f>
        <v>907.10600270208442</v>
      </c>
      <c r="S5" s="59">
        <f>'SER_se-appl'!S17</f>
        <v>910.57149100585627</v>
      </c>
      <c r="T5" s="59">
        <f>'SER_se-appl'!T17</f>
        <v>963.95353103800721</v>
      </c>
      <c r="U5" s="59">
        <f>'SER_se-appl'!U17</f>
        <v>964.73238711974273</v>
      </c>
      <c r="V5" s="59">
        <f>'SER_se-appl'!V17</f>
        <v>963.77406614297593</v>
      </c>
      <c r="W5" s="59">
        <f>'SER_se-appl'!W17</f>
        <v>934.21798683270765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0.12305109388842714</v>
      </c>
      <c r="C6" s="202">
        <f>'SER_se-appl'!C73</f>
        <v>0.1363616951805936</v>
      </c>
      <c r="D6" s="202">
        <f>'SER_se-appl'!D73</f>
        <v>0.14684667454761471</v>
      </c>
      <c r="E6" s="202">
        <f>'SER_se-appl'!E73</f>
        <v>0.15922984197005724</v>
      </c>
      <c r="F6" s="202">
        <f>'SER_se-appl'!F73</f>
        <v>0.17300789047954326</v>
      </c>
      <c r="G6" s="202">
        <f>'SER_se-appl'!G73</f>
        <v>0.18988150104043575</v>
      </c>
      <c r="H6" s="202">
        <f>'SER_se-appl'!H73</f>
        <v>0.20573382282645561</v>
      </c>
      <c r="I6" s="202">
        <f>'SER_se-appl'!I73</f>
        <v>0.22418907852649048</v>
      </c>
      <c r="J6" s="202">
        <f>'SER_se-appl'!J73</f>
        <v>0.24010345056304061</v>
      </c>
      <c r="K6" s="202">
        <f>'SER_se-appl'!K73</f>
        <v>0.25956037824904499</v>
      </c>
      <c r="L6" s="202">
        <f>'SER_se-appl'!L73</f>
        <v>0.28317770884455462</v>
      </c>
      <c r="M6" s="202">
        <f>'SER_se-appl'!M73</f>
        <v>0.30743434727986524</v>
      </c>
      <c r="N6" s="202">
        <f>'SER_se-appl'!N73</f>
        <v>0.33301518540350322</v>
      </c>
      <c r="O6" s="202">
        <f>'SER_se-appl'!O73</f>
        <v>0.36814076291438697</v>
      </c>
      <c r="P6" s="202">
        <f>'SER_se-appl'!P73</f>
        <v>0.41610766805013633</v>
      </c>
      <c r="Q6" s="202">
        <f>'SER_se-appl'!Q73</f>
        <v>0.45683447445474623</v>
      </c>
      <c r="R6" s="202">
        <f>'SER_se-appl'!R73</f>
        <v>0.47837923511248831</v>
      </c>
      <c r="S6" s="202">
        <f>'SER_se-appl'!S73</f>
        <v>0.48935389966451065</v>
      </c>
      <c r="T6" s="202">
        <f>'SER_se-appl'!T73</f>
        <v>0.52780619518344885</v>
      </c>
      <c r="U6" s="202">
        <f>'SER_se-appl'!U73</f>
        <v>0.53943773978388765</v>
      </c>
      <c r="V6" s="202">
        <f>'SER_se-appl'!V73</f>
        <v>0.55139139778956692</v>
      </c>
      <c r="W6" s="202">
        <f>'SER_se-appl'!W73</f>
        <v>0.54671016731580768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1261.1533683865553</v>
      </c>
      <c r="C8" s="34">
        <f>'SER_se-appl'!C25</f>
        <v>1408.7218551676017</v>
      </c>
      <c r="D8" s="34">
        <f>'SER_se-appl'!D25</f>
        <v>1526.4225756731796</v>
      </c>
      <c r="E8" s="34">
        <f>'SER_se-appl'!E25</f>
        <v>1663.090733601724</v>
      </c>
      <c r="F8" s="34">
        <f>'SER_se-appl'!F25</f>
        <v>1811.9202873867805</v>
      </c>
      <c r="G8" s="34">
        <f>'SER_se-appl'!G25</f>
        <v>1992.7440722870319</v>
      </c>
      <c r="H8" s="34">
        <f>'SER_se-appl'!H25</f>
        <v>2162.6714767458275</v>
      </c>
      <c r="I8" s="34">
        <f>'SER_se-appl'!I25</f>
        <v>2361.2911982191713</v>
      </c>
      <c r="J8" s="34">
        <f>'SER_se-appl'!J25</f>
        <v>2533.8931088615082</v>
      </c>
      <c r="K8" s="34">
        <f>'SER_se-appl'!K25</f>
        <v>2741.7399092899577</v>
      </c>
      <c r="L8" s="34">
        <f>'SER_se-appl'!L25</f>
        <v>2994.1735577360128</v>
      </c>
      <c r="M8" s="34">
        <f>'SER_se-appl'!M25</f>
        <v>3250.417579607124</v>
      </c>
      <c r="N8" s="34">
        <f>'SER_se-appl'!N25</f>
        <v>3510.7786245675215</v>
      </c>
      <c r="O8" s="34">
        <f>'SER_se-appl'!O25</f>
        <v>3860.7985733636583</v>
      </c>
      <c r="P8" s="34">
        <f>'SER_se-appl'!P25</f>
        <v>4338.879903166855</v>
      </c>
      <c r="Q8" s="34">
        <f>'SER_se-appl'!Q25</f>
        <v>4739.5763559315392</v>
      </c>
      <c r="R8" s="34">
        <f>'SER_se-appl'!R25</f>
        <v>4947.0775354458292</v>
      </c>
      <c r="S8" s="34">
        <f>'SER_se-appl'!S25</f>
        <v>5045.0297514259482</v>
      </c>
      <c r="T8" s="34">
        <f>'SER_se-appl'!T25</f>
        <v>5431.6678054001422</v>
      </c>
      <c r="U8" s="34">
        <f>'SER_se-appl'!U25</f>
        <v>5543.5950471046763</v>
      </c>
      <c r="V8" s="34">
        <f>'SER_se-appl'!V25</f>
        <v>5677.0756550241822</v>
      </c>
      <c r="W8" s="34">
        <f>'SER_se-appl'!W25</f>
        <v>5630.1590739803514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399.79916045835751</v>
      </c>
      <c r="D9" s="36">
        <f>'SER_se-appl'!D33</f>
        <v>369.93139418288888</v>
      </c>
      <c r="E9" s="36">
        <f>'SER_se-appl'!E33</f>
        <v>388.89883160585532</v>
      </c>
      <c r="F9" s="36">
        <f>'SER_se-appl'!F33</f>
        <v>401.06022746236772</v>
      </c>
      <c r="G9" s="36">
        <f>'SER_se-appl'!G33</f>
        <v>433.0544585775624</v>
      </c>
      <c r="H9" s="36">
        <f>'SER_se-appl'!H33</f>
        <v>569.72656491715315</v>
      </c>
      <c r="I9" s="36">
        <f>'SER_se-appl'!I33</f>
        <v>568.5511156562327</v>
      </c>
      <c r="J9" s="36">
        <f>'SER_se-appl'!J33</f>
        <v>561.50074224819218</v>
      </c>
      <c r="K9" s="36">
        <f>'SER_se-appl'!K33</f>
        <v>608.90702789081752</v>
      </c>
      <c r="L9" s="36">
        <f>'SER_se-appl'!L33</f>
        <v>685.48810702361743</v>
      </c>
      <c r="M9" s="36">
        <f>'SER_se-appl'!M33</f>
        <v>825.97058678826443</v>
      </c>
      <c r="N9" s="36">
        <f>'SER_se-appl'!N33</f>
        <v>828.91216061662999</v>
      </c>
      <c r="O9" s="36">
        <f>'SER_se-appl'!O33</f>
        <v>911.52069104432894</v>
      </c>
      <c r="P9" s="36">
        <f>'SER_se-appl'!P33</f>
        <v>1086.9883576940142</v>
      </c>
      <c r="Q9" s="36">
        <f>'SER_se-appl'!Q33</f>
        <v>1086.1845597883016</v>
      </c>
      <c r="R9" s="36">
        <f>'SER_se-appl'!R33</f>
        <v>1033.4717663025544</v>
      </c>
      <c r="S9" s="36">
        <f>'SER_se-appl'!S33</f>
        <v>926.86437659674903</v>
      </c>
      <c r="T9" s="36">
        <f>'SER_se-appl'!T33</f>
        <v>1298.1587450185234</v>
      </c>
      <c r="U9" s="36">
        <f>'SER_se-appl'!U33</f>
        <v>1198.9155993985478</v>
      </c>
      <c r="V9" s="36">
        <f>'SER_se-appl'!V33</f>
        <v>1219.665167707808</v>
      </c>
      <c r="W9" s="36">
        <f>'SER_se-appl'!W33</f>
        <v>986.55518525872412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252.23067367731096</v>
      </c>
      <c r="D10" s="38">
        <f>'SER_se-appl'!D41</f>
        <v>252.23067367731096</v>
      </c>
      <c r="E10" s="38">
        <f>'SER_se-appl'!E41</f>
        <v>252.23067367731096</v>
      </c>
      <c r="F10" s="38">
        <f>'SER_se-appl'!F41</f>
        <v>252.23067367731096</v>
      </c>
      <c r="G10" s="38">
        <f>'SER_se-appl'!G41</f>
        <v>252.23067367731119</v>
      </c>
      <c r="H10" s="38">
        <f>'SER_se-appl'!H41</f>
        <v>399.79916045835762</v>
      </c>
      <c r="I10" s="38">
        <f>'SER_se-appl'!I41</f>
        <v>369.93139418288911</v>
      </c>
      <c r="J10" s="38">
        <f>'SER_se-appl'!J41</f>
        <v>388.89883160585532</v>
      </c>
      <c r="K10" s="38">
        <f>'SER_se-appl'!K41</f>
        <v>401.06022746236795</v>
      </c>
      <c r="L10" s="38">
        <f>'SER_se-appl'!L41</f>
        <v>433.0544585775624</v>
      </c>
      <c r="M10" s="38">
        <f>'SER_se-appl'!M41</f>
        <v>569.72656491715315</v>
      </c>
      <c r="N10" s="38">
        <f>'SER_se-appl'!N41</f>
        <v>568.55111565623247</v>
      </c>
      <c r="O10" s="38">
        <f>'SER_se-appl'!O41</f>
        <v>561.50074224819173</v>
      </c>
      <c r="P10" s="38">
        <f>'SER_se-appl'!P41</f>
        <v>608.90702789081752</v>
      </c>
      <c r="Q10" s="38">
        <f>'SER_se-appl'!Q41</f>
        <v>685.48810702361789</v>
      </c>
      <c r="R10" s="38">
        <f>'SER_se-appl'!R41</f>
        <v>825.97058678826397</v>
      </c>
      <c r="S10" s="38">
        <f>'SER_se-appl'!S41</f>
        <v>828.91216061662999</v>
      </c>
      <c r="T10" s="38">
        <f>'SER_se-appl'!T41</f>
        <v>911.5206910443294</v>
      </c>
      <c r="U10" s="38">
        <f>'SER_se-appl'!U41</f>
        <v>1086.9883576940138</v>
      </c>
      <c r="V10" s="38">
        <f>'SER_se-appl'!V41</f>
        <v>1086.1845597883021</v>
      </c>
      <c r="W10" s="38">
        <f>'SER_se-appl'!W41</f>
        <v>1033.4717663025549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1638.7377665968759</v>
      </c>
      <c r="C12" s="205">
        <f>'SER_se-appl'!C49</f>
        <v>1656.3543564032395</v>
      </c>
      <c r="D12" s="205">
        <f>'SER_se-appl'!D49</f>
        <v>1687.5695865130074</v>
      </c>
      <c r="E12" s="205">
        <f>'SER_se-appl'!E49</f>
        <v>1716.1732109574255</v>
      </c>
      <c r="F12" s="205">
        <f>'SER_se-appl'!F49</f>
        <v>1745.8858752592355</v>
      </c>
      <c r="G12" s="205">
        <f>'SER_se-appl'!G49</f>
        <v>1773.4535423273214</v>
      </c>
      <c r="H12" s="205">
        <f>'SER_se-appl'!H49</f>
        <v>1801.7675965092699</v>
      </c>
      <c r="I12" s="205">
        <f>'SER_se-appl'!I49</f>
        <v>1823.3323496543981</v>
      </c>
      <c r="J12" s="205">
        <f>'SER_se-appl'!J49</f>
        <v>1844.2523010576747</v>
      </c>
      <c r="K12" s="205">
        <f>'SER_se-appl'!K49</f>
        <v>1859.3922498440288</v>
      </c>
      <c r="L12" s="205">
        <f>'SER_se-appl'!L49</f>
        <v>1882.4153767613459</v>
      </c>
      <c r="M12" s="205">
        <f>'SER_se-appl'!M49</f>
        <v>1902.7848295246552</v>
      </c>
      <c r="N12" s="205">
        <f>'SER_se-appl'!N49</f>
        <v>1917.8298719137806</v>
      </c>
      <c r="O12" s="205">
        <f>'SER_se-appl'!O49</f>
        <v>1934.2921360078756</v>
      </c>
      <c r="P12" s="205">
        <f>'SER_se-appl'!P49</f>
        <v>1954.4437758423942</v>
      </c>
      <c r="Q12" s="205">
        <f>'SER_se-appl'!Q49</f>
        <v>1975.1826655387613</v>
      </c>
      <c r="R12" s="205">
        <f>'SER_se-appl'!R49</f>
        <v>1966.8620060956246</v>
      </c>
      <c r="S12" s="205">
        <f>'SER_se-appl'!S49</f>
        <v>2004.2840382633326</v>
      </c>
      <c r="T12" s="205">
        <f>'SER_se-appl'!T49</f>
        <v>2007.7375414402402</v>
      </c>
      <c r="U12" s="205">
        <f>'SER_se-appl'!U49</f>
        <v>2013.4336209057244</v>
      </c>
      <c r="V12" s="205">
        <f>'SER_se-appl'!V49</f>
        <v>1910.1762745415979</v>
      </c>
      <c r="W12" s="205">
        <f>'SER_se-appl'!W49</f>
        <v>1886.4698701903105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380.90377603083772</v>
      </c>
      <c r="C14" s="59">
        <f>'SER_se-appl'!C57</f>
        <v>371.69981036858076</v>
      </c>
      <c r="D14" s="59">
        <f>'SER_se-appl'!D57</f>
        <v>361.3898991237001</v>
      </c>
      <c r="E14" s="59">
        <f>'SER_se-appl'!E57</f>
        <v>349.05863234353137</v>
      </c>
      <c r="F14" s="59">
        <f>'SER_se-appl'!F57</f>
        <v>335.10746615533498</v>
      </c>
      <c r="G14" s="59">
        <f>'SER_se-appl'!G57</f>
        <v>320.18437096914977</v>
      </c>
      <c r="H14" s="59">
        <f>'SER_se-appl'!H57</f>
        <v>304.23323819627501</v>
      </c>
      <c r="I14" s="59">
        <f>'SER_se-appl'!I57</f>
        <v>289.69041109484408</v>
      </c>
      <c r="J14" s="59">
        <f>'SER_se-appl'!J57</f>
        <v>275.57704057122561</v>
      </c>
      <c r="K14" s="59">
        <f>'SER_se-appl'!K57</f>
        <v>260.72545253563374</v>
      </c>
      <c r="L14" s="59">
        <f>'SER_se-appl'!L57</f>
        <v>244.91597731319089</v>
      </c>
      <c r="M14" s="59">
        <f>'SER_se-appl'!M57</f>
        <v>226.79929444306907</v>
      </c>
      <c r="N14" s="59">
        <f>'SER_se-appl'!N57</f>
        <v>212.39312141007849</v>
      </c>
      <c r="O14" s="59">
        <f>'SER_se-appl'!O57</f>
        <v>200.48395294448389</v>
      </c>
      <c r="P14" s="59">
        <f>'SER_se-appl'!P57</f>
        <v>191.87279000031776</v>
      </c>
      <c r="Q14" s="59">
        <f>'SER_se-appl'!Q57</f>
        <v>186.63884032212093</v>
      </c>
      <c r="R14" s="59">
        <f>'SER_se-appl'!R57</f>
        <v>183.36199426887217</v>
      </c>
      <c r="S14" s="59">
        <f>'SER_se-appl'!S57</f>
        <v>180.4888248178296</v>
      </c>
      <c r="T14" s="59">
        <f>'SER_se-appl'!T57</f>
        <v>177.46916151235325</v>
      </c>
      <c r="U14" s="59">
        <f>'SER_se-appl'!U57</f>
        <v>174.02648983597851</v>
      </c>
      <c r="V14" s="59">
        <f>'SER_se-appl'!V57</f>
        <v>169.76593667375931</v>
      </c>
      <c r="W14" s="59">
        <f>'SER_se-appl'!W57</f>
        <v>165.93101092830116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348.47292358040067</v>
      </c>
      <c r="D15" s="63">
        <f>'SER_se-appl'!D65</f>
        <v>335.43427835686384</v>
      </c>
      <c r="E15" s="63">
        <f>'SER_se-appl'!E65</f>
        <v>321.31259384364176</v>
      </c>
      <c r="F15" s="63">
        <f>'SER_se-appl'!F65</f>
        <v>306.05741252021733</v>
      </c>
      <c r="G15" s="63">
        <f>'SER_se-appl'!G65</f>
        <v>293.11118827298782</v>
      </c>
      <c r="H15" s="63">
        <f>'SER_se-appl'!H65</f>
        <v>279.48533793653462</v>
      </c>
      <c r="I15" s="63">
        <f>'SER_se-appl'!I65</f>
        <v>264.13551484741532</v>
      </c>
      <c r="J15" s="63">
        <f>'SER_se-appl'!J65</f>
        <v>247.90250126087938</v>
      </c>
      <c r="K15" s="63">
        <f>'SER_se-appl'!K65</f>
        <v>228.7805257975044</v>
      </c>
      <c r="L15" s="63">
        <f>'SER_se-appl'!L65</f>
        <v>212.13011575877334</v>
      </c>
      <c r="M15" s="63">
        <f>'SER_se-appl'!M65</f>
        <v>197.46670728738312</v>
      </c>
      <c r="N15" s="63">
        <f>'SER_se-appl'!N65</f>
        <v>191.39224412433168</v>
      </c>
      <c r="O15" s="63">
        <f>'SER_se-appl'!O65</f>
        <v>183.82508369600004</v>
      </c>
      <c r="P15" s="63">
        <f>'SER_se-appl'!P65</f>
        <v>181.96230124195836</v>
      </c>
      <c r="Q15" s="63">
        <f>'SER_se-appl'!Q65</f>
        <v>181.81874517250219</v>
      </c>
      <c r="R15" s="63">
        <f>'SER_se-appl'!R65</f>
        <v>179.60689992167954</v>
      </c>
      <c r="S15" s="63">
        <f>'SER_se-appl'!S65</f>
        <v>174.90460416806783</v>
      </c>
      <c r="T15" s="63">
        <f>'SER_se-appl'!T65</f>
        <v>170.19675613775411</v>
      </c>
      <c r="U15" s="63">
        <f>'SER_se-appl'!U65</f>
        <v>165.62446862028526</v>
      </c>
      <c r="V15" s="63">
        <f>'SER_se-appl'!V65</f>
        <v>161.13470968351129</v>
      </c>
      <c r="W15" s="63">
        <f>'SER_se-appl'!W65</f>
        <v>158.18940807755081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5278.783873099801</v>
      </c>
      <c r="C3" s="220">
        <v>5132.5264286808642</v>
      </c>
      <c r="D3" s="220">
        <v>4764.1607855170296</v>
      </c>
      <c r="E3" s="220">
        <v>4602.6124059569511</v>
      </c>
      <c r="F3" s="220">
        <v>4592.8493589000454</v>
      </c>
      <c r="G3" s="220">
        <v>4120.7929505477769</v>
      </c>
      <c r="H3" s="220">
        <v>4113.7002547658794</v>
      </c>
      <c r="I3" s="220">
        <v>3735.776688685276</v>
      </c>
      <c r="J3" s="220">
        <v>3675.3887309814409</v>
      </c>
      <c r="K3" s="220">
        <v>3496.48991937544</v>
      </c>
      <c r="L3" s="220">
        <v>3555.937123116862</v>
      </c>
      <c r="M3" s="220">
        <v>3349.0610060871281</v>
      </c>
      <c r="N3" s="220">
        <v>3400.934726671218</v>
      </c>
      <c r="O3" s="220">
        <v>3664.5809826648888</v>
      </c>
      <c r="P3" s="220">
        <v>3664.1781911638718</v>
      </c>
      <c r="Q3" s="220">
        <v>3773</v>
      </c>
      <c r="R3" s="220">
        <v>3783.4520009820772</v>
      </c>
      <c r="S3" s="220">
        <v>3977.9155366137161</v>
      </c>
      <c r="T3" s="220">
        <v>3973.564092810956</v>
      </c>
      <c r="U3" s="220">
        <v>4179.9391302724198</v>
      </c>
      <c r="V3" s="220">
        <v>3984.1336574844172</v>
      </c>
      <c r="W3" s="220">
        <v>4184.100795230418</v>
      </c>
      <c r="DA3" s="211" t="s">
        <v>972</v>
      </c>
    </row>
    <row r="5" spans="1:105" x14ac:dyDescent="0.25">
      <c r="A5" s="219" t="s">
        <v>120</v>
      </c>
      <c r="B5" s="220">
        <v>5510.3427174172321</v>
      </c>
      <c r="C5" s="220">
        <v>6778.4975420978126</v>
      </c>
      <c r="D5" s="220">
        <v>6363.7058219452028</v>
      </c>
      <c r="E5" s="220">
        <v>4340.3571114487131</v>
      </c>
      <c r="F5" s="220">
        <v>4274.9319881369865</v>
      </c>
      <c r="G5" s="220">
        <v>4854.413283448248</v>
      </c>
      <c r="H5" s="220">
        <v>3055.046441161418</v>
      </c>
      <c r="I5" s="220">
        <v>3345.184445986622</v>
      </c>
      <c r="J5" s="220">
        <v>2752.2685022144392</v>
      </c>
      <c r="K5" s="220">
        <v>2373.4315923898839</v>
      </c>
      <c r="L5" s="220">
        <v>3541.7158450954321</v>
      </c>
      <c r="M5" s="220">
        <v>3224.3678243639938</v>
      </c>
      <c r="N5" s="220">
        <v>3074.5160759110959</v>
      </c>
      <c r="O5" s="220">
        <v>3174.1304392389188</v>
      </c>
      <c r="P5" s="220">
        <v>3285.3665213316472</v>
      </c>
      <c r="Q5" s="220">
        <v>3319.834926380905</v>
      </c>
      <c r="R5" s="220">
        <v>3218.985721778783</v>
      </c>
      <c r="S5" s="220">
        <v>3680.9200886903641</v>
      </c>
      <c r="T5" s="220">
        <v>3299.591866214018</v>
      </c>
      <c r="U5" s="220">
        <v>3361.4253337537848</v>
      </c>
      <c r="V5" s="220">
        <v>3394.651087405698</v>
      </c>
      <c r="W5" s="220">
        <v>3733.0160990865579</v>
      </c>
      <c r="DA5" s="211" t="s">
        <v>973</v>
      </c>
    </row>
    <row r="6" spans="1:105" x14ac:dyDescent="0.25">
      <c r="A6" s="221" t="s">
        <v>119</v>
      </c>
      <c r="B6" s="222">
        <v>6887.9283967715401</v>
      </c>
      <c r="C6" s="222">
        <v>7232.3248166101166</v>
      </c>
      <c r="D6" s="222">
        <v>6887.9283967715401</v>
      </c>
      <c r="E6" s="222">
        <v>6887.9283967715401</v>
      </c>
      <c r="F6" s="222">
        <v>6543.5319769329644</v>
      </c>
      <c r="G6" s="222">
        <v>6199.135557094387</v>
      </c>
      <c r="H6" s="222">
        <v>6199.135557094387</v>
      </c>
      <c r="I6" s="222">
        <v>5854.7391372558104</v>
      </c>
      <c r="J6" s="222">
        <v>5510.3427174172339</v>
      </c>
      <c r="K6" s="222">
        <v>5510.3427174172339</v>
      </c>
      <c r="L6" s="222">
        <v>5165.9462975786573</v>
      </c>
      <c r="M6" s="222">
        <v>5165.9462975786573</v>
      </c>
      <c r="N6" s="222">
        <v>4821.5498777400808</v>
      </c>
      <c r="O6" s="222">
        <v>4477.1534579015042</v>
      </c>
      <c r="P6" s="222">
        <v>4132.7570380629277</v>
      </c>
      <c r="Q6" s="222">
        <v>4132.7570380629277</v>
      </c>
      <c r="R6" s="222">
        <v>3788.3606182243511</v>
      </c>
      <c r="S6" s="222">
        <v>4132.7570380629277</v>
      </c>
      <c r="T6" s="222">
        <v>3788.3606182243511</v>
      </c>
      <c r="U6" s="222">
        <v>3788.3606182243511</v>
      </c>
      <c r="V6" s="222">
        <v>3788.3606182243511</v>
      </c>
      <c r="W6" s="222">
        <v>4132.7570380629277</v>
      </c>
      <c r="DA6" s="212" t="s">
        <v>974</v>
      </c>
    </row>
    <row r="7" spans="1:105" x14ac:dyDescent="0.25">
      <c r="A7" s="225" t="s">
        <v>118</v>
      </c>
      <c r="B7" s="226"/>
      <c r="C7" s="226">
        <v>688.79283967715401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344.396419838577</v>
      </c>
      <c r="T7" s="226">
        <v>0</v>
      </c>
      <c r="U7" s="226">
        <v>344.396419838577</v>
      </c>
      <c r="V7" s="226">
        <v>344.396419838577</v>
      </c>
      <c r="W7" s="226">
        <v>344.396419838577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344.39641983857746</v>
      </c>
      <c r="D8" s="228">
        <f t="shared" ref="D8" si="1">IF(C6=0,0,C6+D7-D6)</f>
        <v>344.39641983857655</v>
      </c>
      <c r="E8" s="228">
        <f t="shared" ref="E8" si="2">IF(D6=0,0,D6+E7-E6)</f>
        <v>0</v>
      </c>
      <c r="F8" s="228">
        <f t="shared" ref="F8" si="3">IF(E6=0,0,E6+F7-F6)</f>
        <v>344.39641983857564</v>
      </c>
      <c r="G8" s="228">
        <f t="shared" ref="G8" si="4">IF(F6=0,0,F6+G7-G6)</f>
        <v>344.39641983857746</v>
      </c>
      <c r="H8" s="228">
        <f t="shared" ref="H8" si="5">IF(G6=0,0,G6+H7-H6)</f>
        <v>0</v>
      </c>
      <c r="I8" s="228">
        <f t="shared" ref="I8" si="6">IF(H6=0,0,H6+I7-I6)</f>
        <v>344.39641983857655</v>
      </c>
      <c r="J8" s="228">
        <f t="shared" ref="J8" si="7">IF(I6=0,0,I6+J7-J6)</f>
        <v>344.39641983857655</v>
      </c>
      <c r="K8" s="228">
        <f t="shared" ref="K8" si="8">IF(J6=0,0,J6+K7-K6)</f>
        <v>0</v>
      </c>
      <c r="L8" s="228">
        <f t="shared" ref="L8" si="9">IF(K6=0,0,K6+L7-L6)</f>
        <v>344.39641983857655</v>
      </c>
      <c r="M8" s="228">
        <f t="shared" ref="M8" si="10">IF(L6=0,0,L6+M7-M6)</f>
        <v>0</v>
      </c>
      <c r="N8" s="228">
        <f t="shared" ref="N8" si="11">IF(M6=0,0,M6+N7-N6)</f>
        <v>344.39641983857655</v>
      </c>
      <c r="O8" s="228">
        <f t="shared" ref="O8" si="12">IF(N6=0,0,N6+O7-O6)</f>
        <v>344.39641983857655</v>
      </c>
      <c r="P8" s="228">
        <f t="shared" ref="P8" si="13">IF(O6=0,0,O6+P7-P6)</f>
        <v>344.39641983857655</v>
      </c>
      <c r="Q8" s="228">
        <f t="shared" ref="Q8" si="14">IF(P6=0,0,P6+Q7-Q6)</f>
        <v>0</v>
      </c>
      <c r="R8" s="228">
        <f t="shared" ref="R8" si="15">IF(Q6=0,0,Q6+R7-R6)</f>
        <v>344.39641983857655</v>
      </c>
      <c r="S8" s="228">
        <f t="shared" ref="S8" si="16">IF(R6=0,0,R6+S7-S6)</f>
        <v>0</v>
      </c>
      <c r="T8" s="228">
        <f t="shared" ref="T8" si="17">IF(S6=0,0,S6+T7-T6)</f>
        <v>344.39641983857655</v>
      </c>
      <c r="U8" s="228">
        <f t="shared" ref="U8" si="18">IF(T6=0,0,T6+U7-U6)</f>
        <v>344.39641983857655</v>
      </c>
      <c r="V8" s="228">
        <f t="shared" ref="V8" si="19">IF(U6=0,0,U6+V7-V6)</f>
        <v>344.39641983857655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1377.585679354308</v>
      </c>
      <c r="C9" s="224">
        <f t="shared" ref="C9:W9" si="21">C6-C5</f>
        <v>453.82727451230403</v>
      </c>
      <c r="D9" s="224">
        <f t="shared" si="21"/>
        <v>524.22257482633722</v>
      </c>
      <c r="E9" s="224">
        <f t="shared" si="21"/>
        <v>2547.571285322827</v>
      </c>
      <c r="F9" s="224">
        <f t="shared" si="21"/>
        <v>2268.5999887959779</v>
      </c>
      <c r="G9" s="224">
        <f t="shared" si="21"/>
        <v>1344.722273646139</v>
      </c>
      <c r="H9" s="224">
        <f t="shared" si="21"/>
        <v>3144.089115932969</v>
      </c>
      <c r="I9" s="224">
        <f t="shared" si="21"/>
        <v>2509.5546912691884</v>
      </c>
      <c r="J9" s="224">
        <f t="shared" si="21"/>
        <v>2758.0742152027947</v>
      </c>
      <c r="K9" s="224">
        <f t="shared" si="21"/>
        <v>3136.91112502735</v>
      </c>
      <c r="L9" s="224">
        <f t="shared" si="21"/>
        <v>1624.2304524832252</v>
      </c>
      <c r="M9" s="224">
        <f t="shared" si="21"/>
        <v>1941.5784732146635</v>
      </c>
      <c r="N9" s="224">
        <f t="shared" si="21"/>
        <v>1747.0338018289849</v>
      </c>
      <c r="O9" s="224">
        <f t="shared" si="21"/>
        <v>1303.0230186625854</v>
      </c>
      <c r="P9" s="224">
        <f t="shared" si="21"/>
        <v>847.39051673128051</v>
      </c>
      <c r="Q9" s="224">
        <f t="shared" si="21"/>
        <v>812.92211168202266</v>
      </c>
      <c r="R9" s="224">
        <f t="shared" si="21"/>
        <v>569.37489644556808</v>
      </c>
      <c r="S9" s="224">
        <f t="shared" si="21"/>
        <v>451.83694937256359</v>
      </c>
      <c r="T9" s="224">
        <f t="shared" si="21"/>
        <v>488.76875201033317</v>
      </c>
      <c r="U9" s="224">
        <f t="shared" si="21"/>
        <v>426.93528447056633</v>
      </c>
      <c r="V9" s="224">
        <f t="shared" si="21"/>
        <v>393.70953081865309</v>
      </c>
      <c r="W9" s="224">
        <f t="shared" si="21"/>
        <v>399.74093897636976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696.83179303196255</v>
      </c>
      <c r="C12" s="230">
        <f t="shared" ref="C12:W12" si="22">SUM(C13,C14,C18,C19,C26,C27)</f>
        <v>829.33585448979989</v>
      </c>
      <c r="D12" s="230">
        <f t="shared" si="22"/>
        <v>813.34881995161152</v>
      </c>
      <c r="E12" s="230">
        <f t="shared" si="22"/>
        <v>587.82706525953165</v>
      </c>
      <c r="F12" s="230">
        <f t="shared" si="22"/>
        <v>576.44734885444143</v>
      </c>
      <c r="G12" s="230">
        <f t="shared" si="22"/>
        <v>749.65032516341091</v>
      </c>
      <c r="H12" s="230">
        <f t="shared" si="22"/>
        <v>448.87858985382621</v>
      </c>
      <c r="I12" s="230">
        <f t="shared" si="22"/>
        <v>459.08813413585546</v>
      </c>
      <c r="J12" s="230">
        <f t="shared" si="22"/>
        <v>383.46595012897671</v>
      </c>
      <c r="K12" s="230">
        <f t="shared" si="22"/>
        <v>371.11031814273429</v>
      </c>
      <c r="L12" s="230">
        <f t="shared" si="22"/>
        <v>512.08202923473766</v>
      </c>
      <c r="M12" s="230">
        <f t="shared" si="22"/>
        <v>428.19690455717966</v>
      </c>
      <c r="N12" s="230">
        <f t="shared" si="22"/>
        <v>415.19191745485813</v>
      </c>
      <c r="O12" s="230">
        <f t="shared" si="22"/>
        <v>422.00128976784185</v>
      </c>
      <c r="P12" s="230">
        <f t="shared" si="22"/>
        <v>427.62132416165082</v>
      </c>
      <c r="Q12" s="230">
        <f t="shared" si="22"/>
        <v>441.26638005159072</v>
      </c>
      <c r="R12" s="230">
        <f t="shared" si="22"/>
        <v>435.80369733447969</v>
      </c>
      <c r="S12" s="230">
        <f t="shared" si="22"/>
        <v>459.75468615649174</v>
      </c>
      <c r="T12" s="230">
        <f t="shared" si="22"/>
        <v>466.16586414445391</v>
      </c>
      <c r="U12" s="230">
        <f t="shared" si="22"/>
        <v>477.36268271711094</v>
      </c>
      <c r="V12" s="230">
        <f t="shared" si="22"/>
        <v>504.53344797936381</v>
      </c>
      <c r="W12" s="230">
        <f t="shared" si="22"/>
        <v>532.10464316423031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633.43256689266764</v>
      </c>
      <c r="C14" s="55">
        <f t="shared" ref="C14:W14" si="23">SUM(C15:C17)</f>
        <v>758.69002473915509</v>
      </c>
      <c r="D14" s="55">
        <f t="shared" si="23"/>
        <v>735.77409940131054</v>
      </c>
      <c r="E14" s="55">
        <f t="shared" si="23"/>
        <v>507.51511341086439</v>
      </c>
      <c r="F14" s="55">
        <f t="shared" si="23"/>
        <v>488.35620526028845</v>
      </c>
      <c r="G14" s="55">
        <f t="shared" si="23"/>
        <v>656.9160173388193</v>
      </c>
      <c r="H14" s="55">
        <f t="shared" si="23"/>
        <v>361.18392089423895</v>
      </c>
      <c r="I14" s="55">
        <f t="shared" si="23"/>
        <v>359.06182287188301</v>
      </c>
      <c r="J14" s="55">
        <f t="shared" si="23"/>
        <v>287.81289767841781</v>
      </c>
      <c r="K14" s="55">
        <f t="shared" si="23"/>
        <v>272.65090283748918</v>
      </c>
      <c r="L14" s="55">
        <f t="shared" si="23"/>
        <v>415.96319862424758</v>
      </c>
      <c r="M14" s="55">
        <f t="shared" si="23"/>
        <v>336.36061908856408</v>
      </c>
      <c r="N14" s="55">
        <f t="shared" si="23"/>
        <v>315.53336199484096</v>
      </c>
      <c r="O14" s="55">
        <f t="shared" si="23"/>
        <v>327.80997420464325</v>
      </c>
      <c r="P14" s="55">
        <f t="shared" si="23"/>
        <v>345.10240756663796</v>
      </c>
      <c r="Q14" s="55">
        <f t="shared" si="23"/>
        <v>355.46835769561477</v>
      </c>
      <c r="R14" s="55">
        <f t="shared" si="23"/>
        <v>350.30928632846076</v>
      </c>
      <c r="S14" s="55">
        <f t="shared" si="23"/>
        <v>359.56818572656914</v>
      </c>
      <c r="T14" s="55">
        <f t="shared" si="23"/>
        <v>361.48374892519337</v>
      </c>
      <c r="U14" s="55">
        <f t="shared" si="23"/>
        <v>376.74574376612208</v>
      </c>
      <c r="V14" s="55">
        <f t="shared" si="23"/>
        <v>399.62674118658651</v>
      </c>
      <c r="W14" s="55">
        <f t="shared" si="23"/>
        <v>411.27987962166793</v>
      </c>
      <c r="DA14" s="10"/>
    </row>
    <row r="15" spans="1:105" x14ac:dyDescent="0.25">
      <c r="A15" s="61" t="s">
        <v>52</v>
      </c>
      <c r="B15" s="55">
        <v>11.297420464316421</v>
      </c>
      <c r="C15" s="55">
        <v>11.297420464316421</v>
      </c>
      <c r="D15" s="55">
        <v>15.816337059329321</v>
      </c>
      <c r="E15" s="55">
        <v>13.556921754084261</v>
      </c>
      <c r="F15" s="55">
        <v>14.689681857265692</v>
      </c>
      <c r="G15" s="55">
        <v>12.429750644883921</v>
      </c>
      <c r="H15" s="55">
        <v>11.29982803095443</v>
      </c>
      <c r="I15" s="55">
        <v>5.4934651762682716</v>
      </c>
      <c r="J15" s="55">
        <v>8.7895098882201186</v>
      </c>
      <c r="K15" s="55">
        <v>6.592175408426483</v>
      </c>
      <c r="L15" s="55">
        <v>7.690799656061909</v>
      </c>
      <c r="M15" s="55">
        <v>6.592175408426483</v>
      </c>
      <c r="N15" s="55">
        <v>6.592175408426483</v>
      </c>
      <c r="O15" s="55">
        <v>5.4934651762682716</v>
      </c>
      <c r="P15" s="55">
        <v>4.3947549441100593</v>
      </c>
      <c r="Q15" s="55">
        <v>5.4934651762682716</v>
      </c>
      <c r="R15" s="55">
        <v>4.3947549441100593</v>
      </c>
      <c r="S15" s="55">
        <v>4.1157351676698193</v>
      </c>
      <c r="T15" s="55">
        <v>4.9144453998280309</v>
      </c>
      <c r="U15" s="55">
        <v>4.5957867583834906</v>
      </c>
      <c r="V15" s="55">
        <v>4.3584694754944104</v>
      </c>
      <c r="W15" s="55">
        <v>4.5661220980223556</v>
      </c>
      <c r="DA15" s="10" t="s">
        <v>980</v>
      </c>
    </row>
    <row r="16" spans="1:105" x14ac:dyDescent="0.25">
      <c r="A16" s="61" t="s">
        <v>172</v>
      </c>
      <c r="B16" s="55">
        <v>622.13514642835116</v>
      </c>
      <c r="C16" s="55">
        <v>747.39260427483862</v>
      </c>
      <c r="D16" s="55">
        <v>719.95776234198127</v>
      </c>
      <c r="E16" s="55">
        <v>493.95819165678012</v>
      </c>
      <c r="F16" s="55">
        <v>473.66652340302278</v>
      </c>
      <c r="G16" s="55">
        <v>639.68669661654928</v>
      </c>
      <c r="H16" s="55">
        <v>345.08452278589846</v>
      </c>
      <c r="I16" s="55">
        <v>351.65760963026651</v>
      </c>
      <c r="J16" s="55">
        <v>276.06766981943247</v>
      </c>
      <c r="K16" s="55">
        <v>260.04582975064483</v>
      </c>
      <c r="L16" s="55">
        <v>390.89045571797067</v>
      </c>
      <c r="M16" s="55">
        <v>313.2463456577816</v>
      </c>
      <c r="N16" s="55">
        <v>305.0300945829751</v>
      </c>
      <c r="O16" s="55">
        <v>317.35451418744634</v>
      </c>
      <c r="P16" s="55">
        <v>335.84118658641444</v>
      </c>
      <c r="Q16" s="55">
        <v>344.05752364574374</v>
      </c>
      <c r="R16" s="55">
        <v>342.00343938091135</v>
      </c>
      <c r="S16" s="55">
        <v>350.74247635425615</v>
      </c>
      <c r="T16" s="55">
        <v>352.06947549441094</v>
      </c>
      <c r="U16" s="55">
        <v>367.33430782459152</v>
      </c>
      <c r="V16" s="55">
        <v>394.16053310404135</v>
      </c>
      <c r="W16" s="55">
        <v>402.72906276870151</v>
      </c>
      <c r="DA16" s="10" t="s">
        <v>981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4.7995700773860701</v>
      </c>
      <c r="H17" s="55">
        <v>4.7995700773860701</v>
      </c>
      <c r="I17" s="55">
        <v>1.9107480653482369</v>
      </c>
      <c r="J17" s="55">
        <v>2.9557179707652619</v>
      </c>
      <c r="K17" s="55">
        <v>6.0128976784178843</v>
      </c>
      <c r="L17" s="55">
        <v>17.381943250214967</v>
      </c>
      <c r="M17" s="55">
        <v>16.522098022355976</v>
      </c>
      <c r="N17" s="55">
        <v>3.9110920034393803</v>
      </c>
      <c r="O17" s="55">
        <v>4.9619948409286323</v>
      </c>
      <c r="P17" s="55">
        <v>4.8664660361134997</v>
      </c>
      <c r="Q17" s="55">
        <v>5.9173688736027517</v>
      </c>
      <c r="R17" s="55">
        <v>3.9110920034393803</v>
      </c>
      <c r="S17" s="55">
        <v>4.7099742046431636</v>
      </c>
      <c r="T17" s="55">
        <v>4.4998280309544274</v>
      </c>
      <c r="U17" s="55">
        <v>4.8156491831470341</v>
      </c>
      <c r="V17" s="55">
        <v>1.1077386070507307</v>
      </c>
      <c r="W17" s="55">
        <v>3.9846947549441101</v>
      </c>
      <c r="DA17" s="10" t="s">
        <v>982</v>
      </c>
    </row>
    <row r="18" spans="1:105" x14ac:dyDescent="0.25">
      <c r="A18" s="60" t="s">
        <v>153</v>
      </c>
      <c r="B18" s="55">
        <v>0.12897678417884781</v>
      </c>
      <c r="C18" s="55">
        <v>1.9776440240756661</v>
      </c>
      <c r="D18" s="55">
        <v>3.0739466895958731</v>
      </c>
      <c r="E18" s="55">
        <v>3.4178847807394672</v>
      </c>
      <c r="F18" s="55">
        <v>3.310404127257093</v>
      </c>
      <c r="G18" s="55">
        <v>3.8263112639724843</v>
      </c>
      <c r="H18" s="55">
        <v>4.1702493551160789</v>
      </c>
      <c r="I18" s="55">
        <v>5.0945829750644878</v>
      </c>
      <c r="J18" s="55">
        <v>6.1478933791917454</v>
      </c>
      <c r="K18" s="55">
        <v>5.4385210662080823</v>
      </c>
      <c r="L18" s="55">
        <v>3.9337919174548586</v>
      </c>
      <c r="M18" s="55">
        <v>5.2880481513327595</v>
      </c>
      <c r="N18" s="55">
        <v>5.6534823731728281</v>
      </c>
      <c r="O18" s="55">
        <v>7.2226999140154771</v>
      </c>
      <c r="P18" s="55">
        <v>4.7936371453138431</v>
      </c>
      <c r="Q18" s="55">
        <v>5.9852106620808252</v>
      </c>
      <c r="R18" s="55">
        <v>4.9626827171109191</v>
      </c>
      <c r="S18" s="55">
        <v>5.8257093723129838</v>
      </c>
      <c r="T18" s="55">
        <v>3.8862424763542558</v>
      </c>
      <c r="U18" s="55">
        <v>6.4706792777300084</v>
      </c>
      <c r="V18" s="55">
        <v>7.0832330180567498</v>
      </c>
      <c r="W18" s="55">
        <v>8.2747205503009447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2.651246775580395</v>
      </c>
      <c r="J19" s="55">
        <f t="shared" si="24"/>
        <v>1.7674978503869301</v>
      </c>
      <c r="K19" s="55">
        <f t="shared" si="24"/>
        <v>3.5349097162510743</v>
      </c>
      <c r="L19" s="55">
        <f t="shared" si="24"/>
        <v>3.5349957007738602</v>
      </c>
      <c r="M19" s="55">
        <f t="shared" si="24"/>
        <v>1.7674978503869301</v>
      </c>
      <c r="N19" s="55">
        <f t="shared" si="24"/>
        <v>7.3326741186586402</v>
      </c>
      <c r="O19" s="55">
        <f t="shared" si="24"/>
        <v>5.7323301805674971</v>
      </c>
      <c r="P19" s="55">
        <f t="shared" si="24"/>
        <v>6.6160791057609618</v>
      </c>
      <c r="Q19" s="55">
        <f t="shared" si="24"/>
        <v>6.210060189165949</v>
      </c>
      <c r="R19" s="55">
        <f t="shared" si="24"/>
        <v>4.0843508168529663</v>
      </c>
      <c r="S19" s="55">
        <f t="shared" si="24"/>
        <v>3.726397248495271</v>
      </c>
      <c r="T19" s="55">
        <f t="shared" si="24"/>
        <v>5.4141874462596729</v>
      </c>
      <c r="U19" s="55">
        <f t="shared" si="24"/>
        <v>6.2210662080825445</v>
      </c>
      <c r="V19" s="55">
        <f t="shared" si="24"/>
        <v>6.4243336199484089</v>
      </c>
      <c r="W19" s="55">
        <f t="shared" si="24"/>
        <v>7.1046431642304384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3.79767841788478</v>
      </c>
      <c r="O20" s="55">
        <v>3.0810834049871021</v>
      </c>
      <c r="P20" s="55">
        <v>3.0810834049871021</v>
      </c>
      <c r="Q20" s="55">
        <v>2.6750644883920889</v>
      </c>
      <c r="R20" s="55">
        <v>1.4331040412725711</v>
      </c>
      <c r="S20" s="55">
        <v>1.4331040412725711</v>
      </c>
      <c r="T20" s="55">
        <v>4.4049871023215816</v>
      </c>
      <c r="U20" s="55">
        <v>5.1269991401547719</v>
      </c>
      <c r="V20" s="55">
        <v>5.1269991401547719</v>
      </c>
      <c r="W20" s="55">
        <v>5.3920034393809111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2.651246775580395</v>
      </c>
      <c r="J22" s="55">
        <v>1.7674978503869301</v>
      </c>
      <c r="K22" s="55">
        <v>3.5349097162510743</v>
      </c>
      <c r="L22" s="55">
        <v>3.5349957007738602</v>
      </c>
      <c r="M22" s="55">
        <v>1.7674978503869301</v>
      </c>
      <c r="N22" s="55">
        <v>3.5349957007738602</v>
      </c>
      <c r="O22" s="55">
        <v>2.651246775580395</v>
      </c>
      <c r="P22" s="55">
        <v>3.5349957007738602</v>
      </c>
      <c r="Q22" s="55">
        <v>3.5349957007738602</v>
      </c>
      <c r="R22" s="55">
        <v>2.651246775580395</v>
      </c>
      <c r="S22" s="55">
        <v>2.2932932072227001</v>
      </c>
      <c r="T22" s="55">
        <v>1.009200343938091</v>
      </c>
      <c r="U22" s="55">
        <v>1.0940670679277729</v>
      </c>
      <c r="V22" s="55">
        <v>1.297334479793637</v>
      </c>
      <c r="W22" s="55">
        <v>1.7126397248495269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1.791315563198624</v>
      </c>
      <c r="C26" s="55">
        <v>1.6002579535683581</v>
      </c>
      <c r="D26" s="55">
        <v>1.671883061049011</v>
      </c>
      <c r="E26" s="55">
        <v>0.45382631126397238</v>
      </c>
      <c r="F26" s="55">
        <v>0.42992261392949271</v>
      </c>
      <c r="G26" s="55">
        <v>0.42992261392949271</v>
      </c>
      <c r="H26" s="55">
        <v>0.5493551160791057</v>
      </c>
      <c r="I26" s="55">
        <v>0.62098022355975924</v>
      </c>
      <c r="J26" s="55">
        <v>0.5493551160791057</v>
      </c>
      <c r="K26" s="55">
        <v>0.40601891659501288</v>
      </c>
      <c r="L26" s="55">
        <v>0.42992261392949271</v>
      </c>
      <c r="M26" s="55">
        <v>0.42992261392949271</v>
      </c>
      <c r="N26" s="55">
        <v>0.42992261392949271</v>
      </c>
      <c r="O26" s="55">
        <v>0.23886500429922611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61.478933791917449</v>
      </c>
      <c r="C27" s="63">
        <v>67.067927773000861</v>
      </c>
      <c r="D27" s="63">
        <v>72.828890799656051</v>
      </c>
      <c r="E27" s="63">
        <v>76.440240756663798</v>
      </c>
      <c r="F27" s="63">
        <v>84.35081685296646</v>
      </c>
      <c r="G27" s="63">
        <v>88.478073946689591</v>
      </c>
      <c r="H27" s="63">
        <v>82.975064488392078</v>
      </c>
      <c r="I27" s="63">
        <v>91.659501289767832</v>
      </c>
      <c r="J27" s="63">
        <v>87.188306104901116</v>
      </c>
      <c r="K27" s="63">
        <v>89.079965606190882</v>
      </c>
      <c r="L27" s="63">
        <v>88.220120378331899</v>
      </c>
      <c r="M27" s="63">
        <v>84.35081685296646</v>
      </c>
      <c r="N27" s="63">
        <v>86.242476354256226</v>
      </c>
      <c r="O27" s="63">
        <v>80.99742046431642</v>
      </c>
      <c r="P27" s="63">
        <v>71.109200343938085</v>
      </c>
      <c r="Q27" s="63">
        <v>73.602751504729142</v>
      </c>
      <c r="R27" s="63">
        <v>76.447377472055024</v>
      </c>
      <c r="S27" s="63">
        <v>90.634393809114357</v>
      </c>
      <c r="T27" s="63">
        <v>95.381685296646609</v>
      </c>
      <c r="U27" s="63">
        <v>87.925193465176264</v>
      </c>
      <c r="V27" s="63">
        <v>91.399140154772127</v>
      </c>
      <c r="W27" s="63">
        <v>105.44539982803094</v>
      </c>
      <c r="DA27" s="11" t="s">
        <v>991</v>
      </c>
    </row>
    <row r="29" spans="1:105" x14ac:dyDescent="0.25">
      <c r="A29" s="219" t="s">
        <v>84</v>
      </c>
      <c r="B29" s="220">
        <v>1960.2730396600696</v>
      </c>
      <c r="C29" s="220">
        <v>2353.21627172322</v>
      </c>
      <c r="D29" s="220">
        <v>2282.6152861356945</v>
      </c>
      <c r="E29" s="220">
        <v>1576.308725929998</v>
      </c>
      <c r="F29" s="220">
        <v>1516.0956286961778</v>
      </c>
      <c r="G29" s="220">
        <v>2041.9544551330787</v>
      </c>
      <c r="H29" s="220">
        <v>1125.7978629599997</v>
      </c>
      <c r="I29" s="220">
        <v>1123.6602725999999</v>
      </c>
      <c r="J29" s="220">
        <v>903.47603903999982</v>
      </c>
      <c r="K29" s="220">
        <v>855.49259555999981</v>
      </c>
      <c r="L29" s="220">
        <v>1297.9942779599999</v>
      </c>
      <c r="M29" s="220">
        <v>1054.2453843600001</v>
      </c>
      <c r="N29" s="220">
        <v>989.45923536000032</v>
      </c>
      <c r="O29" s="220">
        <v>1031.5270105200002</v>
      </c>
      <c r="P29" s="220">
        <v>1080.3192145200001</v>
      </c>
      <c r="Q29" s="220">
        <v>1114.5602898</v>
      </c>
      <c r="R29" s="220">
        <v>1096.7381877599998</v>
      </c>
      <c r="S29" s="220">
        <v>1127.8443787199999</v>
      </c>
      <c r="T29" s="220">
        <v>1128.5415431999998</v>
      </c>
      <c r="U29" s="220">
        <v>1182.3905181599998</v>
      </c>
      <c r="V29" s="220">
        <v>1254.3383631600002</v>
      </c>
      <c r="W29" s="220">
        <v>1293.4646449199997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132.006122960054</v>
      </c>
      <c r="C31" s="59">
        <f t="shared" si="25"/>
        <v>161.58433200760965</v>
      </c>
      <c r="D31" s="59">
        <f t="shared" si="25"/>
        <v>170.72236991332841</v>
      </c>
      <c r="E31" s="59">
        <f t="shared" si="25"/>
        <v>127.71596072237887</v>
      </c>
      <c r="F31" s="59">
        <f t="shared" si="25"/>
        <v>125.50974434582729</v>
      </c>
      <c r="G31" s="59">
        <f t="shared" si="25"/>
        <v>181.91894961957743</v>
      </c>
      <c r="H31" s="59">
        <f t="shared" si="25"/>
        <v>109.11796243145892</v>
      </c>
      <c r="I31" s="59">
        <f t="shared" si="25"/>
        <v>122.88960834471651</v>
      </c>
      <c r="J31" s="59">
        <f t="shared" si="25"/>
        <v>104.33344013289708</v>
      </c>
      <c r="K31" s="59">
        <f t="shared" si="25"/>
        <v>106.13796312875508</v>
      </c>
      <c r="L31" s="59">
        <f t="shared" si="25"/>
        <v>144.00761641867442</v>
      </c>
      <c r="M31" s="59">
        <f t="shared" si="25"/>
        <v>127.85580906973776</v>
      </c>
      <c r="N31" s="59">
        <f t="shared" si="25"/>
        <v>122.08170718443677</v>
      </c>
      <c r="O31" s="59">
        <f t="shared" si="25"/>
        <v>115.15676465170156</v>
      </c>
      <c r="P31" s="59">
        <f t="shared" si="25"/>
        <v>116.70320105961422</v>
      </c>
      <c r="Q31" s="59">
        <f t="shared" si="25"/>
        <v>116.95371854004524</v>
      </c>
      <c r="R31" s="59">
        <f t="shared" si="25"/>
        <v>115.18679164460323</v>
      </c>
      <c r="S31" s="59">
        <f t="shared" si="25"/>
        <v>115.57678435471949</v>
      </c>
      <c r="T31" s="59">
        <f t="shared" si="25"/>
        <v>117.31681011207284</v>
      </c>
      <c r="U31" s="59">
        <f t="shared" si="25"/>
        <v>114.20326177955603</v>
      </c>
      <c r="V31" s="59">
        <f t="shared" si="25"/>
        <v>126.63567323640601</v>
      </c>
      <c r="W31" s="59">
        <f t="shared" si="25"/>
        <v>127.17299826304193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127.8105623843866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154.42655608236754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139.32723127138397</v>
      </c>
      <c r="K32" s="55">
        <f t="shared" si="26"/>
        <v>156.36023356757104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132.91816907674811</v>
      </c>
      <c r="R32" s="55">
        <f t="shared" si="26"/>
        <v>135.38540863538171</v>
      </c>
      <c r="S32" s="55">
        <f t="shared" si="26"/>
        <v>124.90211009173743</v>
      </c>
      <c r="T32" s="55">
        <f t="shared" si="26"/>
        <v>141.27985612939969</v>
      </c>
      <c r="U32" s="55">
        <f t="shared" si="26"/>
        <v>142.01198459584063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47.278850703982279</v>
      </c>
      <c r="C33" s="55">
        <f>IF(AGR_ued!C$5=0,"",AGR_ued!C$5/C$5*1000)</f>
        <v>45.60780707379238</v>
      </c>
      <c r="D33" s="55">
        <f>IF(AGR_ued!D$5=0,"",AGR_ued!D$5/D$5*1000)</f>
        <v>47.81147700475767</v>
      </c>
      <c r="E33" s="55">
        <f>IF(AGR_ued!E$5=0,"",AGR_ued!E$5/E$5*1000)</f>
        <v>51.572314021974222</v>
      </c>
      <c r="F33" s="55">
        <f>IF(AGR_ued!F$5=0,"",AGR_ued!F$5/F$5*1000)</f>
        <v>51.76372565919381</v>
      </c>
      <c r="G33" s="55">
        <f>IF(AGR_ued!G$5=0,"",AGR_ued!G$5/G$5*1000)</f>
        <v>58.428223797870565</v>
      </c>
      <c r="H33" s="55">
        <f>IF(AGR_ued!H$5=0,"",AGR_ued!H$5/H$5*1000)</f>
        <v>57.564074967025832</v>
      </c>
      <c r="I33" s="55">
        <f>IF(AGR_ued!I$5=0,"",AGR_ued!I$5/I$5*1000)</f>
        <v>54.300729600593471</v>
      </c>
      <c r="J33" s="55">
        <f>IF(AGR_ued!J$5=0,"",AGR_ued!J$5/J$5*1000)</f>
        <v>56.04631760632261</v>
      </c>
      <c r="K33" s="55">
        <f>IF(AGR_ued!K$5=0,"",AGR_ued!K$5/K$5*1000)</f>
        <v>63.33026989436452</v>
      </c>
      <c r="L33" s="55">
        <f>IF(AGR_ued!L$5=0,"",AGR_ued!L$5/L$5*1000)</f>
        <v>56.097282042608938</v>
      </c>
      <c r="M33" s="55">
        <f>IF(AGR_ued!M$5=0,"",AGR_ued!M$5/M$5*1000)</f>
        <v>52.263312637282759</v>
      </c>
      <c r="N33" s="55">
        <f>IF(AGR_ued!N$5=0,"",AGR_ued!N$5/N$5*1000)</f>
        <v>53.58715766945793</v>
      </c>
      <c r="O33" s="55">
        <f>IF(AGR_ued!O$5=0,"",AGR_ued!O$5/O$5*1000)</f>
        <v>52.28225504803266</v>
      </c>
      <c r="P33" s="55">
        <f>IF(AGR_ued!P$5=0,"",AGR_ued!P$5/P$5*1000)</f>
        <v>50.41393612649378</v>
      </c>
      <c r="Q33" s="55">
        <f>IF(AGR_ued!Q$5=0,"",AGR_ued!Q$5/Q$5*1000)</f>
        <v>51.503304627649477</v>
      </c>
      <c r="R33" s="55">
        <f>IF(AGR_ued!R$5=0,"",AGR_ued!R$5/R$5*1000)</f>
        <v>52.749659121710941</v>
      </c>
      <c r="S33" s="55">
        <f>IF(AGR_ued!S$5=0,"",AGR_ued!S$5/S$5*1000)</f>
        <v>49.274344919566779</v>
      </c>
      <c r="T33" s="55">
        <f>IF(AGR_ued!T$5=0,"",AGR_ued!T$5/T$5*1000)</f>
        <v>55.905666521923187</v>
      </c>
      <c r="U33" s="55">
        <f>IF(AGR_ued!U$5=0,"",AGR_ued!U$5/U$5*1000)</f>
        <v>55.549792698476843</v>
      </c>
      <c r="V33" s="55">
        <f>IF(AGR_ued!V$5=0,"",AGR_ued!V$5/V$5*1000)</f>
        <v>58.096485164895682</v>
      </c>
      <c r="W33" s="55">
        <f>IF(AGR_ued!W$5=0,"",AGR_ued!W$5/W$5*1000)</f>
        <v>56.242226993620896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2.8131222760815606</v>
      </c>
      <c r="C34" s="218">
        <f t="shared" si="27"/>
        <v>2.8374708014654666</v>
      </c>
      <c r="D34" s="218">
        <f t="shared" si="27"/>
        <v>2.8064407670395268</v>
      </c>
      <c r="E34" s="218">
        <f t="shared" si="27"/>
        <v>2.6815858253039804</v>
      </c>
      <c r="F34" s="218">
        <f t="shared" si="27"/>
        <v>2.6300678313623518</v>
      </c>
      <c r="G34" s="218">
        <f t="shared" si="27"/>
        <v>2.7238759013250178</v>
      </c>
      <c r="H34" s="218">
        <f t="shared" si="27"/>
        <v>2.5080230788610502</v>
      </c>
      <c r="I34" s="218">
        <f t="shared" si="27"/>
        <v>2.4475916257671804</v>
      </c>
      <c r="J34" s="218">
        <f t="shared" si="27"/>
        <v>2.3560789132284641</v>
      </c>
      <c r="K34" s="218">
        <f t="shared" si="27"/>
        <v>2.3052244945422542</v>
      </c>
      <c r="L34" s="218">
        <f t="shared" si="27"/>
        <v>2.5347389751203342</v>
      </c>
      <c r="M34" s="218">
        <f t="shared" si="27"/>
        <v>2.4620574626765444</v>
      </c>
      <c r="N34" s="218">
        <f t="shared" si="27"/>
        <v>2.3831370355796477</v>
      </c>
      <c r="O34" s="218">
        <f t="shared" si="27"/>
        <v>2.4443693314005759</v>
      </c>
      <c r="P34" s="218">
        <f t="shared" si="27"/>
        <v>2.5263455152475376</v>
      </c>
      <c r="Q34" s="218">
        <f t="shared" si="27"/>
        <v>2.5258219075509243</v>
      </c>
      <c r="R34" s="218">
        <f t="shared" si="27"/>
        <v>2.5165876160941618</v>
      </c>
      <c r="S34" s="218">
        <f t="shared" si="27"/>
        <v>2.4531438453595298</v>
      </c>
      <c r="T34" s="218">
        <f t="shared" si="27"/>
        <v>2.4209012928717817</v>
      </c>
      <c r="U34" s="218">
        <f t="shared" si="27"/>
        <v>2.4769228114563244</v>
      </c>
      <c r="V34" s="218">
        <f t="shared" si="27"/>
        <v>2.4861351971481276</v>
      </c>
      <c r="W34" s="218">
        <f t="shared" si="27"/>
        <v>2.4308463786901799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696.83179303196232</v>
      </c>
      <c r="C5" s="80">
        <f t="shared" ref="C5:W5" si="1">SUM(C6:C9,C16:C17,C25:C27)</f>
        <v>829.33585448979966</v>
      </c>
      <c r="D5" s="80">
        <f t="shared" si="1"/>
        <v>813.34881995161084</v>
      </c>
      <c r="E5" s="80">
        <f t="shared" si="1"/>
        <v>587.82706525953165</v>
      </c>
      <c r="F5" s="80">
        <f t="shared" si="1"/>
        <v>576.44734885444154</v>
      </c>
      <c r="G5" s="80">
        <f t="shared" si="1"/>
        <v>749.65032516341125</v>
      </c>
      <c r="H5" s="80">
        <f t="shared" si="1"/>
        <v>448.87858985382621</v>
      </c>
      <c r="I5" s="80">
        <f t="shared" si="1"/>
        <v>459.08813413585528</v>
      </c>
      <c r="J5" s="80">
        <f t="shared" si="1"/>
        <v>383.46595012897666</v>
      </c>
      <c r="K5" s="80">
        <f t="shared" si="1"/>
        <v>371.11031814273412</v>
      </c>
      <c r="L5" s="80">
        <f t="shared" si="1"/>
        <v>512.08202923473755</v>
      </c>
      <c r="M5" s="80">
        <f t="shared" si="1"/>
        <v>428.19690455717949</v>
      </c>
      <c r="N5" s="80">
        <f t="shared" si="1"/>
        <v>415.19191745485813</v>
      </c>
      <c r="O5" s="80">
        <f t="shared" si="1"/>
        <v>422.00128976784174</v>
      </c>
      <c r="P5" s="80">
        <f t="shared" si="1"/>
        <v>427.62132416165065</v>
      </c>
      <c r="Q5" s="80">
        <f t="shared" si="1"/>
        <v>441.26638005159066</v>
      </c>
      <c r="R5" s="80">
        <f t="shared" si="1"/>
        <v>435.80369733447952</v>
      </c>
      <c r="S5" s="80">
        <f t="shared" si="1"/>
        <v>459.75468615649174</v>
      </c>
      <c r="T5" s="80">
        <f t="shared" si="1"/>
        <v>466.16586414445368</v>
      </c>
      <c r="U5" s="80">
        <f t="shared" si="1"/>
        <v>477.36268271711089</v>
      </c>
      <c r="V5" s="80">
        <f t="shared" si="1"/>
        <v>504.53344797936364</v>
      </c>
      <c r="W5" s="80">
        <f t="shared" si="1"/>
        <v>532.10464316423008</v>
      </c>
      <c r="DA5" s="103"/>
    </row>
    <row r="6" spans="1:105" x14ac:dyDescent="0.25">
      <c r="A6" s="239" t="s">
        <v>125</v>
      </c>
      <c r="B6" s="240">
        <v>11.545312889015291</v>
      </c>
      <c r="C6" s="240">
        <v>12.71928282187136</v>
      </c>
      <c r="D6" s="240">
        <v>13.64831909747857</v>
      </c>
      <c r="E6" s="240">
        <v>13.43412907569753</v>
      </c>
      <c r="F6" s="240">
        <v>14.40004841622418</v>
      </c>
      <c r="G6" s="240">
        <v>15.867569312404219</v>
      </c>
      <c r="H6" s="240">
        <v>13.177607246405991</v>
      </c>
      <c r="I6" s="240">
        <v>14.236995265482861</v>
      </c>
      <c r="J6" s="240">
        <v>12.84802476522089</v>
      </c>
      <c r="K6" s="240">
        <v>12.82931811426759</v>
      </c>
      <c r="L6" s="240">
        <v>14.29581604969016</v>
      </c>
      <c r="M6" s="240">
        <v>13.04296052041642</v>
      </c>
      <c r="N6" s="240">
        <v>13.14315528329344</v>
      </c>
      <c r="O6" s="240">
        <v>12.708705137734279</v>
      </c>
      <c r="P6" s="240">
        <v>11.69927572290052</v>
      </c>
      <c r="Q6" s="240">
        <v>12.091230648799749</v>
      </c>
      <c r="R6" s="240">
        <v>12.386020552204879</v>
      </c>
      <c r="S6" s="240">
        <v>14.115755949522461</v>
      </c>
      <c r="T6" s="240">
        <v>14.62836200224192</v>
      </c>
      <c r="U6" s="240">
        <v>13.99442418813803</v>
      </c>
      <c r="V6" s="240">
        <v>14.65925032378362</v>
      </c>
      <c r="W6" s="240">
        <v>16.377773964053159</v>
      </c>
      <c r="DA6" s="268" t="s">
        <v>993</v>
      </c>
    </row>
    <row r="7" spans="1:105" x14ac:dyDescent="0.25">
      <c r="A7" s="241" t="s">
        <v>124</v>
      </c>
      <c r="B7" s="242">
        <v>7.5044533778599387</v>
      </c>
      <c r="C7" s="242">
        <v>8.2675338342163798</v>
      </c>
      <c r="D7" s="242">
        <v>8.8714074133610676</v>
      </c>
      <c r="E7" s="242">
        <v>8.7321838992033882</v>
      </c>
      <c r="F7" s="242">
        <v>9.3600314705457137</v>
      </c>
      <c r="G7" s="242">
        <v>10.31392005306274</v>
      </c>
      <c r="H7" s="242">
        <v>8.5654447101638915</v>
      </c>
      <c r="I7" s="242">
        <v>9.2540469225638571</v>
      </c>
      <c r="J7" s="242">
        <v>8.3512160973935803</v>
      </c>
      <c r="K7" s="242">
        <v>8.3390567742739332</v>
      </c>
      <c r="L7" s="242">
        <v>9.2922804322986021</v>
      </c>
      <c r="M7" s="242">
        <v>8.4779243382706735</v>
      </c>
      <c r="N7" s="242">
        <v>8.5430509341407337</v>
      </c>
      <c r="O7" s="242">
        <v>8.2606583395272839</v>
      </c>
      <c r="P7" s="242">
        <v>7.6045292198853351</v>
      </c>
      <c r="Q7" s="242">
        <v>7.8592999217198356</v>
      </c>
      <c r="R7" s="242">
        <v>8.0509133589331725</v>
      </c>
      <c r="S7" s="242">
        <v>9.175241367189594</v>
      </c>
      <c r="T7" s="242">
        <v>9.5084353014572436</v>
      </c>
      <c r="U7" s="242">
        <v>9.0963757222897161</v>
      </c>
      <c r="V7" s="242">
        <v>9.5285127104593492</v>
      </c>
      <c r="W7" s="242">
        <v>10.64555307663456</v>
      </c>
      <c r="DA7" s="269" t="s">
        <v>994</v>
      </c>
    </row>
    <row r="8" spans="1:105" x14ac:dyDescent="0.25">
      <c r="A8" s="241" t="s">
        <v>123</v>
      </c>
      <c r="B8" s="242">
        <v>10.39078160011376</v>
      </c>
      <c r="C8" s="242">
        <v>11.44735453968422</v>
      </c>
      <c r="D8" s="242">
        <v>12.28348718773071</v>
      </c>
      <c r="E8" s="242">
        <v>12.09071616812777</v>
      </c>
      <c r="F8" s="242">
        <v>12.960043574601761</v>
      </c>
      <c r="G8" s="242">
        <v>14.280812381163811</v>
      </c>
      <c r="H8" s="242">
        <v>11.859846521765389</v>
      </c>
      <c r="I8" s="242">
        <v>12.813295738934571</v>
      </c>
      <c r="J8" s="242">
        <v>11.5632222886988</v>
      </c>
      <c r="K8" s="242">
        <v>11.54638630284083</v>
      </c>
      <c r="L8" s="242">
        <v>12.86623444472114</v>
      </c>
      <c r="M8" s="242">
        <v>11.738664468374781</v>
      </c>
      <c r="N8" s="242">
        <v>11.8288397549641</v>
      </c>
      <c r="O8" s="242">
        <v>11.43783462396086</v>
      </c>
      <c r="P8" s="242">
        <v>10.52934815061047</v>
      </c>
      <c r="Q8" s="242">
        <v>10.882107583919771</v>
      </c>
      <c r="R8" s="242">
        <v>11.1474184969844</v>
      </c>
      <c r="S8" s="242">
        <v>12.704180354570211</v>
      </c>
      <c r="T8" s="242">
        <v>13.16552580201772</v>
      </c>
      <c r="U8" s="242">
        <v>12.59498176932423</v>
      </c>
      <c r="V8" s="242">
        <v>13.19332529140525</v>
      </c>
      <c r="W8" s="242">
        <v>14.739996567647839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142.75487698162021</v>
      </c>
      <c r="C9" s="244">
        <f t="shared" ref="C9:W9" si="3">SUM(C10:C15)</f>
        <v>171.212542337662</v>
      </c>
      <c r="D9" s="244">
        <f t="shared" si="3"/>
        <v>166.1670763147284</v>
      </c>
      <c r="E9" s="244">
        <f t="shared" si="3"/>
        <v>116.13204984565098</v>
      </c>
      <c r="F9" s="244">
        <f t="shared" si="3"/>
        <v>112.97153943452221</v>
      </c>
      <c r="G9" s="244">
        <f t="shared" si="3"/>
        <v>149.11684453973848</v>
      </c>
      <c r="H9" s="244">
        <f t="shared" si="3"/>
        <v>87.312381845145978</v>
      </c>
      <c r="I9" s="244">
        <f t="shared" si="3"/>
        <v>90.023052213362277</v>
      </c>
      <c r="J9" s="244">
        <f t="shared" si="3"/>
        <v>75.605594835939939</v>
      </c>
      <c r="K9" s="244">
        <f t="shared" si="3"/>
        <v>73.501911341193676</v>
      </c>
      <c r="L9" s="244">
        <f t="shared" si="3"/>
        <v>99.095491508216469</v>
      </c>
      <c r="M9" s="244">
        <f t="shared" si="3"/>
        <v>82.953472673609284</v>
      </c>
      <c r="N9" s="244">
        <f t="shared" si="3"/>
        <v>81.126569937453496</v>
      </c>
      <c r="O9" s="244">
        <f t="shared" si="3"/>
        <v>82.227084049052408</v>
      </c>
      <c r="P9" s="244">
        <f t="shared" si="3"/>
        <v>83.268267106821185</v>
      </c>
      <c r="Q9" s="244">
        <f t="shared" si="3"/>
        <v>85.861465341974991</v>
      </c>
      <c r="R9" s="244">
        <f t="shared" si="3"/>
        <v>84.967632088165203</v>
      </c>
      <c r="S9" s="244">
        <f t="shared" si="3"/>
        <v>89.769265537386175</v>
      </c>
      <c r="T9" s="244">
        <f t="shared" si="3"/>
        <v>90.91608709000387</v>
      </c>
      <c r="U9" s="244">
        <f t="shared" si="3"/>
        <v>92.865956966036549</v>
      </c>
      <c r="V9" s="244">
        <f t="shared" si="3"/>
        <v>98.430881168583568</v>
      </c>
      <c r="W9" s="244">
        <f t="shared" si="3"/>
        <v>103.83617512411492</v>
      </c>
      <c r="DA9" s="270"/>
    </row>
    <row r="10" spans="1:105" x14ac:dyDescent="0.25">
      <c r="A10" s="254" t="s">
        <v>173</v>
      </c>
      <c r="B10" s="255">
        <v>137.1657857451811</v>
      </c>
      <c r="C10" s="255">
        <v>165.4426601248195</v>
      </c>
      <c r="D10" s="255">
        <v>158.82131828995651</v>
      </c>
      <c r="E10" s="255">
        <v>105.2304794242213</v>
      </c>
      <c r="F10" s="255">
        <v>99.065241694058813</v>
      </c>
      <c r="G10" s="255">
        <v>138.21299239413281</v>
      </c>
      <c r="H10" s="255">
        <v>68.307690989605504</v>
      </c>
      <c r="I10" s="255">
        <v>67.333224909936973</v>
      </c>
      <c r="J10" s="255">
        <v>50.236208920344907</v>
      </c>
      <c r="K10" s="255">
        <v>46.536119677589276</v>
      </c>
      <c r="L10" s="255">
        <v>80.588260263628655</v>
      </c>
      <c r="M10" s="255">
        <v>61.641216582396382</v>
      </c>
      <c r="N10" s="255">
        <v>58.38004361846636</v>
      </c>
      <c r="O10" s="255">
        <v>62.19598987494858</v>
      </c>
      <c r="P10" s="255">
        <v>69.0532328512069</v>
      </c>
      <c r="Q10" s="255">
        <v>70.707863056321258</v>
      </c>
      <c r="R10" s="255">
        <v>68.824430568487358</v>
      </c>
      <c r="S10" s="255">
        <v>67.862982554273401</v>
      </c>
      <c r="T10" s="255">
        <v>67.444396944969697</v>
      </c>
      <c r="U10" s="255">
        <v>72.796366266290462</v>
      </c>
      <c r="V10" s="255">
        <v>78.029091571365782</v>
      </c>
      <c r="W10" s="255">
        <v>77.641908584299742</v>
      </c>
      <c r="DA10" s="271" t="s">
        <v>996</v>
      </c>
    </row>
    <row r="11" spans="1:105" x14ac:dyDescent="0.25">
      <c r="A11" s="254" t="s">
        <v>176</v>
      </c>
      <c r="B11" s="256">
        <v>4.540632559267397E-2</v>
      </c>
      <c r="C11" s="256">
        <v>0.69811059496505012</v>
      </c>
      <c r="D11" s="256">
        <v>1.086579650589411</v>
      </c>
      <c r="E11" s="256">
        <v>1.1781487314175101</v>
      </c>
      <c r="F11" s="256">
        <v>1.125800353691337</v>
      </c>
      <c r="G11" s="256">
        <v>1.333702146306641</v>
      </c>
      <c r="H11" s="256">
        <v>1.3683074835853479</v>
      </c>
      <c r="I11" s="256">
        <v>1.5943221183421989</v>
      </c>
      <c r="J11" s="256">
        <v>1.87184852167029</v>
      </c>
      <c r="K11" s="256">
        <v>1.626397713135783</v>
      </c>
      <c r="L11" s="256">
        <v>1.336268500183128</v>
      </c>
      <c r="M11" s="256">
        <v>1.7463192268706109</v>
      </c>
      <c r="N11" s="256">
        <v>1.7899037680712471</v>
      </c>
      <c r="O11" s="256">
        <v>2.3383343945719588</v>
      </c>
      <c r="P11" s="256">
        <v>1.6022125252927</v>
      </c>
      <c r="Q11" s="256">
        <v>2.0070040240516822</v>
      </c>
      <c r="R11" s="256">
        <v>1.6259268078933391</v>
      </c>
      <c r="S11" s="256">
        <v>1.850668922304112</v>
      </c>
      <c r="T11" s="256">
        <v>1.2318148604426851</v>
      </c>
      <c r="U11" s="256">
        <v>2.116518175792478</v>
      </c>
      <c r="V11" s="256">
        <v>2.2989010608697669</v>
      </c>
      <c r="W11" s="256">
        <v>2.6377365328646079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1.7913155631969211</v>
      </c>
      <c r="C14" s="255">
        <v>1.600257953567253</v>
      </c>
      <c r="D14" s="255">
        <v>1.671883061047559</v>
      </c>
      <c r="E14" s="255">
        <v>0.45382631126375073</v>
      </c>
      <c r="F14" s="255">
        <v>0.42992261392924058</v>
      </c>
      <c r="G14" s="255">
        <v>0.42992261392924902</v>
      </c>
      <c r="H14" s="255">
        <v>0.54935511607903698</v>
      </c>
      <c r="I14" s="255">
        <v>0.62098022355948845</v>
      </c>
      <c r="J14" s="255">
        <v>0.54935511607828713</v>
      </c>
      <c r="K14" s="255">
        <v>0.4060189165942088</v>
      </c>
      <c r="L14" s="255">
        <v>0.42992261392949149</v>
      </c>
      <c r="M14" s="255">
        <v>0.42992261392934611</v>
      </c>
      <c r="N14" s="255">
        <v>0.42992261392917441</v>
      </c>
      <c r="O14" s="255">
        <v>0.23886500429918231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3.7523693476495201</v>
      </c>
      <c r="C15" s="256">
        <v>3.4715136643102089</v>
      </c>
      <c r="D15" s="256">
        <v>4.5872953131349066</v>
      </c>
      <c r="E15" s="256">
        <v>9.2695953787484164</v>
      </c>
      <c r="F15" s="256">
        <v>12.35057477284284</v>
      </c>
      <c r="G15" s="256">
        <v>9.1402273853697587</v>
      </c>
      <c r="H15" s="256">
        <v>17.087028255876071</v>
      </c>
      <c r="I15" s="256">
        <v>20.47452496152361</v>
      </c>
      <c r="J15" s="256">
        <v>22.948182277846449</v>
      </c>
      <c r="K15" s="256">
        <v>24.93337503387442</v>
      </c>
      <c r="L15" s="256">
        <v>16.741040130475199</v>
      </c>
      <c r="M15" s="256">
        <v>19.136014250412941</v>
      </c>
      <c r="N15" s="256">
        <v>20.52669993698672</v>
      </c>
      <c r="O15" s="256">
        <v>17.45389477523268</v>
      </c>
      <c r="P15" s="256">
        <v>12.61282173032159</v>
      </c>
      <c r="Q15" s="256">
        <v>13.146598261602049</v>
      </c>
      <c r="R15" s="256">
        <v>14.517274711784509</v>
      </c>
      <c r="S15" s="256">
        <v>20.055614060808661</v>
      </c>
      <c r="T15" s="256">
        <v>22.239875284591491</v>
      </c>
      <c r="U15" s="256">
        <v>17.953072523953612</v>
      </c>
      <c r="V15" s="256">
        <v>18.102888536348011</v>
      </c>
      <c r="W15" s="256">
        <v>23.55653000695057</v>
      </c>
      <c r="DA15" s="272" t="s">
        <v>1001</v>
      </c>
    </row>
    <row r="16" spans="1:105" x14ac:dyDescent="0.25">
      <c r="A16" s="257" t="s">
        <v>175</v>
      </c>
      <c r="B16" s="258">
        <v>195.03733188523529</v>
      </c>
      <c r="C16" s="258">
        <v>233.79279322151891</v>
      </c>
      <c r="D16" s="258">
        <v>227.02552658084551</v>
      </c>
      <c r="E16" s="258">
        <v>158.26575954956999</v>
      </c>
      <c r="F16" s="258">
        <v>152.97147577777471</v>
      </c>
      <c r="G16" s="258">
        <v>203.96781629311559</v>
      </c>
      <c r="H16" s="258">
        <v>114.8339459862883</v>
      </c>
      <c r="I16" s="258">
        <v>116.71992741553809</v>
      </c>
      <c r="J16" s="258">
        <v>94.651455588874953</v>
      </c>
      <c r="K16" s="258">
        <v>90.565428058763018</v>
      </c>
      <c r="L16" s="258">
        <v>131.84878038802151</v>
      </c>
      <c r="M16" s="258">
        <v>107.6680880383573</v>
      </c>
      <c r="N16" s="258">
        <v>104.1551216409211</v>
      </c>
      <c r="O16" s="258">
        <v>107.2788603523872</v>
      </c>
      <c r="P16" s="258">
        <v>111.3751263367004</v>
      </c>
      <c r="Q16" s="258">
        <v>114.69133739162039</v>
      </c>
      <c r="R16" s="258">
        <v>112.8940103459543</v>
      </c>
      <c r="S16" s="258">
        <v>116.939418393003</v>
      </c>
      <c r="T16" s="258">
        <v>117.684793948543</v>
      </c>
      <c r="U16" s="258">
        <v>122.36064558249009</v>
      </c>
      <c r="V16" s="258">
        <v>130.04934806464999</v>
      </c>
      <c r="W16" s="258">
        <v>134.94422594471399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263.83497101075329</v>
      </c>
      <c r="C17" s="258">
        <f t="shared" ref="C17:W17" si="5">SUM(C18:C24)</f>
        <v>315.80887123885287</v>
      </c>
      <c r="D17" s="258">
        <f t="shared" si="5"/>
        <v>308.28977466778105</v>
      </c>
      <c r="E17" s="258">
        <f t="shared" si="5"/>
        <v>215.84652584502314</v>
      </c>
      <c r="F17" s="258">
        <f t="shared" si="5"/>
        <v>209.10934766808043</v>
      </c>
      <c r="G17" s="258">
        <f t="shared" si="5"/>
        <v>278.03370205608155</v>
      </c>
      <c r="H17" s="258">
        <f t="shared" si="5"/>
        <v>158.77792607454626</v>
      </c>
      <c r="I17" s="258">
        <f t="shared" si="5"/>
        <v>158.73147141484364</v>
      </c>
      <c r="J17" s="258">
        <f t="shared" si="5"/>
        <v>130.78070988743352</v>
      </c>
      <c r="K17" s="258">
        <f t="shared" si="5"/>
        <v>125.49348642255731</v>
      </c>
      <c r="L17" s="258">
        <f t="shared" si="5"/>
        <v>184.32283514698568</v>
      </c>
      <c r="M17" s="258">
        <f t="shared" si="5"/>
        <v>151.67122085030101</v>
      </c>
      <c r="N17" s="258">
        <f t="shared" si="5"/>
        <v>144.18017483655052</v>
      </c>
      <c r="O17" s="258">
        <f t="shared" si="5"/>
        <v>148.33729262847672</v>
      </c>
      <c r="P17" s="258">
        <f t="shared" si="5"/>
        <v>153.07989340833163</v>
      </c>
      <c r="Q17" s="258">
        <f t="shared" si="5"/>
        <v>158.21852778810705</v>
      </c>
      <c r="R17" s="258">
        <f t="shared" si="5"/>
        <v>154.31842722370072</v>
      </c>
      <c r="S17" s="258">
        <f t="shared" si="5"/>
        <v>159.99633869329591</v>
      </c>
      <c r="T17" s="258">
        <f t="shared" si="5"/>
        <v>161.80905918475074</v>
      </c>
      <c r="U17" s="258">
        <f t="shared" si="5"/>
        <v>168.65134145922207</v>
      </c>
      <c r="V17" s="258">
        <f t="shared" si="5"/>
        <v>177.76690110105923</v>
      </c>
      <c r="W17" s="258">
        <f t="shared" si="5"/>
        <v>185.50471467176112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11.297420464301</v>
      </c>
      <c r="C19" s="55">
        <v>11.297420464305951</v>
      </c>
      <c r="D19" s="55">
        <v>15.816337059309291</v>
      </c>
      <c r="E19" s="55">
        <v>13.55692175406676</v>
      </c>
      <c r="F19" s="55">
        <v>14.68968185723028</v>
      </c>
      <c r="G19" s="55">
        <v>12.42975064486904</v>
      </c>
      <c r="H19" s="55">
        <v>11.29982803097357</v>
      </c>
      <c r="I19" s="55">
        <v>5.4934651762842046</v>
      </c>
      <c r="J19" s="55">
        <v>8.7895098882576317</v>
      </c>
      <c r="K19" s="55">
        <v>6.592175408457229</v>
      </c>
      <c r="L19" s="55">
        <v>7.6907996560483163</v>
      </c>
      <c r="M19" s="55">
        <v>6.5921754084383313</v>
      </c>
      <c r="N19" s="55">
        <v>6.5921754084475488</v>
      </c>
      <c r="O19" s="55">
        <v>5.4934651762767848</v>
      </c>
      <c r="P19" s="55">
        <v>4.3947549440965998</v>
      </c>
      <c r="Q19" s="55">
        <v>5.4934651762521902</v>
      </c>
      <c r="R19" s="55">
        <v>4.394754944098576</v>
      </c>
      <c r="S19" s="55">
        <v>4.1157351676797367</v>
      </c>
      <c r="T19" s="55">
        <v>4.9144453998426103</v>
      </c>
      <c r="U19" s="55">
        <v>4.5957867583914531</v>
      </c>
      <c r="V19" s="55">
        <v>4.3584694754878717</v>
      </c>
      <c r="W19" s="55">
        <v>4.5661220980335733</v>
      </c>
      <c r="DA19" s="101" t="s">
        <v>1004</v>
      </c>
    </row>
    <row r="20" spans="1:105" x14ac:dyDescent="0.25">
      <c r="A20" s="61" t="s">
        <v>173</v>
      </c>
      <c r="B20" s="55">
        <v>252.45398008786631</v>
      </c>
      <c r="C20" s="55">
        <v>303.23191734543798</v>
      </c>
      <c r="D20" s="55">
        <v>290.48607056946878</v>
      </c>
      <c r="E20" s="55">
        <v>200.04986804163789</v>
      </c>
      <c r="F20" s="55">
        <v>192.23506203729031</v>
      </c>
      <c r="G20" s="55">
        <v>258.31177221617008</v>
      </c>
      <c r="H20" s="55">
        <v>139.87658609464319</v>
      </c>
      <c r="I20" s="55">
        <v>147.82699731647389</v>
      </c>
      <c r="J20" s="55">
        <v>114.7594371708611</v>
      </c>
      <c r="K20" s="55">
        <v>109.0762899825673</v>
      </c>
      <c r="L20" s="55">
        <v>156.65256882348601</v>
      </c>
      <c r="M20" s="55">
        <v>125.01521849500909</v>
      </c>
      <c r="N20" s="55">
        <v>126.01565040164159</v>
      </c>
      <c r="O20" s="55">
        <v>129.91638368682109</v>
      </c>
      <c r="P20" s="55">
        <v>137.5461644031478</v>
      </c>
      <c r="Q20" s="55">
        <v>140.15442261186811</v>
      </c>
      <c r="R20" s="55">
        <v>141.24272032569539</v>
      </c>
      <c r="S20" s="55">
        <v>145.76248482966781</v>
      </c>
      <c r="T20" s="55">
        <v>145.33537103568699</v>
      </c>
      <c r="U20" s="55">
        <v>149.7587452755667</v>
      </c>
      <c r="V20" s="55">
        <v>162.3893619211953</v>
      </c>
      <c r="W20" s="55">
        <v>165.9249103619303</v>
      </c>
      <c r="DA20" s="101" t="s">
        <v>1005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4.7995700773803236</v>
      </c>
      <c r="H21" s="55">
        <v>4.7995700773941987</v>
      </c>
      <c r="I21" s="55">
        <v>1.9107480653537789</v>
      </c>
      <c r="J21" s="55">
        <v>2.9557179707778758</v>
      </c>
      <c r="K21" s="55">
        <v>6.0128976784459294</v>
      </c>
      <c r="L21" s="55">
        <v>17.38194325018425</v>
      </c>
      <c r="M21" s="55">
        <v>16.52209802238567</v>
      </c>
      <c r="N21" s="55">
        <v>3.9110920034518801</v>
      </c>
      <c r="O21" s="55">
        <v>4.9619948409363213</v>
      </c>
      <c r="P21" s="55">
        <v>4.8664660360985978</v>
      </c>
      <c r="Q21" s="55">
        <v>5.9173688735854286</v>
      </c>
      <c r="R21" s="55">
        <v>3.9110920034291619</v>
      </c>
      <c r="S21" s="55">
        <v>4.7099742046545154</v>
      </c>
      <c r="T21" s="55">
        <v>4.4998280309677767</v>
      </c>
      <c r="U21" s="55">
        <v>4.8156491831553794</v>
      </c>
      <c r="V21" s="55">
        <v>1.1077386070490689</v>
      </c>
      <c r="W21" s="55">
        <v>3.9846947549538991</v>
      </c>
      <c r="DA21" s="101" t="s">
        <v>1006</v>
      </c>
    </row>
    <row r="22" spans="1:105" x14ac:dyDescent="0.25">
      <c r="A22" s="61" t="s">
        <v>176</v>
      </c>
      <c r="B22" s="55">
        <v>8.357045858601661E-2</v>
      </c>
      <c r="C22" s="55">
        <v>1.279533429108948</v>
      </c>
      <c r="D22" s="55">
        <v>1.987367039003002</v>
      </c>
      <c r="E22" s="55">
        <v>2.2397360493184899</v>
      </c>
      <c r="F22" s="55">
        <v>2.1846037735598292</v>
      </c>
      <c r="G22" s="55">
        <v>2.492609117662103</v>
      </c>
      <c r="H22" s="55">
        <v>2.8019418715353042</v>
      </c>
      <c r="I22" s="55">
        <v>3.500260856731745</v>
      </c>
      <c r="J22" s="55">
        <v>4.276044857536915</v>
      </c>
      <c r="K22" s="55">
        <v>3.812123353086859</v>
      </c>
      <c r="L22" s="55">
        <v>2.5975234172671349</v>
      </c>
      <c r="M22" s="55">
        <v>3.5417289244679191</v>
      </c>
      <c r="N22" s="55">
        <v>3.8635786051126031</v>
      </c>
      <c r="O22" s="55">
        <v>4.8843655194506583</v>
      </c>
      <c r="P22" s="55">
        <v>3.191424620010975</v>
      </c>
      <c r="Q22" s="55">
        <v>3.978206638017074</v>
      </c>
      <c r="R22" s="55">
        <v>3.3367559092087791</v>
      </c>
      <c r="S22" s="55">
        <v>3.975040450017826</v>
      </c>
      <c r="T22" s="55">
        <v>2.654427615918705</v>
      </c>
      <c r="U22" s="55">
        <v>4.3541611019448592</v>
      </c>
      <c r="V22" s="55">
        <v>4.784331957179881</v>
      </c>
      <c r="W22" s="55">
        <v>5.6369840174491941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3.7976784178969161</v>
      </c>
      <c r="O23" s="55">
        <v>3.0810834049918769</v>
      </c>
      <c r="P23" s="55">
        <v>3.081083404977667</v>
      </c>
      <c r="Q23" s="55">
        <v>2.6750644883842578</v>
      </c>
      <c r="R23" s="55">
        <v>1.4331040412688261</v>
      </c>
      <c r="S23" s="55">
        <v>1.433104041276025</v>
      </c>
      <c r="T23" s="55">
        <v>4.4049871023346494</v>
      </c>
      <c r="U23" s="55">
        <v>5.1269991401636563</v>
      </c>
      <c r="V23" s="55">
        <v>5.1269991401470811</v>
      </c>
      <c r="W23" s="55">
        <v>5.3920034393941574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37.478048709277239</v>
      </c>
      <c r="C25" s="258">
        <v>44.925233582409213</v>
      </c>
      <c r="D25" s="258">
        <v>43.624846900863233</v>
      </c>
      <c r="E25" s="258">
        <v>30.412084640799829</v>
      </c>
      <c r="F25" s="258">
        <v>29.394743892943229</v>
      </c>
      <c r="G25" s="258">
        <v>39.194115712454469</v>
      </c>
      <c r="H25" s="258">
        <v>22.066299715815731</v>
      </c>
      <c r="I25" s="258">
        <v>22.428706764697051</v>
      </c>
      <c r="J25" s="258">
        <v>18.188065990623759</v>
      </c>
      <c r="K25" s="258">
        <v>17.402901748882119</v>
      </c>
      <c r="L25" s="258">
        <v>25.335841943063109</v>
      </c>
      <c r="M25" s="258">
        <v>20.689320392829771</v>
      </c>
      <c r="N25" s="258">
        <v>20.01427462346577</v>
      </c>
      <c r="O25" s="258">
        <v>20.614527049254011</v>
      </c>
      <c r="P25" s="258">
        <v>21.401658695294898</v>
      </c>
      <c r="Q25" s="258">
        <v>22.038896285889439</v>
      </c>
      <c r="R25" s="258">
        <v>21.693524915634981</v>
      </c>
      <c r="S25" s="258">
        <v>22.47088378519441</v>
      </c>
      <c r="T25" s="258">
        <v>22.614113909946489</v>
      </c>
      <c r="U25" s="258">
        <v>23.512617768672051</v>
      </c>
      <c r="V25" s="258">
        <v>24.990066026152771</v>
      </c>
      <c r="W25" s="258">
        <v>25.93065760337425</v>
      </c>
      <c r="DA25" s="273" t="s">
        <v>1010</v>
      </c>
    </row>
    <row r="26" spans="1:105" x14ac:dyDescent="0.25">
      <c r="A26" s="257" t="s">
        <v>177</v>
      </c>
      <c r="B26" s="258">
        <v>11.545312889015291</v>
      </c>
      <c r="C26" s="258">
        <v>12.71928282187136</v>
      </c>
      <c r="D26" s="258">
        <v>13.64831909747857</v>
      </c>
      <c r="E26" s="258">
        <v>13.43412907569753</v>
      </c>
      <c r="F26" s="258">
        <v>14.40004841622418</v>
      </c>
      <c r="G26" s="258">
        <v>15.867569312404219</v>
      </c>
      <c r="H26" s="258">
        <v>13.177607246405991</v>
      </c>
      <c r="I26" s="258">
        <v>14.236995265482861</v>
      </c>
      <c r="J26" s="258">
        <v>12.84802476522089</v>
      </c>
      <c r="K26" s="258">
        <v>12.82931811426759</v>
      </c>
      <c r="L26" s="258">
        <v>14.29581604969016</v>
      </c>
      <c r="M26" s="258">
        <v>13.04296052041642</v>
      </c>
      <c r="N26" s="258">
        <v>13.14315528329344</v>
      </c>
      <c r="O26" s="258">
        <v>12.708705137734279</v>
      </c>
      <c r="P26" s="258">
        <v>11.69927572290052</v>
      </c>
      <c r="Q26" s="258">
        <v>12.091230648799749</v>
      </c>
      <c r="R26" s="258">
        <v>12.386020552204879</v>
      </c>
      <c r="S26" s="258">
        <v>14.115755949522461</v>
      </c>
      <c r="T26" s="258">
        <v>14.62836200224192</v>
      </c>
      <c r="U26" s="258">
        <v>13.99442418813803</v>
      </c>
      <c r="V26" s="258">
        <v>14.65925032378362</v>
      </c>
      <c r="W26" s="258">
        <v>16.377773964053159</v>
      </c>
      <c r="DA26" s="273" t="s">
        <v>1011</v>
      </c>
    </row>
    <row r="27" spans="1:105" x14ac:dyDescent="0.25">
      <c r="A27" s="129" t="s">
        <v>33</v>
      </c>
      <c r="B27" s="259">
        <v>16.74070368907217</v>
      </c>
      <c r="C27" s="259">
        <v>18.44296009171347</v>
      </c>
      <c r="D27" s="259">
        <v>19.79006269134392</v>
      </c>
      <c r="E27" s="259">
        <v>19.479487159761419</v>
      </c>
      <c r="F27" s="259">
        <v>20.880070203525062</v>
      </c>
      <c r="G27" s="259">
        <v>23.007975502986131</v>
      </c>
      <c r="H27" s="259">
        <v>19.10753050728869</v>
      </c>
      <c r="I27" s="259">
        <v>20.64364313495015</v>
      </c>
      <c r="J27" s="259">
        <v>18.6296359095703</v>
      </c>
      <c r="K27" s="259">
        <v>18.602511265688019</v>
      </c>
      <c r="L27" s="259">
        <v>20.728933272050739</v>
      </c>
      <c r="M27" s="259">
        <v>18.912292754603811</v>
      </c>
      <c r="N27" s="259">
        <v>19.057575160775489</v>
      </c>
      <c r="O27" s="259">
        <v>18.427622449714711</v>
      </c>
      <c r="P27" s="259">
        <v>16.96394979820575</v>
      </c>
      <c r="Q27" s="259">
        <v>17.532284440759639</v>
      </c>
      <c r="R27" s="259">
        <v>17.95972980069708</v>
      </c>
      <c r="S27" s="259">
        <v>20.467846126807562</v>
      </c>
      <c r="T27" s="259">
        <v>21.211124903250781</v>
      </c>
      <c r="U27" s="259">
        <v>20.291915072800141</v>
      </c>
      <c r="V27" s="259">
        <v>21.255912969486239</v>
      </c>
      <c r="W27" s="259">
        <v>23.747772247877091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1.0000000000000002</v>
      </c>
      <c r="D31" s="236">
        <f t="shared" si="6"/>
        <v>1.0000000000000002</v>
      </c>
      <c r="E31" s="236">
        <f t="shared" si="6"/>
        <v>0.99999999999999978</v>
      </c>
      <c r="F31" s="236">
        <f t="shared" si="6"/>
        <v>0.99999999999999989</v>
      </c>
      <c r="G31" s="236">
        <f t="shared" si="6"/>
        <v>0.99999999999999989</v>
      </c>
      <c r="H31" s="236">
        <f t="shared" si="6"/>
        <v>1</v>
      </c>
      <c r="I31" s="236">
        <f t="shared" si="6"/>
        <v>1.0000000000000002</v>
      </c>
      <c r="J31" s="236">
        <f t="shared" si="6"/>
        <v>0.99999999999999978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1</v>
      </c>
      <c r="N31" s="236">
        <f t="shared" si="6"/>
        <v>0.99999999999999989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1.0000000000000002</v>
      </c>
      <c r="S31" s="236">
        <f t="shared" si="7"/>
        <v>1</v>
      </c>
      <c r="T31" s="236">
        <f t="shared" si="7"/>
        <v>1</v>
      </c>
      <c r="U31" s="236">
        <f t="shared" si="7"/>
        <v>1.0000000000000002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1.6568292383418462E-2</v>
      </c>
      <c r="C32" s="245">
        <f t="shared" si="8"/>
        <v>1.5336709190869548E-2</v>
      </c>
      <c r="D32" s="245">
        <f t="shared" si="8"/>
        <v>1.6780400687481861E-2</v>
      </c>
      <c r="E32" s="245">
        <f t="shared" si="8"/>
        <v>2.2853879771198057E-2</v>
      </c>
      <c r="F32" s="245">
        <f t="shared" si="8"/>
        <v>2.4980682875619106E-2</v>
      </c>
      <c r="G32" s="245">
        <f t="shared" si="8"/>
        <v>2.1166627665965936E-2</v>
      </c>
      <c r="H32" s="245">
        <f t="shared" si="8"/>
        <v>2.9356729289978331E-2</v>
      </c>
      <c r="I32" s="245">
        <f t="shared" si="8"/>
        <v>3.1011464263351642E-2</v>
      </c>
      <c r="J32" s="245">
        <f t="shared" si="8"/>
        <v>3.3504995061229108E-2</v>
      </c>
      <c r="K32" s="245">
        <f t="shared" si="8"/>
        <v>3.4570092738120145E-2</v>
      </c>
      <c r="L32" s="245">
        <f t="shared" si="8"/>
        <v>2.7917043039088922E-2</v>
      </c>
      <c r="M32" s="245">
        <f t="shared" si="8"/>
        <v>3.0460193386742995E-2</v>
      </c>
      <c r="N32" s="245">
        <f t="shared" si="8"/>
        <v>3.1655614501990961E-2</v>
      </c>
      <c r="O32" s="245">
        <f t="shared" si="8"/>
        <v>3.0115322976206543E-2</v>
      </c>
      <c r="P32" s="245">
        <f t="shared" si="8"/>
        <v>2.7358962385322781E-2</v>
      </c>
      <c r="Q32" s="245">
        <f t="shared" si="8"/>
        <v>2.7401205247918736E-2</v>
      </c>
      <c r="R32" s="245">
        <f t="shared" si="8"/>
        <v>2.842110020626696E-2</v>
      </c>
      <c r="S32" s="245">
        <f t="shared" si="8"/>
        <v>3.0702799502771629E-2</v>
      </c>
      <c r="T32" s="245">
        <f t="shared" si="8"/>
        <v>3.1380165574948535E-2</v>
      </c>
      <c r="U32" s="245">
        <f t="shared" si="8"/>
        <v>2.9316125233088745E-2</v>
      </c>
      <c r="V32" s="245">
        <f t="shared" si="8"/>
        <v>2.9055061428520417E-2</v>
      </c>
      <c r="W32" s="245">
        <f t="shared" si="8"/>
        <v>3.0779235202047058E-2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1.0769390049222E-2</v>
      </c>
      <c r="C33" s="246">
        <f t="shared" si="9"/>
        <v>9.9688609740652013E-3</v>
      </c>
      <c r="D33" s="246">
        <f t="shared" si="9"/>
        <v>1.0907260446863205E-2</v>
      </c>
      <c r="E33" s="246">
        <f t="shared" si="9"/>
        <v>1.4855021851278726E-2</v>
      </c>
      <c r="F33" s="246">
        <f t="shared" si="9"/>
        <v>1.6237443869152414E-2</v>
      </c>
      <c r="G33" s="246">
        <f t="shared" si="9"/>
        <v>1.3758307982877853E-2</v>
      </c>
      <c r="H33" s="246">
        <f t="shared" si="9"/>
        <v>1.9081874038485911E-2</v>
      </c>
      <c r="I33" s="246">
        <f t="shared" si="9"/>
        <v>2.0157451771178562E-2</v>
      </c>
      <c r="J33" s="246">
        <f t="shared" si="9"/>
        <v>2.1778246789798925E-2</v>
      </c>
      <c r="K33" s="246">
        <f t="shared" si="9"/>
        <v>2.2470560279778094E-2</v>
      </c>
      <c r="L33" s="246">
        <f t="shared" si="9"/>
        <v>1.8146077975407796E-2</v>
      </c>
      <c r="M33" s="246">
        <f t="shared" si="9"/>
        <v>1.9799125701382949E-2</v>
      </c>
      <c r="N33" s="246">
        <f t="shared" si="9"/>
        <v>2.0576149426294117E-2</v>
      </c>
      <c r="O33" s="246">
        <f t="shared" si="9"/>
        <v>1.9574959934534258E-2</v>
      </c>
      <c r="P33" s="246">
        <f t="shared" si="9"/>
        <v>1.7783325550459802E-2</v>
      </c>
      <c r="Q33" s="246">
        <f t="shared" si="9"/>
        <v>1.7810783411147176E-2</v>
      </c>
      <c r="R33" s="246">
        <f t="shared" si="9"/>
        <v>1.8473715134073525E-2</v>
      </c>
      <c r="S33" s="246">
        <f t="shared" si="9"/>
        <v>1.9956819676801546E-2</v>
      </c>
      <c r="T33" s="246">
        <f t="shared" si="9"/>
        <v>2.0397107623716538E-2</v>
      </c>
      <c r="U33" s="246">
        <f t="shared" si="9"/>
        <v>1.9055481401507677E-2</v>
      </c>
      <c r="V33" s="246">
        <f t="shared" si="9"/>
        <v>1.8885789928538264E-2</v>
      </c>
      <c r="W33" s="246">
        <f t="shared" si="9"/>
        <v>2.0006502881330601E-2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1.4911463145076612E-2</v>
      </c>
      <c r="C34" s="246">
        <f t="shared" si="10"/>
        <v>1.3803038271782588E-2</v>
      </c>
      <c r="D34" s="246">
        <f t="shared" si="10"/>
        <v>1.5102360618733671E-2</v>
      </c>
      <c r="E34" s="246">
        <f t="shared" si="10"/>
        <v>2.0568491794078238E-2</v>
      </c>
      <c r="F34" s="246">
        <f t="shared" si="10"/>
        <v>2.2482614588057191E-2</v>
      </c>
      <c r="G34" s="246">
        <f t="shared" si="10"/>
        <v>1.9049964899369359E-2</v>
      </c>
      <c r="H34" s="246">
        <f t="shared" si="10"/>
        <v>2.6421056360980494E-2</v>
      </c>
      <c r="I34" s="246">
        <f t="shared" si="10"/>
        <v>2.7910317837016467E-2</v>
      </c>
      <c r="J34" s="246">
        <f t="shared" si="10"/>
        <v>3.0154495555106194E-2</v>
      </c>
      <c r="K34" s="246">
        <f t="shared" si="10"/>
        <v>3.111308346430813E-2</v>
      </c>
      <c r="L34" s="246">
        <f t="shared" si="10"/>
        <v>2.5125338735180022E-2</v>
      </c>
      <c r="M34" s="246">
        <f t="shared" si="10"/>
        <v>2.7414174048068701E-2</v>
      </c>
      <c r="N34" s="246">
        <f t="shared" si="10"/>
        <v>2.8490053051791874E-2</v>
      </c>
      <c r="O34" s="246">
        <f t="shared" si="10"/>
        <v>2.7103790678585909E-2</v>
      </c>
      <c r="P34" s="246">
        <f t="shared" si="10"/>
        <v>2.4623066146790509E-2</v>
      </c>
      <c r="Q34" s="246">
        <f t="shared" si="10"/>
        <v>2.4661084723126853E-2</v>
      </c>
      <c r="R34" s="246">
        <f t="shared" si="10"/>
        <v>2.5578990185640284E-2</v>
      </c>
      <c r="S34" s="246">
        <f t="shared" si="10"/>
        <v>2.7632519552494458E-2</v>
      </c>
      <c r="T34" s="246">
        <f t="shared" si="10"/>
        <v>2.8242149017453665E-2</v>
      </c>
      <c r="U34" s="246">
        <f t="shared" si="10"/>
        <v>2.6384512709779876E-2</v>
      </c>
      <c r="V34" s="246">
        <f t="shared" si="10"/>
        <v>2.6149555285668358E-2</v>
      </c>
      <c r="W34" s="246">
        <f t="shared" si="10"/>
        <v>2.7701311681842346E-2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0.20486274938817597</v>
      </c>
      <c r="C35" s="247">
        <f t="shared" si="11"/>
        <v>0.20644536397499719</v>
      </c>
      <c r="D35" s="247">
        <f t="shared" si="11"/>
        <v>0.20429989229542905</v>
      </c>
      <c r="E35" s="247">
        <f t="shared" si="11"/>
        <v>0.19756159031972695</v>
      </c>
      <c r="F35" s="247">
        <f t="shared" si="11"/>
        <v>0.19597893833500588</v>
      </c>
      <c r="G35" s="247">
        <f t="shared" si="11"/>
        <v>0.19891520023983647</v>
      </c>
      <c r="H35" s="247">
        <f t="shared" si="11"/>
        <v>0.19451224410943407</v>
      </c>
      <c r="I35" s="247">
        <f t="shared" si="11"/>
        <v>0.19609100196591506</v>
      </c>
      <c r="J35" s="247">
        <f t="shared" si="11"/>
        <v>0.19716377636791588</v>
      </c>
      <c r="K35" s="247">
        <f t="shared" si="11"/>
        <v>0.19805946573795835</v>
      </c>
      <c r="L35" s="247">
        <f t="shared" si="11"/>
        <v>0.19351487818525118</v>
      </c>
      <c r="M35" s="247">
        <f t="shared" si="11"/>
        <v>0.19372739921928148</v>
      </c>
      <c r="N35" s="247">
        <f t="shared" si="11"/>
        <v>0.19539534978128278</v>
      </c>
      <c r="O35" s="247">
        <f t="shared" si="11"/>
        <v>0.19485031454356103</v>
      </c>
      <c r="P35" s="247">
        <f t="shared" si="11"/>
        <v>0.19472430957475795</v>
      </c>
      <c r="Q35" s="247">
        <f t="shared" si="11"/>
        <v>0.19457966712065511</v>
      </c>
      <c r="R35" s="247">
        <f t="shared" si="11"/>
        <v>0.19496767147193914</v>
      </c>
      <c r="S35" s="247">
        <f t="shared" si="11"/>
        <v>0.19525470482497795</v>
      </c>
      <c r="T35" s="247">
        <f t="shared" si="11"/>
        <v>0.19502948217124527</v>
      </c>
      <c r="U35" s="247">
        <f t="shared" si="11"/>
        <v>0.19453962433228089</v>
      </c>
      <c r="V35" s="247">
        <f t="shared" si="11"/>
        <v>0.19509287553242569</v>
      </c>
      <c r="W35" s="247">
        <f t="shared" si="11"/>
        <v>0.19514239625243537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0.27989155178556746</v>
      </c>
      <c r="C36" s="260">
        <f t="shared" si="12"/>
        <v>0.28190363645298588</v>
      </c>
      <c r="D36" s="260">
        <f t="shared" si="12"/>
        <v>0.27912443100901296</v>
      </c>
      <c r="E36" s="260">
        <f t="shared" si="12"/>
        <v>0.26923863990456792</v>
      </c>
      <c r="F36" s="260">
        <f t="shared" si="12"/>
        <v>0.26536938036365482</v>
      </c>
      <c r="G36" s="260">
        <f t="shared" si="12"/>
        <v>0.27208394293519983</v>
      </c>
      <c r="H36" s="260">
        <f t="shared" si="12"/>
        <v>0.25582406597668889</v>
      </c>
      <c r="I36" s="260">
        <f t="shared" si="12"/>
        <v>0.25424296281418995</v>
      </c>
      <c r="J36" s="260">
        <f t="shared" si="12"/>
        <v>0.24683144763450174</v>
      </c>
      <c r="K36" s="260">
        <f t="shared" si="12"/>
        <v>0.244039100049841</v>
      </c>
      <c r="L36" s="260">
        <f t="shared" si="12"/>
        <v>0.25747589811940508</v>
      </c>
      <c r="M36" s="260">
        <f t="shared" si="12"/>
        <v>0.25144527410748663</v>
      </c>
      <c r="N36" s="260">
        <f t="shared" si="12"/>
        <v>0.25086018600601828</v>
      </c>
      <c r="O36" s="260">
        <f t="shared" si="12"/>
        <v>0.25421453193047161</v>
      </c>
      <c r="P36" s="260">
        <f t="shared" si="12"/>
        <v>0.26045269504520324</v>
      </c>
      <c r="Q36" s="260">
        <f t="shared" si="12"/>
        <v>0.25991406229092562</v>
      </c>
      <c r="R36" s="260">
        <f t="shared" si="12"/>
        <v>0.2590478489201713</v>
      </c>
      <c r="S36" s="260">
        <f t="shared" si="12"/>
        <v>0.25435177044220281</v>
      </c>
      <c r="T36" s="260">
        <f t="shared" si="12"/>
        <v>0.25245262040910676</v>
      </c>
      <c r="U36" s="260">
        <f t="shared" si="12"/>
        <v>0.25632637408107167</v>
      </c>
      <c r="V36" s="260">
        <f t="shared" si="12"/>
        <v>0.25776159853324382</v>
      </c>
      <c r="W36" s="260">
        <f t="shared" si="12"/>
        <v>0.25360467659566066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0.37862074269428703</v>
      </c>
      <c r="C37" s="260">
        <f t="shared" si="13"/>
        <v>0.38079732056578669</v>
      </c>
      <c r="D37" s="260">
        <f t="shared" si="13"/>
        <v>0.37903758769346019</v>
      </c>
      <c r="E37" s="260">
        <f t="shared" si="13"/>
        <v>0.36719392250121163</v>
      </c>
      <c r="F37" s="260">
        <f t="shared" si="13"/>
        <v>0.36275532897087281</v>
      </c>
      <c r="G37" s="260">
        <f t="shared" si="13"/>
        <v>0.37088452138732125</v>
      </c>
      <c r="H37" s="260">
        <f t="shared" si="13"/>
        <v>0.35372131721909711</v>
      </c>
      <c r="I37" s="260">
        <f t="shared" si="13"/>
        <v>0.34575380980740217</v>
      </c>
      <c r="J37" s="260">
        <f t="shared" si="13"/>
        <v>0.3410490810030099</v>
      </c>
      <c r="K37" s="260">
        <f t="shared" si="13"/>
        <v>0.33815682369222294</v>
      </c>
      <c r="L37" s="260">
        <f t="shared" si="13"/>
        <v>0.35994786894287284</v>
      </c>
      <c r="M37" s="260">
        <f t="shared" si="13"/>
        <v>0.35420905484394394</v>
      </c>
      <c r="N37" s="260">
        <f t="shared" si="13"/>
        <v>0.34726151636183178</v>
      </c>
      <c r="O37" s="260">
        <f t="shared" si="13"/>
        <v>0.35150909778044154</v>
      </c>
      <c r="P37" s="260">
        <f t="shared" si="13"/>
        <v>0.35798002755929897</v>
      </c>
      <c r="Q37" s="260">
        <f t="shared" si="13"/>
        <v>0.35855559122725128</v>
      </c>
      <c r="R37" s="260">
        <f t="shared" si="13"/>
        <v>0.35410077557295544</v>
      </c>
      <c r="S37" s="260">
        <f t="shared" si="13"/>
        <v>0.34800371483073084</v>
      </c>
      <c r="T37" s="260">
        <f t="shared" si="13"/>
        <v>0.3471061946625289</v>
      </c>
      <c r="U37" s="260">
        <f t="shared" si="13"/>
        <v>0.35329812648796066</v>
      </c>
      <c r="V37" s="260">
        <f t="shared" si="13"/>
        <v>0.35233917951923421</v>
      </c>
      <c r="W37" s="260">
        <f t="shared" si="13"/>
        <v>0.34862449906212617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5.3783494214877471E-2</v>
      </c>
      <c r="C38" s="260">
        <f t="shared" si="14"/>
        <v>5.4170133051882619E-2</v>
      </c>
      <c r="D38" s="260">
        <f t="shared" si="14"/>
        <v>5.3636085564688761E-2</v>
      </c>
      <c r="E38" s="260">
        <f t="shared" si="14"/>
        <v>5.1736448418503125E-2</v>
      </c>
      <c r="F38" s="260">
        <f t="shared" si="14"/>
        <v>5.0992937952370879E-2</v>
      </c>
      <c r="G38" s="260">
        <f t="shared" si="14"/>
        <v>5.2283197107812637E-2</v>
      </c>
      <c r="H38" s="260">
        <f t="shared" si="14"/>
        <v>4.9158726244888283E-2</v>
      </c>
      <c r="I38" s="260">
        <f t="shared" si="14"/>
        <v>4.8854904095734814E-2</v>
      </c>
      <c r="J38" s="260">
        <f t="shared" si="14"/>
        <v>4.7430719688426839E-2</v>
      </c>
      <c r="K38" s="260">
        <f t="shared" si="14"/>
        <v>4.6894146829376822E-2</v>
      </c>
      <c r="L38" s="260">
        <f t="shared" si="14"/>
        <v>4.9476139557026323E-2</v>
      </c>
      <c r="M38" s="260">
        <f t="shared" si="14"/>
        <v>4.8317304895572899E-2</v>
      </c>
      <c r="N38" s="260">
        <f t="shared" si="14"/>
        <v>4.8204875340912265E-2</v>
      </c>
      <c r="O38" s="260">
        <f t="shared" si="14"/>
        <v>4.8849440864493124E-2</v>
      </c>
      <c r="P38" s="260">
        <f t="shared" si="14"/>
        <v>5.0048155894126041E-2</v>
      </c>
      <c r="Q38" s="260">
        <f t="shared" si="14"/>
        <v>4.9944653121574235E-2</v>
      </c>
      <c r="R38" s="260">
        <f t="shared" si="14"/>
        <v>4.9778203003599558E-2</v>
      </c>
      <c r="S38" s="260">
        <f t="shared" si="14"/>
        <v>4.8875812388230334E-2</v>
      </c>
      <c r="T38" s="260">
        <f t="shared" si="14"/>
        <v>4.8510874882376445E-2</v>
      </c>
      <c r="U38" s="260">
        <f t="shared" si="14"/>
        <v>4.9255248933243123E-2</v>
      </c>
      <c r="V38" s="260">
        <f t="shared" si="14"/>
        <v>4.95310392724942E-2</v>
      </c>
      <c r="W38" s="260">
        <f t="shared" si="14"/>
        <v>4.873225207954246E-2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1.6568292383418462E-2</v>
      </c>
      <c r="C39" s="260">
        <f t="shared" si="15"/>
        <v>1.5336709190869548E-2</v>
      </c>
      <c r="D39" s="260">
        <f t="shared" si="15"/>
        <v>1.6780400687481861E-2</v>
      </c>
      <c r="E39" s="260">
        <f t="shared" si="15"/>
        <v>2.2853879771198057E-2</v>
      </c>
      <c r="F39" s="260">
        <f t="shared" si="15"/>
        <v>2.4980682875619106E-2</v>
      </c>
      <c r="G39" s="260">
        <f t="shared" si="15"/>
        <v>2.1166627665965936E-2</v>
      </c>
      <c r="H39" s="260">
        <f t="shared" si="15"/>
        <v>2.9356729289978331E-2</v>
      </c>
      <c r="I39" s="260">
        <f t="shared" si="15"/>
        <v>3.1011464263351642E-2</v>
      </c>
      <c r="J39" s="260">
        <f t="shared" si="15"/>
        <v>3.3504995061229108E-2</v>
      </c>
      <c r="K39" s="260">
        <f t="shared" si="15"/>
        <v>3.4570092738120145E-2</v>
      </c>
      <c r="L39" s="260">
        <f t="shared" si="15"/>
        <v>2.7917043039088922E-2</v>
      </c>
      <c r="M39" s="260">
        <f t="shared" si="15"/>
        <v>3.0460193386742995E-2</v>
      </c>
      <c r="N39" s="260">
        <f t="shared" si="15"/>
        <v>3.1655614501990961E-2</v>
      </c>
      <c r="O39" s="260">
        <f t="shared" si="15"/>
        <v>3.0115322976206543E-2</v>
      </c>
      <c r="P39" s="260">
        <f t="shared" si="15"/>
        <v>2.7358962385322781E-2</v>
      </c>
      <c r="Q39" s="260">
        <f t="shared" si="15"/>
        <v>2.7401205247918736E-2</v>
      </c>
      <c r="R39" s="260">
        <f t="shared" si="15"/>
        <v>2.842110020626696E-2</v>
      </c>
      <c r="S39" s="260">
        <f t="shared" si="15"/>
        <v>3.0702799502771629E-2</v>
      </c>
      <c r="T39" s="260">
        <f t="shared" si="15"/>
        <v>3.1380165574948535E-2</v>
      </c>
      <c r="U39" s="260">
        <f t="shared" si="15"/>
        <v>2.9316125233088745E-2</v>
      </c>
      <c r="V39" s="260">
        <f t="shared" si="15"/>
        <v>2.9055061428520417E-2</v>
      </c>
      <c r="W39" s="260">
        <f t="shared" si="15"/>
        <v>3.0779235202047058E-2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2.4024023955956767E-2</v>
      </c>
      <c r="C40" s="262">
        <f t="shared" si="16"/>
        <v>2.2238228326760843E-2</v>
      </c>
      <c r="D40" s="262">
        <f t="shared" si="16"/>
        <v>2.4331580996848689E-2</v>
      </c>
      <c r="E40" s="262">
        <f t="shared" si="16"/>
        <v>3.3138125668237185E-2</v>
      </c>
      <c r="F40" s="262">
        <f t="shared" si="16"/>
        <v>3.6221990169647701E-2</v>
      </c>
      <c r="G40" s="262">
        <f t="shared" si="16"/>
        <v>3.0691610115650622E-2</v>
      </c>
      <c r="H40" s="262">
        <f t="shared" si="16"/>
        <v>4.2567257470468592E-2</v>
      </c>
      <c r="I40" s="262">
        <f t="shared" si="16"/>
        <v>4.4966623181859885E-2</v>
      </c>
      <c r="J40" s="262">
        <f t="shared" si="16"/>
        <v>4.8582242838782229E-2</v>
      </c>
      <c r="K40" s="262">
        <f t="shared" si="16"/>
        <v>5.0126634470274246E-2</v>
      </c>
      <c r="L40" s="262">
        <f t="shared" si="16"/>
        <v>4.0479712406678948E-2</v>
      </c>
      <c r="M40" s="262">
        <f t="shared" si="16"/>
        <v>4.4167280410777346E-2</v>
      </c>
      <c r="N40" s="262">
        <f t="shared" si="16"/>
        <v>4.5900641027886893E-2</v>
      </c>
      <c r="O40" s="262">
        <f t="shared" si="16"/>
        <v>4.3667218315499502E-2</v>
      </c>
      <c r="P40" s="262">
        <f t="shared" si="16"/>
        <v>3.9670495458718022E-2</v>
      </c>
      <c r="Q40" s="262">
        <f t="shared" si="16"/>
        <v>3.9731747609482171E-2</v>
      </c>
      <c r="R40" s="262">
        <f t="shared" si="16"/>
        <v>4.1210595299087098E-2</v>
      </c>
      <c r="S40" s="262">
        <f t="shared" si="16"/>
        <v>4.4519059279018849E-2</v>
      </c>
      <c r="T40" s="262">
        <f t="shared" si="16"/>
        <v>4.5501240083675364E-2</v>
      </c>
      <c r="U40" s="262">
        <f t="shared" si="16"/>
        <v>4.2508381587978671E-2</v>
      </c>
      <c r="V40" s="262">
        <f t="shared" si="16"/>
        <v>4.2129839071354584E-2</v>
      </c>
      <c r="W40" s="262">
        <f t="shared" si="16"/>
        <v>4.4629891042968252E-2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122.34803499436491</v>
      </c>
      <c r="D44" s="237">
        <f t="shared" si="17"/>
        <v>127.8105623843865</v>
      </c>
      <c r="E44" s="237">
        <f t="shared" si="17"/>
        <v>135.4328803289018</v>
      </c>
      <c r="F44" s="237">
        <f t="shared" si="17"/>
        <v>134.84363036747561</v>
      </c>
      <c r="G44" s="237">
        <f t="shared" si="17"/>
        <v>154.42655608236765</v>
      </c>
      <c r="H44" s="237">
        <f t="shared" si="17"/>
        <v>146.93020171673032</v>
      </c>
      <c r="I44" s="237">
        <f t="shared" si="17"/>
        <v>137.23851152262932</v>
      </c>
      <c r="J44" s="237">
        <f t="shared" si="17"/>
        <v>139.32723127138394</v>
      </c>
      <c r="K44" s="237">
        <f t="shared" si="17"/>
        <v>156.36023356757093</v>
      </c>
      <c r="L44" s="237">
        <f t="shared" si="17"/>
        <v>144.5858594059342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</v>
      </c>
      <c r="Q44" s="237">
        <f t="shared" si="17"/>
        <v>132.91816907674809</v>
      </c>
      <c r="R44" s="237">
        <f t="shared" si="17"/>
        <v>135.38540863538168</v>
      </c>
      <c r="S44" s="237">
        <f t="shared" si="17"/>
        <v>124.90211009173746</v>
      </c>
      <c r="T44" s="237">
        <f t="shared" si="17"/>
        <v>141.27985612939963</v>
      </c>
      <c r="U44" s="237">
        <f t="shared" si="17"/>
        <v>142.01198459584063</v>
      </c>
      <c r="V44" s="237">
        <f t="shared" si="17"/>
        <v>148.62601044661244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2.0952077721994624</v>
      </c>
      <c r="C45" s="248">
        <f>IF(C$6=0,0,C$6/AGR!C$5*1000)</f>
        <v>1.8764162327829053</v>
      </c>
      <c r="D45" s="248">
        <f>IF(D$6=0,0,D$6/AGR!D$5*1000)</f>
        <v>2.1447124489024021</v>
      </c>
      <c r="E45" s="248">
        <f>IF(E$6=0,0,E$6/AGR!E$5*1000)</f>
        <v>3.095166764103777</v>
      </c>
      <c r="F45" s="248">
        <f>IF(F$6=0,0,F$6/AGR!F$5*1000)</f>
        <v>3.3684859680071106</v>
      </c>
      <c r="G45" s="248">
        <f>IF(G$6=0,0,G$6/AGR!G$5*1000)</f>
        <v>3.2686894143328828</v>
      </c>
      <c r="H45" s="248">
        <f>IF(H$6=0,0,H$6/AGR!H$5*1000)</f>
        <v>4.3133901563199615</v>
      </c>
      <c r="I45" s="248">
        <f>IF(I$6=0,0,I$6/AGR!I$5*1000)</f>
        <v>4.2559671956395908</v>
      </c>
      <c r="J45" s="248">
        <f>IF(J$6=0,0,J$6/AGR!J$5*1000)</f>
        <v>4.6681581956424445</v>
      </c>
      <c r="K45" s="248">
        <f>IF(K$6=0,0,K$6/AGR!K$5*1000)</f>
        <v>5.405387774985055</v>
      </c>
      <c r="L45" s="248">
        <f>IF(L$6=0,0,L$6/AGR!L$5*1000)</f>
        <v>4.0364096598791246</v>
      </c>
      <c r="M45" s="248">
        <f>IF(M$6=0,0,M$6/AGR!M$5*1000)</f>
        <v>4.0451217822796455</v>
      </c>
      <c r="N45" s="248">
        <f>IF(N$6=0,0,N$6/AGR!N$5*1000)</f>
        <v>4.2748695920864961</v>
      </c>
      <c r="O45" s="248">
        <f>IF(O$6=0,0,O$6/AGR!O$5*1000)</f>
        <v>4.0038383365182444</v>
      </c>
      <c r="P45" s="248">
        <f>IF(P$6=0,0,P$6/AGR!P$5*1000)</f>
        <v>3.5610260368022777</v>
      </c>
      <c r="Q45" s="248">
        <f>IF(Q$6=0,0,Q$6/AGR!Q$5*1000)</f>
        <v>3.6421180320495394</v>
      </c>
      <c r="R45" s="248">
        <f>IF(R$6=0,0,R$6/AGR!R$5*1000)</f>
        <v>3.8478022652925823</v>
      </c>
      <c r="S45" s="248">
        <f>IF(S$6=0,0,S$6/AGR!S$5*1000)</f>
        <v>3.8348444436197231</v>
      </c>
      <c r="T45" s="248">
        <f>IF(T$6=0,0,T$6/AGR!T$5*1000)</f>
        <v>4.4333852777454679</v>
      </c>
      <c r="U45" s="248">
        <f>IF(U$6=0,0,U$6/AGR!U$5*1000)</f>
        <v>4.1632411250111332</v>
      </c>
      <c r="V45" s="248">
        <f>IF(V$6=0,0,V$6/AGR!V$5*1000)</f>
        <v>4.3183378634022427</v>
      </c>
      <c r="W45" s="248">
        <f>IF(W$6=0,0,W$6/AGR!W$5*1000)</f>
        <v>4.3872765424345959</v>
      </c>
      <c r="DA45" s="282"/>
    </row>
    <row r="46" spans="1:105" x14ac:dyDescent="0.25">
      <c r="A46" s="241" t="s">
        <v>124</v>
      </c>
      <c r="B46" s="249">
        <f>IF(B$7=0,0,B$7/AGR!B$5*1000)</f>
        <v>1.3618850519296504</v>
      </c>
      <c r="C46" s="249">
        <f>IF(C$7=0,0,C$7/AGR!C$5*1000)</f>
        <v>1.2196705513088879</v>
      </c>
      <c r="D46" s="249">
        <f>IF(D$7=0,0,D$7/AGR!D$5*1000)</f>
        <v>1.3940630917865611</v>
      </c>
      <c r="E46" s="249">
        <f>IF(E$7=0,0,E$7/AGR!E$5*1000)</f>
        <v>2.0118583966674537</v>
      </c>
      <c r="F46" s="249">
        <f>IF(F$7=0,0,F$7/AGR!F$5*1000)</f>
        <v>2.1895158792046212</v>
      </c>
      <c r="G46" s="249">
        <f>IF(G$7=0,0,G$7/AGR!G$5*1000)</f>
        <v>2.1246481193163729</v>
      </c>
      <c r="H46" s="249">
        <f>IF(H$7=0,0,H$7/AGR!H$5*1000)</f>
        <v>2.8037036016079742</v>
      </c>
      <c r="I46" s="249">
        <f>IF(I$7=0,0,I$7/AGR!I$5*1000)</f>
        <v>2.7663786771657333</v>
      </c>
      <c r="J46" s="249">
        <f>IF(J$7=0,0,J$7/AGR!J$5*1000)</f>
        <v>3.0343028271675898</v>
      </c>
      <c r="K46" s="249">
        <f>IF(K$7=0,0,K$7/AGR!K$5*1000)</f>
        <v>3.5135020537402855</v>
      </c>
      <c r="L46" s="249">
        <f>IF(L$7=0,0,L$7/AGR!L$5*1000)</f>
        <v>2.6236662789214305</v>
      </c>
      <c r="M46" s="249">
        <f>IF(M$7=0,0,M$7/AGR!M$5*1000)</f>
        <v>2.6293291584817693</v>
      </c>
      <c r="N46" s="249">
        <f>IF(N$7=0,0,N$7/AGR!N$5*1000)</f>
        <v>2.7786652348562213</v>
      </c>
      <c r="O46" s="249">
        <f>IF(O$7=0,0,O$7/AGR!O$5*1000)</f>
        <v>2.60249491873686</v>
      </c>
      <c r="P46" s="249">
        <f>IF(P$7=0,0,P$7/AGR!P$5*1000)</f>
        <v>2.3146669239214792</v>
      </c>
      <c r="Q46" s="249">
        <f>IF(Q$7=0,0,Q$7/AGR!Q$5*1000)</f>
        <v>2.3673767208322003</v>
      </c>
      <c r="R46" s="249">
        <f>IF(R$7=0,0,R$7/AGR!R$5*1000)</f>
        <v>2.5010714724401786</v>
      </c>
      <c r="S46" s="249">
        <f>IF(S$7=0,0,S$7/AGR!S$5*1000)</f>
        <v>2.4926488883528184</v>
      </c>
      <c r="T46" s="249">
        <f>IF(T$7=0,0,T$7/AGR!T$5*1000)</f>
        <v>2.8817004305345524</v>
      </c>
      <c r="U46" s="249">
        <f>IF(U$7=0,0,U$7/AGR!U$5*1000)</f>
        <v>2.7061067312572353</v>
      </c>
      <c r="V46" s="249">
        <f>IF(V$7=0,0,V$7/AGR!V$5*1000)</f>
        <v>2.8069196112114563</v>
      </c>
      <c r="W46" s="249">
        <f>IF(W$7=0,0,W$7/AGR!W$5*1000)</f>
        <v>2.8517297525824894</v>
      </c>
      <c r="DA46" s="283"/>
    </row>
    <row r="47" spans="1:105" x14ac:dyDescent="0.25">
      <c r="A47" s="241" t="s">
        <v>123</v>
      </c>
      <c r="B47" s="249">
        <f>IF(B$8=0,0,B$8/AGR!B$5*1000)</f>
        <v>1.8856869949795159</v>
      </c>
      <c r="C47" s="249">
        <f>IF(C$8=0,0,C$8/AGR!C$5*1000)</f>
        <v>1.6887746095046141</v>
      </c>
      <c r="D47" s="249">
        <f>IF(D$8=0,0,D$8/AGR!D$5*1000)</f>
        <v>1.9302412040121615</v>
      </c>
      <c r="E47" s="249">
        <f>IF(E$8=0,0,E$8/AGR!E$5*1000)</f>
        <v>2.7856500876933978</v>
      </c>
      <c r="F47" s="249">
        <f>IF(F$8=0,0,F$8/AGR!F$5*1000)</f>
        <v>3.0316373712063998</v>
      </c>
      <c r="G47" s="249">
        <f>IF(G$8=0,0,G$8/AGR!G$5*1000)</f>
        <v>2.9418204728995971</v>
      </c>
      <c r="H47" s="249">
        <f>IF(H$8=0,0,H$8/AGR!H$5*1000)</f>
        <v>3.8820511406879645</v>
      </c>
      <c r="I47" s="249">
        <f>IF(I$8=0,0,I$8/AGR!I$5*1000)</f>
        <v>3.8303704760756303</v>
      </c>
      <c r="J47" s="249">
        <f>IF(J$8=0,0,J$8/AGR!J$5*1000)</f>
        <v>4.2013423760781992</v>
      </c>
      <c r="K47" s="249">
        <f>IF(K$8=0,0,K$8/AGR!K$5*1000)</f>
        <v>4.8648489974865488</v>
      </c>
      <c r="L47" s="249">
        <f>IF(L$8=0,0,L$8/AGR!L$5*1000)</f>
        <v>3.6327686938912112</v>
      </c>
      <c r="M47" s="249">
        <f>IF(M$8=0,0,M$8/AGR!M$5*1000)</f>
        <v>3.6406096040516815</v>
      </c>
      <c r="N47" s="249">
        <f>IF(N$8=0,0,N$8/AGR!N$5*1000)</f>
        <v>3.8473826328778475</v>
      </c>
      <c r="O47" s="249">
        <f>IF(O$8=0,0,O$8/AGR!O$5*1000)</f>
        <v>3.6034545028664233</v>
      </c>
      <c r="P47" s="249">
        <f>IF(P$8=0,0,P$8/AGR!P$5*1000)</f>
        <v>3.2049234331220506</v>
      </c>
      <c r="Q47" s="249">
        <f>IF(Q$8=0,0,Q$8/AGR!Q$5*1000)</f>
        <v>3.2779062288445844</v>
      </c>
      <c r="R47" s="249">
        <f>IF(R$8=0,0,R$8/AGR!R$5*1000)</f>
        <v>3.4630220387633268</v>
      </c>
      <c r="S47" s="249">
        <f>IF(S$8=0,0,S$8/AGR!S$5*1000)</f>
        <v>3.4513599992577495</v>
      </c>
      <c r="T47" s="249">
        <f>IF(T$8=0,0,T$8/AGR!T$5*1000)</f>
        <v>3.9900467499709182</v>
      </c>
      <c r="U47" s="249">
        <f>IF(U$8=0,0,U$8/AGR!U$5*1000)</f>
        <v>3.7469170125100204</v>
      </c>
      <c r="V47" s="249">
        <f>IF(V$8=0,0,V$8/AGR!V$5*1000)</f>
        <v>3.8865040770620154</v>
      </c>
      <c r="W47" s="249">
        <f>IF(W$8=0,0,W$8/AGR!W$5*1000)</f>
        <v>3.9485488881911359</v>
      </c>
      <c r="DA47" s="283"/>
    </row>
    <row r="48" spans="1:105" x14ac:dyDescent="0.25">
      <c r="A48" s="243" t="s">
        <v>122</v>
      </c>
      <c r="B48" s="250">
        <f>IF(B$9=0,0,B$9/AGR!B$5*1000)</f>
        <v>25.906714754854896</v>
      </c>
      <c r="C48" s="250">
        <f>IF(C$9=0,0,C$9/AGR!C$5*1000)</f>
        <v>25.258184616037354</v>
      </c>
      <c r="D48" s="250">
        <f>IF(D$9=0,0,D$9/AGR!D$5*1000)</f>
        <v>26.111684129348376</v>
      </c>
      <c r="E48" s="250">
        <f>IF(E$9=0,0,E$9/AGR!E$5*1000)</f>
        <v>26.756335219359109</v>
      </c>
      <c r="F48" s="250">
        <f>IF(F$9=0,0,F$9/AGR!F$5*1000)</f>
        <v>26.426511520655829</v>
      </c>
      <c r="G48" s="250">
        <f>IF(G$9=0,0,G$9/AGR!G$5*1000)</f>
        <v>30.717789325472495</v>
      </c>
      <c r="H48" s="250">
        <f>IF(H$9=0,0,H$9/AGR!H$5*1000)</f>
        <v>28.579723263373037</v>
      </c>
      <c r="I48" s="250">
        <f>IF(I$9=0,0,I$9/AGR!I$5*1000)</f>
        <v>26.911237232783154</v>
      </c>
      <c r="J48" s="250">
        <f>IF(J$9=0,0,J$9/AGR!J$5*1000)</f>
        <v>27.470283068352042</v>
      </c>
      <c r="K48" s="250">
        <f>IF(K$9=0,0,K$9/AGR!K$5*1000)</f>
        <v>30.96862432305549</v>
      </c>
      <c r="L48" s="250">
        <f>IF(L$9=0,0,L$9/AGR!L$5*1000)</f>
        <v>27.979514970249209</v>
      </c>
      <c r="M48" s="250">
        <f>IF(M$9=0,0,M$9/AGR!M$5*1000)</f>
        <v>25.727050135780292</v>
      </c>
      <c r="N48" s="250">
        <f>IF(N$9=0,0,N$9/AGR!N$5*1000)</f>
        <v>26.386776954292753</v>
      </c>
      <c r="O48" s="250">
        <f>IF(O$9=0,0,O$9/AGR!O$5*1000)</f>
        <v>25.905389089418932</v>
      </c>
      <c r="P48" s="250">
        <f>IF(P$9=0,0,P$9/AGR!P$5*1000)</f>
        <v>25.345198645620314</v>
      </c>
      <c r="Q48" s="250">
        <f>IF(Q$9=0,0,Q$9/AGR!Q$5*1000)</f>
        <v>25.863173093240597</v>
      </c>
      <c r="R48" s="250">
        <f>IF(R$9=0,0,R$9/AGR!R$5*1000)</f>
        <v>26.395777872917325</v>
      </c>
      <c r="S48" s="250">
        <f>IF(S$9=0,0,S$9/AGR!S$5*1000)</f>
        <v>24.387724637979094</v>
      </c>
      <c r="T48" s="250">
        <f>IF(T$9=0,0,T$9/AGR!T$5*1000)</f>
        <v>27.55373718214484</v>
      </c>
      <c r="U48" s="250">
        <f>IF(U$9=0,0,U$9/AGR!U$5*1000)</f>
        <v>27.626958133956496</v>
      </c>
      <c r="V48" s="250">
        <f>IF(V$9=0,0,V$9/AGR!V$5*1000)</f>
        <v>28.995875756941967</v>
      </c>
      <c r="W48" s="250">
        <f>IF(W$9=0,0,W$9/AGR!W$5*1000)</f>
        <v>27.815624783810303</v>
      </c>
      <c r="DA48" s="284"/>
    </row>
    <row r="49" spans="1:105" x14ac:dyDescent="0.25">
      <c r="A49" s="128" t="s">
        <v>175</v>
      </c>
      <c r="B49" s="263">
        <f>IF(B$16=0,0,B$16/AGR!B$5*1000)</f>
        <v>35.394773408331993</v>
      </c>
      <c r="C49" s="263">
        <f>IF(C$16=0,0,C$16/AGR!C$5*1000)</f>
        <v>34.490355977788639</v>
      </c>
      <c r="D49" s="263">
        <f>IF(D$16=0,0,D$16/AGR!D$5*1000)</f>
        <v>35.675050502483835</v>
      </c>
      <c r="E49" s="263">
        <f>IF(E$16=0,0,E$16/AGR!E$5*1000)</f>
        <v>36.463764498111644</v>
      </c>
      <c r="F49" s="263">
        <f>IF(F$16=0,0,F$16/AGR!F$5*1000)</f>
        <v>35.783370636602719</v>
      </c>
      <c r="G49" s="263">
        <f>IF(G$16=0,0,G$16/AGR!G$5*1000)</f>
        <v>42.016986272794348</v>
      </c>
      <c r="H49" s="263">
        <f>IF(H$16=0,0,H$16/AGR!H$5*1000)</f>
        <v>37.588281617949022</v>
      </c>
      <c r="I49" s="263">
        <f>IF(I$16=0,0,I$16/AGR!I$5*1000)</f>
        <v>34.891925781722612</v>
      </c>
      <c r="J49" s="263">
        <f>IF(J$16=0,0,J$16/AGR!J$5*1000)</f>
        <v>34.390342189622714</v>
      </c>
      <c r="K49" s="263">
        <f>IF(K$16=0,0,K$16/AGR!K$5*1000)</f>
        <v>38.158010683412954</v>
      </c>
      <c r="L49" s="263">
        <f>IF(L$16=0,0,L$16/AGR!L$5*1000)</f>
        <v>37.227374005908942</v>
      </c>
      <c r="M49" s="263">
        <f>IF(M$16=0,0,M$16/AGR!M$5*1000)</f>
        <v>33.391999270304964</v>
      </c>
      <c r="N49" s="263">
        <f>IF(N$16=0,0,N$16/AGR!N$5*1000)</f>
        <v>33.876915608598985</v>
      </c>
      <c r="O49" s="263">
        <f>IF(O$16=0,0,O$16/AGR!O$5*1000)</f>
        <v>33.797873907825327</v>
      </c>
      <c r="P49" s="263">
        <f>IF(P$16=0,0,P$16/AGR!P$5*1000)</f>
        <v>33.900365640652197</v>
      </c>
      <c r="Q49" s="263">
        <f>IF(Q$16=0,0,Q$16/AGR!Q$5*1000)</f>
        <v>34.547301277009687</v>
      </c>
      <c r="R49" s="263">
        <f>IF(R$16=0,0,R$16/AGR!R$5*1000)</f>
        <v>35.071298882173998</v>
      </c>
      <c r="S49" s="263">
        <f>IF(S$16=0,0,S$16/AGR!S$5*1000)</f>
        <v>31.769072833800344</v>
      </c>
      <c r="T49" s="263">
        <f>IF(T$16=0,0,T$16/AGR!T$5*1000)</f>
        <v>35.666469890888543</v>
      </c>
      <c r="U49" s="263">
        <f>IF(U$16=0,0,U$16/AGR!U$5*1000)</f>
        <v>36.401417087508833</v>
      </c>
      <c r="V49" s="263">
        <f>IF(V$16=0,0,V$16/AGR!V$5*1000)</f>
        <v>38.310078036337423</v>
      </c>
      <c r="W49" s="263">
        <f>IF(W$16=0,0,W$16/AGR!W$5*1000)</f>
        <v>36.148846499144184</v>
      </c>
      <c r="DA49" s="285"/>
    </row>
    <row r="50" spans="1:105" x14ac:dyDescent="0.25">
      <c r="A50" s="128" t="s">
        <v>121</v>
      </c>
      <c r="B50" s="263">
        <f>IF(B$17=0,0,B$17/AGR!B$5*1000)</f>
        <v>47.879956754199149</v>
      </c>
      <c r="C50" s="263">
        <f>IF(C$17=0,0,C$17/AGR!C$5*1000)</f>
        <v>46.589803902343263</v>
      </c>
      <c r="D50" s="263">
        <f>IF(D$17=0,0,D$17/AGR!D$5*1000)</f>
        <v>48.445007247922355</v>
      </c>
      <c r="E50" s="263">
        <f>IF(E$17=0,0,E$17/AGR!E$5*1000)</f>
        <v>49.73013056360665</v>
      </c>
      <c r="F50" s="263">
        <f>IF(F$17=0,0,F$17/AGR!F$5*1000)</f>
        <v>48.9152454935804</v>
      </c>
      <c r="G50" s="263">
        <f>IF(G$17=0,0,G$17/AGR!G$5*1000)</f>
        <v>57.27441934210124</v>
      </c>
      <c r="H50" s="263">
        <f>IF(H$17=0,0,H$17/AGR!H$5*1000)</f>
        <v>51.972344490509492</v>
      </c>
      <c r="I50" s="263">
        <f>IF(I$17=0,0,I$17/AGR!I$5*1000)</f>
        <v>47.45073821124614</v>
      </c>
      <c r="J50" s="263">
        <f>IF(J$17=0,0,J$17/AGR!J$5*1000)</f>
        <v>47.517424183799321</v>
      </c>
      <c r="K50" s="263">
        <f>IF(K$17=0,0,K$17/AGR!K$5*1000)</f>
        <v>52.874279934983889</v>
      </c>
      <c r="L50" s="263">
        <f>IF(L$17=0,0,L$17/AGR!L$5*1000)</f>
        <v>52.043371972439836</v>
      </c>
      <c r="M50" s="263">
        <f>IF(M$17=0,0,M$17/AGR!M$5*1000)</f>
        <v>47.039056680891598</v>
      </c>
      <c r="N50" s="263">
        <f>IF(N$17=0,0,N$17/AGR!N$5*1000)</f>
        <v>46.895241812591422</v>
      </c>
      <c r="O50" s="263">
        <f>IF(O$17=0,0,O$17/AGR!O$5*1000)</f>
        <v>46.73320629635009</v>
      </c>
      <c r="P50" s="263">
        <f>IF(P$17=0,0,P$17/AGR!P$5*1000)</f>
        <v>46.594464396710372</v>
      </c>
      <c r="Q50" s="263">
        <f>IF(Q$17=0,0,Q$17/AGR!Q$5*1000)</f>
        <v>47.658552698157159</v>
      </c>
      <c r="R50" s="263">
        <f>IF(R$17=0,0,R$17/AGR!R$5*1000)</f>
        <v>47.940078199050141</v>
      </c>
      <c r="S50" s="263">
        <f>IF(S$17=0,0,S$17/AGR!S$5*1000)</f>
        <v>43.46639830212154</v>
      </c>
      <c r="T50" s="263">
        <f>IF(T$17=0,0,T$17/AGR!T$5*1000)</f>
        <v>49.039113243545465</v>
      </c>
      <c r="U50" s="263">
        <f>IF(U$17=0,0,U$17/AGR!U$5*1000)</f>
        <v>50.172568096547614</v>
      </c>
      <c r="V50" s="263">
        <f>IF(V$17=0,0,V$17/AGR!V$5*1000)</f>
        <v>52.366766575976577</v>
      </c>
      <c r="W50" s="263">
        <f>IF(W$17=0,0,W$17/AGR!W$5*1000)</f>
        <v>49.692985443366496</v>
      </c>
      <c r="DA50" s="285"/>
    </row>
    <row r="51" spans="1:105" x14ac:dyDescent="0.25">
      <c r="A51" s="128" t="s">
        <v>174</v>
      </c>
      <c r="B51" s="263">
        <f>IF(B$25=0,0,B$25/AGR!B$5*1000)</f>
        <v>6.8014006807263847</v>
      </c>
      <c r="C51" s="263">
        <f>IF(C$25=0,0,C$25/AGR!C$5*1000)</f>
        <v>6.6276093342811375</v>
      </c>
      <c r="D51" s="263">
        <f>IF(D$25=0,0,D$25/AGR!D$5*1000)</f>
        <v>6.8552582601199443</v>
      </c>
      <c r="E51" s="263">
        <f>IF(E$25=0,0,E$25/AGR!E$5*1000)</f>
        <v>7.0068162273055368</v>
      </c>
      <c r="F51" s="263">
        <f>IF(F$25=0,0,F$25/AGR!F$5*1000)</f>
        <v>6.8760728766011185</v>
      </c>
      <c r="G51" s="263">
        <f>IF(G$25=0,0,G$25/AGR!G$5*1000)</f>
        <v>8.0739140703351087</v>
      </c>
      <c r="H51" s="263">
        <f>IF(H$25=0,0,H$25/AGR!H$5*1000)</f>
        <v>7.2229015632989597</v>
      </c>
      <c r="I51" s="263">
        <f>IF(I$25=0,0,I$25/AGR!I$5*1000)</f>
        <v>6.7047743186794513</v>
      </c>
      <c r="J51" s="263">
        <f>IF(J$25=0,0,J$25/AGR!J$5*1000)</f>
        <v>6.6083908513976306</v>
      </c>
      <c r="K51" s="263">
        <f>IF(K$25=0,0,K$25/AGR!K$5*1000)</f>
        <v>7.3323797511933275</v>
      </c>
      <c r="L51" s="263">
        <f>IF(L$25=0,0,L$25/AGR!L$5*1000)</f>
        <v>7.1535501579405878</v>
      </c>
      <c r="M51" s="263">
        <f>IF(M$25=0,0,M$25/AGR!M$5*1000)</f>
        <v>6.4165509395351741</v>
      </c>
      <c r="N51" s="263">
        <f>IF(N$25=0,0,N$25/AGR!N$5*1000)</f>
        <v>6.5097316550978777</v>
      </c>
      <c r="O51" s="263">
        <f>IF(O$25=0,0,O$25/AGR!O$5*1000)</f>
        <v>6.4945431335824013</v>
      </c>
      <c r="P51" s="263">
        <f>IF(P$25=0,0,P$25/AGR!P$5*1000)</f>
        <v>6.5142377741830257</v>
      </c>
      <c r="Q51" s="263">
        <f>IF(Q$25=0,0,Q$25/AGR!Q$5*1000)</f>
        <v>6.6385518480929386</v>
      </c>
      <c r="R51" s="263">
        <f>IF(R$25=0,0,R$25/AGR!R$5*1000)</f>
        <v>6.7392423547773088</v>
      </c>
      <c r="S51" s="263">
        <f>IF(S$25=0,0,S$25/AGR!S$5*1000)</f>
        <v>6.1046920997378491</v>
      </c>
      <c r="T51" s="263">
        <f>IF(T$25=0,0,T$25/AGR!T$5*1000)</f>
        <v>6.8536094240934506</v>
      </c>
      <c r="U51" s="263">
        <f>IF(U$25=0,0,U$25/AGR!U$5*1000)</f>
        <v>6.994835652772017</v>
      </c>
      <c r="V51" s="263">
        <f>IF(V$25=0,0,V$25/AGR!V$5*1000)</f>
        <v>7.3616007603452953</v>
      </c>
      <c r="W51" s="263">
        <f>IF(W$25=0,0,W$25/AGR!W$5*1000)</f>
        <v>6.9463021093638719</v>
      </c>
      <c r="DA51" s="285"/>
    </row>
    <row r="52" spans="1:105" x14ac:dyDescent="0.25">
      <c r="A52" s="128" t="s">
        <v>177</v>
      </c>
      <c r="B52" s="263">
        <f>IF(B$26=0,0,B$26/AGR!B$5*1000)</f>
        <v>2.0952077721994624</v>
      </c>
      <c r="C52" s="263">
        <f>IF(C$26=0,0,C$26/AGR!C$5*1000)</f>
        <v>1.8764162327829053</v>
      </c>
      <c r="D52" s="263">
        <f>IF(D$26=0,0,D$26/AGR!D$5*1000)</f>
        <v>2.1447124489024021</v>
      </c>
      <c r="E52" s="263">
        <f>IF(E$26=0,0,E$26/AGR!E$5*1000)</f>
        <v>3.095166764103777</v>
      </c>
      <c r="F52" s="263">
        <f>IF(F$26=0,0,F$26/AGR!F$5*1000)</f>
        <v>3.3684859680071106</v>
      </c>
      <c r="G52" s="263">
        <f>IF(G$26=0,0,G$26/AGR!G$5*1000)</f>
        <v>3.2686894143328828</v>
      </c>
      <c r="H52" s="263">
        <f>IF(H$26=0,0,H$26/AGR!H$5*1000)</f>
        <v>4.3133901563199615</v>
      </c>
      <c r="I52" s="263">
        <f>IF(I$26=0,0,I$26/AGR!I$5*1000)</f>
        <v>4.2559671956395908</v>
      </c>
      <c r="J52" s="263">
        <f>IF(J$26=0,0,J$26/AGR!J$5*1000)</f>
        <v>4.6681581956424445</v>
      </c>
      <c r="K52" s="263">
        <f>IF(K$26=0,0,K$26/AGR!K$5*1000)</f>
        <v>5.405387774985055</v>
      </c>
      <c r="L52" s="263">
        <f>IF(L$26=0,0,L$26/AGR!L$5*1000)</f>
        <v>4.0364096598791246</v>
      </c>
      <c r="M52" s="263">
        <f>IF(M$26=0,0,M$26/AGR!M$5*1000)</f>
        <v>4.0451217822796455</v>
      </c>
      <c r="N52" s="263">
        <f>IF(N$26=0,0,N$26/AGR!N$5*1000)</f>
        <v>4.2748695920864961</v>
      </c>
      <c r="O52" s="263">
        <f>IF(O$26=0,0,O$26/AGR!O$5*1000)</f>
        <v>4.0038383365182444</v>
      </c>
      <c r="P52" s="263">
        <f>IF(P$26=0,0,P$26/AGR!P$5*1000)</f>
        <v>3.5610260368022777</v>
      </c>
      <c r="Q52" s="263">
        <f>IF(Q$26=0,0,Q$26/AGR!Q$5*1000)</f>
        <v>3.6421180320495394</v>
      </c>
      <c r="R52" s="263">
        <f>IF(R$26=0,0,R$26/AGR!R$5*1000)</f>
        <v>3.8478022652925823</v>
      </c>
      <c r="S52" s="263">
        <f>IF(S$26=0,0,S$26/AGR!S$5*1000)</f>
        <v>3.8348444436197231</v>
      </c>
      <c r="T52" s="263">
        <f>IF(T$26=0,0,T$26/AGR!T$5*1000)</f>
        <v>4.4333852777454679</v>
      </c>
      <c r="U52" s="263">
        <f>IF(U$26=0,0,U$26/AGR!U$5*1000)</f>
        <v>4.1632411250111332</v>
      </c>
      <c r="V52" s="263">
        <f>IF(V$26=0,0,V$26/AGR!V$5*1000)</f>
        <v>4.3183378634022427</v>
      </c>
      <c r="W52" s="263">
        <f>IF(W$26=0,0,W$26/AGR!W$5*1000)</f>
        <v>4.3872765424345959</v>
      </c>
      <c r="DA52" s="285"/>
    </row>
    <row r="53" spans="1:105" x14ac:dyDescent="0.25">
      <c r="A53" s="261" t="s">
        <v>33</v>
      </c>
      <c r="B53" s="264">
        <f>IF(B$27=0,0,B$27/AGR!B$5*1000)</f>
        <v>3.0380512696892201</v>
      </c>
      <c r="C53" s="264">
        <f>IF(C$27=0,0,C$27/AGR!C$5*1000)</f>
        <v>2.7208035375352124</v>
      </c>
      <c r="D53" s="264">
        <f>IF(D$27=0,0,D$27/AGR!D$5*1000)</f>
        <v>3.1098330509084819</v>
      </c>
      <c r="E53" s="264">
        <f>IF(E$27=0,0,E$27/AGR!E$5*1000)</f>
        <v>4.4879918079504764</v>
      </c>
      <c r="F53" s="264">
        <f>IF(F$27=0,0,F$27/AGR!F$5*1000)</f>
        <v>4.884304653610311</v>
      </c>
      <c r="G53" s="264">
        <f>IF(G$27=0,0,G$27/AGR!G$5*1000)</f>
        <v>4.739599650782683</v>
      </c>
      <c r="H53" s="264">
        <f>IF(H$27=0,0,H$27/AGR!H$5*1000)</f>
        <v>6.2544157266639457</v>
      </c>
      <c r="I53" s="264">
        <f>IF(I$27=0,0,I$27/AGR!I$5*1000)</f>
        <v>6.1711524336774062</v>
      </c>
      <c r="J53" s="264">
        <f>IF(J$27=0,0,J$27/AGR!J$5*1000)</f>
        <v>6.7688293836815481</v>
      </c>
      <c r="K53" s="264">
        <f>IF(K$27=0,0,K$27/AGR!K$5*1000)</f>
        <v>7.8378122737283347</v>
      </c>
      <c r="L53" s="264">
        <f>IF(L$27=0,0,L$27/AGR!L$5*1000)</f>
        <v>5.8527940068247331</v>
      </c>
      <c r="M53" s="264">
        <f>IF(M$27=0,0,M$27/AGR!M$5*1000)</f>
        <v>5.865426584305486</v>
      </c>
      <c r="N53" s="264">
        <f>IF(N$27=0,0,N$27/AGR!N$5*1000)</f>
        <v>6.1985609085254199</v>
      </c>
      <c r="O53" s="264">
        <f>IF(O$27=0,0,O$27/AGR!O$5*1000)</f>
        <v>5.8055655879514569</v>
      </c>
      <c r="P53" s="264">
        <f>IF(P$27=0,0,P$27/AGR!P$5*1000)</f>
        <v>5.1634877533633015</v>
      </c>
      <c r="Q53" s="264">
        <f>IF(Q$27=0,0,Q$27/AGR!Q$5*1000)</f>
        <v>5.2810711464718327</v>
      </c>
      <c r="R53" s="264">
        <f>IF(R$27=0,0,R$27/AGR!R$5*1000)</f>
        <v>5.5793132846742459</v>
      </c>
      <c r="S53" s="264">
        <f>IF(S$27=0,0,S$27/AGR!S$5*1000)</f>
        <v>5.560524443248597</v>
      </c>
      <c r="T53" s="264">
        <f>IF(T$27=0,0,T$27/AGR!T$5*1000)</f>
        <v>6.4284086527309272</v>
      </c>
      <c r="U53" s="264">
        <f>IF(U$27=0,0,U$27/AGR!U$5*1000)</f>
        <v>6.0366996312661421</v>
      </c>
      <c r="V53" s="264">
        <f>IF(V$27=0,0,V$27/AGR!V$5*1000)</f>
        <v>6.2615899019332479</v>
      </c>
      <c r="W53" s="264">
        <f>IF(W$27=0,0,W$27/AGR!W$5*1000)</f>
        <v>6.361550986530168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260.52267066454533</v>
      </c>
      <c r="C5" s="80">
        <f t="shared" ref="C5:W5" si="1">SUM(C6:C9,C16:C17,C25:C27)</f>
        <v>309.1524081501729</v>
      </c>
      <c r="D5" s="80">
        <f t="shared" si="1"/>
        <v>304.2581745709756</v>
      </c>
      <c r="E5" s="80">
        <f t="shared" si="1"/>
        <v>223.84225991914201</v>
      </c>
      <c r="F5" s="80">
        <f t="shared" si="1"/>
        <v>221.28640664563494</v>
      </c>
      <c r="G5" s="80">
        <f t="shared" si="1"/>
        <v>283.6347457326699</v>
      </c>
      <c r="H5" s="80">
        <f t="shared" si="1"/>
        <v>175.86092236676134</v>
      </c>
      <c r="I5" s="80">
        <f t="shared" si="1"/>
        <v>181.64595606563063</v>
      </c>
      <c r="J5" s="80">
        <f t="shared" si="1"/>
        <v>154.25451461298829</v>
      </c>
      <c r="K5" s="80">
        <f t="shared" si="1"/>
        <v>150.31006332186271</v>
      </c>
      <c r="L5" s="80">
        <f t="shared" si="1"/>
        <v>198.6806326770955</v>
      </c>
      <c r="M5" s="80">
        <f t="shared" si="1"/>
        <v>168.51614366233065</v>
      </c>
      <c r="N5" s="80">
        <f t="shared" si="1"/>
        <v>164.75457771713099</v>
      </c>
      <c r="O5" s="80">
        <f t="shared" si="1"/>
        <v>165.95069718001309</v>
      </c>
      <c r="P5" s="80">
        <f t="shared" si="1"/>
        <v>165.62825795853473</v>
      </c>
      <c r="Q5" s="80">
        <f t="shared" si="1"/>
        <v>170.98246952690604</v>
      </c>
      <c r="R5" s="80">
        <f t="shared" si="1"/>
        <v>169.80039954148546</v>
      </c>
      <c r="S5" s="80">
        <f t="shared" si="1"/>
        <v>181.37492607149136</v>
      </c>
      <c r="T5" s="80">
        <f t="shared" si="1"/>
        <v>184.46588253101106</v>
      </c>
      <c r="U5" s="80">
        <f t="shared" si="1"/>
        <v>186.72648046143107</v>
      </c>
      <c r="V5" s="80">
        <f t="shared" si="1"/>
        <v>197.21729653946213</v>
      </c>
      <c r="W5" s="80">
        <f t="shared" si="1"/>
        <v>209.95313881566739</v>
      </c>
      <c r="DA5" s="103"/>
    </row>
    <row r="6" spans="1:105" x14ac:dyDescent="0.25">
      <c r="A6" s="239" t="s">
        <v>125</v>
      </c>
      <c r="B6" s="240">
        <v>5.3752136555332166</v>
      </c>
      <c r="C6" s="240">
        <v>5.9217851755027882</v>
      </c>
      <c r="D6" s="240">
        <v>6.3543216102563997</v>
      </c>
      <c r="E6" s="240">
        <v>6.2546000053918123</v>
      </c>
      <c r="F6" s="240">
        <v>6.7043082878137126</v>
      </c>
      <c r="G6" s="240">
        <v>7.3875499146762067</v>
      </c>
      <c r="H6" s="240">
        <v>6.1351697523527511</v>
      </c>
      <c r="I6" s="240">
        <v>6.6283947520899336</v>
      </c>
      <c r="J6" s="240">
        <v>5.9817242571530311</v>
      </c>
      <c r="K6" s="240">
        <v>5.9730149006704414</v>
      </c>
      <c r="L6" s="240">
        <v>6.6557802621700546</v>
      </c>
      <c r="M6" s="240">
        <v>6.0724815491685327</v>
      </c>
      <c r="N6" s="240">
        <v>6.1191297658783528</v>
      </c>
      <c r="O6" s="240">
        <v>5.9168604659895783</v>
      </c>
      <c r="P6" s="240">
        <v>5.4468949633591723</v>
      </c>
      <c r="Q6" s="240">
        <v>5.6293795343967927</v>
      </c>
      <c r="R6" s="240">
        <v>5.7666264613124074</v>
      </c>
      <c r="S6" s="240">
        <v>6.5719487091803588</v>
      </c>
      <c r="T6" s="240">
        <v>6.8106054767338993</v>
      </c>
      <c r="U6" s="240">
        <v>6.5154596259555966</v>
      </c>
      <c r="V6" s="240">
        <v>6.8249863193618534</v>
      </c>
      <c r="W6" s="240">
        <v>7.6250886489680454</v>
      </c>
      <c r="DA6" s="268" t="s">
        <v>1014</v>
      </c>
    </row>
    <row r="7" spans="1:105" x14ac:dyDescent="0.25">
      <c r="A7" s="241" t="s">
        <v>124</v>
      </c>
      <c r="B7" s="242">
        <v>3.4646377371409001</v>
      </c>
      <c r="C7" s="242">
        <v>3.816934861587979</v>
      </c>
      <c r="D7" s="242">
        <v>4.0957297431631732</v>
      </c>
      <c r="E7" s="242">
        <v>4.0314533706200182</v>
      </c>
      <c r="F7" s="242">
        <v>4.321316506456462</v>
      </c>
      <c r="G7" s="242">
        <v>4.7617054613357874</v>
      </c>
      <c r="H7" s="242">
        <v>3.9544736283897781</v>
      </c>
      <c r="I7" s="242">
        <v>4.2723858187697239</v>
      </c>
      <c r="J7" s="242">
        <v>3.855569084806481</v>
      </c>
      <c r="K7" s="242">
        <v>3.8499553981570709</v>
      </c>
      <c r="L7" s="242">
        <v>4.2900373723180678</v>
      </c>
      <c r="M7" s="242">
        <v>3.9140674364978478</v>
      </c>
      <c r="N7" s="242">
        <v>3.944134924478869</v>
      </c>
      <c r="O7" s="242">
        <v>3.8137605999646569</v>
      </c>
      <c r="P7" s="242">
        <v>3.5108405078690481</v>
      </c>
      <c r="Q7" s="242">
        <v>3.6284624242764232</v>
      </c>
      <c r="R7" s="242">
        <v>3.7169260487518838</v>
      </c>
      <c r="S7" s="242">
        <v>4.2360030621186482</v>
      </c>
      <c r="T7" s="242">
        <v>4.3898312252538751</v>
      </c>
      <c r="U7" s="242">
        <v>4.1995925634819047</v>
      </c>
      <c r="V7" s="242">
        <v>4.3991005144865767</v>
      </c>
      <c r="W7" s="242">
        <v>4.9148129870269779</v>
      </c>
      <c r="DA7" s="269" t="s">
        <v>1015</v>
      </c>
    </row>
    <row r="8" spans="1:105" x14ac:dyDescent="0.25">
      <c r="A8" s="241" t="s">
        <v>123</v>
      </c>
      <c r="B8" s="242">
        <v>6.8850397849565343</v>
      </c>
      <c r="C8" s="242">
        <v>7.5851359860518803</v>
      </c>
      <c r="D8" s="242">
        <v>8.1391661609559645</v>
      </c>
      <c r="E8" s="242">
        <v>8.0114340816542171</v>
      </c>
      <c r="F8" s="242">
        <v>8.5874594481830417</v>
      </c>
      <c r="G8" s="242">
        <v>9.4626145741275316</v>
      </c>
      <c r="H8" s="242">
        <v>7.8584574566497594</v>
      </c>
      <c r="I8" s="242">
        <v>8.4902228084567497</v>
      </c>
      <c r="J8" s="242">
        <v>7.6619111597067704</v>
      </c>
      <c r="K8" s="242">
        <v>7.6507554606542758</v>
      </c>
      <c r="L8" s="242">
        <v>8.5253005446205687</v>
      </c>
      <c r="M8" s="242">
        <v>7.7781609697321672</v>
      </c>
      <c r="N8" s="242">
        <v>7.837912050996402</v>
      </c>
      <c r="O8" s="242">
        <v>7.5788279910398364</v>
      </c>
      <c r="P8" s="242">
        <v>6.976855420175311</v>
      </c>
      <c r="Q8" s="242">
        <v>7.2105974837008029</v>
      </c>
      <c r="R8" s="242">
        <v>7.3863952496564513</v>
      </c>
      <c r="S8" s="242">
        <v>8.4179218217348986</v>
      </c>
      <c r="T8" s="242">
        <v>8.7236141057734695</v>
      </c>
      <c r="U8" s="242">
        <v>8.3455657052449403</v>
      </c>
      <c r="V8" s="242">
        <v>8.7420343361084534</v>
      </c>
      <c r="W8" s="242">
        <v>9.7668747842094064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86.193202727949242</v>
      </c>
      <c r="C9" s="244">
        <f t="shared" ref="C9:W9" si="3">SUM(C10:C15)</f>
        <v>103.13709131668416</v>
      </c>
      <c r="D9" s="244">
        <f t="shared" si="3"/>
        <v>100.41226314773606</v>
      </c>
      <c r="E9" s="244">
        <f t="shared" si="3"/>
        <v>71.528056945768526</v>
      </c>
      <c r="F9" s="244">
        <f t="shared" si="3"/>
        <v>70.339645191702829</v>
      </c>
      <c r="G9" s="244">
        <f t="shared" si="3"/>
        <v>91.189414276005451</v>
      </c>
      <c r="H9" s="244">
        <f t="shared" si="3"/>
        <v>56.134730180846674</v>
      </c>
      <c r="I9" s="244">
        <f t="shared" si="3"/>
        <v>58.545845238712211</v>
      </c>
      <c r="J9" s="244">
        <f t="shared" si="3"/>
        <v>50.519176743784215</v>
      </c>
      <c r="K9" s="244">
        <f t="shared" si="3"/>
        <v>49.688822178637679</v>
      </c>
      <c r="L9" s="244">
        <f t="shared" si="3"/>
        <v>63.074968649016462</v>
      </c>
      <c r="M9" s="244">
        <f t="shared" si="3"/>
        <v>54.015890240300955</v>
      </c>
      <c r="N9" s="244">
        <f t="shared" si="3"/>
        <v>53.245877153844553</v>
      </c>
      <c r="O9" s="244">
        <f t="shared" si="3"/>
        <v>53.221382087875156</v>
      </c>
      <c r="P9" s="244">
        <f t="shared" si="3"/>
        <v>52.670187651180065</v>
      </c>
      <c r="Q9" s="244">
        <f t="shared" si="3"/>
        <v>54.365816079652951</v>
      </c>
      <c r="R9" s="244">
        <f t="shared" si="3"/>
        <v>54.120292681026861</v>
      </c>
      <c r="S9" s="244">
        <f t="shared" si="3"/>
        <v>58.263800257988905</v>
      </c>
      <c r="T9" s="244">
        <f t="shared" si="3"/>
        <v>59.406076324491146</v>
      </c>
      <c r="U9" s="244">
        <f t="shared" si="3"/>
        <v>59.649312597812994</v>
      </c>
      <c r="V9" s="244">
        <f t="shared" si="3"/>
        <v>63.016107420437265</v>
      </c>
      <c r="W9" s="244">
        <f t="shared" si="3"/>
        <v>67.507956842842447</v>
      </c>
      <c r="DA9" s="270"/>
    </row>
    <row r="10" spans="1:105" x14ac:dyDescent="0.25">
      <c r="A10" s="254" t="s">
        <v>173</v>
      </c>
      <c r="B10" s="255">
        <v>81.849662762653765</v>
      </c>
      <c r="C10" s="255">
        <v>98.723058845952465</v>
      </c>
      <c r="D10" s="255">
        <v>94.771967155881867</v>
      </c>
      <c r="E10" s="255">
        <v>62.79320463505222</v>
      </c>
      <c r="F10" s="255">
        <v>59.114279702541403</v>
      </c>
      <c r="G10" s="255">
        <v>82.474552640212124</v>
      </c>
      <c r="H10" s="255">
        <v>40.760612722923113</v>
      </c>
      <c r="I10" s="255">
        <v>40.179128648296157</v>
      </c>
      <c r="J10" s="255">
        <v>29.97698541415534</v>
      </c>
      <c r="K10" s="255">
        <v>27.769065596060969</v>
      </c>
      <c r="L10" s="255">
        <v>48.088682533856357</v>
      </c>
      <c r="M10" s="255">
        <v>36.782589492993132</v>
      </c>
      <c r="N10" s="255">
        <v>34.836580101086632</v>
      </c>
      <c r="O10" s="255">
        <v>37.113634196732008</v>
      </c>
      <c r="P10" s="255">
        <v>41.205492979438972</v>
      </c>
      <c r="Q10" s="255">
        <v>42.192845062538659</v>
      </c>
      <c r="R10" s="255">
        <v>41.068961922673033</v>
      </c>
      <c r="S10" s="255">
        <v>40.495245997089157</v>
      </c>
      <c r="T10" s="255">
        <v>40.245467302113013</v>
      </c>
      <c r="U10" s="255">
        <v>43.439098145886042</v>
      </c>
      <c r="V10" s="255">
        <v>46.561573617616908</v>
      </c>
      <c r="W10" s="255">
        <v>46.330533517152901</v>
      </c>
      <c r="DA10" s="271" t="s">
        <v>1017</v>
      </c>
    </row>
    <row r="11" spans="1:105" x14ac:dyDescent="0.25">
      <c r="A11" s="254" t="s">
        <v>176</v>
      </c>
      <c r="B11" s="256">
        <v>3.0059559425391961E-2</v>
      </c>
      <c r="C11" s="256">
        <v>0.46215800642176258</v>
      </c>
      <c r="D11" s="256">
        <v>0.71932941393046457</v>
      </c>
      <c r="E11" s="256">
        <v>0.77994929873182084</v>
      </c>
      <c r="F11" s="256">
        <v>0.74529401336037804</v>
      </c>
      <c r="G11" s="256">
        <v>0.88292761855069901</v>
      </c>
      <c r="H11" s="256">
        <v>0.90583678767608766</v>
      </c>
      <c r="I11" s="256">
        <v>1.0554613224915179</v>
      </c>
      <c r="J11" s="256">
        <v>1.239187296880911</v>
      </c>
      <c r="K11" s="256">
        <v>1.0766957702301849</v>
      </c>
      <c r="L11" s="256">
        <v>0.88462657713961645</v>
      </c>
      <c r="M11" s="256">
        <v>1.1560853227086749</v>
      </c>
      <c r="N11" s="256">
        <v>1.18493883792155</v>
      </c>
      <c r="O11" s="256">
        <v>1.5480068200324599</v>
      </c>
      <c r="P11" s="256">
        <v>1.0606848712707519</v>
      </c>
      <c r="Q11" s="256">
        <v>1.3286619417122829</v>
      </c>
      <c r="R11" s="256">
        <v>1.076384025028736</v>
      </c>
      <c r="S11" s="256">
        <v>1.2251661353479391</v>
      </c>
      <c r="T11" s="256">
        <v>0.81547695206000115</v>
      </c>
      <c r="U11" s="256">
        <v>1.4011616894722081</v>
      </c>
      <c r="V11" s="256">
        <v>1.5219014564671329</v>
      </c>
      <c r="W11" s="256">
        <v>1.7462148064886329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1.218242218678578</v>
      </c>
      <c r="C14" s="255">
        <v>1.0883072976447421</v>
      </c>
      <c r="D14" s="255">
        <v>1.137018273891816</v>
      </c>
      <c r="E14" s="255">
        <v>0.30863929487776631</v>
      </c>
      <c r="F14" s="255">
        <v>0.29238281060793492</v>
      </c>
      <c r="G14" s="255">
        <v>0.29238281060794058</v>
      </c>
      <c r="H14" s="255">
        <v>0.37360675539499161</v>
      </c>
      <c r="I14" s="255">
        <v>0.42231773164216468</v>
      </c>
      <c r="J14" s="255">
        <v>0.37360675539448163</v>
      </c>
      <c r="K14" s="255">
        <v>0.27612632633774881</v>
      </c>
      <c r="L14" s="255">
        <v>0.29238281060810561</v>
      </c>
      <c r="M14" s="255">
        <v>0.29238281060800669</v>
      </c>
      <c r="N14" s="255">
        <v>0.2923828106078899</v>
      </c>
      <c r="O14" s="255">
        <v>0.1624478895738341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3.0952381871914958</v>
      </c>
      <c r="C15" s="256">
        <v>2.863567166665189</v>
      </c>
      <c r="D15" s="256">
        <v>3.7839483040319131</v>
      </c>
      <c r="E15" s="256">
        <v>7.6462637171067156</v>
      </c>
      <c r="F15" s="256">
        <v>10.187688665193109</v>
      </c>
      <c r="G15" s="256">
        <v>7.5395512066346893</v>
      </c>
      <c r="H15" s="256">
        <v>14.09467391485248</v>
      </c>
      <c r="I15" s="256">
        <v>16.88893753628237</v>
      </c>
      <c r="J15" s="256">
        <v>18.92939727735348</v>
      </c>
      <c r="K15" s="256">
        <v>20.56693448600878</v>
      </c>
      <c r="L15" s="256">
        <v>13.80927672741239</v>
      </c>
      <c r="M15" s="256">
        <v>15.78483261399114</v>
      </c>
      <c r="N15" s="256">
        <v>16.931975404228481</v>
      </c>
      <c r="O15" s="256">
        <v>14.397293181536851</v>
      </c>
      <c r="P15" s="256">
        <v>10.404009800470339</v>
      </c>
      <c r="Q15" s="256">
        <v>10.844309075402011</v>
      </c>
      <c r="R15" s="256">
        <v>11.974946733325091</v>
      </c>
      <c r="S15" s="256">
        <v>16.543388125551811</v>
      </c>
      <c r="T15" s="256">
        <v>18.34513207031813</v>
      </c>
      <c r="U15" s="256">
        <v>14.809052762454741</v>
      </c>
      <c r="V15" s="256">
        <v>14.93263234635322</v>
      </c>
      <c r="W15" s="256">
        <v>19.431208519200919</v>
      </c>
      <c r="DA15" s="272" t="s">
        <v>1022</v>
      </c>
    </row>
    <row r="16" spans="1:105" x14ac:dyDescent="0.25">
      <c r="A16" s="257" t="s">
        <v>175</v>
      </c>
      <c r="B16" s="258">
        <v>64.977917629024617</v>
      </c>
      <c r="C16" s="258">
        <v>77.889544085572368</v>
      </c>
      <c r="D16" s="258">
        <v>75.634986508820504</v>
      </c>
      <c r="E16" s="258">
        <v>52.727236309601508</v>
      </c>
      <c r="F16" s="258">
        <v>50.963412268823383</v>
      </c>
      <c r="G16" s="258">
        <v>67.953164852894488</v>
      </c>
      <c r="H16" s="258">
        <v>38.257653605021282</v>
      </c>
      <c r="I16" s="258">
        <v>38.885980217035112</v>
      </c>
      <c r="J16" s="258">
        <v>31.5337295956251</v>
      </c>
      <c r="K16" s="258">
        <v>30.172443744782111</v>
      </c>
      <c r="L16" s="258">
        <v>43.926253034374973</v>
      </c>
      <c r="M16" s="258">
        <v>35.870302819501241</v>
      </c>
      <c r="N16" s="258">
        <v>34.699935900513339</v>
      </c>
      <c r="O16" s="258">
        <v>35.740629160241028</v>
      </c>
      <c r="P16" s="258">
        <v>37.105326016696687</v>
      </c>
      <c r="Q16" s="258">
        <v>38.210142651974749</v>
      </c>
      <c r="R16" s="258">
        <v>37.61135180718184</v>
      </c>
      <c r="S16" s="258">
        <v>38.959105020969673</v>
      </c>
      <c r="T16" s="258">
        <v>39.207431589952193</v>
      </c>
      <c r="U16" s="258">
        <v>40.765221062251427</v>
      </c>
      <c r="V16" s="258">
        <v>43.326760803032123</v>
      </c>
      <c r="W16" s="258">
        <v>44.957520251085327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71.432625296129842</v>
      </c>
      <c r="C17" s="258">
        <f t="shared" ref="C17:W17" si="5">SUM(C18:C24)</f>
        <v>85.503097325623784</v>
      </c>
      <c r="D17" s="258">
        <f t="shared" si="5"/>
        <v>83.543540677401964</v>
      </c>
      <c r="E17" s="258">
        <f t="shared" si="5"/>
        <v>58.542249560531246</v>
      </c>
      <c r="F17" s="258">
        <f t="shared" si="5"/>
        <v>56.734699011341696</v>
      </c>
      <c r="G17" s="258">
        <f t="shared" si="5"/>
        <v>75.249316883038261</v>
      </c>
      <c r="H17" s="258">
        <f t="shared" si="5"/>
        <v>43.018449658268722</v>
      </c>
      <c r="I17" s="258">
        <f t="shared" si="5"/>
        <v>43.002113250706131</v>
      </c>
      <c r="J17" s="258">
        <f t="shared" si="5"/>
        <v>35.488920113268968</v>
      </c>
      <c r="K17" s="258">
        <f t="shared" si="5"/>
        <v>33.966494611171377</v>
      </c>
      <c r="L17" s="258">
        <f t="shared" si="5"/>
        <v>49.640763437897128</v>
      </c>
      <c r="M17" s="258">
        <f t="shared" si="5"/>
        <v>40.841281482445282</v>
      </c>
      <c r="N17" s="258">
        <f t="shared" si="5"/>
        <v>38.924298422803069</v>
      </c>
      <c r="O17" s="258">
        <f t="shared" si="5"/>
        <v>40.062229376272555</v>
      </c>
      <c r="P17" s="258">
        <f t="shared" si="5"/>
        <v>41.29387158282227</v>
      </c>
      <c r="Q17" s="258">
        <f t="shared" si="5"/>
        <v>42.708433063936496</v>
      </c>
      <c r="R17" s="258">
        <f t="shared" si="5"/>
        <v>41.706192989403917</v>
      </c>
      <c r="S17" s="258">
        <f t="shared" si="5"/>
        <v>43.236577808254737</v>
      </c>
      <c r="T17" s="258">
        <f t="shared" si="5"/>
        <v>43.608009890061737</v>
      </c>
      <c r="U17" s="258">
        <f t="shared" si="5"/>
        <v>45.460205735114144</v>
      </c>
      <c r="V17" s="258">
        <f t="shared" si="5"/>
        <v>47.997904534479318</v>
      </c>
      <c r="W17" s="258">
        <f t="shared" si="5"/>
        <v>50.048525304391589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3.1934089132014232</v>
      </c>
      <c r="C19" s="55">
        <v>3.1934089132028212</v>
      </c>
      <c r="D19" s="55">
        <v>4.4707578954857743</v>
      </c>
      <c r="E19" s="55">
        <v>3.832095556840875</v>
      </c>
      <c r="F19" s="55">
        <v>4.1522895534608963</v>
      </c>
      <c r="G19" s="55">
        <v>3.513481384854507</v>
      </c>
      <c r="H19" s="55">
        <v>3.1940894530552399</v>
      </c>
      <c r="I19" s="55">
        <v>1.552821789163445</v>
      </c>
      <c r="J19" s="55">
        <v>2.4845051406671379</v>
      </c>
      <c r="K19" s="55">
        <v>1.8633910079983069</v>
      </c>
      <c r="L19" s="55">
        <v>2.173935921822018</v>
      </c>
      <c r="M19" s="55">
        <v>1.863391007992965</v>
      </c>
      <c r="N19" s="55">
        <v>1.86339100799557</v>
      </c>
      <c r="O19" s="55">
        <v>1.5528217891613481</v>
      </c>
      <c r="P19" s="55">
        <v>1.242252570324462</v>
      </c>
      <c r="Q19" s="55">
        <v>1.5528217891543961</v>
      </c>
      <c r="R19" s="55">
        <v>1.2422525703250209</v>
      </c>
      <c r="S19" s="55">
        <v>1.163382863404671</v>
      </c>
      <c r="T19" s="55">
        <v>1.3891519566692641</v>
      </c>
      <c r="U19" s="55">
        <v>1.2990776473086141</v>
      </c>
      <c r="V19" s="55">
        <v>1.2319958626768219</v>
      </c>
      <c r="W19" s="55">
        <v>1.2906924242310731</v>
      </c>
      <c r="DA19" s="101" t="s">
        <v>1025</v>
      </c>
    </row>
    <row r="20" spans="1:105" x14ac:dyDescent="0.25">
      <c r="A20" s="61" t="s">
        <v>173</v>
      </c>
      <c r="B20" s="55">
        <v>68.214764160283764</v>
      </c>
      <c r="C20" s="55">
        <v>81.935304487536158</v>
      </c>
      <c r="D20" s="55">
        <v>78.491290922991666</v>
      </c>
      <c r="E20" s="55">
        <v>54.054820462749767</v>
      </c>
      <c r="F20" s="55">
        <v>51.943207295235432</v>
      </c>
      <c r="G20" s="55">
        <v>69.797579009917484</v>
      </c>
      <c r="H20" s="55">
        <v>37.795594779970394</v>
      </c>
      <c r="I20" s="55">
        <v>39.943849389724207</v>
      </c>
      <c r="J20" s="55">
        <v>31.008772129687038</v>
      </c>
      <c r="K20" s="55">
        <v>29.47314751801439</v>
      </c>
      <c r="L20" s="55">
        <v>42.32857819741033</v>
      </c>
      <c r="M20" s="55">
        <v>33.779953253718851</v>
      </c>
      <c r="N20" s="55">
        <v>34.050276686708919</v>
      </c>
      <c r="O20" s="55">
        <v>35.104281068054277</v>
      </c>
      <c r="P20" s="55">
        <v>37.165899157726557</v>
      </c>
      <c r="Q20" s="55">
        <v>37.870668076461968</v>
      </c>
      <c r="R20" s="55">
        <v>38.164733441797331</v>
      </c>
      <c r="S20" s="55">
        <v>39.386004223866962</v>
      </c>
      <c r="T20" s="55">
        <v>39.270595202722362</v>
      </c>
      <c r="U20" s="55">
        <v>40.465820686832558</v>
      </c>
      <c r="V20" s="55">
        <v>43.878698294785622</v>
      </c>
      <c r="W20" s="55">
        <v>44.834027273865523</v>
      </c>
      <c r="DA20" s="101" t="s">
        <v>1026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1.208933780907355</v>
      </c>
      <c r="H21" s="55">
        <v>1.20893378091085</v>
      </c>
      <c r="I21" s="55">
        <v>0.48128641644302722</v>
      </c>
      <c r="J21" s="55">
        <v>0.74449737041002972</v>
      </c>
      <c r="K21" s="55">
        <v>1.514551305099463</v>
      </c>
      <c r="L21" s="55">
        <v>4.3782293068282234</v>
      </c>
      <c r="M21" s="55">
        <v>4.1616482536341719</v>
      </c>
      <c r="N21" s="55">
        <v>0.98514057863081639</v>
      </c>
      <c r="O21" s="55">
        <v>1.2498459418619701</v>
      </c>
      <c r="P21" s="55">
        <v>1.225783786844731</v>
      </c>
      <c r="Q21" s="55">
        <v>1.4904891500764861</v>
      </c>
      <c r="R21" s="55">
        <v>0.98514057862509441</v>
      </c>
      <c r="S21" s="55">
        <v>1.1863660351672569</v>
      </c>
      <c r="T21" s="55">
        <v>1.133433625763415</v>
      </c>
      <c r="U21" s="55">
        <v>1.2129838466059191</v>
      </c>
      <c r="V21" s="55">
        <v>0.27902137084907902</v>
      </c>
      <c r="W21" s="55">
        <v>1.0036799167848469</v>
      </c>
      <c r="DA21" s="101" t="s">
        <v>1027</v>
      </c>
    </row>
    <row r="22" spans="1:105" x14ac:dyDescent="0.25">
      <c r="A22" s="61" t="s">
        <v>176</v>
      </c>
      <c r="B22" s="55">
        <v>2.4452222644658891E-2</v>
      </c>
      <c r="C22" s="55">
        <v>0.37438392488480399</v>
      </c>
      <c r="D22" s="55">
        <v>0.58149185892452593</v>
      </c>
      <c r="E22" s="55">
        <v>0.65533354094060503</v>
      </c>
      <c r="F22" s="55">
        <v>0.63920216264536744</v>
      </c>
      <c r="G22" s="55">
        <v>0.72932270735892435</v>
      </c>
      <c r="H22" s="55">
        <v>0.81983164433224165</v>
      </c>
      <c r="I22" s="55">
        <v>1.0241556553754541</v>
      </c>
      <c r="J22" s="55">
        <v>1.2511454725047619</v>
      </c>
      <c r="K22" s="55">
        <v>1.115404780059214</v>
      </c>
      <c r="L22" s="55">
        <v>0.76002001183656143</v>
      </c>
      <c r="M22" s="55">
        <v>1.036288967099299</v>
      </c>
      <c r="N22" s="55">
        <v>1.1304602829254029</v>
      </c>
      <c r="O22" s="55">
        <v>1.4291365056537659</v>
      </c>
      <c r="P22" s="55">
        <v>0.93379199638868415</v>
      </c>
      <c r="Q22" s="55">
        <v>1.1639997684005781</v>
      </c>
      <c r="R22" s="55">
        <v>0.97631507333270129</v>
      </c>
      <c r="S22" s="55">
        <v>1.163073360490386</v>
      </c>
      <c r="T22" s="55">
        <v>0.77666984430591324</v>
      </c>
      <c r="U22" s="55">
        <v>1.2740018242915789</v>
      </c>
      <c r="V22" s="55">
        <v>1.399867276096221</v>
      </c>
      <c r="W22" s="55">
        <v>1.649348233469129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0.89502986654236216</v>
      </c>
      <c r="O23" s="55">
        <v>0.72614407154118865</v>
      </c>
      <c r="P23" s="55">
        <v>0.72614407153783966</v>
      </c>
      <c r="Q23" s="55">
        <v>0.63045427984307134</v>
      </c>
      <c r="R23" s="55">
        <v>0.33775132532376889</v>
      </c>
      <c r="S23" s="55">
        <v>0.33775132532546542</v>
      </c>
      <c r="T23" s="55">
        <v>1.038159260600781</v>
      </c>
      <c r="U23" s="55">
        <v>1.2083217300754721</v>
      </c>
      <c r="V23" s="55">
        <v>1.2083217300715661</v>
      </c>
      <c r="W23" s="55">
        <v>1.270777456041015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8.7402338663690422</v>
      </c>
      <c r="C25" s="258">
        <v>10.476987504269809</v>
      </c>
      <c r="D25" s="258">
        <v>10.173725085204479</v>
      </c>
      <c r="E25" s="258">
        <v>7.092384509831823</v>
      </c>
      <c r="F25" s="258">
        <v>6.8551310677695527</v>
      </c>
      <c r="G25" s="258">
        <v>9.1404368506406133</v>
      </c>
      <c r="H25" s="258">
        <v>5.146068878283967</v>
      </c>
      <c r="I25" s="258">
        <v>5.2305856146438128</v>
      </c>
      <c r="J25" s="258">
        <v>4.2416282546656214</v>
      </c>
      <c r="K25" s="258">
        <v>4.0585205600904377</v>
      </c>
      <c r="L25" s="258">
        <v>5.9085569129141531</v>
      </c>
      <c r="M25" s="258">
        <v>4.8249443340097971</v>
      </c>
      <c r="N25" s="258">
        <v>4.6675173041099223</v>
      </c>
      <c r="O25" s="258">
        <v>4.8075018220057508</v>
      </c>
      <c r="P25" s="258">
        <v>4.9910683337893378</v>
      </c>
      <c r="Q25" s="258">
        <v>5.1396781403841816</v>
      </c>
      <c r="R25" s="258">
        <v>5.059134284694462</v>
      </c>
      <c r="S25" s="258">
        <v>5.2404216929784422</v>
      </c>
      <c r="T25" s="258">
        <v>5.2738243067792103</v>
      </c>
      <c r="U25" s="258">
        <v>5.483363867283396</v>
      </c>
      <c r="V25" s="258">
        <v>5.8279187131349204</v>
      </c>
      <c r="W25" s="258">
        <v>6.0472735259060997</v>
      </c>
      <c r="DA25" s="273" t="s">
        <v>1031</v>
      </c>
    </row>
    <row r="26" spans="1:105" x14ac:dyDescent="0.25">
      <c r="A26" s="257" t="s">
        <v>177</v>
      </c>
      <c r="B26" s="258">
        <v>5.3302119032936917</v>
      </c>
      <c r="C26" s="258">
        <v>5.8722074793661241</v>
      </c>
      <c r="D26" s="258">
        <v>6.301122681789499</v>
      </c>
      <c r="E26" s="258">
        <v>6.2022359548000319</v>
      </c>
      <c r="F26" s="258">
        <v>6.6481792407022526</v>
      </c>
      <c r="G26" s="258">
        <v>7.3257007097473652</v>
      </c>
      <c r="H26" s="258">
        <v>6.0838055821381207</v>
      </c>
      <c r="I26" s="258">
        <v>6.5729012596457297</v>
      </c>
      <c r="J26" s="258">
        <v>5.9316447458561248</v>
      </c>
      <c r="K26" s="258">
        <v>5.9230083048570332</v>
      </c>
      <c r="L26" s="258">
        <v>6.6000574958739522</v>
      </c>
      <c r="M26" s="258">
        <v>6.0216422099966902</v>
      </c>
      <c r="N26" s="258">
        <v>6.0678998838136469</v>
      </c>
      <c r="O26" s="258">
        <v>5.8673239999456266</v>
      </c>
      <c r="P26" s="258">
        <v>5.4012930890293056</v>
      </c>
      <c r="Q26" s="258">
        <v>5.5822498835021914</v>
      </c>
      <c r="R26" s="258">
        <v>5.7183477673105907</v>
      </c>
      <c r="S26" s="258">
        <v>6.5169277878748471</v>
      </c>
      <c r="T26" s="258">
        <v>6.7535865003905799</v>
      </c>
      <c r="U26" s="258">
        <v>6.4609116361260099</v>
      </c>
      <c r="V26" s="258">
        <v>6.7678469453639636</v>
      </c>
      <c r="W26" s="258">
        <v>7.561250749272272</v>
      </c>
      <c r="DA26" s="273" t="s">
        <v>1032</v>
      </c>
    </row>
    <row r="27" spans="1:105" x14ac:dyDescent="0.25">
      <c r="A27" s="129" t="s">
        <v>33</v>
      </c>
      <c r="B27" s="259">
        <v>8.1235880641482279</v>
      </c>
      <c r="C27" s="259">
        <v>8.9496244155140037</v>
      </c>
      <c r="D27" s="259">
        <v>9.6033189556476088</v>
      </c>
      <c r="E27" s="259">
        <v>9.4526091809427939</v>
      </c>
      <c r="F27" s="259">
        <v>10.13225562284199</v>
      </c>
      <c r="G27" s="259">
        <v>11.16484221020413</v>
      </c>
      <c r="H27" s="259">
        <v>9.2721136248103218</v>
      </c>
      <c r="I27" s="259">
        <v>10.017527105571221</v>
      </c>
      <c r="J27" s="259">
        <v>9.0402106581219961</v>
      </c>
      <c r="K27" s="259">
        <v>9.0270481628422896</v>
      </c>
      <c r="L27" s="259">
        <v>10.05891496791013</v>
      </c>
      <c r="M27" s="259">
        <v>9.1773726206781454</v>
      </c>
      <c r="N27" s="259">
        <v>9.2478723106928058</v>
      </c>
      <c r="O27" s="259">
        <v>8.9421816766789188</v>
      </c>
      <c r="P27" s="259">
        <v>8.2319203936135015</v>
      </c>
      <c r="Q27" s="259">
        <v>8.507710265081478</v>
      </c>
      <c r="R27" s="259">
        <v>8.715132252147054</v>
      </c>
      <c r="S27" s="259">
        <v>9.9322199103908648</v>
      </c>
      <c r="T27" s="259">
        <v>10.292903111574949</v>
      </c>
      <c r="U27" s="259">
        <v>9.8468476681606543</v>
      </c>
      <c r="V27" s="259">
        <v>10.314636953057621</v>
      </c>
      <c r="W27" s="259">
        <v>11.52383572196522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1</v>
      </c>
      <c r="D31" s="236">
        <f t="shared" si="6"/>
        <v>1.0000000000000002</v>
      </c>
      <c r="E31" s="236">
        <f t="shared" si="6"/>
        <v>0.99999999999999967</v>
      </c>
      <c r="F31" s="236">
        <f t="shared" si="6"/>
        <v>0.99999999999999989</v>
      </c>
      <c r="G31" s="236">
        <f t="shared" si="6"/>
        <v>0.99999999999999978</v>
      </c>
      <c r="H31" s="236">
        <f t="shared" si="6"/>
        <v>1.0000000000000002</v>
      </c>
      <c r="I31" s="236">
        <f t="shared" si="6"/>
        <v>1</v>
      </c>
      <c r="J31" s="236">
        <f t="shared" si="6"/>
        <v>1.0000000000000002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0.99999999999999978</v>
      </c>
      <c r="O31" s="236">
        <f t="shared" si="6"/>
        <v>1</v>
      </c>
      <c r="P31" s="236">
        <f t="shared" si="6"/>
        <v>0.99999999999999967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2.0632421899491653E-2</v>
      </c>
      <c r="C32" s="245">
        <f t="shared" si="8"/>
        <v>1.9154905539749963E-2</v>
      </c>
      <c r="D32" s="245">
        <f t="shared" si="8"/>
        <v>2.0884637263128326E-2</v>
      </c>
      <c r="E32" s="245">
        <f t="shared" si="8"/>
        <v>2.7941998118010184E-2</v>
      </c>
      <c r="F32" s="245">
        <f t="shared" si="8"/>
        <v>3.0296973001825191E-2</v>
      </c>
      <c r="G32" s="245">
        <f t="shared" si="8"/>
        <v>2.604599762836915E-2</v>
      </c>
      <c r="H32" s="245">
        <f t="shared" si="8"/>
        <v>3.4886486831666536E-2</v>
      </c>
      <c r="I32" s="245">
        <f t="shared" si="8"/>
        <v>3.6490736681718497E-2</v>
      </c>
      <c r="J32" s="245">
        <f t="shared" si="8"/>
        <v>3.8778276747106419E-2</v>
      </c>
      <c r="K32" s="245">
        <f t="shared" si="8"/>
        <v>3.9737957450528612E-2</v>
      </c>
      <c r="L32" s="245">
        <f t="shared" si="8"/>
        <v>3.3499894642409968E-2</v>
      </c>
      <c r="M32" s="245">
        <f t="shared" si="8"/>
        <v>3.6035013721512951E-2</v>
      </c>
      <c r="N32" s="245">
        <f t="shared" si="8"/>
        <v>3.7140878576280636E-2</v>
      </c>
      <c r="O32" s="245">
        <f t="shared" si="8"/>
        <v>3.5654327258241844E-2</v>
      </c>
      <c r="P32" s="245">
        <f t="shared" si="8"/>
        <v>3.2886266090674035E-2</v>
      </c>
      <c r="Q32" s="245">
        <f t="shared" si="8"/>
        <v>3.2923723408445363E-2</v>
      </c>
      <c r="R32" s="245">
        <f t="shared" si="8"/>
        <v>3.3961206669030901E-2</v>
      </c>
      <c r="S32" s="245">
        <f t="shared" si="8"/>
        <v>3.6234053138028223E-2</v>
      </c>
      <c r="T32" s="245">
        <f t="shared" si="8"/>
        <v>3.6920678139975016E-2</v>
      </c>
      <c r="U32" s="245">
        <f t="shared" si="8"/>
        <v>3.4893067174269293E-2</v>
      </c>
      <c r="V32" s="245">
        <f t="shared" si="8"/>
        <v>3.4606428741893895E-2</v>
      </c>
      <c r="W32" s="245">
        <f t="shared" si="8"/>
        <v>3.6318050265791199E-2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1.3298795564713226E-2</v>
      </c>
      <c r="C33" s="246">
        <f t="shared" si="9"/>
        <v>1.2346450362223531E-2</v>
      </c>
      <c r="D33" s="246">
        <f t="shared" si="9"/>
        <v>1.3461363031374346E-2</v>
      </c>
      <c r="E33" s="246">
        <f t="shared" si="9"/>
        <v>1.8010242445176752E-2</v>
      </c>
      <c r="F33" s="246">
        <f t="shared" si="9"/>
        <v>1.9528160685335545E-2</v>
      </c>
      <c r="G33" s="246">
        <f t="shared" si="9"/>
        <v>1.6788159888646959E-2</v>
      </c>
      <c r="H33" s="246">
        <f t="shared" si="9"/>
        <v>2.2486369201127281E-2</v>
      </c>
      <c r="I33" s="246">
        <f t="shared" si="9"/>
        <v>2.3520401506907564E-2</v>
      </c>
      <c r="J33" s="246">
        <f t="shared" si="9"/>
        <v>2.4994854085663439E-2</v>
      </c>
      <c r="K33" s="246">
        <f t="shared" si="9"/>
        <v>2.5613424098645109E-2</v>
      </c>
      <c r="L33" s="246">
        <f t="shared" si="9"/>
        <v>2.1592629913205607E-2</v>
      </c>
      <c r="M33" s="246">
        <f t="shared" si="9"/>
        <v>2.3226661561522435E-2</v>
      </c>
      <c r="N33" s="246">
        <f t="shared" si="9"/>
        <v>2.3939455759770144E-2</v>
      </c>
      <c r="O33" s="246">
        <f t="shared" si="9"/>
        <v>2.2981287001329825E-2</v>
      </c>
      <c r="P33" s="246">
        <f t="shared" si="9"/>
        <v>2.1197110632824454E-2</v>
      </c>
      <c r="Q33" s="246">
        <f t="shared" si="9"/>
        <v>2.1221254052044461E-2</v>
      </c>
      <c r="R33" s="246">
        <f t="shared" si="9"/>
        <v>2.1889972336865841E-2</v>
      </c>
      <c r="S33" s="246">
        <f t="shared" si="9"/>
        <v>2.3354954038404242E-2</v>
      </c>
      <c r="T33" s="246">
        <f t="shared" si="9"/>
        <v>2.379752377524819E-2</v>
      </c>
      <c r="U33" s="246">
        <f t="shared" si="9"/>
        <v>2.249061061454186E-2</v>
      </c>
      <c r="V33" s="246">
        <f t="shared" si="9"/>
        <v>2.2305855478585469E-2</v>
      </c>
      <c r="W33" s="246">
        <f t="shared" si="9"/>
        <v>2.3409095071172226E-2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2.6427795198759735E-2</v>
      </c>
      <c r="C34" s="246">
        <f t="shared" si="10"/>
        <v>2.4535264115967514E-2</v>
      </c>
      <c r="D34" s="246">
        <f t="shared" si="10"/>
        <v>2.6750854508453992E-2</v>
      </c>
      <c r="E34" s="246">
        <f t="shared" si="10"/>
        <v>3.5790534301021477E-2</v>
      </c>
      <c r="F34" s="246">
        <f t="shared" si="10"/>
        <v>3.8806990354065818E-2</v>
      </c>
      <c r="G34" s="246">
        <f t="shared" si="10"/>
        <v>3.3361972453989086E-2</v>
      </c>
      <c r="H34" s="246">
        <f t="shared" si="10"/>
        <v>4.4685637666910416E-2</v>
      </c>
      <c r="I34" s="246">
        <f t="shared" si="10"/>
        <v>4.674049999433591E-2</v>
      </c>
      <c r="J34" s="246">
        <f t="shared" si="10"/>
        <v>4.9670579684036258E-2</v>
      </c>
      <c r="K34" s="246">
        <f t="shared" si="10"/>
        <v>5.0899821951851096E-2</v>
      </c>
      <c r="L34" s="246">
        <f t="shared" si="10"/>
        <v>4.2909570146559085E-2</v>
      </c>
      <c r="M34" s="246">
        <f t="shared" si="10"/>
        <v>4.6156770506912942E-2</v>
      </c>
      <c r="N34" s="246">
        <f t="shared" si="10"/>
        <v>4.7573258112763354E-2</v>
      </c>
      <c r="O34" s="246">
        <f t="shared" si="10"/>
        <v>4.5669154271878655E-2</v>
      </c>
      <c r="P34" s="246">
        <f t="shared" si="10"/>
        <v>4.2123581484036235E-2</v>
      </c>
      <c r="Q34" s="246">
        <f t="shared" si="10"/>
        <v>4.2171560064911406E-2</v>
      </c>
      <c r="R34" s="246">
        <f t="shared" si="10"/>
        <v>4.3500458594927009E-2</v>
      </c>
      <c r="S34" s="246">
        <f t="shared" si="10"/>
        <v>4.6411717452151363E-2</v>
      </c>
      <c r="T34" s="246">
        <f t="shared" si="10"/>
        <v>4.7291206298307867E-2</v>
      </c>
      <c r="U34" s="246">
        <f t="shared" si="10"/>
        <v>4.4694066340358954E-2</v>
      </c>
      <c r="V34" s="246">
        <f t="shared" si="10"/>
        <v>4.4326914979078515E-2</v>
      </c>
      <c r="W34" s="246">
        <f t="shared" si="10"/>
        <v>4.6519308257565187E-2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0.33084722534160371</v>
      </c>
      <c r="C35" s="247">
        <f t="shared" si="11"/>
        <v>0.33361244679868257</v>
      </c>
      <c r="D35" s="247">
        <f t="shared" si="11"/>
        <v>0.33002322218400237</v>
      </c>
      <c r="E35" s="247">
        <f t="shared" si="11"/>
        <v>0.3195467065584775</v>
      </c>
      <c r="F35" s="247">
        <f t="shared" si="11"/>
        <v>0.31786699534754426</v>
      </c>
      <c r="G35" s="247">
        <f t="shared" si="11"/>
        <v>0.3215029739760899</v>
      </c>
      <c r="H35" s="247">
        <f t="shared" si="11"/>
        <v>0.31919956648343178</v>
      </c>
      <c r="I35" s="247">
        <f t="shared" si="11"/>
        <v>0.32230745185188142</v>
      </c>
      <c r="J35" s="247">
        <f t="shared" si="11"/>
        <v>0.32750533668679077</v>
      </c>
      <c r="K35" s="247">
        <f t="shared" si="11"/>
        <v>0.33057548563623285</v>
      </c>
      <c r="L35" s="247">
        <f t="shared" si="11"/>
        <v>0.31746913526054987</v>
      </c>
      <c r="M35" s="247">
        <f t="shared" si="11"/>
        <v>0.3205383713772666</v>
      </c>
      <c r="N35" s="247">
        <f t="shared" si="11"/>
        <v>0.32318299067394052</v>
      </c>
      <c r="O35" s="247">
        <f t="shared" si="11"/>
        <v>0.32070598673137168</v>
      </c>
      <c r="P35" s="247">
        <f t="shared" si="11"/>
        <v>0.31800242482998353</v>
      </c>
      <c r="Q35" s="247">
        <f t="shared" si="11"/>
        <v>0.31796134556997885</v>
      </c>
      <c r="R35" s="247">
        <f t="shared" si="11"/>
        <v>0.31872888890231527</v>
      </c>
      <c r="S35" s="247">
        <f t="shared" si="11"/>
        <v>0.3212340400074013</v>
      </c>
      <c r="T35" s="247">
        <f t="shared" si="11"/>
        <v>0.32204370536922583</v>
      </c>
      <c r="U35" s="247">
        <f t="shared" si="11"/>
        <v>0.31944752801214898</v>
      </c>
      <c r="V35" s="247">
        <f t="shared" si="11"/>
        <v>0.31952627140808654</v>
      </c>
      <c r="W35" s="247">
        <f t="shared" si="11"/>
        <v>0.3215382119250545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0.24941367852278623</v>
      </c>
      <c r="C36" s="260">
        <f t="shared" si="12"/>
        <v>0.25194545483772196</v>
      </c>
      <c r="D36" s="260">
        <f t="shared" si="12"/>
        <v>0.24858818211037681</v>
      </c>
      <c r="E36" s="260">
        <f t="shared" si="12"/>
        <v>0.23555532511442673</v>
      </c>
      <c r="F36" s="260">
        <f t="shared" si="12"/>
        <v>0.23030520962110204</v>
      </c>
      <c r="G36" s="260">
        <f t="shared" si="12"/>
        <v>0.23957983242624792</v>
      </c>
      <c r="H36" s="260">
        <f t="shared" si="12"/>
        <v>0.21754493886500953</v>
      </c>
      <c r="I36" s="260">
        <f t="shared" si="12"/>
        <v>0.214075672584669</v>
      </c>
      <c r="J36" s="260">
        <f t="shared" si="12"/>
        <v>0.20442662358855815</v>
      </c>
      <c r="K36" s="260">
        <f t="shared" si="12"/>
        <v>0.20073468853627652</v>
      </c>
      <c r="L36" s="260">
        <f t="shared" si="12"/>
        <v>0.2210897581837574</v>
      </c>
      <c r="M36" s="260">
        <f t="shared" si="12"/>
        <v>0.21285974174306677</v>
      </c>
      <c r="N36" s="260">
        <f t="shared" si="12"/>
        <v>0.21061591356866607</v>
      </c>
      <c r="O36" s="260">
        <f t="shared" si="12"/>
        <v>0.21536896058635893</v>
      </c>
      <c r="P36" s="260">
        <f t="shared" si="12"/>
        <v>0.22402775030083366</v>
      </c>
      <c r="Q36" s="260">
        <f t="shared" si="12"/>
        <v>0.22347403659392079</v>
      </c>
      <c r="R36" s="260">
        <f t="shared" si="12"/>
        <v>0.22150331747595609</v>
      </c>
      <c r="S36" s="260">
        <f t="shared" si="12"/>
        <v>0.21479873687509277</v>
      </c>
      <c r="T36" s="260">
        <f t="shared" si="12"/>
        <v>0.21254570792168534</v>
      </c>
      <c r="U36" s="260">
        <f t="shared" si="12"/>
        <v>0.21831515787966457</v>
      </c>
      <c r="V36" s="260">
        <f t="shared" si="12"/>
        <v>0.21969047118726054</v>
      </c>
      <c r="W36" s="260">
        <f t="shared" si="12"/>
        <v>0.21413121282533762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0.2741896707642309</v>
      </c>
      <c r="C37" s="260">
        <f t="shared" si="13"/>
        <v>0.27657263883931987</v>
      </c>
      <c r="D37" s="260">
        <f t="shared" si="13"/>
        <v>0.27458108823272853</v>
      </c>
      <c r="E37" s="260">
        <f t="shared" si="13"/>
        <v>0.26153349944589693</v>
      </c>
      <c r="F37" s="260">
        <f t="shared" si="13"/>
        <v>0.25638582989056297</v>
      </c>
      <c r="G37" s="260">
        <f t="shared" si="13"/>
        <v>0.26530359208515975</v>
      </c>
      <c r="H37" s="260">
        <f t="shared" si="13"/>
        <v>0.2446163086109199</v>
      </c>
      <c r="I37" s="260">
        <f t="shared" si="13"/>
        <v>0.2367358689514068</v>
      </c>
      <c r="J37" s="260">
        <f t="shared" si="13"/>
        <v>0.23006730274512682</v>
      </c>
      <c r="K37" s="260">
        <f t="shared" si="13"/>
        <v>0.22597618456482232</v>
      </c>
      <c r="L37" s="260">
        <f t="shared" si="13"/>
        <v>0.24985205034340452</v>
      </c>
      <c r="M37" s="260">
        <f t="shared" si="13"/>
        <v>0.24235827259542708</v>
      </c>
      <c r="N37" s="260">
        <f t="shared" si="13"/>
        <v>0.23625624830669434</v>
      </c>
      <c r="O37" s="260">
        <f t="shared" si="13"/>
        <v>0.24141043127294318</v>
      </c>
      <c r="P37" s="260">
        <f t="shared" si="13"/>
        <v>0.24931658457194092</v>
      </c>
      <c r="Q37" s="260">
        <f t="shared" si="13"/>
        <v>0.24978252555426939</v>
      </c>
      <c r="R37" s="260">
        <f t="shared" si="13"/>
        <v>0.2456189331828651</v>
      </c>
      <c r="S37" s="260">
        <f t="shared" si="13"/>
        <v>0.23838233180705728</v>
      </c>
      <c r="T37" s="260">
        <f t="shared" si="13"/>
        <v>0.23640149219859491</v>
      </c>
      <c r="U37" s="260">
        <f t="shared" si="13"/>
        <v>0.24345880467930786</v>
      </c>
      <c r="V37" s="260">
        <f t="shared" si="13"/>
        <v>0.24337573517480598</v>
      </c>
      <c r="W37" s="260">
        <f t="shared" si="13"/>
        <v>0.23837950500150754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3.3548841811249348E-2</v>
      </c>
      <c r="C38" s="260">
        <f t="shared" si="14"/>
        <v>3.3889393153879434E-2</v>
      </c>
      <c r="D38" s="260">
        <f t="shared" si="14"/>
        <v>3.3437803600676011E-2</v>
      </c>
      <c r="E38" s="260">
        <f t="shared" si="14"/>
        <v>3.1684743141861538E-2</v>
      </c>
      <c r="F38" s="260">
        <f t="shared" si="14"/>
        <v>3.0978545730318024E-2</v>
      </c>
      <c r="G38" s="260">
        <f t="shared" si="14"/>
        <v>3.2226082975234688E-2</v>
      </c>
      <c r="H38" s="260">
        <f t="shared" si="14"/>
        <v>2.9262151073856768E-2</v>
      </c>
      <c r="I38" s="260">
        <f t="shared" si="14"/>
        <v>2.8795497174481256E-2</v>
      </c>
      <c r="J38" s="260">
        <f t="shared" si="14"/>
        <v>2.7497595550493373E-2</v>
      </c>
      <c r="K38" s="260">
        <f t="shared" si="14"/>
        <v>2.7000990288985678E-2</v>
      </c>
      <c r="L38" s="260">
        <f t="shared" si="14"/>
        <v>2.9738967675410011E-2</v>
      </c>
      <c r="M38" s="260">
        <f t="shared" si="14"/>
        <v>2.8631941303368099E-2</v>
      </c>
      <c r="N38" s="260">
        <f t="shared" si="14"/>
        <v>2.8330122105157139E-2</v>
      </c>
      <c r="O38" s="260">
        <f t="shared" si="14"/>
        <v>2.8969458421683334E-2</v>
      </c>
      <c r="P38" s="260">
        <f t="shared" si="14"/>
        <v>3.0134159444210655E-2</v>
      </c>
      <c r="Q38" s="260">
        <f t="shared" si="14"/>
        <v>3.0059678951913808E-2</v>
      </c>
      <c r="R38" s="260">
        <f t="shared" si="14"/>
        <v>2.9794595880549855E-2</v>
      </c>
      <c r="S38" s="260">
        <f t="shared" si="14"/>
        <v>2.8892757154938054E-2</v>
      </c>
      <c r="T38" s="260">
        <f t="shared" si="14"/>
        <v>2.8589700352273074E-2</v>
      </c>
      <c r="U38" s="260">
        <f t="shared" si="14"/>
        <v>2.9365753875578465E-2</v>
      </c>
      <c r="V38" s="260">
        <f t="shared" si="14"/>
        <v>2.9550748415054888E-2</v>
      </c>
      <c r="W38" s="260">
        <f t="shared" si="14"/>
        <v>2.8802967938552356E-2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2.0459685484174192E-2</v>
      </c>
      <c r="C39" s="260">
        <f t="shared" si="15"/>
        <v>1.8994539018805441E-2</v>
      </c>
      <c r="D39" s="260">
        <f t="shared" si="15"/>
        <v>2.0709789279037463E-2</v>
      </c>
      <c r="E39" s="260">
        <f t="shared" si="15"/>
        <v>2.7708065300271943E-2</v>
      </c>
      <c r="F39" s="260">
        <f t="shared" si="15"/>
        <v>3.0043324131285465E-2</v>
      </c>
      <c r="G39" s="260">
        <f t="shared" si="15"/>
        <v>2.5827938290226088E-2</v>
      </c>
      <c r="H39" s="260">
        <f t="shared" si="15"/>
        <v>3.4594414155580434E-2</v>
      </c>
      <c r="I39" s="260">
        <f t="shared" si="15"/>
        <v>3.6185233087550103E-2</v>
      </c>
      <c r="J39" s="260">
        <f t="shared" si="15"/>
        <v>3.8453621670251445E-2</v>
      </c>
      <c r="K39" s="260">
        <f t="shared" si="15"/>
        <v>3.9405267844069405E-2</v>
      </c>
      <c r="L39" s="260">
        <f t="shared" si="15"/>
        <v>3.3219430635700944E-2</v>
      </c>
      <c r="M39" s="260">
        <f t="shared" si="15"/>
        <v>3.573332547926529E-2</v>
      </c>
      <c r="N39" s="260">
        <f t="shared" si="15"/>
        <v>3.6829931938107928E-2</v>
      </c>
      <c r="O39" s="260">
        <f t="shared" si="15"/>
        <v>3.5355826155892042E-2</v>
      </c>
      <c r="P39" s="260">
        <f t="shared" si="15"/>
        <v>3.2610939435114547E-2</v>
      </c>
      <c r="Q39" s="260">
        <f t="shared" si="15"/>
        <v>3.2648083156991484E-2</v>
      </c>
      <c r="R39" s="260">
        <f t="shared" si="15"/>
        <v>3.367688051825514E-2</v>
      </c>
      <c r="S39" s="260">
        <f t="shared" si="15"/>
        <v>3.5930698520621931E-2</v>
      </c>
      <c r="T39" s="260">
        <f t="shared" si="15"/>
        <v>3.661157503884338E-2</v>
      </c>
      <c r="U39" s="260">
        <f t="shared" si="15"/>
        <v>3.460093940698749E-2</v>
      </c>
      <c r="V39" s="260">
        <f t="shared" si="15"/>
        <v>3.4316700736285337E-2</v>
      </c>
      <c r="W39" s="260">
        <f t="shared" si="15"/>
        <v>3.6013992417188036E-2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3.1181885412990936E-2</v>
      </c>
      <c r="C40" s="262">
        <f t="shared" si="16"/>
        <v>2.8948907333649694E-2</v>
      </c>
      <c r="D40" s="262">
        <f t="shared" si="16"/>
        <v>3.1563059790222336E-2</v>
      </c>
      <c r="E40" s="262">
        <f t="shared" si="16"/>
        <v>4.222888557485676E-2</v>
      </c>
      <c r="F40" s="262">
        <f t="shared" si="16"/>
        <v>4.578797123796062E-2</v>
      </c>
      <c r="G40" s="262">
        <f t="shared" si="16"/>
        <v>3.936345027603623E-2</v>
      </c>
      <c r="H40" s="262">
        <f t="shared" si="16"/>
        <v>5.2724127111497515E-2</v>
      </c>
      <c r="I40" s="262">
        <f t="shared" si="16"/>
        <v>5.514863816704943E-2</v>
      </c>
      <c r="J40" s="262">
        <f t="shared" si="16"/>
        <v>5.8605809241973443E-2</v>
      </c>
      <c r="K40" s="262">
        <f t="shared" si="16"/>
        <v>6.0056179628588439E-2</v>
      </c>
      <c r="L40" s="262">
        <f t="shared" si="16"/>
        <v>5.0628563199002496E-2</v>
      </c>
      <c r="M40" s="262">
        <f t="shared" si="16"/>
        <v>5.4459901711657877E-2</v>
      </c>
      <c r="N40" s="262">
        <f t="shared" si="16"/>
        <v>5.6131200958619697E-2</v>
      </c>
      <c r="O40" s="262">
        <f t="shared" si="16"/>
        <v>5.3884568300300605E-2</v>
      </c>
      <c r="P40" s="262">
        <f t="shared" si="16"/>
        <v>4.9701183210381736E-2</v>
      </c>
      <c r="Q40" s="262">
        <f t="shared" si="16"/>
        <v>4.9757792647524564E-2</v>
      </c>
      <c r="R40" s="262">
        <f t="shared" si="16"/>
        <v>5.1325746439234862E-2</v>
      </c>
      <c r="S40" s="262">
        <f t="shared" si="16"/>
        <v>5.476071100630496E-2</v>
      </c>
      <c r="T40" s="262">
        <f t="shared" si="16"/>
        <v>5.5798410905846405E-2</v>
      </c>
      <c r="U40" s="262">
        <f t="shared" si="16"/>
        <v>5.2734072017142482E-2</v>
      </c>
      <c r="V40" s="262">
        <f t="shared" si="16"/>
        <v>5.2300873878948627E-2</v>
      </c>
      <c r="W40" s="262">
        <f t="shared" si="16"/>
        <v>5.4887656297831322E-2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0.37386737125037528</v>
      </c>
      <c r="C44" s="238">
        <f>IF(C$5=0,0,C$5/AGR_fec!C$5)</f>
        <v>0.37277106310610536</v>
      </c>
      <c r="D44" s="238">
        <f>IF(D$5=0,0,D$5/AGR_fec!D$5)</f>
        <v>0.37408079671041639</v>
      </c>
      <c r="E44" s="238">
        <f>IF(E$5=0,0,E$5/AGR_fec!E$5)</f>
        <v>0.38079611019665005</v>
      </c>
      <c r="F44" s="238">
        <f>IF(F$5=0,0,F$5/AGR_fec!F$5)</f>
        <v>0.38387965021504827</v>
      </c>
      <c r="G44" s="238">
        <f>IF(G$5=0,0,G$5/AGR_fec!G$5)</f>
        <v>0.37835606310294373</v>
      </c>
      <c r="H44" s="238">
        <f>IF(H$5=0,0,H$5/AGR_fec!H$5)</f>
        <v>0.39177837023598983</v>
      </c>
      <c r="I44" s="238">
        <f>IF(I$5=0,0,I$5/AGR_fec!I$5)</f>
        <v>0.3956668503479055</v>
      </c>
      <c r="J44" s="238">
        <f>IF(J$5=0,0,J$5/AGR_fec!J$5)</f>
        <v>0.4022639156386783</v>
      </c>
      <c r="K44" s="238">
        <f>IF(K$5=0,0,K$5/AGR_fec!K$5)</f>
        <v>0.40502798217550878</v>
      </c>
      <c r="L44" s="238">
        <f>IF(L$5=0,0,L$5/AGR_fec!L$5)</f>
        <v>0.38798595016897308</v>
      </c>
      <c r="M44" s="238">
        <f>IF(M$5=0,0,M$5/AGR_fec!M$5)</f>
        <v>0.39354825284550315</v>
      </c>
      <c r="N44" s="238">
        <f>IF(N$5=0,0,N$5/AGR_fec!N$5)</f>
        <v>0.39681547446078108</v>
      </c>
      <c r="O44" s="238">
        <f>IF(O$5=0,0,O$5/AGR_fec!O$5)</f>
        <v>0.39324689569387006</v>
      </c>
      <c r="P44" s="238">
        <f>IF(P$5=0,0,P$5/AGR_fec!P$5)</f>
        <v>0.38732459912575234</v>
      </c>
      <c r="Q44" s="238">
        <f>IF(Q$5=0,0,Q$5/AGR_fec!Q$5)</f>
        <v>0.38748129759379274</v>
      </c>
      <c r="R44" s="238">
        <f>IF(R$5=0,0,R$5/AGR_fec!R$5)</f>
        <v>0.38962588105617557</v>
      </c>
      <c r="S44" s="238">
        <f>IF(S$5=0,0,S$5/AGR_fec!S$5)</f>
        <v>0.39450370280675029</v>
      </c>
      <c r="T44" s="238">
        <f>IF(T$5=0,0,T$5/AGR_fec!T$5)</f>
        <v>0.3957086880858558</v>
      </c>
      <c r="U44" s="238">
        <f>IF(U$5=0,0,U$5/AGR_fec!U$5)</f>
        <v>0.3911627096584061</v>
      </c>
      <c r="V44" s="238">
        <f>IF(V$5=0,0,V$5/AGR_fec!V$5)</f>
        <v>0.39089043021688558</v>
      </c>
      <c r="W44" s="238">
        <f>IF(W$5=0,0,W$5/AGR_fec!W$5)</f>
        <v>0.39457114594443959</v>
      </c>
      <c r="DA44" s="287"/>
    </row>
    <row r="45" spans="1:105" x14ac:dyDescent="0.25">
      <c r="A45" s="239" t="s">
        <v>125</v>
      </c>
      <c r="B45" s="251">
        <f>IF(B$6=0,0,B$6/AGR_fec!B$6)</f>
        <v>0.46557539905630685</v>
      </c>
      <c r="C45" s="251">
        <f>IF(C$6=0,0,C$6/AGR_fec!C$6)</f>
        <v>0.4655753990563069</v>
      </c>
      <c r="D45" s="251">
        <f>IF(D$6=0,0,D$6/AGR_fec!D$6)</f>
        <v>0.4655753990563069</v>
      </c>
      <c r="E45" s="251">
        <f>IF(E$6=0,0,E$6/AGR_fec!E$6)</f>
        <v>0.46557539905630685</v>
      </c>
      <c r="F45" s="251">
        <f>IF(F$6=0,0,F$6/AGR_fec!F$6)</f>
        <v>0.46557539905630685</v>
      </c>
      <c r="G45" s="251">
        <f>IF(G$6=0,0,G$6/AGR_fec!G$6)</f>
        <v>0.46557539905630707</v>
      </c>
      <c r="H45" s="251">
        <f>IF(H$6=0,0,H$6/AGR_fec!H$6)</f>
        <v>0.4655753990563069</v>
      </c>
      <c r="I45" s="251">
        <f>IF(I$6=0,0,I$6/AGR_fec!I$6)</f>
        <v>0.46557539905630679</v>
      </c>
      <c r="J45" s="251">
        <f>IF(J$6=0,0,J$6/AGR_fec!J$6)</f>
        <v>0.46557539905630702</v>
      </c>
      <c r="K45" s="251">
        <f>IF(K$6=0,0,K$6/AGR_fec!K$6)</f>
        <v>0.46557539905630702</v>
      </c>
      <c r="L45" s="251">
        <f>IF(L$6=0,0,L$6/AGR_fec!L$6)</f>
        <v>0.46557539905630702</v>
      </c>
      <c r="M45" s="251">
        <f>IF(M$6=0,0,M$6/AGR_fec!M$6)</f>
        <v>0.46557539905630702</v>
      </c>
      <c r="N45" s="251">
        <f>IF(N$6=0,0,N$6/AGR_fec!N$6)</f>
        <v>0.46557539905630696</v>
      </c>
      <c r="O45" s="251">
        <f>IF(O$6=0,0,O$6/AGR_fec!O$6)</f>
        <v>0.46557539905630718</v>
      </c>
      <c r="P45" s="251">
        <f>IF(P$6=0,0,P$6/AGR_fec!P$6)</f>
        <v>0.46557539905630685</v>
      </c>
      <c r="Q45" s="251">
        <f>IF(Q$6=0,0,Q$6/AGR_fec!Q$6)</f>
        <v>0.46557539905630696</v>
      </c>
      <c r="R45" s="251">
        <f>IF(R$6=0,0,R$6/AGR_fec!R$6)</f>
        <v>0.46557539905630707</v>
      </c>
      <c r="S45" s="251">
        <f>IF(S$6=0,0,S$6/AGR_fec!S$6)</f>
        <v>0.46557539905630696</v>
      </c>
      <c r="T45" s="251">
        <f>IF(T$6=0,0,T$6/AGR_fec!T$6)</f>
        <v>0.46557539905630696</v>
      </c>
      <c r="U45" s="251">
        <f>IF(U$6=0,0,U$6/AGR_fec!U$6)</f>
        <v>0.46557539905630685</v>
      </c>
      <c r="V45" s="251">
        <f>IF(V$6=0,0,V$6/AGR_fec!V$6)</f>
        <v>0.46557539905630679</v>
      </c>
      <c r="W45" s="251">
        <f>IF(W$6=0,0,W$6/AGR_fec!W$6)</f>
        <v>0.46557539905630707</v>
      </c>
      <c r="DA45" s="288"/>
    </row>
    <row r="46" spans="1:105" x14ac:dyDescent="0.25">
      <c r="A46" s="241" t="s">
        <v>124</v>
      </c>
      <c r="B46" s="252">
        <f>IF(B$7=0,0,B$7/AGR_fec!B$7)</f>
        <v>0.46167756166791168</v>
      </c>
      <c r="C46" s="252">
        <f>IF(C$7=0,0,C$7/AGR_fec!C$7)</f>
        <v>0.46167756166791168</v>
      </c>
      <c r="D46" s="252">
        <f>IF(D$7=0,0,D$7/AGR_fec!D$7)</f>
        <v>0.46167756166791168</v>
      </c>
      <c r="E46" s="252">
        <f>IF(E$7=0,0,E$7/AGR_fec!E$7)</f>
        <v>0.46167756166791174</v>
      </c>
      <c r="F46" s="252">
        <f>IF(F$7=0,0,F$7/AGR_fec!F$7)</f>
        <v>0.46167756166791157</v>
      </c>
      <c r="G46" s="252">
        <f>IF(G$7=0,0,G$7/AGR_fec!G$7)</f>
        <v>0.46167756166791202</v>
      </c>
      <c r="H46" s="252">
        <f>IF(H$7=0,0,H$7/AGR_fec!H$7)</f>
        <v>0.46167756166791168</v>
      </c>
      <c r="I46" s="252">
        <f>IF(I$7=0,0,I$7/AGR_fec!I$7)</f>
        <v>0.46167756166791174</v>
      </c>
      <c r="J46" s="252">
        <f>IF(J$7=0,0,J$7/AGR_fec!J$7)</f>
        <v>0.46167756166791163</v>
      </c>
      <c r="K46" s="252">
        <f>IF(K$7=0,0,K$7/AGR_fec!K$7)</f>
        <v>0.46167756166791174</v>
      </c>
      <c r="L46" s="252">
        <f>IF(L$7=0,0,L$7/AGR_fec!L$7)</f>
        <v>0.4616775616679118</v>
      </c>
      <c r="M46" s="252">
        <f>IF(M$7=0,0,M$7/AGR_fec!M$7)</f>
        <v>0.46167756166791163</v>
      </c>
      <c r="N46" s="252">
        <f>IF(N$7=0,0,N$7/AGR_fec!N$7)</f>
        <v>0.46167756166791168</v>
      </c>
      <c r="O46" s="252">
        <f>IF(O$7=0,0,O$7/AGR_fec!O$7)</f>
        <v>0.46167756166791174</v>
      </c>
      <c r="P46" s="252">
        <f>IF(P$7=0,0,P$7/AGR_fec!P$7)</f>
        <v>0.46167756166791168</v>
      </c>
      <c r="Q46" s="252">
        <f>IF(Q$7=0,0,Q$7/AGR_fec!Q$7)</f>
        <v>0.46167756166791174</v>
      </c>
      <c r="R46" s="252">
        <f>IF(R$7=0,0,R$7/AGR_fec!R$7)</f>
        <v>0.46167756166791168</v>
      </c>
      <c r="S46" s="252">
        <f>IF(S$7=0,0,S$7/AGR_fec!S$7)</f>
        <v>0.46167756166791168</v>
      </c>
      <c r="T46" s="252">
        <f>IF(T$7=0,0,T$7/AGR_fec!T$7)</f>
        <v>0.46167756166791168</v>
      </c>
      <c r="U46" s="252">
        <f>IF(U$7=0,0,U$7/AGR_fec!U$7)</f>
        <v>0.46167756166791163</v>
      </c>
      <c r="V46" s="252">
        <f>IF(V$7=0,0,V$7/AGR_fec!V$7)</f>
        <v>0.46167756166791168</v>
      </c>
      <c r="W46" s="252">
        <f>IF(W$7=0,0,W$7/AGR_fec!W$7)</f>
        <v>0.46167756166791157</v>
      </c>
      <c r="DA46" s="289"/>
    </row>
    <row r="47" spans="1:105" x14ac:dyDescent="0.25">
      <c r="A47" s="241" t="s">
        <v>123</v>
      </c>
      <c r="B47" s="252">
        <f>IF(B$8=0,0,B$8/AGR_fec!B$8)</f>
        <v>0.66261038388884586</v>
      </c>
      <c r="C47" s="252">
        <f>IF(C$8=0,0,C$8/AGR_fec!C$8)</f>
        <v>0.66261038388884563</v>
      </c>
      <c r="D47" s="252">
        <f>IF(D$8=0,0,D$8/AGR_fec!D$8)</f>
        <v>0.66261038388884574</v>
      </c>
      <c r="E47" s="252">
        <f>IF(E$8=0,0,E$8/AGR_fec!E$8)</f>
        <v>0.66261038388884586</v>
      </c>
      <c r="F47" s="252">
        <f>IF(F$8=0,0,F$8/AGR_fec!F$8)</f>
        <v>0.66261038388884574</v>
      </c>
      <c r="G47" s="252">
        <f>IF(G$8=0,0,G$8/AGR_fec!G$8)</f>
        <v>0.66261038388884563</v>
      </c>
      <c r="H47" s="252">
        <f>IF(H$8=0,0,H$8/AGR_fec!H$8)</f>
        <v>0.66261038388884597</v>
      </c>
      <c r="I47" s="252">
        <f>IF(I$8=0,0,I$8/AGR_fec!I$8)</f>
        <v>0.66261038388884597</v>
      </c>
      <c r="J47" s="252">
        <f>IF(J$8=0,0,J$8/AGR_fec!J$8)</f>
        <v>0.66261038388884586</v>
      </c>
      <c r="K47" s="252">
        <f>IF(K$8=0,0,K$8/AGR_fec!K$8)</f>
        <v>0.66261038388884608</v>
      </c>
      <c r="L47" s="252">
        <f>IF(L$8=0,0,L$8/AGR_fec!L$8)</f>
        <v>0.66261038388884608</v>
      </c>
      <c r="M47" s="252">
        <f>IF(M$8=0,0,M$8/AGR_fec!M$8)</f>
        <v>0.66261038388884574</v>
      </c>
      <c r="N47" s="252">
        <f>IF(N$8=0,0,N$8/AGR_fec!N$8)</f>
        <v>0.66261038388884574</v>
      </c>
      <c r="O47" s="252">
        <f>IF(O$8=0,0,O$8/AGR_fec!O$8)</f>
        <v>0.66261038388884563</v>
      </c>
      <c r="P47" s="252">
        <f>IF(P$8=0,0,P$8/AGR_fec!P$8)</f>
        <v>0.66261038388884563</v>
      </c>
      <c r="Q47" s="252">
        <f>IF(Q$8=0,0,Q$8/AGR_fec!Q$8)</f>
        <v>0.66261038388884608</v>
      </c>
      <c r="R47" s="252">
        <f>IF(R$8=0,0,R$8/AGR_fec!R$8)</f>
        <v>0.66261038388884552</v>
      </c>
      <c r="S47" s="252">
        <f>IF(S$8=0,0,S$8/AGR_fec!S$8)</f>
        <v>0.66261038388884563</v>
      </c>
      <c r="T47" s="252">
        <f>IF(T$8=0,0,T$8/AGR_fec!T$8)</f>
        <v>0.66261038388884608</v>
      </c>
      <c r="U47" s="252">
        <f>IF(U$8=0,0,U$8/AGR_fec!U$8)</f>
        <v>0.66261038388884563</v>
      </c>
      <c r="V47" s="252">
        <f>IF(V$8=0,0,V$8/AGR_fec!V$8)</f>
        <v>0.66261038388884597</v>
      </c>
      <c r="W47" s="252">
        <f>IF(W$8=0,0,W$8/AGR_fec!W$8)</f>
        <v>0.66261038388884597</v>
      </c>
      <c r="DA47" s="289"/>
    </row>
    <row r="48" spans="1:105" x14ac:dyDescent="0.25">
      <c r="A48" s="243" t="s">
        <v>122</v>
      </c>
      <c r="B48" s="253">
        <f>IF(B$9=0,0,B$9/AGR_fec!B$9)</f>
        <v>0.60378464505311913</v>
      </c>
      <c r="C48" s="253">
        <f>IF(C$9=0,0,C$9/AGR_fec!C$9)</f>
        <v>0.6023921490125369</v>
      </c>
      <c r="D48" s="253">
        <f>IF(D$9=0,0,D$9/AGR_fec!D$9)</f>
        <v>0.60428494846686964</v>
      </c>
      <c r="E48" s="253">
        <f>IF(E$9=0,0,E$9/AGR_fec!E$9)</f>
        <v>0.61592004137389444</v>
      </c>
      <c r="F48" s="253">
        <f>IF(F$9=0,0,F$9/AGR_fec!F$9)</f>
        <v>0.62263155431701778</v>
      </c>
      <c r="G48" s="253">
        <f>IF(G$9=0,0,G$9/AGR_fec!G$9)</f>
        <v>0.61152993518250165</v>
      </c>
      <c r="H48" s="253">
        <f>IF(H$9=0,0,H$9/AGR_fec!H$9)</f>
        <v>0.6429183237768632</v>
      </c>
      <c r="I48" s="253">
        <f>IF(I$9=0,0,I$9/AGR_fec!I$9)</f>
        <v>0.65034281552633411</v>
      </c>
      <c r="J48" s="253">
        <f>IF(J$9=0,0,J$9/AGR_fec!J$9)</f>
        <v>0.66819362843990715</v>
      </c>
      <c r="K48" s="253">
        <f>IF(K$9=0,0,K$9/AGR_fec!K$9)</f>
        <v>0.67602081730886765</v>
      </c>
      <c r="L48" s="253">
        <f>IF(L$9=0,0,L$9/AGR_fec!L$9)</f>
        <v>0.63650694586631751</v>
      </c>
      <c r="M48" s="253">
        <f>IF(M$9=0,0,M$9/AGR_fec!M$9)</f>
        <v>0.65115887857803334</v>
      </c>
      <c r="N48" s="253">
        <f>IF(N$9=0,0,N$9/AGR_fec!N$9)</f>
        <v>0.6563309307283145</v>
      </c>
      <c r="O48" s="253">
        <f>IF(O$9=0,0,O$9/AGR_fec!O$9)</f>
        <v>0.6472488074139422</v>
      </c>
      <c r="P48" s="253">
        <f>IF(P$9=0,0,P$9/AGR_fec!P$9)</f>
        <v>0.63253613268559805</v>
      </c>
      <c r="Q48" s="253">
        <f>IF(Q$9=0,0,Q$9/AGR_fec!Q$9)</f>
        <v>0.63318062256590912</v>
      </c>
      <c r="R48" s="253">
        <f>IF(R$9=0,0,R$9/AGR_fec!R$9)</f>
        <v>0.6369518762729538</v>
      </c>
      <c r="S48" s="253">
        <f>IF(S$9=0,0,S$9/AGR_fec!S$9)</f>
        <v>0.64903951156561257</v>
      </c>
      <c r="T48" s="253">
        <f>IF(T$9=0,0,T$9/AGR_fec!T$9)</f>
        <v>0.65341655394475051</v>
      </c>
      <c r="U48" s="253">
        <f>IF(U$9=0,0,U$9/AGR_fec!U$9)</f>
        <v>0.6423162431807844</v>
      </c>
      <c r="V48" s="253">
        <f>IF(V$9=0,0,V$9/AGR_fec!V$9)</f>
        <v>0.64020667774485263</v>
      </c>
      <c r="W48" s="253">
        <f>IF(W$9=0,0,W$9/AGR_fec!W$9)</f>
        <v>0.65013909422367</v>
      </c>
      <c r="DA48" s="290"/>
    </row>
    <row r="49" spans="1:105" x14ac:dyDescent="0.25">
      <c r="A49" s="128" t="s">
        <v>175</v>
      </c>
      <c r="B49" s="265">
        <f>IF(B$16=0,0,B$16/AGR_fec!B$16)</f>
        <v>0.33315630910732108</v>
      </c>
      <c r="C49" s="265">
        <f>IF(C$16=0,0,C$16/AGR_fec!C$16)</f>
        <v>0.33315630910732114</v>
      </c>
      <c r="D49" s="265">
        <f>IF(D$16=0,0,D$16/AGR_fec!D$16)</f>
        <v>0.33315630910732108</v>
      </c>
      <c r="E49" s="265">
        <f>IF(E$16=0,0,E$16/AGR_fec!E$16)</f>
        <v>0.33315630910732119</v>
      </c>
      <c r="F49" s="265">
        <f>IF(F$16=0,0,F$16/AGR_fec!F$16)</f>
        <v>0.33315630910732102</v>
      </c>
      <c r="G49" s="265">
        <f>IF(G$16=0,0,G$16/AGR_fec!G$16)</f>
        <v>0.33315630910732102</v>
      </c>
      <c r="H49" s="265">
        <f>IF(H$16=0,0,H$16/AGR_fec!H$16)</f>
        <v>0.33315630910732114</v>
      </c>
      <c r="I49" s="265">
        <f>IF(I$16=0,0,I$16/AGR_fec!I$16)</f>
        <v>0.33315630910732125</v>
      </c>
      <c r="J49" s="265">
        <f>IF(J$16=0,0,J$16/AGR_fec!J$16)</f>
        <v>0.33315630910732114</v>
      </c>
      <c r="K49" s="265">
        <f>IF(K$16=0,0,K$16/AGR_fec!K$16)</f>
        <v>0.33315630910732119</v>
      </c>
      <c r="L49" s="265">
        <f>IF(L$16=0,0,L$16/AGR_fec!L$16)</f>
        <v>0.33315630910732097</v>
      </c>
      <c r="M49" s="265">
        <f>IF(M$16=0,0,M$16/AGR_fec!M$16)</f>
        <v>0.33315630910732125</v>
      </c>
      <c r="N49" s="265">
        <f>IF(N$16=0,0,N$16/AGR_fec!N$16)</f>
        <v>0.33315630910732114</v>
      </c>
      <c r="O49" s="265">
        <f>IF(O$16=0,0,O$16/AGR_fec!O$16)</f>
        <v>0.33315630910732097</v>
      </c>
      <c r="P49" s="265">
        <f>IF(P$16=0,0,P$16/AGR_fec!P$16)</f>
        <v>0.33315630910732097</v>
      </c>
      <c r="Q49" s="265">
        <f>IF(Q$16=0,0,Q$16/AGR_fec!Q$16)</f>
        <v>0.33315630910732119</v>
      </c>
      <c r="R49" s="265">
        <f>IF(R$16=0,0,R$16/AGR_fec!R$16)</f>
        <v>0.33315630910732097</v>
      </c>
      <c r="S49" s="265">
        <f>IF(S$16=0,0,S$16/AGR_fec!S$16)</f>
        <v>0.33315630910732125</v>
      </c>
      <c r="T49" s="265">
        <f>IF(T$16=0,0,T$16/AGR_fec!T$16)</f>
        <v>0.33315630910732119</v>
      </c>
      <c r="U49" s="265">
        <f>IF(U$16=0,0,U$16/AGR_fec!U$16)</f>
        <v>0.33315630910732102</v>
      </c>
      <c r="V49" s="265">
        <f>IF(V$16=0,0,V$16/AGR_fec!V$16)</f>
        <v>0.33315630910732108</v>
      </c>
      <c r="W49" s="265">
        <f>IF(W$16=0,0,W$16/AGR_fec!W$16)</f>
        <v>0.33315630910732119</v>
      </c>
      <c r="DA49" s="291"/>
    </row>
    <row r="50" spans="1:105" x14ac:dyDescent="0.25">
      <c r="A50" s="128" t="s">
        <v>121</v>
      </c>
      <c r="B50" s="265">
        <f>IF(B$17=0,0,B$17/AGR_fec!B$17)</f>
        <v>0.27074737295996448</v>
      </c>
      <c r="C50" s="265">
        <f>IF(C$17=0,0,C$17/AGR_fec!C$17)</f>
        <v>0.27074317763846473</v>
      </c>
      <c r="D50" s="265">
        <f>IF(D$17=0,0,D$17/AGR_fec!D$17)</f>
        <v>0.27099030698449239</v>
      </c>
      <c r="E50" s="265">
        <f>IF(E$17=0,0,E$17/AGR_fec!E$17)</f>
        <v>0.27122164385710024</v>
      </c>
      <c r="F50" s="265">
        <f>IF(F$17=0,0,F$17/AGR_fec!F$17)</f>
        <v>0.27131593897656248</v>
      </c>
      <c r="G50" s="265">
        <f>IF(G$17=0,0,G$17/AGR_fec!G$17)</f>
        <v>0.27064818518964973</v>
      </c>
      <c r="H50" s="265">
        <f>IF(H$17=0,0,H$17/AGR_fec!H$17)</f>
        <v>0.27093469931123521</v>
      </c>
      <c r="I50" s="265">
        <f>IF(I$17=0,0,I$17/AGR_fec!I$17)</f>
        <v>0.27091107306830409</v>
      </c>
      <c r="J50" s="265">
        <f>IF(J$17=0,0,J$17/AGR_fec!J$17)</f>
        <v>0.27136203912499968</v>
      </c>
      <c r="K50" s="265">
        <f>IF(K$17=0,0,K$17/AGR_fec!K$17)</f>
        <v>0.2706634071572494</v>
      </c>
      <c r="L50" s="265">
        <f>IF(L$17=0,0,L$17/AGR_fec!L$17)</f>
        <v>0.26931423552763711</v>
      </c>
      <c r="M50" s="265">
        <f>IF(M$17=0,0,M$17/AGR_fec!M$17)</f>
        <v>0.2692750889290691</v>
      </c>
      <c r="N50" s="265">
        <f>IF(N$17=0,0,N$17/AGR_fec!N$17)</f>
        <v>0.26996983785690021</v>
      </c>
      <c r="O50" s="265">
        <f>IF(O$17=0,0,O$17/AGR_fec!O$17)</f>
        <v>0.27007523641820669</v>
      </c>
      <c r="P50" s="265">
        <f>IF(P$17=0,0,P$17/AGR_fec!P$17)</f>
        <v>0.26975372574027923</v>
      </c>
      <c r="Q50" s="265">
        <f>IF(Q$17=0,0,Q$17/AGR_fec!Q$17)</f>
        <v>0.26993319721147602</v>
      </c>
      <c r="R50" s="265">
        <f>IF(R$17=0,0,R$17/AGR_fec!R$17)</f>
        <v>0.2702606146247617</v>
      </c>
      <c r="S50" s="265">
        <f>IF(S$17=0,0,S$17/AGR_fec!S$17)</f>
        <v>0.27023479512951137</v>
      </c>
      <c r="T50" s="265">
        <f>IF(T$17=0,0,T$17/AGR_fec!T$17)</f>
        <v>0.26950289501572888</v>
      </c>
      <c r="U50" s="265">
        <f>IF(U$17=0,0,U$17/AGR_fec!U$17)</f>
        <v>0.26955140315978982</v>
      </c>
      <c r="V50" s="265">
        <f>IF(V$17=0,0,V$17/AGR_fec!V$17)</f>
        <v>0.27000473224873761</v>
      </c>
      <c r="W50" s="265">
        <f>IF(W$17=0,0,W$17/AGR_fec!W$17)</f>
        <v>0.2697965137594982</v>
      </c>
      <c r="DA50" s="291"/>
    </row>
    <row r="51" spans="1:105" x14ac:dyDescent="0.25">
      <c r="A51" s="128" t="s">
        <v>174</v>
      </c>
      <c r="B51" s="265">
        <f>IF(B$25=0,0,B$25/AGR_fec!B$25)</f>
        <v>0.23320941637512474</v>
      </c>
      <c r="C51" s="265">
        <f>IF(C$25=0,0,C$25/AGR_fec!C$25)</f>
        <v>0.2332094163751248</v>
      </c>
      <c r="D51" s="265">
        <f>IF(D$25=0,0,D$25/AGR_fec!D$25)</f>
        <v>0.23320941637512463</v>
      </c>
      <c r="E51" s="265">
        <f>IF(E$25=0,0,E$25/AGR_fec!E$25)</f>
        <v>0.23320941637512474</v>
      </c>
      <c r="F51" s="265">
        <f>IF(F$25=0,0,F$25/AGR_fec!F$25)</f>
        <v>0.23320941637512474</v>
      </c>
      <c r="G51" s="265">
        <f>IF(G$25=0,0,G$25/AGR_fec!G$25)</f>
        <v>0.23320941637512474</v>
      </c>
      <c r="H51" s="265">
        <f>IF(H$25=0,0,H$25/AGR_fec!H$25)</f>
        <v>0.23320941637512471</v>
      </c>
      <c r="I51" s="265">
        <f>IF(I$25=0,0,I$25/AGR_fec!I$25)</f>
        <v>0.2332094163751248</v>
      </c>
      <c r="J51" s="265">
        <f>IF(J$25=0,0,J$25/AGR_fec!J$25)</f>
        <v>0.23320941637512471</v>
      </c>
      <c r="K51" s="265">
        <f>IF(K$25=0,0,K$25/AGR_fec!K$25)</f>
        <v>0.2332094163751248</v>
      </c>
      <c r="L51" s="265">
        <f>IF(L$25=0,0,L$25/AGR_fec!L$25)</f>
        <v>0.23320941637512471</v>
      </c>
      <c r="M51" s="265">
        <f>IF(M$25=0,0,M$25/AGR_fec!M$25)</f>
        <v>0.23320941637512471</v>
      </c>
      <c r="N51" s="265">
        <f>IF(N$25=0,0,N$25/AGR_fec!N$25)</f>
        <v>0.23320941637512477</v>
      </c>
      <c r="O51" s="265">
        <f>IF(O$25=0,0,O$25/AGR_fec!O$25)</f>
        <v>0.23320941637512477</v>
      </c>
      <c r="P51" s="265">
        <f>IF(P$25=0,0,P$25/AGR_fec!P$25)</f>
        <v>0.2332094163751248</v>
      </c>
      <c r="Q51" s="265">
        <f>IF(Q$25=0,0,Q$25/AGR_fec!Q$25)</f>
        <v>0.2332094163751248</v>
      </c>
      <c r="R51" s="265">
        <f>IF(R$25=0,0,R$25/AGR_fec!R$25)</f>
        <v>0.2332094163751248</v>
      </c>
      <c r="S51" s="265">
        <f>IF(S$25=0,0,S$25/AGR_fec!S$25)</f>
        <v>0.23320941637512474</v>
      </c>
      <c r="T51" s="265">
        <f>IF(T$25=0,0,T$25/AGR_fec!T$25)</f>
        <v>0.23320941637512471</v>
      </c>
      <c r="U51" s="265">
        <f>IF(U$25=0,0,U$25/AGR_fec!U$25)</f>
        <v>0.23320941637512471</v>
      </c>
      <c r="V51" s="265">
        <f>IF(V$25=0,0,V$25/AGR_fec!V$25)</f>
        <v>0.23320941637512474</v>
      </c>
      <c r="W51" s="265">
        <f>IF(W$25=0,0,W$25/AGR_fec!W$25)</f>
        <v>0.23320941637512474</v>
      </c>
      <c r="DA51" s="291"/>
    </row>
    <row r="52" spans="1:105" x14ac:dyDescent="0.25">
      <c r="A52" s="128" t="s">
        <v>177</v>
      </c>
      <c r="B52" s="265">
        <f>IF(B$26=0,0,B$26/AGR_fec!B$26)</f>
        <v>0.46167756166791163</v>
      </c>
      <c r="C52" s="265">
        <f>IF(C$26=0,0,C$26/AGR_fec!C$26)</f>
        <v>0.46167756166791163</v>
      </c>
      <c r="D52" s="265">
        <f>IF(D$26=0,0,D$26/AGR_fec!D$26)</f>
        <v>0.46167756166791168</v>
      </c>
      <c r="E52" s="265">
        <f>IF(E$26=0,0,E$26/AGR_fec!E$26)</f>
        <v>0.46167756166791168</v>
      </c>
      <c r="F52" s="265">
        <f>IF(F$26=0,0,F$26/AGR_fec!F$26)</f>
        <v>0.46167756166791163</v>
      </c>
      <c r="G52" s="265">
        <f>IF(G$26=0,0,G$26/AGR_fec!G$26)</f>
        <v>0.46167756166791191</v>
      </c>
      <c r="H52" s="265">
        <f>IF(H$26=0,0,H$26/AGR_fec!H$26)</f>
        <v>0.46167756166791163</v>
      </c>
      <c r="I52" s="265">
        <f>IF(I$26=0,0,I$26/AGR_fec!I$26)</f>
        <v>0.46167756166791163</v>
      </c>
      <c r="J52" s="265">
        <f>IF(J$26=0,0,J$26/AGR_fec!J$26)</f>
        <v>0.46167756166791174</v>
      </c>
      <c r="K52" s="265">
        <f>IF(K$26=0,0,K$26/AGR_fec!K$26)</f>
        <v>0.4616775616679118</v>
      </c>
      <c r="L52" s="265">
        <f>IF(L$26=0,0,L$26/AGR_fec!L$26)</f>
        <v>0.4616775616679118</v>
      </c>
      <c r="M52" s="265">
        <f>IF(M$26=0,0,M$26/AGR_fec!M$26)</f>
        <v>0.46167756166791174</v>
      </c>
      <c r="N52" s="265">
        <f>IF(N$26=0,0,N$26/AGR_fec!N$26)</f>
        <v>0.46167756166791168</v>
      </c>
      <c r="O52" s="265">
        <f>IF(O$26=0,0,O$26/AGR_fec!O$26)</f>
        <v>0.46167756166791191</v>
      </c>
      <c r="P52" s="265">
        <f>IF(P$26=0,0,P$26/AGR_fec!P$26)</f>
        <v>0.46167756166791157</v>
      </c>
      <c r="Q52" s="265">
        <f>IF(Q$26=0,0,Q$26/AGR_fec!Q$26)</f>
        <v>0.4616775616679118</v>
      </c>
      <c r="R52" s="265">
        <f>IF(R$26=0,0,R$26/AGR_fec!R$26)</f>
        <v>0.46167756166791174</v>
      </c>
      <c r="S52" s="265">
        <f>IF(S$26=0,0,S$26/AGR_fec!S$26)</f>
        <v>0.46167756166791168</v>
      </c>
      <c r="T52" s="265">
        <f>IF(T$26=0,0,T$26/AGR_fec!T$26)</f>
        <v>0.46167756166791168</v>
      </c>
      <c r="U52" s="265">
        <f>IF(U$26=0,0,U$26/AGR_fec!U$26)</f>
        <v>0.46167756166791168</v>
      </c>
      <c r="V52" s="265">
        <f>IF(V$26=0,0,V$26/AGR_fec!V$26)</f>
        <v>0.46167756166791146</v>
      </c>
      <c r="W52" s="265">
        <f>IF(W$26=0,0,W$26/AGR_fec!W$26)</f>
        <v>0.4616775616679118</v>
      </c>
      <c r="DA52" s="291"/>
    </row>
    <row r="53" spans="1:105" x14ac:dyDescent="0.25">
      <c r="A53" s="261" t="s">
        <v>33</v>
      </c>
      <c r="B53" s="266">
        <f>IF(B$27=0,0,B$27/AGR_fec!B$27)</f>
        <v>0.48525965306052593</v>
      </c>
      <c r="C53" s="266">
        <f>IF(C$27=0,0,C$27/AGR_fec!C$27)</f>
        <v>0.48525965306052593</v>
      </c>
      <c r="D53" s="266">
        <f>IF(D$27=0,0,D$27/AGR_fec!D$27)</f>
        <v>0.48525965306052593</v>
      </c>
      <c r="E53" s="266">
        <f>IF(E$27=0,0,E$27/AGR_fec!E$27)</f>
        <v>0.48525965306052582</v>
      </c>
      <c r="F53" s="266">
        <f>IF(F$27=0,0,F$27/AGR_fec!F$27)</f>
        <v>0.48525965306052565</v>
      </c>
      <c r="G53" s="266">
        <f>IF(G$27=0,0,G$27/AGR_fec!G$27)</f>
        <v>0.48525965306052593</v>
      </c>
      <c r="H53" s="266">
        <f>IF(H$27=0,0,H$27/AGR_fec!H$27)</f>
        <v>0.48525965306052576</v>
      </c>
      <c r="I53" s="266">
        <f>IF(I$27=0,0,I$27/AGR_fec!I$27)</f>
        <v>0.4852596530605261</v>
      </c>
      <c r="J53" s="266">
        <f>IF(J$27=0,0,J$27/AGR_fec!J$27)</f>
        <v>0.48525965306052576</v>
      </c>
      <c r="K53" s="266">
        <f>IF(K$27=0,0,K$27/AGR_fec!K$27)</f>
        <v>0.48525965306052576</v>
      </c>
      <c r="L53" s="266">
        <f>IF(L$27=0,0,L$27/AGR_fec!L$27)</f>
        <v>0.48525965306052576</v>
      </c>
      <c r="M53" s="266">
        <f>IF(M$27=0,0,M$27/AGR_fec!M$27)</f>
        <v>0.48525965306052604</v>
      </c>
      <c r="N53" s="266">
        <f>IF(N$27=0,0,N$27/AGR_fec!N$27)</f>
        <v>0.48525965306052571</v>
      </c>
      <c r="O53" s="266">
        <f>IF(O$27=0,0,O$27/AGR_fec!O$27)</f>
        <v>0.48525965306052588</v>
      </c>
      <c r="P53" s="266">
        <f>IF(P$27=0,0,P$27/AGR_fec!P$27)</f>
        <v>0.48525965306052593</v>
      </c>
      <c r="Q53" s="266">
        <f>IF(Q$27=0,0,Q$27/AGR_fec!Q$27)</f>
        <v>0.48525965306052588</v>
      </c>
      <c r="R53" s="266">
        <f>IF(R$27=0,0,R$27/AGR_fec!R$27)</f>
        <v>0.48525965306052599</v>
      </c>
      <c r="S53" s="266">
        <f>IF(S$27=0,0,S$27/AGR_fec!S$27)</f>
        <v>0.48525965306052582</v>
      </c>
      <c r="T53" s="266">
        <f>IF(T$27=0,0,T$27/AGR_fec!T$27)</f>
        <v>0.48525965306052565</v>
      </c>
      <c r="U53" s="266">
        <f>IF(U$27=0,0,U$27/AGR_fec!U$27)</f>
        <v>0.48525965306052599</v>
      </c>
      <c r="V53" s="266">
        <f>IF(V$27=0,0,V$27/AGR_fec!V$27)</f>
        <v>0.48525965306052565</v>
      </c>
      <c r="W53" s="266">
        <f>IF(W$27=0,0,W$27/AGR_fec!W$27)</f>
        <v>0.48525965306052582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1960.2730396575737</v>
      </c>
      <c r="C5" s="80">
        <f t="shared" ref="C5:W5" si="0">SUM(C6:C9,C16:C17,C25:C27)</f>
        <v>2353.2162717211622</v>
      </c>
      <c r="D5" s="80">
        <f t="shared" si="0"/>
        <v>2282.6152861330047</v>
      </c>
      <c r="E5" s="80">
        <f t="shared" si="0"/>
        <v>1576.3087259282338</v>
      </c>
      <c r="F5" s="80">
        <f t="shared" si="0"/>
        <v>1516.0956286931048</v>
      </c>
      <c r="G5" s="80">
        <f t="shared" si="0"/>
        <v>2041.9544551309139</v>
      </c>
      <c r="H5" s="80">
        <f t="shared" si="0"/>
        <v>1125.7978629614968</v>
      </c>
      <c r="I5" s="80">
        <f t="shared" si="0"/>
        <v>1123.660272602543</v>
      </c>
      <c r="J5" s="80">
        <f t="shared" si="0"/>
        <v>903.47603904290452</v>
      </c>
      <c r="K5" s="80">
        <f t="shared" si="0"/>
        <v>855.4925955629742</v>
      </c>
      <c r="L5" s="80">
        <f t="shared" si="0"/>
        <v>1297.9942779581779</v>
      </c>
      <c r="M5" s="80">
        <f t="shared" si="0"/>
        <v>1054.2453843614478</v>
      </c>
      <c r="N5" s="80">
        <f t="shared" si="0"/>
        <v>989.45923536240912</v>
      </c>
      <c r="O5" s="80">
        <f t="shared" si="0"/>
        <v>1031.5270105212453</v>
      </c>
      <c r="P5" s="80">
        <f t="shared" si="0"/>
        <v>1080.3192145173196</v>
      </c>
      <c r="Q5" s="80">
        <f t="shared" si="0"/>
        <v>1114.5602897973617</v>
      </c>
      <c r="R5" s="80">
        <f t="shared" si="0"/>
        <v>1096.7381877577004</v>
      </c>
      <c r="S5" s="80">
        <f t="shared" si="0"/>
        <v>1127.844378722117</v>
      </c>
      <c r="T5" s="80">
        <f t="shared" si="0"/>
        <v>1128.5415432025634</v>
      </c>
      <c r="U5" s="80">
        <f t="shared" si="0"/>
        <v>1182.3905181616115</v>
      </c>
      <c r="V5" s="80">
        <f t="shared" si="0"/>
        <v>1254.3383631585045</v>
      </c>
      <c r="W5" s="80">
        <f t="shared" si="0"/>
        <v>1293.4646449224606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425.65236255406109</v>
      </c>
      <c r="C9" s="244">
        <f t="shared" ref="C9:W9" si="1">SUM(C10:C15)</f>
        <v>514.91213762852931</v>
      </c>
      <c r="D9" s="244">
        <f t="shared" si="1"/>
        <v>495.28239633663497</v>
      </c>
      <c r="E9" s="244">
        <f t="shared" si="1"/>
        <v>329.23624731269723</v>
      </c>
      <c r="F9" s="244">
        <f t="shared" si="1"/>
        <v>309.98614227478026</v>
      </c>
      <c r="G9" s="244">
        <f t="shared" si="1"/>
        <v>431.92717867380833</v>
      </c>
      <c r="H9" s="244">
        <f t="shared" si="1"/>
        <v>215.13293821298905</v>
      </c>
      <c r="I9" s="244">
        <f t="shared" si="1"/>
        <v>211.07745793979035</v>
      </c>
      <c r="J9" s="244">
        <f t="shared" si="1"/>
        <v>159.25885565260447</v>
      </c>
      <c r="K9" s="244">
        <f t="shared" si="1"/>
        <v>146.25838463544073</v>
      </c>
      <c r="L9" s="244">
        <f t="shared" si="1"/>
        <v>250.91638997883385</v>
      </c>
      <c r="M9" s="244">
        <f t="shared" si="1"/>
        <v>194.26561183878283</v>
      </c>
      <c r="N9" s="244">
        <f t="shared" si="1"/>
        <v>183.24851486336345</v>
      </c>
      <c r="O9" s="244">
        <f t="shared" si="1"/>
        <v>196.85161941598767</v>
      </c>
      <c r="P9" s="244">
        <f t="shared" si="1"/>
        <v>215.76384153630858</v>
      </c>
      <c r="Q9" s="244">
        <f t="shared" si="1"/>
        <v>221.84851087531646</v>
      </c>
      <c r="R9" s="244">
        <f t="shared" si="1"/>
        <v>215.69866196901089</v>
      </c>
      <c r="S9" s="244">
        <f t="shared" si="1"/>
        <v>213.51858673790372</v>
      </c>
      <c r="T9" s="244">
        <f t="shared" si="1"/>
        <v>211.535975125188</v>
      </c>
      <c r="U9" s="244">
        <f t="shared" si="1"/>
        <v>230.14542433043766</v>
      </c>
      <c r="V9" s="244">
        <f t="shared" si="1"/>
        <v>246.68440620461868</v>
      </c>
      <c r="W9" s="244">
        <f t="shared" si="1"/>
        <v>246.05320335702621</v>
      </c>
      <c r="DA9" s="270"/>
    </row>
    <row r="10" spans="1:105" x14ac:dyDescent="0.25">
      <c r="A10" s="254" t="s">
        <v>173</v>
      </c>
      <c r="B10" s="255">
        <v>425.54571241262192</v>
      </c>
      <c r="C10" s="255">
        <v>513.27241909325051</v>
      </c>
      <c r="D10" s="255">
        <v>492.73024370354477</v>
      </c>
      <c r="E10" s="255">
        <v>326.46901769871721</v>
      </c>
      <c r="F10" s="255">
        <v>307.34186825819188</v>
      </c>
      <c r="G10" s="255">
        <v>428.79458600781447</v>
      </c>
      <c r="H10" s="255">
        <v>211.9190647107427</v>
      </c>
      <c r="I10" s="255">
        <v>207.3327224387032</v>
      </c>
      <c r="J10" s="255">
        <v>154.86226757851759</v>
      </c>
      <c r="K10" s="255">
        <v>142.43831014409551</v>
      </c>
      <c r="L10" s="255">
        <v>247.77776947419991</v>
      </c>
      <c r="M10" s="255">
        <v>190.16386631956911</v>
      </c>
      <c r="N10" s="255">
        <v>179.04439820041731</v>
      </c>
      <c r="O10" s="255">
        <v>191.35935174935591</v>
      </c>
      <c r="P10" s="255">
        <v>212.00057308840621</v>
      </c>
      <c r="Q10" s="255">
        <v>217.13447026004479</v>
      </c>
      <c r="R10" s="255">
        <v>211.87969353745041</v>
      </c>
      <c r="S10" s="255">
        <v>209.17174519667421</v>
      </c>
      <c r="T10" s="255">
        <v>208.64269478641751</v>
      </c>
      <c r="U10" s="255">
        <v>225.1741574450308</v>
      </c>
      <c r="V10" s="255">
        <v>241.2847593471333</v>
      </c>
      <c r="W10" s="255">
        <v>239.8577015048638</v>
      </c>
      <c r="DA10" s="271" t="s">
        <v>1038</v>
      </c>
    </row>
    <row r="11" spans="1:105" x14ac:dyDescent="0.25">
      <c r="A11" s="254" t="s">
        <v>176</v>
      </c>
      <c r="B11" s="256">
        <v>0.1066501414391796</v>
      </c>
      <c r="C11" s="256">
        <v>1.6397185352788159</v>
      </c>
      <c r="D11" s="256">
        <v>2.5521526330902251</v>
      </c>
      <c r="E11" s="256">
        <v>2.7672296139800441</v>
      </c>
      <c r="F11" s="256">
        <v>2.6442740165883731</v>
      </c>
      <c r="G11" s="256">
        <v>3.132592665993879</v>
      </c>
      <c r="H11" s="256">
        <v>3.213873502246352</v>
      </c>
      <c r="I11" s="256">
        <v>3.744735501087141</v>
      </c>
      <c r="J11" s="256">
        <v>4.3965880740868659</v>
      </c>
      <c r="K11" s="256">
        <v>3.8200744913452191</v>
      </c>
      <c r="L11" s="256">
        <v>3.1386205046339311</v>
      </c>
      <c r="M11" s="256">
        <v>4.1017455192137113</v>
      </c>
      <c r="N11" s="256">
        <v>4.2041166629461513</v>
      </c>
      <c r="O11" s="256">
        <v>5.4922676666317658</v>
      </c>
      <c r="P11" s="256">
        <v>3.7632684479023628</v>
      </c>
      <c r="Q11" s="256">
        <v>4.7140406152716663</v>
      </c>
      <c r="R11" s="256">
        <v>3.8189684315604748</v>
      </c>
      <c r="S11" s="256">
        <v>4.3468415412295034</v>
      </c>
      <c r="T11" s="256">
        <v>2.8932803387705039</v>
      </c>
      <c r="U11" s="256">
        <v>4.9712668854068598</v>
      </c>
      <c r="V11" s="256">
        <v>5.3996468574853926</v>
      </c>
      <c r="W11" s="256">
        <v>6.1955018521624208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605.08748514259355</v>
      </c>
      <c r="C16" s="258">
        <v>725.32315699495291</v>
      </c>
      <c r="D16" s="258">
        <v>704.32826174431477</v>
      </c>
      <c r="E16" s="258">
        <v>491.00666782286561</v>
      </c>
      <c r="F16" s="258">
        <v>474.58158231671268</v>
      </c>
      <c r="G16" s="258">
        <v>632.79358786270814</v>
      </c>
      <c r="H16" s="258">
        <v>356.26299290604538</v>
      </c>
      <c r="I16" s="258">
        <v>359.40444477864241</v>
      </c>
      <c r="J16" s="258">
        <v>291.78035837342583</v>
      </c>
      <c r="K16" s="258">
        <v>277.20374237345783</v>
      </c>
      <c r="L16" s="258">
        <v>405.3840671776104</v>
      </c>
      <c r="M16" s="258">
        <v>332.1572972726978</v>
      </c>
      <c r="N16" s="258">
        <v>319.43092053105721</v>
      </c>
      <c r="O16" s="258">
        <v>330.06650773977179</v>
      </c>
      <c r="P16" s="258">
        <v>341.93316715600298</v>
      </c>
      <c r="Q16" s="258">
        <v>352.20188691191407</v>
      </c>
      <c r="R16" s="258">
        <v>347.55025383772329</v>
      </c>
      <c r="S16" s="258">
        <v>360.43836134060712</v>
      </c>
      <c r="T16" s="258">
        <v>364.0639349899273</v>
      </c>
      <c r="U16" s="258">
        <v>378.48668397375548</v>
      </c>
      <c r="V16" s="258">
        <v>402.14393143781939</v>
      </c>
      <c r="W16" s="258">
        <v>416.88068282490991</v>
      </c>
      <c r="DA16" s="273" t="s">
        <v>1044</v>
      </c>
    </row>
    <row r="17" spans="1:105" x14ac:dyDescent="0.25">
      <c r="A17" s="257" t="s">
        <v>121</v>
      </c>
      <c r="B17" s="258">
        <f>SUM(B18:B24)</f>
        <v>813.26058905794173</v>
      </c>
      <c r="C17" s="258">
        <f t="shared" ref="C17:W17" si="2">SUM(C18:C24)</f>
        <v>973.60408783722255</v>
      </c>
      <c r="D17" s="258">
        <f t="shared" si="2"/>
        <v>947.66208287969539</v>
      </c>
      <c r="E17" s="258">
        <f t="shared" si="2"/>
        <v>661.71478765586232</v>
      </c>
      <c r="F17" s="258">
        <f t="shared" si="2"/>
        <v>640.33309802695965</v>
      </c>
      <c r="G17" s="258">
        <f t="shared" si="2"/>
        <v>855.63712715870315</v>
      </c>
      <c r="H17" s="258">
        <f t="shared" si="2"/>
        <v>485.94302875768079</v>
      </c>
      <c r="I17" s="258">
        <f t="shared" si="2"/>
        <v>484.11581064201272</v>
      </c>
      <c r="J17" s="258">
        <f t="shared" si="2"/>
        <v>396.36879753809268</v>
      </c>
      <c r="K17" s="258">
        <f t="shared" si="2"/>
        <v>378.76345931720005</v>
      </c>
      <c r="L17" s="258">
        <f t="shared" si="2"/>
        <v>563.7958939341363</v>
      </c>
      <c r="M17" s="258">
        <f t="shared" si="2"/>
        <v>463.99568247137688</v>
      </c>
      <c r="N17" s="258">
        <f t="shared" si="2"/>
        <v>425.39848653843114</v>
      </c>
      <c r="O17" s="258">
        <f t="shared" si="2"/>
        <v>441.18385321971266</v>
      </c>
      <c r="P17" s="258">
        <f t="shared" si="2"/>
        <v>456.91689817892734</v>
      </c>
      <c r="Q17" s="258">
        <f t="shared" si="2"/>
        <v>472.83136428626364</v>
      </c>
      <c r="R17" s="258">
        <f t="shared" si="2"/>
        <v>466.70459428773626</v>
      </c>
      <c r="S17" s="258">
        <f t="shared" si="2"/>
        <v>484.62619571775065</v>
      </c>
      <c r="T17" s="258">
        <f t="shared" si="2"/>
        <v>482.983713970341</v>
      </c>
      <c r="U17" s="258">
        <f t="shared" si="2"/>
        <v>501.02903932784204</v>
      </c>
      <c r="V17" s="258">
        <f t="shared" si="2"/>
        <v>528.23471773327071</v>
      </c>
      <c r="W17" s="258">
        <f t="shared" si="2"/>
        <v>550.42366136666271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29.84632523995927</v>
      </c>
      <c r="C19" s="55">
        <v>29.846325239972341</v>
      </c>
      <c r="D19" s="55">
        <v>41.784719039947092</v>
      </c>
      <c r="E19" s="55">
        <v>35.815635719953747</v>
      </c>
      <c r="F19" s="55">
        <v>38.808241559906428</v>
      </c>
      <c r="G19" s="55">
        <v>32.837795279960687</v>
      </c>
      <c r="H19" s="55">
        <v>29.85268572005057</v>
      </c>
      <c r="I19" s="55">
        <v>14.513025240042101</v>
      </c>
      <c r="J19" s="55">
        <v>23.220749520099101</v>
      </c>
      <c r="K19" s="55">
        <v>17.415675720081229</v>
      </c>
      <c r="L19" s="55">
        <v>20.318099039964089</v>
      </c>
      <c r="M19" s="55">
        <v>17.415675720031299</v>
      </c>
      <c r="N19" s="55">
        <v>17.41567572005566</v>
      </c>
      <c r="O19" s="55">
        <v>14.51302524002249</v>
      </c>
      <c r="P19" s="55">
        <v>11.61037475996444</v>
      </c>
      <c r="Q19" s="55">
        <v>14.513025239957519</v>
      </c>
      <c r="R19" s="55">
        <v>11.610374759969661</v>
      </c>
      <c r="S19" s="55">
        <v>10.873240560026201</v>
      </c>
      <c r="T19" s="55">
        <v>12.98332980003852</v>
      </c>
      <c r="U19" s="55">
        <v>12.14147484002104</v>
      </c>
      <c r="V19" s="55">
        <v>11.51451323998273</v>
      </c>
      <c r="W19" s="55">
        <v>12.063104640029639</v>
      </c>
      <c r="DA19" s="101" t="s">
        <v>1046</v>
      </c>
    </row>
    <row r="20" spans="1:105" x14ac:dyDescent="0.25">
      <c r="A20" s="61" t="s">
        <v>173</v>
      </c>
      <c r="B20" s="55">
        <v>783.21797395942201</v>
      </c>
      <c r="C20" s="55">
        <v>940.75240113253301</v>
      </c>
      <c r="D20" s="55">
        <v>901.20944647284671</v>
      </c>
      <c r="E20" s="55">
        <v>620.63847154989674</v>
      </c>
      <c r="F20" s="55">
        <v>596.39367048365557</v>
      </c>
      <c r="G20" s="55">
        <v>801.39129838476379</v>
      </c>
      <c r="H20" s="55">
        <v>433.95575037983951</v>
      </c>
      <c r="I20" s="55">
        <v>455.18945282301758</v>
      </c>
      <c r="J20" s="55">
        <v>353.76687549200432</v>
      </c>
      <c r="K20" s="55">
        <v>333.86200932834339</v>
      </c>
      <c r="L20" s="55">
        <v>481.64613503891542</v>
      </c>
      <c r="M20" s="55">
        <v>385.67339543045119</v>
      </c>
      <c r="N20" s="55">
        <v>386.474467841256</v>
      </c>
      <c r="O20" s="55">
        <v>399.71572144628118</v>
      </c>
      <c r="P20" s="55">
        <v>422.28096318693667</v>
      </c>
      <c r="Q20" s="55">
        <v>430.39564474166048</v>
      </c>
      <c r="R20" s="55">
        <v>434.82327495938023</v>
      </c>
      <c r="S20" s="55">
        <v>449.27871113889643</v>
      </c>
      <c r="T20" s="55">
        <v>449.60241078901419</v>
      </c>
      <c r="U20" s="55">
        <v>463.23465053318392</v>
      </c>
      <c r="V20" s="55">
        <v>502.14704955079509</v>
      </c>
      <c r="W20" s="55">
        <v>512.58873393873444</v>
      </c>
      <c r="DA20" s="101" t="s">
        <v>1047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15.55340615998138</v>
      </c>
      <c r="H21" s="55">
        <v>15.55340616002634</v>
      </c>
      <c r="I21" s="55">
        <v>6.1919380800179589</v>
      </c>
      <c r="J21" s="55">
        <v>9.3376206000398518</v>
      </c>
      <c r="K21" s="55">
        <v>18.531878760086439</v>
      </c>
      <c r="L21" s="55">
        <v>55.730610359901533</v>
      </c>
      <c r="M21" s="55">
        <v>52.587816840094519</v>
      </c>
      <c r="N21" s="55">
        <v>12.43358964003974</v>
      </c>
      <c r="O21" s="55">
        <v>15.482734200023989</v>
      </c>
      <c r="P21" s="55">
        <v>15.52955867995245</v>
      </c>
      <c r="Q21" s="55">
        <v>18.578703239945611</v>
      </c>
      <c r="R21" s="55">
        <v>12.43358963996752</v>
      </c>
      <c r="S21" s="55">
        <v>15.13768968003648</v>
      </c>
      <c r="T21" s="55">
        <v>14.163267600042021</v>
      </c>
      <c r="U21" s="55">
        <v>15.42588300002674</v>
      </c>
      <c r="V21" s="55">
        <v>3.3357409199949948</v>
      </c>
      <c r="W21" s="55">
        <v>12.531704040030791</v>
      </c>
      <c r="DA21" s="101" t="s">
        <v>1048</v>
      </c>
    </row>
    <row r="22" spans="1:105" x14ac:dyDescent="0.25">
      <c r="A22" s="61" t="s">
        <v>176</v>
      </c>
      <c r="B22" s="55">
        <v>0.1962898585604512</v>
      </c>
      <c r="C22" s="55">
        <v>3.0053614647172662</v>
      </c>
      <c r="D22" s="55">
        <v>4.6679173669016487</v>
      </c>
      <c r="E22" s="55">
        <v>5.2606803860118143</v>
      </c>
      <c r="F22" s="55">
        <v>5.1311859833977049</v>
      </c>
      <c r="G22" s="55">
        <v>5.8546273339973371</v>
      </c>
      <c r="H22" s="55">
        <v>6.5811864977643912</v>
      </c>
      <c r="I22" s="55">
        <v>8.2213944989350676</v>
      </c>
      <c r="J22" s="55">
        <v>10.043551925949449</v>
      </c>
      <c r="K22" s="55">
        <v>8.9538955086889782</v>
      </c>
      <c r="L22" s="55">
        <v>6.1010494953552783</v>
      </c>
      <c r="M22" s="55">
        <v>8.3187944807998413</v>
      </c>
      <c r="N22" s="55">
        <v>9.074753337079736</v>
      </c>
      <c r="O22" s="55">
        <v>11.472372333385</v>
      </c>
      <c r="P22" s="55">
        <v>7.4960015520737562</v>
      </c>
      <c r="Q22" s="55">
        <v>9.3439910646999866</v>
      </c>
      <c r="R22" s="55">
        <v>7.8373549284188533</v>
      </c>
      <c r="S22" s="55">
        <v>9.3365543387915295</v>
      </c>
      <c r="T22" s="55">
        <v>6.2347057812462507</v>
      </c>
      <c r="U22" s="55">
        <v>10.22703095461036</v>
      </c>
      <c r="V22" s="55">
        <v>11.23741402249793</v>
      </c>
      <c r="W22" s="55">
        <v>13.240118747867781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116.2726029029774</v>
      </c>
      <c r="C25" s="258">
        <v>139.37688926045769</v>
      </c>
      <c r="D25" s="258">
        <v>135.34254517235979</v>
      </c>
      <c r="E25" s="258">
        <v>94.351023136808635</v>
      </c>
      <c r="F25" s="258">
        <v>91.194806074652249</v>
      </c>
      <c r="G25" s="258">
        <v>121.5965614356941</v>
      </c>
      <c r="H25" s="258">
        <v>68.458903084781369</v>
      </c>
      <c r="I25" s="258">
        <v>69.062559242097521</v>
      </c>
      <c r="J25" s="258">
        <v>56.068027478781602</v>
      </c>
      <c r="K25" s="258">
        <v>53.267009236875552</v>
      </c>
      <c r="L25" s="258">
        <v>77.897926867597448</v>
      </c>
      <c r="M25" s="258">
        <v>63.826792778590267</v>
      </c>
      <c r="N25" s="258">
        <v>61.381313429557338</v>
      </c>
      <c r="O25" s="258">
        <v>63.425030145773057</v>
      </c>
      <c r="P25" s="258">
        <v>65.705307646080612</v>
      </c>
      <c r="Q25" s="258">
        <v>67.678527723867617</v>
      </c>
      <c r="R25" s="258">
        <v>66.784677663230056</v>
      </c>
      <c r="S25" s="258">
        <v>69.261234925855504</v>
      </c>
      <c r="T25" s="258">
        <v>69.95791911710694</v>
      </c>
      <c r="U25" s="258">
        <v>72.729370529576315</v>
      </c>
      <c r="V25" s="258">
        <v>77.275307782795736</v>
      </c>
      <c r="W25" s="258">
        <v>80.107097373861691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1.0000000000000002</v>
      </c>
      <c r="D31" s="236">
        <f t="shared" si="3"/>
        <v>1</v>
      </c>
      <c r="E31" s="236">
        <f t="shared" si="3"/>
        <v>0.99999999999999989</v>
      </c>
      <c r="F31" s="236">
        <f t="shared" si="3"/>
        <v>1</v>
      </c>
      <c r="G31" s="236">
        <f t="shared" si="3"/>
        <v>1</v>
      </c>
      <c r="H31" s="236">
        <f t="shared" si="3"/>
        <v>0.99999999999999989</v>
      </c>
      <c r="I31" s="236">
        <f t="shared" si="3"/>
        <v>0.99999999999999989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0.99999999999999989</v>
      </c>
      <c r="P31" s="236">
        <f t="shared" si="3"/>
        <v>1</v>
      </c>
      <c r="Q31" s="236">
        <f t="shared" si="3"/>
        <v>0.99999999999999989</v>
      </c>
      <c r="R31" s="236">
        <f t="shared" ref="R31:W31" si="4">SUM(R32:R40)</f>
        <v>1</v>
      </c>
      <c r="S31" s="236">
        <f t="shared" si="4"/>
        <v>1.0000000000000002</v>
      </c>
      <c r="T31" s="236">
        <f t="shared" si="4"/>
        <v>0.99999999999999989</v>
      </c>
      <c r="U31" s="236">
        <f t="shared" si="4"/>
        <v>1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0.21713932393235144</v>
      </c>
      <c r="C35" s="247">
        <f t="shared" si="8"/>
        <v>0.21881207597290589</v>
      </c>
      <c r="D35" s="247">
        <f t="shared" si="8"/>
        <v>0.21698023286950668</v>
      </c>
      <c r="E35" s="247">
        <f t="shared" si="8"/>
        <v>0.20886533322894688</v>
      </c>
      <c r="F35" s="247">
        <f t="shared" si="8"/>
        <v>0.20446344967170216</v>
      </c>
      <c r="G35" s="247">
        <f t="shared" si="8"/>
        <v>0.2115263528961113</v>
      </c>
      <c r="H35" s="247">
        <f t="shared" si="8"/>
        <v>0.19109375252060393</v>
      </c>
      <c r="I35" s="247">
        <f t="shared" si="8"/>
        <v>0.18784810950992115</v>
      </c>
      <c r="J35" s="247">
        <f t="shared" si="8"/>
        <v>0.17627346910197531</v>
      </c>
      <c r="K35" s="247">
        <f t="shared" si="8"/>
        <v>0.1709639398330414</v>
      </c>
      <c r="L35" s="247">
        <f t="shared" si="8"/>
        <v>0.19331085987030716</v>
      </c>
      <c r="M35" s="247">
        <f t="shared" si="8"/>
        <v>0.1842698243886064</v>
      </c>
      <c r="N35" s="247">
        <f t="shared" si="8"/>
        <v>0.18520067155292663</v>
      </c>
      <c r="O35" s="247">
        <f t="shared" si="8"/>
        <v>0.19083515740078949</v>
      </c>
      <c r="P35" s="247">
        <f t="shared" si="8"/>
        <v>0.19972230303495123</v>
      </c>
      <c r="Q35" s="247">
        <f t="shared" si="8"/>
        <v>0.19904576980366917</v>
      </c>
      <c r="R35" s="247">
        <f t="shared" si="8"/>
        <v>0.19667288362595489</v>
      </c>
      <c r="S35" s="247">
        <f t="shared" si="8"/>
        <v>0.18931564563883094</v>
      </c>
      <c r="T35" s="247">
        <f t="shared" si="8"/>
        <v>0.18744190357839502</v>
      </c>
      <c r="U35" s="247">
        <f t="shared" si="8"/>
        <v>0.19464417279687701</v>
      </c>
      <c r="V35" s="247">
        <f t="shared" si="8"/>
        <v>0.19666496174401579</v>
      </c>
      <c r="W35" s="247">
        <f t="shared" si="8"/>
        <v>0.1902280084136172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0.30867510438662771</v>
      </c>
      <c r="C36" s="260">
        <f t="shared" si="9"/>
        <v>0.30822630529596223</v>
      </c>
      <c r="D36" s="260">
        <f t="shared" si="9"/>
        <v>0.30856196662799118</v>
      </c>
      <c r="E36" s="260">
        <f t="shared" si="9"/>
        <v>0.31149143549511771</v>
      </c>
      <c r="F36" s="260">
        <f t="shared" si="9"/>
        <v>0.31302879141324913</v>
      </c>
      <c r="G36" s="260">
        <f t="shared" si="9"/>
        <v>0.30989603429824708</v>
      </c>
      <c r="H36" s="260">
        <f t="shared" si="9"/>
        <v>0.31645378324743711</v>
      </c>
      <c r="I36" s="260">
        <f t="shared" si="9"/>
        <v>0.3198515187746338</v>
      </c>
      <c r="J36" s="260">
        <f t="shared" si="9"/>
        <v>0.32295306766798459</v>
      </c>
      <c r="K36" s="260">
        <f t="shared" si="9"/>
        <v>0.32402821931034753</v>
      </c>
      <c r="L36" s="260">
        <f t="shared" si="9"/>
        <v>0.31231575829078662</v>
      </c>
      <c r="M36" s="260">
        <f t="shared" si="9"/>
        <v>0.31506639934106434</v>
      </c>
      <c r="N36" s="260">
        <f t="shared" si="9"/>
        <v>0.32283383601352639</v>
      </c>
      <c r="O36" s="260">
        <f t="shared" si="9"/>
        <v>0.3199785409138094</v>
      </c>
      <c r="P36" s="260">
        <f t="shared" si="9"/>
        <v>0.31651123349571891</v>
      </c>
      <c r="Q36" s="260">
        <f t="shared" si="9"/>
        <v>0.31600074947578466</v>
      </c>
      <c r="R36" s="260">
        <f t="shared" si="9"/>
        <v>0.31689445823738077</v>
      </c>
      <c r="S36" s="260">
        <f t="shared" si="9"/>
        <v>0.31958164454301319</v>
      </c>
      <c r="T36" s="260">
        <f t="shared" si="9"/>
        <v>0.32259683941876915</v>
      </c>
      <c r="U36" s="260">
        <f t="shared" si="9"/>
        <v>0.32010294243751974</v>
      </c>
      <c r="V36" s="260">
        <f t="shared" si="9"/>
        <v>0.32060243332205446</v>
      </c>
      <c r="W36" s="260">
        <f t="shared" si="9"/>
        <v>0.32229770211454112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0.41487107795963185</v>
      </c>
      <c r="C37" s="260">
        <f t="shared" si="10"/>
        <v>0.41373336549518258</v>
      </c>
      <c r="D37" s="260">
        <f t="shared" si="10"/>
        <v>0.41516504714429414</v>
      </c>
      <c r="E37" s="260">
        <f t="shared" si="10"/>
        <v>0.41978755606152046</v>
      </c>
      <c r="F37" s="260">
        <f t="shared" si="10"/>
        <v>0.42235666794906307</v>
      </c>
      <c r="G37" s="260">
        <f t="shared" si="10"/>
        <v>0.41902850722684043</v>
      </c>
      <c r="H37" s="260">
        <f t="shared" si="10"/>
        <v>0.43164323254209308</v>
      </c>
      <c r="I37" s="260">
        <f t="shared" si="10"/>
        <v>0.43083823682823424</v>
      </c>
      <c r="J37" s="260">
        <f t="shared" si="10"/>
        <v>0.43871533987551586</v>
      </c>
      <c r="K37" s="260">
        <f t="shared" si="10"/>
        <v>0.44274311815398831</v>
      </c>
      <c r="L37" s="260">
        <f t="shared" si="10"/>
        <v>0.43435930612962387</v>
      </c>
      <c r="M37" s="260">
        <f t="shared" si="10"/>
        <v>0.44012114196014923</v>
      </c>
      <c r="N37" s="260">
        <f t="shared" si="10"/>
        <v>0.42993028043507064</v>
      </c>
      <c r="O37" s="260">
        <f t="shared" si="10"/>
        <v>0.42769975843558006</v>
      </c>
      <c r="P37" s="260">
        <f t="shared" si="10"/>
        <v>0.42294619223548219</v>
      </c>
      <c r="Q37" s="260">
        <f t="shared" si="10"/>
        <v>0.42423130324536246</v>
      </c>
      <c r="R37" s="260">
        <f t="shared" si="10"/>
        <v>0.42553874707501671</v>
      </c>
      <c r="S37" s="260">
        <f t="shared" si="10"/>
        <v>0.42969243351360881</v>
      </c>
      <c r="T37" s="260">
        <f t="shared" si="10"/>
        <v>0.42797158587510642</v>
      </c>
      <c r="U37" s="260">
        <f t="shared" si="10"/>
        <v>0.42374243672627321</v>
      </c>
      <c r="V37" s="260">
        <f t="shared" si="10"/>
        <v>0.42112617555851661</v>
      </c>
      <c r="W37" s="260">
        <f t="shared" si="10"/>
        <v>0.42554210007004789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5.9314493721389056E-2</v>
      </c>
      <c r="C38" s="260">
        <f t="shared" si="11"/>
        <v>5.9228253235949394E-2</v>
      </c>
      <c r="D38" s="260">
        <f t="shared" si="11"/>
        <v>5.9292753358208071E-2</v>
      </c>
      <c r="E38" s="260">
        <f t="shared" si="11"/>
        <v>5.9855675214414976E-2</v>
      </c>
      <c r="F38" s="260">
        <f t="shared" si="11"/>
        <v>6.0151090965985712E-2</v>
      </c>
      <c r="G38" s="260">
        <f t="shared" si="11"/>
        <v>5.9549105578801116E-2</v>
      </c>
      <c r="H38" s="260">
        <f t="shared" si="11"/>
        <v>6.0809231689865732E-2</v>
      </c>
      <c r="I38" s="260">
        <f t="shared" si="11"/>
        <v>6.1462134887210765E-2</v>
      </c>
      <c r="J38" s="260">
        <f t="shared" si="11"/>
        <v>6.2058123354524319E-2</v>
      </c>
      <c r="K38" s="260">
        <f t="shared" si="11"/>
        <v>6.2264722702622712E-2</v>
      </c>
      <c r="L38" s="260">
        <f t="shared" si="11"/>
        <v>6.0014075709282411E-2</v>
      </c>
      <c r="M38" s="260">
        <f t="shared" si="11"/>
        <v>6.0542634310179977E-2</v>
      </c>
      <c r="N38" s="260">
        <f t="shared" si="11"/>
        <v>6.2035211998476329E-2</v>
      </c>
      <c r="O38" s="260">
        <f t="shared" si="11"/>
        <v>6.1486543249820946E-2</v>
      </c>
      <c r="P38" s="260">
        <f t="shared" si="11"/>
        <v>6.0820271233847645E-2</v>
      </c>
      <c r="Q38" s="260">
        <f t="shared" si="11"/>
        <v>6.0722177475183735E-2</v>
      </c>
      <c r="R38" s="260">
        <f t="shared" si="11"/>
        <v>6.0893911061647675E-2</v>
      </c>
      <c r="S38" s="260">
        <f t="shared" si="11"/>
        <v>6.1410276304547137E-2</v>
      </c>
      <c r="T38" s="260">
        <f t="shared" si="11"/>
        <v>6.1989671127729233E-2</v>
      </c>
      <c r="U38" s="260">
        <f t="shared" si="11"/>
        <v>6.1510448039330035E-2</v>
      </c>
      <c r="V38" s="260">
        <f t="shared" si="11"/>
        <v>6.1606429375413142E-2</v>
      </c>
      <c r="W38" s="260">
        <f t="shared" si="11"/>
        <v>6.1932189401793722E-2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2.8131222760779799</v>
      </c>
      <c r="C44" s="238">
        <f>IF(C$5=0,0,C$5/AGR_fec!C$5)</f>
        <v>2.8374708014629859</v>
      </c>
      <c r="D44" s="238">
        <f>IF(D$5=0,0,D$5/AGR_fec!D$5)</f>
        <v>2.8064407670362219</v>
      </c>
      <c r="E44" s="238">
        <f>IF(E$5=0,0,E$5/AGR_fec!E$5)</f>
        <v>2.6815858253009792</v>
      </c>
      <c r="F44" s="238">
        <f>IF(F$5=0,0,F$5/AGR_fec!F$5)</f>
        <v>2.6300678313570205</v>
      </c>
      <c r="G44" s="238">
        <f>IF(G$5=0,0,G$5/AGR_fec!G$5)</f>
        <v>2.723875901322129</v>
      </c>
      <c r="H44" s="238">
        <f>IF(H$5=0,0,H$5/AGR_fec!H$5)</f>
        <v>2.5080230788643854</v>
      </c>
      <c r="I44" s="238">
        <f>IF(I$5=0,0,I$5/AGR_fec!I$5)</f>
        <v>2.4475916257727208</v>
      </c>
      <c r="J44" s="238">
        <f>IF(J$5=0,0,J$5/AGR_fec!J$5)</f>
        <v>2.3560789132360394</v>
      </c>
      <c r="K44" s="238">
        <f>IF(K$5=0,0,K$5/AGR_fec!K$5)</f>
        <v>2.30522449455027</v>
      </c>
      <c r="L44" s="238">
        <f>IF(L$5=0,0,L$5/AGR_fec!L$5)</f>
        <v>2.5347389751167766</v>
      </c>
      <c r="M44" s="238">
        <f>IF(M$5=0,0,M$5/AGR_fec!M$5)</f>
        <v>2.4620574626799261</v>
      </c>
      <c r="N44" s="238">
        <f>IF(N$5=0,0,N$5/AGR_fec!N$5)</f>
        <v>2.3831370355854493</v>
      </c>
      <c r="O44" s="238">
        <f>IF(O$5=0,0,O$5/AGR_fec!O$5)</f>
        <v>2.4443693314035269</v>
      </c>
      <c r="P44" s="238">
        <f>IF(P$5=0,0,P$5/AGR_fec!P$5)</f>
        <v>2.5263455152412702</v>
      </c>
      <c r="Q44" s="238">
        <f>IF(Q$5=0,0,Q$5/AGR_fec!Q$5)</f>
        <v>2.525821907544946</v>
      </c>
      <c r="R44" s="238">
        <f>IF(R$5=0,0,R$5/AGR_fec!R$5)</f>
        <v>2.5165876160888865</v>
      </c>
      <c r="S44" s="238">
        <f>IF(S$5=0,0,S$5/AGR_fec!S$5)</f>
        <v>2.4531438453641345</v>
      </c>
      <c r="T44" s="238">
        <f>IF(T$5=0,0,T$5/AGR_fec!T$5)</f>
        <v>2.4209012928772822</v>
      </c>
      <c r="U44" s="238">
        <f>IF(U$5=0,0,U$5/AGR_fec!U$5)</f>
        <v>2.4769228114597008</v>
      </c>
      <c r="V44" s="238">
        <f>IF(V$5=0,0,V$5/AGR_fec!V$5)</f>
        <v>2.4861351971451637</v>
      </c>
      <c r="W44" s="238">
        <f>IF(W$5=0,0,W$5/AGR_fec!W$5)</f>
        <v>2.430846378694806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2.9817010217371704</v>
      </c>
      <c r="C48" s="253">
        <f>IF(C$9=0,0,C$9/AGR_fec!C$9)</f>
        <v>3.0074440259933164</v>
      </c>
      <c r="D48" s="253">
        <f>IF(D$9=0,0,D$9/AGR_fec!D$9)</f>
        <v>2.9806289387829534</v>
      </c>
      <c r="E48" s="253">
        <f>IF(E$9=0,0,E$9/AGR_fec!E$9)</f>
        <v>2.8350162401359418</v>
      </c>
      <c r="F48" s="253">
        <f>IF(F$9=0,0,F$9/AGR_fec!F$9)</f>
        <v>2.7439312930178033</v>
      </c>
      <c r="G48" s="253">
        <f>IF(G$9=0,0,G$9/AGR_fec!G$9)</f>
        <v>2.896568660683422</v>
      </c>
      <c r="H48" s="253">
        <f>IF(H$9=0,0,H$9/AGR_fec!H$9)</f>
        <v>2.4639453610891167</v>
      </c>
      <c r="I48" s="253">
        <f>IF(I$9=0,0,I$9/AGR_fec!I$9)</f>
        <v>2.3447045256754775</v>
      </c>
      <c r="J48" s="253">
        <f>IF(J$9=0,0,J$9/AGR_fec!J$9)</f>
        <v>2.1064427308347695</v>
      </c>
      <c r="K48" s="253">
        <f>IF(K$9=0,0,K$9/AGR_fec!K$9)</f>
        <v>1.9898582494884205</v>
      </c>
      <c r="L48" s="253">
        <f>IF(L$9=0,0,L$9/AGR_fec!L$9)</f>
        <v>2.5320666577250814</v>
      </c>
      <c r="M48" s="253">
        <f>IF(M$9=0,0,M$9/AGR_fec!M$9)</f>
        <v>2.3418623184486194</v>
      </c>
      <c r="N48" s="253">
        <f>IF(N$9=0,0,N$9/AGR_fec!N$9)</f>
        <v>2.2587977650804585</v>
      </c>
      <c r="O48" s="253">
        <f>IF(O$9=0,0,O$9/AGR_fec!O$9)</f>
        <v>2.3939997592345148</v>
      </c>
      <c r="P48" s="253">
        <f>IF(P$9=0,0,P$9/AGR_fec!P$9)</f>
        <v>2.5911892853434151</v>
      </c>
      <c r="Q48" s="253">
        <f>IF(Q$9=0,0,Q$9/AGR_fec!Q$9)</f>
        <v>2.5837960019867219</v>
      </c>
      <c r="R48" s="253">
        <f>IF(R$9=0,0,R$9/AGR_fec!R$9)</f>
        <v>2.5385980127726153</v>
      </c>
      <c r="S48" s="253">
        <f>IF(S$9=0,0,S$9/AGR_fec!S$9)</f>
        <v>2.3785266088534467</v>
      </c>
      <c r="T48" s="253">
        <f>IF(T$9=0,0,T$9/AGR_fec!T$9)</f>
        <v>2.326716666938982</v>
      </c>
      <c r="U48" s="253">
        <f>IF(U$9=0,0,U$9/AGR_fec!U$9)</f>
        <v>2.4782539463261841</v>
      </c>
      <c r="V48" s="253">
        <f>IF(V$9=0,0,V$9/AGR_fec!V$9)</f>
        <v>2.5061688290905351</v>
      </c>
      <c r="W48" s="253">
        <f>IF(W$9=0,0,W$9/AGR_fec!W$9)</f>
        <v>2.3696289184662271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3.1024188000000006</v>
      </c>
      <c r="D49" s="265">
        <f>IF(D$16=0,0,D$16/AGR_fec!D$16)</f>
        <v>3.1024187999999997</v>
      </c>
      <c r="E49" s="265">
        <f>IF(E$16=0,0,E$16/AGR_fec!E$16)</f>
        <v>3.102418800000001</v>
      </c>
      <c r="F49" s="265">
        <f>IF(F$16=0,0,F$16/AGR_fec!F$16)</f>
        <v>3.1024187999999988</v>
      </c>
      <c r="G49" s="265">
        <f>IF(G$16=0,0,G$16/AGR_fec!G$16)</f>
        <v>3.1024188000000001</v>
      </c>
      <c r="H49" s="265">
        <f>IF(H$16=0,0,H$16/AGR_fec!H$16)</f>
        <v>3.1024188000000001</v>
      </c>
      <c r="I49" s="265">
        <f>IF(I$16=0,0,I$16/AGR_fec!I$16)</f>
        <v>3.0792038063827434</v>
      </c>
      <c r="J49" s="265">
        <f>IF(J$16=0,0,J$16/AGR_fec!J$16)</f>
        <v>3.0826822108345984</v>
      </c>
      <c r="K49" s="265">
        <f>IF(K$16=0,0,K$16/AGR_fec!K$16)</f>
        <v>3.0608119269705796</v>
      </c>
      <c r="L49" s="265">
        <f>IF(L$16=0,0,L$16/AGR_fec!L$16)</f>
        <v>3.0746137050687472</v>
      </c>
      <c r="M49" s="265">
        <f>IF(M$16=0,0,M$16/AGR_fec!M$16)</f>
        <v>3.0850115695782123</v>
      </c>
      <c r="N49" s="265">
        <f>IF(N$16=0,0,N$16/AGR_fec!N$16)</f>
        <v>3.0668767459396569</v>
      </c>
      <c r="O49" s="265">
        <f>IF(O$16=0,0,O$16/AGR_fec!O$16)</f>
        <v>3.0767152694909017</v>
      </c>
      <c r="P49" s="265">
        <f>IF(P$16=0,0,P$16/AGR_fec!P$16)</f>
        <v>3.0701035177486387</v>
      </c>
      <c r="Q49" s="265">
        <f>IF(Q$16=0,0,Q$16/AGR_fec!Q$16)</f>
        <v>3.0708673812852996</v>
      </c>
      <c r="R49" s="265">
        <f>IF(R$16=0,0,R$16/AGR_fec!R$16)</f>
        <v>3.0785535279744645</v>
      </c>
      <c r="S49" s="265">
        <f>IF(S$16=0,0,S$16/AGR_fec!S$16)</f>
        <v>3.0822657260810673</v>
      </c>
      <c r="T49" s="265">
        <f>IF(T$16=0,0,T$16/AGR_fec!T$16)</f>
        <v>3.0935511953151074</v>
      </c>
      <c r="U49" s="265">
        <f>IF(U$16=0,0,U$16/AGR_fec!U$16)</f>
        <v>3.0932060073072809</v>
      </c>
      <c r="V49" s="265">
        <f>IF(V$16=0,0,V$16/AGR_fec!V$16)</f>
        <v>3.0922410409770453</v>
      </c>
      <c r="W49" s="265">
        <f>IF(W$16=0,0,W$16/AGR_fec!W$16)</f>
        <v>3.0892813672198463</v>
      </c>
      <c r="DA49" s="291"/>
    </row>
    <row r="50" spans="1:105" x14ac:dyDescent="0.25">
      <c r="A50" s="128" t="s">
        <v>121</v>
      </c>
      <c r="B50" s="265">
        <f>IF(B$17=0,0,B$17/AGR_fec!B$17)</f>
        <v>3.0824594099195255</v>
      </c>
      <c r="C50" s="265">
        <f>IF(C$17=0,0,C$17/AGR_fec!C$17)</f>
        <v>3.0828902431333707</v>
      </c>
      <c r="D50" s="265">
        <f>IF(D$17=0,0,D$17/AGR_fec!D$17)</f>
        <v>3.0739329058218496</v>
      </c>
      <c r="E50" s="265">
        <f>IF(E$17=0,0,E$17/AGR_fec!E$17)</f>
        <v>3.0656726350600176</v>
      </c>
      <c r="F50" s="265">
        <f>IF(F$17=0,0,F$17/AGR_fec!F$17)</f>
        <v>3.0621926048153587</v>
      </c>
      <c r="G50" s="265">
        <f>IF(G$17=0,0,G$17/AGR_fec!G$17)</f>
        <v>3.0774583111011289</v>
      </c>
      <c r="H50" s="265">
        <f>IF(H$17=0,0,H$17/AGR_fec!H$17)</f>
        <v>3.0605200658026637</v>
      </c>
      <c r="I50" s="265">
        <f>IF(I$17=0,0,I$17/AGR_fec!I$17)</f>
        <v>3.0499043845991909</v>
      </c>
      <c r="J50" s="265">
        <f>IF(J$17=0,0,J$17/AGR_fec!J$17)</f>
        <v>3.0307894633639623</v>
      </c>
      <c r="K50" s="265">
        <f>IF(K$17=0,0,K$17/AGR_fec!K$17)</f>
        <v>3.0181921796470048</v>
      </c>
      <c r="L50" s="265">
        <f>IF(L$17=0,0,L$17/AGR_fec!L$17)</f>
        <v>3.0587414385447418</v>
      </c>
      <c r="M50" s="265">
        <f>IF(M$17=0,0,M$17/AGR_fec!M$17)</f>
        <v>3.0592203311222703</v>
      </c>
      <c r="N50" s="265">
        <f>IF(N$17=0,0,N$17/AGR_fec!N$17)</f>
        <v>2.9504644936149025</v>
      </c>
      <c r="O50" s="265">
        <f>IF(O$17=0,0,O$17/AGR_fec!O$17)</f>
        <v>2.9741937809576644</v>
      </c>
      <c r="P50" s="265">
        <f>IF(P$17=0,0,P$17/AGR_fec!P$17)</f>
        <v>2.9848263413675653</v>
      </c>
      <c r="Q50" s="265">
        <f>IF(Q$17=0,0,Q$17/AGR_fec!Q$17)</f>
        <v>2.9884702562742804</v>
      </c>
      <c r="R50" s="265">
        <f>IF(R$17=0,0,R$17/AGR_fec!R$17)</f>
        <v>3.0242959488642214</v>
      </c>
      <c r="S50" s="265">
        <f>IF(S$17=0,0,S$17/AGR_fec!S$17)</f>
        <v>3.0289830359602923</v>
      </c>
      <c r="T50" s="265">
        <f>IF(T$17=0,0,T$17/AGR_fec!T$17)</f>
        <v>2.9848990928182748</v>
      </c>
      <c r="U50" s="265">
        <f>IF(U$17=0,0,U$17/AGR_fec!U$17)</f>
        <v>2.9707978305585256</v>
      </c>
      <c r="V50" s="265">
        <f>IF(V$17=0,0,V$17/AGR_fec!V$17)</f>
        <v>2.9715020876297609</v>
      </c>
      <c r="W50" s="265">
        <f>IF(W$17=0,0,W$17/AGR_fec!W$17)</f>
        <v>2.96716804389906</v>
      </c>
      <c r="DA50" s="291"/>
    </row>
    <row r="51" spans="1:105" x14ac:dyDescent="0.25">
      <c r="A51" s="128" t="s">
        <v>174</v>
      </c>
      <c r="B51" s="265">
        <f>IF(B$25=0,0,B$25/AGR_fec!B$25)</f>
        <v>3.1024187999999988</v>
      </c>
      <c r="C51" s="265">
        <f>IF(C$25=0,0,C$25/AGR_fec!C$25)</f>
        <v>3.1024188000000001</v>
      </c>
      <c r="D51" s="265">
        <f>IF(D$25=0,0,D$25/AGR_fec!D$25)</f>
        <v>3.1024187999999993</v>
      </c>
      <c r="E51" s="265">
        <f>IF(E$25=0,0,E$25/AGR_fec!E$25)</f>
        <v>3.1024188000000001</v>
      </c>
      <c r="F51" s="265">
        <f>IF(F$25=0,0,F$25/AGR_fec!F$25)</f>
        <v>3.1024187999999997</v>
      </c>
      <c r="G51" s="265">
        <f>IF(G$25=0,0,G$25/AGR_fec!G$25)</f>
        <v>3.1024187999999988</v>
      </c>
      <c r="H51" s="265">
        <f>IF(H$25=0,0,H$25/AGR_fec!H$25)</f>
        <v>3.1024187999999993</v>
      </c>
      <c r="I51" s="265">
        <f>IF(I$25=0,0,I$25/AGR_fec!I$25)</f>
        <v>3.0792038063827425</v>
      </c>
      <c r="J51" s="265">
        <f>IF(J$25=0,0,J$25/AGR_fec!J$25)</f>
        <v>3.0826822108345975</v>
      </c>
      <c r="K51" s="265">
        <f>IF(K$25=0,0,K$25/AGR_fec!K$25)</f>
        <v>3.06081192697058</v>
      </c>
      <c r="L51" s="265">
        <f>IF(L$25=0,0,L$25/AGR_fec!L$25)</f>
        <v>3.0746137050687476</v>
      </c>
      <c r="M51" s="265">
        <f>IF(M$25=0,0,M$25/AGR_fec!M$25)</f>
        <v>3.0850115695782114</v>
      </c>
      <c r="N51" s="265">
        <f>IF(N$25=0,0,N$25/AGR_fec!N$25)</f>
        <v>3.066876745939656</v>
      </c>
      <c r="O51" s="265">
        <f>IF(O$25=0,0,O$25/AGR_fec!O$25)</f>
        <v>3.0767152694909026</v>
      </c>
      <c r="P51" s="265">
        <f>IF(P$25=0,0,P$25/AGR_fec!P$25)</f>
        <v>3.0701035177486387</v>
      </c>
      <c r="Q51" s="265">
        <f>IF(Q$25=0,0,Q$25/AGR_fec!Q$25)</f>
        <v>3.0708673812852996</v>
      </c>
      <c r="R51" s="265">
        <f>IF(R$25=0,0,R$25/AGR_fec!R$25)</f>
        <v>3.0785535279744662</v>
      </c>
      <c r="S51" s="265">
        <f>IF(S$25=0,0,S$25/AGR_fec!S$25)</f>
        <v>3.0822657260810664</v>
      </c>
      <c r="T51" s="265">
        <f>IF(T$25=0,0,T$25/AGR_fec!T$25)</f>
        <v>3.0935511953151065</v>
      </c>
      <c r="U51" s="265">
        <f>IF(U$25=0,0,U$25/AGR_fec!U$25)</f>
        <v>3.0932060073072813</v>
      </c>
      <c r="V51" s="265">
        <f>IF(V$25=0,0,V$25/AGR_fec!V$25)</f>
        <v>3.0922410409770453</v>
      </c>
      <c r="W51" s="265">
        <f>IF(W$25=0,0,W$25/AGR_fec!W$25)</f>
        <v>3.0892813672198458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9C2A53-2A26-480E-8A1F-B8A3F6E41BA5}"/>
</file>

<file path=customXml/itemProps2.xml><?xml version="1.0" encoding="utf-8"?>
<ds:datastoreItem xmlns:ds="http://schemas.openxmlformats.org/officeDocument/2006/customXml" ds:itemID="{96612E03-1106-4B44-BDAE-2919C17EDA6C}"/>
</file>

<file path=customXml/itemProps3.xml><?xml version="1.0" encoding="utf-8"?>
<ds:datastoreItem xmlns:ds="http://schemas.openxmlformats.org/officeDocument/2006/customXml" ds:itemID="{BF6FA164-4266-41EB-8651-538C19BF8E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2024-05-20T16:55:04Z</dcterms:created>
  <dcterms:modified xsi:type="dcterms:W3CDTF">2024-05-20T16:55:05Z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