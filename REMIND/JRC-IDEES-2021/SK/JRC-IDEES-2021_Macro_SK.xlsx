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W20" i="59"/>
  <c r="V20" i="59"/>
  <c r="U93" i="59"/>
  <c r="Y122" i="59"/>
  <c r="W87" i="59"/>
  <c r="U117" i="59"/>
  <c r="Y84" i="59"/>
  <c r="Y115" i="59"/>
  <c r="W81" i="59"/>
  <c r="V113" i="59"/>
  <c r="X112" i="59"/>
  <c r="W112" i="59"/>
  <c r="T80" i="59"/>
  <c r="T112" i="59"/>
  <c r="W111" i="59"/>
  <c r="V111" i="59"/>
  <c r="W110" i="59"/>
  <c r="U109" i="59"/>
  <c r="U108" i="59"/>
  <c r="Y107" i="59"/>
  <c r="U107" i="59"/>
  <c r="Y74" i="59"/>
  <c r="R106" i="59"/>
  <c r="O106" i="59"/>
  <c r="M106" i="59"/>
  <c r="J106" i="59"/>
  <c r="G106" i="59"/>
  <c r="Y73" i="59"/>
  <c r="W105" i="59"/>
  <c r="Y72" i="59"/>
  <c r="U104" i="59"/>
  <c r="Y103" i="59"/>
  <c r="V103" i="59"/>
  <c r="W69" i="59"/>
  <c r="X100" i="59"/>
  <c r="U100" i="59"/>
  <c r="Y99" i="59"/>
  <c r="Y66" i="59"/>
  <c r="W98" i="59"/>
  <c r="Y82" i="59"/>
  <c r="T90" i="59"/>
  <c r="E106" i="59"/>
  <c r="X122" i="59"/>
  <c r="U115" i="59"/>
  <c r="W104" i="59"/>
  <c r="Y93" i="59"/>
  <c r="W90" i="59"/>
  <c r="W122" i="59"/>
  <c r="Y89" i="59"/>
  <c r="U121" i="59"/>
  <c r="Y120" i="59"/>
  <c r="T118" i="59"/>
  <c r="W85" i="59"/>
  <c r="W84" i="59"/>
  <c r="U116" i="59"/>
  <c r="V115" i="59"/>
  <c r="T83" i="59"/>
  <c r="Y114" i="59"/>
  <c r="U113" i="59"/>
  <c r="Y80" i="59"/>
  <c r="W80" i="59"/>
  <c r="Y111" i="59"/>
  <c r="Y77" i="59"/>
  <c r="Y75" i="59"/>
  <c r="W75" i="59"/>
  <c r="W74" i="59"/>
  <c r="W73" i="59"/>
  <c r="W72" i="59"/>
  <c r="Y71" i="59"/>
  <c r="T71" i="59"/>
  <c r="Y102" i="59"/>
  <c r="V101" i="59"/>
  <c r="U101" i="59"/>
  <c r="Y67" i="59"/>
  <c r="W67" i="59"/>
  <c r="W65" i="59"/>
  <c r="Y20" i="59"/>
  <c r="U94" i="59"/>
  <c r="X20" i="59"/>
  <c r="U20" i="59"/>
  <c r="U13" i="59"/>
  <c r="V10" i="59"/>
  <c r="W5" i="59"/>
  <c r="T5" i="59"/>
  <c r="Y5" i="59"/>
  <c r="X21" i="59"/>
  <c r="U5" i="59"/>
  <c r="U103" i="59" l="1"/>
  <c r="U71" i="59"/>
  <c r="Y69" i="59"/>
  <c r="V94" i="59"/>
  <c r="Y65" i="59"/>
  <c r="W101" i="59"/>
  <c r="W113" i="59"/>
  <c r="X110" i="59"/>
  <c r="V74" i="59"/>
  <c r="Y97" i="59"/>
  <c r="T98" i="59"/>
  <c r="Y68" i="59"/>
  <c r="X102" i="59"/>
  <c r="Y105" i="59"/>
  <c r="L106" i="59"/>
  <c r="T106" i="59"/>
  <c r="U110" i="59"/>
  <c r="W117" i="59"/>
  <c r="Y118" i="59"/>
  <c r="T119" i="59"/>
  <c r="T67" i="59"/>
  <c r="W78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<sst xmlns="http://schemas.openxmlformats.org/spreadsheetml/2006/main" count="722" uniqueCount="281">
  <si>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</si>
  <si>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</si>
  <si>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</si>
  <si>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</si>
  <si>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</si>
  <si>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</si>
  <si>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</si>
  <si>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</si>
  <si>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</si>
  <si>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</si>
  <si>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</si>
  <si>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</si>
  <si>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</si>
  <si>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</si>
  <si>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</si>
  <si>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</si>
  <si>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</si>
  <si>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</si>
  <si>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</si>
  <si>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</si>
  <si>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</si>
  <si>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</si>
  <si>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</si>
  <si>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</si>
  <si>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</si>
  <si>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</si>
  <si>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</si>
  <si>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</si>
  <si>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</si>
  <si>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</si>
  <si>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</si>
  <si>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</si>
  <si>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</si>
  <si>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</si>
  <si>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</si>
  <si>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</si>
  <si>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</si>
  <si>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</si>
  <si>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</si>
  <si>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</si>
  <si>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</si>
  <si>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</si>
  <si>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</si>
  <si>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</si>
  <si>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</si>
  <si>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</si>
  <si>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</si>
  <si>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</si>
  <si>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</si>
  <si>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</si>
  <si>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</si>
  <si>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</si>
  <si>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</si>
  <si>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</si>
  <si>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</si>
  <si>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</si>
  <si>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</si>
  <si>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</si>
  <si>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</si>
  <si>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</si>
  <si>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</si>
  <si>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</si>
  <si>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</si>
  <si>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</si>
  <si>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</si>
  <si>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</si>
  <si>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</si>
  <si>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</si>
  <si>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</si>
  <si>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</si>
  <si>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</si>
  <si>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</si>
  <si>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</si>
  <si>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</si>
  <si>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</si>
  <si>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</si>
  <si>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</si>
  <si>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</si>
  <si>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</si>
  <si>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</si>
  <si>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</si>
  <si>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</si>
  <si>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</si>
  <si>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</si>
  <si>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</si>
  <si>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</si>
  <si>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</si>
  <si>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</si>
  <si>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</si>
  <si>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</si>
  <si>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</si>
  <si>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</si>
  <si>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</si>
  <si>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</si>
  <si>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</si>
  <si>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</si>
  <si>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</si>
  <si>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</si>
  <si>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</si>
  <si>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</si>
  <si>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</si>
  <si>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</si>
  <si>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</si>
  <si>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</si>
  <si>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</si>
  <si>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</si>
  <si>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</si>
  <si>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</si>
  <si>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</si>
  <si>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</si>
  <si>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</si>
  <si>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</si>
  <si>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</si>
  <si>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</si>
  <si>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</si>
  <si>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</si>
  <si>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</si>
  <si>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</si>
  <si>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</si>
  <si>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</si>
  <si>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</si>
  <si>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</si>
  <si>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</si>
  <si>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</si>
  <si>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</si>
  <si>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</si>
  <si>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</si>
  <si>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</si>
  <si>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</si>
  <si>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</si>
  <si>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</si>
  <si>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</si>
  <si>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</si>
  <si>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</si>
  <si>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</si>
  <si>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</si>
  <si>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</si>
  <si>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</si>
  <si>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</si>
  <si>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</si>
  <si>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</si>
  <si>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</si>
  <si>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</si>
  <si>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</si>
  <si>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</si>
  <si>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</si>
  <si>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</si>
  <si>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</si>
  <si>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</si>
  <si>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</si>
  <si>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</si>
  <si>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</si>
  <si>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</si>
  <si>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</si>
  <si>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</si>
  <si>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</si>
  <si>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</si>
  <si>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</si>
  <si>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</si>
  <si>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</si>
  <si>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</si>
  <si>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</si>
  <si>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</si>
  <si>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</si>
  <si>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</si>
  <si>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</si>
  <si>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</si>
  <si>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</si>
  <si>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</si>
  <si>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</si>
  <si>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</si>
  <si>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</si>
  <si>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</si>
  <si>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</si>
  <si>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</si>
  <si>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</si>
  <si>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</si>
  <si>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</si>
  <si>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</si>
  <si>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</si>
  <si>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</si>
  <si>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</si>
  <si>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</si>
  <si>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</si>
  <si>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</si>
  <si>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</si>
  <si>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</si>
  <si>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</si>
  <si>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</si>
  <si>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</si>
  <si>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</si>
  <si>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</si>
  <si>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</si>
  <si>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</si>
  <si>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</si>
  <si>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</si>
  <si>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</si>
  <si>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</si>
  <si>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</si>
  <si>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</si>
  <si>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</si>
  <si>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</si>
  <si>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</si>
  <si>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</si>
  <si>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</si>
  <si>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</si>
  <si>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</si>
  <si>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</si>
  <si>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</si>
  <si>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</si>
  <si>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</si>
  <si>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</si>
  <si>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</si>
  <si>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</si>
  <si>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</si>
  <si>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</si>
  <si>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</si>
  <si>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</si>
  <si>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</si>
  <si>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</si>
  <si>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</si>
  <si>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</si>
  <si>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</si>
  <si>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</si>
  <si>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</si>
  <si>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</si>
  <si>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</si>
  <si>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</si>
  <si>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</si>
  <si>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</si>
  <si>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</si>
  <si>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</si>
  <si>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</si>
  <si>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</si>
  <si>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</si>
  <si>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</si>
  <si>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</si>
  <si>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</si>
  <si>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</si>
  <si>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</si>
  <si>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</si>
  <si>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</si>
  <si>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</si>
  <si>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</si>
  <si>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</si>
  <si>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</si>
  <si>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</si>
  <si>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</si>
  <si>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</si>
  <si>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</si>
  <si>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</si>
  <si>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</si>
  <si>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</si>
  <si>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</si>
  <si>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</si>
  <si>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</si>
  <si>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</si>
  <si>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</si>
  <si>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</si>
  <si>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</si>
  <si>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</si>
  <si>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</si>
  <si>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</si>
  <si>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</si>
  <si>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</si>
  <si>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</si>
  <si>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</si>
  <si>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</si>
  <si>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</si>
  <si>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</si>
  <si>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</si>
  <si>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</si>
  <si>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</si>
  <si>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</si>
  <si>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</si>
  <si>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</si>
  <si>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</si>
  <si>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</si>
  <si>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</si>
  <si>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SK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</si>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</sst>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45432.789224537039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23074.052064357678</v>
      </c>
      <c r="E2" s="19">
        <v>24641.180677972439</v>
      </c>
      <c r="F2" s="19">
        <v>27146.647488381994</v>
      </c>
      <c r="G2" s="19">
        <v>31040.83663366337</v>
      </c>
      <c r="H2" s="19">
        <v>35820.980491191389</v>
      </c>
      <c r="I2" s="19">
        <v>40609.044998946854</v>
      </c>
      <c r="J2" s="19">
        <v>46997.685569860201</v>
      </c>
      <c r="K2" s="19">
        <v>58063.123836515864</v>
      </c>
      <c r="L2" s="19">
        <v>68120.314274784017</v>
      </c>
      <c r="M2" s="19">
        <v>66056.543251447933</v>
      </c>
      <c r="N2" s="19">
        <v>70869.000628665046</v>
      </c>
      <c r="O2" s="19">
        <v>73982.492920999823</v>
      </c>
      <c r="P2" s="19">
        <v>75902.230479870268</v>
      </c>
      <c r="Q2" s="19">
        <v>76771.85191263906</v>
      </c>
      <c r="R2" s="19">
        <v>78690.459936936852</v>
      </c>
      <c r="S2" s="19">
        <v>82577.85560000001</v>
      </c>
      <c r="T2" s="19">
        <v>83751.643277581228</v>
      </c>
      <c r="U2" s="19">
        <v>87260.522976851353</v>
      </c>
      <c r="V2" s="19">
        <v>92624.841677534903</v>
      </c>
      <c r="W2" s="19">
        <v>97318.840466626789</v>
      </c>
      <c r="X2" s="19">
        <v>96302.740908669264</v>
      </c>
      <c r="Y2" s="19">
        <v>103323.0095988331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13275.776191855284</v>
      </c>
      <c r="E3" s="23">
        <v>14520.554885476537</v>
      </c>
      <c r="F3" s="23">
        <v>16016.950767302833</v>
      </c>
      <c r="G3" s="23">
        <v>17730.609552875972</v>
      </c>
      <c r="H3" s="23">
        <v>21138.431139338594</v>
      </c>
      <c r="I3" s="23">
        <v>23534.027067419462</v>
      </c>
      <c r="J3" s="23">
        <v>27202.750477852933</v>
      </c>
      <c r="K3" s="23">
        <v>33187.494733322186</v>
      </c>
      <c r="L3" s="23">
        <v>40090.862899917964</v>
      </c>
      <c r="M3" s="23">
        <v>41553.663892546741</v>
      </c>
      <c r="N3" s="23">
        <v>42320.002607476934</v>
      </c>
      <c r="O3" s="23">
        <v>43115.856200317954</v>
      </c>
      <c r="P3" s="23">
        <v>44772.876965860363</v>
      </c>
      <c r="Q3" s="23">
        <v>44833.959060335706</v>
      </c>
      <c r="R3" s="23">
        <v>45635.27023922489</v>
      </c>
      <c r="S3" s="23">
        <v>46843.704135</v>
      </c>
      <c r="T3" s="23">
        <v>48516.717798599551</v>
      </c>
      <c r="U3" s="23">
        <v>51472.414539680656</v>
      </c>
      <c r="V3" s="23">
        <v>54808.775188071711</v>
      </c>
      <c r="W3" s="23">
        <v>57826.534482920906</v>
      </c>
      <c r="X3" s="23">
        <v>58416.84409680956</v>
      </c>
      <c r="Y3" s="23">
        <v>61888.250186931742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19776.900000000001</v>
      </c>
      <c r="E4" s="27">
        <v>21384.400000000001</v>
      </c>
      <c r="F4" s="27">
        <v>23557.5</v>
      </c>
      <c r="G4" s="27">
        <v>26780.400000000001</v>
      </c>
      <c r="H4" s="27">
        <v>30795.199999999997</v>
      </c>
      <c r="I4" s="27">
        <v>34826.30000000001</v>
      </c>
      <c r="J4" s="27">
        <v>40832.1</v>
      </c>
      <c r="K4" s="27">
        <v>50455.9</v>
      </c>
      <c r="L4" s="27">
        <v>59567.3</v>
      </c>
      <c r="M4" s="27">
        <v>57993.5</v>
      </c>
      <c r="N4" s="27">
        <v>62331.3</v>
      </c>
      <c r="O4" s="27">
        <v>64659.7</v>
      </c>
      <c r="P4" s="27">
        <v>66940.5</v>
      </c>
      <c r="Q4" s="27">
        <v>67402.700000000012</v>
      </c>
      <c r="R4" s="27">
        <v>68941.799999999988</v>
      </c>
      <c r="S4" s="27">
        <v>72144.7</v>
      </c>
      <c r="T4" s="27">
        <v>73235.700000000012</v>
      </c>
      <c r="U4" s="27">
        <v>75861.899999999994</v>
      </c>
      <c r="V4" s="27">
        <v>80517.299999999988</v>
      </c>
      <c r="W4" s="27">
        <v>84425.8</v>
      </c>
      <c r="X4" s="27">
        <v>83778.39999999998</v>
      </c>
      <c r="Y4" s="27">
        <v>89465.4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382.9</v>
      </c>
      <c r="E6" s="19">
        <v>506.9</v>
      </c>
      <c r="F6" s="19">
        <v>538.1</v>
      </c>
      <c r="G6" s="19">
        <v>545.29999999999995</v>
      </c>
      <c r="H6" s="19">
        <v>579.6</v>
      </c>
      <c r="I6" s="19">
        <v>637.9</v>
      </c>
      <c r="J6" s="19">
        <v>842.9</v>
      </c>
      <c r="K6" s="19">
        <v>1293.5</v>
      </c>
      <c r="L6" s="19">
        <v>1674.4</v>
      </c>
      <c r="M6" s="19">
        <v>1336.5</v>
      </c>
      <c r="N6" s="19">
        <v>1078.4999999999998</v>
      </c>
      <c r="O6" s="19">
        <v>1350.6</v>
      </c>
      <c r="P6" s="19">
        <v>1400.7</v>
      </c>
      <c r="Q6" s="19">
        <v>1655.5</v>
      </c>
      <c r="R6" s="19">
        <v>2098.8000000000006</v>
      </c>
      <c r="S6" s="19">
        <v>1759.5</v>
      </c>
      <c r="T6" s="19">
        <v>1822.3</v>
      </c>
      <c r="U6" s="19">
        <v>1769.9</v>
      </c>
      <c r="V6" s="19">
        <v>1927.9</v>
      </c>
      <c r="W6" s="19">
        <v>1629.4</v>
      </c>
      <c r="X6" s="19">
        <v>1615.9</v>
      </c>
      <c r="Y6" s="19">
        <v>1783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5457.1000000000022</v>
      </c>
      <c r="E7" s="23">
        <v>5942.7999999999975</v>
      </c>
      <c r="F7" s="23">
        <v>6220.9</v>
      </c>
      <c r="G7" s="23">
        <v>7616.7</v>
      </c>
      <c r="H7" s="23">
        <v>9240.1999999999971</v>
      </c>
      <c r="I7" s="23">
        <v>10333.70000000001</v>
      </c>
      <c r="J7" s="23">
        <v>12653.499999999998</v>
      </c>
      <c r="K7" s="23">
        <v>15097.399999999991</v>
      </c>
      <c r="L7" s="23">
        <v>16415.199999999993</v>
      </c>
      <c r="M7" s="23">
        <v>13327.19999999999</v>
      </c>
      <c r="N7" s="23">
        <v>15564.400000000001</v>
      </c>
      <c r="O7" s="23">
        <v>16532.999999999989</v>
      </c>
      <c r="P7" s="23">
        <v>16934.200000000004</v>
      </c>
      <c r="Q7" s="23">
        <v>16358.100000000002</v>
      </c>
      <c r="R7" s="23">
        <v>18054.999999999996</v>
      </c>
      <c r="S7" s="23">
        <v>18810.800000000003</v>
      </c>
      <c r="T7" s="23">
        <v>18173.100000000006</v>
      </c>
      <c r="U7" s="23">
        <v>18085.799999999996</v>
      </c>
      <c r="V7" s="23">
        <v>19835.599999999999</v>
      </c>
      <c r="W7" s="23">
        <v>22257.4</v>
      </c>
      <c r="X7" s="23">
        <v>20755.299999999985</v>
      </c>
      <c r="Y7" s="23">
        <v>24191.199999999997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1129.0999999999999</v>
      </c>
      <c r="E8" s="23">
        <v>1193.5000000000002</v>
      </c>
      <c r="F8" s="23">
        <v>1481.3</v>
      </c>
      <c r="G8" s="23">
        <v>1594.4</v>
      </c>
      <c r="H8" s="23">
        <v>1897.2</v>
      </c>
      <c r="I8" s="23">
        <v>2246.6</v>
      </c>
      <c r="J8" s="23">
        <v>2981.6</v>
      </c>
      <c r="K8" s="23">
        <v>3801.5</v>
      </c>
      <c r="L8" s="23">
        <v>5434.4</v>
      </c>
      <c r="M8" s="23">
        <v>5540.3</v>
      </c>
      <c r="N8" s="23">
        <v>5490.8</v>
      </c>
      <c r="O8" s="23">
        <v>5350.4</v>
      </c>
      <c r="P8" s="23">
        <v>5765</v>
      </c>
      <c r="Q8" s="23">
        <v>4983.1000000000013</v>
      </c>
      <c r="R8" s="23">
        <v>5251</v>
      </c>
      <c r="S8" s="23">
        <v>5685.2</v>
      </c>
      <c r="T8" s="23">
        <v>5671.3</v>
      </c>
      <c r="U8" s="23">
        <v>6234.8</v>
      </c>
      <c r="V8" s="23">
        <v>6501.1</v>
      </c>
      <c r="W8" s="23">
        <v>5698</v>
      </c>
      <c r="X8" s="23">
        <v>5541</v>
      </c>
      <c r="Y8" s="23">
        <v>5512.7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4383.2</v>
      </c>
      <c r="E9" s="23">
        <v>4723.8999999999996</v>
      </c>
      <c r="F9" s="23">
        <v>4827.3999999999996</v>
      </c>
      <c r="G9" s="23">
        <v>5650.1</v>
      </c>
      <c r="H9" s="23">
        <v>6442.9</v>
      </c>
      <c r="I9" s="23">
        <v>7776.8</v>
      </c>
      <c r="J9" s="23">
        <v>8363.1</v>
      </c>
      <c r="K9" s="23">
        <v>10468.200000000003</v>
      </c>
      <c r="L9" s="23">
        <v>12572.6</v>
      </c>
      <c r="M9" s="23">
        <v>11721.4</v>
      </c>
      <c r="N9" s="23">
        <v>12698.2</v>
      </c>
      <c r="O9" s="23">
        <v>13782.4</v>
      </c>
      <c r="P9" s="23">
        <v>13579.9</v>
      </c>
      <c r="Q9" s="23">
        <v>13139.4</v>
      </c>
      <c r="R9" s="23">
        <v>13967.7</v>
      </c>
      <c r="S9" s="23">
        <v>14208</v>
      </c>
      <c r="T9" s="23">
        <v>13574.6</v>
      </c>
      <c r="U9" s="23">
        <v>14423.8</v>
      </c>
      <c r="V9" s="23">
        <v>14837.599999999999</v>
      </c>
      <c r="W9" s="23">
        <v>16166.9</v>
      </c>
      <c r="X9" s="23">
        <v>15681</v>
      </c>
      <c r="Y9" s="23">
        <v>15565.7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758.2</v>
      </c>
      <c r="E10" s="23">
        <v>892.5</v>
      </c>
      <c r="F10" s="23">
        <v>963.3</v>
      </c>
      <c r="G10" s="23">
        <v>1103.0999999999999</v>
      </c>
      <c r="H10" s="23">
        <v>1279.0999999999999</v>
      </c>
      <c r="I10" s="23">
        <v>1479.7</v>
      </c>
      <c r="J10" s="23">
        <v>1746.6</v>
      </c>
      <c r="K10" s="23">
        <v>2242.6999999999998</v>
      </c>
      <c r="L10" s="23">
        <v>2605.5</v>
      </c>
      <c r="M10" s="23">
        <v>2924.2</v>
      </c>
      <c r="N10" s="23">
        <v>3159.2</v>
      </c>
      <c r="O10" s="23">
        <v>3154</v>
      </c>
      <c r="P10" s="23">
        <v>3579.2</v>
      </c>
      <c r="Q10" s="23">
        <v>3350.5</v>
      </c>
      <c r="R10" s="23">
        <v>3243.7</v>
      </c>
      <c r="S10" s="23">
        <v>3460.2</v>
      </c>
      <c r="T10" s="23">
        <v>3809.9</v>
      </c>
      <c r="U10" s="23">
        <v>3956.1</v>
      </c>
      <c r="V10" s="23">
        <v>3988.6</v>
      </c>
      <c r="W10" s="23">
        <v>4248</v>
      </c>
      <c r="X10" s="23">
        <v>4347.6000000000004</v>
      </c>
      <c r="Y10" s="23">
        <v>4578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546.49999999999989</v>
      </c>
      <c r="E11" s="23">
        <v>515</v>
      </c>
      <c r="F11" s="23">
        <v>974.3</v>
      </c>
      <c r="G11" s="23">
        <v>1031</v>
      </c>
      <c r="H11" s="23">
        <v>1129.4999999999998</v>
      </c>
      <c r="I11" s="23">
        <v>1320</v>
      </c>
      <c r="J11" s="23">
        <v>1366.6</v>
      </c>
      <c r="K11" s="23">
        <v>1484.4</v>
      </c>
      <c r="L11" s="23">
        <v>1633.2</v>
      </c>
      <c r="M11" s="23">
        <v>1871.6</v>
      </c>
      <c r="N11" s="23">
        <v>1969.9</v>
      </c>
      <c r="O11" s="23">
        <v>2149.6000000000004</v>
      </c>
      <c r="P11" s="23">
        <v>2136.3000000000002</v>
      </c>
      <c r="Q11" s="23">
        <v>2167.9</v>
      </c>
      <c r="R11" s="23">
        <v>2284.8000000000006</v>
      </c>
      <c r="S11" s="23">
        <v>2325</v>
      </c>
      <c r="T11" s="23">
        <v>2108</v>
      </c>
      <c r="U11" s="23">
        <v>1882.6</v>
      </c>
      <c r="V11" s="23">
        <v>2212.1999999999998</v>
      </c>
      <c r="W11" s="23">
        <v>2384.9999999999995</v>
      </c>
      <c r="X11" s="23">
        <v>2354.9</v>
      </c>
      <c r="Y11" s="23">
        <v>2502.5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2041</v>
      </c>
      <c r="E12" s="23">
        <v>2309.1999999999998</v>
      </c>
      <c r="F12" s="23">
        <v>2547.9</v>
      </c>
      <c r="G12" s="23">
        <v>2578</v>
      </c>
      <c r="H12" s="23">
        <v>3122.6</v>
      </c>
      <c r="I12" s="23">
        <v>2942</v>
      </c>
      <c r="J12" s="23">
        <v>3495.5</v>
      </c>
      <c r="K12" s="23">
        <v>4443.7</v>
      </c>
      <c r="L12" s="23">
        <v>5701.7</v>
      </c>
      <c r="M12" s="23">
        <v>6044.2</v>
      </c>
      <c r="N12" s="23">
        <v>6119.7</v>
      </c>
      <c r="O12" s="23">
        <v>6120.4</v>
      </c>
      <c r="P12" s="23">
        <v>6518.5</v>
      </c>
      <c r="Q12" s="23">
        <v>8002.6</v>
      </c>
      <c r="R12" s="23">
        <v>5960.4</v>
      </c>
      <c r="S12" s="23">
        <v>6192.2</v>
      </c>
      <c r="T12" s="23">
        <v>7188.9</v>
      </c>
      <c r="U12" s="23">
        <v>7625.2</v>
      </c>
      <c r="V12" s="23">
        <v>8254.7000000000007</v>
      </c>
      <c r="W12" s="23">
        <v>8703.4</v>
      </c>
      <c r="X12" s="23">
        <v>9609.6</v>
      </c>
      <c r="Y12" s="23">
        <v>10535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1370.5</v>
      </c>
      <c r="E13" s="23">
        <v>1320.1</v>
      </c>
      <c r="F13" s="23">
        <v>1594.7</v>
      </c>
      <c r="G13" s="23">
        <v>1679.1</v>
      </c>
      <c r="H13" s="23">
        <v>1954.1</v>
      </c>
      <c r="I13" s="23">
        <v>2311.8000000000002</v>
      </c>
      <c r="J13" s="23">
        <v>2843</v>
      </c>
      <c r="K13" s="23">
        <v>3658.1000000000004</v>
      </c>
      <c r="L13" s="23">
        <v>4632.8999999999987</v>
      </c>
      <c r="M13" s="23">
        <v>4835.1000000000004</v>
      </c>
      <c r="N13" s="23">
        <v>5247.8</v>
      </c>
      <c r="O13" s="23">
        <v>5235.3</v>
      </c>
      <c r="P13" s="23">
        <v>5610.8</v>
      </c>
      <c r="Q13" s="23">
        <v>5928.1</v>
      </c>
      <c r="R13" s="23">
        <v>6398.6</v>
      </c>
      <c r="S13" s="23">
        <v>7308.6</v>
      </c>
      <c r="T13" s="23">
        <v>7556.8</v>
      </c>
      <c r="U13" s="23">
        <v>7993.1</v>
      </c>
      <c r="V13" s="23">
        <v>8358.2999999999993</v>
      </c>
      <c r="W13" s="23">
        <v>7572.9</v>
      </c>
      <c r="X13" s="23">
        <v>7822.9</v>
      </c>
      <c r="Y13" s="23">
        <v>7671.8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3286.5</v>
      </c>
      <c r="E14" s="23">
        <v>3484.8</v>
      </c>
      <c r="F14" s="23">
        <v>3839.1</v>
      </c>
      <c r="G14" s="23">
        <v>4395.8999999999996</v>
      </c>
      <c r="H14" s="23">
        <v>4474.3</v>
      </c>
      <c r="I14" s="23">
        <v>4833.5</v>
      </c>
      <c r="J14" s="23">
        <v>5473.4</v>
      </c>
      <c r="K14" s="23">
        <v>6531.4</v>
      </c>
      <c r="L14" s="23">
        <v>7587.7</v>
      </c>
      <c r="M14" s="23">
        <v>8523.2000000000007</v>
      </c>
      <c r="N14" s="23">
        <v>8873.7000000000007</v>
      </c>
      <c r="O14" s="23">
        <v>8729.2000000000025</v>
      </c>
      <c r="P14" s="23">
        <v>8980.4000000000015</v>
      </c>
      <c r="Q14" s="23">
        <v>9372.1</v>
      </c>
      <c r="R14" s="23">
        <v>9094.2000000000007</v>
      </c>
      <c r="S14" s="23">
        <v>9481.1</v>
      </c>
      <c r="T14" s="23">
        <v>10604.8</v>
      </c>
      <c r="U14" s="23">
        <v>11179</v>
      </c>
      <c r="V14" s="23">
        <v>11813.9</v>
      </c>
      <c r="W14" s="23">
        <v>13016.1</v>
      </c>
      <c r="X14" s="23">
        <v>13912</v>
      </c>
      <c r="Y14" s="23">
        <v>14914.6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421.9</v>
      </c>
      <c r="E15" s="23">
        <v>495.7</v>
      </c>
      <c r="F15" s="23">
        <v>570.5</v>
      </c>
      <c r="G15" s="23">
        <v>586.79999999999995</v>
      </c>
      <c r="H15" s="23">
        <v>675.7</v>
      </c>
      <c r="I15" s="23">
        <v>944.3</v>
      </c>
      <c r="J15" s="23">
        <v>1065.9000000000001</v>
      </c>
      <c r="K15" s="23">
        <v>1435</v>
      </c>
      <c r="L15" s="23">
        <v>1309.7</v>
      </c>
      <c r="M15" s="23">
        <v>1869.8</v>
      </c>
      <c r="N15" s="23">
        <v>2129.1</v>
      </c>
      <c r="O15" s="23">
        <v>2254.8000000000002</v>
      </c>
      <c r="P15" s="23">
        <v>2435.5000000000005</v>
      </c>
      <c r="Q15" s="23">
        <v>2445.4</v>
      </c>
      <c r="R15" s="23">
        <v>2587.6</v>
      </c>
      <c r="S15" s="23">
        <v>2914.1</v>
      </c>
      <c r="T15" s="23">
        <v>2726</v>
      </c>
      <c r="U15" s="23">
        <v>2711.6</v>
      </c>
      <c r="V15" s="23">
        <v>2787.4</v>
      </c>
      <c r="W15" s="23">
        <v>2748.7</v>
      </c>
      <c r="X15" s="23">
        <v>2138.1999999999998</v>
      </c>
      <c r="Y15" s="23">
        <v>2210.9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19776.900000000005</v>
      </c>
      <c r="E16" s="30">
        <f t="shared" ref="E16:S16" si="0">SUM(E6:E15)</f>
        <v>21384.399999999994</v>
      </c>
      <c r="F16" s="30">
        <f t="shared" si="0"/>
        <v>23557.499999999996</v>
      </c>
      <c r="G16" s="30">
        <f t="shared" si="0"/>
        <v>26780.399999999998</v>
      </c>
      <c r="H16" s="30">
        <f t="shared" si="0"/>
        <v>30795.199999999993</v>
      </c>
      <c r="I16" s="30">
        <f t="shared" si="0"/>
        <v>34826.300000000017</v>
      </c>
      <c r="J16" s="30">
        <f t="shared" si="0"/>
        <v>40832.1</v>
      </c>
      <c r="K16" s="30">
        <f t="shared" si="0"/>
        <v>50455.899999999987</v>
      </c>
      <c r="L16" s="30">
        <f t="shared" si="0"/>
        <v>59567.299999999981</v>
      </c>
      <c r="M16" s="30">
        <f t="shared" si="0"/>
        <v>57993.499999999985</v>
      </c>
      <c r="N16" s="30">
        <f t="shared" si="0"/>
        <v>62331.299999999996</v>
      </c>
      <c r="O16" s="30">
        <f t="shared" si="0"/>
        <v>64659.7</v>
      </c>
      <c r="P16" s="30">
        <f t="shared" si="0"/>
        <v>66940.500000000015</v>
      </c>
      <c r="Q16" s="30">
        <f t="shared" si="0"/>
        <v>67402.7</v>
      </c>
      <c r="R16" s="30">
        <f t="shared" si="0"/>
        <v>68941.8</v>
      </c>
      <c r="S16" s="30">
        <f t="shared" si="0"/>
        <v>72144.7</v>
      </c>
      <c r="T16" s="30">
        <f t="shared" ref="T16:Y16" si="1">SUM(T6:T15)</f>
        <v>73235.700000000012</v>
      </c>
      <c r="U16" s="30">
        <f t="shared" si="1"/>
        <v>75861.899999999994</v>
      </c>
      <c r="V16" s="30">
        <f t="shared" si="1"/>
        <v>80517.299999999988</v>
      </c>
      <c r="W16" s="30">
        <f t="shared" si="1"/>
        <v>84425.8</v>
      </c>
      <c r="X16" s="30">
        <f t="shared" si="1"/>
        <v>83778.39999999998</v>
      </c>
      <c r="Y16" s="30">
        <f t="shared" si="1"/>
        <v>89465.4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382.9</v>
      </c>
      <c r="E18" s="19">
        <v>506.9</v>
      </c>
      <c r="F18" s="19">
        <v>538.1</v>
      </c>
      <c r="G18" s="19">
        <v>545.29999999999995</v>
      </c>
      <c r="H18" s="19">
        <v>579.6</v>
      </c>
      <c r="I18" s="19">
        <v>637.9</v>
      </c>
      <c r="J18" s="19">
        <v>842.9</v>
      </c>
      <c r="K18" s="19">
        <v>1293.5</v>
      </c>
      <c r="L18" s="19">
        <v>1674.4</v>
      </c>
      <c r="M18" s="19">
        <v>1336.5</v>
      </c>
      <c r="N18" s="19">
        <v>1078.4999999999998</v>
      </c>
      <c r="O18" s="19">
        <v>1350.6</v>
      </c>
      <c r="P18" s="19">
        <v>1400.7</v>
      </c>
      <c r="Q18" s="19">
        <v>1655.5</v>
      </c>
      <c r="R18" s="19">
        <v>2098.8000000000006</v>
      </c>
      <c r="S18" s="19">
        <v>1759.5</v>
      </c>
      <c r="T18" s="19">
        <v>1822.3</v>
      </c>
      <c r="U18" s="19">
        <v>1769.9</v>
      </c>
      <c r="V18" s="19">
        <v>1927.9</v>
      </c>
      <c r="W18" s="19">
        <v>1629.4</v>
      </c>
      <c r="X18" s="19">
        <v>1615.9</v>
      </c>
      <c r="Y18" s="19">
        <v>1783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152.6</v>
      </c>
      <c r="E19" s="23">
        <v>154.4</v>
      </c>
      <c r="F19" s="23">
        <v>149.1</v>
      </c>
      <c r="G19" s="23">
        <v>174</v>
      </c>
      <c r="H19" s="23">
        <v>165.2</v>
      </c>
      <c r="I19" s="23">
        <v>200.7</v>
      </c>
      <c r="J19" s="23">
        <v>170.9</v>
      </c>
      <c r="K19" s="23">
        <v>291.8</v>
      </c>
      <c r="L19" s="23">
        <v>362</v>
      </c>
      <c r="M19" s="23">
        <v>363.9</v>
      </c>
      <c r="N19" s="23">
        <v>300.39999999999992</v>
      </c>
      <c r="O19" s="23">
        <v>336.3</v>
      </c>
      <c r="P19" s="23">
        <v>328.5</v>
      </c>
      <c r="Q19" s="23">
        <v>332.2</v>
      </c>
      <c r="R19" s="23">
        <v>323.2</v>
      </c>
      <c r="S19" s="23">
        <v>352.9</v>
      </c>
      <c r="T19" s="23">
        <v>318.79999999999995</v>
      </c>
      <c r="U19" s="23">
        <v>319.60000000000002</v>
      </c>
      <c r="V19" s="23">
        <v>324.39999999999998</v>
      </c>
      <c r="W19" s="23">
        <v>170.9</v>
      </c>
      <c r="X19" s="23">
        <v>159.80000000000004</v>
      </c>
      <c r="Y19" s="23">
        <v>172.7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4473.2000000000016</v>
      </c>
      <c r="E20" s="23">
        <v>5100.9999999999973</v>
      </c>
      <c r="F20" s="23">
        <v>5113.2</v>
      </c>
      <c r="G20" s="23">
        <v>5937.8</v>
      </c>
      <c r="H20" s="23">
        <v>7090.699999999998</v>
      </c>
      <c r="I20" s="23">
        <v>8120.1000000000095</v>
      </c>
      <c r="J20" s="23">
        <v>9419.0999999999985</v>
      </c>
      <c r="K20" s="23">
        <v>11459.099999999991</v>
      </c>
      <c r="L20" s="23">
        <v>12559.299999999994</v>
      </c>
      <c r="M20" s="23">
        <v>9727.3999999999924</v>
      </c>
      <c r="N20" s="23">
        <v>12400.600000000002</v>
      </c>
      <c r="O20" s="23">
        <v>13050.799999999988</v>
      </c>
      <c r="P20" s="23">
        <v>13356.900000000007</v>
      </c>
      <c r="Q20" s="23">
        <v>13032.500000000002</v>
      </c>
      <c r="R20" s="23">
        <v>14742.899999999998</v>
      </c>
      <c r="S20" s="23">
        <v>15694.500000000002</v>
      </c>
      <c r="T20" s="23">
        <v>15114.400000000007</v>
      </c>
      <c r="U20" s="23">
        <v>15197.899999999996</v>
      </c>
      <c r="V20" s="23">
        <v>16968.999999999996</v>
      </c>
      <c r="W20" s="23">
        <v>18625.400000000005</v>
      </c>
      <c r="X20" s="23">
        <v>17020.89999999998</v>
      </c>
      <c r="Y20" s="23">
        <v>20453.5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623.50000000000011</v>
      </c>
      <c r="E21" s="23">
        <v>466.9</v>
      </c>
      <c r="F21" s="23">
        <v>721.3</v>
      </c>
      <c r="G21" s="23">
        <v>1221.2</v>
      </c>
      <c r="H21" s="23">
        <v>1708</v>
      </c>
      <c r="I21" s="23">
        <v>1664.5</v>
      </c>
      <c r="J21" s="23">
        <v>2642.2</v>
      </c>
      <c r="K21" s="23">
        <v>2723.9</v>
      </c>
      <c r="L21" s="23">
        <v>2867.2</v>
      </c>
      <c r="M21" s="23">
        <v>2650.3</v>
      </c>
      <c r="N21" s="23">
        <v>2267.6</v>
      </c>
      <c r="O21" s="23">
        <v>2567.6999999999998</v>
      </c>
      <c r="P21" s="23">
        <v>2606.1999999999994</v>
      </c>
      <c r="Q21" s="23">
        <v>2232.0000000000005</v>
      </c>
      <c r="R21" s="23">
        <v>2359.3000000000002</v>
      </c>
      <c r="S21" s="23">
        <v>2088.6</v>
      </c>
      <c r="T21" s="23">
        <v>2103.5</v>
      </c>
      <c r="U21" s="23">
        <v>1912.2</v>
      </c>
      <c r="V21" s="23">
        <v>1751.9</v>
      </c>
      <c r="W21" s="23">
        <v>2618.0000000000005</v>
      </c>
      <c r="X21" s="23">
        <v>2745.5</v>
      </c>
      <c r="Y21" s="23">
        <v>2617.8000000000002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207.8</v>
      </c>
      <c r="E22" s="23">
        <v>220.5</v>
      </c>
      <c r="F22" s="23">
        <v>237.3</v>
      </c>
      <c r="G22" s="23">
        <v>283.7</v>
      </c>
      <c r="H22" s="23">
        <v>276.3</v>
      </c>
      <c r="I22" s="23">
        <v>348.4</v>
      </c>
      <c r="J22" s="23">
        <v>421.3</v>
      </c>
      <c r="K22" s="23">
        <v>622.6</v>
      </c>
      <c r="L22" s="23">
        <v>626.70000000000005</v>
      </c>
      <c r="M22" s="23">
        <v>585.6</v>
      </c>
      <c r="N22" s="23">
        <v>595.79999999999995</v>
      </c>
      <c r="O22" s="23">
        <v>578.20000000000005</v>
      </c>
      <c r="P22" s="23">
        <v>642.6</v>
      </c>
      <c r="Q22" s="23">
        <v>761.4</v>
      </c>
      <c r="R22" s="23">
        <v>629.6</v>
      </c>
      <c r="S22" s="23">
        <v>674.8</v>
      </c>
      <c r="T22" s="23">
        <v>636.4</v>
      </c>
      <c r="U22" s="23">
        <v>656.1</v>
      </c>
      <c r="V22" s="23">
        <v>790.3</v>
      </c>
      <c r="W22" s="23">
        <v>843.1</v>
      </c>
      <c r="X22" s="23">
        <v>829.1</v>
      </c>
      <c r="Y22" s="23">
        <v>947.2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1129.0999999999999</v>
      </c>
      <c r="E23" s="23">
        <v>1193.5000000000002</v>
      </c>
      <c r="F23" s="23">
        <v>1481.3</v>
      </c>
      <c r="G23" s="23">
        <v>1594.4</v>
      </c>
      <c r="H23" s="23">
        <v>1897.2</v>
      </c>
      <c r="I23" s="23">
        <v>2246.6</v>
      </c>
      <c r="J23" s="23">
        <v>2981.6</v>
      </c>
      <c r="K23" s="23">
        <v>3801.5</v>
      </c>
      <c r="L23" s="23">
        <v>5434.4</v>
      </c>
      <c r="M23" s="23">
        <v>5540.3</v>
      </c>
      <c r="N23" s="23">
        <v>5490.8</v>
      </c>
      <c r="O23" s="23">
        <v>5350.4</v>
      </c>
      <c r="P23" s="23">
        <v>5765</v>
      </c>
      <c r="Q23" s="23">
        <v>4983.1000000000013</v>
      </c>
      <c r="R23" s="23">
        <v>5251</v>
      </c>
      <c r="S23" s="23">
        <v>5685.2</v>
      </c>
      <c r="T23" s="23">
        <v>5671.3</v>
      </c>
      <c r="U23" s="23">
        <v>6234.8</v>
      </c>
      <c r="V23" s="23">
        <v>6501.1</v>
      </c>
      <c r="W23" s="23">
        <v>5698</v>
      </c>
      <c r="X23" s="23">
        <v>5541</v>
      </c>
      <c r="Y23" s="23">
        <v>5512.7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2684.5</v>
      </c>
      <c r="E24" s="23">
        <v>2721</v>
      </c>
      <c r="F24" s="23">
        <v>2849.1</v>
      </c>
      <c r="G24" s="23">
        <v>3449.9</v>
      </c>
      <c r="H24" s="23">
        <v>4189.7000000000007</v>
      </c>
      <c r="I24" s="23">
        <v>5106.7</v>
      </c>
      <c r="J24" s="23">
        <v>5860.4</v>
      </c>
      <c r="K24" s="23">
        <v>7288.0000000000027</v>
      </c>
      <c r="L24" s="23">
        <v>8968.1</v>
      </c>
      <c r="M24" s="23">
        <v>8240.7000000000007</v>
      </c>
      <c r="N24" s="23">
        <v>9117.7999999999993</v>
      </c>
      <c r="O24" s="23">
        <v>9826.5999999999985</v>
      </c>
      <c r="P24" s="23">
        <v>9170.5000000000018</v>
      </c>
      <c r="Q24" s="23">
        <v>8410.6</v>
      </c>
      <c r="R24" s="23">
        <v>8296.2999999999993</v>
      </c>
      <c r="S24" s="23">
        <v>8185</v>
      </c>
      <c r="T24" s="23">
        <v>7817.2</v>
      </c>
      <c r="U24" s="23">
        <v>8329.4000000000015</v>
      </c>
      <c r="V24" s="23">
        <v>8441.7999999999975</v>
      </c>
      <c r="W24" s="23">
        <v>9442.2999999999993</v>
      </c>
      <c r="X24" s="23">
        <v>9509</v>
      </c>
      <c r="Y24" s="23">
        <v>9332.5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1378.4</v>
      </c>
      <c r="E25" s="23">
        <v>1663.9</v>
      </c>
      <c r="F25" s="23">
        <v>1624.4</v>
      </c>
      <c r="G25" s="23">
        <v>1801.6</v>
      </c>
      <c r="H25" s="23">
        <v>1797</v>
      </c>
      <c r="I25" s="23">
        <v>2131.3000000000002</v>
      </c>
      <c r="J25" s="23">
        <v>1881.4</v>
      </c>
      <c r="K25" s="23">
        <v>2525.5</v>
      </c>
      <c r="L25" s="23">
        <v>2784.7</v>
      </c>
      <c r="M25" s="23">
        <v>2669.1</v>
      </c>
      <c r="N25" s="23">
        <v>2638.8</v>
      </c>
      <c r="O25" s="23">
        <v>3027.8</v>
      </c>
      <c r="P25" s="23">
        <v>3268.8</v>
      </c>
      <c r="Q25" s="23">
        <v>3541.4</v>
      </c>
      <c r="R25" s="23">
        <v>4572.2</v>
      </c>
      <c r="S25" s="23">
        <v>4857.3999999999996</v>
      </c>
      <c r="T25" s="23">
        <v>4553.1000000000004</v>
      </c>
      <c r="U25" s="23">
        <v>4850.3</v>
      </c>
      <c r="V25" s="23">
        <v>5066.6000000000004</v>
      </c>
      <c r="W25" s="23">
        <v>5493.5</v>
      </c>
      <c r="X25" s="23">
        <v>5283.5</v>
      </c>
      <c r="Y25" s="23">
        <v>5424.7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320.3</v>
      </c>
      <c r="E26" s="23">
        <v>339</v>
      </c>
      <c r="F26" s="23">
        <v>353.9</v>
      </c>
      <c r="G26" s="23">
        <v>398.6</v>
      </c>
      <c r="H26" s="23">
        <v>456.2</v>
      </c>
      <c r="I26" s="23">
        <v>538.79999999999995</v>
      </c>
      <c r="J26" s="23">
        <v>621.29999999999995</v>
      </c>
      <c r="K26" s="23">
        <v>654.70000000000005</v>
      </c>
      <c r="L26" s="23">
        <v>819.8</v>
      </c>
      <c r="M26" s="23">
        <v>811.6</v>
      </c>
      <c r="N26" s="23">
        <v>941.6</v>
      </c>
      <c r="O26" s="23">
        <v>928</v>
      </c>
      <c r="P26" s="23">
        <v>1140.5999999999999</v>
      </c>
      <c r="Q26" s="23">
        <v>1187.4000000000001</v>
      </c>
      <c r="R26" s="23">
        <v>1099.2</v>
      </c>
      <c r="S26" s="23">
        <v>1165.5999999999999</v>
      </c>
      <c r="T26" s="23">
        <v>1204.3</v>
      </c>
      <c r="U26" s="23">
        <v>1244.0999999999999</v>
      </c>
      <c r="V26" s="23">
        <v>1329.2</v>
      </c>
      <c r="W26" s="23">
        <v>1231.0999999999997</v>
      </c>
      <c r="X26" s="23">
        <v>888.5</v>
      </c>
      <c r="Y26" s="23">
        <v>808.5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758.2</v>
      </c>
      <c r="E27" s="23">
        <v>892.5</v>
      </c>
      <c r="F27" s="23">
        <v>963.3</v>
      </c>
      <c r="G27" s="23">
        <v>1103.0999999999999</v>
      </c>
      <c r="H27" s="23">
        <v>1279.0999999999999</v>
      </c>
      <c r="I27" s="23">
        <v>1479.7</v>
      </c>
      <c r="J27" s="23">
        <v>1746.6</v>
      </c>
      <c r="K27" s="23">
        <v>2242.6999999999998</v>
      </c>
      <c r="L27" s="23">
        <v>2605.5</v>
      </c>
      <c r="M27" s="23">
        <v>2924.2</v>
      </c>
      <c r="N27" s="23">
        <v>3159.2</v>
      </c>
      <c r="O27" s="23">
        <v>3154</v>
      </c>
      <c r="P27" s="23">
        <v>3579.2</v>
      </c>
      <c r="Q27" s="23">
        <v>3350.5</v>
      </c>
      <c r="R27" s="23">
        <v>3243.7</v>
      </c>
      <c r="S27" s="23">
        <v>3460.2</v>
      </c>
      <c r="T27" s="23">
        <v>3809.9</v>
      </c>
      <c r="U27" s="23">
        <v>3956.1</v>
      </c>
      <c r="V27" s="23">
        <v>3988.6</v>
      </c>
      <c r="W27" s="23">
        <v>4248</v>
      </c>
      <c r="X27" s="23">
        <v>4347.6000000000004</v>
      </c>
      <c r="Y27" s="23">
        <v>4578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546.49999999999989</v>
      </c>
      <c r="E28" s="23">
        <v>515</v>
      </c>
      <c r="F28" s="23">
        <v>974.3</v>
      </c>
      <c r="G28" s="23">
        <v>1031</v>
      </c>
      <c r="H28" s="23">
        <v>1129.4999999999998</v>
      </c>
      <c r="I28" s="23">
        <v>1320</v>
      </c>
      <c r="J28" s="23">
        <v>1366.6</v>
      </c>
      <c r="K28" s="23">
        <v>1484.4</v>
      </c>
      <c r="L28" s="23">
        <v>1633.2</v>
      </c>
      <c r="M28" s="23">
        <v>1871.6</v>
      </c>
      <c r="N28" s="23">
        <v>1969.9</v>
      </c>
      <c r="O28" s="23">
        <v>2149.6000000000004</v>
      </c>
      <c r="P28" s="23">
        <v>2136.3000000000002</v>
      </c>
      <c r="Q28" s="23">
        <v>2167.9</v>
      </c>
      <c r="R28" s="23">
        <v>2284.8000000000006</v>
      </c>
      <c r="S28" s="23">
        <v>2325</v>
      </c>
      <c r="T28" s="23">
        <v>2108</v>
      </c>
      <c r="U28" s="23">
        <v>1882.6</v>
      </c>
      <c r="V28" s="23">
        <v>2212.1999999999998</v>
      </c>
      <c r="W28" s="23">
        <v>2384.9999999999995</v>
      </c>
      <c r="X28" s="23">
        <v>2354.9</v>
      </c>
      <c r="Y28" s="23">
        <v>2502.5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2041</v>
      </c>
      <c r="E29" s="23">
        <v>2309.1999999999998</v>
      </c>
      <c r="F29" s="23">
        <v>2547.9</v>
      </c>
      <c r="G29" s="23">
        <v>2578</v>
      </c>
      <c r="H29" s="23">
        <v>3122.6</v>
      </c>
      <c r="I29" s="23">
        <v>2942</v>
      </c>
      <c r="J29" s="23">
        <v>3495.5</v>
      </c>
      <c r="K29" s="23">
        <v>4443.7</v>
      </c>
      <c r="L29" s="23">
        <v>5701.7</v>
      </c>
      <c r="M29" s="23">
        <v>6044.2</v>
      </c>
      <c r="N29" s="23">
        <v>6119.7</v>
      </c>
      <c r="O29" s="23">
        <v>6120.4</v>
      </c>
      <c r="P29" s="23">
        <v>6518.5</v>
      </c>
      <c r="Q29" s="23">
        <v>8002.6</v>
      </c>
      <c r="R29" s="23">
        <v>5960.4</v>
      </c>
      <c r="S29" s="23">
        <v>6192.2</v>
      </c>
      <c r="T29" s="23">
        <v>7188.9</v>
      </c>
      <c r="U29" s="23">
        <v>7625.2</v>
      </c>
      <c r="V29" s="23">
        <v>8254.7000000000007</v>
      </c>
      <c r="W29" s="23">
        <v>8703.4</v>
      </c>
      <c r="X29" s="23">
        <v>9609.6</v>
      </c>
      <c r="Y29" s="23">
        <v>10535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866.30000000000018</v>
      </c>
      <c r="E30" s="23">
        <v>836.79999999999984</v>
      </c>
      <c r="F30" s="23">
        <v>1035</v>
      </c>
      <c r="G30" s="23">
        <v>1086.8000000000002</v>
      </c>
      <c r="H30" s="23">
        <v>1266.2</v>
      </c>
      <c r="I30" s="23">
        <v>1508.5000000000002</v>
      </c>
      <c r="J30" s="23">
        <v>1835.8999999999996</v>
      </c>
      <c r="K30" s="23">
        <v>2410.6000000000004</v>
      </c>
      <c r="L30" s="23">
        <v>3011.2999999999988</v>
      </c>
      <c r="M30" s="23">
        <v>3069.3000000000006</v>
      </c>
      <c r="N30" s="23">
        <v>3318.5000000000005</v>
      </c>
      <c r="O30" s="23">
        <v>3515.4000000000005</v>
      </c>
      <c r="P30" s="23">
        <v>3734.3</v>
      </c>
      <c r="Q30" s="23">
        <v>3768.2</v>
      </c>
      <c r="R30" s="23">
        <v>4334.2999999999993</v>
      </c>
      <c r="S30" s="23">
        <v>4849.2000000000007</v>
      </c>
      <c r="T30" s="23">
        <v>5416.1</v>
      </c>
      <c r="U30" s="23">
        <v>5402.4</v>
      </c>
      <c r="V30" s="23">
        <v>5490.7999999999993</v>
      </c>
      <c r="W30" s="23">
        <v>5031.7000000000007</v>
      </c>
      <c r="X30" s="23">
        <v>5098.7</v>
      </c>
      <c r="Y30" s="23">
        <v>5041.6000000000004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504.2</v>
      </c>
      <c r="E31" s="23">
        <v>483.3</v>
      </c>
      <c r="F31" s="23">
        <v>559.70000000000005</v>
      </c>
      <c r="G31" s="23">
        <v>592.29999999999995</v>
      </c>
      <c r="H31" s="23">
        <v>687.9</v>
      </c>
      <c r="I31" s="23">
        <v>803.3</v>
      </c>
      <c r="J31" s="23">
        <v>1007.1</v>
      </c>
      <c r="K31" s="23">
        <v>1247.5000000000002</v>
      </c>
      <c r="L31" s="23">
        <v>1621.6</v>
      </c>
      <c r="M31" s="23">
        <v>1765.8</v>
      </c>
      <c r="N31" s="23">
        <v>1929.3</v>
      </c>
      <c r="O31" s="23">
        <v>1719.9</v>
      </c>
      <c r="P31" s="23">
        <v>1876.5</v>
      </c>
      <c r="Q31" s="23">
        <v>2159.9</v>
      </c>
      <c r="R31" s="23">
        <v>2064.3000000000002</v>
      </c>
      <c r="S31" s="23">
        <v>2459.4</v>
      </c>
      <c r="T31" s="23">
        <v>2140.6999999999994</v>
      </c>
      <c r="U31" s="23">
        <v>2590.6999999999998</v>
      </c>
      <c r="V31" s="23">
        <v>2867.5</v>
      </c>
      <c r="W31" s="23">
        <v>2541.1999999999998</v>
      </c>
      <c r="X31" s="23">
        <v>2724.2</v>
      </c>
      <c r="Y31" s="23">
        <v>2630.2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1861.5</v>
      </c>
      <c r="E32" s="23">
        <v>1878.3999999999996</v>
      </c>
      <c r="F32" s="23">
        <v>2035.4</v>
      </c>
      <c r="G32" s="23">
        <v>2387.8999999999996</v>
      </c>
      <c r="H32" s="23">
        <v>2380.6</v>
      </c>
      <c r="I32" s="23">
        <v>2614.9999999999995</v>
      </c>
      <c r="J32" s="23">
        <v>2993</v>
      </c>
      <c r="K32" s="23">
        <v>3375.2</v>
      </c>
      <c r="L32" s="23">
        <v>3758.7</v>
      </c>
      <c r="M32" s="23">
        <v>4416.5000000000009</v>
      </c>
      <c r="N32" s="23">
        <v>4596.1000000000004</v>
      </c>
      <c r="O32" s="23">
        <v>4380.7000000000007</v>
      </c>
      <c r="P32" s="23">
        <v>4390.2000000000007</v>
      </c>
      <c r="Q32" s="23">
        <v>4544.1000000000004</v>
      </c>
      <c r="R32" s="23">
        <v>4151.7000000000016</v>
      </c>
      <c r="S32" s="23">
        <v>4158.6000000000004</v>
      </c>
      <c r="T32" s="23">
        <v>4903.8999999999996</v>
      </c>
      <c r="U32" s="23">
        <v>5130.7000000000007</v>
      </c>
      <c r="V32" s="23">
        <v>5582</v>
      </c>
      <c r="W32" s="23">
        <v>6175.8</v>
      </c>
      <c r="X32" s="23">
        <v>6651.0999999999985</v>
      </c>
      <c r="Y32" s="23">
        <v>6942.2000000000007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703.6</v>
      </c>
      <c r="E33" s="23">
        <v>814.1</v>
      </c>
      <c r="F33" s="23">
        <v>924.4</v>
      </c>
      <c r="G33" s="23">
        <v>1061.7</v>
      </c>
      <c r="H33" s="23">
        <v>1109.5999999999999</v>
      </c>
      <c r="I33" s="23">
        <v>1232.7</v>
      </c>
      <c r="J33" s="23">
        <v>1309.5</v>
      </c>
      <c r="K33" s="23">
        <v>1495.5</v>
      </c>
      <c r="L33" s="23">
        <v>1889.9</v>
      </c>
      <c r="M33" s="23">
        <v>2063.3000000000002</v>
      </c>
      <c r="N33" s="23">
        <v>2152.8000000000002</v>
      </c>
      <c r="O33" s="23">
        <v>2218.6999999999998</v>
      </c>
      <c r="P33" s="23">
        <v>2327.5</v>
      </c>
      <c r="Q33" s="23">
        <v>2466.6999999999998</v>
      </c>
      <c r="R33" s="23">
        <v>2527.8000000000006</v>
      </c>
      <c r="S33" s="23">
        <v>2628.6</v>
      </c>
      <c r="T33" s="23">
        <v>2740</v>
      </c>
      <c r="U33" s="23">
        <v>2850.6</v>
      </c>
      <c r="V33" s="23">
        <v>3104.2</v>
      </c>
      <c r="W33" s="23">
        <v>3307.3</v>
      </c>
      <c r="X33" s="23">
        <v>3549.1</v>
      </c>
      <c r="Y33" s="23">
        <v>3668.4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721.4</v>
      </c>
      <c r="E34" s="23">
        <v>792.3</v>
      </c>
      <c r="F34" s="23">
        <v>879.3</v>
      </c>
      <c r="G34" s="23">
        <v>946.3</v>
      </c>
      <c r="H34" s="23">
        <v>984.1</v>
      </c>
      <c r="I34" s="23">
        <v>985.8</v>
      </c>
      <c r="J34" s="23">
        <v>1170.9000000000001</v>
      </c>
      <c r="K34" s="23">
        <v>1660.7</v>
      </c>
      <c r="L34" s="23">
        <v>1939.1</v>
      </c>
      <c r="M34" s="23">
        <v>2043.4</v>
      </c>
      <c r="N34" s="23">
        <v>2124.8000000000002</v>
      </c>
      <c r="O34" s="23">
        <v>2129.8000000000002</v>
      </c>
      <c r="P34" s="23">
        <v>2262.6999999999994</v>
      </c>
      <c r="Q34" s="23">
        <v>2361.3000000000002</v>
      </c>
      <c r="R34" s="23">
        <v>2414.6999999999998</v>
      </c>
      <c r="S34" s="23">
        <v>2693.9</v>
      </c>
      <c r="T34" s="23">
        <v>2960.9</v>
      </c>
      <c r="U34" s="23">
        <v>3197.7</v>
      </c>
      <c r="V34" s="23">
        <v>3127.7</v>
      </c>
      <c r="W34" s="23">
        <v>3533</v>
      </c>
      <c r="X34" s="23">
        <v>3711.8</v>
      </c>
      <c r="Y34" s="23">
        <v>4304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244.99999999999997</v>
      </c>
      <c r="E35" s="23">
        <v>288.3</v>
      </c>
      <c r="F35" s="23">
        <v>343.5</v>
      </c>
      <c r="G35" s="23">
        <v>342.19999999999993</v>
      </c>
      <c r="H35" s="23">
        <v>319.7</v>
      </c>
      <c r="I35" s="23">
        <v>532.6</v>
      </c>
      <c r="J35" s="23">
        <v>631.50000000000023</v>
      </c>
      <c r="K35" s="23">
        <v>942.79999999999984</v>
      </c>
      <c r="L35" s="23">
        <v>767.2</v>
      </c>
      <c r="M35" s="23">
        <v>1283.0999999999999</v>
      </c>
      <c r="N35" s="23">
        <v>1341.9000000000003</v>
      </c>
      <c r="O35" s="23">
        <v>1517.0000000000002</v>
      </c>
      <c r="P35" s="23">
        <v>1687.8</v>
      </c>
      <c r="Q35" s="23">
        <v>1667.9999999999998</v>
      </c>
      <c r="R35" s="23">
        <v>1834.2000000000003</v>
      </c>
      <c r="S35" s="23">
        <v>2103.6999999999998</v>
      </c>
      <c r="T35" s="23">
        <v>1844.3000000000002</v>
      </c>
      <c r="U35" s="23">
        <v>1827.9999999999998</v>
      </c>
      <c r="V35" s="23">
        <v>1893.7</v>
      </c>
      <c r="W35" s="23">
        <v>1843.3</v>
      </c>
      <c r="X35" s="23">
        <v>1321.8</v>
      </c>
      <c r="Y35" s="23">
        <v>1349.2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166.1</v>
      </c>
      <c r="E36" s="23">
        <v>195.4</v>
      </c>
      <c r="F36" s="23">
        <v>213.5</v>
      </c>
      <c r="G36" s="23">
        <v>230.2</v>
      </c>
      <c r="H36" s="23">
        <v>340.4</v>
      </c>
      <c r="I36" s="23">
        <v>394</v>
      </c>
      <c r="J36" s="23">
        <v>414.3</v>
      </c>
      <c r="K36" s="23">
        <v>467.70000000000005</v>
      </c>
      <c r="L36" s="23">
        <v>514.9</v>
      </c>
      <c r="M36" s="23">
        <v>557.9</v>
      </c>
      <c r="N36" s="23">
        <v>753.3</v>
      </c>
      <c r="O36" s="23">
        <v>706.6</v>
      </c>
      <c r="P36" s="23">
        <v>715.2</v>
      </c>
      <c r="Q36" s="23">
        <v>746.7</v>
      </c>
      <c r="R36" s="23">
        <v>718.3</v>
      </c>
      <c r="S36" s="23">
        <v>775.2</v>
      </c>
      <c r="T36" s="23">
        <v>839.3</v>
      </c>
      <c r="U36" s="23">
        <v>844</v>
      </c>
      <c r="V36" s="23">
        <v>851.2</v>
      </c>
      <c r="W36" s="23">
        <v>856.8</v>
      </c>
      <c r="X36" s="23">
        <v>771.8</v>
      </c>
      <c r="Y36" s="23">
        <v>815.4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10.8</v>
      </c>
      <c r="E37" s="23">
        <v>12</v>
      </c>
      <c r="F37" s="23">
        <v>13.5</v>
      </c>
      <c r="G37" s="23">
        <v>14.4</v>
      </c>
      <c r="H37" s="23">
        <v>15.6</v>
      </c>
      <c r="I37" s="23">
        <v>17.7</v>
      </c>
      <c r="J37" s="23">
        <v>20.100000000000001</v>
      </c>
      <c r="K37" s="23">
        <v>24.5</v>
      </c>
      <c r="L37" s="23">
        <v>27.6</v>
      </c>
      <c r="M37" s="23">
        <v>28.8</v>
      </c>
      <c r="N37" s="23">
        <v>33.9</v>
      </c>
      <c r="O37" s="23">
        <v>31.2</v>
      </c>
      <c r="P37" s="23">
        <v>32.5</v>
      </c>
      <c r="Q37" s="23">
        <v>30.7</v>
      </c>
      <c r="R37" s="23">
        <v>35.1</v>
      </c>
      <c r="S37" s="23">
        <v>35.200000000000003</v>
      </c>
      <c r="T37" s="23">
        <v>42.4</v>
      </c>
      <c r="U37" s="23">
        <v>39.6</v>
      </c>
      <c r="V37" s="23">
        <v>42.5</v>
      </c>
      <c r="W37" s="23">
        <v>48.6</v>
      </c>
      <c r="X37" s="23">
        <v>44.6</v>
      </c>
      <c r="Y37" s="23">
        <v>46.3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19776.900000000001</v>
      </c>
      <c r="E39" s="30">
        <f t="shared" ref="E39:S39" si="2">SUM(E18:E38)</f>
        <v>21384.399999999994</v>
      </c>
      <c r="F39" s="30">
        <f t="shared" si="2"/>
        <v>23557.5</v>
      </c>
      <c r="G39" s="30">
        <f t="shared" si="2"/>
        <v>26780.400000000001</v>
      </c>
      <c r="H39" s="30">
        <f t="shared" si="2"/>
        <v>30795.199999999993</v>
      </c>
      <c r="I39" s="30">
        <f t="shared" si="2"/>
        <v>34826.300000000003</v>
      </c>
      <c r="J39" s="30">
        <f t="shared" si="2"/>
        <v>40832.099999999991</v>
      </c>
      <c r="K39" s="30">
        <f t="shared" si="2"/>
        <v>50455.899999999987</v>
      </c>
      <c r="L39" s="30">
        <f t="shared" si="2"/>
        <v>59567.299999999974</v>
      </c>
      <c r="M39" s="30">
        <f t="shared" si="2"/>
        <v>57993.5</v>
      </c>
      <c r="N39" s="30">
        <f t="shared" si="2"/>
        <v>62331.30000000001</v>
      </c>
      <c r="O39" s="30">
        <f t="shared" si="2"/>
        <v>64659.69999999999</v>
      </c>
      <c r="P39" s="30">
        <f t="shared" si="2"/>
        <v>66940.500000000015</v>
      </c>
      <c r="Q39" s="30">
        <f t="shared" si="2"/>
        <v>67402.7</v>
      </c>
      <c r="R39" s="30">
        <f t="shared" si="2"/>
        <v>68941.8</v>
      </c>
      <c r="S39" s="30">
        <f t="shared" si="2"/>
        <v>72144.699999999983</v>
      </c>
      <c r="T39" s="30">
        <f t="shared" ref="T39:Y39" si="3">SUM(T18:T38)</f>
        <v>73235.700000000012</v>
      </c>
      <c r="U39" s="30">
        <f t="shared" si="3"/>
        <v>75861.899999999994</v>
      </c>
      <c r="V39" s="30">
        <f t="shared" si="3"/>
        <v>80517.299999999974</v>
      </c>
      <c r="W39" s="30">
        <f t="shared" si="3"/>
        <v>84425.800000000017</v>
      </c>
      <c r="X39" s="30">
        <f t="shared" si="3"/>
        <v>83778.400000000009</v>
      </c>
      <c r="Y39" s="30">
        <f t="shared" si="3"/>
        <v>89465.39999999998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565.4</v>
      </c>
      <c r="E41" s="19">
        <v>731.9</v>
      </c>
      <c r="F41" s="19">
        <v>579.29999999999984</v>
      </c>
      <c r="G41" s="19">
        <v>582.4</v>
      </c>
      <c r="H41" s="19">
        <v>656.1</v>
      </c>
      <c r="I41" s="19">
        <v>734</v>
      </c>
      <c r="J41" s="19">
        <v>858.3</v>
      </c>
      <c r="K41" s="19">
        <v>932.2</v>
      </c>
      <c r="L41" s="19">
        <v>1033.3</v>
      </c>
      <c r="M41" s="19">
        <v>912.7</v>
      </c>
      <c r="N41" s="19">
        <v>910.3</v>
      </c>
      <c r="O41" s="19">
        <v>1008.3</v>
      </c>
      <c r="P41" s="19">
        <v>1022.9</v>
      </c>
      <c r="Q41" s="19">
        <v>915.4</v>
      </c>
      <c r="R41" s="19">
        <v>914.8</v>
      </c>
      <c r="S41" s="19">
        <v>984</v>
      </c>
      <c r="T41" s="19">
        <v>854.8</v>
      </c>
      <c r="U41" s="19">
        <v>920.6</v>
      </c>
      <c r="V41" s="19">
        <v>1120.2</v>
      </c>
      <c r="W41" s="19">
        <v>1243.5</v>
      </c>
      <c r="X41" s="19">
        <v>1274.5999999999999</v>
      </c>
      <c r="Y41" s="19">
        <v>1413.4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399.3</v>
      </c>
      <c r="E42" s="23">
        <v>362.7</v>
      </c>
      <c r="F42" s="23">
        <v>375.3</v>
      </c>
      <c r="G42" s="23">
        <v>400.1</v>
      </c>
      <c r="H42" s="23">
        <v>411.4</v>
      </c>
      <c r="I42" s="23">
        <v>490.99999999999994</v>
      </c>
      <c r="J42" s="23">
        <v>501.9</v>
      </c>
      <c r="K42" s="23">
        <v>593.09999999999991</v>
      </c>
      <c r="L42" s="23">
        <v>489.9</v>
      </c>
      <c r="M42" s="23">
        <v>431.6</v>
      </c>
      <c r="N42" s="23">
        <v>681.2</v>
      </c>
      <c r="O42" s="23">
        <v>611.79999999999995</v>
      </c>
      <c r="P42" s="23">
        <v>611.20000000000005</v>
      </c>
      <c r="Q42" s="23">
        <v>590.1</v>
      </c>
      <c r="R42" s="23">
        <v>682.4</v>
      </c>
      <c r="S42" s="23">
        <v>684</v>
      </c>
      <c r="T42" s="23">
        <v>630.4</v>
      </c>
      <c r="U42" s="23">
        <v>578.1</v>
      </c>
      <c r="V42" s="23">
        <v>712.6</v>
      </c>
      <c r="W42" s="23">
        <v>696.8</v>
      </c>
      <c r="X42" s="23">
        <v>617.59999999999991</v>
      </c>
      <c r="Y42" s="23">
        <v>621.5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441.9</v>
      </c>
      <c r="E43" s="23">
        <v>510.8</v>
      </c>
      <c r="F43" s="23">
        <v>493.1</v>
      </c>
      <c r="G43" s="23">
        <v>509.7</v>
      </c>
      <c r="H43" s="23">
        <v>563.1</v>
      </c>
      <c r="I43" s="23">
        <v>632.79999999999995</v>
      </c>
      <c r="J43" s="23">
        <v>806.80000000000018</v>
      </c>
      <c r="K43" s="23">
        <v>950.3</v>
      </c>
      <c r="L43" s="23">
        <v>1071.0000000000002</v>
      </c>
      <c r="M43" s="23">
        <v>949</v>
      </c>
      <c r="N43" s="23">
        <v>970.4</v>
      </c>
      <c r="O43" s="23">
        <v>967.2</v>
      </c>
      <c r="P43" s="23">
        <v>958.3</v>
      </c>
      <c r="Q43" s="23">
        <v>932.7</v>
      </c>
      <c r="R43" s="23">
        <v>1055.5999999999997</v>
      </c>
      <c r="S43" s="23">
        <v>1103.4000000000001</v>
      </c>
      <c r="T43" s="23">
        <v>1054.5999999999997</v>
      </c>
      <c r="U43" s="23">
        <v>1058.9000000000001</v>
      </c>
      <c r="V43" s="23">
        <v>1065</v>
      </c>
      <c r="W43" s="23">
        <v>1100.0999999999999</v>
      </c>
      <c r="X43" s="23">
        <v>1035.9000000000001</v>
      </c>
      <c r="Y43" s="23">
        <v>1097.7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159.80000000000001</v>
      </c>
      <c r="E44" s="23">
        <v>142.30000000000001</v>
      </c>
      <c r="F44" s="23">
        <v>96.5</v>
      </c>
      <c r="G44" s="23">
        <v>110</v>
      </c>
      <c r="H44" s="23">
        <v>348.2</v>
      </c>
      <c r="I44" s="23">
        <v>337.6</v>
      </c>
      <c r="J44" s="23">
        <v>218.3</v>
      </c>
      <c r="K44" s="23">
        <v>258.3</v>
      </c>
      <c r="L44" s="23">
        <v>124.2</v>
      </c>
      <c r="M44" s="23">
        <v>151.69999999999999</v>
      </c>
      <c r="N44" s="23">
        <v>419.6</v>
      </c>
      <c r="O44" s="23">
        <v>95</v>
      </c>
      <c r="P44" s="23">
        <v>373.8</v>
      </c>
      <c r="Q44" s="23">
        <v>265.5</v>
      </c>
      <c r="R44" s="23">
        <v>300.50000000000006</v>
      </c>
      <c r="S44" s="23">
        <v>330.8</v>
      </c>
      <c r="T44" s="23">
        <v>43.6</v>
      </c>
      <c r="U44" s="23">
        <v>337</v>
      </c>
      <c r="V44" s="23">
        <v>300.3</v>
      </c>
      <c r="W44" s="23">
        <v>393.6</v>
      </c>
      <c r="X44" s="23">
        <v>279.89999999999998</v>
      </c>
      <c r="Y44" s="23">
        <v>557.79999999999995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264.10000000000002</v>
      </c>
      <c r="E45" s="23">
        <v>279.5</v>
      </c>
      <c r="F45" s="23">
        <v>308.89999999999998</v>
      </c>
      <c r="G45" s="23">
        <v>238.8</v>
      </c>
      <c r="H45" s="23">
        <v>257.5</v>
      </c>
      <c r="I45" s="23">
        <v>304.39999999999998</v>
      </c>
      <c r="J45" s="23">
        <v>376.1</v>
      </c>
      <c r="K45" s="23">
        <v>404</v>
      </c>
      <c r="L45" s="23">
        <v>446.3</v>
      </c>
      <c r="M45" s="23">
        <v>383.7</v>
      </c>
      <c r="N45" s="23">
        <v>489.2</v>
      </c>
      <c r="O45" s="23">
        <v>585.4</v>
      </c>
      <c r="P45" s="23">
        <v>540.29999999999995</v>
      </c>
      <c r="Q45" s="23">
        <v>450.7</v>
      </c>
      <c r="R45" s="23">
        <v>511.3</v>
      </c>
      <c r="S45" s="23">
        <v>637.29999999999995</v>
      </c>
      <c r="T45" s="23">
        <v>603.00000000000011</v>
      </c>
      <c r="U45" s="23">
        <v>571.20000000000016</v>
      </c>
      <c r="V45" s="23">
        <v>534.40000000000009</v>
      </c>
      <c r="W45" s="23">
        <v>619.29999999999984</v>
      </c>
      <c r="X45" s="23">
        <v>579.20000000000016</v>
      </c>
      <c r="Y45" s="23">
        <v>658.4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57.5</v>
      </c>
      <c r="E46" s="23">
        <v>62.8</v>
      </c>
      <c r="F46" s="23">
        <v>56.9</v>
      </c>
      <c r="G46" s="23">
        <v>46.1</v>
      </c>
      <c r="H46" s="23">
        <v>29.1</v>
      </c>
      <c r="I46" s="23">
        <v>46.8</v>
      </c>
      <c r="J46" s="23">
        <v>57.6</v>
      </c>
      <c r="K46" s="23">
        <v>68.099999999999994</v>
      </c>
      <c r="L46" s="23">
        <v>85.7</v>
      </c>
      <c r="M46" s="23">
        <v>126</v>
      </c>
      <c r="N46" s="23">
        <v>138.19999999999999</v>
      </c>
      <c r="O46" s="23">
        <v>142.4</v>
      </c>
      <c r="P46" s="23">
        <v>141.19999999999999</v>
      </c>
      <c r="Q46" s="23">
        <v>20.9</v>
      </c>
      <c r="R46" s="23">
        <v>74.3</v>
      </c>
      <c r="S46" s="23">
        <v>56.1</v>
      </c>
      <c r="T46" s="23">
        <v>79.8</v>
      </c>
      <c r="U46" s="23">
        <v>69.5</v>
      </c>
      <c r="V46" s="23">
        <v>69.900000000000006</v>
      </c>
      <c r="W46" s="23">
        <v>74.2</v>
      </c>
      <c r="X46" s="23">
        <v>80.099999999999994</v>
      </c>
      <c r="Y46" s="23">
        <v>93.6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492.3</v>
      </c>
      <c r="E47" s="23">
        <v>530.9</v>
      </c>
      <c r="F47" s="23">
        <v>631.20000000000005</v>
      </c>
      <c r="G47" s="23">
        <v>721</v>
      </c>
      <c r="H47" s="23">
        <v>778.2</v>
      </c>
      <c r="I47" s="23">
        <v>898</v>
      </c>
      <c r="J47" s="23">
        <v>1011.5</v>
      </c>
      <c r="K47" s="23">
        <v>1256.5999999999999</v>
      </c>
      <c r="L47" s="23">
        <v>1349.2</v>
      </c>
      <c r="M47" s="23">
        <v>1207.8</v>
      </c>
      <c r="N47" s="23">
        <v>1154.2</v>
      </c>
      <c r="O47" s="23">
        <v>1371.7</v>
      </c>
      <c r="P47" s="23">
        <v>1495.8</v>
      </c>
      <c r="Q47" s="23">
        <v>1578.2</v>
      </c>
      <c r="R47" s="23">
        <v>1695.3</v>
      </c>
      <c r="S47" s="23">
        <v>1776.1</v>
      </c>
      <c r="T47" s="23">
        <v>1903.1</v>
      </c>
      <c r="U47" s="23">
        <v>1923.7</v>
      </c>
      <c r="V47" s="23">
        <v>1931.6</v>
      </c>
      <c r="W47" s="23">
        <v>2171.1999999999998</v>
      </c>
      <c r="X47" s="23">
        <v>1969.4</v>
      </c>
      <c r="Y47" s="23">
        <v>2241.6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784</v>
      </c>
      <c r="E48" s="23">
        <v>987.8</v>
      </c>
      <c r="F48" s="23">
        <v>940.6</v>
      </c>
      <c r="G48" s="23">
        <v>1214.8</v>
      </c>
      <c r="H48" s="23">
        <v>1603.2</v>
      </c>
      <c r="I48" s="23">
        <v>1869.1</v>
      </c>
      <c r="J48" s="23">
        <v>2214.6</v>
      </c>
      <c r="K48" s="23">
        <v>2789.6</v>
      </c>
      <c r="L48" s="23">
        <v>2895.5</v>
      </c>
      <c r="M48" s="23">
        <v>1985.3</v>
      </c>
      <c r="N48" s="23">
        <v>2642.1</v>
      </c>
      <c r="O48" s="23">
        <v>2554</v>
      </c>
      <c r="P48" s="23">
        <v>2811.7</v>
      </c>
      <c r="Q48" s="23">
        <v>2632.4</v>
      </c>
      <c r="R48" s="23">
        <v>2924.9</v>
      </c>
      <c r="S48" s="23">
        <v>3048</v>
      </c>
      <c r="T48" s="23">
        <v>3093.6</v>
      </c>
      <c r="U48" s="23">
        <v>3245.4</v>
      </c>
      <c r="V48" s="23">
        <v>3513</v>
      </c>
      <c r="W48" s="23">
        <v>3312.4</v>
      </c>
      <c r="X48" s="23">
        <v>3077.6</v>
      </c>
      <c r="Y48" s="23">
        <v>4158.8999999999996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148.30000000000001</v>
      </c>
      <c r="E49" s="23">
        <v>145.69999999999996</v>
      </c>
      <c r="F49" s="23">
        <v>171.1</v>
      </c>
      <c r="G49" s="23">
        <v>194.9</v>
      </c>
      <c r="H49" s="23">
        <v>256.5</v>
      </c>
      <c r="I49" s="23">
        <v>340.2</v>
      </c>
      <c r="J49" s="23">
        <v>546.29999999999995</v>
      </c>
      <c r="K49" s="23">
        <v>552.20000000000005</v>
      </c>
      <c r="L49" s="23">
        <v>734.1</v>
      </c>
      <c r="M49" s="23">
        <v>466.1</v>
      </c>
      <c r="N49" s="23">
        <v>626.20000000000005</v>
      </c>
      <c r="O49" s="23">
        <v>688.3</v>
      </c>
      <c r="P49" s="23">
        <v>656.7</v>
      </c>
      <c r="Q49" s="23">
        <v>527.99999999999989</v>
      </c>
      <c r="R49" s="23">
        <v>720.9</v>
      </c>
      <c r="S49" s="23">
        <v>626.79999999999995</v>
      </c>
      <c r="T49" s="23">
        <v>652.50000000000011</v>
      </c>
      <c r="U49" s="23">
        <v>547</v>
      </c>
      <c r="V49" s="23">
        <v>556.79999999999995</v>
      </c>
      <c r="W49" s="23">
        <v>572.9</v>
      </c>
      <c r="X49" s="23">
        <v>495.2</v>
      </c>
      <c r="Y49" s="23">
        <v>610.59999999999991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196.5</v>
      </c>
      <c r="E50" s="23">
        <v>228.9</v>
      </c>
      <c r="F50" s="23">
        <v>232.9</v>
      </c>
      <c r="G50" s="23">
        <v>288.60000000000002</v>
      </c>
      <c r="H50" s="23">
        <v>290.8</v>
      </c>
      <c r="I50" s="23">
        <v>385.9</v>
      </c>
      <c r="J50" s="23">
        <v>436.49999999999994</v>
      </c>
      <c r="K50" s="23">
        <v>494</v>
      </c>
      <c r="L50" s="23">
        <v>656.8</v>
      </c>
      <c r="M50" s="23">
        <v>436.8</v>
      </c>
      <c r="N50" s="23">
        <v>595.20000000000005</v>
      </c>
      <c r="O50" s="23">
        <v>902.6</v>
      </c>
      <c r="P50" s="23">
        <v>664.9</v>
      </c>
      <c r="Q50" s="23">
        <v>748.6</v>
      </c>
      <c r="R50" s="23">
        <v>713.4</v>
      </c>
      <c r="S50" s="23">
        <v>879.4</v>
      </c>
      <c r="T50" s="23">
        <v>875.1</v>
      </c>
      <c r="U50" s="23">
        <v>952.3</v>
      </c>
      <c r="V50" s="23">
        <v>1003.8</v>
      </c>
      <c r="W50" s="23">
        <v>1165.3000000000002</v>
      </c>
      <c r="X50" s="23">
        <v>925.4</v>
      </c>
      <c r="Y50" s="23">
        <v>1165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317.99999999999994</v>
      </c>
      <c r="E51" s="23">
        <v>337.8</v>
      </c>
      <c r="F51" s="23">
        <v>351.1</v>
      </c>
      <c r="G51" s="23">
        <v>412.4</v>
      </c>
      <c r="H51" s="23">
        <v>496</v>
      </c>
      <c r="I51" s="23">
        <v>564</v>
      </c>
      <c r="J51" s="23">
        <v>641.29999999999995</v>
      </c>
      <c r="K51" s="23">
        <v>767.7</v>
      </c>
      <c r="L51" s="23">
        <v>938.1</v>
      </c>
      <c r="M51" s="23">
        <v>642.09999999999991</v>
      </c>
      <c r="N51" s="23">
        <v>879.4</v>
      </c>
      <c r="O51" s="23">
        <v>1041.3</v>
      </c>
      <c r="P51" s="23">
        <v>1017.7</v>
      </c>
      <c r="Q51" s="23">
        <v>1070.9999999999998</v>
      </c>
      <c r="R51" s="23">
        <v>1319.7</v>
      </c>
      <c r="S51" s="23">
        <v>1482.6</v>
      </c>
      <c r="T51" s="23">
        <v>1278.3</v>
      </c>
      <c r="U51" s="23">
        <v>1082.7</v>
      </c>
      <c r="V51" s="23">
        <v>1488.6</v>
      </c>
      <c r="W51" s="23">
        <v>1626.1</v>
      </c>
      <c r="X51" s="23">
        <v>1367.9</v>
      </c>
      <c r="Y51" s="23">
        <v>1807.6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339.1</v>
      </c>
      <c r="E52" s="23">
        <v>400.9</v>
      </c>
      <c r="F52" s="23">
        <v>458.2</v>
      </c>
      <c r="G52" s="23">
        <v>718.9</v>
      </c>
      <c r="H52" s="23">
        <v>828.3</v>
      </c>
      <c r="I52" s="23">
        <v>859.8</v>
      </c>
      <c r="J52" s="23">
        <v>1004</v>
      </c>
      <c r="K52" s="23">
        <v>1572.9</v>
      </c>
      <c r="L52" s="23">
        <v>1838</v>
      </c>
      <c r="M52" s="23">
        <v>1217.4000000000001</v>
      </c>
      <c r="N52" s="23">
        <v>1975.8</v>
      </c>
      <c r="O52" s="23">
        <v>2062.6999999999998</v>
      </c>
      <c r="P52" s="23">
        <v>2140.4</v>
      </c>
      <c r="Q52" s="23">
        <v>2292.5000000000005</v>
      </c>
      <c r="R52" s="23">
        <v>2840.3</v>
      </c>
      <c r="S52" s="23">
        <v>3090.2</v>
      </c>
      <c r="T52" s="23">
        <v>3012.7</v>
      </c>
      <c r="U52" s="23">
        <v>2808.2</v>
      </c>
      <c r="V52" s="23">
        <v>3506.5</v>
      </c>
      <c r="W52" s="23">
        <v>4436.8999999999996</v>
      </c>
      <c r="X52" s="23">
        <v>4191.7</v>
      </c>
      <c r="Y52" s="23">
        <v>4863.3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307.00000000000205</v>
      </c>
      <c r="E53" s="23">
        <v>378.99999999999744</v>
      </c>
      <c r="F53" s="23">
        <v>418.09999999999962</v>
      </c>
      <c r="G53" s="23">
        <v>500.09999999999985</v>
      </c>
      <c r="H53" s="23">
        <v>572.29999999999654</v>
      </c>
      <c r="I53" s="23">
        <v>656.50000000000944</v>
      </c>
      <c r="J53" s="23">
        <v>745.8999999999977</v>
      </c>
      <c r="K53" s="23">
        <v>820.09999999999172</v>
      </c>
      <c r="L53" s="23">
        <v>897.19999999999243</v>
      </c>
      <c r="M53" s="23">
        <v>817.19999999998947</v>
      </c>
      <c r="N53" s="23">
        <v>918.80000000000291</v>
      </c>
      <c r="O53" s="23">
        <v>1020.0999999999888</v>
      </c>
      <c r="P53" s="23">
        <v>922.00000000000568</v>
      </c>
      <c r="Q53" s="23">
        <v>1006.5000000000009</v>
      </c>
      <c r="R53" s="23">
        <v>989.49999999999727</v>
      </c>
      <c r="S53" s="23">
        <v>995.80000000000121</v>
      </c>
      <c r="T53" s="23">
        <v>1032.9000000000071</v>
      </c>
      <c r="U53" s="23">
        <v>1103.2999999999918</v>
      </c>
      <c r="V53" s="23">
        <v>1166.3</v>
      </c>
      <c r="W53" s="23">
        <v>1213.1000000000076</v>
      </c>
      <c r="X53" s="23">
        <v>1126.3999999999801</v>
      </c>
      <c r="Y53" s="23">
        <v>1164.0999999999988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4473.2000000000025</v>
      </c>
      <c r="E54" s="30">
        <f t="shared" ref="E54:S54" si="4">SUM(E41:E53)</f>
        <v>5100.9999999999964</v>
      </c>
      <c r="F54" s="30">
        <f t="shared" si="4"/>
        <v>5113.1999999999989</v>
      </c>
      <c r="G54" s="30">
        <f t="shared" si="4"/>
        <v>5937.7999999999984</v>
      </c>
      <c r="H54" s="30">
        <f t="shared" si="4"/>
        <v>7090.6999999999971</v>
      </c>
      <c r="I54" s="30">
        <f t="shared" si="4"/>
        <v>8120.1000000000095</v>
      </c>
      <c r="J54" s="30">
        <f t="shared" si="4"/>
        <v>9419.0999999999985</v>
      </c>
      <c r="K54" s="30">
        <f t="shared" si="4"/>
        <v>11459.099999999993</v>
      </c>
      <c r="L54" s="30">
        <f t="shared" si="4"/>
        <v>12559.29999999999</v>
      </c>
      <c r="M54" s="30">
        <f t="shared" si="4"/>
        <v>9727.3999999999905</v>
      </c>
      <c r="N54" s="30">
        <f t="shared" si="4"/>
        <v>12400.6</v>
      </c>
      <c r="O54" s="30">
        <f t="shared" si="4"/>
        <v>13050.79999999999</v>
      </c>
      <c r="P54" s="30">
        <f t="shared" si="4"/>
        <v>13356.900000000005</v>
      </c>
      <c r="Q54" s="30">
        <f t="shared" si="4"/>
        <v>13032.5</v>
      </c>
      <c r="R54" s="30">
        <f t="shared" si="4"/>
        <v>14742.899999999998</v>
      </c>
      <c r="S54" s="30">
        <f t="shared" si="4"/>
        <v>15694.500000000002</v>
      </c>
      <c r="T54" s="30">
        <f t="shared" ref="T54:Y54" si="5">SUM(T41:T53)</f>
        <v>15114.400000000007</v>
      </c>
      <c r="U54" s="30">
        <f t="shared" si="5"/>
        <v>15197.899999999994</v>
      </c>
      <c r="V54" s="30">
        <f t="shared" si="5"/>
        <v>16969</v>
      </c>
      <c r="W54" s="30">
        <f t="shared" si="5"/>
        <v>18625.400000000009</v>
      </c>
      <c r="X54" s="30">
        <f t="shared" si="5"/>
        <v>17020.89999999998</v>
      </c>
      <c r="Y54" s="30">
        <f t="shared" si="5"/>
        <v>20453.5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565.4</v>
      </c>
      <c r="E56" s="19">
        <v>731.9</v>
      </c>
      <c r="F56" s="19">
        <v>579.29999999999984</v>
      </c>
      <c r="G56" s="19">
        <v>582.4</v>
      </c>
      <c r="H56" s="19">
        <v>656.1</v>
      </c>
      <c r="I56" s="19">
        <v>734</v>
      </c>
      <c r="J56" s="19">
        <v>858.3</v>
      </c>
      <c r="K56" s="19">
        <v>932.2</v>
      </c>
      <c r="L56" s="19">
        <v>1033.3</v>
      </c>
      <c r="M56" s="19">
        <v>912.7</v>
      </c>
      <c r="N56" s="19">
        <v>910.3</v>
      </c>
      <c r="O56" s="19">
        <v>1008.3</v>
      </c>
      <c r="P56" s="19">
        <v>1022.9</v>
      </c>
      <c r="Q56" s="19">
        <v>915.4</v>
      </c>
      <c r="R56" s="19">
        <v>914.8</v>
      </c>
      <c r="S56" s="19">
        <v>984</v>
      </c>
      <c r="T56" s="19">
        <v>854.8</v>
      </c>
      <c r="U56" s="19">
        <v>920.6</v>
      </c>
      <c r="V56" s="19">
        <v>1120.2</v>
      </c>
      <c r="W56" s="19">
        <v>1243.5</v>
      </c>
      <c r="X56" s="19">
        <v>1274.5999999999999</v>
      </c>
      <c r="Y56" s="19">
        <v>1413.4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399.3</v>
      </c>
      <c r="E57" s="23">
        <v>362.7</v>
      </c>
      <c r="F57" s="23">
        <v>375.3</v>
      </c>
      <c r="G57" s="23">
        <v>400.1</v>
      </c>
      <c r="H57" s="23">
        <v>411.4</v>
      </c>
      <c r="I57" s="23">
        <v>490.99999999999994</v>
      </c>
      <c r="J57" s="23">
        <v>501.9</v>
      </c>
      <c r="K57" s="23">
        <v>593.09999999999991</v>
      </c>
      <c r="L57" s="23">
        <v>489.9</v>
      </c>
      <c r="M57" s="23">
        <v>431.6</v>
      </c>
      <c r="N57" s="23">
        <v>681.2</v>
      </c>
      <c r="O57" s="23">
        <v>611.79999999999995</v>
      </c>
      <c r="P57" s="23">
        <v>611.20000000000005</v>
      </c>
      <c r="Q57" s="23">
        <v>590.1</v>
      </c>
      <c r="R57" s="23">
        <v>682.4</v>
      </c>
      <c r="S57" s="23">
        <v>684</v>
      </c>
      <c r="T57" s="23">
        <v>630.4</v>
      </c>
      <c r="U57" s="23">
        <v>578.1</v>
      </c>
      <c r="V57" s="23">
        <v>712.6</v>
      </c>
      <c r="W57" s="23">
        <v>696.8</v>
      </c>
      <c r="X57" s="23">
        <v>617.59999999999991</v>
      </c>
      <c r="Y57" s="23">
        <v>621.5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147.19999999999996</v>
      </c>
      <c r="E58" s="23">
        <v>162.6</v>
      </c>
      <c r="F58" s="23">
        <v>178.2</v>
      </c>
      <c r="G58" s="23">
        <v>211.4</v>
      </c>
      <c r="H58" s="23">
        <v>274.3</v>
      </c>
      <c r="I58" s="23">
        <v>320.89999999999998</v>
      </c>
      <c r="J58" s="23">
        <v>422.1</v>
      </c>
      <c r="K58" s="23">
        <v>508.7</v>
      </c>
      <c r="L58" s="23">
        <v>607.20000000000005</v>
      </c>
      <c r="M58" s="23">
        <v>508.49999999999994</v>
      </c>
      <c r="N58" s="23">
        <v>512.4</v>
      </c>
      <c r="O58" s="23">
        <v>497.8</v>
      </c>
      <c r="P58" s="23">
        <v>444.4</v>
      </c>
      <c r="Q58" s="23">
        <v>458</v>
      </c>
      <c r="R58" s="23">
        <v>576.79999999999995</v>
      </c>
      <c r="S58" s="23">
        <v>588.6</v>
      </c>
      <c r="T58" s="23">
        <v>528.9</v>
      </c>
      <c r="U58" s="23">
        <v>572.9</v>
      </c>
      <c r="V58" s="23">
        <v>536.1</v>
      </c>
      <c r="W58" s="23">
        <v>574.50000000000011</v>
      </c>
      <c r="X58" s="23">
        <v>586.6</v>
      </c>
      <c r="Y58" s="23">
        <v>602.9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212.9</v>
      </c>
      <c r="E59" s="23">
        <v>259.2</v>
      </c>
      <c r="F59" s="23">
        <v>228.7</v>
      </c>
      <c r="G59" s="23">
        <v>200.3</v>
      </c>
      <c r="H59" s="23">
        <v>187.5</v>
      </c>
      <c r="I59" s="23">
        <v>203.1</v>
      </c>
      <c r="J59" s="23">
        <v>246.8</v>
      </c>
      <c r="K59" s="23">
        <v>283.00000000000006</v>
      </c>
      <c r="L59" s="23">
        <v>277.29999999999995</v>
      </c>
      <c r="M59" s="23">
        <v>287.7</v>
      </c>
      <c r="N59" s="23">
        <v>277.2</v>
      </c>
      <c r="O59" s="23">
        <v>297.3</v>
      </c>
      <c r="P59" s="23">
        <v>329</v>
      </c>
      <c r="Q59" s="23">
        <v>301.8</v>
      </c>
      <c r="R59" s="23">
        <v>303.2</v>
      </c>
      <c r="S59" s="23">
        <v>344.2</v>
      </c>
      <c r="T59" s="23">
        <v>362</v>
      </c>
      <c r="U59" s="23">
        <v>315.89999999999998</v>
      </c>
      <c r="V59" s="23">
        <v>330.6</v>
      </c>
      <c r="W59" s="23">
        <v>349.6</v>
      </c>
      <c r="X59" s="23">
        <v>292.10000000000008</v>
      </c>
      <c r="Y59" s="23">
        <v>321.8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81.800000000000082</v>
      </c>
      <c r="E60" s="23">
        <v>89</v>
      </c>
      <c r="F60" s="23">
        <v>86.199999999999989</v>
      </c>
      <c r="G60" s="23">
        <v>98</v>
      </c>
      <c r="H60" s="23">
        <v>101.30000000000005</v>
      </c>
      <c r="I60" s="23">
        <v>108.79999999999997</v>
      </c>
      <c r="J60" s="23">
        <v>137.90000000000012</v>
      </c>
      <c r="K60" s="23">
        <v>158.60000000000002</v>
      </c>
      <c r="L60" s="23">
        <v>186.50000000000009</v>
      </c>
      <c r="M60" s="23">
        <v>152.80000000000004</v>
      </c>
      <c r="N60" s="23">
        <v>180.80000000000004</v>
      </c>
      <c r="O60" s="23">
        <v>172.1</v>
      </c>
      <c r="P60" s="23">
        <v>184.9</v>
      </c>
      <c r="Q60" s="23">
        <v>172.90000000000003</v>
      </c>
      <c r="R60" s="23">
        <v>175.59999999999982</v>
      </c>
      <c r="S60" s="23">
        <v>170.60000000000008</v>
      </c>
      <c r="T60" s="23">
        <v>163.69999999999985</v>
      </c>
      <c r="U60" s="23">
        <v>170.10000000000011</v>
      </c>
      <c r="V60" s="23">
        <v>198.2999999999999</v>
      </c>
      <c r="W60" s="23">
        <v>175.99999999999977</v>
      </c>
      <c r="X60" s="23">
        <v>157.2000000000001</v>
      </c>
      <c r="Y60" s="23">
        <v>173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159.80000000000001</v>
      </c>
      <c r="E61" s="23">
        <v>142.30000000000001</v>
      </c>
      <c r="F61" s="23">
        <v>96.5</v>
      </c>
      <c r="G61" s="23">
        <v>110</v>
      </c>
      <c r="H61" s="23">
        <v>348.2</v>
      </c>
      <c r="I61" s="23">
        <v>337.6</v>
      </c>
      <c r="J61" s="23">
        <v>218.3</v>
      </c>
      <c r="K61" s="23">
        <v>258.3</v>
      </c>
      <c r="L61" s="23">
        <v>124.2</v>
      </c>
      <c r="M61" s="23">
        <v>151.69999999999999</v>
      </c>
      <c r="N61" s="23">
        <v>419.6</v>
      </c>
      <c r="O61" s="23">
        <v>95</v>
      </c>
      <c r="P61" s="23">
        <v>373.8</v>
      </c>
      <c r="Q61" s="23">
        <v>265.5</v>
      </c>
      <c r="R61" s="23">
        <v>300.50000000000006</v>
      </c>
      <c r="S61" s="23">
        <v>330.8</v>
      </c>
      <c r="T61" s="23">
        <v>43.6</v>
      </c>
      <c r="U61" s="23">
        <v>337</v>
      </c>
      <c r="V61" s="23">
        <v>300.3</v>
      </c>
      <c r="W61" s="23">
        <v>393.6</v>
      </c>
      <c r="X61" s="23">
        <v>279.89999999999998</v>
      </c>
      <c r="Y61" s="23">
        <v>557.79999999999995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264.10000000000002</v>
      </c>
      <c r="E62" s="23">
        <v>279.5</v>
      </c>
      <c r="F62" s="23">
        <v>308.89999999999998</v>
      </c>
      <c r="G62" s="23">
        <v>238.8</v>
      </c>
      <c r="H62" s="23">
        <v>257.5</v>
      </c>
      <c r="I62" s="23">
        <v>304.39999999999998</v>
      </c>
      <c r="J62" s="23">
        <v>376.1</v>
      </c>
      <c r="K62" s="23">
        <v>404</v>
      </c>
      <c r="L62" s="23">
        <v>446.3</v>
      </c>
      <c r="M62" s="23">
        <v>383.7</v>
      </c>
      <c r="N62" s="23">
        <v>489.2</v>
      </c>
      <c r="O62" s="23">
        <v>585.4</v>
      </c>
      <c r="P62" s="23">
        <v>540.29999999999995</v>
      </c>
      <c r="Q62" s="23">
        <v>450.7</v>
      </c>
      <c r="R62" s="23">
        <v>511.3</v>
      </c>
      <c r="S62" s="23">
        <v>637.29999999999995</v>
      </c>
      <c r="T62" s="23">
        <v>603.00000000000011</v>
      </c>
      <c r="U62" s="23">
        <v>571.20000000000016</v>
      </c>
      <c r="V62" s="23">
        <v>534.40000000000009</v>
      </c>
      <c r="W62" s="23">
        <v>619.29999999999984</v>
      </c>
      <c r="X62" s="23">
        <v>579.20000000000016</v>
      </c>
      <c r="Y62" s="23">
        <v>658.4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57.5</v>
      </c>
      <c r="E63" s="23">
        <v>62.8</v>
      </c>
      <c r="F63" s="23">
        <v>56.9</v>
      </c>
      <c r="G63" s="23">
        <v>46.1</v>
      </c>
      <c r="H63" s="23">
        <v>29.1</v>
      </c>
      <c r="I63" s="23">
        <v>46.8</v>
      </c>
      <c r="J63" s="23">
        <v>57.6</v>
      </c>
      <c r="K63" s="23">
        <v>68.099999999999994</v>
      </c>
      <c r="L63" s="23">
        <v>85.7</v>
      </c>
      <c r="M63" s="23">
        <v>126</v>
      </c>
      <c r="N63" s="23">
        <v>138.19999999999999</v>
      </c>
      <c r="O63" s="23">
        <v>142.4</v>
      </c>
      <c r="P63" s="23">
        <v>141.19999999999999</v>
      </c>
      <c r="Q63" s="23">
        <v>20.9</v>
      </c>
      <c r="R63" s="23">
        <v>74.3</v>
      </c>
      <c r="S63" s="23">
        <v>56.1</v>
      </c>
      <c r="T63" s="23">
        <v>79.8</v>
      </c>
      <c r="U63" s="23">
        <v>69.5</v>
      </c>
      <c r="V63" s="23">
        <v>69.900000000000006</v>
      </c>
      <c r="W63" s="23">
        <v>74.2</v>
      </c>
      <c r="X63" s="23">
        <v>80.099999999999994</v>
      </c>
      <c r="Y63" s="23">
        <v>93.6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198.8</v>
      </c>
      <c r="E64" s="23">
        <v>220.1</v>
      </c>
      <c r="F64" s="23">
        <v>278.7</v>
      </c>
      <c r="G64" s="23">
        <v>352.1</v>
      </c>
      <c r="H64" s="23">
        <v>378</v>
      </c>
      <c r="I64" s="23">
        <v>446</v>
      </c>
      <c r="J64" s="23">
        <v>488.59999999999991</v>
      </c>
      <c r="K64" s="23">
        <v>581.1</v>
      </c>
      <c r="L64" s="23">
        <v>605.29999999999984</v>
      </c>
      <c r="M64" s="23">
        <v>668.5</v>
      </c>
      <c r="N64" s="23">
        <v>651.70000000000016</v>
      </c>
      <c r="O64" s="23">
        <v>800.7</v>
      </c>
      <c r="P64" s="23">
        <v>1002.3</v>
      </c>
      <c r="Q64" s="23">
        <v>1112.5</v>
      </c>
      <c r="R64" s="23">
        <v>1181.0999999999999</v>
      </c>
      <c r="S64" s="23">
        <v>1254.3</v>
      </c>
      <c r="T64" s="23">
        <v>1337.7</v>
      </c>
      <c r="U64" s="23">
        <v>1313.1</v>
      </c>
      <c r="V64" s="23">
        <v>1316.7</v>
      </c>
      <c r="W64" s="23">
        <v>1464.8</v>
      </c>
      <c r="X64" s="23">
        <v>1292.9000000000001</v>
      </c>
      <c r="Y64" s="23">
        <v>1464.5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293.49999999999994</v>
      </c>
      <c r="E65" s="23">
        <v>310.8</v>
      </c>
      <c r="F65" s="23">
        <v>352.5</v>
      </c>
      <c r="G65" s="23">
        <v>368.9</v>
      </c>
      <c r="H65" s="23">
        <v>400.2</v>
      </c>
      <c r="I65" s="23">
        <v>451.99999999999994</v>
      </c>
      <c r="J65" s="23">
        <v>522.90000000000009</v>
      </c>
      <c r="K65" s="23">
        <v>675.49999999999989</v>
      </c>
      <c r="L65" s="23">
        <v>743.90000000000009</v>
      </c>
      <c r="M65" s="23">
        <v>539.29999999999995</v>
      </c>
      <c r="N65" s="23">
        <v>502.49999999999983</v>
      </c>
      <c r="O65" s="23">
        <v>570.99999999999989</v>
      </c>
      <c r="P65" s="23">
        <v>493.5</v>
      </c>
      <c r="Q65" s="23">
        <v>465.7</v>
      </c>
      <c r="R65" s="23">
        <v>514.20000000000027</v>
      </c>
      <c r="S65" s="23">
        <v>521.79999999999995</v>
      </c>
      <c r="T65" s="23">
        <v>565.4</v>
      </c>
      <c r="U65" s="23">
        <v>610.6</v>
      </c>
      <c r="V65" s="23">
        <v>614.90000000000009</v>
      </c>
      <c r="W65" s="23">
        <v>706.39999999999952</v>
      </c>
      <c r="X65" s="23">
        <v>676.49999999999989</v>
      </c>
      <c r="Y65" s="23">
        <v>777.10000000000014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439.9</v>
      </c>
      <c r="E66" s="23">
        <v>531.20000000000005</v>
      </c>
      <c r="F66" s="23">
        <v>493.2</v>
      </c>
      <c r="G66" s="23">
        <v>636.4</v>
      </c>
      <c r="H66" s="23">
        <v>908.8</v>
      </c>
      <c r="I66" s="23">
        <v>1020.0000000000001</v>
      </c>
      <c r="J66" s="23">
        <v>1190.5999999999999</v>
      </c>
      <c r="K66" s="23">
        <v>1332.2</v>
      </c>
      <c r="L66" s="23">
        <v>1141.7</v>
      </c>
      <c r="M66" s="23">
        <v>580.20000000000016</v>
      </c>
      <c r="N66" s="23">
        <v>968</v>
      </c>
      <c r="O66" s="23">
        <v>763.8</v>
      </c>
      <c r="P66" s="23">
        <v>841</v>
      </c>
      <c r="Q66" s="23">
        <v>780.7</v>
      </c>
      <c r="R66" s="23">
        <v>740.9</v>
      </c>
      <c r="S66" s="23">
        <v>854.6</v>
      </c>
      <c r="T66" s="23">
        <v>930.4</v>
      </c>
      <c r="U66" s="23">
        <v>941.6</v>
      </c>
      <c r="V66" s="23">
        <v>1083.4000000000001</v>
      </c>
      <c r="W66" s="23">
        <v>789.4</v>
      </c>
      <c r="X66" s="23">
        <v>742.2</v>
      </c>
      <c r="Y66" s="23">
        <v>1700.5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344.09999999999991</v>
      </c>
      <c r="E67" s="23">
        <v>456.6</v>
      </c>
      <c r="F67" s="23">
        <v>447.39999999999992</v>
      </c>
      <c r="G67" s="23">
        <v>578.40000000000009</v>
      </c>
      <c r="H67" s="23">
        <v>694.4</v>
      </c>
      <c r="I67" s="23">
        <v>849.09999999999991</v>
      </c>
      <c r="J67" s="23">
        <v>1024.0000000000002</v>
      </c>
      <c r="K67" s="23">
        <v>1457.4</v>
      </c>
      <c r="L67" s="23">
        <v>1753.7999999999997</v>
      </c>
      <c r="M67" s="23">
        <v>1405.1</v>
      </c>
      <c r="N67" s="23">
        <v>1674.0999999999997</v>
      </c>
      <c r="O67" s="23">
        <v>1790.2000000000003</v>
      </c>
      <c r="P67" s="23">
        <v>1970.7000000000003</v>
      </c>
      <c r="Q67" s="23">
        <v>1851.7</v>
      </c>
      <c r="R67" s="23">
        <v>2184</v>
      </c>
      <c r="S67" s="23">
        <v>2193.4</v>
      </c>
      <c r="T67" s="23">
        <v>2163.1999999999998</v>
      </c>
      <c r="U67" s="23">
        <v>2303.8000000000002</v>
      </c>
      <c r="V67" s="23">
        <v>2429.6</v>
      </c>
      <c r="W67" s="23">
        <v>2523.0000000000005</v>
      </c>
      <c r="X67" s="23">
        <v>2335.4</v>
      </c>
      <c r="Y67" s="23">
        <v>2458.3999999999996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148.30000000000001</v>
      </c>
      <c r="E68" s="23">
        <v>145.69999999999996</v>
      </c>
      <c r="F68" s="23">
        <v>171.1</v>
      </c>
      <c r="G68" s="23">
        <v>194.9</v>
      </c>
      <c r="H68" s="23">
        <v>256.5</v>
      </c>
      <c r="I68" s="23">
        <v>340.2</v>
      </c>
      <c r="J68" s="23">
        <v>546.29999999999995</v>
      </c>
      <c r="K68" s="23">
        <v>552.20000000000005</v>
      </c>
      <c r="L68" s="23">
        <v>734.1</v>
      </c>
      <c r="M68" s="23">
        <v>466.1</v>
      </c>
      <c r="N68" s="23">
        <v>626.20000000000005</v>
      </c>
      <c r="O68" s="23">
        <v>688.3</v>
      </c>
      <c r="P68" s="23">
        <v>656.7</v>
      </c>
      <c r="Q68" s="23">
        <v>527.99999999999989</v>
      </c>
      <c r="R68" s="23">
        <v>720.9</v>
      </c>
      <c r="S68" s="23">
        <v>626.79999999999995</v>
      </c>
      <c r="T68" s="23">
        <v>652.50000000000011</v>
      </c>
      <c r="U68" s="23">
        <v>547</v>
      </c>
      <c r="V68" s="23">
        <v>556.79999999999995</v>
      </c>
      <c r="W68" s="23">
        <v>572.9</v>
      </c>
      <c r="X68" s="23">
        <v>495.2</v>
      </c>
      <c r="Y68" s="23">
        <v>610.59999999999991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196.5</v>
      </c>
      <c r="E69" s="23">
        <v>228.9</v>
      </c>
      <c r="F69" s="23">
        <v>232.9</v>
      </c>
      <c r="G69" s="23">
        <v>288.60000000000002</v>
      </c>
      <c r="H69" s="23">
        <v>290.8</v>
      </c>
      <c r="I69" s="23">
        <v>385.9</v>
      </c>
      <c r="J69" s="23">
        <v>436.49999999999994</v>
      </c>
      <c r="K69" s="23">
        <v>494</v>
      </c>
      <c r="L69" s="23">
        <v>656.8</v>
      </c>
      <c r="M69" s="23">
        <v>436.8</v>
      </c>
      <c r="N69" s="23">
        <v>595.20000000000005</v>
      </c>
      <c r="O69" s="23">
        <v>902.6</v>
      </c>
      <c r="P69" s="23">
        <v>664.9</v>
      </c>
      <c r="Q69" s="23">
        <v>748.6</v>
      </c>
      <c r="R69" s="23">
        <v>713.4</v>
      </c>
      <c r="S69" s="23">
        <v>879.4</v>
      </c>
      <c r="T69" s="23">
        <v>875.1</v>
      </c>
      <c r="U69" s="23">
        <v>952.3</v>
      </c>
      <c r="V69" s="23">
        <v>1003.8</v>
      </c>
      <c r="W69" s="23">
        <v>1165.3000000000002</v>
      </c>
      <c r="X69" s="23">
        <v>925.4</v>
      </c>
      <c r="Y69" s="23">
        <v>1165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317.99999999999994</v>
      </c>
      <c r="E70" s="23">
        <v>337.8</v>
      </c>
      <c r="F70" s="23">
        <v>351.1</v>
      </c>
      <c r="G70" s="23">
        <v>412.4</v>
      </c>
      <c r="H70" s="23">
        <v>496</v>
      </c>
      <c r="I70" s="23">
        <v>564</v>
      </c>
      <c r="J70" s="23">
        <v>641.29999999999995</v>
      </c>
      <c r="K70" s="23">
        <v>767.7</v>
      </c>
      <c r="L70" s="23">
        <v>938.1</v>
      </c>
      <c r="M70" s="23">
        <v>642.09999999999991</v>
      </c>
      <c r="N70" s="23">
        <v>879.4</v>
      </c>
      <c r="O70" s="23">
        <v>1041.3</v>
      </c>
      <c r="P70" s="23">
        <v>1017.7</v>
      </c>
      <c r="Q70" s="23">
        <v>1070.9999999999998</v>
      </c>
      <c r="R70" s="23">
        <v>1319.7</v>
      </c>
      <c r="S70" s="23">
        <v>1482.6</v>
      </c>
      <c r="T70" s="23">
        <v>1278.3</v>
      </c>
      <c r="U70" s="23">
        <v>1082.7</v>
      </c>
      <c r="V70" s="23">
        <v>1488.6</v>
      </c>
      <c r="W70" s="23">
        <v>1626.1</v>
      </c>
      <c r="X70" s="23">
        <v>1367.9</v>
      </c>
      <c r="Y70" s="23">
        <v>1807.6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309.2</v>
      </c>
      <c r="E71" s="23">
        <v>353.5</v>
      </c>
      <c r="F71" s="23">
        <v>422.4</v>
      </c>
      <c r="G71" s="23">
        <v>676.6</v>
      </c>
      <c r="H71" s="23">
        <v>785.3</v>
      </c>
      <c r="I71" s="23">
        <v>817.8</v>
      </c>
      <c r="J71" s="23">
        <v>961.19999999999982</v>
      </c>
      <c r="K71" s="23">
        <v>1515.4</v>
      </c>
      <c r="L71" s="23">
        <v>1755.1</v>
      </c>
      <c r="M71" s="23">
        <v>1145.7</v>
      </c>
      <c r="N71" s="23">
        <v>1828.7</v>
      </c>
      <c r="O71" s="23">
        <v>1960.4</v>
      </c>
      <c r="P71" s="23">
        <v>2031.3</v>
      </c>
      <c r="Q71" s="23">
        <v>2186.1999999999998</v>
      </c>
      <c r="R71" s="23">
        <v>2718.5</v>
      </c>
      <c r="S71" s="23">
        <v>2948.9</v>
      </c>
      <c r="T71" s="23">
        <v>2915.5</v>
      </c>
      <c r="U71" s="23">
        <v>2717</v>
      </c>
      <c r="V71" s="23">
        <v>3396.7</v>
      </c>
      <c r="W71" s="23">
        <v>4306.5</v>
      </c>
      <c r="X71" s="23">
        <v>4059.4</v>
      </c>
      <c r="Y71" s="23">
        <v>4677.6000000000004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29.900000000000006</v>
      </c>
      <c r="E72" s="23">
        <v>47.399999999999991</v>
      </c>
      <c r="F72" s="23">
        <v>35.800000000000011</v>
      </c>
      <c r="G72" s="23">
        <v>42.30000000000004</v>
      </c>
      <c r="H72" s="23">
        <v>42.999999999999972</v>
      </c>
      <c r="I72" s="23">
        <v>42.000000000000064</v>
      </c>
      <c r="J72" s="23">
        <v>42.800000000000054</v>
      </c>
      <c r="K72" s="23">
        <v>57.5</v>
      </c>
      <c r="L72" s="23">
        <v>82.900000000000091</v>
      </c>
      <c r="M72" s="23">
        <v>71.700000000000159</v>
      </c>
      <c r="N72" s="23">
        <v>147.1</v>
      </c>
      <c r="O72" s="23">
        <v>102.29999999999984</v>
      </c>
      <c r="P72" s="23">
        <v>109.10000000000009</v>
      </c>
      <c r="Q72" s="23">
        <v>106.30000000000051</v>
      </c>
      <c r="R72" s="23">
        <v>121.79999999999973</v>
      </c>
      <c r="S72" s="23">
        <v>141.29999999999973</v>
      </c>
      <c r="T72" s="23">
        <v>97.199999999999704</v>
      </c>
      <c r="U72" s="23">
        <v>91.200000000000287</v>
      </c>
      <c r="V72" s="23">
        <v>109.7999999999998</v>
      </c>
      <c r="W72" s="23">
        <v>130.39999999999961</v>
      </c>
      <c r="X72" s="23">
        <v>132.29999999999984</v>
      </c>
      <c r="Y72" s="23">
        <v>185.69999999999931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130.4</v>
      </c>
      <c r="E73" s="23">
        <v>160.89999999999998</v>
      </c>
      <c r="F73" s="23">
        <v>214.1</v>
      </c>
      <c r="G73" s="23">
        <v>235.4</v>
      </c>
      <c r="H73" s="23">
        <v>271.5</v>
      </c>
      <c r="I73" s="23">
        <v>329.7</v>
      </c>
      <c r="J73" s="23">
        <v>370.6</v>
      </c>
      <c r="K73" s="23">
        <v>365.4</v>
      </c>
      <c r="L73" s="23">
        <v>380.6</v>
      </c>
      <c r="M73" s="23">
        <v>379.7</v>
      </c>
      <c r="N73" s="23">
        <v>446.8</v>
      </c>
      <c r="O73" s="23">
        <v>449.8</v>
      </c>
      <c r="P73" s="23">
        <v>427.5</v>
      </c>
      <c r="Q73" s="23">
        <v>469.1</v>
      </c>
      <c r="R73" s="23">
        <v>468.6</v>
      </c>
      <c r="S73" s="23">
        <v>479.8</v>
      </c>
      <c r="T73" s="23">
        <v>497.5</v>
      </c>
      <c r="U73" s="23">
        <v>514.20000000000005</v>
      </c>
      <c r="V73" s="23">
        <v>534.1</v>
      </c>
      <c r="W73" s="23">
        <v>559.70000000000016</v>
      </c>
      <c r="X73" s="23">
        <v>538.1</v>
      </c>
      <c r="Y73" s="23">
        <v>568.6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176.60000000000201</v>
      </c>
      <c r="E74" s="23">
        <v>218.09999999999746</v>
      </c>
      <c r="F74" s="23">
        <v>203.99999999999966</v>
      </c>
      <c r="G74" s="23">
        <v>264.69999999999987</v>
      </c>
      <c r="H74" s="23">
        <v>300.79999999999649</v>
      </c>
      <c r="I74" s="23">
        <v>326.8000000000095</v>
      </c>
      <c r="J74" s="23">
        <v>375.29999999999762</v>
      </c>
      <c r="K74" s="23">
        <v>454.69999999999169</v>
      </c>
      <c r="L74" s="23">
        <v>516.59999999999241</v>
      </c>
      <c r="M74" s="23">
        <v>437.49999999998943</v>
      </c>
      <c r="N74" s="23">
        <v>472.0000000000029</v>
      </c>
      <c r="O74" s="23">
        <v>570.2999999999887</v>
      </c>
      <c r="P74" s="23">
        <v>494.50000000000568</v>
      </c>
      <c r="Q74" s="23">
        <v>537.400000000001</v>
      </c>
      <c r="R74" s="23">
        <v>520.89999999999736</v>
      </c>
      <c r="S74" s="23">
        <v>516.00000000000114</v>
      </c>
      <c r="T74" s="23">
        <v>535.40000000000703</v>
      </c>
      <c r="U74" s="23">
        <v>589.09999999999172</v>
      </c>
      <c r="V74" s="23">
        <v>632.19999999999982</v>
      </c>
      <c r="W74" s="23">
        <v>653.40000000000759</v>
      </c>
      <c r="X74" s="23">
        <v>588.29999999998017</v>
      </c>
      <c r="Y74" s="23">
        <v>595.49999999999886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4473.2000000000025</v>
      </c>
      <c r="E75" s="30">
        <f t="shared" ref="E75:S75" si="6">SUM(E56:E74)</f>
        <v>5100.9999999999973</v>
      </c>
      <c r="F75" s="30">
        <f t="shared" si="6"/>
        <v>5113.2</v>
      </c>
      <c r="G75" s="30">
        <f t="shared" si="6"/>
        <v>5937.8</v>
      </c>
      <c r="H75" s="30">
        <f t="shared" si="6"/>
        <v>7090.6999999999962</v>
      </c>
      <c r="I75" s="30">
        <f t="shared" si="6"/>
        <v>8120.1000000000095</v>
      </c>
      <c r="J75" s="30">
        <f t="shared" si="6"/>
        <v>9419.0999999999985</v>
      </c>
      <c r="K75" s="30">
        <f t="shared" si="6"/>
        <v>11459.099999999989</v>
      </c>
      <c r="L75" s="30">
        <f t="shared" si="6"/>
        <v>12559.299999999992</v>
      </c>
      <c r="M75" s="30">
        <f t="shared" si="6"/>
        <v>9727.3999999999905</v>
      </c>
      <c r="N75" s="30">
        <f t="shared" si="6"/>
        <v>12400.600000000002</v>
      </c>
      <c r="O75" s="30">
        <f t="shared" si="6"/>
        <v>13050.799999999987</v>
      </c>
      <c r="P75" s="30">
        <f t="shared" si="6"/>
        <v>13356.900000000007</v>
      </c>
      <c r="Q75" s="30">
        <f t="shared" si="6"/>
        <v>13032.500000000004</v>
      </c>
      <c r="R75" s="30">
        <f t="shared" si="6"/>
        <v>14742.899999999998</v>
      </c>
      <c r="S75" s="30">
        <f t="shared" si="6"/>
        <v>15694.5</v>
      </c>
      <c r="T75" s="30">
        <f t="shared" ref="T75:Y75" si="7">SUM(T56:T74)</f>
        <v>15114.400000000003</v>
      </c>
      <c r="U75" s="30">
        <f t="shared" si="7"/>
        <v>15197.899999999994</v>
      </c>
      <c r="V75" s="30">
        <f t="shared" si="7"/>
        <v>16968.999999999996</v>
      </c>
      <c r="W75" s="30">
        <f t="shared" si="7"/>
        <v>18625.400000000009</v>
      </c>
      <c r="X75" s="30">
        <f t="shared" si="7"/>
        <v>17020.89999999998</v>
      </c>
      <c r="Y75" s="30">
        <f t="shared" si="7"/>
        <v>20453.5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43296.590667362841</v>
      </c>
      <c r="E2" s="19">
        <v>44705.420413963315</v>
      </c>
      <c r="F2" s="19">
        <v>46721.593529390899</v>
      </c>
      <c r="G2" s="19">
        <v>49290.729072907292</v>
      </c>
      <c r="H2" s="19">
        <v>51892.65452373842</v>
      </c>
      <c r="I2" s="19">
        <v>55330.197289896787</v>
      </c>
      <c r="J2" s="19">
        <v>60029.48687570756</v>
      </c>
      <c r="K2" s="19">
        <v>66531.217156150728</v>
      </c>
      <c r="L2" s="19">
        <v>70240.162375269661</v>
      </c>
      <c r="M2" s="19">
        <v>66408.508345680035</v>
      </c>
      <c r="N2" s="19">
        <v>70869.000628665046</v>
      </c>
      <c r="O2" s="19">
        <v>72762.269658821388</v>
      </c>
      <c r="P2" s="19">
        <v>73721.547116173853</v>
      </c>
      <c r="Q2" s="19">
        <v>74187.887781219193</v>
      </c>
      <c r="R2" s="19">
        <v>76189.169502180273</v>
      </c>
      <c r="S2" s="19">
        <v>80126</v>
      </c>
      <c r="T2" s="19">
        <v>81683.419105821813</v>
      </c>
      <c r="U2" s="19">
        <v>84083.835665412073</v>
      </c>
      <c r="V2" s="19">
        <v>87472.699667140332</v>
      </c>
      <c r="W2" s="19">
        <v>89669.164079043578</v>
      </c>
      <c r="X2" s="19">
        <v>86678.01421071183</v>
      </c>
      <c r="Y2" s="19">
        <v>90829.42252985196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27221.751915879522</v>
      </c>
      <c r="E3" s="23">
        <v>28663.892939864458</v>
      </c>
      <c r="F3" s="23">
        <v>30286.377549972265</v>
      </c>
      <c r="G3" s="23">
        <v>30556.845416417014</v>
      </c>
      <c r="H3" s="23">
        <v>32777.843292508289</v>
      </c>
      <c r="I3" s="23">
        <v>34257.721687147125</v>
      </c>
      <c r="J3" s="23">
        <v>36421.848861735394</v>
      </c>
      <c r="K3" s="23">
        <v>39287.230074723804</v>
      </c>
      <c r="L3" s="23">
        <v>42043.797283748063</v>
      </c>
      <c r="M3" s="23">
        <v>41970.854183127027</v>
      </c>
      <c r="N3" s="23">
        <v>42320.002607476934</v>
      </c>
      <c r="O3" s="23">
        <v>41508.241988118141</v>
      </c>
      <c r="P3" s="23">
        <v>41673.610549308301</v>
      </c>
      <c r="Q3" s="23">
        <v>41181.56597409337</v>
      </c>
      <c r="R3" s="23">
        <v>41955.75088648055</v>
      </c>
      <c r="S3" s="23">
        <v>43116.3</v>
      </c>
      <c r="T3" s="23">
        <v>44798.860375995668</v>
      </c>
      <c r="U3" s="23">
        <v>46869.373380028097</v>
      </c>
      <c r="V3" s="23">
        <v>48780.483088050431</v>
      </c>
      <c r="W3" s="23">
        <v>50098.361272954884</v>
      </c>
      <c r="X3" s="23">
        <v>49536.865574012139</v>
      </c>
      <c r="Y3" s="23">
        <v>50827.22868130594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38552.213493440424</v>
      </c>
      <c r="E4" s="27">
        <v>40287.113790504896</v>
      </c>
      <c r="F4" s="27">
        <v>41977.761542436609</v>
      </c>
      <c r="G4" s="27">
        <v>44004.732327713697</v>
      </c>
      <c r="H4" s="27">
        <v>45997.311426437635</v>
      </c>
      <c r="I4" s="27">
        <v>48812.563948028663</v>
      </c>
      <c r="J4" s="27">
        <v>53612.872730137467</v>
      </c>
      <c r="K4" s="27">
        <v>59568.020022903554</v>
      </c>
      <c r="L4" s="27">
        <v>63277.917056174047</v>
      </c>
      <c r="M4" s="27">
        <v>60068.257618130214</v>
      </c>
      <c r="N4" s="27">
        <v>64216.702381933574</v>
      </c>
      <c r="O4" s="27">
        <v>65464.255702584764</v>
      </c>
      <c r="P4" s="27">
        <v>66887.658749587834</v>
      </c>
      <c r="Q4" s="27">
        <v>67000.695825049712</v>
      </c>
      <c r="R4" s="27">
        <v>68769.189334769719</v>
      </c>
      <c r="S4" s="27">
        <v>72144.7</v>
      </c>
      <c r="T4" s="27">
        <v>73639.243051924554</v>
      </c>
      <c r="U4" s="27">
        <v>75333.809991956383</v>
      </c>
      <c r="V4" s="27">
        <v>78295.279954880491</v>
      </c>
      <c r="W4" s="27">
        <v>79935.048949989592</v>
      </c>
      <c r="X4" s="27">
        <v>77372.713083792783</v>
      </c>
      <c r="Y4" s="27">
        <v>80537.786379799261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746.40831205286656</v>
      </c>
      <c r="E6" s="19">
        <v>954.97362471740769</v>
      </c>
      <c r="F6" s="19">
        <v>958.85528965234596</v>
      </c>
      <c r="G6" s="19">
        <v>896.02024384633069</v>
      </c>
      <c r="H6" s="19">
        <v>865.72068707991036</v>
      </c>
      <c r="I6" s="19">
        <v>894.08104054830619</v>
      </c>
      <c r="J6" s="19">
        <v>1106.7344178779165</v>
      </c>
      <c r="K6" s="19">
        <v>1527.1005749501198</v>
      </c>
      <c r="L6" s="19">
        <v>1778.7031528851874</v>
      </c>
      <c r="M6" s="19">
        <v>1384.3142129140513</v>
      </c>
      <c r="N6" s="19">
        <v>1111.1225583120415</v>
      </c>
      <c r="O6" s="19">
        <v>1367.4054125198693</v>
      </c>
      <c r="P6" s="19">
        <v>1399.5943204868156</v>
      </c>
      <c r="Q6" s="19">
        <v>1645.6262425447317</v>
      </c>
      <c r="R6" s="19">
        <v>2093.5452015441247</v>
      </c>
      <c r="S6" s="19">
        <v>1759.5</v>
      </c>
      <c r="T6" s="19">
        <v>1832.3412299400716</v>
      </c>
      <c r="U6" s="19">
        <v>1757.5793686259324</v>
      </c>
      <c r="V6" s="19">
        <v>1874.6961240008559</v>
      </c>
      <c r="W6" s="19">
        <v>1542.7294589937321</v>
      </c>
      <c r="X6" s="19">
        <v>1492.3484701558014</v>
      </c>
      <c r="Y6" s="19">
        <v>1605.0771931403881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10637.829197450246</v>
      </c>
      <c r="E7" s="23">
        <v>11195.930670685753</v>
      </c>
      <c r="F7" s="23">
        <v>11085.193962828987</v>
      </c>
      <c r="G7" s="23">
        <v>12515.527950310559</v>
      </c>
      <c r="H7" s="23">
        <v>13801.643017176993</v>
      </c>
      <c r="I7" s="23">
        <v>14483.720408706758</v>
      </c>
      <c r="J7" s="23">
        <v>16614.146347868329</v>
      </c>
      <c r="K7" s="23">
        <v>17823.92595303589</v>
      </c>
      <c r="L7" s="23">
        <v>17437.749638820424</v>
      </c>
      <c r="M7" s="23">
        <v>13803.989807967177</v>
      </c>
      <c r="N7" s="23">
        <v>16035.193274540514</v>
      </c>
      <c r="O7" s="23">
        <v>16738.718854724553</v>
      </c>
      <c r="P7" s="23">
        <v>16920.832542291595</v>
      </c>
      <c r="Q7" s="23">
        <v>16260.536779324058</v>
      </c>
      <c r="R7" s="23">
        <v>18009.795413512082</v>
      </c>
      <c r="S7" s="23">
        <v>18810.800000000003</v>
      </c>
      <c r="T7" s="23">
        <v>18273.237340626642</v>
      </c>
      <c r="U7" s="23">
        <v>17959.901093335713</v>
      </c>
      <c r="V7" s="23">
        <v>19288.200859604425</v>
      </c>
      <c r="W7" s="23">
        <v>21073.491260959308</v>
      </c>
      <c r="X7" s="23">
        <v>19168.352127374637</v>
      </c>
      <c r="Y7" s="23">
        <v>21777.197641445739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2201.0175636951985</v>
      </c>
      <c r="E8" s="23">
        <v>2248.4928409947252</v>
      </c>
      <c r="F8" s="23">
        <v>2639.5694862702471</v>
      </c>
      <c r="G8" s="23">
        <v>2619.8692037201354</v>
      </c>
      <c r="H8" s="23">
        <v>2833.7565347274085</v>
      </c>
      <c r="I8" s="23">
        <v>3148.835970678515</v>
      </c>
      <c r="J8" s="23">
        <v>3914.8645632278985</v>
      </c>
      <c r="K8" s="23">
        <v>4488.0346622905918</v>
      </c>
      <c r="L8" s="23">
        <v>5772.924279765446</v>
      </c>
      <c r="M8" s="23">
        <v>5738.508068692644</v>
      </c>
      <c r="N8" s="23">
        <v>5656.8861781917094</v>
      </c>
      <c r="O8" s="23">
        <v>5416.9746180559068</v>
      </c>
      <c r="P8" s="23">
        <v>5760.4492450963744</v>
      </c>
      <c r="Q8" s="23">
        <v>4953.3797216699813</v>
      </c>
      <c r="R8" s="23">
        <v>5237.8529889976153</v>
      </c>
      <c r="S8" s="23">
        <v>5685.2</v>
      </c>
      <c r="T8" s="23">
        <v>5702.5499738567351</v>
      </c>
      <c r="U8" s="23">
        <v>6191.3982979315006</v>
      </c>
      <c r="V8" s="23">
        <v>6321.6904257181204</v>
      </c>
      <c r="W8" s="23">
        <v>5394.9137457630331</v>
      </c>
      <c r="X8" s="23">
        <v>5117.3357714792346</v>
      </c>
      <c r="Y8" s="23">
        <v>4962.5962101093755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8544.4160704887036</v>
      </c>
      <c r="E9" s="23">
        <v>8899.5855312735493</v>
      </c>
      <c r="F9" s="23">
        <v>8602.0777276858098</v>
      </c>
      <c r="G9" s="23">
        <v>9284.071116369254</v>
      </c>
      <c r="H9" s="23">
        <v>9623.4503360716953</v>
      </c>
      <c r="I9" s="23">
        <v>10899.967763185559</v>
      </c>
      <c r="J9" s="23">
        <v>10980.816953558908</v>
      </c>
      <c r="K9" s="23">
        <v>12358.71220617924</v>
      </c>
      <c r="L9" s="23">
        <v>13355.783122291154</v>
      </c>
      <c r="M9" s="23">
        <v>12140.741201085491</v>
      </c>
      <c r="N9" s="23">
        <v>13082.296216929037</v>
      </c>
      <c r="O9" s="23">
        <v>13953.893349262435</v>
      </c>
      <c r="P9" s="23">
        <v>13569.180347525456</v>
      </c>
      <c r="Q9" s="23">
        <v>13061.0337972167</v>
      </c>
      <c r="R9" s="23">
        <v>13932.72885058503</v>
      </c>
      <c r="S9" s="23">
        <v>14208</v>
      </c>
      <c r="T9" s="23">
        <v>13649.398704902867</v>
      </c>
      <c r="U9" s="23">
        <v>14323.393014965095</v>
      </c>
      <c r="V9" s="23">
        <v>14428.129679690386</v>
      </c>
      <c r="W9" s="23">
        <v>15306.955253839309</v>
      </c>
      <c r="X9" s="23">
        <v>14482.032527082814</v>
      </c>
      <c r="Y9" s="23">
        <v>14012.422919386057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1478.0015204974757</v>
      </c>
      <c r="E10" s="23">
        <v>1681.4242652599851</v>
      </c>
      <c r="F10" s="23">
        <v>1716.530943174326</v>
      </c>
      <c r="G10" s="23">
        <v>1812.5801045055703</v>
      </c>
      <c r="H10" s="23">
        <v>1910.5302464525762</v>
      </c>
      <c r="I10" s="23">
        <v>2073.9484491289054</v>
      </c>
      <c r="J10" s="23">
        <v>2293.2997203293025</v>
      </c>
      <c r="K10" s="23">
        <v>2647.722040541657</v>
      </c>
      <c r="L10" s="23">
        <v>2767.8040282144984</v>
      </c>
      <c r="M10" s="23">
        <v>3028.8152797630141</v>
      </c>
      <c r="N10" s="23">
        <v>3254.7597461468722</v>
      </c>
      <c r="O10" s="23">
        <v>3193.2449808142064</v>
      </c>
      <c r="P10" s="23">
        <v>3576.3746640154282</v>
      </c>
      <c r="Q10" s="23">
        <v>3330.5168986083499</v>
      </c>
      <c r="R10" s="23">
        <v>3235.5786974693519</v>
      </c>
      <c r="S10" s="23">
        <v>3460.2</v>
      </c>
      <c r="T10" s="23">
        <v>3830.8932952580139</v>
      </c>
      <c r="U10" s="23">
        <v>3928.5607888700215</v>
      </c>
      <c r="V10" s="23">
        <v>3878.5273925980673</v>
      </c>
      <c r="W10" s="23">
        <v>4022.0416974379368</v>
      </c>
      <c r="X10" s="23">
        <v>4015.1829994735826</v>
      </c>
      <c r="Y10" s="23">
        <v>4121.168474591529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1065.3229107779878</v>
      </c>
      <c r="E11" s="23">
        <v>970.23360964581764</v>
      </c>
      <c r="F11" s="23">
        <v>1736.132147757444</v>
      </c>
      <c r="G11" s="23">
        <v>1694.1075947287129</v>
      </c>
      <c r="H11" s="23">
        <v>1687.0799103808811</v>
      </c>
      <c r="I11" s="23">
        <v>1850.1128288505474</v>
      </c>
      <c r="J11" s="23">
        <v>1794.356691745119</v>
      </c>
      <c r="K11" s="23">
        <v>1752.4762995407482</v>
      </c>
      <c r="L11" s="23">
        <v>1734.9366873459676</v>
      </c>
      <c r="M11" s="23">
        <v>1938.5577859258797</v>
      </c>
      <c r="N11" s="23">
        <v>2029.4857001565979</v>
      </c>
      <c r="O11" s="23">
        <v>2176.3473084204879</v>
      </c>
      <c r="P11" s="23">
        <v>2134.6136552123826</v>
      </c>
      <c r="Q11" s="23">
        <v>2154.9701789264413</v>
      </c>
      <c r="R11" s="23">
        <v>2279.0795104288241</v>
      </c>
      <c r="S11" s="23">
        <v>2325</v>
      </c>
      <c r="T11" s="23">
        <v>2119.6154929010982</v>
      </c>
      <c r="U11" s="23">
        <v>1869.4948411634443</v>
      </c>
      <c r="V11" s="23">
        <v>2151.1503529823603</v>
      </c>
      <c r="W11" s="23">
        <v>2258.1378174174856</v>
      </c>
      <c r="X11" s="23">
        <v>2174.8446143758256</v>
      </c>
      <c r="Y11" s="23">
        <v>2252.7794031597427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3978.6350611123025</v>
      </c>
      <c r="E12" s="23">
        <v>4350.4144687264507</v>
      </c>
      <c r="F12" s="23">
        <v>4540.173559756945</v>
      </c>
      <c r="G12" s="23">
        <v>4236.0905714942983</v>
      </c>
      <c r="H12" s="23">
        <v>4664.077669902912</v>
      </c>
      <c r="I12" s="23">
        <v>4123.5090473320533</v>
      </c>
      <c r="J12" s="23">
        <v>4589.6193589895092</v>
      </c>
      <c r="K12" s="23">
        <v>5246.2132392005005</v>
      </c>
      <c r="L12" s="23">
        <v>6056.8751593439283</v>
      </c>
      <c r="M12" s="23">
        <v>6260.4354401010914</v>
      </c>
      <c r="N12" s="23">
        <v>6304.8091980548925</v>
      </c>
      <c r="O12" s="23">
        <v>6196.5556691741504</v>
      </c>
      <c r="P12" s="23">
        <v>6513.3544499845129</v>
      </c>
      <c r="Q12" s="23">
        <v>7954.870775347913</v>
      </c>
      <c r="R12" s="23">
        <v>5945.4768530987221</v>
      </c>
      <c r="S12" s="23">
        <v>6192.2</v>
      </c>
      <c r="T12" s="23">
        <v>7228.5122471141858</v>
      </c>
      <c r="U12" s="23">
        <v>7572.1194427066266</v>
      </c>
      <c r="V12" s="23">
        <v>8026.8966724362608</v>
      </c>
      <c r="W12" s="23">
        <v>8240.4514382018224</v>
      </c>
      <c r="X12" s="23">
        <v>8874.8510791566241</v>
      </c>
      <c r="Y12" s="23">
        <v>9483.7286762389158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2671.5920388311665</v>
      </c>
      <c r="E13" s="23">
        <v>2487.0007535795025</v>
      </c>
      <c r="F13" s="23">
        <v>2841.6400862453002</v>
      </c>
      <c r="G13" s="23">
        <v>2759.0456472444052</v>
      </c>
      <c r="H13" s="23">
        <v>2918.7453323375653</v>
      </c>
      <c r="I13" s="23">
        <v>3240.2203316187092</v>
      </c>
      <c r="J13" s="23">
        <v>3732.8816585916675</v>
      </c>
      <c r="K13" s="23">
        <v>4318.7372348086847</v>
      </c>
      <c r="L13" s="23">
        <v>4921.4965581711558</v>
      </c>
      <c r="M13" s="23">
        <v>5008.0790504008455</v>
      </c>
      <c r="N13" s="23">
        <v>5406.5358938432382</v>
      </c>
      <c r="O13" s="23">
        <v>5300.4424375575827</v>
      </c>
      <c r="P13" s="23">
        <v>5606.3709669361206</v>
      </c>
      <c r="Q13" s="23">
        <v>5892.7435387673959</v>
      </c>
      <c r="R13" s="23">
        <v>6382.5797248905246</v>
      </c>
      <c r="S13" s="23">
        <v>7308.6</v>
      </c>
      <c r="T13" s="23">
        <v>7598.4394481760046</v>
      </c>
      <c r="U13" s="23">
        <v>7937.4584165003334</v>
      </c>
      <c r="V13" s="23">
        <v>8127.6376436725714</v>
      </c>
      <c r="W13" s="23">
        <v>7170.084644662842</v>
      </c>
      <c r="X13" s="23">
        <v>7224.7619575356257</v>
      </c>
      <c r="Y13" s="23">
        <v>6906.2429670972679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6406.5576327023919</v>
      </c>
      <c r="E14" s="23">
        <v>6565.1846269781463</v>
      </c>
      <c r="F14" s="23">
        <v>6840.9985922771257</v>
      </c>
      <c r="G14" s="23">
        <v>7223.2081238292412</v>
      </c>
      <c r="H14" s="23">
        <v>6683.0470500373413</v>
      </c>
      <c r="I14" s="23">
        <v>6774.6366350372127</v>
      </c>
      <c r="J14" s="23">
        <v>7186.6178227701839</v>
      </c>
      <c r="K14" s="23">
        <v>7710.9429418084364</v>
      </c>
      <c r="L14" s="23">
        <v>8060.3594799014199</v>
      </c>
      <c r="M14" s="23">
        <v>8828.1233816004806</v>
      </c>
      <c r="N14" s="23">
        <v>9142.1124206708992</v>
      </c>
      <c r="O14" s="23">
        <v>8837.8167680797014</v>
      </c>
      <c r="P14" s="23">
        <v>8973.3110842434489</v>
      </c>
      <c r="Q14" s="23">
        <v>9316.2027833001994</v>
      </c>
      <c r="R14" s="23">
        <v>9071.4307089206104</v>
      </c>
      <c r="S14" s="23">
        <v>9481.1</v>
      </c>
      <c r="T14" s="23">
        <v>10663.234525198086</v>
      </c>
      <c r="U14" s="23">
        <v>11101.180723130854</v>
      </c>
      <c r="V14" s="23">
        <v>11487.874132130148</v>
      </c>
      <c r="W14" s="23">
        <v>12323.751633244334</v>
      </c>
      <c r="X14" s="23">
        <v>12848.290065478994</v>
      </c>
      <c r="Y14" s="23">
        <v>13426.295179367153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822.43318583208247</v>
      </c>
      <c r="E15" s="23">
        <v>933.87339864355692</v>
      </c>
      <c r="F15" s="23">
        <v>1016.5897467880753</v>
      </c>
      <c r="G15" s="23">
        <v>964.21177166518771</v>
      </c>
      <c r="H15" s="23">
        <v>1009.260642270351</v>
      </c>
      <c r="I15" s="23">
        <v>1323.5314729421</v>
      </c>
      <c r="J15" s="23">
        <v>1399.5351951786349</v>
      </c>
      <c r="K15" s="23">
        <v>1694.1548705476782</v>
      </c>
      <c r="L15" s="23">
        <v>1391.2849494348602</v>
      </c>
      <c r="M15" s="23">
        <v>1936.6933896795308</v>
      </c>
      <c r="N15" s="23">
        <v>2193.5011950877774</v>
      </c>
      <c r="O15" s="23">
        <v>2282.8563039758637</v>
      </c>
      <c r="P15" s="23">
        <v>2433.5774737957017</v>
      </c>
      <c r="Q15" s="23">
        <v>2430.8151093439365</v>
      </c>
      <c r="R15" s="23">
        <v>2581.1213853228396</v>
      </c>
      <c r="S15" s="23">
        <v>2914.1</v>
      </c>
      <c r="T15" s="23">
        <v>2741.0207939508509</v>
      </c>
      <c r="U15" s="23">
        <v>2692.7240047268647</v>
      </c>
      <c r="V15" s="23">
        <v>2710.4766720472981</v>
      </c>
      <c r="W15" s="23">
        <v>2602.4919994697875</v>
      </c>
      <c r="X15" s="23">
        <v>1974.7134716796422</v>
      </c>
      <c r="Y15" s="23">
        <v>1990.277715263087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38552.213493440424</v>
      </c>
      <c r="E16" s="30">
        <f t="shared" ref="E16:S16" si="0">SUM(E6:E15)</f>
        <v>40287.113790504889</v>
      </c>
      <c r="F16" s="30">
        <f t="shared" si="0"/>
        <v>41977.761542436609</v>
      </c>
      <c r="G16" s="30">
        <f t="shared" si="0"/>
        <v>44004.732327713689</v>
      </c>
      <c r="H16" s="30">
        <f t="shared" si="0"/>
        <v>45997.311426437642</v>
      </c>
      <c r="I16" s="30">
        <f t="shared" si="0"/>
        <v>48812.563948028663</v>
      </c>
      <c r="J16" s="30">
        <f t="shared" si="0"/>
        <v>53612.872730137467</v>
      </c>
      <c r="K16" s="30">
        <f t="shared" si="0"/>
        <v>59568.020022903562</v>
      </c>
      <c r="L16" s="30">
        <f t="shared" si="0"/>
        <v>63277.917056174047</v>
      </c>
      <c r="M16" s="30">
        <f t="shared" si="0"/>
        <v>60068.257618130214</v>
      </c>
      <c r="N16" s="30">
        <f t="shared" si="0"/>
        <v>64216.702381933581</v>
      </c>
      <c r="O16" s="30">
        <f t="shared" si="0"/>
        <v>65464.255702584756</v>
      </c>
      <c r="P16" s="30">
        <f t="shared" si="0"/>
        <v>66887.658749587834</v>
      </c>
      <c r="Q16" s="30">
        <f t="shared" si="0"/>
        <v>67000.695825049712</v>
      </c>
      <c r="R16" s="30">
        <f t="shared" si="0"/>
        <v>68769.189334769733</v>
      </c>
      <c r="S16" s="30">
        <f t="shared" si="0"/>
        <v>72144.7</v>
      </c>
      <c r="T16" s="30">
        <f t="shared" ref="T16:Y16" si="1">SUM(T6:T15)</f>
        <v>73639.243051924554</v>
      </c>
      <c r="U16" s="30">
        <f t="shared" si="1"/>
        <v>75333.809991956383</v>
      </c>
      <c r="V16" s="30">
        <f t="shared" si="1"/>
        <v>78295.279954880491</v>
      </c>
      <c r="W16" s="30">
        <f t="shared" si="1"/>
        <v>79935.048949989578</v>
      </c>
      <c r="X16" s="30">
        <f t="shared" si="1"/>
        <v>77372.713083792783</v>
      </c>
      <c r="Y16" s="30">
        <f t="shared" si="1"/>
        <v>80537.786379799261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746.40831205286656</v>
      </c>
      <c r="E18" s="19">
        <v>954.97362471740769</v>
      </c>
      <c r="F18" s="19">
        <v>958.85528965234596</v>
      </c>
      <c r="G18" s="19">
        <v>896.02024384633069</v>
      </c>
      <c r="H18" s="19">
        <v>865.72068707991036</v>
      </c>
      <c r="I18" s="19">
        <v>894.08104054830619</v>
      </c>
      <c r="J18" s="19">
        <v>1106.7344178779165</v>
      </c>
      <c r="K18" s="19">
        <v>1527.1005749501198</v>
      </c>
      <c r="L18" s="19">
        <v>1778.7031528851874</v>
      </c>
      <c r="M18" s="19">
        <v>1384.3142129140513</v>
      </c>
      <c r="N18" s="19">
        <v>1111.1225583120415</v>
      </c>
      <c r="O18" s="19">
        <v>1367.4054125198693</v>
      </c>
      <c r="P18" s="19">
        <v>1399.5943204868156</v>
      </c>
      <c r="Q18" s="19">
        <v>1645.6262425447317</v>
      </c>
      <c r="R18" s="19">
        <v>2093.5452015441247</v>
      </c>
      <c r="S18" s="19">
        <v>1759.5</v>
      </c>
      <c r="T18" s="19">
        <v>1832.3412299400716</v>
      </c>
      <c r="U18" s="19">
        <v>1757.5793686259324</v>
      </c>
      <c r="V18" s="19">
        <v>1874.6961240008559</v>
      </c>
      <c r="W18" s="19">
        <v>1542.7294589937321</v>
      </c>
      <c r="X18" s="19">
        <v>1492.3484701558014</v>
      </c>
      <c r="Y18" s="19">
        <v>1605.0771931403881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297.47168560790658</v>
      </c>
      <c r="E19" s="23">
        <v>290.88168801808592</v>
      </c>
      <c r="F19" s="23">
        <v>265.68541848571783</v>
      </c>
      <c r="G19" s="23">
        <v>285.91146603568967</v>
      </c>
      <c r="H19" s="23">
        <v>246.7513069454817</v>
      </c>
      <c r="I19" s="23">
        <v>281.30124602295825</v>
      </c>
      <c r="J19" s="23">
        <v>224.39306206588674</v>
      </c>
      <c r="K19" s="23">
        <v>344.49783360683801</v>
      </c>
      <c r="L19" s="23">
        <v>384.55001274751424</v>
      </c>
      <c r="M19" s="23">
        <v>376.91877447020073</v>
      </c>
      <c r="N19" s="23">
        <v>309.48652435506466</v>
      </c>
      <c r="O19" s="23">
        <v>340.48455518320156</v>
      </c>
      <c r="P19" s="23">
        <v>328.24068985501458</v>
      </c>
      <c r="Q19" s="23">
        <v>330.21868787276344</v>
      </c>
      <c r="R19" s="23">
        <v>322.39079909427335</v>
      </c>
      <c r="S19" s="23">
        <v>352.9</v>
      </c>
      <c r="T19" s="23">
        <v>320.55665044443549</v>
      </c>
      <c r="U19" s="23">
        <v>317.37519984905816</v>
      </c>
      <c r="V19" s="23">
        <v>315.44759719169957</v>
      </c>
      <c r="W19" s="23">
        <v>161.80954004052342</v>
      </c>
      <c r="X19" s="23">
        <v>147.58171021158307</v>
      </c>
      <c r="Y19" s="23">
        <v>155.46653463563939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8719.8580869022826</v>
      </c>
      <c r="E20" s="23">
        <v>9610.0226073850754</v>
      </c>
      <c r="F20" s="23">
        <v>9111.3526613090035</v>
      </c>
      <c r="G20" s="23">
        <v>9756.8109369351605</v>
      </c>
      <c r="H20" s="23">
        <v>10591.038088125462</v>
      </c>
      <c r="I20" s="23">
        <v>11381.137258749506</v>
      </c>
      <c r="J20" s="23">
        <v>12367.353369834953</v>
      </c>
      <c r="K20" s="23">
        <v>13528.564513653579</v>
      </c>
      <c r="L20" s="23">
        <v>13341.654627347662</v>
      </c>
      <c r="M20" s="23">
        <v>10075.404470407879</v>
      </c>
      <c r="N20" s="23">
        <v>12775.694387208443</v>
      </c>
      <c r="O20" s="23">
        <v>13213.190106407739</v>
      </c>
      <c r="P20" s="23">
        <v>13346.356378461023</v>
      </c>
      <c r="Q20" s="23">
        <v>12954.771371769388</v>
      </c>
      <c r="R20" s="23">
        <v>14705.987970194808</v>
      </c>
      <c r="S20" s="23">
        <v>15694.500000000002</v>
      </c>
      <c r="T20" s="23">
        <v>15197.683304508715</v>
      </c>
      <c r="U20" s="23">
        <v>15092.104348516892</v>
      </c>
      <c r="V20" s="23">
        <v>16500.709854334</v>
      </c>
      <c r="W20" s="23">
        <v>17634.683481982243</v>
      </c>
      <c r="X20" s="23">
        <v>15719.4839257843</v>
      </c>
      <c r="Y20" s="23">
        <v>18412.47693207904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1215.4233025984913</v>
      </c>
      <c r="E21" s="23">
        <v>879.61567445365483</v>
      </c>
      <c r="F21" s="23">
        <v>1285.3044423457295</v>
      </c>
      <c r="G21" s="23">
        <v>2006.6384041539322</v>
      </c>
      <c r="H21" s="23">
        <v>2551.1575802837938</v>
      </c>
      <c r="I21" s="23">
        <v>2332.964245167982</v>
      </c>
      <c r="J21" s="23">
        <v>3469.2296582240256</v>
      </c>
      <c r="K21" s="23">
        <v>3215.8247051462167</v>
      </c>
      <c r="L21" s="23">
        <v>3045.8060678167758</v>
      </c>
      <c r="M21" s="23">
        <v>2745.1163176102582</v>
      </c>
      <c r="N21" s="23">
        <v>2336.1905546855683</v>
      </c>
      <c r="O21" s="23">
        <v>2599.6496947484584</v>
      </c>
      <c r="P21" s="23">
        <v>2604.1427272454757</v>
      </c>
      <c r="Q21" s="23">
        <v>2218.6878727634198</v>
      </c>
      <c r="R21" s="23">
        <v>2353.3929836111361</v>
      </c>
      <c r="S21" s="23">
        <v>2088.6</v>
      </c>
      <c r="T21" s="23">
        <v>2115.0906970196679</v>
      </c>
      <c r="U21" s="23">
        <v>1898.8887895850091</v>
      </c>
      <c r="V21" s="23">
        <v>1703.5531612827945</v>
      </c>
      <c r="W21" s="23">
        <v>2478.744153458691</v>
      </c>
      <c r="X21" s="23">
        <v>2535.5793828904957</v>
      </c>
      <c r="Y21" s="23">
        <v>2356.5737948417882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405.07612234156613</v>
      </c>
      <c r="E22" s="23">
        <v>415.41070082893748</v>
      </c>
      <c r="F22" s="23">
        <v>422.85144068853685</v>
      </c>
      <c r="G22" s="23">
        <v>466.16714318577675</v>
      </c>
      <c r="H22" s="23">
        <v>412.69604182225538</v>
      </c>
      <c r="I22" s="23">
        <v>488.31765876631118</v>
      </c>
      <c r="J22" s="23">
        <v>553.1702577434645</v>
      </c>
      <c r="K22" s="23">
        <v>735.03890062925745</v>
      </c>
      <c r="L22" s="23">
        <v>665.73893090847298</v>
      </c>
      <c r="M22" s="23">
        <v>606.55024547883909</v>
      </c>
      <c r="N22" s="23">
        <v>613.82180829143658</v>
      </c>
      <c r="O22" s="23">
        <v>585.39449838515361</v>
      </c>
      <c r="P22" s="23">
        <v>642.09274673008326</v>
      </c>
      <c r="Q22" s="23">
        <v>756.85884691848912</v>
      </c>
      <c r="R22" s="23">
        <v>628.02366061186422</v>
      </c>
      <c r="S22" s="23">
        <v>674.8</v>
      </c>
      <c r="T22" s="23">
        <v>639.90668865382293</v>
      </c>
      <c r="U22" s="23">
        <v>651.53275538475293</v>
      </c>
      <c r="V22" s="23">
        <v>768.49024679593151</v>
      </c>
      <c r="W22" s="23">
        <v>798.25408547785423</v>
      </c>
      <c r="X22" s="23">
        <v>765.70710848825718</v>
      </c>
      <c r="Y22" s="23">
        <v>852.68037988927404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2201.0175636951985</v>
      </c>
      <c r="E23" s="23">
        <v>2248.4928409947252</v>
      </c>
      <c r="F23" s="23">
        <v>2639.5694862702471</v>
      </c>
      <c r="G23" s="23">
        <v>2619.8692037201354</v>
      </c>
      <c r="H23" s="23">
        <v>2833.7565347274085</v>
      </c>
      <c r="I23" s="23">
        <v>3148.835970678515</v>
      </c>
      <c r="J23" s="23">
        <v>3914.8645632278985</v>
      </c>
      <c r="K23" s="23">
        <v>4488.0346622905918</v>
      </c>
      <c r="L23" s="23">
        <v>5772.924279765446</v>
      </c>
      <c r="M23" s="23">
        <v>5738.508068692644</v>
      </c>
      <c r="N23" s="23">
        <v>5656.8861781917094</v>
      </c>
      <c r="O23" s="23">
        <v>5416.9746180559068</v>
      </c>
      <c r="P23" s="23">
        <v>5760.4492450963744</v>
      </c>
      <c r="Q23" s="23">
        <v>4953.3797216699813</v>
      </c>
      <c r="R23" s="23">
        <v>5237.8529889976153</v>
      </c>
      <c r="S23" s="23">
        <v>5685.2</v>
      </c>
      <c r="T23" s="23">
        <v>5702.5499738567351</v>
      </c>
      <c r="U23" s="23">
        <v>6191.3982979315006</v>
      </c>
      <c r="V23" s="23">
        <v>6321.6904257181204</v>
      </c>
      <c r="W23" s="23">
        <v>5394.9137457630331</v>
      </c>
      <c r="X23" s="23">
        <v>5117.3357714792346</v>
      </c>
      <c r="Y23" s="23">
        <v>4962.5962101093755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5233.0454784693657</v>
      </c>
      <c r="E24" s="23">
        <v>5126.2245666917861</v>
      </c>
      <c r="F24" s="23">
        <v>5076.8901797965036</v>
      </c>
      <c r="G24" s="23">
        <v>5668.7699234283091</v>
      </c>
      <c r="H24" s="23">
        <v>6257.9536967886488</v>
      </c>
      <c r="I24" s="23">
        <v>7157.5539265841599</v>
      </c>
      <c r="J24" s="23">
        <v>7694.7519071440756</v>
      </c>
      <c r="K24" s="23">
        <v>8604.1816700707204</v>
      </c>
      <c r="L24" s="23">
        <v>9526.7485340358635</v>
      </c>
      <c r="M24" s="23">
        <v>8535.5167484929461</v>
      </c>
      <c r="N24" s="23">
        <v>9393.5959779114801</v>
      </c>
      <c r="O24" s="23">
        <v>9948.8716323617246</v>
      </c>
      <c r="P24" s="23">
        <v>9163.2610237912068</v>
      </c>
      <c r="Q24" s="23">
        <v>8360.4373757455269</v>
      </c>
      <c r="R24" s="23">
        <v>8275.5284236566204</v>
      </c>
      <c r="S24" s="23">
        <v>8185</v>
      </c>
      <c r="T24" s="23">
        <v>7860.2743031814343</v>
      </c>
      <c r="U24" s="23">
        <v>8271.4173642764235</v>
      </c>
      <c r="V24" s="23">
        <v>8208.8333106439241</v>
      </c>
      <c r="W24" s="23">
        <v>8940.0480978621072</v>
      </c>
      <c r="X24" s="23">
        <v>8781.9429436917599</v>
      </c>
      <c r="Y24" s="23">
        <v>8401.2242877076114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2686.9919491608025</v>
      </c>
      <c r="E25" s="23">
        <v>3134.7023360964581</v>
      </c>
      <c r="F25" s="23">
        <v>2894.5633386197187</v>
      </c>
      <c r="G25" s="23">
        <v>2960.3338920109109</v>
      </c>
      <c r="H25" s="23">
        <v>2684.0926064227033</v>
      </c>
      <c r="I25" s="23">
        <v>2987.2314182796758</v>
      </c>
      <c r="J25" s="23">
        <v>2470.2931946796916</v>
      </c>
      <c r="K25" s="23">
        <v>2981.5945125910534</v>
      </c>
      <c r="L25" s="23">
        <v>2958.1669074530469</v>
      </c>
      <c r="M25" s="23">
        <v>2764.5889006276798</v>
      </c>
      <c r="N25" s="23">
        <v>2718.6186433693233</v>
      </c>
      <c r="O25" s="23">
        <v>3065.474683864697</v>
      </c>
      <c r="P25" s="23">
        <v>3266.2196864477064</v>
      </c>
      <c r="Q25" s="23">
        <v>3520.2783300198807</v>
      </c>
      <c r="R25" s="23">
        <v>4560.7525111968953</v>
      </c>
      <c r="S25" s="23">
        <v>4857.3999999999996</v>
      </c>
      <c r="T25" s="23">
        <v>4578.1884728311152</v>
      </c>
      <c r="U25" s="23">
        <v>4816.5360820647265</v>
      </c>
      <c r="V25" s="23">
        <v>4926.7780392461937</v>
      </c>
      <c r="W25" s="23">
        <v>5201.2914465337353</v>
      </c>
      <c r="X25" s="23">
        <v>4879.5241921332854</v>
      </c>
      <c r="Y25" s="23">
        <v>4883.3775937345281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624.37864285853527</v>
      </c>
      <c r="E26" s="23">
        <v>638.65862848530526</v>
      </c>
      <c r="F26" s="23">
        <v>630.62420926958782</v>
      </c>
      <c r="G26" s="23">
        <v>654.96730093003384</v>
      </c>
      <c r="H26" s="23">
        <v>681.40403286034348</v>
      </c>
      <c r="I26" s="23">
        <v>755.18241832172339</v>
      </c>
      <c r="J26" s="23">
        <v>815.77185173513988</v>
      </c>
      <c r="K26" s="23">
        <v>772.93602351746699</v>
      </c>
      <c r="L26" s="23">
        <v>870.86768080224363</v>
      </c>
      <c r="M26" s="23">
        <v>840.63555196486641</v>
      </c>
      <c r="N26" s="23">
        <v>970.08159564823211</v>
      </c>
      <c r="O26" s="23">
        <v>939.54703303601264</v>
      </c>
      <c r="P26" s="23">
        <v>1139.6996372865435</v>
      </c>
      <c r="Q26" s="23">
        <v>1180.3180914512925</v>
      </c>
      <c r="R26" s="23">
        <v>1096.4479157315138</v>
      </c>
      <c r="S26" s="23">
        <v>1165.5999999999999</v>
      </c>
      <c r="T26" s="23">
        <v>1210.935928890319</v>
      </c>
      <c r="U26" s="23">
        <v>1235.4395686239461</v>
      </c>
      <c r="V26" s="23">
        <v>1292.5183298002685</v>
      </c>
      <c r="W26" s="23">
        <v>1165.6157094434659</v>
      </c>
      <c r="X26" s="23">
        <v>820.56539125776931</v>
      </c>
      <c r="Y26" s="23">
        <v>727.82103794391685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1478.0015204974757</v>
      </c>
      <c r="E27" s="23">
        <v>1681.4242652599851</v>
      </c>
      <c r="F27" s="23">
        <v>1716.530943174326</v>
      </c>
      <c r="G27" s="23">
        <v>1812.5801045055703</v>
      </c>
      <c r="H27" s="23">
        <v>1910.5302464525762</v>
      </c>
      <c r="I27" s="23">
        <v>2073.9484491289054</v>
      </c>
      <c r="J27" s="23">
        <v>2293.2997203293025</v>
      </c>
      <c r="K27" s="23">
        <v>2647.722040541657</v>
      </c>
      <c r="L27" s="23">
        <v>2767.8040282144984</v>
      </c>
      <c r="M27" s="23">
        <v>3028.8152797630141</v>
      </c>
      <c r="N27" s="23">
        <v>3254.7597461468722</v>
      </c>
      <c r="O27" s="23">
        <v>3193.2449808142064</v>
      </c>
      <c r="P27" s="23">
        <v>3576.3746640154282</v>
      </c>
      <c r="Q27" s="23">
        <v>3330.5168986083499</v>
      </c>
      <c r="R27" s="23">
        <v>3235.5786974693519</v>
      </c>
      <c r="S27" s="23">
        <v>3460.2</v>
      </c>
      <c r="T27" s="23">
        <v>3830.8932952580139</v>
      </c>
      <c r="U27" s="23">
        <v>3928.5607888700215</v>
      </c>
      <c r="V27" s="23">
        <v>3878.5273925980673</v>
      </c>
      <c r="W27" s="23">
        <v>4022.0416974379368</v>
      </c>
      <c r="X27" s="23">
        <v>4015.1829994735826</v>
      </c>
      <c r="Y27" s="23">
        <v>4121.168474591529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1065.3229107779878</v>
      </c>
      <c r="E28" s="23">
        <v>970.23360964581764</v>
      </c>
      <c r="F28" s="23">
        <v>1736.132147757444</v>
      </c>
      <c r="G28" s="23">
        <v>1694.1075947287129</v>
      </c>
      <c r="H28" s="23">
        <v>1687.0799103808811</v>
      </c>
      <c r="I28" s="23">
        <v>1850.1128288505474</v>
      </c>
      <c r="J28" s="23">
        <v>1794.356691745119</v>
      </c>
      <c r="K28" s="23">
        <v>1752.4762995407482</v>
      </c>
      <c r="L28" s="23">
        <v>1734.9366873459676</v>
      </c>
      <c r="M28" s="23">
        <v>1938.5577859258797</v>
      </c>
      <c r="N28" s="23">
        <v>2029.4857001565979</v>
      </c>
      <c r="O28" s="23">
        <v>2176.3473084204879</v>
      </c>
      <c r="P28" s="23">
        <v>2134.6136552123826</v>
      </c>
      <c r="Q28" s="23">
        <v>2154.9701789264413</v>
      </c>
      <c r="R28" s="23">
        <v>2279.0795104288241</v>
      </c>
      <c r="S28" s="23">
        <v>2325</v>
      </c>
      <c r="T28" s="23">
        <v>2119.6154929010982</v>
      </c>
      <c r="U28" s="23">
        <v>1869.4948411634443</v>
      </c>
      <c r="V28" s="23">
        <v>2151.1503529823603</v>
      </c>
      <c r="W28" s="23">
        <v>2258.1378174174856</v>
      </c>
      <c r="X28" s="23">
        <v>2174.8446143758256</v>
      </c>
      <c r="Y28" s="23">
        <v>2252.7794031597427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3978.6350611123025</v>
      </c>
      <c r="E29" s="23">
        <v>4350.4144687264507</v>
      </c>
      <c r="F29" s="23">
        <v>4540.173559756945</v>
      </c>
      <c r="G29" s="23">
        <v>4236.0905714942983</v>
      </c>
      <c r="H29" s="23">
        <v>4664.077669902912</v>
      </c>
      <c r="I29" s="23">
        <v>4123.5090473320533</v>
      </c>
      <c r="J29" s="23">
        <v>4589.6193589895092</v>
      </c>
      <c r="K29" s="23">
        <v>5246.2132392005005</v>
      </c>
      <c r="L29" s="23">
        <v>6056.8751593439283</v>
      </c>
      <c r="M29" s="23">
        <v>6260.4354401010914</v>
      </c>
      <c r="N29" s="23">
        <v>6304.8091980548925</v>
      </c>
      <c r="O29" s="23">
        <v>6196.5556691741504</v>
      </c>
      <c r="P29" s="23">
        <v>6513.3544499845129</v>
      </c>
      <c r="Q29" s="23">
        <v>7954.870775347913</v>
      </c>
      <c r="R29" s="23">
        <v>5945.4768530987221</v>
      </c>
      <c r="S29" s="23">
        <v>6192.2</v>
      </c>
      <c r="T29" s="23">
        <v>7228.5122471141858</v>
      </c>
      <c r="U29" s="23">
        <v>7572.1194427066266</v>
      </c>
      <c r="V29" s="23">
        <v>8026.8966724362608</v>
      </c>
      <c r="W29" s="23">
        <v>8240.4514382018224</v>
      </c>
      <c r="X29" s="23">
        <v>8874.8510791566241</v>
      </c>
      <c r="Y29" s="23">
        <v>9483.7286762389158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1688.726875767559</v>
      </c>
      <c r="E30" s="23">
        <v>1576.488319517709</v>
      </c>
      <c r="F30" s="23">
        <v>1844.295158502468</v>
      </c>
      <c r="G30" s="23">
        <v>1785.7964441815377</v>
      </c>
      <c r="H30" s="23">
        <v>1891.2621359223301</v>
      </c>
      <c r="I30" s="23">
        <v>2114.3145472129177</v>
      </c>
      <c r="J30" s="23">
        <v>2410.5513320465852</v>
      </c>
      <c r="K30" s="23">
        <v>2845.9440633743789</v>
      </c>
      <c r="L30" s="23">
        <v>3198.8824679187546</v>
      </c>
      <c r="M30" s="23">
        <v>3179.1063327325837</v>
      </c>
      <c r="N30" s="23">
        <v>3418.8782658864261</v>
      </c>
      <c r="O30" s="23">
        <v>3559.1418533780161</v>
      </c>
      <c r="P30" s="23">
        <v>3731.3522317369279</v>
      </c>
      <c r="Q30" s="23">
        <v>3745.7256461232605</v>
      </c>
      <c r="R30" s="23">
        <v>4323.4481451556585</v>
      </c>
      <c r="S30" s="23">
        <v>4849.2000000000007</v>
      </c>
      <c r="T30" s="23">
        <v>5445.9437718698473</v>
      </c>
      <c r="U30" s="23">
        <v>5364.7928024547928</v>
      </c>
      <c r="V30" s="23">
        <v>5339.2714755246107</v>
      </c>
      <c r="W30" s="23">
        <v>4764.0553693499223</v>
      </c>
      <c r="X30" s="23">
        <v>4708.8539790725808</v>
      </c>
      <c r="Y30" s="23">
        <v>4538.5065490390243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982.8651630636075</v>
      </c>
      <c r="E31" s="23">
        <v>910.51243406179356</v>
      </c>
      <c r="F31" s="23">
        <v>997.34492774283228</v>
      </c>
      <c r="G31" s="23">
        <v>973.24920306286754</v>
      </c>
      <c r="H31" s="23">
        <v>1027.4831964152352</v>
      </c>
      <c r="I31" s="23">
        <v>1125.9057844057916</v>
      </c>
      <c r="J31" s="23">
        <v>1322.330326545082</v>
      </c>
      <c r="K31" s="23">
        <v>1472.7931714343058</v>
      </c>
      <c r="L31" s="23">
        <v>1722.614090252401</v>
      </c>
      <c r="M31" s="23">
        <v>1828.9727176682616</v>
      </c>
      <c r="N31" s="23">
        <v>1987.6576279568121</v>
      </c>
      <c r="O31" s="23">
        <v>1741.3005841795668</v>
      </c>
      <c r="P31" s="23">
        <v>1875.0187351991929</v>
      </c>
      <c r="Q31" s="23">
        <v>2147.0178926441354</v>
      </c>
      <c r="R31" s="23">
        <v>2059.1315797348657</v>
      </c>
      <c r="S31" s="23">
        <v>2459.4</v>
      </c>
      <c r="T31" s="23">
        <v>2152.4956763061573</v>
      </c>
      <c r="U31" s="23">
        <v>2572.6656140455407</v>
      </c>
      <c r="V31" s="23">
        <v>2788.3661681479612</v>
      </c>
      <c r="W31" s="23">
        <v>2406.0292753129202</v>
      </c>
      <c r="X31" s="23">
        <v>2515.9079784630444</v>
      </c>
      <c r="Y31" s="23">
        <v>2367.736418058244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3628.7257061541159</v>
      </c>
      <c r="E32" s="23">
        <v>3538.8093443858324</v>
      </c>
      <c r="F32" s="23">
        <v>3626.9356189525829</v>
      </c>
      <c r="G32" s="23">
        <v>3923.7240790035812</v>
      </c>
      <c r="H32" s="23">
        <v>3555.7879014189693</v>
      </c>
      <c r="I32" s="23">
        <v>3665.1856420031672</v>
      </c>
      <c r="J32" s="23">
        <v>3929.8328540854241</v>
      </c>
      <c r="K32" s="23">
        <v>3984.746703186428</v>
      </c>
      <c r="L32" s="23">
        <v>3992.8401461714966</v>
      </c>
      <c r="M32" s="23">
        <v>4574.5033455554876</v>
      </c>
      <c r="N32" s="23">
        <v>4735.1232176708163</v>
      </c>
      <c r="O32" s="23">
        <v>4435.2087151086871</v>
      </c>
      <c r="P32" s="23">
        <v>4386.7344797609903</v>
      </c>
      <c r="Q32" s="23">
        <v>4516.9980119284301</v>
      </c>
      <c r="R32" s="23">
        <v>4141.3053236376709</v>
      </c>
      <c r="S32" s="23">
        <v>4158.6000000000004</v>
      </c>
      <c r="T32" s="23">
        <v>4930.9214495434981</v>
      </c>
      <c r="U32" s="23">
        <v>5094.9841610311723</v>
      </c>
      <c r="V32" s="23">
        <v>5427.9546471148797</v>
      </c>
      <c r="W32" s="23">
        <v>5847.2987558938821</v>
      </c>
      <c r="X32" s="23">
        <v>6142.5576519916131</v>
      </c>
      <c r="Y32" s="23">
        <v>6249.448620425801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1371.5666972065733</v>
      </c>
      <c r="E33" s="23">
        <v>1533.7226827430295</v>
      </c>
      <c r="F33" s="23">
        <v>1647.2139560576632</v>
      </c>
      <c r="G33" s="23">
        <v>1744.5528936212168</v>
      </c>
      <c r="H33" s="23">
        <v>1657.3562359970124</v>
      </c>
      <c r="I33" s="23">
        <v>1727.7530940333863</v>
      </c>
      <c r="J33" s="23">
        <v>1719.3839366604955</v>
      </c>
      <c r="K33" s="23">
        <v>1765.5809121282598</v>
      </c>
      <c r="L33" s="23">
        <v>2007.6272626837767</v>
      </c>
      <c r="M33" s="23">
        <v>2137.1159861620367</v>
      </c>
      <c r="N33" s="23">
        <v>2217.9180746723814</v>
      </c>
      <c r="O33" s="23">
        <v>2246.3071144364235</v>
      </c>
      <c r="P33" s="23">
        <v>2325.6627264461076</v>
      </c>
      <c r="Q33" s="23">
        <v>2451.9880715705763</v>
      </c>
      <c r="R33" s="23">
        <v>2521.4711075201249</v>
      </c>
      <c r="S33" s="23">
        <v>2628.6</v>
      </c>
      <c r="T33" s="23">
        <v>2755.0979366930783</v>
      </c>
      <c r="U33" s="23">
        <v>2830.7563976524566</v>
      </c>
      <c r="V33" s="23">
        <v>3018.5340049398083</v>
      </c>
      <c r="W33" s="23">
        <v>3131.3791209831661</v>
      </c>
      <c r="X33" s="23">
        <v>3277.7362184726494</v>
      </c>
      <c r="Y33" s="23">
        <v>3302.3360489715087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1406.2652293417025</v>
      </c>
      <c r="E34" s="23">
        <v>1492.6525998492841</v>
      </c>
      <c r="F34" s="23">
        <v>1566.8490172668794</v>
      </c>
      <c r="G34" s="23">
        <v>1554.9311512044433</v>
      </c>
      <c r="H34" s="23">
        <v>1469.9029126213591</v>
      </c>
      <c r="I34" s="23">
        <v>1381.6978990006589</v>
      </c>
      <c r="J34" s="23">
        <v>1537.4010320242646</v>
      </c>
      <c r="K34" s="23">
        <v>1960.6153264937486</v>
      </c>
      <c r="L34" s="23">
        <v>2059.8920710461462</v>
      </c>
      <c r="M34" s="23">
        <v>2116.5040498829571</v>
      </c>
      <c r="N34" s="23">
        <v>2189.0711283277019</v>
      </c>
      <c r="O34" s="23">
        <v>2156.3009385345904</v>
      </c>
      <c r="P34" s="23">
        <v>2260.913878036351</v>
      </c>
      <c r="Q34" s="23">
        <v>2347.216699801193</v>
      </c>
      <c r="R34" s="23">
        <v>2408.6542777628151</v>
      </c>
      <c r="S34" s="23">
        <v>2693.9</v>
      </c>
      <c r="T34" s="23">
        <v>2977.2151389615092</v>
      </c>
      <c r="U34" s="23">
        <v>3175.440164447225</v>
      </c>
      <c r="V34" s="23">
        <v>3041.3854800754589</v>
      </c>
      <c r="W34" s="23">
        <v>3345.073756367286</v>
      </c>
      <c r="X34" s="23">
        <v>3427.9961950147308</v>
      </c>
      <c r="Y34" s="23">
        <v>3874.510509969843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477.59215579251054</v>
      </c>
      <c r="E35" s="23">
        <v>543.14242652599853</v>
      </c>
      <c r="F35" s="23">
        <v>612.0921613000944</v>
      </c>
      <c r="G35" s="23">
        <v>562.29254987018953</v>
      </c>
      <c r="H35" s="23">
        <v>477.52053771471248</v>
      </c>
      <c r="I35" s="23">
        <v>746.49249442863754</v>
      </c>
      <c r="J35" s="23">
        <v>829.16453302871571</v>
      </c>
      <c r="K35" s="23">
        <v>1113.0656529284674</v>
      </c>
      <c r="L35" s="23">
        <v>814.99107674003574</v>
      </c>
      <c r="M35" s="23">
        <v>1329.0037909390342</v>
      </c>
      <c r="N35" s="23">
        <v>1382.4899035687797</v>
      </c>
      <c r="O35" s="23">
        <v>1535.8759149952923</v>
      </c>
      <c r="P35" s="23">
        <v>1686.4676905244858</v>
      </c>
      <c r="Q35" s="23">
        <v>1658.0516898608348</v>
      </c>
      <c r="R35" s="23">
        <v>1829.6076847113745</v>
      </c>
      <c r="S35" s="23">
        <v>2103.6999999999998</v>
      </c>
      <c r="T35" s="23">
        <v>1854.4624542492863</v>
      </c>
      <c r="U35" s="23">
        <v>1815.2749227912334</v>
      </c>
      <c r="V35" s="23">
        <v>1841.4399346545054</v>
      </c>
      <c r="W35" s="23">
        <v>1745.2517563294136</v>
      </c>
      <c r="X35" s="23">
        <v>1220.7353226387388</v>
      </c>
      <c r="Y35" s="23">
        <v>1214.5654228743756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323.78798806994291</v>
      </c>
      <c r="E36" s="23">
        <v>368.12358703843256</v>
      </c>
      <c r="F36" s="23">
        <v>380.44156168142695</v>
      </c>
      <c r="G36" s="23">
        <v>378.25758322652734</v>
      </c>
      <c r="H36" s="23">
        <v>508.43913368185213</v>
      </c>
      <c r="I36" s="23">
        <v>552.23064739933011</v>
      </c>
      <c r="J36" s="23">
        <v>543.97920195375582</v>
      </c>
      <c r="K36" s="23">
        <v>552.16462226839667</v>
      </c>
      <c r="L36" s="23">
        <v>546.97458995495879</v>
      </c>
      <c r="M36" s="23">
        <v>577.85925879891442</v>
      </c>
      <c r="N36" s="23">
        <v>776.08588148026047</v>
      </c>
      <c r="O36" s="23">
        <v>715.39216976642945</v>
      </c>
      <c r="P36" s="23">
        <v>714.6354380039769</v>
      </c>
      <c r="Q36" s="23">
        <v>742.24652087475158</v>
      </c>
      <c r="R36" s="23">
        <v>716.50158103161061</v>
      </c>
      <c r="S36" s="23">
        <v>775.2</v>
      </c>
      <c r="T36" s="23">
        <v>843.92470739653299</v>
      </c>
      <c r="U36" s="23">
        <v>838.1247455338081</v>
      </c>
      <c r="V36" s="23">
        <v>827.70960150916983</v>
      </c>
      <c r="W36" s="23">
        <v>811.22535931375342</v>
      </c>
      <c r="X36" s="23">
        <v>712.78825995807131</v>
      </c>
      <c r="Y36" s="23">
        <v>734.03249763694475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21.053041969629039</v>
      </c>
      <c r="E37" s="23">
        <v>22.607385079125848</v>
      </c>
      <c r="F37" s="23">
        <v>24.056023806553931</v>
      </c>
      <c r="G37" s="23">
        <v>23.661638568470867</v>
      </c>
      <c r="H37" s="23">
        <v>23.300970873786408</v>
      </c>
      <c r="I37" s="23">
        <v>24.80833111413234</v>
      </c>
      <c r="J37" s="23">
        <v>26.391460196163393</v>
      </c>
      <c r="K37" s="23">
        <v>28.92459535081402</v>
      </c>
      <c r="L37" s="23">
        <v>29.319282739865727</v>
      </c>
      <c r="M37" s="23">
        <v>29.830339941582249</v>
      </c>
      <c r="N37" s="23">
        <v>34.925410038737333</v>
      </c>
      <c r="O37" s="23">
        <v>31.588219214141802</v>
      </c>
      <c r="P37" s="23">
        <v>32.474345267238881</v>
      </c>
      <c r="Q37" s="23">
        <v>30.516898608349901</v>
      </c>
      <c r="R37" s="23">
        <v>35.012119579854563</v>
      </c>
      <c r="S37" s="23">
        <v>35.200000000000003</v>
      </c>
      <c r="T37" s="23">
        <v>42.633632305031576</v>
      </c>
      <c r="U37" s="23">
        <v>39.324336401823224</v>
      </c>
      <c r="V37" s="23">
        <v>41.327135883622788</v>
      </c>
      <c r="W37" s="23">
        <v>46.014883826620462</v>
      </c>
      <c r="X37" s="23">
        <v>41.189889082832316</v>
      </c>
      <c r="Y37" s="23">
        <v>41.679794751766664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38552.213493440424</v>
      </c>
      <c r="E39" s="30">
        <f t="shared" ref="E39:S39" si="2">SUM(E18:E38)</f>
        <v>40287.113790504896</v>
      </c>
      <c r="F39" s="30">
        <f t="shared" si="2"/>
        <v>41977.761542436616</v>
      </c>
      <c r="G39" s="30">
        <f t="shared" si="2"/>
        <v>44004.732327713697</v>
      </c>
      <c r="H39" s="30">
        <f t="shared" si="2"/>
        <v>45997.311426437627</v>
      </c>
      <c r="I39" s="30">
        <f t="shared" si="2"/>
        <v>48812.563948028677</v>
      </c>
      <c r="J39" s="30">
        <f t="shared" si="2"/>
        <v>53612.872730137475</v>
      </c>
      <c r="K39" s="30">
        <f t="shared" si="2"/>
        <v>59568.020022903554</v>
      </c>
      <c r="L39" s="30">
        <f t="shared" si="2"/>
        <v>63277.917056174032</v>
      </c>
      <c r="M39" s="30">
        <f t="shared" si="2"/>
        <v>60068.257618130214</v>
      </c>
      <c r="N39" s="30">
        <f t="shared" si="2"/>
        <v>64216.702381933574</v>
      </c>
      <c r="O39" s="30">
        <f t="shared" si="2"/>
        <v>65464.255702584749</v>
      </c>
      <c r="P39" s="30">
        <f t="shared" si="2"/>
        <v>66887.658749587834</v>
      </c>
      <c r="Q39" s="30">
        <f t="shared" si="2"/>
        <v>67000.695825049697</v>
      </c>
      <c r="R39" s="30">
        <f t="shared" si="2"/>
        <v>68769.189334769733</v>
      </c>
      <c r="S39" s="30">
        <f t="shared" si="2"/>
        <v>72144.699999999983</v>
      </c>
      <c r="T39" s="30">
        <f t="shared" ref="T39:Y39" si="3">SUM(T18:T38)</f>
        <v>73639.243051924554</v>
      </c>
      <c r="U39" s="30">
        <f t="shared" si="3"/>
        <v>75333.809991956368</v>
      </c>
      <c r="V39" s="30">
        <f t="shared" si="3"/>
        <v>78295.279954880505</v>
      </c>
      <c r="W39" s="30">
        <f t="shared" si="3"/>
        <v>79935.048949989592</v>
      </c>
      <c r="X39" s="30">
        <f t="shared" si="3"/>
        <v>77372.713083792769</v>
      </c>
      <c r="Y39" s="30">
        <f t="shared" si="3"/>
        <v>80537.786379799261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1102.1657342248386</v>
      </c>
      <c r="E41" s="19">
        <v>1378.8620949510173</v>
      </c>
      <c r="F41" s="19">
        <v>1032.2707104545696</v>
      </c>
      <c r="G41" s="19">
        <v>956.98182654704397</v>
      </c>
      <c r="H41" s="19">
        <v>979.98506348020908</v>
      </c>
      <c r="I41" s="19">
        <v>1028.7748608911377</v>
      </c>
      <c r="J41" s="19">
        <v>1126.9547406152756</v>
      </c>
      <c r="K41" s="19">
        <v>1100.5513382052584</v>
      </c>
      <c r="L41" s="19">
        <v>1097.6672048950454</v>
      </c>
      <c r="M41" s="19">
        <v>945.35247446812912</v>
      </c>
      <c r="N41" s="19">
        <v>937.83483062721507</v>
      </c>
      <c r="O41" s="19">
        <v>1020.8461997954865</v>
      </c>
      <c r="P41" s="19">
        <v>1022.0925468879586</v>
      </c>
      <c r="Q41" s="19">
        <v>909.9403578528827</v>
      </c>
      <c r="R41" s="19">
        <v>912.50960090173658</v>
      </c>
      <c r="S41" s="19">
        <v>984</v>
      </c>
      <c r="T41" s="19">
        <v>859.5101154325705</v>
      </c>
      <c r="U41" s="19">
        <v>914.19151746258729</v>
      </c>
      <c r="V41" s="19">
        <v>1089.2860615725706</v>
      </c>
      <c r="W41" s="19">
        <v>1177.3561324774187</v>
      </c>
      <c r="X41" s="19">
        <v>1177.1442292595978</v>
      </c>
      <c r="Y41" s="19">
        <v>1272.3590043660261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778.37774615489582</v>
      </c>
      <c r="E42" s="23">
        <v>683.30821401657875</v>
      </c>
      <c r="F42" s="23">
        <v>668.75746182219928</v>
      </c>
      <c r="G42" s="23">
        <v>657.43205494758297</v>
      </c>
      <c r="H42" s="23">
        <v>614.48842419716209</v>
      </c>
      <c r="I42" s="23">
        <v>688.18590830728692</v>
      </c>
      <c r="J42" s="23">
        <v>658.99870012210977</v>
      </c>
      <c r="K42" s="23">
        <v>700.21132663542016</v>
      </c>
      <c r="L42" s="23">
        <v>520.4172686326167</v>
      </c>
      <c r="M42" s="23">
        <v>447.04078884676733</v>
      </c>
      <c r="N42" s="23">
        <v>701.80499464270997</v>
      </c>
      <c r="O42" s="23">
        <v>619.41258061576775</v>
      </c>
      <c r="P42" s="23">
        <v>610.71753314881255</v>
      </c>
      <c r="Q42" s="23">
        <v>586.58051689860838</v>
      </c>
      <c r="R42" s="23">
        <v>680.69146442429496</v>
      </c>
      <c r="S42" s="23">
        <v>684</v>
      </c>
      <c r="T42" s="23">
        <v>633.87362747858265</v>
      </c>
      <c r="U42" s="23">
        <v>574.07572913873753</v>
      </c>
      <c r="V42" s="23">
        <v>692.93451836869644</v>
      </c>
      <c r="W42" s="23">
        <v>659.73602984339789</v>
      </c>
      <c r="X42" s="23">
        <v>570.37837438469137</v>
      </c>
      <c r="Y42" s="23">
        <v>559.48147814736467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861.42030059065485</v>
      </c>
      <c r="E43" s="23">
        <v>962.32102486812357</v>
      </c>
      <c r="F43" s="23">
        <v>878.66854363049947</v>
      </c>
      <c r="G43" s="23">
        <v>837.52341516316676</v>
      </c>
      <c r="H43" s="23">
        <v>841.07542942494399</v>
      </c>
      <c r="I43" s="23">
        <v>886.932877345929</v>
      </c>
      <c r="J43" s="23">
        <v>1059.3348301624192</v>
      </c>
      <c r="K43" s="23">
        <v>1121.9201208930026</v>
      </c>
      <c r="L43" s="23">
        <v>1137.7156454491376</v>
      </c>
      <c r="M43" s="23">
        <v>982.95113210283171</v>
      </c>
      <c r="N43" s="23">
        <v>999.75274045990284</v>
      </c>
      <c r="O43" s="23">
        <v>979.23479563839589</v>
      </c>
      <c r="P43" s="23">
        <v>957.54354060292371</v>
      </c>
      <c r="Q43" s="23">
        <v>927.13717693836986</v>
      </c>
      <c r="R43" s="23">
        <v>1052.9570777348852</v>
      </c>
      <c r="S43" s="23">
        <v>1103.4000000000001</v>
      </c>
      <c r="T43" s="23">
        <v>1060.4110525680728</v>
      </c>
      <c r="U43" s="23">
        <v>1051.528783229561</v>
      </c>
      <c r="V43" s="23">
        <v>1035.6094050837239</v>
      </c>
      <c r="W43" s="23">
        <v>1041.5838209396125</v>
      </c>
      <c r="X43" s="23">
        <v>956.69520405618835</v>
      </c>
      <c r="Y43" s="23">
        <v>988.16221812125855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311.50704692099265</v>
      </c>
      <c r="E44" s="23">
        <v>268.08590806330074</v>
      </c>
      <c r="F44" s="23">
        <v>171.95602202462624</v>
      </c>
      <c r="G44" s="23">
        <v>180.74862795359689</v>
      </c>
      <c r="H44" s="23">
        <v>520.0896191187453</v>
      </c>
      <c r="I44" s="23">
        <v>473.1803719848067</v>
      </c>
      <c r="J44" s="23">
        <v>286.62963984191384</v>
      </c>
      <c r="K44" s="23">
        <v>304.94787669858209</v>
      </c>
      <c r="L44" s="23">
        <v>131.93677232939578</v>
      </c>
      <c r="M44" s="23">
        <v>157.12717253951482</v>
      </c>
      <c r="N44" s="23">
        <v>432.29209593670157</v>
      </c>
      <c r="O44" s="23">
        <v>96.18207773536767</v>
      </c>
      <c r="P44" s="23">
        <v>373.5049311044275</v>
      </c>
      <c r="Q44" s="23">
        <v>263.9165009940358</v>
      </c>
      <c r="R44" s="23">
        <v>299.74763344006544</v>
      </c>
      <c r="S44" s="23">
        <v>330.8</v>
      </c>
      <c r="T44" s="23">
        <v>43.840244540079638</v>
      </c>
      <c r="U44" s="23">
        <v>334.65407493470769</v>
      </c>
      <c r="V44" s="23">
        <v>292.01268013769231</v>
      </c>
      <c r="W44" s="23">
        <v>372.66375049707437</v>
      </c>
      <c r="X44" s="23">
        <v>258.49887789876152</v>
      </c>
      <c r="Y44" s="23">
        <v>502.13800243057113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514.82485038694722</v>
      </c>
      <c r="E45" s="23">
        <v>526.56367746797287</v>
      </c>
      <c r="F45" s="23">
        <v>550.43746324774133</v>
      </c>
      <c r="G45" s="23">
        <v>392.38883959380854</v>
      </c>
      <c r="H45" s="23">
        <v>384.61538461538458</v>
      </c>
      <c r="I45" s="23">
        <v>426.64723113795952</v>
      </c>
      <c r="J45" s="23">
        <v>493.82229750134582</v>
      </c>
      <c r="K45" s="23">
        <v>476.96067435628015</v>
      </c>
      <c r="L45" s="23">
        <v>474.10130024645196</v>
      </c>
      <c r="M45" s="23">
        <v>397.42713318003848</v>
      </c>
      <c r="N45" s="23">
        <v>503.99736256490564</v>
      </c>
      <c r="O45" s="23">
        <v>592.68408743457087</v>
      </c>
      <c r="P45" s="23">
        <v>539.87349993505131</v>
      </c>
      <c r="Q45" s="23">
        <v>448.01192842942351</v>
      </c>
      <c r="R45" s="23">
        <v>510.01985017605807</v>
      </c>
      <c r="S45" s="23">
        <v>637.29999999999995</v>
      </c>
      <c r="T45" s="23">
        <v>606.32264811165192</v>
      </c>
      <c r="U45" s="23">
        <v>567.22376143235931</v>
      </c>
      <c r="V45" s="23">
        <v>519.65226861665928</v>
      </c>
      <c r="W45" s="23">
        <v>586.35838588119441</v>
      </c>
      <c r="X45" s="23">
        <v>534.91443400844128</v>
      </c>
      <c r="Y45" s="23">
        <v>592.69928433181803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112.08795493089534</v>
      </c>
      <c r="E46" s="23">
        <v>118.31198191409194</v>
      </c>
      <c r="F46" s="23">
        <v>101.39168552540139</v>
      </c>
      <c r="G46" s="23">
        <v>75.750106806007437</v>
      </c>
      <c r="H46" s="23">
        <v>43.465272591486183</v>
      </c>
      <c r="I46" s="23">
        <v>65.594909386519404</v>
      </c>
      <c r="J46" s="23">
        <v>75.629259069602554</v>
      </c>
      <c r="K46" s="23">
        <v>80.398569117976919</v>
      </c>
      <c r="L46" s="23">
        <v>91.038497492988867</v>
      </c>
      <c r="M46" s="23">
        <v>130.50773724442234</v>
      </c>
      <c r="N46" s="23">
        <v>142.38028517266957</v>
      </c>
      <c r="O46" s="23">
        <v>144.17187231069849</v>
      </c>
      <c r="P46" s="23">
        <v>141.08854005335783</v>
      </c>
      <c r="Q46" s="23">
        <v>20.77534791252485</v>
      </c>
      <c r="R46" s="23">
        <v>74.113973925447127</v>
      </c>
      <c r="S46" s="23">
        <v>56.1</v>
      </c>
      <c r="T46" s="23">
        <v>80.239713630696215</v>
      </c>
      <c r="U46" s="23">
        <v>69.016196462795804</v>
      </c>
      <c r="V46" s="23">
        <v>67.970983488593717</v>
      </c>
      <c r="W46" s="23">
        <v>70.253176541877338</v>
      </c>
      <c r="X46" s="23">
        <v>73.975563128584483</v>
      </c>
      <c r="Y46" s="23">
        <v>84.259801053247514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959.66782978225694</v>
      </c>
      <c r="E47" s="23">
        <v>1000.1883948756595</v>
      </c>
      <c r="F47" s="23">
        <v>1124.7527575330994</v>
      </c>
      <c r="G47" s="23">
        <v>1184.725097768576</v>
      </c>
      <c r="H47" s="23">
        <v>1162.3599701269604</v>
      </c>
      <c r="I47" s="23">
        <v>1258.6373638695391</v>
      </c>
      <c r="J47" s="23">
        <v>1328.107561612899</v>
      </c>
      <c r="K47" s="23">
        <v>1483.5365925646079</v>
      </c>
      <c r="L47" s="23">
        <v>1433.2455171241609</v>
      </c>
      <c r="M47" s="23">
        <v>1251.0098813001055</v>
      </c>
      <c r="N47" s="23">
        <v>1189.1123382510509</v>
      </c>
      <c r="O47" s="23">
        <v>1388.7679582063561</v>
      </c>
      <c r="P47" s="23">
        <v>1494.6192507918745</v>
      </c>
      <c r="Q47" s="23">
        <v>1568.7872763419484</v>
      </c>
      <c r="R47" s="23">
        <v>1691.0554508184457</v>
      </c>
      <c r="S47" s="23">
        <v>1776.1</v>
      </c>
      <c r="T47" s="23">
        <v>1913.5864537666412</v>
      </c>
      <c r="U47" s="23">
        <v>1910.3087357623065</v>
      </c>
      <c r="V47" s="23">
        <v>1878.2940158307242</v>
      </c>
      <c r="W47" s="23">
        <v>2055.7102009127229</v>
      </c>
      <c r="X47" s="23">
        <v>1818.8199004423757</v>
      </c>
      <c r="Y47" s="23">
        <v>2017.9142098393124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1528.2948985360338</v>
      </c>
      <c r="E48" s="23">
        <v>1860.9645817633761</v>
      </c>
      <c r="F48" s="23">
        <v>1676.0811846255278</v>
      </c>
      <c r="G48" s="23">
        <v>1996.122120345723</v>
      </c>
      <c r="H48" s="23">
        <v>2394.6228528752799</v>
      </c>
      <c r="I48" s="23">
        <v>2619.7317336398169</v>
      </c>
      <c r="J48" s="23">
        <v>2907.7874502698232</v>
      </c>
      <c r="K48" s="23">
        <v>3293.3898445155423</v>
      </c>
      <c r="L48" s="23">
        <v>3075.8689555536671</v>
      </c>
      <c r="M48" s="23">
        <v>2056.3254821535847</v>
      </c>
      <c r="N48" s="23">
        <v>2722.0184620456607</v>
      </c>
      <c r="O48" s="23">
        <v>2585.7792266960951</v>
      </c>
      <c r="P48" s="23">
        <v>2809.4805103967869</v>
      </c>
      <c r="Q48" s="23">
        <v>2616.6998011928431</v>
      </c>
      <c r="R48" s="23">
        <v>2917.5768820261142</v>
      </c>
      <c r="S48" s="23">
        <v>3048</v>
      </c>
      <c r="T48" s="23">
        <v>3110.6463419539073</v>
      </c>
      <c r="U48" s="23">
        <v>3222.8081151130577</v>
      </c>
      <c r="V48" s="23">
        <v>3416.0524319803967</v>
      </c>
      <c r="W48" s="23">
        <v>3136.2078433600336</v>
      </c>
      <c r="X48" s="23">
        <v>2842.2870547382227</v>
      </c>
      <c r="Y48" s="23">
        <v>3743.8898141063146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289.0894559348136</v>
      </c>
      <c r="E49" s="23">
        <v>274.49133383571962</v>
      </c>
      <c r="F49" s="23">
        <v>304.8878276519539</v>
      </c>
      <c r="G49" s="23">
        <v>320.25370534687306</v>
      </c>
      <c r="H49" s="23">
        <v>383.12173263629575</v>
      </c>
      <c r="I49" s="23">
        <v>476.82453361739113</v>
      </c>
      <c r="J49" s="23">
        <v>717.29625398826158</v>
      </c>
      <c r="K49" s="23">
        <v>651.92496133548991</v>
      </c>
      <c r="L49" s="23">
        <v>779.82918330925474</v>
      </c>
      <c r="M49" s="23">
        <v>482.77505023512106</v>
      </c>
      <c r="N49" s="23">
        <v>645.14135003708907</v>
      </c>
      <c r="O49" s="23">
        <v>696.864464265827</v>
      </c>
      <c r="P49" s="23">
        <v>656.18161652294691</v>
      </c>
      <c r="Q49" s="23">
        <v>524.85089463220675</v>
      </c>
      <c r="R49" s="23">
        <v>719.09507137085916</v>
      </c>
      <c r="S49" s="23">
        <v>626.79999999999995</v>
      </c>
      <c r="T49" s="23">
        <v>656.09540280738452</v>
      </c>
      <c r="U49" s="23">
        <v>543.1922225201339</v>
      </c>
      <c r="V49" s="23">
        <v>541.43410023532158</v>
      </c>
      <c r="W49" s="23">
        <v>542.42648033479145</v>
      </c>
      <c r="X49" s="23">
        <v>457.33706443539376</v>
      </c>
      <c r="Y49" s="23">
        <v>549.66917225548002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383.04840250297275</v>
      </c>
      <c r="E50" s="23">
        <v>431.23587038432555</v>
      </c>
      <c r="F50" s="23">
        <v>415.01095885528963</v>
      </c>
      <c r="G50" s="23">
        <v>474.21867297643706</v>
      </c>
      <c r="H50" s="23">
        <v>434.35399551904402</v>
      </c>
      <c r="I50" s="23">
        <v>540.87768231320172</v>
      </c>
      <c r="J50" s="23">
        <v>573.12797888683178</v>
      </c>
      <c r="K50" s="23">
        <v>583.21428993069901</v>
      </c>
      <c r="L50" s="23">
        <v>697.71394578057277</v>
      </c>
      <c r="M50" s="23">
        <v>452.42682244733078</v>
      </c>
      <c r="N50" s="23">
        <v>613.20365944119351</v>
      </c>
      <c r="O50" s="23">
        <v>913.83098277834586</v>
      </c>
      <c r="P50" s="23">
        <v>664.37514363652724</v>
      </c>
      <c r="Q50" s="23">
        <v>744.13518886679924</v>
      </c>
      <c r="R50" s="23">
        <v>711.6138492384116</v>
      </c>
      <c r="S50" s="23">
        <v>879.4</v>
      </c>
      <c r="T50" s="23">
        <v>879.92197240880023</v>
      </c>
      <c r="U50" s="23">
        <v>945.67084736000641</v>
      </c>
      <c r="V50" s="23">
        <v>976.09832941130719</v>
      </c>
      <c r="W50" s="23">
        <v>1103.3157226987826</v>
      </c>
      <c r="X50" s="23">
        <v>854.64402146307225</v>
      </c>
      <c r="Y50" s="23">
        <v>1048.7464554170231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619.89512466129941</v>
      </c>
      <c r="E51" s="23">
        <v>636.39788997739265</v>
      </c>
      <c r="F51" s="23">
        <v>625.63481173933963</v>
      </c>
      <c r="G51" s="23">
        <v>677.64303789148516</v>
      </c>
      <c r="H51" s="23">
        <v>740.85138162808062</v>
      </c>
      <c r="I51" s="23">
        <v>790.50275414523389</v>
      </c>
      <c r="J51" s="23">
        <v>842.03201113430748</v>
      </c>
      <c r="K51" s="23">
        <v>906.34334084979275</v>
      </c>
      <c r="L51" s="23">
        <v>996.53692529956663</v>
      </c>
      <c r="M51" s="23">
        <v>665.07157210034586</v>
      </c>
      <c r="N51" s="23">
        <v>906.00016483969341</v>
      </c>
      <c r="O51" s="23">
        <v>1054.2568162719826</v>
      </c>
      <c r="P51" s="23">
        <v>1016.8966516452003</v>
      </c>
      <c r="Q51" s="23">
        <v>1064.6123260437375</v>
      </c>
      <c r="R51" s="23">
        <v>1316.395846425472</v>
      </c>
      <c r="S51" s="23">
        <v>1482.6</v>
      </c>
      <c r="T51" s="23">
        <v>1285.3436833849496</v>
      </c>
      <c r="U51" s="23">
        <v>1075.1631066225759</v>
      </c>
      <c r="V51" s="23">
        <v>1447.5193994437855</v>
      </c>
      <c r="W51" s="23">
        <v>1539.6049915734061</v>
      </c>
      <c r="X51" s="23">
        <v>1263.3105218925184</v>
      </c>
      <c r="Y51" s="23">
        <v>1627.2223972633569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661.0265307315932</v>
      </c>
      <c r="E52" s="23">
        <v>755.27505651846275</v>
      </c>
      <c r="F52" s="23">
        <v>816.47926727133415</v>
      </c>
      <c r="G52" s="23">
        <v>1181.2744421440075</v>
      </c>
      <c r="H52" s="23">
        <v>1237.1919342793128</v>
      </c>
      <c r="I52" s="23">
        <v>1205.0962198831066</v>
      </c>
      <c r="J52" s="23">
        <v>1318.2600018382111</v>
      </c>
      <c r="K52" s="23">
        <v>1856.9590215222602</v>
      </c>
      <c r="L52" s="23">
        <v>1952.4942636185945</v>
      </c>
      <c r="M52" s="23">
        <v>1260.9533279472998</v>
      </c>
      <c r="N52" s="23">
        <v>2035.5641638506554</v>
      </c>
      <c r="O52" s="23">
        <v>2088.3660183657144</v>
      </c>
      <c r="P52" s="23">
        <v>2138.7104187691725</v>
      </c>
      <c r="Q52" s="23">
        <v>2278.8270377733602</v>
      </c>
      <c r="R52" s="23">
        <v>2833.1886963721058</v>
      </c>
      <c r="S52" s="23">
        <v>3090.2</v>
      </c>
      <c r="T52" s="23">
        <v>3029.3005671077503</v>
      </c>
      <c r="U52" s="23">
        <v>2788.6515526161611</v>
      </c>
      <c r="V52" s="23">
        <v>3409.7318111981954</v>
      </c>
      <c r="W52" s="23">
        <v>4200.8937870438749</v>
      </c>
      <c r="X52" s="23">
        <v>3871.2030957064621</v>
      </c>
      <c r="Y52" s="23">
        <v>4377.9988297249856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598.45221154408864</v>
      </c>
      <c r="E53" s="23">
        <v>714.01657874905322</v>
      </c>
      <c r="F53" s="23">
        <v>745.0239669274215</v>
      </c>
      <c r="G53" s="23">
        <v>821.7489894508526</v>
      </c>
      <c r="H53" s="23">
        <v>854.81702763255635</v>
      </c>
      <c r="I53" s="23">
        <v>920.15081222757726</v>
      </c>
      <c r="J53" s="23">
        <v>979.37264479195073</v>
      </c>
      <c r="K53" s="23">
        <v>968.20655702866679</v>
      </c>
      <c r="L53" s="23">
        <v>953.0891476162069</v>
      </c>
      <c r="M53" s="23">
        <v>846.43589584238543</v>
      </c>
      <c r="N53" s="23">
        <v>946.59193933899587</v>
      </c>
      <c r="O53" s="23">
        <v>1032.7930262931313</v>
      </c>
      <c r="P53" s="23">
        <v>921.27219496598264</v>
      </c>
      <c r="Q53" s="23">
        <v>1000.4970178926451</v>
      </c>
      <c r="R53" s="23">
        <v>987.02257334091155</v>
      </c>
      <c r="S53" s="23">
        <v>995.80000000000109</v>
      </c>
      <c r="T53" s="23">
        <v>1038.5914813176278</v>
      </c>
      <c r="U53" s="23">
        <v>1095.6197058619</v>
      </c>
      <c r="V53" s="23">
        <v>1134.1138489663354</v>
      </c>
      <c r="W53" s="23">
        <v>1148.5731598780585</v>
      </c>
      <c r="X53" s="23">
        <v>1040.2755843699888</v>
      </c>
      <c r="Y53" s="23">
        <v>1047.9362650222793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8719.8580869022826</v>
      </c>
      <c r="E54" s="30">
        <f t="shared" ref="E54:S54" si="4">SUM(E41:E53)</f>
        <v>9610.0226073850754</v>
      </c>
      <c r="F54" s="30">
        <f t="shared" si="4"/>
        <v>9111.3526613090035</v>
      </c>
      <c r="G54" s="30">
        <f t="shared" si="4"/>
        <v>9756.8109369351605</v>
      </c>
      <c r="H54" s="30">
        <f t="shared" si="4"/>
        <v>10591.038088125462</v>
      </c>
      <c r="I54" s="30">
        <f t="shared" si="4"/>
        <v>11381.137258749506</v>
      </c>
      <c r="J54" s="30">
        <f t="shared" si="4"/>
        <v>12367.353369834953</v>
      </c>
      <c r="K54" s="30">
        <f t="shared" si="4"/>
        <v>13528.564513653579</v>
      </c>
      <c r="L54" s="30">
        <f t="shared" si="4"/>
        <v>13341.654627347662</v>
      </c>
      <c r="M54" s="30">
        <f t="shared" si="4"/>
        <v>10075.404470407879</v>
      </c>
      <c r="N54" s="30">
        <f t="shared" si="4"/>
        <v>12775.694387208443</v>
      </c>
      <c r="O54" s="30">
        <f t="shared" si="4"/>
        <v>13213.190106407739</v>
      </c>
      <c r="P54" s="30">
        <f t="shared" si="4"/>
        <v>13346.356378461023</v>
      </c>
      <c r="Q54" s="30">
        <f t="shared" si="4"/>
        <v>12954.771371769388</v>
      </c>
      <c r="R54" s="30">
        <f t="shared" si="4"/>
        <v>14705.987970194808</v>
      </c>
      <c r="S54" s="30">
        <f t="shared" si="4"/>
        <v>15694.500000000002</v>
      </c>
      <c r="T54" s="30">
        <f t="shared" ref="T54:Y54" si="5">SUM(T41:T53)</f>
        <v>15197.683304508715</v>
      </c>
      <c r="U54" s="30">
        <f t="shared" si="5"/>
        <v>15092.104348516892</v>
      </c>
      <c r="V54" s="30">
        <f t="shared" si="5"/>
        <v>16500.709854334</v>
      </c>
      <c r="W54" s="30">
        <f t="shared" si="5"/>
        <v>17634.683481982243</v>
      </c>
      <c r="X54" s="30">
        <f t="shared" si="5"/>
        <v>15719.4839257843</v>
      </c>
      <c r="Y54" s="30">
        <f t="shared" si="5"/>
        <v>18412.47693207904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1102.1657342248386</v>
      </c>
      <c r="E56" s="19">
        <v>1378.8620949510173</v>
      </c>
      <c r="F56" s="19">
        <v>1032.2707104545696</v>
      </c>
      <c r="G56" s="19">
        <v>956.98182654704397</v>
      </c>
      <c r="H56" s="19">
        <v>979.98506348020908</v>
      </c>
      <c r="I56" s="19">
        <v>1028.7748608911377</v>
      </c>
      <c r="J56" s="19">
        <v>1126.9547406152756</v>
      </c>
      <c r="K56" s="19">
        <v>1100.5513382052584</v>
      </c>
      <c r="L56" s="19">
        <v>1097.6672048950454</v>
      </c>
      <c r="M56" s="19">
        <v>945.35247446812912</v>
      </c>
      <c r="N56" s="19">
        <v>937.83483062721507</v>
      </c>
      <c r="O56" s="19">
        <v>1020.8461997954865</v>
      </c>
      <c r="P56" s="19">
        <v>1022.0925468879586</v>
      </c>
      <c r="Q56" s="19">
        <v>909.9403578528827</v>
      </c>
      <c r="R56" s="19">
        <v>912.50960090173658</v>
      </c>
      <c r="S56" s="19">
        <v>984</v>
      </c>
      <c r="T56" s="19">
        <v>859.5101154325705</v>
      </c>
      <c r="U56" s="19">
        <v>914.19151746258729</v>
      </c>
      <c r="V56" s="19">
        <v>1089.2860615725706</v>
      </c>
      <c r="W56" s="19">
        <v>1177.3561324774187</v>
      </c>
      <c r="X56" s="19">
        <v>1177.1442292595978</v>
      </c>
      <c r="Y56" s="19">
        <v>1272.3590043660261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778.37774615489582</v>
      </c>
      <c r="E57" s="23">
        <v>683.30821401657875</v>
      </c>
      <c r="F57" s="23">
        <v>668.75746182219928</v>
      </c>
      <c r="G57" s="23">
        <v>657.43205494758297</v>
      </c>
      <c r="H57" s="23">
        <v>614.48842419716209</v>
      </c>
      <c r="I57" s="23">
        <v>688.18590830728692</v>
      </c>
      <c r="J57" s="23">
        <v>658.99870012210977</v>
      </c>
      <c r="K57" s="23">
        <v>700.21132663542016</v>
      </c>
      <c r="L57" s="23">
        <v>520.4172686326167</v>
      </c>
      <c r="M57" s="23">
        <v>447.04078884676733</v>
      </c>
      <c r="N57" s="23">
        <v>701.80499464270997</v>
      </c>
      <c r="O57" s="23">
        <v>619.41258061576775</v>
      </c>
      <c r="P57" s="23">
        <v>610.71753314881255</v>
      </c>
      <c r="Q57" s="23">
        <v>586.58051689860838</v>
      </c>
      <c r="R57" s="23">
        <v>680.69146442429496</v>
      </c>
      <c r="S57" s="23">
        <v>684</v>
      </c>
      <c r="T57" s="23">
        <v>633.87362747858265</v>
      </c>
      <c r="U57" s="23">
        <v>574.07572913873753</v>
      </c>
      <c r="V57" s="23">
        <v>692.93451836869644</v>
      </c>
      <c r="W57" s="23">
        <v>659.73602984339789</v>
      </c>
      <c r="X57" s="23">
        <v>570.37837438469137</v>
      </c>
      <c r="Y57" s="23">
        <v>559.48147814736467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286.94516462309201</v>
      </c>
      <c r="E58" s="23">
        <v>306.33006782215523</v>
      </c>
      <c r="F58" s="23">
        <v>317.53951424651189</v>
      </c>
      <c r="G58" s="23">
        <v>347.36599953991259</v>
      </c>
      <c r="H58" s="23">
        <v>409.70873786407765</v>
      </c>
      <c r="I58" s="23">
        <v>449.77364149859136</v>
      </c>
      <c r="J58" s="23">
        <v>554.22066411943115</v>
      </c>
      <c r="K58" s="23">
        <v>600.56904714118741</v>
      </c>
      <c r="L58" s="23">
        <v>645.02422027704608</v>
      </c>
      <c r="M58" s="23">
        <v>526.69193959356153</v>
      </c>
      <c r="N58" s="23">
        <v>527.89911810764033</v>
      </c>
      <c r="O58" s="23">
        <v>503.9940873333266</v>
      </c>
      <c r="P58" s="23">
        <v>444.04920113110643</v>
      </c>
      <c r="Q58" s="23">
        <v>455.26838966202786</v>
      </c>
      <c r="R58" s="23">
        <v>575.35585679943335</v>
      </c>
      <c r="S58" s="23">
        <v>588.6</v>
      </c>
      <c r="T58" s="23">
        <v>531.81434259743389</v>
      </c>
      <c r="U58" s="23">
        <v>568.91192738900315</v>
      </c>
      <c r="V58" s="23">
        <v>521.30535405200419</v>
      </c>
      <c r="W58" s="23">
        <v>543.94137362949505</v>
      </c>
      <c r="X58" s="23">
        <v>541.74863085178106</v>
      </c>
      <c r="Y58" s="23">
        <v>542.73754332268084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415.01783660500206</v>
      </c>
      <c r="E59" s="23">
        <v>488.31951770911832</v>
      </c>
      <c r="F59" s="23">
        <v>407.52686255991733</v>
      </c>
      <c r="G59" s="23">
        <v>329.12681981004965</v>
      </c>
      <c r="H59" s="23">
        <v>280.05974607916352</v>
      </c>
      <c r="I59" s="23">
        <v>284.66508752995924</v>
      </c>
      <c r="J59" s="23">
        <v>324.05036698572758</v>
      </c>
      <c r="K59" s="23">
        <v>334.10859119511707</v>
      </c>
      <c r="L59" s="23">
        <v>294.57380810741904</v>
      </c>
      <c r="M59" s="23">
        <v>297.99266670809766</v>
      </c>
      <c r="N59" s="23">
        <v>285.58476881233003</v>
      </c>
      <c r="O59" s="23">
        <v>300.99928116552428</v>
      </c>
      <c r="P59" s="23">
        <v>328.74029516681821</v>
      </c>
      <c r="Q59" s="23">
        <v>300</v>
      </c>
      <c r="R59" s="23">
        <v>302.44087340774655</v>
      </c>
      <c r="S59" s="23">
        <v>344.2</v>
      </c>
      <c r="T59" s="23">
        <v>363.99469090616577</v>
      </c>
      <c r="U59" s="23">
        <v>313.70095629636251</v>
      </c>
      <c r="V59" s="23">
        <v>321.47649701472221</v>
      </c>
      <c r="W59" s="23">
        <v>331.00418489272664</v>
      </c>
      <c r="X59" s="23">
        <v>269.76606728913276</v>
      </c>
      <c r="Y59" s="23">
        <v>289.68807669802408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159.45729936256083</v>
      </c>
      <c r="E60" s="23">
        <v>167.67143933685003</v>
      </c>
      <c r="F60" s="23">
        <v>153.60216682407025</v>
      </c>
      <c r="G60" s="23">
        <v>161.03059581320451</v>
      </c>
      <c r="H60" s="23">
        <v>151.30694548170283</v>
      </c>
      <c r="I60" s="23">
        <v>152.4941483173784</v>
      </c>
      <c r="J60" s="23">
        <v>181.06379905726044</v>
      </c>
      <c r="K60" s="23">
        <v>187.24248255669812</v>
      </c>
      <c r="L60" s="23">
        <v>198.11761706467246</v>
      </c>
      <c r="M60" s="23">
        <v>158.26652580117252</v>
      </c>
      <c r="N60" s="23">
        <v>186.26885353993248</v>
      </c>
      <c r="O60" s="23">
        <v>174.24142713954501</v>
      </c>
      <c r="P60" s="23">
        <v>184.75404430499907</v>
      </c>
      <c r="Q60" s="23">
        <v>171.868787276342</v>
      </c>
      <c r="R60" s="23">
        <v>175.16034752770526</v>
      </c>
      <c r="S60" s="23">
        <v>170.60000000000008</v>
      </c>
      <c r="T60" s="23">
        <v>164.60201906447315</v>
      </c>
      <c r="U60" s="23">
        <v>168.91589954419533</v>
      </c>
      <c r="V60" s="23">
        <v>192.82755401699751</v>
      </c>
      <c r="W60" s="23">
        <v>166.63826241739076</v>
      </c>
      <c r="X60" s="23">
        <v>145.18050591527452</v>
      </c>
      <c r="Y60" s="23">
        <v>155.73659810055364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311.50704692099265</v>
      </c>
      <c r="E61" s="23">
        <v>268.08590806330074</v>
      </c>
      <c r="F61" s="23">
        <v>171.95602202462624</v>
      </c>
      <c r="G61" s="23">
        <v>180.74862795359689</v>
      </c>
      <c r="H61" s="23">
        <v>520.0896191187453</v>
      </c>
      <c r="I61" s="23">
        <v>473.1803719848067</v>
      </c>
      <c r="J61" s="23">
        <v>286.62963984191384</v>
      </c>
      <c r="K61" s="23">
        <v>304.94787669858209</v>
      </c>
      <c r="L61" s="23">
        <v>131.93677232939578</v>
      </c>
      <c r="M61" s="23">
        <v>157.12717253951482</v>
      </c>
      <c r="N61" s="23">
        <v>432.29209593670157</v>
      </c>
      <c r="O61" s="23">
        <v>96.18207773536767</v>
      </c>
      <c r="P61" s="23">
        <v>373.5049311044275</v>
      </c>
      <c r="Q61" s="23">
        <v>263.9165009940358</v>
      </c>
      <c r="R61" s="23">
        <v>299.74763344006544</v>
      </c>
      <c r="S61" s="23">
        <v>330.8</v>
      </c>
      <c r="T61" s="23">
        <v>43.840244540079638</v>
      </c>
      <c r="U61" s="23">
        <v>334.65407493470769</v>
      </c>
      <c r="V61" s="23">
        <v>292.01268013769231</v>
      </c>
      <c r="W61" s="23">
        <v>372.66375049707437</v>
      </c>
      <c r="X61" s="23">
        <v>258.49887789876152</v>
      </c>
      <c r="Y61" s="23">
        <v>502.13800243057113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514.82485038694722</v>
      </c>
      <c r="E62" s="23">
        <v>526.56367746797287</v>
      </c>
      <c r="F62" s="23">
        <v>550.43746324774133</v>
      </c>
      <c r="G62" s="23">
        <v>392.38883959380854</v>
      </c>
      <c r="H62" s="23">
        <v>384.61538461538458</v>
      </c>
      <c r="I62" s="23">
        <v>426.64723113795952</v>
      </c>
      <c r="J62" s="23">
        <v>493.82229750134582</v>
      </c>
      <c r="K62" s="23">
        <v>476.96067435628015</v>
      </c>
      <c r="L62" s="23">
        <v>474.10130024645196</v>
      </c>
      <c r="M62" s="23">
        <v>397.42713318003848</v>
      </c>
      <c r="N62" s="23">
        <v>503.99736256490564</v>
      </c>
      <c r="O62" s="23">
        <v>592.68408743457087</v>
      </c>
      <c r="P62" s="23">
        <v>539.87349993505131</v>
      </c>
      <c r="Q62" s="23">
        <v>448.01192842942351</v>
      </c>
      <c r="R62" s="23">
        <v>510.01985017605807</v>
      </c>
      <c r="S62" s="23">
        <v>637.29999999999995</v>
      </c>
      <c r="T62" s="23">
        <v>606.32264811165192</v>
      </c>
      <c r="U62" s="23">
        <v>567.22376143235931</v>
      </c>
      <c r="V62" s="23">
        <v>519.65226861665928</v>
      </c>
      <c r="W62" s="23">
        <v>586.35838588119441</v>
      </c>
      <c r="X62" s="23">
        <v>534.91443400844128</v>
      </c>
      <c r="Y62" s="23">
        <v>592.69928433181803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112.08795493089534</v>
      </c>
      <c r="E63" s="23">
        <v>118.31198191409194</v>
      </c>
      <c r="F63" s="23">
        <v>101.39168552540139</v>
      </c>
      <c r="G63" s="23">
        <v>75.750106806007437</v>
      </c>
      <c r="H63" s="23">
        <v>43.465272591486183</v>
      </c>
      <c r="I63" s="23">
        <v>65.594909386519404</v>
      </c>
      <c r="J63" s="23">
        <v>75.629259069602554</v>
      </c>
      <c r="K63" s="23">
        <v>80.398569117976919</v>
      </c>
      <c r="L63" s="23">
        <v>91.038497492988867</v>
      </c>
      <c r="M63" s="23">
        <v>130.50773724442234</v>
      </c>
      <c r="N63" s="23">
        <v>142.38028517266957</v>
      </c>
      <c r="O63" s="23">
        <v>144.17187231069849</v>
      </c>
      <c r="P63" s="23">
        <v>141.08854005335783</v>
      </c>
      <c r="Q63" s="23">
        <v>20.77534791252485</v>
      </c>
      <c r="R63" s="23">
        <v>74.113973925447127</v>
      </c>
      <c r="S63" s="23">
        <v>56.1</v>
      </c>
      <c r="T63" s="23">
        <v>80.239713630696215</v>
      </c>
      <c r="U63" s="23">
        <v>69.016196462795804</v>
      </c>
      <c r="V63" s="23">
        <v>67.970983488593717</v>
      </c>
      <c r="W63" s="23">
        <v>70.253176541877338</v>
      </c>
      <c r="X63" s="23">
        <v>73.975563128584483</v>
      </c>
      <c r="Y63" s="23">
        <v>84.259801053247514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387.53192070020856</v>
      </c>
      <c r="E64" s="23">
        <v>414.65712132629994</v>
      </c>
      <c r="F64" s="23">
        <v>496.6232470286356</v>
      </c>
      <c r="G64" s="23">
        <v>578.55992638601333</v>
      </c>
      <c r="H64" s="23">
        <v>564.60044809559372</v>
      </c>
      <c r="I64" s="23">
        <v>625.11388005101833</v>
      </c>
      <c r="J64" s="23">
        <v>641.53569412166325</v>
      </c>
      <c r="K64" s="23">
        <v>686.04417789216438</v>
      </c>
      <c r="L64" s="23">
        <v>643.00586385654788</v>
      </c>
      <c r="M64" s="23">
        <v>692.4160503801296</v>
      </c>
      <c r="N64" s="23">
        <v>671.41267617242249</v>
      </c>
      <c r="O64" s="23">
        <v>810.66304887061995</v>
      </c>
      <c r="P64" s="23">
        <v>1001.5088080416472</v>
      </c>
      <c r="Q64" s="23">
        <v>1105.8648111332009</v>
      </c>
      <c r="R64" s="23">
        <v>1178.142861417841</v>
      </c>
      <c r="S64" s="23">
        <v>1254.3</v>
      </c>
      <c r="T64" s="23">
        <v>1345.0709890198286</v>
      </c>
      <c r="U64" s="23">
        <v>1303.9592456877292</v>
      </c>
      <c r="V64" s="23">
        <v>1280.363289834497</v>
      </c>
      <c r="W64" s="23">
        <v>1386.884811301104</v>
      </c>
      <c r="X64" s="23">
        <v>1194.0450133451548</v>
      </c>
      <c r="Y64" s="23">
        <v>1318.3598145564208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572.13590908204833</v>
      </c>
      <c r="E65" s="23">
        <v>585.53127354935953</v>
      </c>
      <c r="F65" s="23">
        <v>628.12951050446372</v>
      </c>
      <c r="G65" s="23">
        <v>606.16517138256268</v>
      </c>
      <c r="H65" s="23">
        <v>597.75952203136671</v>
      </c>
      <c r="I65" s="23">
        <v>633.52348381852073</v>
      </c>
      <c r="J65" s="23">
        <v>686.57186749123571</v>
      </c>
      <c r="K65" s="23">
        <v>797.49241467244349</v>
      </c>
      <c r="L65" s="23">
        <v>790.23965326761299</v>
      </c>
      <c r="M65" s="23">
        <v>558.59383091997586</v>
      </c>
      <c r="N65" s="23">
        <v>517.69966207862842</v>
      </c>
      <c r="O65" s="23">
        <v>578.10490933573612</v>
      </c>
      <c r="P65" s="23">
        <v>493.11044275022732</v>
      </c>
      <c r="Q65" s="23">
        <v>462.92246520874755</v>
      </c>
      <c r="R65" s="23">
        <v>512.9125894006047</v>
      </c>
      <c r="S65" s="23">
        <v>521.79999999999995</v>
      </c>
      <c r="T65" s="23">
        <v>568.51546474681254</v>
      </c>
      <c r="U65" s="23">
        <v>606.34949007457726</v>
      </c>
      <c r="V65" s="23">
        <v>597.93072599622724</v>
      </c>
      <c r="W65" s="23">
        <v>668.8253896116189</v>
      </c>
      <c r="X65" s="23">
        <v>624.77488709722093</v>
      </c>
      <c r="Y65" s="23">
        <v>699.55439528289162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857.52158911479762</v>
      </c>
      <c r="E66" s="23">
        <v>1000.7535795026376</v>
      </c>
      <c r="F66" s="23">
        <v>878.84673639943696</v>
      </c>
      <c r="G66" s="23">
        <v>1045.7129711788098</v>
      </c>
      <c r="H66" s="23">
        <v>1357.4309185959671</v>
      </c>
      <c r="I66" s="23">
        <v>1429.6326404754232</v>
      </c>
      <c r="J66" s="23">
        <v>1563.2672890324443</v>
      </c>
      <c r="K66" s="23">
        <v>1572.7896296471199</v>
      </c>
      <c r="L66" s="23">
        <v>1212.8197501487211</v>
      </c>
      <c r="M66" s="23">
        <v>600.95705673979251</v>
      </c>
      <c r="N66" s="23">
        <v>997.28014505893032</v>
      </c>
      <c r="O66" s="23">
        <v>773.30390499235602</v>
      </c>
      <c r="P66" s="23">
        <v>840.3361344537816</v>
      </c>
      <c r="Q66" s="23">
        <v>776.04373757455278</v>
      </c>
      <c r="R66" s="23">
        <v>739.0449970573859</v>
      </c>
      <c r="S66" s="23">
        <v>854.6</v>
      </c>
      <c r="T66" s="23">
        <v>935.52668624059845</v>
      </c>
      <c r="U66" s="23">
        <v>935.04533222112991</v>
      </c>
      <c r="V66" s="23">
        <v>1053.5016239133397</v>
      </c>
      <c r="W66" s="23">
        <v>747.41047927436614</v>
      </c>
      <c r="X66" s="23">
        <v>685.45147258471172</v>
      </c>
      <c r="Y66" s="23">
        <v>1530.809740288968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670.77330942123615</v>
      </c>
      <c r="E67" s="23">
        <v>860.2110022607385</v>
      </c>
      <c r="F67" s="23">
        <v>797.23444822609088</v>
      </c>
      <c r="G67" s="23">
        <v>950.40914916691327</v>
      </c>
      <c r="H67" s="23">
        <v>1037.1919342793128</v>
      </c>
      <c r="I67" s="23">
        <v>1190.0990931643937</v>
      </c>
      <c r="J67" s="23">
        <v>1344.5201612373789</v>
      </c>
      <c r="K67" s="23">
        <v>1720.6002148684224</v>
      </c>
      <c r="L67" s="23">
        <v>1863.049205404946</v>
      </c>
      <c r="M67" s="23">
        <v>1455.3684254137922</v>
      </c>
      <c r="N67" s="23">
        <v>1724.7383169867303</v>
      </c>
      <c r="O67" s="23">
        <v>1812.4753217037392</v>
      </c>
      <c r="P67" s="23">
        <v>1969.1443759430053</v>
      </c>
      <c r="Q67" s="23">
        <v>1840.6560636182903</v>
      </c>
      <c r="R67" s="23">
        <v>2178.5318849687283</v>
      </c>
      <c r="S67" s="23">
        <v>2193.4</v>
      </c>
      <c r="T67" s="23">
        <v>2175.1196557133089</v>
      </c>
      <c r="U67" s="23">
        <v>2287.7627828919276</v>
      </c>
      <c r="V67" s="23">
        <v>2362.550808067057</v>
      </c>
      <c r="W67" s="23">
        <v>2388.7973640856676</v>
      </c>
      <c r="X67" s="23">
        <v>2156.835582153511</v>
      </c>
      <c r="Y67" s="23">
        <v>2213.0800738173466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289.0894559348136</v>
      </c>
      <c r="E68" s="23">
        <v>274.49133383571962</v>
      </c>
      <c r="F68" s="23">
        <v>304.8878276519539</v>
      </c>
      <c r="G68" s="23">
        <v>320.25370534687306</v>
      </c>
      <c r="H68" s="23">
        <v>383.12173263629575</v>
      </c>
      <c r="I68" s="23">
        <v>476.82453361739113</v>
      </c>
      <c r="J68" s="23">
        <v>717.29625398826158</v>
      </c>
      <c r="K68" s="23">
        <v>651.92496133548991</v>
      </c>
      <c r="L68" s="23">
        <v>779.82918330925474</v>
      </c>
      <c r="M68" s="23">
        <v>482.77505023512106</v>
      </c>
      <c r="N68" s="23">
        <v>645.14135003708907</v>
      </c>
      <c r="O68" s="23">
        <v>696.864464265827</v>
      </c>
      <c r="P68" s="23">
        <v>656.18161652294691</v>
      </c>
      <c r="Q68" s="23">
        <v>524.85089463220675</v>
      </c>
      <c r="R68" s="23">
        <v>719.09507137085916</v>
      </c>
      <c r="S68" s="23">
        <v>626.79999999999995</v>
      </c>
      <c r="T68" s="23">
        <v>656.09540280738452</v>
      </c>
      <c r="U68" s="23">
        <v>543.1922225201339</v>
      </c>
      <c r="V68" s="23">
        <v>541.43410023532158</v>
      </c>
      <c r="W68" s="23">
        <v>542.42648033479145</v>
      </c>
      <c r="X68" s="23">
        <v>457.33706443539376</v>
      </c>
      <c r="Y68" s="23">
        <v>549.66917225548002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383.04840250297275</v>
      </c>
      <c r="E69" s="23">
        <v>431.23587038432555</v>
      </c>
      <c r="F69" s="23">
        <v>415.01095885528963</v>
      </c>
      <c r="G69" s="23">
        <v>474.21867297643706</v>
      </c>
      <c r="H69" s="23">
        <v>434.35399551904402</v>
      </c>
      <c r="I69" s="23">
        <v>540.87768231320172</v>
      </c>
      <c r="J69" s="23">
        <v>573.12797888683178</v>
      </c>
      <c r="K69" s="23">
        <v>583.21428993069901</v>
      </c>
      <c r="L69" s="23">
        <v>697.71394578057277</v>
      </c>
      <c r="M69" s="23">
        <v>452.42682244733078</v>
      </c>
      <c r="N69" s="23">
        <v>613.20365944119351</v>
      </c>
      <c r="O69" s="23">
        <v>913.83098277834586</v>
      </c>
      <c r="P69" s="23">
        <v>664.37514363652724</v>
      </c>
      <c r="Q69" s="23">
        <v>744.13518886679924</v>
      </c>
      <c r="R69" s="23">
        <v>711.6138492384116</v>
      </c>
      <c r="S69" s="23">
        <v>879.4</v>
      </c>
      <c r="T69" s="23">
        <v>879.92197240880023</v>
      </c>
      <c r="U69" s="23">
        <v>945.67084736000641</v>
      </c>
      <c r="V69" s="23">
        <v>976.09832941130719</v>
      </c>
      <c r="W69" s="23">
        <v>1103.3157226987826</v>
      </c>
      <c r="X69" s="23">
        <v>854.64402146307225</v>
      </c>
      <c r="Y69" s="23">
        <v>1048.7464554170231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619.89512466129941</v>
      </c>
      <c r="E70" s="23">
        <v>636.39788997739265</v>
      </c>
      <c r="F70" s="23">
        <v>625.63481173933963</v>
      </c>
      <c r="G70" s="23">
        <v>677.64303789148516</v>
      </c>
      <c r="H70" s="23">
        <v>740.85138162808062</v>
      </c>
      <c r="I70" s="23">
        <v>790.50275414523389</v>
      </c>
      <c r="J70" s="23">
        <v>842.03201113430748</v>
      </c>
      <c r="K70" s="23">
        <v>906.34334084979275</v>
      </c>
      <c r="L70" s="23">
        <v>996.53692529956663</v>
      </c>
      <c r="M70" s="23">
        <v>665.07157210034586</v>
      </c>
      <c r="N70" s="23">
        <v>906.00016483969341</v>
      </c>
      <c r="O70" s="23">
        <v>1054.2568162719826</v>
      </c>
      <c r="P70" s="23">
        <v>1016.8966516452003</v>
      </c>
      <c r="Q70" s="23">
        <v>1064.6123260437375</v>
      </c>
      <c r="R70" s="23">
        <v>1316.395846425472</v>
      </c>
      <c r="S70" s="23">
        <v>1482.6</v>
      </c>
      <c r="T70" s="23">
        <v>1285.3436833849496</v>
      </c>
      <c r="U70" s="23">
        <v>1075.1631066225759</v>
      </c>
      <c r="V70" s="23">
        <v>1447.5193994437855</v>
      </c>
      <c r="W70" s="23">
        <v>1539.6049915734061</v>
      </c>
      <c r="X70" s="23">
        <v>1263.3105218925184</v>
      </c>
      <c r="Y70" s="23">
        <v>1627.2223972633569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602.74079416752761</v>
      </c>
      <c r="E71" s="23">
        <v>665.97588545591566</v>
      </c>
      <c r="F71" s="23">
        <v>752.68625599173185</v>
      </c>
      <c r="G71" s="23">
        <v>1111.7683788491242</v>
      </c>
      <c r="H71" s="23">
        <v>1172.9648991784914</v>
      </c>
      <c r="I71" s="23">
        <v>1146.2289935105891</v>
      </c>
      <c r="J71" s="23">
        <v>1262.0632607239925</v>
      </c>
      <c r="K71" s="23">
        <v>1789.0747671274926</v>
      </c>
      <c r="L71" s="23">
        <v>1864.4301861137078</v>
      </c>
      <c r="M71" s="23">
        <v>1186.6882108010689</v>
      </c>
      <c r="N71" s="23">
        <v>1884.0146707327126</v>
      </c>
      <c r="O71" s="23">
        <v>1984.7931072885765</v>
      </c>
      <c r="P71" s="23">
        <v>2029.6965397336105</v>
      </c>
      <c r="Q71" s="23">
        <v>2173.1610337972165</v>
      </c>
      <c r="R71" s="23">
        <v>2711.6936489411578</v>
      </c>
      <c r="S71" s="23">
        <v>2948.9</v>
      </c>
      <c r="T71" s="23">
        <v>2931.5649760688575</v>
      </c>
      <c r="U71" s="23">
        <v>2698.0864142362043</v>
      </c>
      <c r="V71" s="23">
        <v>3302.9619401388595</v>
      </c>
      <c r="W71" s="23">
        <v>4077.4299835255356</v>
      </c>
      <c r="X71" s="23">
        <v>3749.0187386289126</v>
      </c>
      <c r="Y71" s="23">
        <v>4210.8295449430625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58.285736564065587</v>
      </c>
      <c r="E72" s="23">
        <v>89.299171062547089</v>
      </c>
      <c r="F72" s="23">
        <v>63.793011279602297</v>
      </c>
      <c r="G72" s="23">
        <v>69.506063294883234</v>
      </c>
      <c r="H72" s="23">
        <v>64.227035100821467</v>
      </c>
      <c r="I72" s="23">
        <v>58.867226372517507</v>
      </c>
      <c r="J72" s="23">
        <v>56.196741114218639</v>
      </c>
      <c r="K72" s="23">
        <v>67.884254394767595</v>
      </c>
      <c r="L72" s="23">
        <v>88.064077504886654</v>
      </c>
      <c r="M72" s="23">
        <v>74.265117146230978</v>
      </c>
      <c r="N72" s="23">
        <v>151.5494931179428</v>
      </c>
      <c r="O72" s="23">
        <v>103.57291107713786</v>
      </c>
      <c r="P72" s="23">
        <v>109.01387903556201</v>
      </c>
      <c r="Q72" s="23">
        <v>105.66600397614366</v>
      </c>
      <c r="R72" s="23">
        <v>121.49504743094803</v>
      </c>
      <c r="S72" s="23">
        <v>141.29999999999973</v>
      </c>
      <c r="T72" s="23">
        <v>97.735591038892835</v>
      </c>
      <c r="U72" s="23">
        <v>90.565138379956807</v>
      </c>
      <c r="V72" s="23">
        <v>106.76987105933586</v>
      </c>
      <c r="W72" s="23">
        <v>123.46380351833932</v>
      </c>
      <c r="X72" s="23">
        <v>122.18435707754952</v>
      </c>
      <c r="Y72" s="23">
        <v>167.16928478192312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254.19598822589134</v>
      </c>
      <c r="E73" s="23">
        <v>303.12735493594573</v>
      </c>
      <c r="F73" s="23">
        <v>381.51071829505156</v>
      </c>
      <c r="G73" s="23">
        <v>386.80206382069736</v>
      </c>
      <c r="H73" s="23">
        <v>405.52651232262883</v>
      </c>
      <c r="I73" s="23">
        <v>462.10772702426175</v>
      </c>
      <c r="J73" s="23">
        <v>486.60075366657475</v>
      </c>
      <c r="K73" s="23">
        <v>431.38967923214051</v>
      </c>
      <c r="L73" s="23">
        <v>404.30865981133678</v>
      </c>
      <c r="M73" s="23">
        <v>393.28403041037433</v>
      </c>
      <c r="N73" s="23">
        <v>460.31484381439054</v>
      </c>
      <c r="O73" s="23">
        <v>455.39682700387766</v>
      </c>
      <c r="P73" s="23">
        <v>427.16254159214225</v>
      </c>
      <c r="Q73" s="23">
        <v>466.30218687872764</v>
      </c>
      <c r="R73" s="23">
        <v>467.42675883532331</v>
      </c>
      <c r="S73" s="23">
        <v>479.8</v>
      </c>
      <c r="T73" s="23">
        <v>500.24132244700962</v>
      </c>
      <c r="U73" s="23">
        <v>510.62054994488648</v>
      </c>
      <c r="V73" s="23">
        <v>519.36054765748077</v>
      </c>
      <c r="W73" s="23">
        <v>529.92861065348723</v>
      </c>
      <c r="X73" s="23">
        <v>496.95693532448581</v>
      </c>
      <c r="Y73" s="23">
        <v>511.86028716748439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344.25622331819727</v>
      </c>
      <c r="E74" s="23">
        <v>410.88922381310749</v>
      </c>
      <c r="F74" s="23">
        <v>363.51324863236994</v>
      </c>
      <c r="G74" s="23">
        <v>434.94692563015525</v>
      </c>
      <c r="H74" s="23">
        <v>449.29051530992751</v>
      </c>
      <c r="I74" s="23">
        <v>458.04308520331551</v>
      </c>
      <c r="J74" s="23">
        <v>492.77189112537599</v>
      </c>
      <c r="K74" s="23">
        <v>536.81687779652634</v>
      </c>
      <c r="L74" s="23">
        <v>548.78048780487006</v>
      </c>
      <c r="M74" s="23">
        <v>453.15186543201111</v>
      </c>
      <c r="N74" s="23">
        <v>486.27709552460533</v>
      </c>
      <c r="O74" s="23">
        <v>577.39619928925367</v>
      </c>
      <c r="P74" s="23">
        <v>494.10965337384039</v>
      </c>
      <c r="Q74" s="23">
        <v>534.19483101391745</v>
      </c>
      <c r="R74" s="23">
        <v>519.59581450558824</v>
      </c>
      <c r="S74" s="23">
        <v>516.00000000000114</v>
      </c>
      <c r="T74" s="23">
        <v>538.35015887061809</v>
      </c>
      <c r="U74" s="23">
        <v>584.99915591701347</v>
      </c>
      <c r="V74" s="23">
        <v>614.75330130885459</v>
      </c>
      <c r="W74" s="23">
        <v>618.64454922457128</v>
      </c>
      <c r="X74" s="23">
        <v>543.31864904550298</v>
      </c>
      <c r="Y74" s="23">
        <v>536.07597785479493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8719.8580869022826</v>
      </c>
      <c r="E75" s="30">
        <f t="shared" ref="E75:S75" si="6">SUM(E56:E74)</f>
        <v>9610.0226073850754</v>
      </c>
      <c r="F75" s="30">
        <f t="shared" si="6"/>
        <v>9111.3526613090035</v>
      </c>
      <c r="G75" s="30">
        <f t="shared" si="6"/>
        <v>9756.8109369351605</v>
      </c>
      <c r="H75" s="30">
        <f t="shared" si="6"/>
        <v>10591.03808812546</v>
      </c>
      <c r="I75" s="30">
        <f t="shared" si="6"/>
        <v>11381.137258749506</v>
      </c>
      <c r="J75" s="30">
        <f t="shared" si="6"/>
        <v>12367.353369834953</v>
      </c>
      <c r="K75" s="30">
        <f t="shared" si="6"/>
        <v>13528.564513653577</v>
      </c>
      <c r="L75" s="30">
        <f t="shared" si="6"/>
        <v>13341.654627347662</v>
      </c>
      <c r="M75" s="30">
        <f t="shared" si="6"/>
        <v>10075.404470407879</v>
      </c>
      <c r="N75" s="30">
        <f t="shared" si="6"/>
        <v>12775.694387208445</v>
      </c>
      <c r="O75" s="30">
        <f t="shared" si="6"/>
        <v>13213.190106407739</v>
      </c>
      <c r="P75" s="30">
        <f t="shared" si="6"/>
        <v>13346.35637846102</v>
      </c>
      <c r="Q75" s="30">
        <f t="shared" si="6"/>
        <v>12954.771371769384</v>
      </c>
      <c r="R75" s="30">
        <f t="shared" si="6"/>
        <v>14705.987970194808</v>
      </c>
      <c r="S75" s="30">
        <f t="shared" si="6"/>
        <v>15694.5</v>
      </c>
      <c r="T75" s="30">
        <f t="shared" ref="T75:Y75" si="7">SUM(T56:T74)</f>
        <v>15197.683304508715</v>
      </c>
      <c r="U75" s="30">
        <f t="shared" si="7"/>
        <v>15092.104348516892</v>
      </c>
      <c r="V75" s="30">
        <f t="shared" si="7"/>
        <v>16500.709854334</v>
      </c>
      <c r="W75" s="30">
        <f t="shared" si="7"/>
        <v>17634.683481982243</v>
      </c>
      <c r="X75" s="30">
        <f t="shared" si="7"/>
        <v>15719.4839257843</v>
      </c>
      <c r="Y75" s="30">
        <f t="shared" si="7"/>
        <v>18412.47693207904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5398657</v>
      </c>
      <c r="E3" s="42">
        <v>5378783</v>
      </c>
      <c r="F3" s="42">
        <v>5378951</v>
      </c>
      <c r="G3" s="42">
        <v>5374873</v>
      </c>
      <c r="H3" s="42">
        <v>5371875</v>
      </c>
      <c r="I3" s="42">
        <v>5372685</v>
      </c>
      <c r="J3" s="42">
        <v>5372928</v>
      </c>
      <c r="K3" s="42">
        <v>5373180</v>
      </c>
      <c r="L3" s="42">
        <v>5376064</v>
      </c>
      <c r="M3" s="42">
        <v>5382401</v>
      </c>
      <c r="N3" s="42">
        <v>5390410</v>
      </c>
      <c r="O3" s="42">
        <v>5392446</v>
      </c>
      <c r="P3" s="42">
        <v>5404322</v>
      </c>
      <c r="Q3" s="42">
        <v>5410836</v>
      </c>
      <c r="R3" s="42">
        <v>5415949</v>
      </c>
      <c r="S3" s="42">
        <v>5421349</v>
      </c>
      <c r="T3" s="42">
        <v>5426252</v>
      </c>
      <c r="U3" s="42">
        <v>5435343</v>
      </c>
      <c r="V3" s="42">
        <v>5443120</v>
      </c>
      <c r="W3" s="42">
        <v>5450421</v>
      </c>
      <c r="X3" s="42">
        <v>5457873</v>
      </c>
      <c r="Y3" s="42">
        <v>5459781</v>
      </c>
    </row>
    <row r="4" spans="1:25" x14ac:dyDescent="0.25">
      <c r="A4" s="43" t="s">
        <v>239</v>
      </c>
      <c r="B4" s="44"/>
      <c r="C4" s="44"/>
      <c r="D4" s="45">
        <v>1827247</v>
      </c>
      <c r="E4" s="45">
        <v>1831621</v>
      </c>
      <c r="F4" s="45">
        <v>1842915</v>
      </c>
      <c r="G4" s="45">
        <v>1852885</v>
      </c>
      <c r="H4" s="45">
        <v>1863354</v>
      </c>
      <c r="I4" s="45">
        <v>1875283</v>
      </c>
      <c r="J4" s="45">
        <v>1890545</v>
      </c>
      <c r="K4" s="45">
        <v>1925181</v>
      </c>
      <c r="L4" s="45">
        <v>1909114</v>
      </c>
      <c r="M4" s="45">
        <v>1933334</v>
      </c>
      <c r="N4" s="45">
        <v>1933433</v>
      </c>
      <c r="O4" s="45">
        <v>1943224</v>
      </c>
      <c r="P4" s="45">
        <v>1933568</v>
      </c>
      <c r="Q4" s="45">
        <v>1935899</v>
      </c>
      <c r="R4" s="45">
        <v>1940505</v>
      </c>
      <c r="S4" s="45">
        <v>1943833</v>
      </c>
      <c r="T4" s="45">
        <v>1939332</v>
      </c>
      <c r="U4" s="45">
        <v>1940501</v>
      </c>
      <c r="V4" s="45">
        <v>1907190</v>
      </c>
      <c r="W4" s="45">
        <v>1906408</v>
      </c>
      <c r="X4" s="45">
        <v>1894437</v>
      </c>
      <c r="Y4" s="45">
        <v>1892472</v>
      </c>
    </row>
    <row r="5" spans="1:25" x14ac:dyDescent="0.25">
      <c r="A5" s="46" t="s">
        <v>240</v>
      </c>
      <c r="B5" s="47"/>
      <c r="C5" s="47"/>
      <c r="D5" s="48">
        <f>D3/D4</f>
        <v>2.9545305040862018</v>
      </c>
      <c r="E5" s="48">
        <f t="shared" ref="E5:S5" si="0">E3/E4</f>
        <v>2.9366244435939532</v>
      </c>
      <c r="F5" s="48">
        <f t="shared" si="0"/>
        <v>2.918718985954317</v>
      </c>
      <c r="G5" s="48">
        <f t="shared" si="0"/>
        <v>2.9008130563958368</v>
      </c>
      <c r="H5" s="48">
        <f t="shared" si="0"/>
        <v>2.8829063076581263</v>
      </c>
      <c r="I5" s="48">
        <f t="shared" si="0"/>
        <v>2.8649995760639859</v>
      </c>
      <c r="J5" s="48">
        <f t="shared" si="0"/>
        <v>2.8419995292362783</v>
      </c>
      <c r="K5" s="48">
        <f t="shared" si="0"/>
        <v>2.7909999111771828</v>
      </c>
      <c r="L5" s="48">
        <f t="shared" si="0"/>
        <v>2.815999463625535</v>
      </c>
      <c r="M5" s="48">
        <f t="shared" si="0"/>
        <v>2.7839995572415321</v>
      </c>
      <c r="N5" s="48">
        <f t="shared" si="0"/>
        <v>2.7879993772734819</v>
      </c>
      <c r="O5" s="48">
        <f t="shared" si="0"/>
        <v>2.7749996912347727</v>
      </c>
      <c r="P5" s="48">
        <f t="shared" si="0"/>
        <v>2.7949997103799813</v>
      </c>
      <c r="Q5" s="48">
        <f t="shared" si="0"/>
        <v>2.7949991192722345</v>
      </c>
      <c r="R5" s="48">
        <f t="shared" si="0"/>
        <v>2.7909997655249534</v>
      </c>
      <c r="S5" s="48">
        <f t="shared" si="0"/>
        <v>2.7889993636284598</v>
      </c>
      <c r="T5" s="48">
        <f t="shared" ref="T5:Y5" si="1">T3/T4</f>
        <v>2.7980005486425221</v>
      </c>
      <c r="U5" s="48">
        <f t="shared" si="1"/>
        <v>2.800999844885419</v>
      </c>
      <c r="V5" s="48">
        <f t="shared" si="1"/>
        <v>2.8539998636737818</v>
      </c>
      <c r="W5" s="48">
        <f t="shared" si="1"/>
        <v>2.8590002769606504</v>
      </c>
      <c r="X5" s="48">
        <f t="shared" si="1"/>
        <v>2.8810000015835837</v>
      </c>
      <c r="Y5" s="48">
        <f t="shared" si="1"/>
        <v>2.8849996195452299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3057.85</v>
      </c>
      <c r="E8" s="42">
        <v>3419.03</v>
      </c>
      <c r="F8" s="42">
        <v>3231.5</v>
      </c>
      <c r="G8" s="42">
        <v>3473.71</v>
      </c>
      <c r="H8" s="42">
        <v>3436.66</v>
      </c>
      <c r="I8" s="42">
        <v>3542.9</v>
      </c>
      <c r="J8" s="42">
        <v>3383.84</v>
      </c>
      <c r="K8" s="42">
        <v>3098</v>
      </c>
      <c r="L8" s="42">
        <v>3044.68</v>
      </c>
      <c r="M8" s="42">
        <v>3182.56</v>
      </c>
      <c r="N8" s="42">
        <v>3491.35</v>
      </c>
      <c r="O8" s="42">
        <v>3244.11</v>
      </c>
      <c r="P8" s="42">
        <v>3296.36</v>
      </c>
      <c r="Q8" s="42">
        <v>3237.52</v>
      </c>
      <c r="R8" s="42">
        <v>2713.17</v>
      </c>
      <c r="S8" s="42">
        <v>3058.95</v>
      </c>
      <c r="T8" s="42">
        <v>3176.37</v>
      </c>
      <c r="U8" s="42">
        <v>3289.94</v>
      </c>
      <c r="V8" s="42">
        <v>2923.83</v>
      </c>
      <c r="W8" s="42">
        <v>2899.05</v>
      </c>
      <c r="X8" s="42">
        <v>3046.66</v>
      </c>
      <c r="Y8" s="42">
        <v>3382.63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3202.2876190476195</v>
      </c>
      <c r="E9" s="45">
        <f t="shared" si="2"/>
        <v>3202.2876190476195</v>
      </c>
      <c r="F9" s="45">
        <f t="shared" si="2"/>
        <v>3202.2876190476195</v>
      </c>
      <c r="G9" s="45">
        <f t="shared" si="2"/>
        <v>3202.2876190476195</v>
      </c>
      <c r="H9" s="45">
        <f t="shared" si="2"/>
        <v>3202.2876190476195</v>
      </c>
      <c r="I9" s="45">
        <f t="shared" si="2"/>
        <v>3202.2876190476195</v>
      </c>
      <c r="J9" s="45">
        <f t="shared" si="2"/>
        <v>3202.2876190476195</v>
      </c>
      <c r="K9" s="45">
        <f t="shared" si="2"/>
        <v>3202.2876190476195</v>
      </c>
      <c r="L9" s="45">
        <f t="shared" si="2"/>
        <v>3202.2876190476195</v>
      </c>
      <c r="M9" s="45">
        <f t="shared" si="2"/>
        <v>3202.2876190476195</v>
      </c>
      <c r="N9" s="45">
        <f t="shared" si="2"/>
        <v>3202.2876190476195</v>
      </c>
      <c r="O9" s="45">
        <f t="shared" si="2"/>
        <v>3202.2876190476195</v>
      </c>
      <c r="P9" s="45">
        <f t="shared" si="2"/>
        <v>3202.2876190476195</v>
      </c>
      <c r="Q9" s="45">
        <f t="shared" si="2"/>
        <v>3202.2876190476195</v>
      </c>
      <c r="R9" s="45">
        <f t="shared" si="2"/>
        <v>3202.2876190476195</v>
      </c>
      <c r="S9" s="45">
        <f t="shared" si="2"/>
        <v>3202.2876190476195</v>
      </c>
      <c r="T9" s="45">
        <f t="shared" si="2"/>
        <v>3202.2876190476195</v>
      </c>
      <c r="U9" s="45">
        <f t="shared" si="2"/>
        <v>3202.2876190476195</v>
      </c>
      <c r="V9" s="45">
        <f t="shared" si="2"/>
        <v>3202.2876190476195</v>
      </c>
      <c r="W9" s="45">
        <f t="shared" si="2"/>
        <v>3202.2876190476195</v>
      </c>
      <c r="X9" s="45">
        <f>AVERAGE($D8:$X8)</f>
        <v>3202.2876190476195</v>
      </c>
      <c r="Y9" s="45">
        <f t="shared" ref="Y9" si="3">AVERAGE($D8:$X8)</f>
        <v>3202.2876190476195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0.95489548840382543</v>
      </c>
      <c r="E10" s="53">
        <f t="shared" si="4"/>
        <v>1.0676836083252388</v>
      </c>
      <c r="F10" s="53">
        <f t="shared" si="4"/>
        <v>1.0091223476550393</v>
      </c>
      <c r="G10" s="53">
        <f t="shared" si="4"/>
        <v>1.0847589015233752</v>
      </c>
      <c r="H10" s="53">
        <f t="shared" si="4"/>
        <v>1.0731890475915726</v>
      </c>
      <c r="I10" s="53">
        <f t="shared" si="4"/>
        <v>1.1063653304988517</v>
      </c>
      <c r="J10" s="53">
        <f t="shared" si="4"/>
        <v>1.0566945891657213</v>
      </c>
      <c r="K10" s="53">
        <f t="shared" si="4"/>
        <v>0.96743340028943581</v>
      </c>
      <c r="L10" s="53">
        <f t="shared" si="4"/>
        <v>0.95078280348393773</v>
      </c>
      <c r="M10" s="53">
        <f t="shared" si="4"/>
        <v>0.99383952305524426</v>
      </c>
      <c r="N10" s="53">
        <f t="shared" si="4"/>
        <v>1.090267463557302</v>
      </c>
      <c r="O10" s="53">
        <f t="shared" si="4"/>
        <v>1.0130601575897229</v>
      </c>
      <c r="P10" s="53">
        <f t="shared" si="4"/>
        <v>1.0293766182627775</v>
      </c>
      <c r="Q10" s="53">
        <f t="shared" si="4"/>
        <v>1.0110022537459826</v>
      </c>
      <c r="R10" s="53">
        <f t="shared" si="4"/>
        <v>0.84725993501074515</v>
      </c>
      <c r="S10" s="53">
        <f t="shared" si="4"/>
        <v>0.95523899283904756</v>
      </c>
      <c r="T10" s="53">
        <f t="shared" ref="T10:Y10" si="5">IF(T8=0,0,T8/T9)</f>
        <v>0.9919065299152211</v>
      </c>
      <c r="U10" s="53">
        <f t="shared" si="5"/>
        <v>1.027371801468117</v>
      </c>
      <c r="V10" s="53">
        <f t="shared" si="5"/>
        <v>0.9130441571233896</v>
      </c>
      <c r="W10" s="53">
        <f t="shared" si="5"/>
        <v>0.90530593902811141</v>
      </c>
      <c r="X10" s="53">
        <f t="shared" si="5"/>
        <v>0.95140111146733775</v>
      </c>
      <c r="Y10" s="53">
        <f t="shared" si="5"/>
        <v>1.0563167342869768</v>
      </c>
    </row>
    <row r="11" spans="1:25" x14ac:dyDescent="0.25">
      <c r="A11" s="43" t="s">
        <v>251</v>
      </c>
      <c r="B11" s="44"/>
      <c r="C11" s="44"/>
      <c r="D11" s="45">
        <v>37.08</v>
      </c>
      <c r="E11" s="45">
        <v>24.33</v>
      </c>
      <c r="F11" s="45">
        <v>35.630000000000003</v>
      </c>
      <c r="G11" s="45">
        <v>40.950000000000003</v>
      </c>
      <c r="H11" s="45">
        <v>10.53</v>
      </c>
      <c r="I11" s="45">
        <v>20.2</v>
      </c>
      <c r="J11" s="45">
        <v>38.82</v>
      </c>
      <c r="K11" s="45">
        <v>54.98</v>
      </c>
      <c r="L11" s="45">
        <v>15.54</v>
      </c>
      <c r="M11" s="45">
        <v>23.14</v>
      </c>
      <c r="N11" s="45">
        <v>45.76</v>
      </c>
      <c r="O11" s="45">
        <v>33.44</v>
      </c>
      <c r="P11" s="45">
        <v>80.87</v>
      </c>
      <c r="Q11" s="45">
        <v>61.66</v>
      </c>
      <c r="R11" s="45">
        <v>19.899999999999999</v>
      </c>
      <c r="S11" s="45">
        <v>117.67</v>
      </c>
      <c r="T11" s="45">
        <v>27.08</v>
      </c>
      <c r="U11" s="45">
        <v>59.87</v>
      </c>
      <c r="V11" s="45">
        <v>53.06</v>
      </c>
      <c r="W11" s="45">
        <v>65.09</v>
      </c>
      <c r="X11" s="45">
        <v>19.95</v>
      </c>
      <c r="Y11" s="45">
        <v>62.28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42.169047619047625</v>
      </c>
      <c r="E12" s="45">
        <f t="shared" ref="E12" si="7">AVERAGE($D11:$X11)</f>
        <v>42.169047619047625</v>
      </c>
      <c r="F12" s="45">
        <f t="shared" ref="F12" si="8">AVERAGE($D11:$X11)</f>
        <v>42.169047619047625</v>
      </c>
      <c r="G12" s="45">
        <f t="shared" ref="G12" si="9">AVERAGE($D11:$X11)</f>
        <v>42.169047619047625</v>
      </c>
      <c r="H12" s="45">
        <f t="shared" ref="H12" si="10">AVERAGE($D11:$X11)</f>
        <v>42.169047619047625</v>
      </c>
      <c r="I12" s="45">
        <f t="shared" ref="I12" si="11">AVERAGE($D11:$X11)</f>
        <v>42.169047619047625</v>
      </c>
      <c r="J12" s="45">
        <f t="shared" ref="J12" si="12">AVERAGE($D11:$X11)</f>
        <v>42.169047619047625</v>
      </c>
      <c r="K12" s="45">
        <f t="shared" ref="K12" si="13">AVERAGE($D11:$X11)</f>
        <v>42.169047619047625</v>
      </c>
      <c r="L12" s="45">
        <f t="shared" ref="L12" si="14">AVERAGE($D11:$X11)</f>
        <v>42.169047619047625</v>
      </c>
      <c r="M12" s="45">
        <f t="shared" ref="M12" si="15">AVERAGE($D11:$X11)</f>
        <v>42.169047619047625</v>
      </c>
      <c r="N12" s="45">
        <f t="shared" ref="N12" si="16">AVERAGE($D11:$X11)</f>
        <v>42.169047619047625</v>
      </c>
      <c r="O12" s="45">
        <f t="shared" ref="O12" si="17">AVERAGE($D11:$X11)</f>
        <v>42.169047619047625</v>
      </c>
      <c r="P12" s="45">
        <f t="shared" ref="P12" si="18">AVERAGE($D11:$X11)</f>
        <v>42.169047619047625</v>
      </c>
      <c r="Q12" s="45">
        <f t="shared" ref="Q12" si="19">AVERAGE($D11:$X11)</f>
        <v>42.169047619047625</v>
      </c>
      <c r="R12" s="45">
        <f t="shared" ref="R12" si="20">AVERAGE($D11:$X11)</f>
        <v>42.169047619047625</v>
      </c>
      <c r="S12" s="45">
        <f t="shared" ref="S12" si="21">AVERAGE($D11:$X11)</f>
        <v>42.169047619047625</v>
      </c>
      <c r="T12" s="45">
        <f t="shared" ref="T12" si="22">AVERAGE($D11:$X11)</f>
        <v>42.169047619047625</v>
      </c>
      <c r="U12" s="45">
        <f t="shared" ref="U12" si="23">AVERAGE($D11:$X11)</f>
        <v>42.169047619047625</v>
      </c>
      <c r="V12" s="45">
        <f t="shared" ref="V12" si="24">AVERAGE($D11:$X11)</f>
        <v>42.169047619047625</v>
      </c>
      <c r="W12" s="45">
        <f t="shared" ref="W12" si="25">AVERAGE($D11:$X11)</f>
        <v>42.169047619047625</v>
      </c>
      <c r="X12" s="45">
        <f>AVERAGE($D11:$X11)</f>
        <v>42.169047619047625</v>
      </c>
      <c r="Y12" s="45">
        <f t="shared" ref="Y12" si="26">AVERAGE($D11:$X11)</f>
        <v>42.169047619047625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0.87931793800462976</v>
      </c>
      <c r="E13" s="55">
        <f t="shared" si="27"/>
        <v>0.57696346903054585</v>
      </c>
      <c r="F13" s="55">
        <f t="shared" ref="F13" si="28">IF(F11=0,0,F11/F12)</f>
        <v>0.84493252780757711</v>
      </c>
      <c r="G13" s="55">
        <f t="shared" ref="G13" si="29">IF(G11=0,0,G11/G12)</f>
        <v>0.97109141211676353</v>
      </c>
      <c r="H13" s="55">
        <f t="shared" ref="H13" si="30">IF(H11=0,0,H11/H12)</f>
        <v>0.24970922025859629</v>
      </c>
      <c r="I13" s="55">
        <f t="shared" ref="I13" si="31">IF(I11=0,0,I11/I12)</f>
        <v>0.47902433515894072</v>
      </c>
      <c r="J13" s="55">
        <f t="shared" ref="J13" si="32">IF(J11=0,0,J11/J12)</f>
        <v>0.92058043024109304</v>
      </c>
      <c r="K13" s="55">
        <f t="shared" ref="K13" si="33">IF(K11=0,0,K11/K12)</f>
        <v>1.3037998983682455</v>
      </c>
      <c r="L13" s="55">
        <f t="shared" ref="L13" si="34">IF(L11=0,0,L11/L12)</f>
        <v>0.36851674100841281</v>
      </c>
      <c r="M13" s="55">
        <f t="shared" ref="M13" si="35">IF(M11=0,0,M11/M12)</f>
        <v>0.54874371859296478</v>
      </c>
      <c r="N13" s="55">
        <f t="shared" ref="N13" si="36">IF(N11=0,0,N11/N12)</f>
        <v>1.0851561176669864</v>
      </c>
      <c r="O13" s="55">
        <f t="shared" ref="O13" si="37">IF(O11=0,0,O11/O12)</f>
        <v>0.79299870137202855</v>
      </c>
      <c r="P13" s="55">
        <f t="shared" ref="P13" si="38">IF(P11=0,0,P11/P12)</f>
        <v>1.9177573259556207</v>
      </c>
      <c r="Q13" s="55">
        <f t="shared" ref="Q13" si="39">IF(Q11=0,0,Q11/Q12)</f>
        <v>1.4622099260346675</v>
      </c>
      <c r="R13" s="55">
        <f t="shared" ref="R13" si="40">IF(R11=0,0,R11/R12)</f>
        <v>0.47191011235955044</v>
      </c>
      <c r="S13" s="55">
        <f t="shared" ref="S13:Y13" si="41">IF(S11=0,0,S11/S12)</f>
        <v>2.7904353226808194</v>
      </c>
      <c r="T13" s="55">
        <f t="shared" si="41"/>
        <v>0.64217717802495611</v>
      </c>
      <c r="U13" s="55">
        <f t="shared" si="41"/>
        <v>1.4197617299983059</v>
      </c>
      <c r="V13" s="55">
        <f t="shared" si="41"/>
        <v>1.2582688724521482</v>
      </c>
      <c r="W13" s="55">
        <f t="shared" si="41"/>
        <v>1.5435492067076957</v>
      </c>
      <c r="X13" s="55">
        <f t="shared" si="41"/>
        <v>0.47309581615944885</v>
      </c>
      <c r="Y13" s="55">
        <f t="shared" si="41"/>
        <v>1.4769126531534074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43296.590667362841</v>
      </c>
      <c r="E16" s="42">
        <v>44705.420413963315</v>
      </c>
      <c r="F16" s="42">
        <v>46721.593529390899</v>
      </c>
      <c r="G16" s="42">
        <v>49290.729072907292</v>
      </c>
      <c r="H16" s="42">
        <v>51892.65452373842</v>
      </c>
      <c r="I16" s="42">
        <v>55330.197289896787</v>
      </c>
      <c r="J16" s="42">
        <v>60029.48687570756</v>
      </c>
      <c r="K16" s="42">
        <v>66531.217156150728</v>
      </c>
      <c r="L16" s="42">
        <v>70240.162375269661</v>
      </c>
      <c r="M16" s="42">
        <v>66408.508345680035</v>
      </c>
      <c r="N16" s="42">
        <v>70869.000628665046</v>
      </c>
      <c r="O16" s="42">
        <v>72762.269658821388</v>
      </c>
      <c r="P16" s="42">
        <v>73721.547116173853</v>
      </c>
      <c r="Q16" s="42">
        <v>74187.887781219193</v>
      </c>
      <c r="R16" s="42">
        <v>76189.169502180273</v>
      </c>
      <c r="S16" s="42">
        <v>80126</v>
      </c>
      <c r="T16" s="42">
        <v>81683.419105821813</v>
      </c>
      <c r="U16" s="42">
        <v>84083.835665412073</v>
      </c>
      <c r="V16" s="42">
        <v>87472.699667140332</v>
      </c>
      <c r="W16" s="42">
        <v>89669.164079043578</v>
      </c>
      <c r="X16" s="42">
        <v>86678.01421071183</v>
      </c>
      <c r="Y16" s="42">
        <v>90829.42252985196</v>
      </c>
    </row>
    <row r="17" spans="1:25" x14ac:dyDescent="0.25">
      <c r="A17" s="46" t="s">
        <v>141</v>
      </c>
      <c r="B17" s="47"/>
      <c r="C17" s="47"/>
      <c r="D17" s="57">
        <v>27221.751915879522</v>
      </c>
      <c r="E17" s="57">
        <v>28663.892939864458</v>
      </c>
      <c r="F17" s="57">
        <v>30286.377549972265</v>
      </c>
      <c r="G17" s="57">
        <v>30556.845416417014</v>
      </c>
      <c r="H17" s="57">
        <v>32777.843292508289</v>
      </c>
      <c r="I17" s="57">
        <v>34257.721687147125</v>
      </c>
      <c r="J17" s="57">
        <v>36421.848861735394</v>
      </c>
      <c r="K17" s="57">
        <v>39287.230074723804</v>
      </c>
      <c r="L17" s="57">
        <v>42043.797283748063</v>
      </c>
      <c r="M17" s="57">
        <v>41970.854183127027</v>
      </c>
      <c r="N17" s="57">
        <v>42320.002607476934</v>
      </c>
      <c r="O17" s="57">
        <v>41508.241988118141</v>
      </c>
      <c r="P17" s="57">
        <v>41673.610549308301</v>
      </c>
      <c r="Q17" s="57">
        <v>41181.56597409337</v>
      </c>
      <c r="R17" s="57">
        <v>41955.75088648055</v>
      </c>
      <c r="S17" s="57">
        <v>43116.3</v>
      </c>
      <c r="T17" s="57">
        <v>44798.860375995668</v>
      </c>
      <c r="U17" s="57">
        <v>46869.373380028097</v>
      </c>
      <c r="V17" s="57">
        <v>48780.483088050431</v>
      </c>
      <c r="W17" s="57">
        <v>50098.361272954884</v>
      </c>
      <c r="X17" s="57">
        <v>49536.865574012139</v>
      </c>
      <c r="Y17" s="57">
        <v>50827.22868130594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8019.881734913487</v>
      </c>
      <c r="E20" s="42">
        <f t="shared" ref="E20:S20" si="42">1000000*E16/E$3</f>
        <v>8311.4378129705765</v>
      </c>
      <c r="F20" s="42">
        <f t="shared" si="42"/>
        <v>8686.0046744041538</v>
      </c>
      <c r="G20" s="42">
        <f t="shared" si="42"/>
        <v>9170.5848813371576</v>
      </c>
      <c r="H20" s="42">
        <f t="shared" si="42"/>
        <v>9660.0636693404849</v>
      </c>
      <c r="I20" s="42">
        <f t="shared" si="42"/>
        <v>10298.425701468967</v>
      </c>
      <c r="J20" s="42">
        <f t="shared" si="42"/>
        <v>11172.583529075311</v>
      </c>
      <c r="K20" s="42">
        <f t="shared" si="42"/>
        <v>12382.093500711073</v>
      </c>
      <c r="L20" s="42">
        <f t="shared" si="42"/>
        <v>13065.350854318265</v>
      </c>
      <c r="M20" s="42">
        <f t="shared" si="42"/>
        <v>12338.082641126151</v>
      </c>
      <c r="N20" s="42">
        <f t="shared" si="42"/>
        <v>13147.237525283797</v>
      </c>
      <c r="O20" s="42">
        <f t="shared" si="42"/>
        <v>13493.370106779257</v>
      </c>
      <c r="P20" s="42">
        <f t="shared" si="42"/>
        <v>13641.22032628216</v>
      </c>
      <c r="Q20" s="42">
        <f t="shared" si="42"/>
        <v>13710.984361976447</v>
      </c>
      <c r="R20" s="42">
        <f t="shared" si="42"/>
        <v>14067.5566742191</v>
      </c>
      <c r="S20" s="42">
        <f t="shared" si="42"/>
        <v>14779.716266191312</v>
      </c>
      <c r="T20" s="42">
        <f t="shared" ref="T20:Y20" si="43">1000000*T16/T$3</f>
        <v>15053.377378312287</v>
      </c>
      <c r="U20" s="42">
        <f t="shared" si="43"/>
        <v>15469.830637259154</v>
      </c>
      <c r="V20" s="42">
        <f t="shared" si="43"/>
        <v>16070.323576761184</v>
      </c>
      <c r="W20" s="42">
        <f t="shared" si="43"/>
        <v>16451.786766388061</v>
      </c>
      <c r="X20" s="42">
        <f t="shared" si="43"/>
        <v>15881.280896552891</v>
      </c>
      <c r="Y20" s="42">
        <f t="shared" si="43"/>
        <v>16636.092643615553</v>
      </c>
    </row>
    <row r="21" spans="1:25" x14ac:dyDescent="0.25">
      <c r="A21" s="46" t="s">
        <v>141</v>
      </c>
      <c r="B21" s="47"/>
      <c r="C21" s="47"/>
      <c r="D21" s="57">
        <f>1000000*D17/D$3</f>
        <v>5042.3192130708658</v>
      </c>
      <c r="E21" s="57">
        <f t="shared" ref="E21:S21" si="44">1000000*E17/E$3</f>
        <v>5329.0666196915654</v>
      </c>
      <c r="F21" s="57">
        <f t="shared" si="44"/>
        <v>5630.5360561887001</v>
      </c>
      <c r="G21" s="57">
        <f t="shared" si="44"/>
        <v>5685.128823772583</v>
      </c>
      <c r="H21" s="57">
        <f t="shared" si="44"/>
        <v>6101.7509328694896</v>
      </c>
      <c r="I21" s="57">
        <f t="shared" si="44"/>
        <v>6376.2758633992362</v>
      </c>
      <c r="J21" s="57">
        <f t="shared" si="44"/>
        <v>6778.7710651874359</v>
      </c>
      <c r="K21" s="57">
        <f t="shared" si="44"/>
        <v>7311.7278919976252</v>
      </c>
      <c r="L21" s="57">
        <f t="shared" si="44"/>
        <v>7820.5537143434422</v>
      </c>
      <c r="M21" s="57">
        <f t="shared" si="44"/>
        <v>7797.793992518772</v>
      </c>
      <c r="N21" s="57">
        <f t="shared" si="44"/>
        <v>7850.9802793251229</v>
      </c>
      <c r="O21" s="57">
        <f t="shared" si="44"/>
        <v>7697.4793976830069</v>
      </c>
      <c r="P21" s="57">
        <f t="shared" si="44"/>
        <v>7711.1635001223658</v>
      </c>
      <c r="Q21" s="57">
        <f t="shared" si="44"/>
        <v>7610.9432949166021</v>
      </c>
      <c r="R21" s="57">
        <f t="shared" si="44"/>
        <v>7746.703465354004</v>
      </c>
      <c r="S21" s="57">
        <f t="shared" si="44"/>
        <v>7953.057440131598</v>
      </c>
      <c r="T21" s="57">
        <f t="shared" ref="T21:Y21" si="45">1000000*T17/T$3</f>
        <v>8255.9491110983545</v>
      </c>
      <c r="U21" s="57">
        <f t="shared" si="45"/>
        <v>8623.0755593580943</v>
      </c>
      <c r="V21" s="57">
        <f t="shared" si="45"/>
        <v>8961.8606769739472</v>
      </c>
      <c r="W21" s="57">
        <f t="shared" si="45"/>
        <v>9191.6498327294139</v>
      </c>
      <c r="X21" s="57">
        <f t="shared" si="45"/>
        <v>9076.221739496712</v>
      </c>
      <c r="Y21" s="57">
        <f t="shared" si="45"/>
        <v>9309.389640592899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38552.213493440424</v>
      </c>
      <c r="E23" s="60">
        <v>40287.113790504896</v>
      </c>
      <c r="F23" s="60">
        <v>41977.761542436609</v>
      </c>
      <c r="G23" s="60">
        <v>44004.732327713697</v>
      </c>
      <c r="H23" s="60">
        <v>45997.311426437635</v>
      </c>
      <c r="I23" s="60">
        <v>48812.563948028663</v>
      </c>
      <c r="J23" s="60">
        <v>53612.872730137467</v>
      </c>
      <c r="K23" s="60">
        <v>59568.020022903554</v>
      </c>
      <c r="L23" s="60">
        <v>63277.917056174047</v>
      </c>
      <c r="M23" s="60">
        <v>60068.257618130214</v>
      </c>
      <c r="N23" s="60">
        <v>64216.702381933574</v>
      </c>
      <c r="O23" s="60">
        <v>65464.255702584764</v>
      </c>
      <c r="P23" s="60">
        <v>66887.658749587834</v>
      </c>
      <c r="Q23" s="60">
        <v>67000.695825049712</v>
      </c>
      <c r="R23" s="60">
        <v>68769.189334769719</v>
      </c>
      <c r="S23" s="60">
        <v>72144.7</v>
      </c>
      <c r="T23" s="60">
        <v>73639.243051924554</v>
      </c>
      <c r="U23" s="60">
        <v>75333.809991956383</v>
      </c>
      <c r="V23" s="60">
        <v>78295.279954880491</v>
      </c>
      <c r="W23" s="60">
        <v>79935.048949989592</v>
      </c>
      <c r="X23" s="60">
        <v>77372.713083792783</v>
      </c>
      <c r="Y23" s="60">
        <v>80537.786379799261</v>
      </c>
    </row>
    <row r="24" spans="1:25" x14ac:dyDescent="0.25">
      <c r="A24" s="61" t="s">
        <v>33</v>
      </c>
      <c r="B24" s="62"/>
      <c r="C24" s="62"/>
      <c r="D24" s="63">
        <v>746.40831205286656</v>
      </c>
      <c r="E24" s="63">
        <v>954.97362471740769</v>
      </c>
      <c r="F24" s="63">
        <v>958.85528965234596</v>
      </c>
      <c r="G24" s="63">
        <v>896.02024384633069</v>
      </c>
      <c r="H24" s="63">
        <v>865.72068707991036</v>
      </c>
      <c r="I24" s="63">
        <v>894.08104054830619</v>
      </c>
      <c r="J24" s="63">
        <v>1106.7344178779165</v>
      </c>
      <c r="K24" s="63">
        <v>1527.1005749501198</v>
      </c>
      <c r="L24" s="63">
        <v>1778.7031528851874</v>
      </c>
      <c r="M24" s="63">
        <v>1384.3142129140513</v>
      </c>
      <c r="N24" s="63">
        <v>1111.1225583120415</v>
      </c>
      <c r="O24" s="63">
        <v>1367.4054125198693</v>
      </c>
      <c r="P24" s="63">
        <v>1399.5943204868156</v>
      </c>
      <c r="Q24" s="63">
        <v>1645.6262425447317</v>
      </c>
      <c r="R24" s="63">
        <v>2093.5452015441247</v>
      </c>
      <c r="S24" s="63">
        <v>1759.5</v>
      </c>
      <c r="T24" s="63">
        <v>1832.3412299400716</v>
      </c>
      <c r="U24" s="63">
        <v>1757.5793686259324</v>
      </c>
      <c r="V24" s="63">
        <v>1874.6961240008559</v>
      </c>
      <c r="W24" s="63">
        <v>1542.7294589937321</v>
      </c>
      <c r="X24" s="63">
        <v>1492.3484701558014</v>
      </c>
      <c r="Y24" s="63">
        <v>1605.0771931403881</v>
      </c>
    </row>
    <row r="25" spans="1:25" x14ac:dyDescent="0.25">
      <c r="A25" s="64" t="s">
        <v>56</v>
      </c>
      <c r="B25" s="65"/>
      <c r="C25" s="65"/>
      <c r="D25" s="66">
        <v>297.47168560790658</v>
      </c>
      <c r="E25" s="66">
        <v>290.88168801808592</v>
      </c>
      <c r="F25" s="66">
        <v>265.68541848571783</v>
      </c>
      <c r="G25" s="66">
        <v>285.91146603568967</v>
      </c>
      <c r="H25" s="66">
        <v>246.7513069454817</v>
      </c>
      <c r="I25" s="66">
        <v>281.30124602295825</v>
      </c>
      <c r="J25" s="66">
        <v>224.39306206588674</v>
      </c>
      <c r="K25" s="66">
        <v>344.49783360683801</v>
      </c>
      <c r="L25" s="66">
        <v>384.55001274751424</v>
      </c>
      <c r="M25" s="66">
        <v>376.91877447020073</v>
      </c>
      <c r="N25" s="66">
        <v>309.48652435506466</v>
      </c>
      <c r="O25" s="66">
        <v>340.48455518320156</v>
      </c>
      <c r="P25" s="66">
        <v>328.24068985501458</v>
      </c>
      <c r="Q25" s="66">
        <v>330.21868787276344</v>
      </c>
      <c r="R25" s="66">
        <v>322.39079909427335</v>
      </c>
      <c r="S25" s="66">
        <v>352.9</v>
      </c>
      <c r="T25" s="66">
        <v>320.55665044443549</v>
      </c>
      <c r="U25" s="66">
        <v>317.37519984905816</v>
      </c>
      <c r="V25" s="66">
        <v>315.44759719169957</v>
      </c>
      <c r="W25" s="66">
        <v>161.80954004052342</v>
      </c>
      <c r="X25" s="66">
        <v>147.58171021158307</v>
      </c>
      <c r="Y25" s="66">
        <v>155.46653463563939</v>
      </c>
    </row>
    <row r="26" spans="1:25" x14ac:dyDescent="0.25">
      <c r="A26" s="67" t="s">
        <v>146</v>
      </c>
      <c r="B26" s="44"/>
      <c r="C26" s="44"/>
      <c r="D26" s="45">
        <v>25716.290765901875</v>
      </c>
      <c r="E26" s="45">
        <v>26714.016578749055</v>
      </c>
      <c r="F26" s="45">
        <v>28080.507493005935</v>
      </c>
      <c r="G26" s="45">
        <v>28874.428998652602</v>
      </c>
      <c r="H26" s="45">
        <v>29358.177744585504</v>
      </c>
      <c r="I26" s="45">
        <v>31232.287272064714</v>
      </c>
      <c r="J26" s="45">
        <v>33023.069550032174</v>
      </c>
      <c r="K26" s="45">
        <v>37000.814611052738</v>
      </c>
      <c r="L26" s="45">
        <v>39503.059403416337</v>
      </c>
      <c r="M26" s="45">
        <v>40201.147639467184</v>
      </c>
      <c r="N26" s="45">
        <v>42513.599274705361</v>
      </c>
      <c r="O26" s="45">
        <v>43103.94751495884</v>
      </c>
      <c r="P26" s="45">
        <v>43942.985041816974</v>
      </c>
      <c r="Q26" s="45">
        <v>45432.206759443347</v>
      </c>
      <c r="R26" s="45">
        <v>44575.615205833346</v>
      </c>
      <c r="S26" s="45">
        <v>47080</v>
      </c>
      <c r="T26" s="45">
        <v>49009.371355025542</v>
      </c>
      <c r="U26" s="45">
        <v>50661.463143365007</v>
      </c>
      <c r="V26" s="45">
        <v>52193.936093661883</v>
      </c>
      <c r="W26" s="45">
        <v>53340.813118975937</v>
      </c>
      <c r="X26" s="45">
        <v>52903.702472316865</v>
      </c>
      <c r="Y26" s="45">
        <v>53581.67169284782</v>
      </c>
    </row>
    <row r="27" spans="1:25" x14ac:dyDescent="0.25">
      <c r="A27" s="68" t="s">
        <v>148</v>
      </c>
      <c r="B27" s="69"/>
      <c r="C27" s="69"/>
      <c r="D27" s="70">
        <v>10195.520380514241</v>
      </c>
      <c r="E27" s="70">
        <v>10881.688018085908</v>
      </c>
      <c r="F27" s="70">
        <v>10978.278301466526</v>
      </c>
      <c r="G27" s="70">
        <v>11400.801866640375</v>
      </c>
      <c r="H27" s="70">
        <v>10526.0642270351</v>
      </c>
      <c r="I27" s="70">
        <v>11263.542966067249</v>
      </c>
      <c r="J27" s="70">
        <v>11301.847402213732</v>
      </c>
      <c r="K27" s="70">
        <v>12578.539130845425</v>
      </c>
      <c r="L27" s="70">
        <v>12704.385144896745</v>
      </c>
      <c r="M27" s="70">
        <v>13762.351625132062</v>
      </c>
      <c r="N27" s="70">
        <v>14213.302563257233</v>
      </c>
      <c r="O27" s="70">
        <v>14378.714399975705</v>
      </c>
      <c r="P27" s="70">
        <v>15065.698098502184</v>
      </c>
      <c r="Q27" s="70">
        <v>15674.850894632207</v>
      </c>
      <c r="R27" s="70">
        <v>16558.238820560393</v>
      </c>
      <c r="S27" s="70">
        <v>17607.8</v>
      </c>
      <c r="T27" s="70">
        <v>18306.821381168804</v>
      </c>
      <c r="U27" s="70">
        <v>18968.431296610757</v>
      </c>
      <c r="V27" s="70">
        <v>19548.610435831117</v>
      </c>
      <c r="W27" s="70">
        <v>20435.910545550945</v>
      </c>
      <c r="X27" s="70">
        <v>19769.114971508789</v>
      </c>
      <c r="Y27" s="70">
        <v>20252.059233919976</v>
      </c>
    </row>
    <row r="28" spans="1:25" x14ac:dyDescent="0.25">
      <c r="A28" s="68" t="s">
        <v>150</v>
      </c>
      <c r="B28" s="71"/>
      <c r="C28" s="71"/>
      <c r="D28" s="70">
        <v>9538.3925612585044</v>
      </c>
      <c r="E28" s="70">
        <v>9879.8040693293115</v>
      </c>
      <c r="F28" s="70">
        <v>11238.974322421996</v>
      </c>
      <c r="G28" s="70">
        <v>10903.743139767983</v>
      </c>
      <c r="H28" s="70">
        <v>11712.173263629571</v>
      </c>
      <c r="I28" s="70">
        <v>11864.829635443679</v>
      </c>
      <c r="J28" s="70">
        <v>12980.528091805518</v>
      </c>
      <c r="K28" s="70">
        <v>14546.2380317108</v>
      </c>
      <c r="L28" s="70">
        <v>16057.406305770372</v>
      </c>
      <c r="M28" s="70">
        <v>16843.577154931325</v>
      </c>
      <c r="N28" s="70">
        <v>17806.601829720596</v>
      </c>
      <c r="O28" s="70">
        <v>17613.570784947002</v>
      </c>
      <c r="P28" s="70">
        <v>18577.823519419657</v>
      </c>
      <c r="Q28" s="70">
        <v>20105.864811133204</v>
      </c>
      <c r="R28" s="70">
        <v>18594.228486498887</v>
      </c>
      <c r="S28" s="70">
        <v>20096.400000000001</v>
      </c>
      <c r="T28" s="70">
        <v>21664.018823150866</v>
      </c>
      <c r="U28" s="70">
        <v>22185.082571176059</v>
      </c>
      <c r="V28" s="70">
        <v>23053.248799082055</v>
      </c>
      <c r="W28" s="70">
        <v>22547.955840860464</v>
      </c>
      <c r="X28" s="70">
        <v>23043.61879958256</v>
      </c>
      <c r="Y28" s="70">
        <v>23539.631813476168</v>
      </c>
    </row>
    <row r="29" spans="1:25" x14ac:dyDescent="0.25">
      <c r="A29" s="68" t="s">
        <v>152</v>
      </c>
      <c r="B29" s="71"/>
      <c r="C29" s="71"/>
      <c r="D29" s="70">
        <v>5982.3778241291284</v>
      </c>
      <c r="E29" s="70">
        <v>5952.5244913338311</v>
      </c>
      <c r="F29" s="70">
        <v>5863.2548691174106</v>
      </c>
      <c r="G29" s="70">
        <v>6569.8839922442412</v>
      </c>
      <c r="H29" s="70">
        <v>7119.9402539208313</v>
      </c>
      <c r="I29" s="70">
        <v>8103.914670553786</v>
      </c>
      <c r="J29" s="70">
        <v>8740.6940560129169</v>
      </c>
      <c r="K29" s="70">
        <v>9876.0374484965032</v>
      </c>
      <c r="L29" s="70">
        <v>10741.267952749207</v>
      </c>
      <c r="M29" s="70">
        <v>9595.2188594037962</v>
      </c>
      <c r="N29" s="70">
        <v>10493.694881727522</v>
      </c>
      <c r="O29" s="70">
        <v>11111.662330036132</v>
      </c>
      <c r="P29" s="70">
        <v>10299.463423895129</v>
      </c>
      <c r="Q29" s="70">
        <v>9651.4910536779335</v>
      </c>
      <c r="R29" s="70">
        <v>9423.1478987740738</v>
      </c>
      <c r="S29" s="70">
        <v>9375.8000000000011</v>
      </c>
      <c r="T29" s="70">
        <v>9038.5311507058759</v>
      </c>
      <c r="U29" s="70">
        <v>9507.9492755781903</v>
      </c>
      <c r="V29" s="70">
        <v>9592.0768587487091</v>
      </c>
      <c r="W29" s="70">
        <v>10356.946732564533</v>
      </c>
      <c r="X29" s="70">
        <v>10090.96870122552</v>
      </c>
      <c r="Y29" s="70">
        <v>9789.9806454516802</v>
      </c>
    </row>
    <row r="30" spans="1:25" x14ac:dyDescent="0.25">
      <c r="A30" s="64" t="s">
        <v>154</v>
      </c>
      <c r="B30" s="65"/>
      <c r="C30" s="65"/>
      <c r="D30" s="66">
        <v>1526.930349519484</v>
      </c>
      <c r="E30" s="66">
        <v>1147.7015825169556</v>
      </c>
      <c r="F30" s="66">
        <v>1457.2604643703557</v>
      </c>
      <c r="G30" s="66">
        <v>2187.3870321075292</v>
      </c>
      <c r="H30" s="66">
        <v>3071.2471994025391</v>
      </c>
      <c r="I30" s="66">
        <v>2806.1446171527887</v>
      </c>
      <c r="J30" s="66">
        <v>3755.8592980659396</v>
      </c>
      <c r="K30" s="66">
        <v>3520.7725818447989</v>
      </c>
      <c r="L30" s="66">
        <v>3177.7428401461716</v>
      </c>
      <c r="M30" s="66">
        <v>2902.2434901497732</v>
      </c>
      <c r="N30" s="66">
        <v>2768.4826506222698</v>
      </c>
      <c r="O30" s="66">
        <v>2695.8317724838262</v>
      </c>
      <c r="P30" s="66">
        <v>2977.6476583499034</v>
      </c>
      <c r="Q30" s="66">
        <v>2482.6043737574555</v>
      </c>
      <c r="R30" s="66">
        <v>2653.1406170512014</v>
      </c>
      <c r="S30" s="66">
        <v>2419.4</v>
      </c>
      <c r="T30" s="66">
        <v>2158.9309415597477</v>
      </c>
      <c r="U30" s="66">
        <v>2233.5428645197167</v>
      </c>
      <c r="V30" s="66">
        <v>1995.5658414204868</v>
      </c>
      <c r="W30" s="66">
        <v>2851.4079039557655</v>
      </c>
      <c r="X30" s="66">
        <v>2794.078260789257</v>
      </c>
      <c r="Y30" s="66">
        <v>2858.7117972723595</v>
      </c>
    </row>
    <row r="31" spans="1:25" x14ac:dyDescent="0.25">
      <c r="A31" s="64" t="s">
        <v>37</v>
      </c>
      <c r="B31" s="65"/>
      <c r="C31" s="65"/>
      <c r="D31" s="66">
        <v>2201.0175636951985</v>
      </c>
      <c r="E31" s="66">
        <v>2248.4928409947252</v>
      </c>
      <c r="F31" s="66">
        <v>2639.5694862702471</v>
      </c>
      <c r="G31" s="66">
        <v>2619.8692037201354</v>
      </c>
      <c r="H31" s="66">
        <v>2833.7565347274085</v>
      </c>
      <c r="I31" s="66">
        <v>3148.835970678515</v>
      </c>
      <c r="J31" s="66">
        <v>3914.8645632278985</v>
      </c>
      <c r="K31" s="66">
        <v>4488.0346622905918</v>
      </c>
      <c r="L31" s="66">
        <v>5772.924279765446</v>
      </c>
      <c r="M31" s="66">
        <v>5738.508068692644</v>
      </c>
      <c r="N31" s="66">
        <v>5656.8861781917094</v>
      </c>
      <c r="O31" s="66">
        <v>5416.9746180559068</v>
      </c>
      <c r="P31" s="66">
        <v>5760.4492450963744</v>
      </c>
      <c r="Q31" s="66">
        <v>4953.3797216699813</v>
      </c>
      <c r="R31" s="66">
        <v>5237.8529889976153</v>
      </c>
      <c r="S31" s="66">
        <v>5685.2</v>
      </c>
      <c r="T31" s="66">
        <v>5702.5499738567351</v>
      </c>
      <c r="U31" s="66">
        <v>6191.3982979315006</v>
      </c>
      <c r="V31" s="66">
        <v>6321.6904257181204</v>
      </c>
      <c r="W31" s="66">
        <v>5394.9137457630331</v>
      </c>
      <c r="X31" s="66">
        <v>5117.3357714792346</v>
      </c>
      <c r="Y31" s="66">
        <v>4962.5962101093755</v>
      </c>
    </row>
    <row r="32" spans="1:25" x14ac:dyDescent="0.25">
      <c r="A32" s="64" t="s">
        <v>58</v>
      </c>
      <c r="B32" s="65"/>
      <c r="C32" s="65"/>
      <c r="D32" s="66">
        <v>8064.0948166630924</v>
      </c>
      <c r="E32" s="66">
        <v>8931.047475508667</v>
      </c>
      <c r="F32" s="66">
        <v>8575.8833906520085</v>
      </c>
      <c r="G32" s="66">
        <v>9141.115383351409</v>
      </c>
      <c r="H32" s="66">
        <v>9621.6579536967893</v>
      </c>
      <c r="I32" s="66">
        <v>10449.913801561384</v>
      </c>
      <c r="J32" s="66">
        <v>11587.951838867662</v>
      </c>
      <c r="K32" s="66">
        <v>12686.799759158472</v>
      </c>
      <c r="L32" s="66">
        <v>12660.937367213395</v>
      </c>
      <c r="M32" s="66">
        <v>9465.1254324363526</v>
      </c>
      <c r="N32" s="66">
        <v>11857.125195747136</v>
      </c>
      <c r="O32" s="66">
        <v>12539.611829383117</v>
      </c>
      <c r="P32" s="66">
        <v>12478.741793982756</v>
      </c>
      <c r="Q32" s="66">
        <v>12156.660039761435</v>
      </c>
      <c r="R32" s="66">
        <v>13886.644522249155</v>
      </c>
      <c r="S32" s="66">
        <v>14847.7</v>
      </c>
      <c r="T32" s="66">
        <v>14615.492901098018</v>
      </c>
      <c r="U32" s="66">
        <v>14172.45111766517</v>
      </c>
      <c r="V32" s="66">
        <v>15593.943872887454</v>
      </c>
      <c r="W32" s="66">
        <v>16643.375182260595</v>
      </c>
      <c r="X32" s="66">
        <v>14917.666398840036</v>
      </c>
      <c r="Y32" s="66">
        <v>17374.262951793673</v>
      </c>
    </row>
    <row r="33" spans="1:25" x14ac:dyDescent="0.25">
      <c r="A33" s="72" t="s">
        <v>158</v>
      </c>
      <c r="B33" s="65"/>
      <c r="C33" s="65"/>
      <c r="D33" s="66">
        <v>857.52158911479762</v>
      </c>
      <c r="E33" s="66">
        <v>1000.7535795026376</v>
      </c>
      <c r="F33" s="66">
        <v>878.84673639943696</v>
      </c>
      <c r="G33" s="66">
        <v>1045.7129711788098</v>
      </c>
      <c r="H33" s="66">
        <v>1357.4309185959671</v>
      </c>
      <c r="I33" s="66">
        <v>1429.6326404754232</v>
      </c>
      <c r="J33" s="66">
        <v>1563.2672890324443</v>
      </c>
      <c r="K33" s="66">
        <v>1572.7896296471199</v>
      </c>
      <c r="L33" s="66">
        <v>1212.8197501487211</v>
      </c>
      <c r="M33" s="66">
        <v>600.95705673979251</v>
      </c>
      <c r="N33" s="66">
        <v>997.28014505893032</v>
      </c>
      <c r="O33" s="66">
        <v>773.30390499235602</v>
      </c>
      <c r="P33" s="66">
        <v>840.3361344537816</v>
      </c>
      <c r="Q33" s="66">
        <v>776.04373757455278</v>
      </c>
      <c r="R33" s="66">
        <v>739.0449970573859</v>
      </c>
      <c r="S33" s="66">
        <v>854.6</v>
      </c>
      <c r="T33" s="66">
        <v>935.52668624059845</v>
      </c>
      <c r="U33" s="66">
        <v>935.04533222112991</v>
      </c>
      <c r="V33" s="66">
        <v>1053.5016239133397</v>
      </c>
      <c r="W33" s="66">
        <v>747.41047927436614</v>
      </c>
      <c r="X33" s="66">
        <v>685.45147258471172</v>
      </c>
      <c r="Y33" s="66">
        <v>1530.809740288968</v>
      </c>
    </row>
    <row r="34" spans="1:25" x14ac:dyDescent="0.25">
      <c r="A34" s="73" t="s">
        <v>5</v>
      </c>
      <c r="B34" s="65"/>
      <c r="C34" s="65"/>
      <c r="D34" s="66">
        <v>704.13964072226975</v>
      </c>
      <c r="E34" s="66">
        <v>821.75221576628746</v>
      </c>
      <c r="F34" s="66">
        <v>721.65043198159663</v>
      </c>
      <c r="G34" s="66">
        <v>858.66987510432364</v>
      </c>
      <c r="H34" s="66">
        <v>1114.6319013520579</v>
      </c>
      <c r="I34" s="66">
        <v>1173.9191486343225</v>
      </c>
      <c r="J34" s="66">
        <v>1283.6510254960147</v>
      </c>
      <c r="K34" s="66">
        <v>1291.4701376727405</v>
      </c>
      <c r="L34" s="66">
        <v>995.88683710243959</v>
      </c>
      <c r="M34" s="66">
        <v>471.59122621241011</v>
      </c>
      <c r="N34" s="66">
        <v>383.53778554876027</v>
      </c>
      <c r="O34" s="66">
        <v>228.61782678603359</v>
      </c>
      <c r="P34" s="66">
        <v>591.83198020206953</v>
      </c>
      <c r="Q34" s="66">
        <v>567.87575792264352</v>
      </c>
      <c r="R34" s="66">
        <v>578.53498941981422</v>
      </c>
      <c r="S34" s="66">
        <v>585.30879780015482</v>
      </c>
      <c r="T34" s="66">
        <v>625.30568810913667</v>
      </c>
      <c r="U34" s="66">
        <v>682.53992549962948</v>
      </c>
      <c r="V34" s="66">
        <v>866.72582829437295</v>
      </c>
      <c r="W34" s="66">
        <v>498.85096065013613</v>
      </c>
      <c r="X34" s="66">
        <v>468.55033337066249</v>
      </c>
      <c r="Y34" s="66">
        <v>1274.3333091841134</v>
      </c>
    </row>
    <row r="35" spans="1:25" x14ac:dyDescent="0.25">
      <c r="A35" s="74" t="s">
        <v>270</v>
      </c>
      <c r="B35" s="44"/>
      <c r="C35" s="44"/>
      <c r="D35" s="45">
        <v>656.77730374579085</v>
      </c>
      <c r="E35" s="45">
        <v>765.12172111198697</v>
      </c>
      <c r="F35" s="45">
        <v>677.08726877562697</v>
      </c>
      <c r="G35" s="45">
        <v>807.46407871498275</v>
      </c>
      <c r="H35" s="45">
        <v>1036.1251101939474</v>
      </c>
      <c r="I35" s="45">
        <v>1090.0131168718667</v>
      </c>
      <c r="J35" s="45">
        <v>1199.9177549125943</v>
      </c>
      <c r="K35" s="45">
        <v>1203.0793353602385</v>
      </c>
      <c r="L35" s="45">
        <v>921.76818771207752</v>
      </c>
      <c r="M35" s="45">
        <v>449.09370523031225</v>
      </c>
      <c r="N35" s="45">
        <v>358.67236779217012</v>
      </c>
      <c r="O35" s="45">
        <v>210.58733307439624</v>
      </c>
      <c r="P35" s="45">
        <v>546.86158507187838</v>
      </c>
      <c r="Q35" s="45">
        <v>530.43287859767224</v>
      </c>
      <c r="R35" s="45">
        <v>539.51455405838124</v>
      </c>
      <c r="S35" s="45">
        <v>548.64039143945149</v>
      </c>
      <c r="T35" s="45">
        <v>590.88136881804235</v>
      </c>
      <c r="U35" s="45">
        <v>639.77755292059339</v>
      </c>
      <c r="V35" s="45">
        <v>827.23691158820407</v>
      </c>
      <c r="W35" s="45">
        <v>468.48572748146188</v>
      </c>
      <c r="X35" s="45">
        <v>451.37351946759514</v>
      </c>
      <c r="Y35" s="45">
        <v>1227.5366255912422</v>
      </c>
    </row>
    <row r="36" spans="1:25" x14ac:dyDescent="0.25">
      <c r="A36" s="74" t="s">
        <v>15</v>
      </c>
      <c r="B36" s="44"/>
      <c r="C36" s="44"/>
      <c r="D36" s="45">
        <v>47.3623369764789</v>
      </c>
      <c r="E36" s="45">
        <v>56.630494654300492</v>
      </c>
      <c r="F36" s="45">
        <v>44.563163205969659</v>
      </c>
      <c r="G36" s="45">
        <v>51.20579638934089</v>
      </c>
      <c r="H36" s="45">
        <v>78.506791158110445</v>
      </c>
      <c r="I36" s="45">
        <v>83.906031762455768</v>
      </c>
      <c r="J36" s="45">
        <v>83.733270583420335</v>
      </c>
      <c r="K36" s="45">
        <v>88.390802312502046</v>
      </c>
      <c r="L36" s="45">
        <v>74.118649390362066</v>
      </c>
      <c r="M36" s="45">
        <v>22.497520982097853</v>
      </c>
      <c r="N36" s="45">
        <v>24.865417756590148</v>
      </c>
      <c r="O36" s="45">
        <v>18.030493711637348</v>
      </c>
      <c r="P36" s="45">
        <v>44.97039513019115</v>
      </c>
      <c r="Q36" s="45">
        <v>37.442879324971273</v>
      </c>
      <c r="R36" s="45">
        <v>39.020435361432988</v>
      </c>
      <c r="S36" s="45">
        <v>36.668406360703329</v>
      </c>
      <c r="T36" s="45">
        <v>34.424319291094321</v>
      </c>
      <c r="U36" s="45">
        <v>42.762372579036082</v>
      </c>
      <c r="V36" s="45">
        <v>39.48891670616888</v>
      </c>
      <c r="W36" s="45">
        <v>30.365233168674251</v>
      </c>
      <c r="X36" s="45">
        <v>17.176813903067341</v>
      </c>
      <c r="Y36" s="45">
        <v>46.796683592871204</v>
      </c>
    </row>
    <row r="37" spans="1:25" x14ac:dyDescent="0.25">
      <c r="A37" s="73" t="s">
        <v>269</v>
      </c>
      <c r="B37" s="65"/>
      <c r="C37" s="65"/>
      <c r="D37" s="66">
        <v>153.38194839252787</v>
      </c>
      <c r="E37" s="66">
        <v>179.0013637363503</v>
      </c>
      <c r="F37" s="66">
        <v>157.19630441784034</v>
      </c>
      <c r="G37" s="66">
        <v>187.04309607448613</v>
      </c>
      <c r="H37" s="66">
        <v>242.79901724390925</v>
      </c>
      <c r="I37" s="66">
        <v>255.71349184110068</v>
      </c>
      <c r="J37" s="66">
        <v>279.61626353642964</v>
      </c>
      <c r="K37" s="66">
        <v>281.31949197437939</v>
      </c>
      <c r="L37" s="66">
        <v>216.93291304628156</v>
      </c>
      <c r="M37" s="66">
        <v>129.3658305273824</v>
      </c>
      <c r="N37" s="66">
        <v>613.7423595101701</v>
      </c>
      <c r="O37" s="66">
        <v>544.68607820632246</v>
      </c>
      <c r="P37" s="66">
        <v>248.50415425171204</v>
      </c>
      <c r="Q37" s="66">
        <v>208.16797965190923</v>
      </c>
      <c r="R37" s="66">
        <v>160.5100076375717</v>
      </c>
      <c r="S37" s="66">
        <v>269.2912021998452</v>
      </c>
      <c r="T37" s="66">
        <v>310.22099813146178</v>
      </c>
      <c r="U37" s="66">
        <v>252.50540672150044</v>
      </c>
      <c r="V37" s="66">
        <v>186.77579561896675</v>
      </c>
      <c r="W37" s="66">
        <v>248.55951862423009</v>
      </c>
      <c r="X37" s="66">
        <v>216.90113921404927</v>
      </c>
      <c r="Y37" s="66">
        <v>256.47643110485456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146.59084311291699</v>
      </c>
      <c r="E39" s="45">
        <v>159.40563702150175</v>
      </c>
      <c r="F39" s="45">
        <v>139.98763204988452</v>
      </c>
      <c r="G39" s="45">
        <v>166.56702081970033</v>
      </c>
      <c r="H39" s="45">
        <v>216.21920193281915</v>
      </c>
      <c r="I39" s="45">
        <v>227.71989671520893</v>
      </c>
      <c r="J39" s="45">
        <v>249.0059722463736</v>
      </c>
      <c r="K39" s="45">
        <v>250.52274400988048</v>
      </c>
      <c r="L39" s="45">
        <v>193.1847248158715</v>
      </c>
      <c r="M39" s="45">
        <v>125.63304480260086</v>
      </c>
      <c r="N39" s="45">
        <v>576.70948102633952</v>
      </c>
      <c r="O39" s="45">
        <v>517.44555657007243</v>
      </c>
      <c r="P39" s="45">
        <v>234.49996771810203</v>
      </c>
      <c r="Q39" s="45">
        <v>197.04727284424999</v>
      </c>
      <c r="R39" s="45">
        <v>148.03483750897144</v>
      </c>
      <c r="S39" s="45">
        <v>248.10303680727463</v>
      </c>
      <c r="T39" s="45">
        <v>280.35727125001006</v>
      </c>
      <c r="U39" s="45">
        <v>215.71545326229568</v>
      </c>
      <c r="V39" s="45">
        <v>167.07077713911252</v>
      </c>
      <c r="W39" s="45">
        <v>225.90644862268613</v>
      </c>
      <c r="X39" s="45">
        <v>180.9871039001853</v>
      </c>
      <c r="Y39" s="45">
        <v>208.22446921261783</v>
      </c>
    </row>
    <row r="40" spans="1:25" x14ac:dyDescent="0.25">
      <c r="A40" s="75" t="s">
        <v>273</v>
      </c>
      <c r="B40" s="76"/>
      <c r="C40" s="76"/>
      <c r="D40" s="45">
        <v>146.59084311291699</v>
      </c>
      <c r="E40" s="45">
        <v>159.40563702150175</v>
      </c>
      <c r="F40" s="45">
        <v>139.98763204988452</v>
      </c>
      <c r="G40" s="45">
        <v>166.56702081970033</v>
      </c>
      <c r="H40" s="45">
        <v>216.21920193281915</v>
      </c>
      <c r="I40" s="45">
        <v>227.71989671520893</v>
      </c>
      <c r="J40" s="45">
        <v>249.0059722463736</v>
      </c>
      <c r="K40" s="45">
        <v>250.52274400988048</v>
      </c>
      <c r="L40" s="45">
        <v>193.1847248158715</v>
      </c>
      <c r="M40" s="45">
        <v>125.63304480260086</v>
      </c>
      <c r="N40" s="45">
        <v>576.70948102633952</v>
      </c>
      <c r="O40" s="45">
        <v>517.44555657007243</v>
      </c>
      <c r="P40" s="45">
        <v>234.49996771810203</v>
      </c>
      <c r="Q40" s="45">
        <v>197.04727284424999</v>
      </c>
      <c r="R40" s="45">
        <v>148.03483750897144</v>
      </c>
      <c r="S40" s="45">
        <v>248.10303680727463</v>
      </c>
      <c r="T40" s="45">
        <v>280.35727125001006</v>
      </c>
      <c r="U40" s="45">
        <v>215.71545326229568</v>
      </c>
      <c r="V40" s="45">
        <v>167.07077713911252</v>
      </c>
      <c r="W40" s="45">
        <v>225.90644862268613</v>
      </c>
      <c r="X40" s="45">
        <v>180.9871039001853</v>
      </c>
      <c r="Y40" s="45">
        <v>208.22446921261783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6.7911052796108891</v>
      </c>
      <c r="E42" s="45">
        <v>19.595726714848553</v>
      </c>
      <c r="F42" s="45">
        <v>17.208672367955813</v>
      </c>
      <c r="G42" s="45">
        <v>20.476075254785798</v>
      </c>
      <c r="H42" s="45">
        <v>26.579815311090101</v>
      </c>
      <c r="I42" s="45">
        <v>27.993595125891744</v>
      </c>
      <c r="J42" s="45">
        <v>30.61029129005604</v>
      </c>
      <c r="K42" s="45">
        <v>30.796747964498906</v>
      </c>
      <c r="L42" s="45">
        <v>23.748188230410051</v>
      </c>
      <c r="M42" s="45">
        <v>3.7327857247815359</v>
      </c>
      <c r="N42" s="45">
        <v>37.032878483830586</v>
      </c>
      <c r="O42" s="45">
        <v>27.240521636250037</v>
      </c>
      <c r="P42" s="45">
        <v>14.00418653361001</v>
      </c>
      <c r="Q42" s="45">
        <v>11.120706807659246</v>
      </c>
      <c r="R42" s="45">
        <v>12.475170128600269</v>
      </c>
      <c r="S42" s="45">
        <v>21.188165392570596</v>
      </c>
      <c r="T42" s="45">
        <v>29.863726881451726</v>
      </c>
      <c r="U42" s="45">
        <v>36.789953459204753</v>
      </c>
      <c r="V42" s="45">
        <v>19.705018479854232</v>
      </c>
      <c r="W42" s="45">
        <v>22.653070001543966</v>
      </c>
      <c r="X42" s="45">
        <v>35.914035313863963</v>
      </c>
      <c r="Y42" s="45">
        <v>48.251961892236721</v>
      </c>
    </row>
    <row r="43" spans="1:25" x14ac:dyDescent="0.25">
      <c r="A43" s="72" t="s">
        <v>271</v>
      </c>
      <c r="B43" s="65"/>
      <c r="C43" s="65"/>
      <c r="D43" s="66">
        <v>626.91280531784253</v>
      </c>
      <c r="E43" s="66">
        <v>644.87565938206478</v>
      </c>
      <c r="F43" s="66">
        <v>651.82914877314272</v>
      </c>
      <c r="G43" s="66">
        <v>468.13894639981595</v>
      </c>
      <c r="H43" s="66">
        <v>428.0806572068708</v>
      </c>
      <c r="I43" s="66">
        <v>492.24214052447894</v>
      </c>
      <c r="J43" s="66">
        <v>569.45155657094836</v>
      </c>
      <c r="K43" s="66">
        <v>557.35924347425703</v>
      </c>
      <c r="L43" s="66">
        <v>565.13979773944084</v>
      </c>
      <c r="M43" s="66">
        <v>527.93487042446077</v>
      </c>
      <c r="N43" s="66">
        <v>646.37764773757522</v>
      </c>
      <c r="O43" s="66">
        <v>736.85595974526939</v>
      </c>
      <c r="P43" s="66">
        <v>680.96203998840917</v>
      </c>
      <c r="Q43" s="66">
        <v>468.78727634194837</v>
      </c>
      <c r="R43" s="66">
        <v>584.13382410150518</v>
      </c>
      <c r="S43" s="66">
        <v>693.4</v>
      </c>
      <c r="T43" s="66">
        <v>686.56236174234812</v>
      </c>
      <c r="U43" s="66">
        <v>636.23995789515516</v>
      </c>
      <c r="V43" s="66">
        <v>587.62325210525296</v>
      </c>
      <c r="W43" s="66">
        <v>656.61156242307175</v>
      </c>
      <c r="X43" s="66">
        <v>608.88999713702572</v>
      </c>
      <c r="Y43" s="66">
        <v>676.95908538506558</v>
      </c>
    </row>
    <row r="44" spans="1:25" x14ac:dyDescent="0.25">
      <c r="A44" s="73" t="s">
        <v>272</v>
      </c>
      <c r="B44" s="65"/>
      <c r="C44" s="65"/>
      <c r="D44" s="66">
        <v>514.82485038694722</v>
      </c>
      <c r="E44" s="66">
        <v>526.56367746797287</v>
      </c>
      <c r="F44" s="66">
        <v>550.43746324774133</v>
      </c>
      <c r="G44" s="66">
        <v>392.38883959380854</v>
      </c>
      <c r="H44" s="66">
        <v>384.61538461538458</v>
      </c>
      <c r="I44" s="66">
        <v>426.64723113795952</v>
      </c>
      <c r="J44" s="66">
        <v>493.82229750134582</v>
      </c>
      <c r="K44" s="66">
        <v>476.96067435628015</v>
      </c>
      <c r="L44" s="66">
        <v>474.10130024645196</v>
      </c>
      <c r="M44" s="66">
        <v>397.42713318003848</v>
      </c>
      <c r="N44" s="66">
        <v>503.99736256490564</v>
      </c>
      <c r="O44" s="66">
        <v>592.68408743457087</v>
      </c>
      <c r="P44" s="66">
        <v>539.87349993505131</v>
      </c>
      <c r="Q44" s="66">
        <v>448.01192842942351</v>
      </c>
      <c r="R44" s="66">
        <v>510.01985017605807</v>
      </c>
      <c r="S44" s="66">
        <v>637.29999999999995</v>
      </c>
      <c r="T44" s="66">
        <v>606.32264811165192</v>
      </c>
      <c r="U44" s="66">
        <v>567.22376143235931</v>
      </c>
      <c r="V44" s="66">
        <v>519.65226861665928</v>
      </c>
      <c r="W44" s="66">
        <v>586.35838588119441</v>
      </c>
      <c r="X44" s="66">
        <v>534.91443400844128</v>
      </c>
      <c r="Y44" s="66">
        <v>592.69928433181803</v>
      </c>
    </row>
    <row r="45" spans="1:25" x14ac:dyDescent="0.25">
      <c r="A45" s="74" t="s">
        <v>20</v>
      </c>
      <c r="B45" s="44"/>
      <c r="C45" s="44"/>
      <c r="D45" s="45">
        <v>316.9487851979876</v>
      </c>
      <c r="E45" s="45">
        <v>320.54188724524579</v>
      </c>
      <c r="F45" s="45">
        <v>327.72783794979063</v>
      </c>
      <c r="G45" s="45">
        <v>276.70541862593507</v>
      </c>
      <c r="H45" s="45">
        <v>273.95085902288059</v>
      </c>
      <c r="I45" s="45">
        <v>288.53188053243719</v>
      </c>
      <c r="J45" s="45">
        <v>310.41642177172707</v>
      </c>
      <c r="K45" s="45">
        <v>305.07079016871342</v>
      </c>
      <c r="L45" s="45">
        <v>380.19370933321409</v>
      </c>
      <c r="M45" s="45">
        <v>259.67664260354172</v>
      </c>
      <c r="N45" s="45">
        <v>361.28388389866853</v>
      </c>
      <c r="O45" s="45">
        <v>455.67094841290236</v>
      </c>
      <c r="P45" s="45">
        <v>308.78354178397842</v>
      </c>
      <c r="Q45" s="45">
        <v>244.53789995563034</v>
      </c>
      <c r="R45" s="45">
        <v>157.54394808334678</v>
      </c>
      <c r="S45" s="45">
        <v>431.90718852058069</v>
      </c>
      <c r="T45" s="45">
        <v>389.66554308952709</v>
      </c>
      <c r="U45" s="45">
        <v>362.37850840624969</v>
      </c>
      <c r="V45" s="45">
        <v>331.11418121876528</v>
      </c>
      <c r="W45" s="45">
        <v>391.30989169673097</v>
      </c>
      <c r="X45" s="45">
        <v>321.63936915706961</v>
      </c>
      <c r="Y45" s="45">
        <v>343.59829528866601</v>
      </c>
    </row>
    <row r="46" spans="1:25" x14ac:dyDescent="0.25">
      <c r="A46" s="74" t="s">
        <v>12</v>
      </c>
      <c r="B46" s="44"/>
      <c r="C46" s="44"/>
      <c r="D46" s="45">
        <v>197.87606518895961</v>
      </c>
      <c r="E46" s="45">
        <v>206.02179022272708</v>
      </c>
      <c r="F46" s="45">
        <v>222.70962529795071</v>
      </c>
      <c r="G46" s="45">
        <v>115.68342096787347</v>
      </c>
      <c r="H46" s="45">
        <v>110.66452559250399</v>
      </c>
      <c r="I46" s="45">
        <v>138.11535060552234</v>
      </c>
      <c r="J46" s="45">
        <v>183.40587572961874</v>
      </c>
      <c r="K46" s="45">
        <v>171.88988418756674</v>
      </c>
      <c r="L46" s="45">
        <v>93.907590913237868</v>
      </c>
      <c r="M46" s="45">
        <v>137.75049057649676</v>
      </c>
      <c r="N46" s="45">
        <v>142.71347866623711</v>
      </c>
      <c r="O46" s="45">
        <v>137.01313902166851</v>
      </c>
      <c r="P46" s="45">
        <v>231.08995815107289</v>
      </c>
      <c r="Q46" s="45">
        <v>203.47402847379317</v>
      </c>
      <c r="R46" s="45">
        <v>352.47590209271129</v>
      </c>
      <c r="S46" s="45">
        <v>205.39281147941927</v>
      </c>
      <c r="T46" s="45">
        <v>216.65710502212482</v>
      </c>
      <c r="U46" s="45">
        <v>204.84525302610962</v>
      </c>
      <c r="V46" s="45">
        <v>188.538087397894</v>
      </c>
      <c r="W46" s="45">
        <v>195.04849418446344</v>
      </c>
      <c r="X46" s="45">
        <v>213.27506485137167</v>
      </c>
      <c r="Y46" s="45">
        <v>249.10098904315203</v>
      </c>
    </row>
    <row r="47" spans="1:25" x14ac:dyDescent="0.25">
      <c r="A47" s="73" t="s">
        <v>11</v>
      </c>
      <c r="B47" s="65"/>
      <c r="C47" s="65"/>
      <c r="D47" s="66">
        <v>112.08795493089534</v>
      </c>
      <c r="E47" s="66">
        <v>118.31198191409194</v>
      </c>
      <c r="F47" s="66">
        <v>101.39168552540139</v>
      </c>
      <c r="G47" s="66">
        <v>75.750106806007437</v>
      </c>
      <c r="H47" s="66">
        <v>43.465272591486183</v>
      </c>
      <c r="I47" s="66">
        <v>65.594909386519404</v>
      </c>
      <c r="J47" s="66">
        <v>75.629259069602554</v>
      </c>
      <c r="K47" s="66">
        <v>80.398569117976919</v>
      </c>
      <c r="L47" s="66">
        <v>91.038497492988867</v>
      </c>
      <c r="M47" s="66">
        <v>130.50773724442234</v>
      </c>
      <c r="N47" s="66">
        <v>142.38028517266957</v>
      </c>
      <c r="O47" s="66">
        <v>144.17187231069849</v>
      </c>
      <c r="P47" s="66">
        <v>141.08854005335783</v>
      </c>
      <c r="Q47" s="66">
        <v>20.77534791252485</v>
      </c>
      <c r="R47" s="66">
        <v>74.113973925447127</v>
      </c>
      <c r="S47" s="66">
        <v>56.1</v>
      </c>
      <c r="T47" s="66">
        <v>80.239713630696215</v>
      </c>
      <c r="U47" s="66">
        <v>69.016196462795804</v>
      </c>
      <c r="V47" s="66">
        <v>67.970983488593717</v>
      </c>
      <c r="W47" s="66">
        <v>70.253176541877338</v>
      </c>
      <c r="X47" s="66">
        <v>73.975563128584483</v>
      </c>
      <c r="Y47" s="66">
        <v>84.259801053247514</v>
      </c>
    </row>
    <row r="48" spans="1:25" x14ac:dyDescent="0.25">
      <c r="A48" s="72" t="s">
        <v>4</v>
      </c>
      <c r="B48" s="65"/>
      <c r="C48" s="65"/>
      <c r="D48" s="66">
        <v>572.13590908204833</v>
      </c>
      <c r="E48" s="66">
        <v>585.53127354935953</v>
      </c>
      <c r="F48" s="66">
        <v>628.12951050446372</v>
      </c>
      <c r="G48" s="66">
        <v>606.16517138256268</v>
      </c>
      <c r="H48" s="66">
        <v>597.75952203136671</v>
      </c>
      <c r="I48" s="66">
        <v>633.52348381852073</v>
      </c>
      <c r="J48" s="66">
        <v>686.57186749123571</v>
      </c>
      <c r="K48" s="66">
        <v>797.49241467244349</v>
      </c>
      <c r="L48" s="66">
        <v>790.23965326761299</v>
      </c>
      <c r="M48" s="66">
        <v>558.59383091997586</v>
      </c>
      <c r="N48" s="66">
        <v>517.69966207862842</v>
      </c>
      <c r="O48" s="66">
        <v>578.10490933573612</v>
      </c>
      <c r="P48" s="66">
        <v>493.11044275022732</v>
      </c>
      <c r="Q48" s="66">
        <v>462.92246520874755</v>
      </c>
      <c r="R48" s="66">
        <v>512.9125894006047</v>
      </c>
      <c r="S48" s="66">
        <v>521.79999999999995</v>
      </c>
      <c r="T48" s="66">
        <v>568.51546474681254</v>
      </c>
      <c r="U48" s="66">
        <v>606.34949007457726</v>
      </c>
      <c r="V48" s="66">
        <v>597.93072599622724</v>
      </c>
      <c r="W48" s="66">
        <v>668.8253896116189</v>
      </c>
      <c r="X48" s="66">
        <v>624.77488709722093</v>
      </c>
      <c r="Y48" s="66">
        <v>699.55439528289162</v>
      </c>
    </row>
    <row r="49" spans="1:25" x14ac:dyDescent="0.25">
      <c r="A49" s="77" t="s">
        <v>10</v>
      </c>
      <c r="B49" s="44"/>
      <c r="C49" s="44"/>
      <c r="D49" s="45">
        <v>225.74847267507863</v>
      </c>
      <c r="E49" s="45">
        <v>285.62296850006248</v>
      </c>
      <c r="F49" s="45">
        <v>306.28409368360286</v>
      </c>
      <c r="G49" s="45">
        <v>308.02708235149697</v>
      </c>
      <c r="H49" s="45">
        <v>365.49459447691737</v>
      </c>
      <c r="I49" s="45">
        <v>374.61890109114796</v>
      </c>
      <c r="J49" s="45">
        <v>404.09638288529959</v>
      </c>
      <c r="K49" s="45">
        <v>430.52514144067709</v>
      </c>
      <c r="L49" s="45">
        <v>440.92671019654961</v>
      </c>
      <c r="M49" s="45">
        <v>328.93450490249933</v>
      </c>
      <c r="N49" s="45">
        <v>266.41359589005378</v>
      </c>
      <c r="O49" s="45">
        <v>304.50031674449701</v>
      </c>
      <c r="P49" s="45">
        <v>271.51858564910322</v>
      </c>
      <c r="Q49" s="45">
        <v>292.98409571705582</v>
      </c>
      <c r="R49" s="45">
        <v>256.42439135522721</v>
      </c>
      <c r="S49" s="45">
        <v>253.04562786835862</v>
      </c>
      <c r="T49" s="45">
        <v>264.16524127971934</v>
      </c>
      <c r="U49" s="45">
        <v>297.72006205176416</v>
      </c>
      <c r="V49" s="45">
        <v>284.69177575112326</v>
      </c>
      <c r="W49" s="45">
        <v>312.29764388119344</v>
      </c>
      <c r="X49" s="45">
        <v>318.93172425473864</v>
      </c>
      <c r="Y49" s="45">
        <v>325.79091624024227</v>
      </c>
    </row>
    <row r="50" spans="1:25" x14ac:dyDescent="0.25">
      <c r="A50" s="77" t="s">
        <v>18</v>
      </c>
      <c r="B50" s="44"/>
      <c r="C50" s="44"/>
      <c r="D50" s="45">
        <v>99.860309799040351</v>
      </c>
      <c r="E50" s="45">
        <v>123.51734341244075</v>
      </c>
      <c r="F50" s="45">
        <v>129.45543910107008</v>
      </c>
      <c r="G50" s="45">
        <v>131.30258803870922</v>
      </c>
      <c r="H50" s="45">
        <v>159.57736933608408</v>
      </c>
      <c r="I50" s="45">
        <v>160.47630201661764</v>
      </c>
      <c r="J50" s="45">
        <v>167.272162015627</v>
      </c>
      <c r="K50" s="45">
        <v>186.52740561932001</v>
      </c>
      <c r="L50" s="45">
        <v>169.3362324974876</v>
      </c>
      <c r="M50" s="45">
        <v>119.60742464424307</v>
      </c>
      <c r="N50" s="45">
        <v>129.6100939166885</v>
      </c>
      <c r="O50" s="45">
        <v>137.51329493804408</v>
      </c>
      <c r="P50" s="45">
        <v>128.56920195178483</v>
      </c>
      <c r="Q50" s="45">
        <v>146.49076947917752</v>
      </c>
      <c r="R50" s="45">
        <v>144.49386270002856</v>
      </c>
      <c r="S50" s="45">
        <v>162.69955609006243</v>
      </c>
      <c r="T50" s="45">
        <v>182.74473478888015</v>
      </c>
      <c r="U50" s="45">
        <v>173.27515133436867</v>
      </c>
      <c r="V50" s="45">
        <v>176.72394452557197</v>
      </c>
      <c r="W50" s="45">
        <v>212.8007884715993</v>
      </c>
      <c r="X50" s="45">
        <v>177.37061481944798</v>
      </c>
      <c r="Y50" s="45">
        <v>181.28500002045561</v>
      </c>
    </row>
    <row r="51" spans="1:25" x14ac:dyDescent="0.25">
      <c r="A51" s="77" t="s">
        <v>9</v>
      </c>
      <c r="B51" s="44"/>
      <c r="C51" s="44"/>
      <c r="D51" s="45">
        <v>246.52712660792935</v>
      </c>
      <c r="E51" s="45">
        <v>176.39096163685628</v>
      </c>
      <c r="F51" s="45">
        <v>192.38997771979078</v>
      </c>
      <c r="G51" s="45">
        <v>166.83550099235649</v>
      </c>
      <c r="H51" s="45">
        <v>72.687558218365268</v>
      </c>
      <c r="I51" s="45">
        <v>98.428280710755132</v>
      </c>
      <c r="J51" s="45">
        <v>115.20332259030911</v>
      </c>
      <c r="K51" s="45">
        <v>180.43986761244639</v>
      </c>
      <c r="L51" s="45">
        <v>179.97671057357579</v>
      </c>
      <c r="M51" s="45">
        <v>110.05190137323346</v>
      </c>
      <c r="N51" s="45">
        <v>121.67597227188614</v>
      </c>
      <c r="O51" s="45">
        <v>136.09129765319503</v>
      </c>
      <c r="P51" s="45">
        <v>93.022655149339272</v>
      </c>
      <c r="Q51" s="45">
        <v>23.447600012514215</v>
      </c>
      <c r="R51" s="45">
        <v>111.99433534534893</v>
      </c>
      <c r="S51" s="45">
        <v>106.0548160415789</v>
      </c>
      <c r="T51" s="45">
        <v>121.60548867821305</v>
      </c>
      <c r="U51" s="45">
        <v>135.35427668844443</v>
      </c>
      <c r="V51" s="45">
        <v>136.51500571953201</v>
      </c>
      <c r="W51" s="45">
        <v>143.72695725882616</v>
      </c>
      <c r="X51" s="45">
        <v>128.47254802303431</v>
      </c>
      <c r="Y51" s="45">
        <v>192.47847902219374</v>
      </c>
    </row>
    <row r="52" spans="1:25" x14ac:dyDescent="0.25">
      <c r="A52" s="72" t="s">
        <v>3</v>
      </c>
      <c r="B52" s="65"/>
      <c r="C52" s="65"/>
      <c r="D52" s="66">
        <v>574.47513596756289</v>
      </c>
      <c r="E52" s="66">
        <v>655.99095704596834</v>
      </c>
      <c r="F52" s="66">
        <v>561.12902938398759</v>
      </c>
      <c r="G52" s="66">
        <v>490.15741562325417</v>
      </c>
      <c r="H52" s="66">
        <v>431.36669156086634</v>
      </c>
      <c r="I52" s="66">
        <v>437.15923584733764</v>
      </c>
      <c r="J52" s="66">
        <v>505.11416604298802</v>
      </c>
      <c r="K52" s="66">
        <v>521.35107375181519</v>
      </c>
      <c r="L52" s="66">
        <v>492.6914251720915</v>
      </c>
      <c r="M52" s="66">
        <v>456.25919250927018</v>
      </c>
      <c r="N52" s="66">
        <v>471.85362235226251</v>
      </c>
      <c r="O52" s="66">
        <v>475.24070830506929</v>
      </c>
      <c r="P52" s="66">
        <v>513.49433947181728</v>
      </c>
      <c r="Q52" s="66">
        <v>471.868787276342</v>
      </c>
      <c r="R52" s="66">
        <v>477.60122093545181</v>
      </c>
      <c r="S52" s="66">
        <v>514.80000000000007</v>
      </c>
      <c r="T52" s="66">
        <v>528.59670997063893</v>
      </c>
      <c r="U52" s="66">
        <v>482.61685584055783</v>
      </c>
      <c r="V52" s="66">
        <v>514.30405103171972</v>
      </c>
      <c r="W52" s="66">
        <v>497.6424473101174</v>
      </c>
      <c r="X52" s="66">
        <v>414.94657320440729</v>
      </c>
      <c r="Y52" s="66">
        <v>445.42467479857771</v>
      </c>
    </row>
    <row r="53" spans="1:25" x14ac:dyDescent="0.25">
      <c r="A53" s="73" t="s">
        <v>21</v>
      </c>
      <c r="B53" s="65"/>
      <c r="C53" s="65"/>
      <c r="D53" s="66">
        <v>415.01783660500206</v>
      </c>
      <c r="E53" s="66">
        <v>488.31951770911832</v>
      </c>
      <c r="F53" s="66">
        <v>407.52686255991733</v>
      </c>
      <c r="G53" s="66">
        <v>329.12681981004965</v>
      </c>
      <c r="H53" s="66">
        <v>280.05974607916352</v>
      </c>
      <c r="I53" s="66">
        <v>284.66508752995924</v>
      </c>
      <c r="J53" s="66">
        <v>324.05036698572758</v>
      </c>
      <c r="K53" s="66">
        <v>334.10859119511707</v>
      </c>
      <c r="L53" s="66">
        <v>294.57380810741904</v>
      </c>
      <c r="M53" s="66">
        <v>297.99266670809766</v>
      </c>
      <c r="N53" s="66">
        <v>285.58476881233003</v>
      </c>
      <c r="O53" s="66">
        <v>300.99928116552428</v>
      </c>
      <c r="P53" s="66">
        <v>328.74029516681821</v>
      </c>
      <c r="Q53" s="66">
        <v>300</v>
      </c>
      <c r="R53" s="66">
        <v>302.44087340774655</v>
      </c>
      <c r="S53" s="66">
        <v>344.2</v>
      </c>
      <c r="T53" s="66">
        <v>363.99469090616577</v>
      </c>
      <c r="U53" s="66">
        <v>313.70095629636251</v>
      </c>
      <c r="V53" s="66">
        <v>321.47649701472221</v>
      </c>
      <c r="W53" s="66">
        <v>331.00418489272664</v>
      </c>
      <c r="X53" s="66">
        <v>269.76606728913276</v>
      </c>
      <c r="Y53" s="66">
        <v>289.68807669802408</v>
      </c>
    </row>
    <row r="54" spans="1:25" x14ac:dyDescent="0.25">
      <c r="A54" s="74" t="s">
        <v>8</v>
      </c>
      <c r="B54" s="44"/>
      <c r="C54" s="44"/>
      <c r="D54" s="45">
        <v>30.700381038713122</v>
      </c>
      <c r="E54" s="45">
        <v>37.323710796961571</v>
      </c>
      <c r="F54" s="45">
        <v>29.262488183805203</v>
      </c>
      <c r="G54" s="45">
        <v>26.324131241560437</v>
      </c>
      <c r="H54" s="45">
        <v>20.538385446005382</v>
      </c>
      <c r="I54" s="45">
        <v>22.739419235880849</v>
      </c>
      <c r="J54" s="45">
        <v>25.709228373984399</v>
      </c>
      <c r="K54" s="45">
        <v>27.286622679167479</v>
      </c>
      <c r="L54" s="45">
        <v>24.941776890721123</v>
      </c>
      <c r="M54" s="45">
        <v>25.136902641663006</v>
      </c>
      <c r="N54" s="45">
        <v>21.219879672250837</v>
      </c>
      <c r="O54" s="45">
        <v>24.488609085460713</v>
      </c>
      <c r="P54" s="45">
        <v>26.883012233435821</v>
      </c>
      <c r="Q54" s="45">
        <v>24.582115721800118</v>
      </c>
      <c r="R54" s="45">
        <v>23.872542318604648</v>
      </c>
      <c r="S54" s="45">
        <v>26.559728999387808</v>
      </c>
      <c r="T54" s="45">
        <v>26.986878335109232</v>
      </c>
      <c r="U54" s="45">
        <v>24.260118138984136</v>
      </c>
      <c r="V54" s="45">
        <v>23.894855793116321</v>
      </c>
      <c r="W54" s="45">
        <v>24.479882296607183</v>
      </c>
      <c r="X54" s="45">
        <v>21.208247052588479</v>
      </c>
      <c r="Y54" s="45">
        <v>20.527108194607557</v>
      </c>
    </row>
    <row r="55" spans="1:25" x14ac:dyDescent="0.25">
      <c r="A55" s="74" t="s">
        <v>17</v>
      </c>
      <c r="B55" s="44"/>
      <c r="C55" s="44"/>
      <c r="D55" s="45">
        <v>384.31745556628891</v>
      </c>
      <c r="E55" s="45">
        <v>450.99580691215675</v>
      </c>
      <c r="F55" s="45">
        <v>378.26437437611213</v>
      </c>
      <c r="G55" s="45">
        <v>302.8026885684892</v>
      </c>
      <c r="H55" s="45">
        <v>259.52136063315811</v>
      </c>
      <c r="I55" s="45">
        <v>261.92566829407838</v>
      </c>
      <c r="J55" s="45">
        <v>298.34113861174319</v>
      </c>
      <c r="K55" s="45">
        <v>306.82196851594961</v>
      </c>
      <c r="L55" s="45">
        <v>269.6320312166979</v>
      </c>
      <c r="M55" s="45">
        <v>272.85576406643463</v>
      </c>
      <c r="N55" s="45">
        <v>264.36488914007919</v>
      </c>
      <c r="O55" s="45">
        <v>276.51067208006356</v>
      </c>
      <c r="P55" s="45">
        <v>301.85728293338241</v>
      </c>
      <c r="Q55" s="45">
        <v>275.41788427819989</v>
      </c>
      <c r="R55" s="45">
        <v>278.56833108914191</v>
      </c>
      <c r="S55" s="45">
        <v>317.64027100061219</v>
      </c>
      <c r="T55" s="45">
        <v>337.00781257105655</v>
      </c>
      <c r="U55" s="45">
        <v>289.44083815737838</v>
      </c>
      <c r="V55" s="45">
        <v>297.58164122160588</v>
      </c>
      <c r="W55" s="45">
        <v>306.52430259611947</v>
      </c>
      <c r="X55" s="45">
        <v>248.55782023654427</v>
      </c>
      <c r="Y55" s="45">
        <v>269.16096850341654</v>
      </c>
    </row>
    <row r="56" spans="1:25" x14ac:dyDescent="0.25">
      <c r="A56" s="73" t="s">
        <v>16</v>
      </c>
      <c r="B56" s="65"/>
      <c r="C56" s="65"/>
      <c r="D56" s="66">
        <v>159.45729936256083</v>
      </c>
      <c r="E56" s="66">
        <v>167.67143933685003</v>
      </c>
      <c r="F56" s="66">
        <v>153.60216682407025</v>
      </c>
      <c r="G56" s="66">
        <v>161.03059581320451</v>
      </c>
      <c r="H56" s="66">
        <v>151.30694548170283</v>
      </c>
      <c r="I56" s="66">
        <v>152.4941483173784</v>
      </c>
      <c r="J56" s="66">
        <v>181.06379905726044</v>
      </c>
      <c r="K56" s="66">
        <v>187.24248255669812</v>
      </c>
      <c r="L56" s="66">
        <v>198.11761706467246</v>
      </c>
      <c r="M56" s="66">
        <v>158.26652580117252</v>
      </c>
      <c r="N56" s="66">
        <v>186.26885353993248</v>
      </c>
      <c r="O56" s="66">
        <v>174.24142713954501</v>
      </c>
      <c r="P56" s="66">
        <v>184.75404430499907</v>
      </c>
      <c r="Q56" s="66">
        <v>171.868787276342</v>
      </c>
      <c r="R56" s="66">
        <v>175.16034752770526</v>
      </c>
      <c r="S56" s="66">
        <v>170.60000000000008</v>
      </c>
      <c r="T56" s="66">
        <v>164.60201906447315</v>
      </c>
      <c r="U56" s="66">
        <v>168.91589954419533</v>
      </c>
      <c r="V56" s="66">
        <v>192.82755401699751</v>
      </c>
      <c r="W56" s="66">
        <v>166.63826241739076</v>
      </c>
      <c r="X56" s="66">
        <v>145.18050591527452</v>
      </c>
      <c r="Y56" s="66">
        <v>155.73659810055364</v>
      </c>
    </row>
    <row r="57" spans="1:25" x14ac:dyDescent="0.25">
      <c r="A57" s="72" t="s">
        <v>2</v>
      </c>
      <c r="B57" s="65"/>
      <c r="C57" s="65"/>
      <c r="D57" s="66">
        <v>1102.1657342248386</v>
      </c>
      <c r="E57" s="66">
        <v>1378.8620949510173</v>
      </c>
      <c r="F57" s="66">
        <v>1032.2707104545696</v>
      </c>
      <c r="G57" s="66">
        <v>956.98182654704397</v>
      </c>
      <c r="H57" s="66">
        <v>979.98506348020908</v>
      </c>
      <c r="I57" s="66">
        <v>1028.7748608911377</v>
      </c>
      <c r="J57" s="66">
        <v>1126.9547406152756</v>
      </c>
      <c r="K57" s="66">
        <v>1100.5513382052584</v>
      </c>
      <c r="L57" s="66">
        <v>1097.6672048950454</v>
      </c>
      <c r="M57" s="66">
        <v>945.35247446812912</v>
      </c>
      <c r="N57" s="66">
        <v>937.83483062721507</v>
      </c>
      <c r="O57" s="66">
        <v>1020.8461997954865</v>
      </c>
      <c r="P57" s="66">
        <v>1022.0925468879586</v>
      </c>
      <c r="Q57" s="66">
        <v>909.9403578528827</v>
      </c>
      <c r="R57" s="66">
        <v>912.50960090173658</v>
      </c>
      <c r="S57" s="66">
        <v>984</v>
      </c>
      <c r="T57" s="66">
        <v>859.5101154325705</v>
      </c>
      <c r="U57" s="66">
        <v>914.19151746258729</v>
      </c>
      <c r="V57" s="66">
        <v>1089.2860615725706</v>
      </c>
      <c r="W57" s="66">
        <v>1177.3561324774187</v>
      </c>
      <c r="X57" s="66">
        <v>1177.1442292595978</v>
      </c>
      <c r="Y57" s="66">
        <v>1272.3590043660261</v>
      </c>
    </row>
    <row r="58" spans="1:25" x14ac:dyDescent="0.25">
      <c r="A58" s="72" t="s">
        <v>275</v>
      </c>
      <c r="B58" s="65"/>
      <c r="C58" s="65"/>
      <c r="D58" s="66">
        <v>661.0265307315932</v>
      </c>
      <c r="E58" s="66">
        <v>755.27505651846275</v>
      </c>
      <c r="F58" s="66">
        <v>816.47926727133415</v>
      </c>
      <c r="G58" s="66">
        <v>1181.2744421440075</v>
      </c>
      <c r="H58" s="66">
        <v>1237.1919342793128</v>
      </c>
      <c r="I58" s="66">
        <v>1205.0962198831066</v>
      </c>
      <c r="J58" s="66">
        <v>1318.2600018382111</v>
      </c>
      <c r="K58" s="66">
        <v>1856.9590215222602</v>
      </c>
      <c r="L58" s="66">
        <v>1952.4942636185945</v>
      </c>
      <c r="M58" s="66">
        <v>1260.9533279472998</v>
      </c>
      <c r="N58" s="66">
        <v>2035.5641638506554</v>
      </c>
      <c r="O58" s="66">
        <v>2088.3660183657144</v>
      </c>
      <c r="P58" s="66">
        <v>2138.7104187691725</v>
      </c>
      <c r="Q58" s="66">
        <v>2278.8270377733602</v>
      </c>
      <c r="R58" s="66">
        <v>2833.1886963721058</v>
      </c>
      <c r="S58" s="66">
        <v>3090.2</v>
      </c>
      <c r="T58" s="66">
        <v>3029.3005671077503</v>
      </c>
      <c r="U58" s="66">
        <v>2788.6515526161611</v>
      </c>
      <c r="V58" s="66">
        <v>3409.7318111981954</v>
      </c>
      <c r="W58" s="66">
        <v>4200.8937870438749</v>
      </c>
      <c r="X58" s="66">
        <v>3871.2030957064621</v>
      </c>
      <c r="Y58" s="66">
        <v>4377.9988297249856</v>
      </c>
    </row>
    <row r="59" spans="1:25" x14ac:dyDescent="0.25">
      <c r="A59" s="72" t="s">
        <v>276</v>
      </c>
      <c r="B59" s="65"/>
      <c r="C59" s="65"/>
      <c r="D59" s="66">
        <v>1962.8062925203221</v>
      </c>
      <c r="E59" s="66">
        <v>2202.3360964581761</v>
      </c>
      <c r="F59" s="66">
        <v>2142.7680464726741</v>
      </c>
      <c r="G59" s="66">
        <v>2422.5245653817083</v>
      </c>
      <c r="H59" s="66">
        <v>2595.519044062733</v>
      </c>
      <c r="I59" s="66">
        <v>2998.3040632402203</v>
      </c>
      <c r="J59" s="66">
        <v>3476.9764052467799</v>
      </c>
      <c r="K59" s="66">
        <v>3862.0828069844042</v>
      </c>
      <c r="L59" s="66">
        <v>4337.1292597943402</v>
      </c>
      <c r="M59" s="66">
        <v>3055.6418701965899</v>
      </c>
      <c r="N59" s="66">
        <v>3889.0834913047061</v>
      </c>
      <c r="O59" s="66">
        <v>4477.4275850198947</v>
      </c>
      <c r="P59" s="66">
        <v>4306.5977877476798</v>
      </c>
      <c r="Q59" s="66">
        <v>4174.2544731610342</v>
      </c>
      <c r="R59" s="66">
        <v>4925.6366520034708</v>
      </c>
      <c r="S59" s="66">
        <v>5182.2</v>
      </c>
      <c r="T59" s="66">
        <v>4996.4807143144435</v>
      </c>
      <c r="U59" s="66">
        <v>4851.7889593946438</v>
      </c>
      <c r="V59" s="66">
        <v>5327.6026371574717</v>
      </c>
      <c r="W59" s="66">
        <v>5574.1445586926475</v>
      </c>
      <c r="X59" s="66">
        <v>4732.1271899444955</v>
      </c>
      <c r="Y59" s="66">
        <v>5438.7180987532065</v>
      </c>
    </row>
    <row r="60" spans="1:25" x14ac:dyDescent="0.25">
      <c r="A60" s="72" t="s">
        <v>1</v>
      </c>
      <c r="B60" s="65"/>
      <c r="C60" s="65"/>
      <c r="D60" s="66">
        <v>778.37774615489582</v>
      </c>
      <c r="E60" s="66">
        <v>683.30821401657875</v>
      </c>
      <c r="F60" s="66">
        <v>668.75746182219928</v>
      </c>
      <c r="G60" s="66">
        <v>657.43205494758297</v>
      </c>
      <c r="H60" s="66">
        <v>614.48842419716209</v>
      </c>
      <c r="I60" s="66">
        <v>688.18590830728692</v>
      </c>
      <c r="J60" s="66">
        <v>658.99870012210977</v>
      </c>
      <c r="K60" s="66">
        <v>700.21132663542016</v>
      </c>
      <c r="L60" s="66">
        <v>520.4172686326167</v>
      </c>
      <c r="M60" s="66">
        <v>447.04078884676733</v>
      </c>
      <c r="N60" s="66">
        <v>701.80499464270997</v>
      </c>
      <c r="O60" s="66">
        <v>619.41258061576775</v>
      </c>
      <c r="P60" s="66">
        <v>610.71753314881255</v>
      </c>
      <c r="Q60" s="66">
        <v>586.58051689860838</v>
      </c>
      <c r="R60" s="66">
        <v>680.69146442429496</v>
      </c>
      <c r="S60" s="66">
        <v>684</v>
      </c>
      <c r="T60" s="66">
        <v>633.87362747858265</v>
      </c>
      <c r="U60" s="66">
        <v>574.07572913873753</v>
      </c>
      <c r="V60" s="66">
        <v>692.93451836869644</v>
      </c>
      <c r="W60" s="66">
        <v>659.73602984339789</v>
      </c>
      <c r="X60" s="66">
        <v>570.37837438469137</v>
      </c>
      <c r="Y60" s="66">
        <v>559.48147814736467</v>
      </c>
    </row>
    <row r="61" spans="1:25" x14ac:dyDescent="0.25">
      <c r="A61" s="72" t="s">
        <v>0</v>
      </c>
      <c r="B61" s="65"/>
      <c r="C61" s="65"/>
      <c r="D61" s="66">
        <v>286.94516462309201</v>
      </c>
      <c r="E61" s="66">
        <v>306.33006782215523</v>
      </c>
      <c r="F61" s="66">
        <v>317.53951424651189</v>
      </c>
      <c r="G61" s="66">
        <v>347.36599953991259</v>
      </c>
      <c r="H61" s="66">
        <v>409.70873786407765</v>
      </c>
      <c r="I61" s="66">
        <v>449.77364149859136</v>
      </c>
      <c r="J61" s="66">
        <v>554.22066411943115</v>
      </c>
      <c r="K61" s="66">
        <v>600.56904714118741</v>
      </c>
      <c r="L61" s="66">
        <v>645.02422027704608</v>
      </c>
      <c r="M61" s="66">
        <v>526.69193959356153</v>
      </c>
      <c r="N61" s="66">
        <v>527.89911810764033</v>
      </c>
      <c r="O61" s="66">
        <v>503.9940873333266</v>
      </c>
      <c r="P61" s="66">
        <v>444.04920113110643</v>
      </c>
      <c r="Q61" s="66">
        <v>455.26838966202786</v>
      </c>
      <c r="R61" s="66">
        <v>575.35585679943335</v>
      </c>
      <c r="S61" s="66">
        <v>588.6</v>
      </c>
      <c r="T61" s="66">
        <v>531.81434259743389</v>
      </c>
      <c r="U61" s="66">
        <v>568.91192738900315</v>
      </c>
      <c r="V61" s="66">
        <v>521.30535405200419</v>
      </c>
      <c r="W61" s="66">
        <v>543.94137362949505</v>
      </c>
      <c r="X61" s="66">
        <v>541.74863085178106</v>
      </c>
      <c r="Y61" s="66">
        <v>542.73754332268084</v>
      </c>
    </row>
    <row r="62" spans="1:25" x14ac:dyDescent="0.25">
      <c r="A62" s="78" t="s">
        <v>277</v>
      </c>
      <c r="B62" s="79"/>
      <c r="C62" s="79"/>
      <c r="D62" s="80">
        <v>641.72790892609987</v>
      </c>
      <c r="E62" s="80">
        <v>717.78447626224568</v>
      </c>
      <c r="F62" s="80">
        <v>878.13396532368711</v>
      </c>
      <c r="G62" s="80">
        <v>965.36199020671074</v>
      </c>
      <c r="H62" s="80">
        <v>970.12696041822255</v>
      </c>
      <c r="I62" s="80">
        <v>1087.2216070752802</v>
      </c>
      <c r="J62" s="80">
        <v>1128.136447788238</v>
      </c>
      <c r="K62" s="80">
        <v>1117.433857124305</v>
      </c>
      <c r="L62" s="80">
        <v>1047.3145236678847</v>
      </c>
      <c r="M62" s="80">
        <v>1085.700080790504</v>
      </c>
      <c r="N62" s="80">
        <v>1131.7275199868131</v>
      </c>
      <c r="O62" s="80">
        <v>1266.0598758744977</v>
      </c>
      <c r="P62" s="80">
        <v>1428.6713496337893</v>
      </c>
      <c r="Q62" s="80">
        <v>1572.1669980119286</v>
      </c>
      <c r="R62" s="80">
        <v>1645.5696202531644</v>
      </c>
      <c r="S62" s="80">
        <v>1734.1</v>
      </c>
      <c r="T62" s="80">
        <v>1845.3123114668383</v>
      </c>
      <c r="U62" s="80">
        <v>1814.5797956326157</v>
      </c>
      <c r="V62" s="80">
        <v>1799.7238374919777</v>
      </c>
      <c r="W62" s="80">
        <v>1916.8134219545914</v>
      </c>
      <c r="X62" s="80">
        <v>1691.0019486696406</v>
      </c>
      <c r="Y62" s="80">
        <v>1830.2201017239051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1.9360971638628904E-2</v>
      </c>
      <c r="E66" s="83">
        <f t="shared" ref="E66:S66" si="49">E24/E$23</f>
        <v>2.3704195581826005E-2</v>
      </c>
      <c r="F66" s="83">
        <f t="shared" si="49"/>
        <v>2.2841982383529663E-2</v>
      </c>
      <c r="G66" s="83">
        <f t="shared" si="49"/>
        <v>2.0361906468910094E-2</v>
      </c>
      <c r="H66" s="83">
        <f t="shared" si="49"/>
        <v>1.8821114978957762E-2</v>
      </c>
      <c r="I66" s="83">
        <f t="shared" si="49"/>
        <v>1.8316617039421352E-2</v>
      </c>
      <c r="J66" s="83">
        <f t="shared" si="49"/>
        <v>2.0643072484638314E-2</v>
      </c>
      <c r="K66" s="83">
        <f t="shared" si="49"/>
        <v>2.5636248684494777E-2</v>
      </c>
      <c r="L66" s="83">
        <f t="shared" si="49"/>
        <v>2.8109382161017875E-2</v>
      </c>
      <c r="M66" s="83">
        <f t="shared" si="49"/>
        <v>2.3045686154482832E-2</v>
      </c>
      <c r="N66" s="83">
        <f t="shared" si="49"/>
        <v>1.7302703457171595E-2</v>
      </c>
      <c r="O66" s="83">
        <f t="shared" si="49"/>
        <v>2.0887817295780837E-2</v>
      </c>
      <c r="P66" s="83">
        <f t="shared" si="49"/>
        <v>2.092455240101284E-2</v>
      </c>
      <c r="Q66" s="83">
        <f t="shared" si="49"/>
        <v>2.4561330629188444E-2</v>
      </c>
      <c r="R66" s="83">
        <f t="shared" si="49"/>
        <v>3.0443069371556889E-2</v>
      </c>
      <c r="S66" s="83">
        <f t="shared" si="49"/>
        <v>2.4388485917884475E-2</v>
      </c>
      <c r="T66" s="83">
        <f t="shared" ref="T66:Y66" si="50">T24/T$23</f>
        <v>2.4882673341007185E-2</v>
      </c>
      <c r="U66" s="83">
        <f t="shared" si="50"/>
        <v>2.3330551963502102E-2</v>
      </c>
      <c r="V66" s="83">
        <f t="shared" si="50"/>
        <v>2.3943922610420373E-2</v>
      </c>
      <c r="W66" s="83">
        <f t="shared" si="50"/>
        <v>1.9299787505715076E-2</v>
      </c>
      <c r="X66" s="83">
        <f t="shared" si="50"/>
        <v>1.9287787783008513E-2</v>
      </c>
      <c r="Y66" s="83">
        <f t="shared" si="50"/>
        <v>1.9929492295345463E-2</v>
      </c>
    </row>
    <row r="67" spans="1:25" x14ac:dyDescent="0.25">
      <c r="A67" s="64" t="s">
        <v>56</v>
      </c>
      <c r="B67" s="65"/>
      <c r="C67" s="65"/>
      <c r="D67" s="83">
        <f t="shared" si="46"/>
        <v>7.7160727919946999E-3</v>
      </c>
      <c r="E67" s="83">
        <f t="shared" ref="E67:S67" si="51">E25/E$23</f>
        <v>7.2202166064981961E-3</v>
      </c>
      <c r="F67" s="83">
        <f t="shared" si="51"/>
        <v>6.3291945240369308E-3</v>
      </c>
      <c r="G67" s="83">
        <f t="shared" si="51"/>
        <v>6.4972890621499309E-3</v>
      </c>
      <c r="H67" s="83">
        <f t="shared" si="51"/>
        <v>5.3644723853068016E-3</v>
      </c>
      <c r="I67" s="83">
        <f t="shared" si="51"/>
        <v>5.7628860947042887E-3</v>
      </c>
      <c r="J67" s="83">
        <f t="shared" si="51"/>
        <v>4.1854325395950737E-3</v>
      </c>
      <c r="K67" s="83">
        <f t="shared" si="51"/>
        <v>5.7832681609088334E-3</v>
      </c>
      <c r="L67" s="83">
        <f t="shared" si="51"/>
        <v>6.0771597839754362E-3</v>
      </c>
      <c r="M67" s="83">
        <f t="shared" si="51"/>
        <v>6.274841145990499E-3</v>
      </c>
      <c r="N67" s="83">
        <f t="shared" si="51"/>
        <v>4.81940854755155E-3</v>
      </c>
      <c r="O67" s="83">
        <f t="shared" si="51"/>
        <v>5.2010757859996259E-3</v>
      </c>
      <c r="P67" s="83">
        <f t="shared" si="51"/>
        <v>4.9073430882649515E-3</v>
      </c>
      <c r="Q67" s="83">
        <f t="shared" si="51"/>
        <v>4.9285859468537604E-3</v>
      </c>
      <c r="R67" s="83">
        <f t="shared" si="51"/>
        <v>4.6880122073981248E-3</v>
      </c>
      <c r="S67" s="83">
        <f t="shared" si="51"/>
        <v>4.8915582156416199E-3</v>
      </c>
      <c r="T67" s="83">
        <f t="shared" ref="T67:Y67" si="52">T25/T$23</f>
        <v>4.35306824403945E-3</v>
      </c>
      <c r="U67" s="83">
        <f t="shared" si="52"/>
        <v>4.2129184742275118E-3</v>
      </c>
      <c r="V67" s="83">
        <f t="shared" si="52"/>
        <v>4.0289478161836031E-3</v>
      </c>
      <c r="W67" s="83">
        <f t="shared" si="52"/>
        <v>2.0242627253754183E-3</v>
      </c>
      <c r="X67" s="83">
        <f t="shared" si="52"/>
        <v>1.9074128892411417E-3</v>
      </c>
      <c r="Y67" s="83">
        <f t="shared" si="52"/>
        <v>1.9303551987695801E-3</v>
      </c>
    </row>
    <row r="68" spans="1:25" x14ac:dyDescent="0.25">
      <c r="A68" s="64" t="s">
        <v>146</v>
      </c>
      <c r="B68" s="65"/>
      <c r="C68" s="65"/>
      <c r="D68" s="83">
        <f t="shared" si="46"/>
        <v>0.66705095338500986</v>
      </c>
      <c r="E68" s="83">
        <f t="shared" ref="E68:S68" si="53">E26/E$23</f>
        <v>0.66309085127476097</v>
      </c>
      <c r="F68" s="83">
        <f t="shared" si="53"/>
        <v>0.66893770561392341</v>
      </c>
      <c r="G68" s="83">
        <f t="shared" si="53"/>
        <v>0.65616645009036456</v>
      </c>
      <c r="H68" s="83">
        <f t="shared" si="53"/>
        <v>0.63825855977554935</v>
      </c>
      <c r="I68" s="83">
        <f t="shared" si="53"/>
        <v>0.63984115452976642</v>
      </c>
      <c r="J68" s="83">
        <f t="shared" si="53"/>
        <v>0.61595411453243909</v>
      </c>
      <c r="K68" s="83">
        <f t="shared" si="53"/>
        <v>0.62115233302745565</v>
      </c>
      <c r="L68" s="83">
        <f t="shared" si="53"/>
        <v>0.62427875696900825</v>
      </c>
      <c r="M68" s="83">
        <f t="shared" si="53"/>
        <v>0.6692577616457015</v>
      </c>
      <c r="N68" s="83">
        <f t="shared" si="53"/>
        <v>0.66203336044651739</v>
      </c>
      <c r="O68" s="83">
        <f t="shared" si="53"/>
        <v>0.65843485200209706</v>
      </c>
      <c r="P68" s="83">
        <f t="shared" si="53"/>
        <v>0.65696700801458019</v>
      </c>
      <c r="Q68" s="83">
        <f t="shared" si="53"/>
        <v>0.6780855959776092</v>
      </c>
      <c r="R68" s="83">
        <f t="shared" si="53"/>
        <v>0.64819166311294441</v>
      </c>
      <c r="S68" s="83">
        <f t="shared" si="53"/>
        <v>0.6525773896072754</v>
      </c>
      <c r="T68" s="83">
        <f t="shared" ref="T68:Y68" si="54">T26/T$23</f>
        <v>0.66553333961442296</v>
      </c>
      <c r="U68" s="83">
        <f t="shared" si="54"/>
        <v>0.67249304327995996</v>
      </c>
      <c r="V68" s="83">
        <f t="shared" si="54"/>
        <v>0.66662940759315092</v>
      </c>
      <c r="W68" s="83">
        <f t="shared" si="54"/>
        <v>0.6673019385069493</v>
      </c>
      <c r="X68" s="83">
        <f t="shared" si="54"/>
        <v>0.68375142041385351</v>
      </c>
      <c r="Y68" s="83">
        <f t="shared" si="54"/>
        <v>0.66529853999423239</v>
      </c>
    </row>
    <row r="69" spans="1:25" x14ac:dyDescent="0.25">
      <c r="A69" s="68" t="s">
        <v>148</v>
      </c>
      <c r="B69" s="69"/>
      <c r="C69" s="69"/>
      <c r="D69" s="84">
        <f t="shared" si="46"/>
        <v>0.26446005187870697</v>
      </c>
      <c r="E69" s="84">
        <f t="shared" ref="E69:S69" si="55">E27/E$23</f>
        <v>0.27010343989076152</v>
      </c>
      <c r="F69" s="84">
        <f t="shared" si="55"/>
        <v>0.26152605327390427</v>
      </c>
      <c r="G69" s="84">
        <f t="shared" si="55"/>
        <v>0.25908126839031526</v>
      </c>
      <c r="H69" s="84">
        <f t="shared" si="55"/>
        <v>0.22884085831558165</v>
      </c>
      <c r="I69" s="84">
        <f t="shared" si="55"/>
        <v>0.23075089802821425</v>
      </c>
      <c r="J69" s="84">
        <f t="shared" si="55"/>
        <v>0.21080473451034851</v>
      </c>
      <c r="K69" s="84">
        <f t="shared" si="55"/>
        <v>0.21116261923778987</v>
      </c>
      <c r="L69" s="84">
        <f t="shared" si="55"/>
        <v>0.20077122850960175</v>
      </c>
      <c r="M69" s="84">
        <f t="shared" si="55"/>
        <v>0.22911188322829285</v>
      </c>
      <c r="N69" s="84">
        <f t="shared" si="55"/>
        <v>0.22133342317583621</v>
      </c>
      <c r="O69" s="84">
        <f t="shared" si="55"/>
        <v>0.21964221918753107</v>
      </c>
      <c r="P69" s="84">
        <f t="shared" si="55"/>
        <v>0.22523883149961532</v>
      </c>
      <c r="Q69" s="84">
        <f t="shared" si="55"/>
        <v>0.23395056874576239</v>
      </c>
      <c r="R69" s="84">
        <f t="shared" si="55"/>
        <v>0.24077990420905751</v>
      </c>
      <c r="S69" s="84">
        <f t="shared" si="55"/>
        <v>0.24406228038927322</v>
      </c>
      <c r="T69" s="84">
        <f t="shared" ref="T69:Y69" si="56">T27/T$23</f>
        <v>0.2486014334539029</v>
      </c>
      <c r="U69" s="84">
        <f t="shared" si="56"/>
        <v>0.25179174262706311</v>
      </c>
      <c r="V69" s="84">
        <f t="shared" si="56"/>
        <v>0.249678019506367</v>
      </c>
      <c r="W69" s="84">
        <f t="shared" si="56"/>
        <v>0.25565644625221196</v>
      </c>
      <c r="X69" s="84">
        <f t="shared" si="56"/>
        <v>0.25550499890186495</v>
      </c>
      <c r="Y69" s="84">
        <f t="shared" si="56"/>
        <v>0.25146034109275767</v>
      </c>
    </row>
    <row r="70" spans="1:25" x14ac:dyDescent="0.25">
      <c r="A70" s="68" t="s">
        <v>150</v>
      </c>
      <c r="B70" s="71"/>
      <c r="C70" s="71"/>
      <c r="D70" s="84">
        <f t="shared" si="46"/>
        <v>0.2474149133585142</v>
      </c>
      <c r="E70" s="84">
        <f t="shared" ref="E70:S70" si="57">E28/E$23</f>
        <v>0.24523484409195481</v>
      </c>
      <c r="F70" s="84">
        <f t="shared" si="57"/>
        <v>0.26773638968481378</v>
      </c>
      <c r="G70" s="84">
        <f t="shared" si="57"/>
        <v>0.24778569401502587</v>
      </c>
      <c r="H70" s="84">
        <f t="shared" si="57"/>
        <v>0.25462734452122404</v>
      </c>
      <c r="I70" s="84">
        <f t="shared" si="57"/>
        <v>0.24306917473288864</v>
      </c>
      <c r="J70" s="84">
        <f t="shared" si="57"/>
        <v>0.24211588431650591</v>
      </c>
      <c r="K70" s="84">
        <f t="shared" si="57"/>
        <v>0.24419542610477663</v>
      </c>
      <c r="L70" s="84">
        <f t="shared" si="57"/>
        <v>0.25376003276965714</v>
      </c>
      <c r="M70" s="84">
        <f t="shared" si="57"/>
        <v>0.28040728702354573</v>
      </c>
      <c r="N70" s="84">
        <f t="shared" si="57"/>
        <v>0.27728925916834718</v>
      </c>
      <c r="O70" s="84">
        <f t="shared" si="57"/>
        <v>0.26905630555044341</v>
      </c>
      <c r="P70" s="84">
        <f t="shared" si="57"/>
        <v>0.27774665561207335</v>
      </c>
      <c r="Q70" s="84">
        <f t="shared" si="57"/>
        <v>0.30008441798325586</v>
      </c>
      <c r="R70" s="84">
        <f t="shared" si="57"/>
        <v>0.2703860357576971</v>
      </c>
      <c r="S70" s="84">
        <f t="shared" si="57"/>
        <v>0.2785568447855491</v>
      </c>
      <c r="T70" s="84">
        <f t="shared" ref="T70:Y70" si="58">T28/T$23</f>
        <v>0.29419122094825334</v>
      </c>
      <c r="U70" s="84">
        <f t="shared" si="58"/>
        <v>0.29449038318312626</v>
      </c>
      <c r="V70" s="84">
        <f t="shared" si="58"/>
        <v>0.29443982845922562</v>
      </c>
      <c r="W70" s="84">
        <f t="shared" si="58"/>
        <v>0.28207846416616728</v>
      </c>
      <c r="X70" s="84">
        <f t="shared" si="58"/>
        <v>0.29782616999131045</v>
      </c>
      <c r="Y70" s="84">
        <f t="shared" si="58"/>
        <v>0.29228059115591054</v>
      </c>
    </row>
    <row r="71" spans="1:25" x14ac:dyDescent="0.25">
      <c r="A71" s="68" t="s">
        <v>152</v>
      </c>
      <c r="B71" s="71"/>
      <c r="C71" s="71"/>
      <c r="D71" s="84">
        <f t="shared" si="46"/>
        <v>0.15517598814778863</v>
      </c>
      <c r="E71" s="84">
        <f t="shared" ref="E71:S71" si="59">E29/E$23</f>
        <v>0.14775256729204456</v>
      </c>
      <c r="F71" s="84">
        <f t="shared" si="59"/>
        <v>0.13967526265520533</v>
      </c>
      <c r="G71" s="84">
        <f t="shared" si="59"/>
        <v>0.14929948768502338</v>
      </c>
      <c r="H71" s="84">
        <f t="shared" si="59"/>
        <v>0.1547903569387436</v>
      </c>
      <c r="I71" s="84">
        <f t="shared" si="59"/>
        <v>0.16602108176866356</v>
      </c>
      <c r="J71" s="84">
        <f t="shared" si="59"/>
        <v>0.16303349570558454</v>
      </c>
      <c r="K71" s="84">
        <f t="shared" si="59"/>
        <v>0.16579428768488905</v>
      </c>
      <c r="L71" s="84">
        <f t="shared" si="59"/>
        <v>0.16974749568974914</v>
      </c>
      <c r="M71" s="84">
        <f t="shared" si="59"/>
        <v>0.15973859139386293</v>
      </c>
      <c r="N71" s="84">
        <f t="shared" si="59"/>
        <v>0.16341067810233384</v>
      </c>
      <c r="O71" s="84">
        <f t="shared" si="59"/>
        <v>0.16973632726412261</v>
      </c>
      <c r="P71" s="84">
        <f t="shared" si="59"/>
        <v>0.15398152090289144</v>
      </c>
      <c r="Q71" s="84">
        <f t="shared" si="59"/>
        <v>0.14405060924859092</v>
      </c>
      <c r="R71" s="84">
        <f t="shared" si="59"/>
        <v>0.13702572314618994</v>
      </c>
      <c r="S71" s="84">
        <f t="shared" si="59"/>
        <v>0.12995826443245312</v>
      </c>
      <c r="T71" s="84">
        <f t="shared" ref="T71:Y71" si="60">T29/T$23</f>
        <v>0.12274068521226679</v>
      </c>
      <c r="U71" s="84">
        <f t="shared" si="60"/>
        <v>0.12621091746977064</v>
      </c>
      <c r="V71" s="84">
        <f t="shared" si="60"/>
        <v>0.12251155962755828</v>
      </c>
      <c r="W71" s="84">
        <f t="shared" si="60"/>
        <v>0.12956702808857018</v>
      </c>
      <c r="X71" s="84">
        <f t="shared" si="60"/>
        <v>0.13042025152067815</v>
      </c>
      <c r="Y71" s="84">
        <f t="shared" si="60"/>
        <v>0.12155760774556418</v>
      </c>
    </row>
    <row r="72" spans="1:25" x14ac:dyDescent="0.25">
      <c r="A72" s="64" t="s">
        <v>154</v>
      </c>
      <c r="B72" s="65"/>
      <c r="C72" s="65"/>
      <c r="D72" s="83">
        <f t="shared" si="46"/>
        <v>3.9606814010284729E-2</v>
      </c>
      <c r="E72" s="83">
        <f t="shared" ref="E72:S72" si="61">E30/E$23</f>
        <v>2.848805671424029E-2</v>
      </c>
      <c r="F72" s="83">
        <f t="shared" si="61"/>
        <v>3.4715058898439982E-2</v>
      </c>
      <c r="G72" s="83">
        <f t="shared" si="61"/>
        <v>4.9707995399620619E-2</v>
      </c>
      <c r="H72" s="83">
        <f t="shared" si="61"/>
        <v>6.6770145996778718E-2</v>
      </c>
      <c r="I72" s="83">
        <f t="shared" si="61"/>
        <v>5.7488162681651495E-2</v>
      </c>
      <c r="J72" s="83">
        <f t="shared" si="61"/>
        <v>7.0055177176780045E-2</v>
      </c>
      <c r="K72" s="83">
        <f t="shared" si="61"/>
        <v>5.9105079881639218E-2</v>
      </c>
      <c r="L72" s="83">
        <f t="shared" si="61"/>
        <v>5.0218828115425745E-2</v>
      </c>
      <c r="M72" s="83">
        <f t="shared" si="61"/>
        <v>4.8315759524774328E-2</v>
      </c>
      <c r="N72" s="83">
        <f t="shared" si="61"/>
        <v>4.3111566740947162E-2</v>
      </c>
      <c r="O72" s="83">
        <f t="shared" si="61"/>
        <v>4.1180209620520977E-2</v>
      </c>
      <c r="P72" s="83">
        <f t="shared" si="61"/>
        <v>4.4517145823529843E-2</v>
      </c>
      <c r="Q72" s="83">
        <f t="shared" si="61"/>
        <v>3.7053411806945415E-2</v>
      </c>
      <c r="R72" s="83">
        <f t="shared" si="61"/>
        <v>3.8580367788482464E-2</v>
      </c>
      <c r="S72" s="83">
        <f t="shared" si="61"/>
        <v>3.353538097739682E-2</v>
      </c>
      <c r="T72" s="83">
        <f t="shared" ref="T72:Y72" si="62">T30/T$23</f>
        <v>2.9317668841835336E-2</v>
      </c>
      <c r="U72" s="83">
        <f t="shared" si="62"/>
        <v>2.9648611490089228E-2</v>
      </c>
      <c r="V72" s="83">
        <f t="shared" si="62"/>
        <v>2.5487690223094914E-2</v>
      </c>
      <c r="W72" s="83">
        <f t="shared" si="62"/>
        <v>3.5671560115509718E-2</v>
      </c>
      <c r="X72" s="83">
        <f t="shared" si="62"/>
        <v>3.6111933386171136E-2</v>
      </c>
      <c r="Y72" s="83">
        <f t="shared" si="62"/>
        <v>3.5495286445933291E-2</v>
      </c>
    </row>
    <row r="73" spans="1:25" x14ac:dyDescent="0.25">
      <c r="A73" s="64" t="s">
        <v>37</v>
      </c>
      <c r="B73" s="65"/>
      <c r="C73" s="65"/>
      <c r="D73" s="83">
        <f t="shared" si="46"/>
        <v>5.7091859694896559E-2</v>
      </c>
      <c r="E73" s="83">
        <f t="shared" ref="E73:S73" si="63">E31/E$23</f>
        <v>5.5811713211499983E-2</v>
      </c>
      <c r="F73" s="83">
        <f t="shared" si="63"/>
        <v>6.2880186777034913E-2</v>
      </c>
      <c r="G73" s="83">
        <f t="shared" si="63"/>
        <v>5.9536078624665797E-2</v>
      </c>
      <c r="H73" s="83">
        <f t="shared" si="63"/>
        <v>6.1607003688886587E-2</v>
      </c>
      <c r="I73" s="83">
        <f t="shared" si="63"/>
        <v>6.4508718985364491E-2</v>
      </c>
      <c r="J73" s="83">
        <f t="shared" si="63"/>
        <v>7.3020981041876362E-2</v>
      </c>
      <c r="K73" s="83">
        <f t="shared" si="63"/>
        <v>7.5343022322463774E-2</v>
      </c>
      <c r="L73" s="83">
        <f t="shared" si="63"/>
        <v>9.1231262790155004E-2</v>
      </c>
      <c r="M73" s="83">
        <f t="shared" si="63"/>
        <v>9.5533120091044699E-2</v>
      </c>
      <c r="N73" s="83">
        <f t="shared" si="63"/>
        <v>8.8090574077550138E-2</v>
      </c>
      <c r="O73" s="83">
        <f t="shared" si="63"/>
        <v>8.2747058832626813E-2</v>
      </c>
      <c r="P73" s="83">
        <f t="shared" si="63"/>
        <v>8.6121256937130727E-2</v>
      </c>
      <c r="Q73" s="83">
        <f t="shared" si="63"/>
        <v>7.3930272822898796E-2</v>
      </c>
      <c r="R73" s="83">
        <f t="shared" si="63"/>
        <v>7.6165693381954058E-2</v>
      </c>
      <c r="S73" s="83">
        <f t="shared" si="63"/>
        <v>7.8802739494377272E-2</v>
      </c>
      <c r="T73" s="83">
        <f t="shared" ref="T73:Y73" si="64">T31/T$23</f>
        <v>7.7439008570956508E-2</v>
      </c>
      <c r="U73" s="83">
        <f t="shared" si="64"/>
        <v>8.2186183051044082E-2</v>
      </c>
      <c r="V73" s="83">
        <f t="shared" si="64"/>
        <v>8.0741654278024738E-2</v>
      </c>
      <c r="W73" s="83">
        <f t="shared" si="64"/>
        <v>6.7491217139784287E-2</v>
      </c>
      <c r="X73" s="83">
        <f t="shared" si="64"/>
        <v>6.6138766078129935E-2</v>
      </c>
      <c r="Y73" s="83">
        <f t="shared" si="64"/>
        <v>6.1618234535362262E-2</v>
      </c>
    </row>
    <row r="74" spans="1:25" x14ac:dyDescent="0.25">
      <c r="A74" s="64" t="s">
        <v>58</v>
      </c>
      <c r="B74" s="65"/>
      <c r="C74" s="65"/>
      <c r="D74" s="83">
        <f t="shared" si="46"/>
        <v>0.20917332847918527</v>
      </c>
      <c r="E74" s="83">
        <f t="shared" ref="E74:S74" si="65">E32/E$23</f>
        <v>0.22168496661117454</v>
      </c>
      <c r="F74" s="83">
        <f t="shared" si="65"/>
        <v>0.20429587180303516</v>
      </c>
      <c r="G74" s="83">
        <f t="shared" si="65"/>
        <v>0.20773028035428898</v>
      </c>
      <c r="H74" s="83">
        <f t="shared" si="65"/>
        <v>0.20917870317452075</v>
      </c>
      <c r="I74" s="83">
        <f t="shared" si="65"/>
        <v>0.21408246066909201</v>
      </c>
      <c r="J74" s="83">
        <f t="shared" si="65"/>
        <v>0.2161412222246713</v>
      </c>
      <c r="K74" s="83">
        <f t="shared" si="65"/>
        <v>0.21298004792303776</v>
      </c>
      <c r="L74" s="83">
        <f t="shared" si="65"/>
        <v>0.20008461018041782</v>
      </c>
      <c r="M74" s="83">
        <f t="shared" si="65"/>
        <v>0.15757283143800602</v>
      </c>
      <c r="N74" s="83">
        <f t="shared" si="65"/>
        <v>0.18464238673026231</v>
      </c>
      <c r="O74" s="83">
        <f t="shared" si="65"/>
        <v>0.19154898646297461</v>
      </c>
      <c r="P74" s="83">
        <f t="shared" si="65"/>
        <v>0.18656269373548151</v>
      </c>
      <c r="Q74" s="83">
        <f t="shared" si="65"/>
        <v>0.1814408028165044</v>
      </c>
      <c r="R74" s="83">
        <f t="shared" si="65"/>
        <v>0.20193119413766397</v>
      </c>
      <c r="S74" s="83">
        <f t="shared" si="65"/>
        <v>0.20580444578742446</v>
      </c>
      <c r="T74" s="83">
        <f t="shared" ref="T74:Y74" si="66">T32/T$23</f>
        <v>0.19847424138773848</v>
      </c>
      <c r="U74" s="83">
        <f t="shared" si="66"/>
        <v>0.18812869174117711</v>
      </c>
      <c r="V74" s="83">
        <f t="shared" si="66"/>
        <v>0.19916837747912561</v>
      </c>
      <c r="W74" s="83">
        <f t="shared" si="66"/>
        <v>0.20821123400666613</v>
      </c>
      <c r="X74" s="83">
        <f t="shared" si="66"/>
        <v>0.19280267944959567</v>
      </c>
      <c r="Y74" s="83">
        <f t="shared" si="66"/>
        <v>0.21572809153035699</v>
      </c>
    </row>
    <row r="75" spans="1:25" x14ac:dyDescent="0.25">
      <c r="A75" s="85" t="s">
        <v>158</v>
      </c>
      <c r="B75" s="86"/>
      <c r="C75" s="86"/>
      <c r="D75" s="87">
        <f t="shared" si="46"/>
        <v>2.2243122026202284E-2</v>
      </c>
      <c r="E75" s="87">
        <f t="shared" ref="E75:S75" si="67">E33/E$23</f>
        <v>2.484053796225286E-2</v>
      </c>
      <c r="F75" s="87">
        <f t="shared" si="67"/>
        <v>2.09360076408787E-2</v>
      </c>
      <c r="G75" s="87">
        <f t="shared" si="67"/>
        <v>2.3763648041104687E-2</v>
      </c>
      <c r="H75" s="87">
        <f t="shared" si="67"/>
        <v>2.951109263781369E-2</v>
      </c>
      <c r="I75" s="87">
        <f t="shared" si="67"/>
        <v>2.928821034677815E-2</v>
      </c>
      <c r="J75" s="87">
        <f t="shared" si="67"/>
        <v>2.9158431724060237E-2</v>
      </c>
      <c r="K75" s="87">
        <f t="shared" si="67"/>
        <v>2.6403255119817504E-2</v>
      </c>
      <c r="L75" s="87">
        <f t="shared" si="67"/>
        <v>1.9166556147416455E-2</v>
      </c>
      <c r="M75" s="87">
        <f t="shared" si="67"/>
        <v>1.0004569477613872E-2</v>
      </c>
      <c r="N75" s="87">
        <f t="shared" si="67"/>
        <v>1.5529918355625505E-2</v>
      </c>
      <c r="O75" s="87">
        <f t="shared" si="67"/>
        <v>1.1812612802100844E-2</v>
      </c>
      <c r="P75" s="87">
        <f t="shared" si="67"/>
        <v>1.25633958515398E-2</v>
      </c>
      <c r="Q75" s="87">
        <f t="shared" si="67"/>
        <v>1.158262206113405E-2</v>
      </c>
      <c r="R75" s="87">
        <f t="shared" si="67"/>
        <v>1.0746745805882644E-2</v>
      </c>
      <c r="S75" s="87">
        <f t="shared" si="67"/>
        <v>1.1845638002514392E-2</v>
      </c>
      <c r="T75" s="87">
        <f t="shared" ref="T75:Y75" si="68">T33/T$23</f>
        <v>1.2704186619367329E-2</v>
      </c>
      <c r="U75" s="87">
        <f t="shared" si="68"/>
        <v>1.2412027644970665E-2</v>
      </c>
      <c r="V75" s="87">
        <f t="shared" si="68"/>
        <v>1.345549341570073E-2</v>
      </c>
      <c r="W75" s="87">
        <f t="shared" si="68"/>
        <v>9.3502223254028974E-3</v>
      </c>
      <c r="X75" s="87">
        <f t="shared" si="68"/>
        <v>8.8590853967132361E-3</v>
      </c>
      <c r="Y75" s="87">
        <f t="shared" si="68"/>
        <v>1.9007348092111586E-2</v>
      </c>
    </row>
    <row r="76" spans="1:25" x14ac:dyDescent="0.25">
      <c r="A76" s="88" t="s">
        <v>5</v>
      </c>
      <c r="B76" s="44"/>
      <c r="C76" s="44"/>
      <c r="D76" s="89">
        <f t="shared" si="46"/>
        <v>1.8264571004258358E-2</v>
      </c>
      <c r="E76" s="89">
        <f t="shared" ref="E76:S76" si="69">E34/E$23</f>
        <v>2.0397396051736096E-2</v>
      </c>
      <c r="F76" s="89">
        <f t="shared" si="69"/>
        <v>1.7191255690279197E-2</v>
      </c>
      <c r="G76" s="89">
        <f t="shared" si="69"/>
        <v>1.9513125740877255E-2</v>
      </c>
      <c r="H76" s="89">
        <f t="shared" si="69"/>
        <v>2.4232544615888283E-2</v>
      </c>
      <c r="I76" s="89">
        <f t="shared" si="69"/>
        <v>2.4049528516555875E-2</v>
      </c>
      <c r="J76" s="89">
        <f t="shared" si="69"/>
        <v>2.3942962951403916E-2</v>
      </c>
      <c r="K76" s="89">
        <f t="shared" si="69"/>
        <v>2.1680595345894959E-2</v>
      </c>
      <c r="L76" s="89">
        <f t="shared" si="69"/>
        <v>1.5738299922520453E-2</v>
      </c>
      <c r="M76" s="89">
        <f t="shared" si="69"/>
        <v>7.8509223492121277E-3</v>
      </c>
      <c r="N76" s="89">
        <f t="shared" si="69"/>
        <v>5.9725549790402037E-3</v>
      </c>
      <c r="O76" s="89">
        <f t="shared" si="69"/>
        <v>3.4922542742207782E-3</v>
      </c>
      <c r="P76" s="89">
        <f t="shared" si="69"/>
        <v>8.8481491394063246E-3</v>
      </c>
      <c r="Q76" s="89">
        <f t="shared" si="69"/>
        <v>8.4756695573052609E-3</v>
      </c>
      <c r="R76" s="89">
        <f t="shared" si="69"/>
        <v>8.412706257209095E-3</v>
      </c>
      <c r="S76" s="89">
        <f t="shared" si="69"/>
        <v>8.1129840140738655E-3</v>
      </c>
      <c r="T76" s="89">
        <f t="shared" ref="T76:Y76" si="70">T34/T$23</f>
        <v>8.4914735974162669E-3</v>
      </c>
      <c r="U76" s="89">
        <f t="shared" si="70"/>
        <v>9.0602071708905507E-3</v>
      </c>
      <c r="V76" s="89">
        <f t="shared" si="70"/>
        <v>1.1069962694990608E-2</v>
      </c>
      <c r="W76" s="89">
        <f t="shared" si="70"/>
        <v>6.2407037614030398E-3</v>
      </c>
      <c r="X76" s="89">
        <f t="shared" si="70"/>
        <v>6.0557567997290432E-3</v>
      </c>
      <c r="Y76" s="89">
        <f t="shared" si="70"/>
        <v>1.5822800283765256E-2</v>
      </c>
    </row>
    <row r="77" spans="1:25" x14ac:dyDescent="0.25">
      <c r="A77" s="88" t="s">
        <v>269</v>
      </c>
      <c r="B77" s="44"/>
      <c r="C77" s="44"/>
      <c r="D77" s="89">
        <f>D37/D$23</f>
        <v>3.9785510219439279E-3</v>
      </c>
      <c r="E77" s="89">
        <f t="shared" ref="E77:S77" si="71">E37/E$23</f>
        <v>4.4431419105167664E-3</v>
      </c>
      <c r="F77" s="89">
        <f t="shared" si="71"/>
        <v>3.7447519505995042E-3</v>
      </c>
      <c r="G77" s="89">
        <f t="shared" si="71"/>
        <v>4.2505223002274337E-3</v>
      </c>
      <c r="H77" s="89">
        <f t="shared" si="71"/>
        <v>5.278548021925406E-3</v>
      </c>
      <c r="I77" s="89">
        <f t="shared" si="71"/>
        <v>5.2386818302222757E-3</v>
      </c>
      <c r="J77" s="89">
        <f t="shared" si="71"/>
        <v>5.2154687726563217E-3</v>
      </c>
      <c r="K77" s="89">
        <f t="shared" si="71"/>
        <v>4.7226597739225456E-3</v>
      </c>
      <c r="L77" s="89">
        <f t="shared" si="71"/>
        <v>3.4282562248960017E-3</v>
      </c>
      <c r="M77" s="89">
        <f t="shared" si="71"/>
        <v>2.1536471284017453E-3</v>
      </c>
      <c r="N77" s="89">
        <f t="shared" si="71"/>
        <v>9.5573633765853021E-3</v>
      </c>
      <c r="O77" s="89">
        <f t="shared" si="71"/>
        <v>8.3203585278800677E-3</v>
      </c>
      <c r="P77" s="89">
        <f t="shared" si="71"/>
        <v>3.7152467121334748E-3</v>
      </c>
      <c r="Q77" s="89">
        <f t="shared" si="71"/>
        <v>3.1069525038287882E-3</v>
      </c>
      <c r="R77" s="89">
        <f t="shared" si="71"/>
        <v>2.3340395486735484E-3</v>
      </c>
      <c r="S77" s="89">
        <f t="shared" si="71"/>
        <v>3.7326539884405259E-3</v>
      </c>
      <c r="T77" s="89">
        <f t="shared" ref="T77:Y77" si="72">T37/T$23</f>
        <v>4.2127130219510615E-3</v>
      </c>
      <c r="U77" s="89">
        <f t="shared" si="72"/>
        <v>3.3518204740801134E-3</v>
      </c>
      <c r="V77" s="89">
        <f t="shared" si="72"/>
        <v>2.3855307207101212E-3</v>
      </c>
      <c r="W77" s="89">
        <f t="shared" si="72"/>
        <v>3.1095185639998593E-3</v>
      </c>
      <c r="X77" s="89">
        <f t="shared" si="72"/>
        <v>2.803328596984192E-3</v>
      </c>
      <c r="Y77" s="89">
        <f t="shared" si="72"/>
        <v>3.1845478083463289E-3</v>
      </c>
    </row>
    <row r="78" spans="1:25" x14ac:dyDescent="0.25">
      <c r="A78" s="68" t="s">
        <v>271</v>
      </c>
      <c r="B78" s="44"/>
      <c r="C78" s="44"/>
      <c r="D78" s="89">
        <f>D43/D$23</f>
        <v>1.6261395870940339E-2</v>
      </c>
      <c r="E78" s="89">
        <f t="shared" ref="E78:S78" si="73">E43/E$23</f>
        <v>1.600699575391407E-2</v>
      </c>
      <c r="F78" s="89">
        <f t="shared" si="73"/>
        <v>1.5527963493579537E-2</v>
      </c>
      <c r="G78" s="89">
        <f t="shared" si="73"/>
        <v>1.0638377320727099E-2</v>
      </c>
      <c r="H78" s="89">
        <f t="shared" si="73"/>
        <v>9.3066451914584104E-3</v>
      </c>
      <c r="I78" s="89">
        <f t="shared" si="73"/>
        <v>1.008433281743969E-2</v>
      </c>
      <c r="J78" s="89">
        <f t="shared" si="73"/>
        <v>1.0621545303817341E-2</v>
      </c>
      <c r="K78" s="89">
        <f t="shared" si="73"/>
        <v>9.3566857394278957E-3</v>
      </c>
      <c r="L78" s="89">
        <f t="shared" si="73"/>
        <v>8.931074599654509E-3</v>
      </c>
      <c r="M78" s="89">
        <f t="shared" si="73"/>
        <v>8.7889159992068071E-3</v>
      </c>
      <c r="N78" s="89">
        <f t="shared" si="73"/>
        <v>1.0065568983801076E-2</v>
      </c>
      <c r="O78" s="89">
        <f t="shared" si="73"/>
        <v>1.1255851790218638E-2</v>
      </c>
      <c r="P78" s="89">
        <f t="shared" si="73"/>
        <v>1.0180682845213285E-2</v>
      </c>
      <c r="Q78" s="89">
        <f t="shared" si="73"/>
        <v>6.9967523556178019E-3</v>
      </c>
      <c r="R78" s="89">
        <f t="shared" si="73"/>
        <v>8.4941211282560086E-3</v>
      </c>
      <c r="S78" s="89">
        <f t="shared" si="73"/>
        <v>9.611239633680645E-3</v>
      </c>
      <c r="T78" s="89">
        <f t="shared" ref="T78:Y78" si="74">T43/T$23</f>
        <v>9.323321822553755E-3</v>
      </c>
      <c r="U78" s="89">
        <f t="shared" si="74"/>
        <v>8.4456097197671068E-3</v>
      </c>
      <c r="V78" s="89">
        <f t="shared" si="74"/>
        <v>7.5052193752150166E-3</v>
      </c>
      <c r="W78" s="89">
        <f t="shared" si="74"/>
        <v>8.2143136339839218E-3</v>
      </c>
      <c r="X78" s="89">
        <f t="shared" si="74"/>
        <v>7.8695701994786274E-3</v>
      </c>
      <c r="Y78" s="89">
        <f t="shared" si="74"/>
        <v>8.4054841312954515E-3</v>
      </c>
    </row>
    <row r="79" spans="1:25" x14ac:dyDescent="0.25">
      <c r="A79" s="88" t="s">
        <v>272</v>
      </c>
      <c r="B79" s="44"/>
      <c r="C79" s="44"/>
      <c r="D79" s="89">
        <f>D44/D$23</f>
        <v>1.3353963462423332E-2</v>
      </c>
      <c r="E79" s="89">
        <f t="shared" ref="E79:S79" si="75">E44/E$23</f>
        <v>1.3070275527954959E-2</v>
      </c>
      <c r="F79" s="89">
        <f t="shared" si="75"/>
        <v>1.3112596837525203E-2</v>
      </c>
      <c r="G79" s="89">
        <f t="shared" si="75"/>
        <v>8.9169691266747318E-3</v>
      </c>
      <c r="H79" s="89">
        <f t="shared" si="75"/>
        <v>8.3616927313347536E-3</v>
      </c>
      <c r="I79" s="89">
        <f t="shared" si="75"/>
        <v>8.7405208132933995E-3</v>
      </c>
      <c r="J79" s="89">
        <f t="shared" si="75"/>
        <v>9.2108904513850624E-3</v>
      </c>
      <c r="K79" s="89">
        <f t="shared" si="75"/>
        <v>8.0069922447127094E-3</v>
      </c>
      <c r="L79" s="89">
        <f t="shared" si="75"/>
        <v>7.492365777868059E-3</v>
      </c>
      <c r="M79" s="89">
        <f t="shared" si="75"/>
        <v>6.6162587186495035E-3</v>
      </c>
      <c r="N79" s="89">
        <f t="shared" si="75"/>
        <v>7.8483843590619797E-3</v>
      </c>
      <c r="O79" s="89">
        <f t="shared" si="75"/>
        <v>9.0535526765512363E-3</v>
      </c>
      <c r="P79" s="89">
        <f t="shared" si="75"/>
        <v>8.0713469424339521E-3</v>
      </c>
      <c r="Q79" s="89">
        <f t="shared" si="75"/>
        <v>6.6866757563124324E-3</v>
      </c>
      <c r="R79" s="89">
        <f t="shared" si="75"/>
        <v>7.4164005001319958E-3</v>
      </c>
      <c r="S79" s="89">
        <f t="shared" si="75"/>
        <v>8.8336357348495452E-3</v>
      </c>
      <c r="T79" s="89">
        <f t="shared" ref="T79:Y79" si="76">T44/T$23</f>
        <v>8.2336893072640811E-3</v>
      </c>
      <c r="U79" s="89">
        <f t="shared" si="76"/>
        <v>7.5294713156406597E-3</v>
      </c>
      <c r="V79" s="89">
        <f t="shared" si="76"/>
        <v>6.6370829622950604E-3</v>
      </c>
      <c r="W79" s="89">
        <f t="shared" si="76"/>
        <v>7.3354353763896802E-3</v>
      </c>
      <c r="X79" s="89">
        <f t="shared" si="76"/>
        <v>6.9134765046837869E-3</v>
      </c>
      <c r="Y79" s="89">
        <f t="shared" si="76"/>
        <v>7.3592696170810164E-3</v>
      </c>
    </row>
    <row r="80" spans="1:25" x14ac:dyDescent="0.25">
      <c r="A80" s="88" t="s">
        <v>11</v>
      </c>
      <c r="B80" s="44"/>
      <c r="C80" s="44"/>
      <c r="D80" s="89">
        <f>D47/D$23</f>
        <v>2.9074324085170068E-3</v>
      </c>
      <c r="E80" s="89">
        <f t="shared" ref="E80:S80" si="77">E47/E$23</f>
        <v>2.9367202259591107E-3</v>
      </c>
      <c r="F80" s="89">
        <f t="shared" si="77"/>
        <v>2.4153666560543354E-3</v>
      </c>
      <c r="G80" s="89">
        <f t="shared" si="77"/>
        <v>1.7214081940523668E-3</v>
      </c>
      <c r="H80" s="89">
        <f t="shared" si="77"/>
        <v>9.4495246012365574E-4</v>
      </c>
      <c r="I80" s="89">
        <f t="shared" si="77"/>
        <v>1.3438120041462914E-3</v>
      </c>
      <c r="J80" s="89">
        <f t="shared" si="77"/>
        <v>1.4106548524322777E-3</v>
      </c>
      <c r="K80" s="89">
        <f t="shared" si="77"/>
        <v>1.3496934947151867E-3</v>
      </c>
      <c r="L80" s="89">
        <f t="shared" si="77"/>
        <v>1.43870882178645E-3</v>
      </c>
      <c r="M80" s="89">
        <f t="shared" si="77"/>
        <v>2.1726572805573041E-3</v>
      </c>
      <c r="N80" s="89">
        <f t="shared" si="77"/>
        <v>2.2171846247390956E-3</v>
      </c>
      <c r="O80" s="89">
        <f t="shared" si="77"/>
        <v>2.2022991136674006E-3</v>
      </c>
      <c r="P80" s="89">
        <f t="shared" si="77"/>
        <v>2.1093359027793334E-3</v>
      </c>
      <c r="Q80" s="89">
        <f t="shared" si="77"/>
        <v>3.1007659930536901E-4</v>
      </c>
      <c r="R80" s="89">
        <f t="shared" si="77"/>
        <v>1.0777206281240119E-3</v>
      </c>
      <c r="S80" s="89">
        <f t="shared" si="77"/>
        <v>7.7760389883109926E-4</v>
      </c>
      <c r="T80" s="89">
        <f t="shared" ref="T80:Y80" si="78">T47/T$23</f>
        <v>1.0896325152896741E-3</v>
      </c>
      <c r="U80" s="89">
        <f t="shared" si="78"/>
        <v>9.1613840412644568E-4</v>
      </c>
      <c r="V80" s="89">
        <f t="shared" si="78"/>
        <v>8.681364129199564E-4</v>
      </c>
      <c r="W80" s="89">
        <f t="shared" si="78"/>
        <v>8.7887825759424252E-4</v>
      </c>
      <c r="X80" s="89">
        <f t="shared" si="78"/>
        <v>9.5609369479483981E-4</v>
      </c>
      <c r="Y80" s="89">
        <f t="shared" si="78"/>
        <v>1.0462145142144336E-3</v>
      </c>
    </row>
    <row r="81" spans="1:25" x14ac:dyDescent="0.25">
      <c r="A81" s="68" t="s">
        <v>4</v>
      </c>
      <c r="B81" s="44"/>
      <c r="C81" s="44"/>
      <c r="D81" s="89">
        <f>D48/D$23</f>
        <v>1.4840546293908546E-2</v>
      </c>
      <c r="E81" s="89">
        <f t="shared" ref="E81:S81" si="79">E48/E$23</f>
        <v>1.4533959334842224E-2</v>
      </c>
      <c r="F81" s="89">
        <f t="shared" si="79"/>
        <v>1.4963387456224131E-2</v>
      </c>
      <c r="G81" s="89">
        <f t="shared" si="79"/>
        <v>1.3774999626592581E-2</v>
      </c>
      <c r="H81" s="89">
        <f t="shared" si="79"/>
        <v>1.2995531771185122E-2</v>
      </c>
      <c r="I81" s="89">
        <f t="shared" si="79"/>
        <v>1.2978697134062472E-2</v>
      </c>
      <c r="J81" s="89">
        <f t="shared" si="79"/>
        <v>1.2806101082236772E-2</v>
      </c>
      <c r="K81" s="89">
        <f t="shared" si="79"/>
        <v>1.338792886461246E-2</v>
      </c>
      <c r="L81" s="89">
        <f t="shared" si="79"/>
        <v>1.2488395478727425E-2</v>
      </c>
      <c r="M81" s="89">
        <f t="shared" si="79"/>
        <v>9.2993180270202688E-3</v>
      </c>
      <c r="N81" s="89">
        <f t="shared" si="79"/>
        <v>8.0617603034109642E-3</v>
      </c>
      <c r="O81" s="89">
        <f t="shared" si="79"/>
        <v>8.8308482717983534E-3</v>
      </c>
      <c r="P81" s="89">
        <f t="shared" si="79"/>
        <v>7.372218612051E-3</v>
      </c>
      <c r="Q81" s="89">
        <f t="shared" si="79"/>
        <v>6.9092187701679597E-3</v>
      </c>
      <c r="R81" s="89">
        <f t="shared" si="79"/>
        <v>7.4584649661018467E-3</v>
      </c>
      <c r="S81" s="89">
        <f t="shared" si="79"/>
        <v>7.2326865313737526E-3</v>
      </c>
      <c r="T81" s="89">
        <f t="shared" ref="T81:Y81" si="80">T48/T$23</f>
        <v>7.7202784980549095E-3</v>
      </c>
      <c r="U81" s="89">
        <f t="shared" si="80"/>
        <v>8.0488361087713341E-3</v>
      </c>
      <c r="V81" s="89">
        <f t="shared" si="80"/>
        <v>7.6368681016377865E-3</v>
      </c>
      <c r="W81" s="89">
        <f t="shared" si="80"/>
        <v>8.3671105278244288E-3</v>
      </c>
      <c r="X81" s="89">
        <f t="shared" si="80"/>
        <v>8.0748737144657797E-3</v>
      </c>
      <c r="Y81" s="89">
        <f t="shared" si="80"/>
        <v>8.6860395191884245E-3</v>
      </c>
    </row>
    <row r="82" spans="1:25" x14ac:dyDescent="0.25">
      <c r="A82" s="68" t="s">
        <v>3</v>
      </c>
      <c r="B82" s="44"/>
      <c r="C82" s="44"/>
      <c r="D82" s="89">
        <f>D52/D$23</f>
        <v>1.4901223144173255E-2</v>
      </c>
      <c r="E82" s="89">
        <f t="shared" ref="E82:S82" si="81">E52/E$23</f>
        <v>1.6282897813359273E-2</v>
      </c>
      <c r="F82" s="89">
        <f t="shared" si="81"/>
        <v>1.3367292794226892E-2</v>
      </c>
      <c r="G82" s="89">
        <f t="shared" si="81"/>
        <v>1.1138743259996116E-2</v>
      </c>
      <c r="H82" s="89">
        <f t="shared" si="81"/>
        <v>9.3780848963474842E-3</v>
      </c>
      <c r="I82" s="89">
        <f t="shared" si="81"/>
        <v>8.9558753011373567E-3</v>
      </c>
      <c r="J82" s="89">
        <f t="shared" si="81"/>
        <v>9.4215090578246077E-3</v>
      </c>
      <c r="K82" s="89">
        <f t="shared" si="81"/>
        <v>8.7521974635275564E-3</v>
      </c>
      <c r="L82" s="89">
        <f t="shared" si="81"/>
        <v>7.7861511265409052E-3</v>
      </c>
      <c r="M82" s="89">
        <f t="shared" si="81"/>
        <v>7.5956788260753364E-3</v>
      </c>
      <c r="N82" s="89">
        <f t="shared" si="81"/>
        <v>7.3478332715666136E-3</v>
      </c>
      <c r="O82" s="89">
        <f t="shared" si="81"/>
        <v>7.2595449715974559E-3</v>
      </c>
      <c r="P82" s="89">
        <f t="shared" si="81"/>
        <v>7.6769668586281837E-3</v>
      </c>
      <c r="Q82" s="89">
        <f t="shared" si="81"/>
        <v>7.0427445784812769E-3</v>
      </c>
      <c r="R82" s="89">
        <f t="shared" si="81"/>
        <v>6.9449883815043975E-3</v>
      </c>
      <c r="S82" s="89">
        <f t="shared" si="81"/>
        <v>7.1356593069206763E-3</v>
      </c>
      <c r="T82" s="89">
        <f t="shared" ref="T82:Y82" si="82">T52/T$23</f>
        <v>7.1781931489696936E-3</v>
      </c>
      <c r="U82" s="89">
        <f t="shared" si="82"/>
        <v>6.4063779051144274E-3</v>
      </c>
      <c r="V82" s="89">
        <f t="shared" si="82"/>
        <v>6.5687746608492827E-3</v>
      </c>
      <c r="W82" s="89">
        <f t="shared" si="82"/>
        <v>6.2255850699667612E-3</v>
      </c>
      <c r="X82" s="89">
        <f t="shared" si="82"/>
        <v>5.3629575164959014E-3</v>
      </c>
      <c r="Y82" s="89">
        <f t="shared" si="82"/>
        <v>5.5306297183045066E-3</v>
      </c>
    </row>
    <row r="83" spans="1:25" x14ac:dyDescent="0.25">
      <c r="A83" s="88" t="s">
        <v>21</v>
      </c>
      <c r="B83" s="44"/>
      <c r="C83" s="44"/>
      <c r="D83" s="89">
        <f>D53/D$23</f>
        <v>1.0765084517796014E-2</v>
      </c>
      <c r="E83" s="89">
        <f t="shared" ref="E83:S83" si="83">E53/E$23</f>
        <v>1.2120985391219769E-2</v>
      </c>
      <c r="F83" s="89">
        <f t="shared" si="83"/>
        <v>9.7081608829459841E-3</v>
      </c>
      <c r="G83" s="89">
        <f t="shared" si="83"/>
        <v>7.4793505698197192E-3</v>
      </c>
      <c r="H83" s="89">
        <f t="shared" si="83"/>
        <v>6.0886112121369563E-3</v>
      </c>
      <c r="I83" s="89">
        <f t="shared" si="83"/>
        <v>5.8317995308143546E-3</v>
      </c>
      <c r="J83" s="89">
        <f t="shared" si="83"/>
        <v>6.0442641941021889E-3</v>
      </c>
      <c r="K83" s="89">
        <f t="shared" si="83"/>
        <v>5.6088584288457848E-3</v>
      </c>
      <c r="L83" s="89">
        <f t="shared" si="83"/>
        <v>4.655238696398863E-3</v>
      </c>
      <c r="M83" s="89">
        <f t="shared" si="83"/>
        <v>4.9609007906058437E-3</v>
      </c>
      <c r="N83" s="89">
        <f t="shared" si="83"/>
        <v>4.4472038927473034E-3</v>
      </c>
      <c r="O83" s="89">
        <f t="shared" si="83"/>
        <v>4.597918023127234E-3</v>
      </c>
      <c r="P83" s="89">
        <f t="shared" si="83"/>
        <v>4.914812408034E-3</v>
      </c>
      <c r="Q83" s="89">
        <f t="shared" si="83"/>
        <v>4.4775654387732237E-3</v>
      </c>
      <c r="R83" s="89">
        <f t="shared" si="83"/>
        <v>4.3979124420888346E-3</v>
      </c>
      <c r="S83" s="89">
        <f t="shared" si="83"/>
        <v>4.7709672366785085E-3</v>
      </c>
      <c r="T83" s="89">
        <f t="shared" ref="T83:Y83" si="84">T53/T$23</f>
        <v>4.9429444929180704E-3</v>
      </c>
      <c r="U83" s="89">
        <f t="shared" si="84"/>
        <v>4.1641456383243762E-3</v>
      </c>
      <c r="V83" s="89">
        <f t="shared" si="84"/>
        <v>4.105949901449751E-3</v>
      </c>
      <c r="W83" s="89">
        <f t="shared" si="84"/>
        <v>4.1409142702823068E-3</v>
      </c>
      <c r="X83" s="89">
        <f t="shared" si="84"/>
        <v>3.4865788795202593E-3</v>
      </c>
      <c r="Y83" s="89">
        <f t="shared" si="84"/>
        <v>3.5969212678868033E-3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4.1361386263772419E-3</v>
      </c>
      <c r="E84" s="89">
        <f t="shared" ref="E84:S84" si="86">E56/E$23</f>
        <v>4.1619124221395033E-3</v>
      </c>
      <c r="F84" s="89">
        <f t="shared" si="86"/>
        <v>3.6591319112809079E-3</v>
      </c>
      <c r="G84" s="89">
        <f t="shared" si="86"/>
        <v>3.6593926901763974E-3</v>
      </c>
      <c r="H84" s="89">
        <f t="shared" si="86"/>
        <v>3.2894736842105279E-3</v>
      </c>
      <c r="I84" s="89">
        <f t="shared" si="86"/>
        <v>3.1240757703230012E-3</v>
      </c>
      <c r="J84" s="89">
        <f t="shared" si="86"/>
        <v>3.377244863722418E-3</v>
      </c>
      <c r="K84" s="89">
        <f t="shared" si="86"/>
        <v>3.143339034681772E-3</v>
      </c>
      <c r="L84" s="89">
        <f t="shared" si="86"/>
        <v>3.1309124301420422E-3</v>
      </c>
      <c r="M84" s="89">
        <f t="shared" si="86"/>
        <v>2.6347780354694927E-3</v>
      </c>
      <c r="N84" s="89">
        <f t="shared" si="86"/>
        <v>2.9006293788193097E-3</v>
      </c>
      <c r="O84" s="89">
        <f t="shared" si="86"/>
        <v>2.6616269484702219E-3</v>
      </c>
      <c r="P84" s="89">
        <f t="shared" si="86"/>
        <v>2.7621544505941845E-3</v>
      </c>
      <c r="Q84" s="89">
        <f t="shared" si="86"/>
        <v>2.5651791397080536E-3</v>
      </c>
      <c r="R84" s="89">
        <f t="shared" si="86"/>
        <v>2.5470759394155625E-3</v>
      </c>
      <c r="S84" s="89">
        <f t="shared" si="86"/>
        <v>2.3646920702421674E-3</v>
      </c>
      <c r="T84" s="89">
        <f t="shared" ref="T84:Y84" si="87">T56/T$23</f>
        <v>2.2352486560516228E-3</v>
      </c>
      <c r="U84" s="89">
        <f t="shared" si="87"/>
        <v>2.2422322667900508E-3</v>
      </c>
      <c r="V84" s="89">
        <f t="shared" si="87"/>
        <v>2.4628247593995317E-3</v>
      </c>
      <c r="W84" s="89">
        <f t="shared" si="87"/>
        <v>2.0846707996844539E-3</v>
      </c>
      <c r="X84" s="89">
        <f t="shared" si="87"/>
        <v>1.8763786369756419E-3</v>
      </c>
      <c r="Y84" s="89">
        <f t="shared" si="87"/>
        <v>1.9337084504177033E-3</v>
      </c>
    </row>
    <row r="85" spans="1:25" x14ac:dyDescent="0.25">
      <c r="A85" s="68" t="s">
        <v>2</v>
      </c>
      <c r="B85" s="44"/>
      <c r="C85" s="44"/>
      <c r="D85" s="89">
        <f t="shared" si="85"/>
        <v>2.8588909283052445E-2</v>
      </c>
      <c r="E85" s="89">
        <f t="shared" ref="E85:S85" si="88">E57/E$23</f>
        <v>3.4225884289482054E-2</v>
      </c>
      <c r="F85" s="89">
        <f t="shared" si="88"/>
        <v>2.4590894619547908E-2</v>
      </c>
      <c r="G85" s="89">
        <f t="shared" si="88"/>
        <v>2.1747247987334021E-2</v>
      </c>
      <c r="H85" s="89">
        <f t="shared" si="88"/>
        <v>2.130526835350964E-2</v>
      </c>
      <c r="I85" s="89">
        <f t="shared" si="88"/>
        <v>2.1076025876995252E-2</v>
      </c>
      <c r="J85" s="89">
        <f t="shared" si="88"/>
        <v>2.1020226733378888E-2</v>
      </c>
      <c r="K85" s="89">
        <f t="shared" si="88"/>
        <v>1.8475540026042545E-2</v>
      </c>
      <c r="L85" s="89">
        <f t="shared" si="88"/>
        <v>1.7346765759065796E-2</v>
      </c>
      <c r="M85" s="89">
        <f t="shared" si="88"/>
        <v>1.5737970634640087E-2</v>
      </c>
      <c r="N85" s="89">
        <f t="shared" si="88"/>
        <v>1.4604219709840802E-2</v>
      </c>
      <c r="O85" s="89">
        <f t="shared" si="88"/>
        <v>1.5593948007800841E-2</v>
      </c>
      <c r="P85" s="89">
        <f t="shared" si="88"/>
        <v>1.5280734383519692E-2</v>
      </c>
      <c r="Q85" s="89">
        <f t="shared" si="88"/>
        <v>1.3581058325556689E-2</v>
      </c>
      <c r="R85" s="89">
        <f t="shared" si="88"/>
        <v>1.3269163265246919E-2</v>
      </c>
      <c r="S85" s="89">
        <f t="shared" si="88"/>
        <v>1.3639255551689869E-2</v>
      </c>
      <c r="T85" s="89">
        <f t="shared" ref="T85:Y85" si="89">T57/T$23</f>
        <v>1.1671903183829744E-2</v>
      </c>
      <c r="U85" s="89">
        <f t="shared" si="89"/>
        <v>1.2135208846601523E-2</v>
      </c>
      <c r="V85" s="89">
        <f t="shared" si="89"/>
        <v>1.3912538050828829E-2</v>
      </c>
      <c r="W85" s="89">
        <f t="shared" si="89"/>
        <v>1.472890988299785E-2</v>
      </c>
      <c r="X85" s="89">
        <f t="shared" si="89"/>
        <v>1.5213945360618012E-2</v>
      </c>
      <c r="Y85" s="89">
        <f t="shared" si="89"/>
        <v>1.5798286264857696E-2</v>
      </c>
    </row>
    <row r="86" spans="1:25" x14ac:dyDescent="0.25">
      <c r="A86" s="68" t="s">
        <v>275</v>
      </c>
      <c r="B86" s="44"/>
      <c r="C86" s="44"/>
      <c r="D86" s="89">
        <f t="shared" si="85"/>
        <v>1.7146266603967251E-2</v>
      </c>
      <c r="E86" s="89">
        <f t="shared" ref="E86:S86" si="90">E58/E$23</f>
        <v>1.8747311123996933E-2</v>
      </c>
      <c r="F86" s="89">
        <f t="shared" si="90"/>
        <v>1.9450281226785524E-2</v>
      </c>
      <c r="G86" s="89">
        <f t="shared" si="90"/>
        <v>2.6844259234365432E-2</v>
      </c>
      <c r="H86" s="89">
        <f t="shared" si="90"/>
        <v>2.6897048890736221E-2</v>
      </c>
      <c r="I86" s="89">
        <f t="shared" si="90"/>
        <v>2.4688238486431226E-2</v>
      </c>
      <c r="J86" s="89">
        <f t="shared" si="90"/>
        <v>2.4588497775034839E-2</v>
      </c>
      <c r="K86" s="89">
        <f t="shared" si="90"/>
        <v>3.1173757677496586E-2</v>
      </c>
      <c r="L86" s="89">
        <f t="shared" si="90"/>
        <v>3.0855855477753734E-2</v>
      </c>
      <c r="M86" s="89">
        <f t="shared" si="90"/>
        <v>2.0992007725003668E-2</v>
      </c>
      <c r="N86" s="89">
        <f t="shared" si="90"/>
        <v>3.1698360213889332E-2</v>
      </c>
      <c r="O86" s="89">
        <f t="shared" si="90"/>
        <v>3.1900859422484169E-2</v>
      </c>
      <c r="P86" s="89">
        <f t="shared" si="90"/>
        <v>3.1974664067343388E-2</v>
      </c>
      <c r="Q86" s="89">
        <f t="shared" si="90"/>
        <v>3.4011990617586536E-2</v>
      </c>
      <c r="R86" s="89">
        <f t="shared" si="90"/>
        <v>4.1198518170398803E-2</v>
      </c>
      <c r="S86" s="89">
        <f t="shared" si="90"/>
        <v>4.2833361286414663E-2</v>
      </c>
      <c r="T86" s="89">
        <f t="shared" ref="T86:Y86" si="91">T58/T$23</f>
        <v>4.1137041087884726E-2</v>
      </c>
      <c r="U86" s="89">
        <f t="shared" si="91"/>
        <v>3.7017264265724964E-2</v>
      </c>
      <c r="V86" s="89">
        <f t="shared" si="91"/>
        <v>4.3549647094475348E-2</v>
      </c>
      <c r="W86" s="89">
        <f t="shared" si="91"/>
        <v>5.2553840176817981E-2</v>
      </c>
      <c r="X86" s="89">
        <f t="shared" si="91"/>
        <v>5.0033182777422351E-2</v>
      </c>
      <c r="Y86" s="89">
        <f t="shared" si="91"/>
        <v>5.4359562467724949E-2</v>
      </c>
    </row>
    <row r="87" spans="1:25" x14ac:dyDescent="0.25">
      <c r="A87" s="68" t="s">
        <v>276</v>
      </c>
      <c r="B87" s="44"/>
      <c r="C87" s="44"/>
      <c r="D87" s="89">
        <f t="shared" si="85"/>
        <v>5.0912933776274337E-2</v>
      </c>
      <c r="E87" s="89">
        <f t="shared" ref="E87:S87" si="92">E59/E$23</f>
        <v>5.4666018218888536E-2</v>
      </c>
      <c r="F87" s="89">
        <f t="shared" si="92"/>
        <v>5.1045314655629836E-2</v>
      </c>
      <c r="G87" s="89">
        <f t="shared" si="92"/>
        <v>5.5051455542112888E-2</v>
      </c>
      <c r="H87" s="89">
        <f t="shared" si="92"/>
        <v>5.6427625084428737E-2</v>
      </c>
      <c r="I87" s="89">
        <f t="shared" si="92"/>
        <v>6.142484271943903E-2</v>
      </c>
      <c r="J87" s="89">
        <f t="shared" si="92"/>
        <v>6.485338740843602E-2</v>
      </c>
      <c r="K87" s="89">
        <f t="shared" si="92"/>
        <v>6.4834835965665069E-2</v>
      </c>
      <c r="L87" s="89">
        <f t="shared" si="92"/>
        <v>6.854096123208539E-2</v>
      </c>
      <c r="M87" s="89">
        <f t="shared" si="92"/>
        <v>5.0869493995016682E-2</v>
      </c>
      <c r="N87" s="89">
        <f t="shared" si="92"/>
        <v>6.0561868595713546E-2</v>
      </c>
      <c r="O87" s="89">
        <f t="shared" si="92"/>
        <v>6.8394997192996576E-2</v>
      </c>
      <c r="P87" s="89">
        <f t="shared" si="92"/>
        <v>6.4385536409199209E-2</v>
      </c>
      <c r="Q87" s="89">
        <f t="shared" si="92"/>
        <v>6.230165853890126E-2</v>
      </c>
      <c r="R87" s="89">
        <f t="shared" si="92"/>
        <v>7.1625632054863664E-2</v>
      </c>
      <c r="S87" s="89">
        <f t="shared" si="92"/>
        <v>7.1830640365820361E-2</v>
      </c>
      <c r="T87" s="89">
        <f t="shared" ref="T87:Y87" si="93">T59/T$23</f>
        <v>6.7850788618119301E-2</v>
      </c>
      <c r="U87" s="89">
        <f t="shared" si="93"/>
        <v>6.4403870717712058E-2</v>
      </c>
      <c r="V87" s="89">
        <f t="shared" si="93"/>
        <v>6.8045003992930717E-2</v>
      </c>
      <c r="W87" s="89">
        <f t="shared" si="93"/>
        <v>6.9733422721490343E-2</v>
      </c>
      <c r="X87" s="89">
        <f t="shared" si="93"/>
        <v>6.1160155839691387E-2</v>
      </c>
      <c r="Y87" s="89">
        <f t="shared" si="93"/>
        <v>6.7530017191003433E-2</v>
      </c>
    </row>
    <row r="88" spans="1:25" x14ac:dyDescent="0.25">
      <c r="A88" s="68" t="s">
        <v>1</v>
      </c>
      <c r="B88" s="44"/>
      <c r="C88" s="44"/>
      <c r="D88" s="89">
        <f t="shared" si="85"/>
        <v>2.019022192557984E-2</v>
      </c>
      <c r="E88" s="89">
        <f t="shared" ref="E88:S88" si="94">E60/E$23</f>
        <v>1.696096219674155E-2</v>
      </c>
      <c r="F88" s="89">
        <f t="shared" si="94"/>
        <v>1.5931232091690544E-2</v>
      </c>
      <c r="G88" s="89">
        <f t="shared" si="94"/>
        <v>1.4940030768771193E-2</v>
      </c>
      <c r="H88" s="89">
        <f t="shared" si="94"/>
        <v>1.3359224814256769E-2</v>
      </c>
      <c r="I88" s="89">
        <f t="shared" si="94"/>
        <v>1.4098540470851049E-2</v>
      </c>
      <c r="J88" s="89">
        <f t="shared" si="94"/>
        <v>1.229179983395417E-2</v>
      </c>
      <c r="K88" s="89">
        <f t="shared" si="94"/>
        <v>1.1754819555294822E-2</v>
      </c>
      <c r="L88" s="89">
        <f t="shared" si="94"/>
        <v>8.2243109894186914E-3</v>
      </c>
      <c r="M88" s="89">
        <f t="shared" si="94"/>
        <v>7.4422133514962883E-3</v>
      </c>
      <c r="N88" s="89">
        <f t="shared" si="94"/>
        <v>1.0928698743648857E-2</v>
      </c>
      <c r="O88" s="89">
        <f t="shared" si="94"/>
        <v>9.4618440852648564E-3</v>
      </c>
      <c r="P88" s="89">
        <f t="shared" si="94"/>
        <v>9.1304964856850496E-3</v>
      </c>
      <c r="Q88" s="89">
        <f t="shared" si="94"/>
        <v>8.7548421650764721E-3</v>
      </c>
      <c r="R88" s="89">
        <f t="shared" si="94"/>
        <v>9.8982039923529701E-3</v>
      </c>
      <c r="S88" s="89">
        <f t="shared" si="94"/>
        <v>9.4809459322722257E-3</v>
      </c>
      <c r="T88" s="89">
        <f t="shared" ref="T88:Y88" si="95">T60/T$23</f>
        <v>8.6078237799324647E-3</v>
      </c>
      <c r="U88" s="89">
        <f t="shared" si="95"/>
        <v>7.620426063676234E-3</v>
      </c>
      <c r="V88" s="89">
        <f t="shared" si="95"/>
        <v>8.8502719291382106E-3</v>
      </c>
      <c r="W88" s="89">
        <f t="shared" si="95"/>
        <v>8.2534012114780075E-3</v>
      </c>
      <c r="X88" s="89">
        <f t="shared" si="95"/>
        <v>7.3718285381434842E-3</v>
      </c>
      <c r="Y88" s="89">
        <f t="shared" si="95"/>
        <v>6.9468196643618649E-3</v>
      </c>
    </row>
    <row r="89" spans="1:25" x14ac:dyDescent="0.25">
      <c r="A89" s="68" t="s">
        <v>0</v>
      </c>
      <c r="B89" s="44"/>
      <c r="C89" s="44"/>
      <c r="D89" s="89">
        <f t="shared" si="85"/>
        <v>7.4430269658035363E-3</v>
      </c>
      <c r="E89" s="89">
        <f t="shared" ref="E89:S89" si="96">E61/E$23</f>
        <v>7.6036737060661041E-3</v>
      </c>
      <c r="F89" s="89">
        <f t="shared" si="96"/>
        <v>7.5644699140401143E-3</v>
      </c>
      <c r="G89" s="89">
        <f t="shared" si="96"/>
        <v>7.8938328030948007E-3</v>
      </c>
      <c r="H89" s="89">
        <f t="shared" si="96"/>
        <v>8.9072322959422249E-3</v>
      </c>
      <c r="I89" s="89">
        <f t="shared" si="96"/>
        <v>9.2143006865501031E-3</v>
      </c>
      <c r="J89" s="89">
        <f t="shared" si="96"/>
        <v>1.0337455090480284E-2</v>
      </c>
      <c r="K89" s="89">
        <f t="shared" si="96"/>
        <v>1.0082071670508305E-2</v>
      </c>
      <c r="L89" s="89">
        <f t="shared" si="96"/>
        <v>1.0193512212237252E-2</v>
      </c>
      <c r="M89" s="89">
        <f t="shared" si="96"/>
        <v>8.7682240251062606E-3</v>
      </c>
      <c r="N89" s="89">
        <f t="shared" si="96"/>
        <v>8.220589013866228E-3</v>
      </c>
      <c r="O89" s="89">
        <f t="shared" si="96"/>
        <v>7.6987675476378643E-3</v>
      </c>
      <c r="P89" s="89">
        <f t="shared" si="96"/>
        <v>6.6387314107304238E-3</v>
      </c>
      <c r="Q89" s="89">
        <f t="shared" si="96"/>
        <v>6.7949800230554559E-3</v>
      </c>
      <c r="R89" s="89">
        <f t="shared" si="96"/>
        <v>8.3664772315199202E-3</v>
      </c>
      <c r="S89" s="89">
        <f t="shared" si="96"/>
        <v>8.1586034732974155E-3</v>
      </c>
      <c r="T89" s="89">
        <f t="shared" ref="T89:Y89" si="97">T61/T$23</f>
        <v>7.2218876859236674E-3</v>
      </c>
      <c r="U89" s="89">
        <f t="shared" si="97"/>
        <v>7.5518804564610178E-3</v>
      </c>
      <c r="V89" s="89">
        <f t="shared" si="97"/>
        <v>6.6581964372873911E-3</v>
      </c>
      <c r="W89" s="89">
        <f t="shared" si="97"/>
        <v>6.8047919001063663E-3</v>
      </c>
      <c r="X89" s="89">
        <f t="shared" si="97"/>
        <v>7.0018047611317491E-3</v>
      </c>
      <c r="Y89" s="89">
        <f t="shared" si="97"/>
        <v>6.738918062178227E-3</v>
      </c>
    </row>
    <row r="90" spans="1:25" x14ac:dyDescent="0.25">
      <c r="A90" s="90" t="s">
        <v>278</v>
      </c>
      <c r="B90" s="47"/>
      <c r="C90" s="47"/>
      <c r="D90" s="91">
        <f t="shared" si="85"/>
        <v>1.6645682589283454E-2</v>
      </c>
      <c r="E90" s="91">
        <f t="shared" ref="E90:S90" si="98">E62/E$23</f>
        <v>1.7816726211630909E-2</v>
      </c>
      <c r="F90" s="91">
        <f t="shared" si="98"/>
        <v>2.0919027910431921E-2</v>
      </c>
      <c r="G90" s="91">
        <f t="shared" si="98"/>
        <v>2.1937685770190139E-2</v>
      </c>
      <c r="H90" s="91">
        <f t="shared" si="98"/>
        <v>2.1090949238842419E-2</v>
      </c>
      <c r="I90" s="91">
        <f t="shared" si="98"/>
        <v>2.2273396829407658E-2</v>
      </c>
      <c r="J90" s="91">
        <f t="shared" si="98"/>
        <v>2.1042268215448141E-2</v>
      </c>
      <c r="K90" s="91">
        <f t="shared" si="98"/>
        <v>1.8758955840644999E-2</v>
      </c>
      <c r="L90" s="91">
        <f t="shared" si="98"/>
        <v>1.655102715751763E-2</v>
      </c>
      <c r="M90" s="91">
        <f t="shared" si="98"/>
        <v>1.8074439376826713E-2</v>
      </c>
      <c r="N90" s="91">
        <f t="shared" si="98"/>
        <v>1.7623569538899403E-2</v>
      </c>
      <c r="O90" s="91">
        <f t="shared" si="98"/>
        <v>1.933971237107503E-2</v>
      </c>
      <c r="P90" s="91">
        <f t="shared" si="98"/>
        <v>2.1359266811571468E-2</v>
      </c>
      <c r="Q90" s="91">
        <f t="shared" si="98"/>
        <v>2.3464935380926876E-2</v>
      </c>
      <c r="R90" s="91">
        <f t="shared" si="98"/>
        <v>2.3928879141536775E-2</v>
      </c>
      <c r="S90" s="91">
        <f t="shared" si="98"/>
        <v>2.4036415703440447E-2</v>
      </c>
      <c r="T90" s="91">
        <f t="shared" ref="T90:Y90" si="99">T62/T$23</f>
        <v>2.5058816943102885E-2</v>
      </c>
      <c r="U90" s="91">
        <f t="shared" si="99"/>
        <v>2.408719001237776E-2</v>
      </c>
      <c r="V90" s="91">
        <f t="shared" si="99"/>
        <v>2.2986364421062309E-2</v>
      </c>
      <c r="W90" s="91">
        <f t="shared" si="99"/>
        <v>2.3979636556597628E-2</v>
      </c>
      <c r="X90" s="91">
        <f t="shared" si="99"/>
        <v>2.1855275345435105E-2</v>
      </c>
      <c r="Y90" s="91">
        <f t="shared" si="99"/>
        <v>2.2724986419330823E-2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3.2539045797489452E-2</v>
      </c>
      <c r="F93" s="92">
        <f t="shared" ref="F93:F94" si="101">IF(E16=0,"",F16/E16-1)</f>
        <v>4.5099075162658542E-2</v>
      </c>
      <c r="G93" s="92">
        <f t="shared" ref="G93:G94" si="102">IF(F16=0,"",G16/F16-1)</f>
        <v>5.4988183181300165E-2</v>
      </c>
      <c r="H93" s="92">
        <f t="shared" ref="H93:H94" si="103">IF(G16=0,"",H16/G16-1)</f>
        <v>5.2787319233654317E-2</v>
      </c>
      <c r="I93" s="92">
        <f t="shared" ref="I93:I94" si="104">IF(H16=0,"",I16/H16-1)</f>
        <v>6.6243340174202414E-2</v>
      </c>
      <c r="J93" s="92">
        <f t="shared" ref="J93:J94" si="105">IF(I16=0,"",J16/I16-1)</f>
        <v>8.4931733772596774E-2</v>
      </c>
      <c r="K93" s="92">
        <f t="shared" ref="K93:K94" si="106">IF(J16=0,"",K16/J16-1)</f>
        <v>0.10830894313498218</v>
      </c>
      <c r="L93" s="92">
        <f t="shared" ref="L93:L94" si="107">IF(K16=0,"",L16/K16-1)</f>
        <v>5.5747442744267461E-2</v>
      </c>
      <c r="M93" s="92">
        <f t="shared" ref="M93:M94" si="108">IF(L16=0,"",M16/L16-1)</f>
        <v>-5.4550757003071548E-2</v>
      </c>
      <c r="N93" s="92">
        <f t="shared" ref="N93:N94" si="109">IF(M16=0,"",N16/M16-1)</f>
        <v>6.716748191009736E-2</v>
      </c>
      <c r="O93" s="92">
        <f t="shared" ref="O93:O94" si="110">IF(N16=0,"",O16/N16-1)</f>
        <v>2.6715051903674736E-2</v>
      </c>
      <c r="P93" s="92">
        <f t="shared" ref="P93:P94" si="111">IF(O16=0,"",P16/O16-1)</f>
        <v>1.3183720929136333E-2</v>
      </c>
      <c r="Q93" s="92">
        <f t="shared" ref="Q93:Q94" si="112">IF(P16=0,"",Q16/P16-1)</f>
        <v>6.3257037228268143E-3</v>
      </c>
      <c r="R93" s="92">
        <f t="shared" ref="R93:R94" si="113">IF(Q16=0,"",R16/Q16-1)</f>
        <v>2.6975855234790957E-2</v>
      </c>
      <c r="S93" s="92">
        <f t="shared" ref="S93:S94" si="114">IF(R16=0,"",S16/R16-1)</f>
        <v>5.1671786469690728E-2</v>
      </c>
      <c r="T93" s="92">
        <f t="shared" ref="T93:T94" si="115">IF(S16=0,"",T16/S16-1)</f>
        <v>1.9437125350345807E-2</v>
      </c>
      <c r="U93" s="92">
        <f t="shared" ref="U93:U94" si="116">IF(T16=0,"",U16/T16-1)</f>
        <v>2.9386827655689673E-2</v>
      </c>
      <c r="V93" s="92">
        <f t="shared" ref="V93:V94" si="117">IF(U16=0,"",V16/U16-1)</f>
        <v>4.0303394521787661E-2</v>
      </c>
      <c r="W93" s="92">
        <f t="shared" ref="W93:W94" si="118">IF(V16=0,"",W16/V16-1)</f>
        <v>2.5110284926170623E-2</v>
      </c>
      <c r="X93" s="92">
        <f t="shared" ref="X93:X94" si="119">IF(W16=0,"",X16/W16-1)</f>
        <v>-3.3357619634939883E-2</v>
      </c>
      <c r="Y93" s="92">
        <f t="shared" ref="Y93:Y94" si="120">IF(X16=0,"",Y16/X16-1)</f>
        <v>4.789459422833775E-2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5.2977524313696955E-2</v>
      </c>
      <c r="F94" s="93">
        <f t="shared" si="101"/>
        <v>5.6603777215876061E-2</v>
      </c>
      <c r="G94" s="93">
        <f t="shared" si="102"/>
        <v>8.9303471832666848E-3</v>
      </c>
      <c r="H94" s="93">
        <f t="shared" si="103"/>
        <v>7.2684134956483959E-2</v>
      </c>
      <c r="I94" s="93">
        <f t="shared" si="104"/>
        <v>4.5148742137560927E-2</v>
      </c>
      <c r="J94" s="93">
        <f t="shared" si="105"/>
        <v>6.3171952716289725E-2</v>
      </c>
      <c r="K94" s="93">
        <f t="shared" si="106"/>
        <v>7.8672041715014851E-2</v>
      </c>
      <c r="L94" s="93">
        <f t="shared" si="107"/>
        <v>7.0164458114794659E-2</v>
      </c>
      <c r="M94" s="93">
        <f t="shared" si="108"/>
        <v>-1.7349313176626691E-3</v>
      </c>
      <c r="N94" s="93">
        <f t="shared" si="109"/>
        <v>8.318830558618151E-3</v>
      </c>
      <c r="O94" s="93">
        <f t="shared" si="110"/>
        <v>-1.918148793344765E-2</v>
      </c>
      <c r="P94" s="93">
        <f t="shared" si="111"/>
        <v>3.9839933774477032E-3</v>
      </c>
      <c r="Q94" s="93">
        <f t="shared" si="112"/>
        <v>-1.1807102114004375E-2</v>
      </c>
      <c r="R94" s="93">
        <f t="shared" si="113"/>
        <v>1.8799307264667942E-2</v>
      </c>
      <c r="S94" s="93">
        <f t="shared" si="114"/>
        <v>2.7661264284353893E-2</v>
      </c>
      <c r="T94" s="93">
        <f t="shared" si="115"/>
        <v>3.9023765397208532E-2</v>
      </c>
      <c r="U94" s="93">
        <f t="shared" si="116"/>
        <v>4.6217983820451503E-2</v>
      </c>
      <c r="V94" s="93">
        <f t="shared" si="117"/>
        <v>4.0775234875162436E-2</v>
      </c>
      <c r="W94" s="93">
        <f t="shared" si="118"/>
        <v>2.7016505402901458E-2</v>
      </c>
      <c r="X94" s="93">
        <f t="shared" si="119"/>
        <v>-1.1207865580343146E-2</v>
      </c>
      <c r="Y94" s="93">
        <f t="shared" si="120"/>
        <v>2.6048541673794334E-2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3.6354161781194216E-2</v>
      </c>
      <c r="F95" s="92">
        <f t="shared" ref="F95:F96" si="122">IF(E20=0,"",F20/E20-1)</f>
        <v>4.5066433734129552E-2</v>
      </c>
      <c r="G95" s="92">
        <f t="shared" ref="G95:G96" si="123">IF(F20=0,"",G20/F20-1)</f>
        <v>5.5788619175046072E-2</v>
      </c>
      <c r="H95" s="92">
        <f t="shared" ref="H95:H96" si="124">IF(G20=0,"",H20/G20-1)</f>
        <v>5.3374871323578654E-2</v>
      </c>
      <c r="I95" s="92">
        <f t="shared" ref="I95:I96" si="125">IF(H20=0,"",I20/H20-1)</f>
        <v>6.6082590547983822E-2</v>
      </c>
      <c r="J95" s="92">
        <f t="shared" ref="J95:J96" si="126">IF(I20=0,"",J20/I20-1)</f>
        <v>8.4882665850728456E-2</v>
      </c>
      <c r="K95" s="92">
        <f t="shared" ref="K95:K96" si="127">IF(J20=0,"",K20/J20-1)</f>
        <v>0.10825696388737271</v>
      </c>
      <c r="L95" s="92">
        <f t="shared" ref="L95:L96" si="128">IF(K20=0,"",L20/K20-1)</f>
        <v>5.5181084973066508E-2</v>
      </c>
      <c r="M95" s="92">
        <f t="shared" ref="M95:M96" si="129">IF(L20=0,"",M20/L20-1)</f>
        <v>-5.5663886971067611E-2</v>
      </c>
      <c r="N95" s="92">
        <f t="shared" ref="N95:N96" si="130">IF(M20=0,"",N20/M20-1)</f>
        <v>6.5581898556953622E-2</v>
      </c>
      <c r="O95" s="92">
        <f t="shared" ref="O95:O96" si="131">IF(N20=0,"",O20/N20-1)</f>
        <v>2.6327400020711877E-2</v>
      </c>
      <c r="P95" s="92">
        <f t="shared" ref="P95:P96" si="132">IF(O20=0,"",P20/O20-1)</f>
        <v>1.0957249251513534E-2</v>
      </c>
      <c r="Q95" s="92">
        <f t="shared" ref="Q95:Q96" si="133">IF(P20=0,"",Q20/P20-1)</f>
        <v>5.1142078219992282E-3</v>
      </c>
      <c r="R95" s="92">
        <f t="shared" ref="R95:R96" si="134">IF(Q20=0,"",R20/Q20-1)</f>
        <v>2.6006324770634803E-2</v>
      </c>
      <c r="S95" s="92">
        <f t="shared" ref="S95:S96" si="135">IF(R20=0,"",S20/R20-1)</f>
        <v>5.0624256113881438E-2</v>
      </c>
      <c r="T95" s="92">
        <f t="shared" ref="T95:T96" si="136">IF(S20=0,"",T20/S20-1)</f>
        <v>1.8515992268875792E-2</v>
      </c>
      <c r="U95" s="92">
        <f t="shared" ref="U95:U96" si="137">IF(T20=0,"",U20/T20-1)</f>
        <v>2.7665104546363173E-2</v>
      </c>
      <c r="V95" s="92">
        <f t="shared" ref="V95:V96" si="138">IF(U20=0,"",V20/U20-1)</f>
        <v>3.8817033850114591E-2</v>
      </c>
      <c r="W95" s="92">
        <f t="shared" ref="W95:W96" si="139">IF(V20=0,"",W20/V20-1)</f>
        <v>2.3737119405517149E-2</v>
      </c>
      <c r="X95" s="92">
        <f t="shared" ref="X95:X96" si="140">IF(W20=0,"",X20/W20-1)</f>
        <v>-3.467744129778938E-2</v>
      </c>
      <c r="Y95" s="92">
        <f t="shared" ref="Y95:Y96" si="141">IF(X20=0,"",Y20/X20-1)</f>
        <v>4.7528392198295411E-2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5.6868158183516648E-2</v>
      </c>
      <c r="F96" s="93">
        <f t="shared" si="122"/>
        <v>5.6570776462648631E-2</v>
      </c>
      <c r="G96" s="93">
        <f t="shared" si="123"/>
        <v>9.6958383782799196E-3</v>
      </c>
      <c r="H96" s="93">
        <f t="shared" si="124"/>
        <v>7.3282791298375782E-2</v>
      </c>
      <c r="I96" s="93">
        <f t="shared" si="125"/>
        <v>4.4991172787946843E-2</v>
      </c>
      <c r="J96" s="93">
        <f t="shared" si="126"/>
        <v>6.3123868918310455E-2</v>
      </c>
      <c r="K96" s="93">
        <f t="shared" si="127"/>
        <v>7.8621452426266947E-2</v>
      </c>
      <c r="L96" s="93">
        <f t="shared" si="128"/>
        <v>6.9590366307628271E-2</v>
      </c>
      <c r="M96" s="93">
        <f t="shared" si="129"/>
        <v>-2.9102442942022799E-3</v>
      </c>
      <c r="N96" s="93">
        <f t="shared" si="130"/>
        <v>6.8206837545821131E-3</v>
      </c>
      <c r="O96" s="93">
        <f t="shared" si="131"/>
        <v>-1.9551810879763321E-2</v>
      </c>
      <c r="P96" s="93">
        <f t="shared" si="132"/>
        <v>1.7777381052137553E-3</v>
      </c>
      <c r="Q96" s="93">
        <f t="shared" si="133"/>
        <v>-1.2996768283304205E-2</v>
      </c>
      <c r="R96" s="93">
        <f t="shared" si="134"/>
        <v>1.7837495981355866E-2</v>
      </c>
      <c r="S96" s="93">
        <f t="shared" si="135"/>
        <v>2.6637649898499705E-2</v>
      </c>
      <c r="T96" s="93">
        <f t="shared" si="136"/>
        <v>3.808493441004801E-2</v>
      </c>
      <c r="U96" s="93">
        <f t="shared" si="137"/>
        <v>4.44681093983752E-2</v>
      </c>
      <c r="V96" s="93">
        <f t="shared" si="138"/>
        <v>3.9288200049249378E-2</v>
      </c>
      <c r="W96" s="93">
        <f t="shared" si="139"/>
        <v>2.5640786443586805E-2</v>
      </c>
      <c r="X96" s="93">
        <f t="shared" si="140"/>
        <v>-1.2557929787717526E-2</v>
      </c>
      <c r="Y96" s="93">
        <f t="shared" si="141"/>
        <v>2.5689974065036036E-2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4.5001314836556894E-2</v>
      </c>
      <c r="F97" s="89">
        <f t="shared" ref="F97:F106" si="143">IF(E23=0,"",F23/E23-1)</f>
        <v>4.1964975717128095E-2</v>
      </c>
      <c r="G97" s="89">
        <f t="shared" ref="G97:G106" si="144">IF(F23=0,"",G23/F23-1)</f>
        <v>4.8286776397735265E-2</v>
      </c>
      <c r="H97" s="89">
        <f t="shared" ref="H97:H106" si="145">IF(G23=0,"",H23/G23-1)</f>
        <v>4.5281018502390413E-2</v>
      </c>
      <c r="I97" s="89">
        <f t="shared" ref="I97:I106" si="146">IF(H23=0,"",I23/H23-1)</f>
        <v>6.1204719021314746E-2</v>
      </c>
      <c r="J97" s="89">
        <f t="shared" ref="J97:J106" si="147">IF(I23=0,"",J23/I23-1)</f>
        <v>9.8341664396480954E-2</v>
      </c>
      <c r="K97" s="89">
        <f t="shared" ref="K97:K106" si="148">IF(J23=0,"",K23/J23-1)</f>
        <v>0.11107681774005207</v>
      </c>
      <c r="L97" s="89">
        <f t="shared" ref="L97:L106" si="149">IF(K23=0,"",L23/K23-1)</f>
        <v>6.2280012527595519E-2</v>
      </c>
      <c r="M97" s="89">
        <f t="shared" ref="M97:M106" si="150">IF(L23=0,"",M23/L23-1)</f>
        <v>-5.072321573408467E-2</v>
      </c>
      <c r="N97" s="89">
        <f t="shared" ref="N97:N106" si="151">IF(M23=0,"",N23/M23-1)</f>
        <v>6.9062179065957352E-2</v>
      </c>
      <c r="O97" s="89">
        <f t="shared" ref="O97:O106" si="152">IF(N23=0,"",O23/N23-1)</f>
        <v>1.9427240490040631E-2</v>
      </c>
      <c r="P97" s="89">
        <f t="shared" ref="P97:P106" si="153">IF(O23=0,"",P23/O23-1)</f>
        <v>2.1743209813151143E-2</v>
      </c>
      <c r="Q97" s="89">
        <f t="shared" ref="Q97:Q106" si="154">IF(P23=0,"",Q23/P23-1)</f>
        <v>1.6899541346642177E-3</v>
      </c>
      <c r="R97" s="89">
        <f t="shared" ref="R97:R106" si="155">IF(Q23=0,"",R23/Q23-1)</f>
        <v>2.6395151392723637E-2</v>
      </c>
      <c r="S97" s="89">
        <f t="shared" ref="S97:S106" si="156">IF(R23=0,"",S23/R23-1)</f>
        <v>4.9084636563014206E-2</v>
      </c>
      <c r="T97" s="89">
        <f t="shared" ref="T97:T106" si="157">IF(S23=0,"",T23/S23-1)</f>
        <v>2.0715909164839008E-2</v>
      </c>
      <c r="U97" s="89">
        <f t="shared" ref="U97:U106" si="158">IF(T23=0,"",U23/T23-1)</f>
        <v>2.3011737625235451E-2</v>
      </c>
      <c r="V97" s="89">
        <f t="shared" ref="V97:V106" si="159">IF(U23=0,"",V23/U23-1)</f>
        <v>3.9311299444967807E-2</v>
      </c>
      <c r="W97" s="89">
        <f t="shared" ref="W97:W106" si="160">IF(V23=0,"",W23/V23-1)</f>
        <v>2.0943395260276887E-2</v>
      </c>
      <c r="X97" s="89">
        <f t="shared" ref="X97:X106" si="161">IF(W23=0,"",X23/W23-1)</f>
        <v>-3.2055223582835413E-2</v>
      </c>
      <c r="Y97" s="89">
        <f t="shared" ref="Y97:Y106" si="162">IF(X23=0,"",Y23/X23-1)</f>
        <v>4.0906841312114528E-2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0.27942522785004686</v>
      </c>
      <c r="F98" s="83">
        <f t="shared" si="143"/>
        <v>4.0646828713064576E-3</v>
      </c>
      <c r="G98" s="83">
        <f t="shared" si="144"/>
        <v>-6.5531312685147225E-2</v>
      </c>
      <c r="H98" s="83">
        <f t="shared" si="145"/>
        <v>-3.3815705587581291E-2</v>
      </c>
      <c r="I98" s="83">
        <f t="shared" si="146"/>
        <v>3.2759241972206699E-2</v>
      </c>
      <c r="J98" s="83">
        <f t="shared" si="147"/>
        <v>0.23784575187859702</v>
      </c>
      <c r="K98" s="83">
        <f t="shared" si="148"/>
        <v>0.3798256838151155</v>
      </c>
      <c r="L98" s="83">
        <f t="shared" si="149"/>
        <v>0.16475835453292631</v>
      </c>
      <c r="M98" s="83">
        <f t="shared" si="150"/>
        <v>-0.2217283639101939</v>
      </c>
      <c r="N98" s="83">
        <f t="shared" si="151"/>
        <v>-0.1973480096162038</v>
      </c>
      <c r="O98" s="83">
        <f t="shared" si="152"/>
        <v>0.23065219249725177</v>
      </c>
      <c r="P98" s="83">
        <f t="shared" si="153"/>
        <v>2.3540134968186299E-2</v>
      </c>
      <c r="Q98" s="83">
        <f t="shared" si="154"/>
        <v>0.17578802547036609</v>
      </c>
      <c r="R98" s="83">
        <f t="shared" si="155"/>
        <v>0.27218754017118041</v>
      </c>
      <c r="S98" s="83">
        <f t="shared" si="156"/>
        <v>-0.15955958404802761</v>
      </c>
      <c r="T98" s="83">
        <f t="shared" si="157"/>
        <v>4.1398823495351955E-2</v>
      </c>
      <c r="U98" s="83">
        <f t="shared" si="158"/>
        <v>-4.0801276581319046E-2</v>
      </c>
      <c r="V98" s="83">
        <f t="shared" si="159"/>
        <v>6.6635258393187069E-2</v>
      </c>
      <c r="W98" s="83">
        <f t="shared" si="160"/>
        <v>-0.17707758647234084</v>
      </c>
      <c r="X98" s="83">
        <f t="shared" si="161"/>
        <v>-3.2657047251040683E-2</v>
      </c>
      <c r="Y98" s="83">
        <f t="shared" si="162"/>
        <v>7.5537801819717032E-2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-2.2153360836186797E-2</v>
      </c>
      <c r="F99" s="83">
        <f t="shared" si="143"/>
        <v>-8.662033593122398E-2</v>
      </c>
      <c r="G99" s="83">
        <f t="shared" si="144"/>
        <v>7.6127804323063097E-2</v>
      </c>
      <c r="H99" s="83">
        <f t="shared" si="145"/>
        <v>-0.13696603229378601</v>
      </c>
      <c r="I99" s="83">
        <f t="shared" si="146"/>
        <v>0.14001927489328425</v>
      </c>
      <c r="J99" s="83">
        <f t="shared" si="147"/>
        <v>-0.20230334832013852</v>
      </c>
      <c r="K99" s="83">
        <f t="shared" si="148"/>
        <v>0.53524280312056116</v>
      </c>
      <c r="L99" s="83">
        <f t="shared" si="149"/>
        <v>0.11626249930612409</v>
      </c>
      <c r="M99" s="83">
        <f t="shared" si="150"/>
        <v>-1.98445924440106E-2</v>
      </c>
      <c r="N99" s="83">
        <f t="shared" si="151"/>
        <v>-0.17890393019005024</v>
      </c>
      <c r="O99" s="83">
        <f t="shared" si="152"/>
        <v>0.10015954941086158</v>
      </c>
      <c r="P99" s="83">
        <f t="shared" si="153"/>
        <v>-3.5960119605422447E-2</v>
      </c>
      <c r="Q99" s="83">
        <f t="shared" si="154"/>
        <v>6.02605977529036E-3</v>
      </c>
      <c r="R99" s="83">
        <f t="shared" si="155"/>
        <v>-2.3705165897534686E-2</v>
      </c>
      <c r="S99" s="83">
        <f t="shared" si="156"/>
        <v>9.4634217202970383E-2</v>
      </c>
      <c r="T99" s="83">
        <f t="shared" si="157"/>
        <v>-9.165018292877436E-2</v>
      </c>
      <c r="U99" s="83">
        <f t="shared" si="158"/>
        <v>-9.9247686515516742E-3</v>
      </c>
      <c r="V99" s="83">
        <f t="shared" si="159"/>
        <v>-6.0735768209846386E-3</v>
      </c>
      <c r="W99" s="83">
        <f t="shared" si="160"/>
        <v>-0.48704779658793629</v>
      </c>
      <c r="X99" s="83">
        <f t="shared" si="161"/>
        <v>-8.7929486885489849E-2</v>
      </c>
      <c r="Y99" s="83">
        <f t="shared" si="162"/>
        <v>5.3426840038322432E-2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3.8797423078218651E-2</v>
      </c>
      <c r="F100" s="83">
        <f t="shared" si="143"/>
        <v>5.1152581650485418E-2</v>
      </c>
      <c r="G100" s="83">
        <f t="shared" si="144"/>
        <v>2.8273046911435396E-2</v>
      </c>
      <c r="H100" s="83">
        <f t="shared" si="145"/>
        <v>1.6753534622467425E-2</v>
      </c>
      <c r="I100" s="83">
        <f t="shared" si="146"/>
        <v>6.3836030416596579E-2</v>
      </c>
      <c r="J100" s="83">
        <f t="shared" si="147"/>
        <v>5.7337532226440668E-2</v>
      </c>
      <c r="K100" s="83">
        <f t="shared" si="148"/>
        <v>0.12045352280150734</v>
      </c>
      <c r="L100" s="83">
        <f t="shared" si="149"/>
        <v>6.7626748726125063E-2</v>
      </c>
      <c r="M100" s="83">
        <f t="shared" si="150"/>
        <v>1.7671751165442062E-2</v>
      </c>
      <c r="N100" s="83">
        <f t="shared" si="151"/>
        <v>5.7522030365320775E-2</v>
      </c>
      <c r="O100" s="83">
        <f t="shared" si="152"/>
        <v>1.3886103513346182E-2</v>
      </c>
      <c r="P100" s="83">
        <f t="shared" si="153"/>
        <v>1.9465445167567319E-2</v>
      </c>
      <c r="Q100" s="83">
        <f t="shared" si="154"/>
        <v>3.3889862425349637E-2</v>
      </c>
      <c r="R100" s="83">
        <f t="shared" si="155"/>
        <v>-1.8854280139759094E-2</v>
      </c>
      <c r="S100" s="83">
        <f t="shared" si="156"/>
        <v>5.6182843076923339E-2</v>
      </c>
      <c r="T100" s="83">
        <f t="shared" si="157"/>
        <v>4.0980699979302093E-2</v>
      </c>
      <c r="U100" s="83">
        <f t="shared" si="158"/>
        <v>3.370971189105143E-2</v>
      </c>
      <c r="V100" s="83">
        <f t="shared" si="159"/>
        <v>3.024928328580212E-2</v>
      </c>
      <c r="W100" s="83">
        <f t="shared" si="160"/>
        <v>2.1973376816341039E-2</v>
      </c>
      <c r="X100" s="83">
        <f t="shared" si="161"/>
        <v>-8.1946753545751871E-3</v>
      </c>
      <c r="Y100" s="83">
        <f t="shared" si="162"/>
        <v>1.2815156385051152E-2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6.7300894114544318E-2</v>
      </c>
      <c r="F101" s="84">
        <f t="shared" si="143"/>
        <v>8.8764062358781537E-3</v>
      </c>
      <c r="G101" s="84">
        <f t="shared" si="144"/>
        <v>3.8487233933339748E-2</v>
      </c>
      <c r="H101" s="84">
        <f t="shared" si="145"/>
        <v>-7.6725975053107853E-2</v>
      </c>
      <c r="I101" s="84">
        <f t="shared" si="146"/>
        <v>7.0062154583667713E-2</v>
      </c>
      <c r="J101" s="84">
        <f t="shared" si="147"/>
        <v>3.4007448865671641E-3</v>
      </c>
      <c r="K101" s="84">
        <f t="shared" si="148"/>
        <v>0.11296310091583983</v>
      </c>
      <c r="L101" s="84">
        <f t="shared" si="149"/>
        <v>1.0004819537645426E-2</v>
      </c>
      <c r="M101" s="84">
        <f t="shared" si="150"/>
        <v>8.3275693248350047E-2</v>
      </c>
      <c r="N101" s="84">
        <f t="shared" si="151"/>
        <v>3.2766997269686904E-2</v>
      </c>
      <c r="O101" s="84">
        <f t="shared" si="152"/>
        <v>1.1637818584547377E-2</v>
      </c>
      <c r="P101" s="84">
        <f t="shared" si="153"/>
        <v>4.777782487477733E-2</v>
      </c>
      <c r="Q101" s="84">
        <f t="shared" si="154"/>
        <v>4.0433094579970685E-2</v>
      </c>
      <c r="R101" s="84">
        <f t="shared" si="155"/>
        <v>5.6357022587736338E-2</v>
      </c>
      <c r="S101" s="84">
        <f t="shared" si="156"/>
        <v>6.3386039470355149E-2</v>
      </c>
      <c r="T101" s="84">
        <f t="shared" si="157"/>
        <v>3.9699529820238944E-2</v>
      </c>
      <c r="U101" s="84">
        <f t="shared" si="158"/>
        <v>3.6140075967667107E-2</v>
      </c>
      <c r="V101" s="84">
        <f t="shared" si="159"/>
        <v>3.0586564073119993E-2</v>
      </c>
      <c r="W101" s="84">
        <f t="shared" si="160"/>
        <v>4.5389421034933264E-2</v>
      </c>
      <c r="X101" s="84">
        <f t="shared" si="161"/>
        <v>-3.2628620709407197E-2</v>
      </c>
      <c r="Y101" s="84">
        <f t="shared" si="162"/>
        <v>2.4429230297218885E-2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3.5793400814461807E-2</v>
      </c>
      <c r="F102" s="84">
        <f t="shared" si="143"/>
        <v>0.13757056754921582</v>
      </c>
      <c r="G102" s="84">
        <f t="shared" si="144"/>
        <v>-2.9827560152461574E-2</v>
      </c>
      <c r="H102" s="84">
        <f t="shared" si="145"/>
        <v>7.414244021514893E-2</v>
      </c>
      <c r="I102" s="84">
        <f t="shared" si="146"/>
        <v>1.3033991931126865E-2</v>
      </c>
      <c r="J102" s="84">
        <f t="shared" si="147"/>
        <v>9.4034089880981053E-2</v>
      </c>
      <c r="K102" s="84">
        <f t="shared" si="148"/>
        <v>0.12061989534106088</v>
      </c>
      <c r="L102" s="84">
        <f t="shared" si="149"/>
        <v>0.10388722298956088</v>
      </c>
      <c r="M102" s="84">
        <f t="shared" si="150"/>
        <v>4.8960014724073853E-2</v>
      </c>
      <c r="N102" s="84">
        <f t="shared" si="151"/>
        <v>5.717459337355324E-2</v>
      </c>
      <c r="O102" s="84">
        <f t="shared" si="152"/>
        <v>-1.0840420121676964E-2</v>
      </c>
      <c r="P102" s="84">
        <f t="shared" si="153"/>
        <v>5.474487520138327E-2</v>
      </c>
      <c r="Q102" s="84">
        <f t="shared" si="154"/>
        <v>8.2250823952346508E-2</v>
      </c>
      <c r="R102" s="84">
        <f t="shared" si="155"/>
        <v>-7.5183850027544241E-2</v>
      </c>
      <c r="S102" s="84">
        <f t="shared" si="156"/>
        <v>8.0786977238223701E-2</v>
      </c>
      <c r="T102" s="84">
        <f t="shared" si="157"/>
        <v>7.800495726353307E-2</v>
      </c>
      <c r="U102" s="84">
        <f t="shared" si="158"/>
        <v>2.4052035417748474E-2</v>
      </c>
      <c r="V102" s="84">
        <f t="shared" si="159"/>
        <v>3.9132882427670657E-2</v>
      </c>
      <c r="W102" s="84">
        <f t="shared" si="160"/>
        <v>-2.1918514072589712E-2</v>
      </c>
      <c r="X102" s="84">
        <f t="shared" si="161"/>
        <v>2.1982611737418667E-2</v>
      </c>
      <c r="Y102" s="84">
        <f t="shared" si="162"/>
        <v>2.1524961778251361E-2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-4.9902118644007398E-3</v>
      </c>
      <c r="F103" s="84">
        <f t="shared" si="143"/>
        <v>-1.4996934888111157E-2</v>
      </c>
      <c r="G103" s="84">
        <f t="shared" si="144"/>
        <v>0.1205182341379607</v>
      </c>
      <c r="H103" s="84">
        <f t="shared" si="145"/>
        <v>8.3723892587134419E-2</v>
      </c>
      <c r="I103" s="84">
        <f t="shared" si="146"/>
        <v>0.1381998136980287</v>
      </c>
      <c r="J103" s="84">
        <f t="shared" si="147"/>
        <v>7.8576763372511627E-2</v>
      </c>
      <c r="K103" s="84">
        <f t="shared" si="148"/>
        <v>0.12989167510131061</v>
      </c>
      <c r="L103" s="84">
        <f t="shared" si="149"/>
        <v>8.7609074870855563E-2</v>
      </c>
      <c r="M103" s="84">
        <f t="shared" si="150"/>
        <v>-0.10669588528904372</v>
      </c>
      <c r="N103" s="84">
        <f t="shared" si="151"/>
        <v>9.3637887315428436E-2</v>
      </c>
      <c r="O103" s="84">
        <f t="shared" si="152"/>
        <v>5.8889405044991738E-2</v>
      </c>
      <c r="P103" s="84">
        <f t="shared" si="153"/>
        <v>-7.309427536737978E-2</v>
      </c>
      <c r="Q103" s="84">
        <f t="shared" si="154"/>
        <v>-6.2913216305412245E-2</v>
      </c>
      <c r="R103" s="84">
        <f t="shared" si="155"/>
        <v>-2.3658847491429214E-2</v>
      </c>
      <c r="S103" s="84">
        <f t="shared" si="156"/>
        <v>-5.0246371257987033E-3</v>
      </c>
      <c r="T103" s="84">
        <f t="shared" si="157"/>
        <v>-3.5972274290633877E-2</v>
      </c>
      <c r="U103" s="84">
        <f t="shared" si="158"/>
        <v>5.1935222332630371E-2</v>
      </c>
      <c r="V103" s="84">
        <f t="shared" si="159"/>
        <v>8.8481312565062975E-3</v>
      </c>
      <c r="W103" s="84">
        <f t="shared" si="160"/>
        <v>7.9739756580265997E-2</v>
      </c>
      <c r="X103" s="84">
        <f t="shared" si="161"/>
        <v>-2.5681123810622597E-2</v>
      </c>
      <c r="Y103" s="84">
        <f t="shared" si="162"/>
        <v>-2.9827468966114767E-2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-0.24836022620276654</v>
      </c>
      <c r="F104" s="83">
        <f t="shared" si="143"/>
        <v>0.26972070664442671</v>
      </c>
      <c r="G104" s="83">
        <f t="shared" si="144"/>
        <v>0.50102681407241922</v>
      </c>
      <c r="H104" s="83">
        <f t="shared" si="145"/>
        <v>0.40407122942637996</v>
      </c>
      <c r="I104" s="83">
        <f t="shared" si="146"/>
        <v>-8.6317565808874619E-2</v>
      </c>
      <c r="J104" s="83">
        <f t="shared" si="147"/>
        <v>0.33844110353683909</v>
      </c>
      <c r="K104" s="83">
        <f t="shared" si="148"/>
        <v>-6.2591992288475118E-2</v>
      </c>
      <c r="L104" s="83">
        <f t="shared" si="149"/>
        <v>-9.7430246834883105E-2</v>
      </c>
      <c r="M104" s="83">
        <f t="shared" si="150"/>
        <v>-8.6696552822293826E-2</v>
      </c>
      <c r="N104" s="83">
        <f t="shared" si="151"/>
        <v>-4.6088772351971175E-2</v>
      </c>
      <c r="O104" s="83">
        <f t="shared" si="152"/>
        <v>-2.6242128742296478E-2</v>
      </c>
      <c r="P104" s="83">
        <f t="shared" si="153"/>
        <v>0.10453763797227733</v>
      </c>
      <c r="Q104" s="83">
        <f t="shared" si="154"/>
        <v>-0.16625314388834767</v>
      </c>
      <c r="R104" s="83">
        <f t="shared" si="155"/>
        <v>6.8692476778181577E-2</v>
      </c>
      <c r="S104" s="83">
        <f t="shared" si="156"/>
        <v>-8.8099596210241327E-2</v>
      </c>
      <c r="T104" s="83">
        <f t="shared" si="157"/>
        <v>-0.1076585345293265</v>
      </c>
      <c r="U104" s="83">
        <f t="shared" si="158"/>
        <v>3.4559661693515986E-2</v>
      </c>
      <c r="V104" s="83">
        <f t="shared" si="159"/>
        <v>-0.106546879793329</v>
      </c>
      <c r="W104" s="83">
        <f t="shared" si="160"/>
        <v>0.42887187421792694</v>
      </c>
      <c r="X104" s="83">
        <f t="shared" si="161"/>
        <v>-2.0105732009431221E-2</v>
      </c>
      <c r="Y104" s="83">
        <f t="shared" si="162"/>
        <v>2.3132328607304409E-2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2.1569694891403923E-2</v>
      </c>
      <c r="F105" s="83">
        <f t="shared" si="143"/>
        <v>0.17392834797842238</v>
      </c>
      <c r="G105" s="83">
        <f t="shared" si="144"/>
        <v>-7.4634453279532886E-3</v>
      </c>
      <c r="H105" s="83">
        <f t="shared" si="145"/>
        <v>8.1640461555698929E-2</v>
      </c>
      <c r="I105" s="83">
        <f t="shared" si="146"/>
        <v>0.1111878992037032</v>
      </c>
      <c r="J105" s="83">
        <f t="shared" si="147"/>
        <v>0.24327357781812897</v>
      </c>
      <c r="K105" s="83">
        <f t="shared" si="148"/>
        <v>0.14640866620175008</v>
      </c>
      <c r="L105" s="83">
        <f t="shared" si="149"/>
        <v>0.28629226691824949</v>
      </c>
      <c r="M105" s="83">
        <f t="shared" si="150"/>
        <v>-5.9616598806663257E-3</v>
      </c>
      <c r="N105" s="83">
        <f t="shared" si="151"/>
        <v>-1.4223538509292366E-2</v>
      </c>
      <c r="O105" s="83">
        <f t="shared" si="152"/>
        <v>-4.2410533388616445E-2</v>
      </c>
      <c r="P105" s="83">
        <f t="shared" si="153"/>
        <v>6.3407095520734869E-2</v>
      </c>
      <c r="Q105" s="83">
        <f t="shared" si="154"/>
        <v>-0.14010530934083254</v>
      </c>
      <c r="R105" s="83">
        <f t="shared" si="155"/>
        <v>5.7430135243442759E-2</v>
      </c>
      <c r="S105" s="83">
        <f t="shared" si="156"/>
        <v>8.5406561035993311E-2</v>
      </c>
      <c r="T105" s="83">
        <f t="shared" si="157"/>
        <v>3.0517789799364703E-3</v>
      </c>
      <c r="U105" s="83">
        <f t="shared" si="158"/>
        <v>8.5724513825548909E-2</v>
      </c>
      <c r="V105" s="83">
        <f t="shared" si="159"/>
        <v>2.1044055238725212E-2</v>
      </c>
      <c r="W105" s="83">
        <f t="shared" si="160"/>
        <v>-0.14660266756890561</v>
      </c>
      <c r="X105" s="83">
        <f t="shared" si="161"/>
        <v>-5.1451790958066401E-2</v>
      </c>
      <c r="Y105" s="83">
        <f t="shared" si="162"/>
        <v>-3.0238305297901058E-2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0.10750774619541459</v>
      </c>
      <c r="F106" s="83">
        <f t="shared" si="143"/>
        <v>-3.976734933171211E-2</v>
      </c>
      <c r="G106" s="83">
        <f t="shared" si="144"/>
        <v>6.5909477420777574E-2</v>
      </c>
      <c r="H106" s="83">
        <f t="shared" si="145"/>
        <v>5.2569358354297435E-2</v>
      </c>
      <c r="I106" s="83">
        <f t="shared" si="146"/>
        <v>8.6082445650270234E-2</v>
      </c>
      <c r="J106" s="83">
        <f t="shared" si="147"/>
        <v>0.10890405977666884</v>
      </c>
      <c r="K106" s="83">
        <f t="shared" si="148"/>
        <v>9.4826759341984479E-2</v>
      </c>
      <c r="L106" s="83">
        <f t="shared" si="149"/>
        <v>-2.0385276378628303E-3</v>
      </c>
      <c r="M106" s="83">
        <f t="shared" si="150"/>
        <v>-0.25241511288515472</v>
      </c>
      <c r="N106" s="83">
        <f t="shared" si="151"/>
        <v>0.25271717531746174</v>
      </c>
      <c r="O106" s="83">
        <f t="shared" si="152"/>
        <v>5.7559199415451179E-2</v>
      </c>
      <c r="P106" s="83">
        <f t="shared" si="153"/>
        <v>-4.8542200690557813E-3</v>
      </c>
      <c r="Q106" s="83">
        <f t="shared" si="154"/>
        <v>-2.5810435021311862E-2</v>
      </c>
      <c r="R106" s="83">
        <f t="shared" si="155"/>
        <v>0.14230754802958767</v>
      </c>
      <c r="S106" s="83">
        <f t="shared" si="156"/>
        <v>6.9207177890313609E-2</v>
      </c>
      <c r="T106" s="83">
        <f t="shared" si="157"/>
        <v>-1.5639263919797863E-2</v>
      </c>
      <c r="U106" s="83">
        <f t="shared" si="158"/>
        <v>-3.031316059135869E-2</v>
      </c>
      <c r="V106" s="83">
        <f t="shared" si="159"/>
        <v>0.10029971127933357</v>
      </c>
      <c r="W106" s="83">
        <f t="shared" si="160"/>
        <v>6.7297363510314012E-2</v>
      </c>
      <c r="X106" s="83">
        <f t="shared" si="161"/>
        <v>-0.10368742905344785</v>
      </c>
      <c r="Y106" s="83">
        <f t="shared" si="162"/>
        <v>0.16467700022737186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0.16703018583554918</v>
      </c>
      <c r="F107" s="87">
        <f t="shared" ref="F107:F108" si="164">IF(E33=0,"",F33/E33-1)</f>
        <v>-0.12181504578158686</v>
      </c>
      <c r="G107" s="87">
        <f t="shared" ref="G107:G108" si="165">IF(F33=0,"",G33/F33-1)</f>
        <v>0.18986955047817555</v>
      </c>
      <c r="H107" s="87">
        <f t="shared" ref="H107:H108" si="166">IF(G33=0,"",H33/G33-1)</f>
        <v>0.29809130804389317</v>
      </c>
      <c r="I107" s="87">
        <f t="shared" ref="I107:I108" si="167">IF(H33=0,"",I33/H33-1)</f>
        <v>5.3189978871364341E-2</v>
      </c>
      <c r="J107" s="87">
        <f t="shared" ref="J107:J108" si="168">IF(I33=0,"",J33/I33-1)</f>
        <v>9.3474816378409598E-2</v>
      </c>
      <c r="K107" s="87">
        <f t="shared" ref="K107:K108" si="169">IF(J33=0,"",K33/J33-1)</f>
        <v>6.0913067659524867E-3</v>
      </c>
      <c r="L107" s="87">
        <f t="shared" ref="L107:L108" si="170">IF(K33=0,"",L33/K33-1)</f>
        <v>-0.22887350775523851</v>
      </c>
      <c r="M107" s="87">
        <f t="shared" ref="M107:M108" si="171">IF(L33=0,"",M33/L33-1)</f>
        <v>-0.50449598411791974</v>
      </c>
      <c r="N107" s="87">
        <f t="shared" ref="N107:N108" si="172">IF(M33=0,"",N33/M33-1)</f>
        <v>0.65948653713994276</v>
      </c>
      <c r="O107" s="87">
        <f t="shared" ref="O107:O108" si="173">IF(N33=0,"",O33/N33-1)</f>
        <v>-0.22458708435766495</v>
      </c>
      <c r="P107" s="87">
        <f t="shared" ref="P107:P108" si="174">IF(O33=0,"",P33/O33-1)</f>
        <v>8.6682905683876266E-2</v>
      </c>
      <c r="Q107" s="87">
        <f t="shared" ref="Q107:Q108" si="175">IF(P33=0,"",Q33/P33-1)</f>
        <v>-7.6507952286282266E-2</v>
      </c>
      <c r="R107" s="87">
        <f t="shared" ref="R107:R108" si="176">IF(Q33=0,"",R33/Q33-1)</f>
        <v>-4.7676102165069678E-2</v>
      </c>
      <c r="S107" s="87">
        <f t="shared" ref="S107:S108" si="177">IF(R33=0,"",S33/R33-1)</f>
        <v>0.15635719530301007</v>
      </c>
      <c r="T107" s="87">
        <f t="shared" ref="T107:T108" si="178">IF(S33=0,"",T33/S33-1)</f>
        <v>9.4695396958341282E-2</v>
      </c>
      <c r="U107" s="87">
        <f t="shared" ref="U107:U108" si="179">IF(T33=0,"",U33/T33-1)</f>
        <v>-5.1452729948608944E-4</v>
      </c>
      <c r="V107" s="87">
        <f t="shared" ref="V107:V108" si="180">IF(U33=0,"",V33/U33-1)</f>
        <v>0.12668507890502578</v>
      </c>
      <c r="W107" s="87">
        <f t="shared" ref="W107:W108" si="181">IF(V33=0,"",W33/V33-1)</f>
        <v>-0.2905464383642492</v>
      </c>
      <c r="X107" s="87">
        <f t="shared" ref="X107:X108" si="182">IF(W33=0,"",X33/W33-1)</f>
        <v>-8.2898231169849512E-2</v>
      </c>
      <c r="Y107" s="87">
        <f t="shared" ref="Y107:Y108" si="183">IF(X33=0,"",Y33/X33-1)</f>
        <v>1.2332868211903687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0.16703018583554941</v>
      </c>
      <c r="F108" s="89">
        <f t="shared" si="164"/>
        <v>-0.12181504578158697</v>
      </c>
      <c r="G108" s="89">
        <f t="shared" si="165"/>
        <v>0.18986955047817555</v>
      </c>
      <c r="H108" s="89">
        <f t="shared" si="166"/>
        <v>0.29809130804389317</v>
      </c>
      <c r="I108" s="89">
        <f t="shared" si="167"/>
        <v>5.3189978871364341E-2</v>
      </c>
      <c r="J108" s="89">
        <f t="shared" si="168"/>
        <v>9.3474816378409598E-2</v>
      </c>
      <c r="K108" s="89">
        <f t="shared" si="169"/>
        <v>6.0913067659527087E-3</v>
      </c>
      <c r="L108" s="89">
        <f t="shared" si="170"/>
        <v>-0.22887350775523851</v>
      </c>
      <c r="M108" s="89">
        <f t="shared" si="171"/>
        <v>-0.52646103086921214</v>
      </c>
      <c r="N108" s="89">
        <f t="shared" si="172"/>
        <v>-0.18671560404304377</v>
      </c>
      <c r="O108" s="89">
        <f t="shared" si="173"/>
        <v>-0.40392358875689249</v>
      </c>
      <c r="P108" s="89">
        <f t="shared" si="174"/>
        <v>1.5887394195028053</v>
      </c>
      <c r="Q108" s="89">
        <f t="shared" si="175"/>
        <v>-4.0478080064626831E-2</v>
      </c>
      <c r="R108" s="89">
        <f t="shared" si="176"/>
        <v>1.8770358389946784E-2</v>
      </c>
      <c r="S108" s="89">
        <f t="shared" si="177"/>
        <v>1.170855437306173E-2</v>
      </c>
      <c r="T108" s="89">
        <f t="shared" si="178"/>
        <v>6.8334681554945931E-2</v>
      </c>
      <c r="U108" s="89">
        <f t="shared" si="179"/>
        <v>9.1530012406513706E-2</v>
      </c>
      <c r="V108" s="89">
        <f t="shared" si="180"/>
        <v>0.26985366850139436</v>
      </c>
      <c r="W108" s="89">
        <f t="shared" si="181"/>
        <v>-0.42444202726504254</v>
      </c>
      <c r="X108" s="89">
        <f t="shared" si="182"/>
        <v>-6.0740841793676892E-2</v>
      </c>
      <c r="Y108" s="89">
        <f t="shared" si="183"/>
        <v>1.719736212792339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0.16703018583554829</v>
      </c>
      <c r="F109" s="89">
        <f t="shared" ref="F109" si="185">IF(E37=0,"",F37/E37-1)</f>
        <v>-0.12181504578158664</v>
      </c>
      <c r="G109" s="89">
        <f t="shared" ref="G109" si="186">IF(F37=0,"",G37/F37-1)</f>
        <v>0.18986955047817555</v>
      </c>
      <c r="H109" s="89">
        <f t="shared" ref="H109" si="187">IF(G37=0,"",H37/G37-1)</f>
        <v>0.29809130804389294</v>
      </c>
      <c r="I109" s="89">
        <f t="shared" ref="I109" si="188">IF(H37=0,"",I37/H37-1)</f>
        <v>5.3189978871363897E-2</v>
      </c>
      <c r="J109" s="89">
        <f t="shared" ref="J109" si="189">IF(I37=0,"",J37/I37-1)</f>
        <v>9.3474816378410042E-2</v>
      </c>
      <c r="K109" s="89">
        <f t="shared" ref="K109" si="190">IF(J37=0,"",K37/J37-1)</f>
        <v>6.0913067659522646E-3</v>
      </c>
      <c r="L109" s="89">
        <f t="shared" ref="L109" si="191">IF(K37=0,"",L37/K37-1)</f>
        <v>-0.2288735077552384</v>
      </c>
      <c r="M109" s="89">
        <f t="shared" ref="M109" si="192">IF(L37=0,"",M37/L37-1)</f>
        <v>-0.40365973650211928</v>
      </c>
      <c r="N109" s="89">
        <f t="shared" ref="N109" si="193">IF(M37=0,"",N37/M37-1)</f>
        <v>3.7442385443524167</v>
      </c>
      <c r="O109" s="89">
        <f t="shared" ref="O109" si="194">IF(N37=0,"",O37/N37-1)</f>
        <v>-0.1125167266586613</v>
      </c>
      <c r="P109" s="89">
        <f t="shared" ref="P109" si="195">IF(O37=0,"",P37/O37-1)</f>
        <v>-0.54376628264477</v>
      </c>
      <c r="Q109" s="89">
        <f t="shared" ref="Q109" si="196">IF(P37=0,"",Q37/P37-1)</f>
        <v>-0.16231589657429202</v>
      </c>
      <c r="R109" s="89">
        <f t="shared" ref="R109" si="197">IF(Q37=0,"",R37/Q37-1)</f>
        <v>-0.22893997479357497</v>
      </c>
      <c r="S109" s="89">
        <f t="shared" ref="S109" si="198">IF(R37=0,"",S37/R37-1)</f>
        <v>0.67772219416934543</v>
      </c>
      <c r="T109" s="89">
        <f t="shared" ref="T109" si="199">IF(S37=0,"",T37/S37-1)</f>
        <v>0.15199083964593063</v>
      </c>
      <c r="U109" s="89">
        <f t="shared" ref="U109" si="200">IF(T37=0,"",U37/T37-1)</f>
        <v>-0.18604669496132342</v>
      </c>
      <c r="V109" s="89">
        <f t="shared" ref="V109" si="201">IF(U37=0,"",V37/U37-1)</f>
        <v>-0.26030971754608734</v>
      </c>
      <c r="W109" s="89">
        <f t="shared" ref="W109" si="202">IF(V37=0,"",W37/V37-1)</f>
        <v>0.330790843644996</v>
      </c>
      <c r="X109" s="89">
        <f t="shared" ref="X109" si="203">IF(W37=0,"",X37/W37-1)</f>
        <v>-0.12736739910589245</v>
      </c>
      <c r="Y109" s="89">
        <f t="shared" ref="Y109" si="204">IF(X37=0,"",Y37/X37-1)</f>
        <v>0.18245774104372203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2.8652874708972043E-2</v>
      </c>
      <c r="F110" s="89">
        <f t="shared" ref="F110:F111" si="206">IF(E43=0,"",F43/E43-1)</f>
        <v>1.0782682351107686E-2</v>
      </c>
      <c r="G110" s="89">
        <f t="shared" ref="G110:G111" si="207">IF(F43=0,"",G43/F43-1)</f>
        <v>-0.28180728449941839</v>
      </c>
      <c r="H110" s="89">
        <f t="shared" ref="H110:H111" si="208">IF(G43=0,"",H43/G43-1)</f>
        <v>-8.5569230035249411E-2</v>
      </c>
      <c r="I110" s="89">
        <f t="shared" ref="I110:I111" si="209">IF(H43=0,"",I43/H43-1)</f>
        <v>0.14988176232079087</v>
      </c>
      <c r="J110" s="89">
        <f t="shared" ref="J110:J111" si="210">IF(I43=0,"",J43/I43-1)</f>
        <v>0.1568525115793693</v>
      </c>
      <c r="K110" s="89">
        <f t="shared" ref="K110:K111" si="211">IF(J43=0,"",K43/J43-1)</f>
        <v>-2.1235016319047895E-2</v>
      </c>
      <c r="L110" s="89">
        <f t="shared" ref="L110:L111" si="212">IF(K43=0,"",L43/K43-1)</f>
        <v>1.3959675660323301E-2</v>
      </c>
      <c r="M110" s="89">
        <f t="shared" ref="M110:M111" si="213">IF(L43=0,"",M43/L43-1)</f>
        <v>-6.5833139806822594E-2</v>
      </c>
      <c r="N110" s="89">
        <f t="shared" ref="N110:N111" si="214">IF(M43=0,"",N43/M43-1)</f>
        <v>0.22435111592057977</v>
      </c>
      <c r="O110" s="89">
        <f t="shared" ref="O110:O111" si="215">IF(N43=0,"",O43/N43-1)</f>
        <v>0.13997747651760961</v>
      </c>
      <c r="P110" s="89">
        <f t="shared" ref="P110:P111" si="216">IF(O43=0,"",P43/O43-1)</f>
        <v>-7.5854607698610077E-2</v>
      </c>
      <c r="Q110" s="89">
        <f t="shared" ref="Q110:Q111" si="217">IF(P43=0,"",Q43/P43-1)</f>
        <v>-0.31158089759316432</v>
      </c>
      <c r="R110" s="89">
        <f t="shared" ref="R110:R111" si="218">IF(Q43=0,"",R43/Q43-1)</f>
        <v>0.24605306837598429</v>
      </c>
      <c r="S110" s="89">
        <f t="shared" ref="S110:S111" si="219">IF(R43=0,"",S43/R43-1)</f>
        <v>0.18705675204918037</v>
      </c>
      <c r="T110" s="89">
        <f t="shared" ref="T110:T111" si="220">IF(S43=0,"",T43/S43-1)</f>
        <v>-9.8610300802594031E-3</v>
      </c>
      <c r="U110" s="89">
        <f t="shared" ref="U110:U111" si="221">IF(T43=0,"",U43/T43-1)</f>
        <v>-7.3296187864836493E-2</v>
      </c>
      <c r="V110" s="89">
        <f t="shared" ref="V110:V111" si="222">IF(U43=0,"",V43/U43-1)</f>
        <v>-7.6412531446058085E-2</v>
      </c>
      <c r="W110" s="89">
        <f t="shared" ref="W110:W111" si="223">IF(V43=0,"",W43/V43-1)</f>
        <v>0.11740228125871011</v>
      </c>
      <c r="X110" s="89">
        <f t="shared" ref="X110:X111" si="224">IF(W43=0,"",X43/W43-1)</f>
        <v>-7.2678533271544499E-2</v>
      </c>
      <c r="Y110" s="89">
        <f t="shared" ref="Y110:Y111" si="225">IF(X43=0,"",Y43/X43-1)</f>
        <v>0.11179209474305329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2.2801593730766179E-2</v>
      </c>
      <c r="F111" s="89">
        <f t="shared" si="206"/>
        <v>4.5338838969234629E-2</v>
      </c>
      <c r="G111" s="89">
        <f t="shared" si="207"/>
        <v>-0.28713275205034172</v>
      </c>
      <c r="H111" s="89">
        <f t="shared" si="208"/>
        <v>-1.9810591418631729E-2</v>
      </c>
      <c r="I111" s="89">
        <f t="shared" si="209"/>
        <v>0.1092828009586948</v>
      </c>
      <c r="J111" s="89">
        <f t="shared" si="210"/>
        <v>0.15744873389712621</v>
      </c>
      <c r="K111" s="89">
        <f t="shared" si="211"/>
        <v>-3.4145123114898812E-2</v>
      </c>
      <c r="L111" s="89">
        <f t="shared" si="212"/>
        <v>-5.9949892382370473E-3</v>
      </c>
      <c r="M111" s="89">
        <f t="shared" si="213"/>
        <v>-0.16172528323916424</v>
      </c>
      <c r="N111" s="89">
        <f t="shared" si="214"/>
        <v>0.26815036138106296</v>
      </c>
      <c r="O111" s="89">
        <f t="shared" si="215"/>
        <v>0.17596664478228097</v>
      </c>
      <c r="P111" s="89">
        <f t="shared" si="216"/>
        <v>-8.9104108949693339E-2</v>
      </c>
      <c r="Q111" s="89">
        <f t="shared" si="217"/>
        <v>-0.1701538814494119</v>
      </c>
      <c r="R111" s="89">
        <f t="shared" si="218"/>
        <v>0.13840685439785738</v>
      </c>
      <c r="S111" s="89">
        <f t="shared" si="219"/>
        <v>0.24955920790142772</v>
      </c>
      <c r="T111" s="89">
        <f t="shared" si="220"/>
        <v>-4.8607173840182094E-2</v>
      </c>
      <c r="U111" s="89">
        <f t="shared" si="221"/>
        <v>-6.4485281559353402E-2</v>
      </c>
      <c r="V111" s="89">
        <f t="shared" si="222"/>
        <v>-8.3867242612636672E-2</v>
      </c>
      <c r="W111" s="89">
        <f t="shared" si="223"/>
        <v>0.12836683546501249</v>
      </c>
      <c r="X111" s="89">
        <f t="shared" si="224"/>
        <v>-8.77346570143136E-2</v>
      </c>
      <c r="Y111" s="89">
        <f t="shared" si="225"/>
        <v>0.10802634337301287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5.5528062645391785E-2</v>
      </c>
      <c r="F112" s="89">
        <f t="shared" ref="F112:F113" si="227">IF(E47=0,"",F47/E47-1)</f>
        <v>-0.14301422489039728</v>
      </c>
      <c r="G112" s="89">
        <f t="shared" ref="G112:G113" si="228">IF(F47=0,"",G47/F47-1)</f>
        <v>-0.25289626645934427</v>
      </c>
      <c r="H112" s="89">
        <f t="shared" ref="H112:H113" si="229">IF(G47=0,"",H47/G47-1)</f>
        <v>-0.42620183093868425</v>
      </c>
      <c r="I112" s="89">
        <f t="shared" ref="I112:I113" si="230">IF(H47=0,"",I47/H47-1)</f>
        <v>0.50913374000944134</v>
      </c>
      <c r="J112" s="89">
        <f t="shared" ref="J112:J113" si="231">IF(I47=0,"",J47/I47-1)</f>
        <v>0.15297451855532773</v>
      </c>
      <c r="K112" s="89">
        <f t="shared" ref="K112:K113" si="232">IF(J47=0,"",K47/J47-1)</f>
        <v>6.3061705311499905E-2</v>
      </c>
      <c r="L112" s="89">
        <f t="shared" ref="L112:L113" si="233">IF(K47=0,"",L47/K47-1)</f>
        <v>0.13233977285589393</v>
      </c>
      <c r="M112" s="89">
        <f t="shared" ref="M112:M113" si="234">IF(L47=0,"",M47/L47-1)</f>
        <v>0.43354449862788114</v>
      </c>
      <c r="N112" s="89">
        <f t="shared" ref="N112:N113" si="235">IF(M47=0,"",N47/M47-1)</f>
        <v>9.0971985101631514E-2</v>
      </c>
      <c r="O112" s="89">
        <f t="shared" ref="O112:O113" si="236">IF(N47=0,"",O47/N47-1)</f>
        <v>1.2583112443244504E-2</v>
      </c>
      <c r="P112" s="89">
        <f t="shared" ref="P112:P113" si="237">IF(O47=0,"",P47/O47-1)</f>
        <v>-2.1386503538609158E-2</v>
      </c>
      <c r="Q112" s="89">
        <f t="shared" ref="Q112:Q113" si="238">IF(P47=0,"",Q47/P47-1)</f>
        <v>-0.85274957197325962</v>
      </c>
      <c r="R112" s="89">
        <f t="shared" ref="R112:R113" si="239">IF(Q47=0,"",R47/Q47-1)</f>
        <v>2.5673998932535795</v>
      </c>
      <c r="S112" s="89">
        <f t="shared" ref="S112:S113" si="240">IF(R47=0,"",S47/R47-1)</f>
        <v>-0.24305772543741588</v>
      </c>
      <c r="T112" s="89">
        <f t="shared" ref="T112:T113" si="241">IF(S47=0,"",T47/S47-1)</f>
        <v>0.43029792568085945</v>
      </c>
      <c r="U112" s="89">
        <f t="shared" ref="U112:U113" si="242">IF(T47=0,"",U47/T47-1)</f>
        <v>-0.1398748407746907</v>
      </c>
      <c r="V112" s="89">
        <f t="shared" ref="V112:V113" si="243">IF(U47=0,"",V47/U47-1)</f>
        <v>-1.5144459239586294E-2</v>
      </c>
      <c r="W112" s="89">
        <f t="shared" ref="W112:W113" si="244">IF(V47=0,"",W47/V47-1)</f>
        <v>3.3575989873187551E-2</v>
      </c>
      <c r="X112" s="89">
        <f t="shared" ref="X112:X113" si="245">IF(W47=0,"",X47/W47-1)</f>
        <v>5.2985313546473733E-2</v>
      </c>
      <c r="Y112" s="89">
        <f t="shared" ref="Y112:Y113" si="246">IF(X47=0,"",Y47/X47-1)</f>
        <v>0.13902209715912472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2.3412906364858488E-2</v>
      </c>
      <c r="F113" s="89">
        <f t="shared" si="227"/>
        <v>7.2751429136966861E-2</v>
      </c>
      <c r="G113" s="89">
        <f t="shared" si="228"/>
        <v>-3.4967850983885551E-2</v>
      </c>
      <c r="H113" s="89">
        <f t="shared" si="229"/>
        <v>-1.3866928929658018E-2</v>
      </c>
      <c r="I113" s="89">
        <f t="shared" si="230"/>
        <v>5.9830016033232347E-2</v>
      </c>
      <c r="J113" s="89">
        <f t="shared" si="231"/>
        <v>8.3735465263212294E-2</v>
      </c>
      <c r="K113" s="89">
        <f t="shared" si="232"/>
        <v>0.16155708154270343</v>
      </c>
      <c r="L113" s="89">
        <f t="shared" si="233"/>
        <v>-9.0944581683695125E-3</v>
      </c>
      <c r="M113" s="89">
        <f t="shared" si="234"/>
        <v>-0.29313363533428105</v>
      </c>
      <c r="N113" s="89">
        <f t="shared" si="235"/>
        <v>-7.3209130816924373E-2</v>
      </c>
      <c r="O113" s="89">
        <f t="shared" si="236"/>
        <v>0.1166800979057494</v>
      </c>
      <c r="P113" s="89">
        <f t="shared" si="237"/>
        <v>-0.14702256495827126</v>
      </c>
      <c r="Q113" s="89">
        <f t="shared" si="238"/>
        <v>-6.1219505661068929E-2</v>
      </c>
      <c r="R113" s="89">
        <f t="shared" si="239"/>
        <v>0.10798811453083168</v>
      </c>
      <c r="S113" s="89">
        <f t="shared" si="240"/>
        <v>1.7327339556592269E-2</v>
      </c>
      <c r="T113" s="89">
        <f t="shared" si="241"/>
        <v>8.9527529219648461E-2</v>
      </c>
      <c r="U113" s="89">
        <f t="shared" si="242"/>
        <v>6.6548805923184684E-2</v>
      </c>
      <c r="V113" s="89">
        <f t="shared" si="243"/>
        <v>-1.388434263763394E-2</v>
      </c>
      <c r="W113" s="89">
        <f t="shared" si="244"/>
        <v>0.11856668428817119</v>
      </c>
      <c r="X113" s="89">
        <f t="shared" si="245"/>
        <v>-6.586248548365925E-2</v>
      </c>
      <c r="Y113" s="89">
        <f t="shared" si="246"/>
        <v>0.11969032323482987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0.14189616917207726</v>
      </c>
      <c r="F114" s="89">
        <f t="shared" ref="F114:F115" si="248">IF(E52=0,"",F52/E52-1)</f>
        <v>-0.14460859047380636</v>
      </c>
      <c r="G114" s="89">
        <f t="shared" ref="G114:G115" si="249">IF(F52=0,"",G52/F52-1)</f>
        <v>-0.126480025171121</v>
      </c>
      <c r="H114" s="89">
        <f t="shared" ref="H114:H115" si="250">IF(G52=0,"",H52/G52-1)</f>
        <v>-0.11994253721048598</v>
      </c>
      <c r="I114" s="89">
        <f t="shared" ref="I114:I115" si="251">IF(H52=0,"",I52/H52-1)</f>
        <v>1.3428353184877118E-2</v>
      </c>
      <c r="J114" s="89">
        <f t="shared" ref="J114:J115" si="252">IF(I52=0,"",J52/I52-1)</f>
        <v>0.15544663047993157</v>
      </c>
      <c r="K114" s="89">
        <f t="shared" ref="K114:K115" si="253">IF(J52=0,"",K52/J52-1)</f>
        <v>3.2145025422718687E-2</v>
      </c>
      <c r="L114" s="89">
        <f t="shared" ref="L114:L115" si="254">IF(K52=0,"",L52/K52-1)</f>
        <v>-5.4971879838051074E-2</v>
      </c>
      <c r="M114" s="89">
        <f t="shared" ref="M114:M115" si="255">IF(L52=0,"",M52/L52-1)</f>
        <v>-7.3945335358933773E-2</v>
      </c>
      <c r="N114" s="89">
        <f t="shared" ref="N114:N115" si="256">IF(M52=0,"",N52/M52-1)</f>
        <v>3.4178883623644518E-2</v>
      </c>
      <c r="O114" s="89">
        <f t="shared" ref="O114:O115" si="257">IF(N52=0,"",O52/N52-1)</f>
        <v>7.1782556970139133E-3</v>
      </c>
      <c r="P114" s="89">
        <f t="shared" ref="P114:P115" si="258">IF(O52=0,"",P52/O52-1)</f>
        <v>8.049317008885537E-2</v>
      </c>
      <c r="Q114" s="89">
        <f t="shared" ref="Q114:Q115" si="259">IF(P52=0,"",Q52/P52-1)</f>
        <v>-8.1063312671161181E-2</v>
      </c>
      <c r="R114" s="89">
        <f t="shared" ref="R114:R115" si="260">IF(Q52=0,"",R52/Q52-1)</f>
        <v>1.2148363726699918E-2</v>
      </c>
      <c r="S114" s="89">
        <f t="shared" ref="S114:S115" si="261">IF(R52=0,"",S52/R52-1)</f>
        <v>7.7886691729323942E-2</v>
      </c>
      <c r="T114" s="89">
        <f t="shared" ref="T114:T115" si="262">IF(S52=0,"",T52/S52-1)</f>
        <v>2.6800135918101819E-2</v>
      </c>
      <c r="U114" s="89">
        <f t="shared" ref="U114:U115" si="263">IF(T52=0,"",U52/T52-1)</f>
        <v>-8.6984752766688711E-2</v>
      </c>
      <c r="V114" s="89">
        <f t="shared" ref="V114:V115" si="264">IF(U52=0,"",V52/U52-1)</f>
        <v>6.5657042035909274E-2</v>
      </c>
      <c r="W114" s="89">
        <f t="shared" ref="W114:W115" si="265">IF(V52=0,"",W52/V52-1)</f>
        <v>-3.239640770508867E-2</v>
      </c>
      <c r="X114" s="89">
        <f t="shared" ref="X114:X115" si="266">IF(W52=0,"",X52/W52-1)</f>
        <v>-0.1661752821784036</v>
      </c>
      <c r="Y114" s="89">
        <f t="shared" ref="Y114:Y115" si="267">IF(X52=0,"",Y52/X52-1)</f>
        <v>7.3450664645341224E-2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0.17662296566275537</v>
      </c>
      <c r="F115" s="89">
        <f t="shared" si="248"/>
        <v>-0.1654503910231323</v>
      </c>
      <c r="G115" s="89">
        <f t="shared" si="249"/>
        <v>-0.19238006117533113</v>
      </c>
      <c r="H115" s="89">
        <f t="shared" si="250"/>
        <v>-0.14908257479352316</v>
      </c>
      <c r="I115" s="89">
        <f t="shared" si="251"/>
        <v>1.6444139206974517E-2</v>
      </c>
      <c r="J115" s="89">
        <f t="shared" si="252"/>
        <v>0.13835655013937487</v>
      </c>
      <c r="K115" s="89">
        <f t="shared" si="253"/>
        <v>3.1039076742759963E-2</v>
      </c>
      <c r="L115" s="89">
        <f t="shared" si="254"/>
        <v>-0.11832914246916204</v>
      </c>
      <c r="M115" s="89">
        <f t="shared" si="255"/>
        <v>1.1606118760673745E-2</v>
      </c>
      <c r="N115" s="89">
        <f t="shared" si="256"/>
        <v>-4.1638265910489469E-2</v>
      </c>
      <c r="O115" s="89">
        <f t="shared" si="257"/>
        <v>5.39752607161057E-2</v>
      </c>
      <c r="P115" s="89">
        <f t="shared" si="258"/>
        <v>9.2163057313212393E-2</v>
      </c>
      <c r="Q115" s="89">
        <f t="shared" si="259"/>
        <v>-8.7425531914893662E-2</v>
      </c>
      <c r="R115" s="89">
        <f t="shared" si="260"/>
        <v>8.1362446924884146E-3</v>
      </c>
      <c r="S115" s="89">
        <f t="shared" si="261"/>
        <v>0.13807368733509229</v>
      </c>
      <c r="T115" s="89">
        <f t="shared" si="262"/>
        <v>5.7509270500191167E-2</v>
      </c>
      <c r="U115" s="89">
        <f t="shared" si="263"/>
        <v>-0.13817161586779436</v>
      </c>
      <c r="V115" s="89">
        <f t="shared" si="264"/>
        <v>2.4786474386816693E-2</v>
      </c>
      <c r="W115" s="89">
        <f t="shared" si="265"/>
        <v>2.963727664846405E-2</v>
      </c>
      <c r="X115" s="89">
        <f t="shared" si="266"/>
        <v>-0.18500707966408403</v>
      </c>
      <c r="Y115" s="89">
        <f t="shared" si="267"/>
        <v>7.3849204272007585E-2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5.151310104413942E-2</v>
      </c>
      <c r="F116" s="89">
        <f t="shared" ref="F116:F122" si="269">IF(E56=0,"",F56/E56-1)</f>
        <v>-8.3909773593073056E-2</v>
      </c>
      <c r="G116" s="89">
        <f t="shared" ref="G116:G122" si="270">IF(F56=0,"",G56/F56-1)</f>
        <v>4.8361485666035486E-2</v>
      </c>
      <c r="H116" s="89">
        <f t="shared" ref="H116:H122" si="271">IF(G56=0,"",H56/G56-1)</f>
        <v>-6.0383868558625431E-2</v>
      </c>
      <c r="I116" s="89">
        <f t="shared" ref="I116:I122" si="272">IF(H56=0,"",I56/H56-1)</f>
        <v>7.8463208142625085E-3</v>
      </c>
      <c r="J116" s="89">
        <f t="shared" ref="J116:J122" si="273">IF(I56=0,"",J56/I56-1)</f>
        <v>0.18734916096859955</v>
      </c>
      <c r="K116" s="89">
        <f t="shared" ref="K116:K122" si="274">IF(J56=0,"",K56/J56-1)</f>
        <v>3.4124344742615831E-2</v>
      </c>
      <c r="L116" s="89">
        <f t="shared" ref="L116:L122" si="275">IF(K56=0,"",L56/K56-1)</f>
        <v>5.8080486647474894E-2</v>
      </c>
      <c r="M116" s="89">
        <f t="shared" ref="M116:M122" si="276">IF(L56=0,"",M56/L56-1)</f>
        <v>-0.20114865025098283</v>
      </c>
      <c r="N116" s="89">
        <f t="shared" ref="N116:N122" si="277">IF(M56=0,"",N56/M56-1)</f>
        <v>0.1769314616404658</v>
      </c>
      <c r="O116" s="89">
        <f t="shared" ref="O116:O122" si="278">IF(N56=0,"",O56/N56-1)</f>
        <v>-6.4570249785796952E-2</v>
      </c>
      <c r="P116" s="89">
        <f t="shared" ref="P116:P122" si="279">IF(O56=0,"",P56/O56-1)</f>
        <v>6.0333626382862438E-2</v>
      </c>
      <c r="Q116" s="89">
        <f t="shared" ref="Q116:Q122" si="280">IF(P56=0,"",Q56/P56-1)</f>
        <v>-6.9742760312113017E-2</v>
      </c>
      <c r="R116" s="89">
        <f t="shared" ref="R116:R122" si="281">IF(Q56=0,"",R56/Q56-1)</f>
        <v>1.9151588275716724E-2</v>
      </c>
      <c r="S116" s="89">
        <f t="shared" ref="S116:S122" si="282">IF(R56=0,"",S56/R56-1)</f>
        <v>-2.603527334851774E-2</v>
      </c>
      <c r="T116" s="89">
        <f t="shared" ref="T116:T122" si="283">IF(S56=0,"",T56/S56-1)</f>
        <v>-3.5158153197695885E-2</v>
      </c>
      <c r="U116" s="89">
        <f t="shared" ref="U116:U122" si="284">IF(T56=0,"",U56/T56-1)</f>
        <v>2.6207943889390961E-2</v>
      </c>
      <c r="V116" s="89">
        <f t="shared" ref="V116:V122" si="285">IF(U56=0,"",V56/U56-1)</f>
        <v>0.14155952481279543</v>
      </c>
      <c r="W116" s="89">
        <f t="shared" ref="W116:W122" si="286">IF(V56=0,"",W56/V56-1)</f>
        <v>-0.13581716437319014</v>
      </c>
      <c r="X116" s="89">
        <f t="shared" ref="X116:X122" si="287">IF(W56=0,"",X56/W56-1)</f>
        <v>-0.12876848444548383</v>
      </c>
      <c r="Y116" s="89">
        <f t="shared" ref="Y116:Y122" si="288">IF(X56=0,"",Y56/X56-1)</f>
        <v>7.2710121229633273E-2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0.25104787069140855</v>
      </c>
      <c r="F117" s="89">
        <f t="shared" si="269"/>
        <v>-0.25136044116780221</v>
      </c>
      <c r="G117" s="89">
        <f t="shared" si="270"/>
        <v>-7.2935212774148606E-2</v>
      </c>
      <c r="H117" s="89">
        <f t="shared" si="271"/>
        <v>2.4037276670304975E-2</v>
      </c>
      <c r="I117" s="89">
        <f t="shared" si="272"/>
        <v>4.9786266371919963E-2</v>
      </c>
      <c r="J117" s="89">
        <f t="shared" si="273"/>
        <v>9.5433785813052729E-2</v>
      </c>
      <c r="K117" s="89">
        <f t="shared" si="274"/>
        <v>-2.34289820686161E-2</v>
      </c>
      <c r="L117" s="89">
        <f t="shared" si="275"/>
        <v>-2.6206258718619591E-3</v>
      </c>
      <c r="M117" s="89">
        <f t="shared" si="276"/>
        <v>-0.13876221294365809</v>
      </c>
      <c r="N117" s="89">
        <f t="shared" si="277"/>
        <v>-7.9522125809673438E-3</v>
      </c>
      <c r="O117" s="89">
        <f t="shared" si="278"/>
        <v>8.8513847489279485E-2</v>
      </c>
      <c r="P117" s="89">
        <f t="shared" si="279"/>
        <v>1.220896049494824E-3</v>
      </c>
      <c r="Q117" s="89">
        <f t="shared" si="280"/>
        <v>-0.10972801765999962</v>
      </c>
      <c r="R117" s="89">
        <f t="shared" si="281"/>
        <v>2.8235290661426937E-3</v>
      </c>
      <c r="S117" s="89">
        <f t="shared" si="282"/>
        <v>7.8344818539571648E-2</v>
      </c>
      <c r="T117" s="89">
        <f t="shared" si="283"/>
        <v>-0.1265141103327535</v>
      </c>
      <c r="U117" s="89">
        <f t="shared" si="284"/>
        <v>6.3619265263093361E-2</v>
      </c>
      <c r="V117" s="89">
        <f t="shared" si="285"/>
        <v>0.19152939046729767</v>
      </c>
      <c r="W117" s="89">
        <f t="shared" si="286"/>
        <v>8.0851186856925272E-2</v>
      </c>
      <c r="X117" s="89">
        <f t="shared" si="287"/>
        <v>-1.7998226023163699E-4</v>
      </c>
      <c r="Y117" s="89">
        <f t="shared" si="288"/>
        <v>8.0886243792161805E-2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0.14257903640049019</v>
      </c>
      <c r="F118" s="89">
        <f t="shared" si="269"/>
        <v>8.1035657439820774E-2</v>
      </c>
      <c r="G118" s="89">
        <f t="shared" si="270"/>
        <v>0.44679049364206791</v>
      </c>
      <c r="H118" s="89">
        <f t="shared" si="271"/>
        <v>4.7336580002370399E-2</v>
      </c>
      <c r="I118" s="89">
        <f t="shared" si="272"/>
        <v>-2.5942388975322972E-2</v>
      </c>
      <c r="J118" s="89">
        <f t="shared" si="273"/>
        <v>9.3904353932901197E-2</v>
      </c>
      <c r="K118" s="89">
        <f t="shared" si="274"/>
        <v>0.40864398444379346</v>
      </c>
      <c r="L118" s="89">
        <f t="shared" si="275"/>
        <v>5.1447146107736152E-2</v>
      </c>
      <c r="M118" s="89">
        <f t="shared" si="276"/>
        <v>-0.35418333797798141</v>
      </c>
      <c r="N118" s="89">
        <f t="shared" si="277"/>
        <v>0.61430571515627852</v>
      </c>
      <c r="O118" s="89">
        <f t="shared" si="278"/>
        <v>2.5939665991748573E-2</v>
      </c>
      <c r="P118" s="89">
        <f t="shared" si="279"/>
        <v>2.4107076997381904E-2</v>
      </c>
      <c r="Q118" s="89">
        <f t="shared" si="280"/>
        <v>6.5514535195851709E-2</v>
      </c>
      <c r="R118" s="89">
        <f t="shared" si="281"/>
        <v>0.24326622837528378</v>
      </c>
      <c r="S118" s="89">
        <f t="shared" si="282"/>
        <v>9.0714502693377552E-2</v>
      </c>
      <c r="T118" s="89">
        <f t="shared" si="283"/>
        <v>-1.9707278782036597E-2</v>
      </c>
      <c r="U118" s="89">
        <f t="shared" si="284"/>
        <v>-7.9440454705803853E-2</v>
      </c>
      <c r="V118" s="89">
        <f t="shared" si="285"/>
        <v>0.22271705405408948</v>
      </c>
      <c r="W118" s="89">
        <f t="shared" si="286"/>
        <v>0.23203055831175812</v>
      </c>
      <c r="X118" s="89">
        <f t="shared" si="287"/>
        <v>-7.8481082372095057E-2</v>
      </c>
      <c r="Y118" s="89">
        <f t="shared" si="288"/>
        <v>0.13091427173650705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0.12203435705837684</v>
      </c>
      <c r="F119" s="89">
        <f t="shared" si="269"/>
        <v>-2.7047665468181825E-2</v>
      </c>
      <c r="G119" s="89">
        <f t="shared" si="270"/>
        <v>0.13055847055847059</v>
      </c>
      <c r="H119" s="89">
        <f t="shared" si="271"/>
        <v>7.1410825365053165E-2</v>
      </c>
      <c r="I119" s="89">
        <f t="shared" si="272"/>
        <v>0.15518476741631337</v>
      </c>
      <c r="J119" s="89">
        <f t="shared" si="273"/>
        <v>0.15964769813548063</v>
      </c>
      <c r="K119" s="89">
        <f t="shared" si="274"/>
        <v>0.11075899196684125</v>
      </c>
      <c r="L119" s="89">
        <f t="shared" si="275"/>
        <v>0.12300265855274661</v>
      </c>
      <c r="M119" s="89">
        <f t="shared" si="276"/>
        <v>-0.29546903327905805</v>
      </c>
      <c r="N119" s="89">
        <f t="shared" si="277"/>
        <v>0.27275500746247316</v>
      </c>
      <c r="O119" s="89">
        <f t="shared" si="278"/>
        <v>0.15128091105028241</v>
      </c>
      <c r="P119" s="89">
        <f t="shared" si="279"/>
        <v>-3.8153558941692145E-2</v>
      </c>
      <c r="Q119" s="89">
        <f t="shared" si="280"/>
        <v>-3.0730363295862873E-2</v>
      </c>
      <c r="R119" s="89">
        <f t="shared" si="281"/>
        <v>0.18000392253839714</v>
      </c>
      <c r="S119" s="89">
        <f t="shared" si="282"/>
        <v>5.2087347509113036E-2</v>
      </c>
      <c r="T119" s="89">
        <f t="shared" si="283"/>
        <v>-3.5837923215151113E-2</v>
      </c>
      <c r="U119" s="89">
        <f t="shared" si="284"/>
        <v>-2.8958733795423575E-2</v>
      </c>
      <c r="V119" s="89">
        <f t="shared" si="285"/>
        <v>9.8069739171465331E-2</v>
      </c>
      <c r="W119" s="89">
        <f t="shared" si="286"/>
        <v>4.6276334465274127E-2</v>
      </c>
      <c r="X119" s="89">
        <f t="shared" si="287"/>
        <v>-0.15105768425669208</v>
      </c>
      <c r="Y119" s="89">
        <f t="shared" si="288"/>
        <v>0.14931781848767223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-0.12213803979873594</v>
      </c>
      <c r="F120" s="89">
        <f t="shared" si="269"/>
        <v>-2.1294566486839361E-2</v>
      </c>
      <c r="G120" s="89">
        <f t="shared" si="270"/>
        <v>-1.693499889146266E-2</v>
      </c>
      <c r="H120" s="89">
        <f t="shared" si="271"/>
        <v>-6.5320256940992638E-2</v>
      </c>
      <c r="I120" s="89">
        <f t="shared" si="272"/>
        <v>0.11993307149180499</v>
      </c>
      <c r="J120" s="89">
        <f t="shared" si="273"/>
        <v>-4.241180738060768E-2</v>
      </c>
      <c r="K120" s="89">
        <f t="shared" si="274"/>
        <v>6.2538251601518935E-2</v>
      </c>
      <c r="L120" s="89">
        <f t="shared" si="275"/>
        <v>-0.25677113631784632</v>
      </c>
      <c r="M120" s="89">
        <f t="shared" si="276"/>
        <v>-0.14099547460952677</v>
      </c>
      <c r="N120" s="89">
        <f t="shared" si="277"/>
        <v>0.56989029223297227</v>
      </c>
      <c r="O120" s="89">
        <f t="shared" si="278"/>
        <v>-0.11740072335747387</v>
      </c>
      <c r="P120" s="89">
        <f t="shared" si="279"/>
        <v>-1.4037570012400025E-2</v>
      </c>
      <c r="Q120" s="89">
        <f t="shared" si="280"/>
        <v>-3.9522389550133874E-2</v>
      </c>
      <c r="R120" s="89">
        <f t="shared" si="281"/>
        <v>0.16043994782382764</v>
      </c>
      <c r="S120" s="89">
        <f t="shared" si="282"/>
        <v>4.8605509964831928E-3</v>
      </c>
      <c r="T120" s="89">
        <f t="shared" si="283"/>
        <v>-7.3284170352949318E-2</v>
      </c>
      <c r="U120" s="89">
        <f t="shared" si="284"/>
        <v>-9.4337255483728955E-2</v>
      </c>
      <c r="V120" s="89">
        <f t="shared" si="285"/>
        <v>0.20704374561920247</v>
      </c>
      <c r="W120" s="89">
        <f t="shared" si="286"/>
        <v>-4.790999386703132E-2</v>
      </c>
      <c r="X120" s="89">
        <f t="shared" si="287"/>
        <v>-0.13544455875771622</v>
      </c>
      <c r="Y120" s="89">
        <f t="shared" si="288"/>
        <v>-1.9104679852355866E-2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6.7556124266898276E-2</v>
      </c>
      <c r="F121" s="89">
        <f t="shared" si="269"/>
        <v>3.659270702366868E-2</v>
      </c>
      <c r="G121" s="89">
        <f t="shared" si="270"/>
        <v>9.3929995969716851E-2</v>
      </c>
      <c r="H121" s="89">
        <f t="shared" si="271"/>
        <v>0.17947277052658639</v>
      </c>
      <c r="I121" s="89">
        <f t="shared" si="272"/>
        <v>9.7788745837794178E-2</v>
      </c>
      <c r="J121" s="89">
        <f t="shared" si="273"/>
        <v>0.23222130641723449</v>
      </c>
      <c r="K121" s="89">
        <f t="shared" si="274"/>
        <v>8.3628031256099966E-2</v>
      </c>
      <c r="L121" s="89">
        <f t="shared" si="275"/>
        <v>7.4021752115719153E-2</v>
      </c>
      <c r="M121" s="89">
        <f t="shared" si="276"/>
        <v>-0.1834540114364378</v>
      </c>
      <c r="N121" s="89">
        <f t="shared" si="277"/>
        <v>2.2920011174090149E-3</v>
      </c>
      <c r="O121" s="89">
        <f t="shared" si="278"/>
        <v>-4.5283331519867076E-2</v>
      </c>
      <c r="P121" s="89">
        <f t="shared" si="279"/>
        <v>-0.11893966161268554</v>
      </c>
      <c r="Q121" s="89">
        <f t="shared" si="280"/>
        <v>2.5265642866473481E-2</v>
      </c>
      <c r="R121" s="89">
        <f t="shared" si="281"/>
        <v>0.26377290816644083</v>
      </c>
      <c r="S121" s="89">
        <f t="shared" si="282"/>
        <v>2.3019046463245596E-2</v>
      </c>
      <c r="T121" s="89">
        <f t="shared" si="283"/>
        <v>-9.6475802586758586E-2</v>
      </c>
      <c r="U121" s="89">
        <f t="shared" si="284"/>
        <v>6.9756645919666127E-2</v>
      </c>
      <c r="V121" s="89">
        <f t="shared" si="285"/>
        <v>-8.3680040872912032E-2</v>
      </c>
      <c r="W121" s="89">
        <f t="shared" si="286"/>
        <v>4.3421805284648451E-2</v>
      </c>
      <c r="X121" s="89">
        <f t="shared" si="287"/>
        <v>-4.0312116048145663E-3</v>
      </c>
      <c r="Y121" s="89">
        <f t="shared" si="288"/>
        <v>1.8254083436166635E-3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0.11851840363842481</v>
      </c>
      <c r="F122" s="91">
        <f t="shared" si="269"/>
        <v>0.22339503620423384</v>
      </c>
      <c r="G122" s="91">
        <f t="shared" si="270"/>
        <v>9.933339140443187E-2</v>
      </c>
      <c r="H122" s="91">
        <f t="shared" si="271"/>
        <v>4.935941397994581E-3</v>
      </c>
      <c r="I122" s="91">
        <f t="shared" si="272"/>
        <v>0.12070033246635892</v>
      </c>
      <c r="J122" s="91">
        <f t="shared" si="273"/>
        <v>3.7632475703846868E-2</v>
      </c>
      <c r="K122" s="91">
        <f t="shared" si="274"/>
        <v>-9.4869647061895934E-3</v>
      </c>
      <c r="L122" s="91">
        <f t="shared" si="275"/>
        <v>-6.2750321201892945E-2</v>
      </c>
      <c r="M122" s="91">
        <f t="shared" si="276"/>
        <v>3.6651412975909237E-2</v>
      </c>
      <c r="N122" s="91">
        <f t="shared" si="277"/>
        <v>4.2394248661008049E-2</v>
      </c>
      <c r="O122" s="91">
        <f t="shared" si="278"/>
        <v>0.11869673001258274</v>
      </c>
      <c r="P122" s="91">
        <f t="shared" si="279"/>
        <v>0.12843900739447411</v>
      </c>
      <c r="Q122" s="91">
        <f t="shared" si="280"/>
        <v>0.1004399286196378</v>
      </c>
      <c r="R122" s="91">
        <f t="shared" si="281"/>
        <v>4.6688820166087108E-2</v>
      </c>
      <c r="S122" s="91">
        <f t="shared" si="282"/>
        <v>5.3799230769230766E-2</v>
      </c>
      <c r="T122" s="91">
        <f t="shared" si="283"/>
        <v>6.4132582588569464E-2</v>
      </c>
      <c r="U122" s="91">
        <f t="shared" si="284"/>
        <v>-1.6654370993598011E-2</v>
      </c>
      <c r="V122" s="91">
        <f t="shared" si="285"/>
        <v>-8.1869963373304433E-3</v>
      </c>
      <c r="W122" s="91">
        <f t="shared" si="286"/>
        <v>6.5059750848099451E-2</v>
      </c>
      <c r="X122" s="91">
        <f t="shared" si="287"/>
        <v>-0.11780566157278305</v>
      </c>
      <c r="Y122" s="91">
        <f t="shared" si="288"/>
        <v>8.2328795164187341E-2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F7D679-C3DA-4C81-8F79-9EA3A0173AE2}"/>
</file>

<file path=customXml/itemProps2.xml><?xml version="1.0" encoding="utf-8"?>
<ds:datastoreItem xmlns:ds="http://schemas.openxmlformats.org/officeDocument/2006/customXml" ds:itemID="{64D5B24E-B2F3-4F66-BFB1-1B45953C9CDF}"/>
</file>

<file path=customXml/itemProps3.xml><?xml version="1.0" encoding="utf-8"?>
<ds:datastoreItem xmlns:ds="http://schemas.openxmlformats.org/officeDocument/2006/customXml" ds:itemID="{52A00F26-2DA0-4375-99FC-2EA810CD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2024-05-20T16:56:29Z</dcterms:created>
  <dcterms:modified xsi:type="dcterms:W3CDTF">2024-05-20T16:56:29Z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