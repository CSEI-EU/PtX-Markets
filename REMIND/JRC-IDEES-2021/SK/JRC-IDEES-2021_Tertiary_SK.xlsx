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K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R9" i="39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R5" i="39" l="1"/>
  <c r="I5" i="38"/>
  <c r="J5" i="39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L9" i="29" s="1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H8" i="29" s="1"/>
  <c r="G16" i="29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L7" i="29" s="1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H6" i="29" s="1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L5" i="29" s="1"/>
  <c r="K13" i="29"/>
  <c r="J13" i="29"/>
  <c r="I13" i="29"/>
  <c r="H13" i="29"/>
  <c r="H5" i="29" s="1"/>
  <c r="G13" i="29"/>
  <c r="G11" i="29" s="1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N12" i="29"/>
  <c r="M12" i="29"/>
  <c r="L12" i="29"/>
  <c r="K12" i="29"/>
  <c r="K11" i="29" s="1"/>
  <c r="J12" i="29"/>
  <c r="J11" i="29" s="1"/>
  <c r="I12" i="29"/>
  <c r="H12" i="29"/>
  <c r="H4" i="29" s="1"/>
  <c r="G12" i="29"/>
  <c r="F12" i="29"/>
  <c r="E12" i="29"/>
  <c r="E4" i="29" s="1"/>
  <c r="D12" i="29"/>
  <c r="W11" i="29"/>
  <c r="V11" i="29"/>
  <c r="U11" i="29"/>
  <c r="T9" i="29"/>
  <c r="S9" i="29"/>
  <c r="R9" i="29"/>
  <c r="Q9" i="29"/>
  <c r="K9" i="29"/>
  <c r="J9" i="29"/>
  <c r="I9" i="29"/>
  <c r="D9" i="29"/>
  <c r="W8" i="29"/>
  <c r="V8" i="29"/>
  <c r="O8" i="29"/>
  <c r="N8" i="29"/>
  <c r="M8" i="29"/>
  <c r="G8" i="29"/>
  <c r="F8" i="29"/>
  <c r="S7" i="29"/>
  <c r="R7" i="29"/>
  <c r="Q7" i="29"/>
  <c r="K7" i="29"/>
  <c r="J7" i="29"/>
  <c r="I7" i="29"/>
  <c r="W6" i="29"/>
  <c r="V6" i="29"/>
  <c r="U6" i="29"/>
  <c r="O6" i="29"/>
  <c r="N6" i="29"/>
  <c r="M6" i="29"/>
  <c r="G6" i="29"/>
  <c r="F6" i="29"/>
  <c r="S5" i="29"/>
  <c r="R5" i="29"/>
  <c r="Q5" i="29"/>
  <c r="K5" i="29"/>
  <c r="J5" i="29"/>
  <c r="I5" i="29"/>
  <c r="W4" i="29"/>
  <c r="V4" i="29"/>
  <c r="U4" i="29"/>
  <c r="O4" i="29"/>
  <c r="N4" i="29"/>
  <c r="M4" i="29"/>
  <c r="G4" i="29"/>
  <c r="F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8" i="29" l="1"/>
  <c r="T7" i="29"/>
  <c r="D11" i="29"/>
  <c r="L11" i="29"/>
  <c r="T11" i="29"/>
  <c r="T5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U19" i="25"/>
  <c r="U15" i="24"/>
  <c r="U19" i="23"/>
  <c r="U27" i="24"/>
  <c r="V4" i="14"/>
  <c r="W3" i="8"/>
  <c r="T3" i="33"/>
  <c r="W3" i="29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F29" i="24" l="1"/>
  <c r="K29" i="12"/>
  <c r="G16" i="12"/>
  <c r="J19" i="23"/>
  <c r="P19" i="13"/>
  <c r="F4" i="24"/>
  <c r="L19" i="24"/>
  <c r="C4" i="24"/>
  <c r="F16" i="12"/>
  <c r="D16" i="14"/>
  <c r="D16" i="17" s="1"/>
  <c r="O29" i="13"/>
  <c r="O29" i="12"/>
  <c r="P29" i="13"/>
  <c r="O29" i="23"/>
  <c r="G19" i="23"/>
  <c r="E4" i="13"/>
  <c r="E19" i="24"/>
  <c r="G19" i="24"/>
  <c r="I4" i="23"/>
  <c r="K4" i="24"/>
  <c r="K4" i="27" s="1"/>
  <c r="C17" i="16"/>
  <c r="O4" i="13"/>
  <c r="G16" i="13"/>
  <c r="N29" i="23"/>
  <c r="C19" i="13"/>
  <c r="K19" i="24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23"/>
  <c r="F19" i="12"/>
  <c r="M16" i="24"/>
  <c r="M16" i="27" s="1"/>
  <c r="J4" i="23"/>
  <c r="J4" i="26" s="1"/>
  <c r="P19" i="12"/>
  <c r="P19" i="15" s="1"/>
  <c r="H4" i="24"/>
  <c r="M4" i="12"/>
  <c r="O19" i="24"/>
  <c r="P16" i="24"/>
  <c r="L19" i="13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G16" i="27" s="1"/>
  <c r="I4" i="12"/>
  <c r="L16" i="13"/>
  <c r="L16" i="16" s="1"/>
  <c r="B29" i="13"/>
  <c r="L4" i="24"/>
  <c r="Q29" i="23"/>
  <c r="G16" i="25"/>
  <c r="Q4" i="24"/>
  <c r="D4" i="23"/>
  <c r="D4" i="26" s="1"/>
  <c r="C29" i="13"/>
  <c r="B29" i="12"/>
  <c r="H19" i="24"/>
  <c r="H19" i="27" s="1"/>
  <c r="Q4" i="12"/>
  <c r="B4" i="14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M4" i="23"/>
  <c r="B4" i="12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I19" i="24"/>
  <c r="K16" i="23"/>
  <c r="E29" i="13"/>
  <c r="E29" i="16" s="1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N27" i="16" s="1"/>
  <c r="E29" i="23"/>
  <c r="E29" i="26" s="1"/>
  <c r="N19" i="13"/>
  <c r="N19" i="16" s="1"/>
  <c r="M16" i="12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I27" i="15" s="1"/>
  <c r="E27" i="12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M4" i="24"/>
  <c r="I19" i="23"/>
  <c r="Q19" i="23"/>
  <c r="G15" i="23"/>
  <c r="G15" i="26" s="1"/>
  <c r="G15" i="24"/>
  <c r="G15" i="27" s="1"/>
  <c r="H27" i="23"/>
  <c r="H27" i="26" s="1"/>
  <c r="H27" i="24"/>
  <c r="H27" i="27" s="1"/>
  <c r="Q29" i="13"/>
  <c r="I16" i="12"/>
  <c r="F29" i="13"/>
  <c r="D29" i="13"/>
  <c r="D29" i="16" s="1"/>
  <c r="C4" i="23"/>
  <c r="C4" i="26" s="1"/>
  <c r="K4" i="23"/>
  <c r="K4" i="26" s="1"/>
  <c r="M19" i="13"/>
  <c r="M19" i="16" s="1"/>
  <c r="N4" i="21"/>
  <c r="N4" i="24"/>
  <c r="P4" i="13"/>
  <c r="G29" i="23"/>
  <c r="B19" i="13"/>
  <c r="B19" i="16" s="1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K15" i="23"/>
  <c r="K15" i="24"/>
  <c r="K15" i="27" s="1"/>
  <c r="P27" i="23"/>
  <c r="P27" i="26" s="1"/>
  <c r="P27" i="24"/>
  <c r="P27" i="27" s="1"/>
  <c r="P16" i="12"/>
  <c r="F4" i="13"/>
  <c r="L29" i="13"/>
  <c r="L15" i="23"/>
  <c r="L15" i="24"/>
  <c r="L15" i="27" s="1"/>
  <c r="J27" i="12"/>
  <c r="J27" i="15" s="1"/>
  <c r="J27" i="13"/>
  <c r="J27" i="16" s="1"/>
  <c r="E16" i="24"/>
  <c r="D16" i="12"/>
  <c r="M15" i="23"/>
  <c r="M15" i="24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H19" i="15" s="1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B19" i="15" s="1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7"/>
  <c r="J29" i="21"/>
  <c r="G29" i="21"/>
  <c r="I19" i="26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1"/>
  <c r="H19" i="21"/>
  <c r="D3" i="19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3" i="4"/>
  <c r="B28" i="4"/>
  <c r="B39" i="4"/>
  <c r="B25" i="4"/>
  <c r="B36" i="4"/>
  <c r="B21" i="4"/>
  <c r="B26" i="4"/>
  <c r="B42" i="4"/>
  <c r="B11" i="4"/>
  <c r="B17" i="4"/>
  <c r="B38" i="4"/>
  <c r="B13" i="4"/>
  <c r="B45" i="4"/>
  <c r="B44" i="4"/>
  <c r="B30" i="4"/>
  <c r="B20" i="4"/>
  <c r="B27" i="4"/>
  <c r="B14" i="4"/>
  <c r="B29" i="4"/>
  <c r="B24" i="4"/>
  <c r="B4" i="4"/>
  <c r="B10" i="4"/>
  <c r="B34" i="4"/>
  <c r="B9" i="4"/>
  <c r="B23" i="4"/>
  <c r="B35" i="4"/>
  <c r="B43" i="4"/>
  <c r="B16" i="4"/>
  <c r="B12" i="4"/>
  <c r="B7" i="4"/>
  <c r="B8" i="4"/>
  <c r="B22" i="4"/>
  <c r="B37" i="4"/>
  <c r="B15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<sst xmlns="http://schemas.openxmlformats.org/spreadsheetml/2006/main" count="2099" uniqueCount="1055">
  <si>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</si>
  <si>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</si>
  <si>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</si>
  <si>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</si>
  <si>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</si>
  <si>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</si>
  <si>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</si>
  <si>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</si>
  <si>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</si>
  <si>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</si>
  <si>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</si>
  <si>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</si>
  <si>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</si>
  <si>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</si>
  <si>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</si>
  <si>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</si>
  <si>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</si>
  <si>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</si>
  <si>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</si>
  <si>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</si>
  <si>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</si>
  <si>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</si>
  <si>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</si>
  <si>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</si>
  <si>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</si>
  <si>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</si>
  <si>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</si>
  <si>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</si>
  <si>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</si>
  <si>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</si>
  <si>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</si>
  <si>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</si>
  <si>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</si>
  <si>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</si>
  <si>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</si>
  <si>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</si>
  <si>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</si>
  <si>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</si>
  <si>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</si>
  <si>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</si>
  <si>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</si>
  <si>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</si>
  <si>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</si>
  <si>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</si>
  <si>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</si>
  <si>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</si>
  <si>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</si>
  <si>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</si>
  <si>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</si>
  <si>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</si>
  <si>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</si>
  <si>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</si>
  <si>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</si>
  <si>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</si>
  <si>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</si>
  <si>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</si>
  <si>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</si>
  <si>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</si>
  <si>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</si>
  <si>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</si>
  <si>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</si>
  <si>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</si>
  <si>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</si>
  <si>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</si>
  <si>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</si>
  <si>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</si>
  <si>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</si>
  <si>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</si>
  <si>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</si>
  <si>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</si>
  <si>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</si>
  <si>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</si>
  <si>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</si>
  <si>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</si>
  <si>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</si>
  <si>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</si>
  <si>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</si>
  <si>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</si>
  <si>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</si>
  <si>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</si>
  <si>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</si>
  <si>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</si>
  <si>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</si>
  <si>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</si>
  <si>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</si>
  <si>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</si>
  <si>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</si>
  <si>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</si>
  <si>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</si>
  <si>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</si>
  <si>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</si>
  <si>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</si>
  <si>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</si>
  <si>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</si>
  <si>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</si>
  <si>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</si>
  <si>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</si>
  <si>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</si>
  <si>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</si>
  <si>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</si>
  <si>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</si>
  <si>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</si>
  <si>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</si>
  <si>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</si>
  <si>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</si>
  <si>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</si>
  <si>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</si>
  <si>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</si>
  <si>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</si>
  <si>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</si>
  <si>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</si>
  <si>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</si>
  <si>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</si>
  <si>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</si>
  <si>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</si>
  <si>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</si>
  <si>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</si>
  <si>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</si>
  <si>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</si>
  <si>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</si>
  <si>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</si>
  <si>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</si>
  <si>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</si>
  <si>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</si>
  <si>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</si>
  <si>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</si>
  <si>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</si>
  <si>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</si>
  <si>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</si>
  <si>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</si>
  <si>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</si>
  <si>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</si>
  <si>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</si>
  <si>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</si>
  <si>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</si>
  <si>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</si>
  <si>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</si>
  <si>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</si>
  <si>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</si>
  <si>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</si>
  <si>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</si>
  <si>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</si>
  <si>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</si>
  <si>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</si>
  <si>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</si>
  <si>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</si>
  <si>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</si>
  <si>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</si>
  <si>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</si>
  <si>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</si>
  <si>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</si>
  <si>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</si>
  <si>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</si>
  <si>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</si>
  <si>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</si>
  <si>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</si>
  <si>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</si>
  <si>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</si>
  <si>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</si>
  <si>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</si>
  <si>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</si>
  <si>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</si>
  <si>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</si>
  <si>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</si>
  <si>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</si>
  <si>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</si>
  <si>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</si>
  <si>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</si>
  <si>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</si>
  <si>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</si>
  <si>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</si>
  <si>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</si>
  <si>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</si>
  <si>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</si>
  <si>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</si>
  <si>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</si>
  <si>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</si>
  <si>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</si>
  <si>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</si>
  <si>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</si>
  <si>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</si>
  <si>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</si>
  <si>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</si>
  <si>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</si>
  <si>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SK</t>
  </si>
  <si>
    <t>Slovakia</t>
  </si>
  <si>
    <t>SK - Services sector summary</t>
  </si>
  <si>
    <t>Macro.number.SK.Population</t>
  </si>
  <si>
    <t>Macro.Meuro2015.SK.GDP</t>
  </si>
  <si>
    <t>Macro.Meuro2015.SK.VA</t>
  </si>
  <si>
    <t>Macro.number.SK.Employees</t>
  </si>
  <si>
    <t>NUM.number.SK.Ser.Bld</t>
  </si>
  <si>
    <t>SurfaceArea.ksqm.SK.Ser.Bld</t>
  </si>
  <si>
    <t>NUM.number.SK.Ser.BldNew</t>
  </si>
  <si>
    <t>SurfaceArea.ksqm.SK.Ser.BldNew</t>
  </si>
  <si>
    <t>HDD.Celsius.SK.Actual</t>
  </si>
  <si>
    <t>HDD.Celsius.SK.Mean</t>
  </si>
  <si>
    <t>HDD.ratio.SK.Relative</t>
  </si>
  <si>
    <t>FEC.ktoe.SK.ES.Ser</t>
  </si>
  <si>
    <t>FEC.ktoe.SK.ES.Ser.Solids</t>
  </si>
  <si>
    <t>FEC.ktoe.SK.ES.Ser.LPG</t>
  </si>
  <si>
    <t>FEC.ktoe.SK.ES.Ser.Oil</t>
  </si>
  <si>
    <t>FEC.ktoe.SK.ES.Ser.NG</t>
  </si>
  <si>
    <t>FEC.ktoe.SK.ES.Ser.Biomass_Waste</t>
  </si>
  <si>
    <t>FEC.ktoe.SK.ES.Ser.Biogas</t>
  </si>
  <si>
    <t>FEC.ktoe.SK.ES.Ser.LiqBio</t>
  </si>
  <si>
    <t>FEC.ktoe.SK.ES.Ser.Solar</t>
  </si>
  <si>
    <t>FEC.ktoe.SK.ES.Ser.Geo</t>
  </si>
  <si>
    <t>FEC.ktoe.SK.ES.Ser.Ambient</t>
  </si>
  <si>
    <t>FEC.ktoe.SK.ES.Ser.Steam_Distr</t>
  </si>
  <si>
    <t>FEC.ktoe.SK.ES.Ser.Elec</t>
  </si>
  <si>
    <t>FEC.ktoe.SK.Ser</t>
  </si>
  <si>
    <t>FEC.ktoe.SK.Ser.Bld.Thermal</t>
  </si>
  <si>
    <t>FEC.ktoe.SK.Ser.Bld.Thermal.SH</t>
  </si>
  <si>
    <t>FEC.ktoe.SK.Ser.Bld.Thermal.SC</t>
  </si>
  <si>
    <t>FEC.ktoe.SK.Ser.Bld.Thermal.HW</t>
  </si>
  <si>
    <t>FEC.ktoe.SK.Ser.Bld.Thermal.CA</t>
  </si>
  <si>
    <t>FEC.ktoe.SK.Ser.SEU</t>
  </si>
  <si>
    <t>EMI.ktCO2.SK.ES.Ser</t>
  </si>
  <si>
    <t>EMI.ktCO2.SK.ES.Ser.Solids</t>
  </si>
  <si>
    <t>EMI.ktCO2.SK.ES.Ser.LPG</t>
  </si>
  <si>
    <t>EMI.ktCO2.SK.ES.Ser.Oil</t>
  </si>
  <si>
    <t>EMI.ktCO2.SK.ES.Ser.NG</t>
  </si>
  <si>
    <t>EMI.ktCO2.SK.ES.Ser.Biomass_Waste</t>
  </si>
  <si>
    <t>EMI.ktCO2.SK.ES.Ser.Biogas</t>
  </si>
  <si>
    <t>EMI.ktCO2.SK.ES.Ser.LiqBio</t>
  </si>
  <si>
    <t>EMI.ktCO2.SK.ES.Ser.Solar</t>
  </si>
  <si>
    <t>EMI.ktCO2.SK.ES.Ser.Geo</t>
  </si>
  <si>
    <t>EMI.ktCO2.SK.ES.Ser.Ambient</t>
  </si>
  <si>
    <t>EMI.ktCO2.SK.ES.Ser.Steam_Distr</t>
  </si>
  <si>
    <t>EMI.ktCO2.SK.ES.Ser.Elec</t>
  </si>
  <si>
    <t>EMI.ktCO2.SK.Ser</t>
  </si>
  <si>
    <t>EMI.ktCO2.SK.Ser.Bld.Thermal</t>
  </si>
  <si>
    <t>EMI.ktCO2.SK.Ser.Bld.Thermal.SH</t>
  </si>
  <si>
    <t>EMI.ktCO2.SK.Ser.Bld.Thermal.SC</t>
  </si>
  <si>
    <t>EMI.ktCO2.SK.Ser.Bld.Thermal.HW</t>
  </si>
  <si>
    <t>EMI.ktCO2.SK.Ser.Bld.Thermal.CA</t>
  </si>
  <si>
    <t>EMI.ktCO2.SK.Ser.SEU</t>
  </si>
  <si>
    <t>Eff.ratio.SK.Ser.Bld.Thermal</t>
  </si>
  <si>
    <t>Eff.ratio.SK.Ser.Bld.Thermal.SH</t>
  </si>
  <si>
    <t>Eff.ratio.SK.Ser.Bld.Thermal.SC</t>
  </si>
  <si>
    <t>Eff.ratio.SK.Ser.Bld.Thermal.HW</t>
  </si>
  <si>
    <t>Eff.ratio.SK.Ser.Bld.Thermal.CA</t>
  </si>
  <si>
    <t>SK - Number of buildings</t>
  </si>
  <si>
    <t>NUM.number.SK.Ser.Bld.Thermal</t>
  </si>
  <si>
    <t>NUM.number.SK.Ser.Bld.Thermal.SH</t>
  </si>
  <si>
    <t>NUM.number.SK.Ser.Bld.Thermal.SH.Solids</t>
  </si>
  <si>
    <t>NUM.number.SK.Ser.Bld.Thermal.SH.LPG</t>
  </si>
  <si>
    <t>NUM.number.SK.Ser.Bld.Thermal.SH.Oil</t>
  </si>
  <si>
    <t>NUM.number.SK.Ser.Bld.Thermal.SH.GasHP</t>
  </si>
  <si>
    <t>NUM.number.SK.Ser.Bld.Thermal.SH.GasTH</t>
  </si>
  <si>
    <t>NUM.number.SK.Ser.Bld.Thermal.SH.Biomass</t>
  </si>
  <si>
    <t>NUM.number.SK.Ser.Bld.Thermal.SH.Geo</t>
  </si>
  <si>
    <t>NUM.number.SK.Ser.Bld.Thermal.SH.DistrHeat</t>
  </si>
  <si>
    <t>NUM.number.SK.Ser.Bld.Thermal.SH.AdvElc</t>
  </si>
  <si>
    <t>NUM.number.SK.Ser.Bld.Thermal.SH.ConvElc</t>
  </si>
  <si>
    <t>NUM.number.SK.Ser.Bld.Thermal.SC</t>
  </si>
  <si>
    <t>NUM.number.SK.Ser.Bld.Thermal.SC.GasHP</t>
  </si>
  <si>
    <t>NUM.number.SK.Ser.Bld.Thermal.SC.AC</t>
  </si>
  <si>
    <t>NUM.number.SK.Ser.Bld.Thermal.HW</t>
  </si>
  <si>
    <t>NUM.number.SK.Ser.Bld.Thermal.HW.Solids</t>
  </si>
  <si>
    <t>NUM.number.SK.Ser.Bld.Thermal.HW.LPG</t>
  </si>
  <si>
    <t>NUM.number.SK.Ser.Bld.Thermal.HW.Oil</t>
  </si>
  <si>
    <t>NUM.number.SK.Ser.Bld.Thermal.HW.Gas</t>
  </si>
  <si>
    <t>NUM.number.SK.Ser.Bld.Thermal.HW.Biomass</t>
  </si>
  <si>
    <t>NUM.number.SK.Ser.Bld.Thermal.HW.DistrHeat</t>
  </si>
  <si>
    <t>NUM.number.SK.Ser.Bld.Thermal.HW.Elc</t>
  </si>
  <si>
    <t>NUM.number.SK.Ser.Bld.Thermal.HW.Solar</t>
  </si>
  <si>
    <t>NUM.number.SK.Ser.Bld.Thermal.CA</t>
  </si>
  <si>
    <t>NUM.number.SK.Ser.Bld.Thermal.CA.LPG</t>
  </si>
  <si>
    <t>NUM.number.SK.Ser.Bld.Thermal.CA.Gas</t>
  </si>
  <si>
    <t>NUM.number.SK.Ser.Bld.Thermal.CA.Biomass</t>
  </si>
  <si>
    <t>NUM.number.SK.Ser.Bld.Thermal.CA.Elc</t>
  </si>
  <si>
    <t>SK - Final energy consumption</t>
  </si>
  <si>
    <t>FEC.ktoe.SK.Ser.Bld.Thermal.SH.Solids.Solids</t>
  </si>
  <si>
    <t>FEC.ktoe.SK.Ser.Bld.Thermal.SH.LPG.LPG</t>
  </si>
  <si>
    <t>FEC.ktoe.SK.Ser.Bld.Thermal.SH.Oil.Oil_LiqBio</t>
  </si>
  <si>
    <t>FEC.ktoe.SK.Ser.Bld.Thermal.SH.GasHP.NG_Biogas</t>
  </si>
  <si>
    <t>FEC.ktoe.SK.Ser.Bld.Thermal.SH.GasTH.NG_Biogas</t>
  </si>
  <si>
    <t>FEC.ktoe.SK.Ser.Bld.Thermal.SH.Biomass.Biomass_Waste</t>
  </si>
  <si>
    <t>FEC.ktoe.SK.Ser.Bld.Thermal.SH.Geo.Geo</t>
  </si>
  <si>
    <t>FEC.ktoe.SK.Ser.Bld.Thermal.SH.DistrHeat.Steam_Distr</t>
  </si>
  <si>
    <t>FEC.ktoe.SK.Ser.Bld.Thermal.SH.AdvElc.Elec</t>
  </si>
  <si>
    <t>FEC.ktoe.SK.Ser.Bld.Thermal.SH.ConvElc.Elec</t>
  </si>
  <si>
    <t>FEC.ktoe.SK.Ser.Bld.Thermal.SH.TotalCirculation.Elec</t>
  </si>
  <si>
    <t>FEC.ktoe.SK.Ser.Bld.Thermal.SC.GasHP.NG_Biogas</t>
  </si>
  <si>
    <t>FEC.ktoe.SK.Ser.Bld.Thermal.SC.AC.Elec</t>
  </si>
  <si>
    <t>FEC.ktoe.SK.Ser.Bld.Thermal.HW.Solids.Solids</t>
  </si>
  <si>
    <t>FEC.ktoe.SK.Ser.Bld.Thermal.HW.LPG.LPG</t>
  </si>
  <si>
    <t>FEC.ktoe.SK.Ser.Bld.Thermal.HW.Oil.Oil_LiqBio</t>
  </si>
  <si>
    <t>FEC.ktoe.SK.Ser.Bld.Thermal.HW.Gas.NG_Biogas</t>
  </si>
  <si>
    <t>FEC.ktoe.SK.Ser.Bld.Thermal.HW.Biomass.Biomass_Waste</t>
  </si>
  <si>
    <t>FEC.ktoe.SK.Ser.Bld.Thermal.HW.DistrHeat.Steam_Distr</t>
  </si>
  <si>
    <t>FEC.ktoe.SK.Ser.Bld.Thermal.HW.Elc.Elec</t>
  </si>
  <si>
    <t>FEC.ktoe.SK.Ser.Bld.Thermal.HW.TotalSolar.Solar</t>
  </si>
  <si>
    <t>FEC.ktoe.SK.Ser.Bld.Thermal.CA.LPG</t>
  </si>
  <si>
    <t>FEC.ktoe.SK.Ser.Bld.Thermal.CA.Gas.NG_Biogas</t>
  </si>
  <si>
    <t>FEC.ktoe.SK.Ser.Bld.Thermal.CA.Biomass.Biomass_Waste</t>
  </si>
  <si>
    <t>FEC.ktoe.SK.Ser.Bld.Thermal.CA.Elc.Elec</t>
  </si>
  <si>
    <t>SK - Thermal energy service</t>
  </si>
  <si>
    <t>TES.ktoe.SK.Ser.Bld.Thermal</t>
  </si>
  <si>
    <t>TES.ktoe.SK.Ser.Bld.Thermal.SH</t>
  </si>
  <si>
    <t>TES.ktoe.SK.Ser.Bld.Thermal.SH.Solids.Solids</t>
  </si>
  <si>
    <t>TES.ktoe.SK.Ser.Bld.Thermal.SH.LPG.LPG</t>
  </si>
  <si>
    <t>TES.ktoe.SK.Ser.Bld.Thermal.SH.Oil.Oil_LiqBio</t>
  </si>
  <si>
    <t>TES.ktoe.SK.Ser.Bld.Thermal.SH.GasHP.NG_Biogas</t>
  </si>
  <si>
    <t>TES.ktoe.SK.Ser.Bld.Thermal.SH.GasTH.NG_Biogas</t>
  </si>
  <si>
    <t>TES.ktoe.SK.Ser.Bld.Thermal.SH.Biomass.Biomass_Waste</t>
  </si>
  <si>
    <t>TES.ktoe.SK.Ser.Bld.Thermal.SH.Geo.Geo</t>
  </si>
  <si>
    <t>TES.ktoe.SK.Ser.Bld.Thermal.SH.DistrHeat.Steam_Distr</t>
  </si>
  <si>
    <t>TES.ktoe.SK.Ser.Bld.Thermal.SH.AdvElc.Elec</t>
  </si>
  <si>
    <t>TES.ktoe.SK.Ser.Bld.Thermal.SH.ConvElc.Elec</t>
  </si>
  <si>
    <t>TES.ktoe.SK.Ser.Bld.Thermal.SH.TotalCirculation.Elec</t>
  </si>
  <si>
    <t>TES.ktoe.SK.Ser.Bld.Thermal.SC</t>
  </si>
  <si>
    <t>TES.ktoe.SK.Ser.Bld.Thermal.SC.GasHP.NG_Biogas</t>
  </si>
  <si>
    <t>TES.ktoe.SK.Ser.Bld.Thermal.SC.AC.Elec</t>
  </si>
  <si>
    <t>TES.ktoe.SK.Ser.Bld.Thermal.HW</t>
  </si>
  <si>
    <t>TES.ktoe.SK.Ser.Bld.Thermal.HW.Solids.Solids</t>
  </si>
  <si>
    <t>TES.ktoe.SK.Ser.Bld.Thermal.HW.LPG.LPG</t>
  </si>
  <si>
    <t>TES.ktoe.SK.Ser.Bld.Thermal.HW.Oil.Oil_LiqBio</t>
  </si>
  <si>
    <t>TES.ktoe.SK.Ser.Bld.Thermal.HW.Gas.NG_Biogas</t>
  </si>
  <si>
    <t>TES.ktoe.SK.Ser.Bld.Thermal.HW.Biomass.Biomass_Waste</t>
  </si>
  <si>
    <t>TES.ktoe.SK.Ser.Bld.Thermal.HW.DistrHeat.Steam_Distr</t>
  </si>
  <si>
    <t>TES.ktoe.SK.Ser.Bld.Thermal.HW.Elc.Elec</t>
  </si>
  <si>
    <t>TES.ktoe.SK.Ser.Bld.Thermal.HW.TotalSolar.Solar</t>
  </si>
  <si>
    <t>TES.ktoe.SK.Ser.Bld.Thermal.CA</t>
  </si>
  <si>
    <t>TES.ktoe.SK.Ser.Bld.Thermal.CA.LPG</t>
  </si>
  <si>
    <t>TES.ktoe.SK.Ser.Bld.Thermal.CA.Gas.NG_Biogas</t>
  </si>
  <si>
    <t>TES.ktoe.SK.Ser.Bld.Thermal.CA.Biomass.Biomass_Waste</t>
  </si>
  <si>
    <t>TES.ktoe.SK.Ser.Bld.Thermal.CA.Elc.Elec</t>
  </si>
  <si>
    <t>SK - System efficiency indicator of total stock</t>
  </si>
  <si>
    <t>Eff.ratio.SK.Ser.Bld.Thermal.SH.Solids.Solids</t>
  </si>
  <si>
    <t>Eff.ratio.SK.Ser.Bld.Thermal.SH.LPG.LPG</t>
  </si>
  <si>
    <t>Eff.ratio.SK.Ser.Bld.Thermal.SH.Oil.Oil_LiqBio</t>
  </si>
  <si>
    <t>Eff.ratio.SK.Ser.Bld.Thermal.SH.GasHP.NG_Biogas</t>
  </si>
  <si>
    <t>Eff.ratio.SK.Ser.Bld.Thermal.SH.GasTH.NG_Biogas</t>
  </si>
  <si>
    <t>Eff.ratio.SK.Ser.Bld.Thermal.SH.Biomass.Biomass_Waste</t>
  </si>
  <si>
    <t>Eff.ratio.SK.Ser.Bld.Thermal.SH.Geo.Geo</t>
  </si>
  <si>
    <t>Eff.ratio.SK.Ser.Bld.Thermal.SH.DistrHeat.Steam_Distr</t>
  </si>
  <si>
    <t>Eff.ratio.SK.Ser.Bld.Thermal.SH.AdvElc.Elec</t>
  </si>
  <si>
    <t>Eff.ratio.SK.Ser.Bld.Thermal.SH.ConvElc.Elec</t>
  </si>
  <si>
    <t>Eff.ratio.SK.Ser.Bld.Thermal.SH.TotalCirculation.Elec</t>
  </si>
  <si>
    <t>Eff.ratio.SK.Ser.Bld.Thermal.SC.GasHP.NG_Biogas</t>
  </si>
  <si>
    <t>Eff.ratio.SK.Ser.Bld.Thermal.SC.AC.Elec</t>
  </si>
  <si>
    <t>Eff.ratio.SK.Ser.Bld.Thermal.HW.Solids.Solids</t>
  </si>
  <si>
    <t>Eff.ratio.SK.Ser.Bld.Thermal.HW.LPG.LPG</t>
  </si>
  <si>
    <t>Eff.ratio.SK.Ser.Bld.Thermal.HW.Oil.Oil_LiqBio</t>
  </si>
  <si>
    <t>Eff.ratio.SK.Ser.Bld.Thermal.HW.Gas.NG_Biogas</t>
  </si>
  <si>
    <t>Eff.ratio.SK.Ser.Bld.Thermal.HW.Biomass.Biomass_Waste</t>
  </si>
  <si>
    <t>Eff.ratio.SK.Ser.Bld.Thermal.HW.DistrHeat.Steam_Distr</t>
  </si>
  <si>
    <t>Eff.ratio.SK.Ser.Bld.Thermal.HW.Elc.Elec</t>
  </si>
  <si>
    <t>Eff.ratio.SK.Ser.Bld.Thermal.HW.TotalSolar.Solar</t>
  </si>
  <si>
    <t>Eff.ratio.SK.Ser.Bld.Thermal.CA.LPG</t>
  </si>
  <si>
    <t>Eff.ratio.SK.Ser.Bld.Thermal.CA.Gas.NG_Biogas</t>
  </si>
  <si>
    <t>Eff.ratio.SK.Ser.Bld.Thermal.CA.Biomass.Biomass_Waste</t>
  </si>
  <si>
    <t>Eff.ratio.SK.Ser.Bld.Thermal.CA.Elc.Elec</t>
  </si>
  <si>
    <t>SK - CO2 emissions</t>
  </si>
  <si>
    <t>EMI.ktCO2.SK.Ser.Bld.Thermal.SH.Solids.Solids</t>
  </si>
  <si>
    <t>EMI.ktCO2.SK.Ser.Bld.Thermal.SH.LPG.LPG</t>
  </si>
  <si>
    <t>EMI.ktCO2.SK.Ser.Bld.Thermal.SH.Oil.Oil_LiqBio</t>
  </si>
  <si>
    <t>EMI.ktCO2.SK.Ser.Bld.Thermal.SH.GasHP.NG_Biogas</t>
  </si>
  <si>
    <t>EMI.ktCO2.SK.Ser.Bld.Thermal.SH.GasTH.NG_Biogas</t>
  </si>
  <si>
    <t>EMI.ktCO2.SK.Ser.Bld.Thermal.SH.Biomass.Biomass_Waste</t>
  </si>
  <si>
    <t>EMI.ktCO2.SK.Ser.Bld.Thermal.SH.Geo.Geo</t>
  </si>
  <si>
    <t>EMI.ktCO2.SK.Ser.Bld.Thermal.SH.DistrHeat.Steam_Distr</t>
  </si>
  <si>
    <t>EMI.ktCO2.SK.Ser.Bld.Thermal.SH.AdvElc.Elec</t>
  </si>
  <si>
    <t>EMI.ktCO2.SK.Ser.Bld.Thermal.SH.ConvElc.Elec</t>
  </si>
  <si>
    <t>EMI.ktCO2.SK.Ser.Bld.Thermal.SH.TotalCirculation.Elec</t>
  </si>
  <si>
    <t>EMI.ktCO2.SK.Ser.Bld.Thermal.SC.GasHP.NG_Biogas</t>
  </si>
  <si>
    <t>EMI.ktCO2.SK.Ser.Bld.Thermal.SC.AC.Elec</t>
  </si>
  <si>
    <t>EMI.ktCO2.SK.Ser.Bld.Thermal.HW.Solids.Solids</t>
  </si>
  <si>
    <t>EMI.ktCO2.SK.Ser.Bld.Thermal.HW.LPG.LPG</t>
  </si>
  <si>
    <t>EMI.ktCO2.SK.Ser.Bld.Thermal.HW.Oil.Oil_LiqBio</t>
  </si>
  <si>
    <t>EMI.ktCO2.SK.Ser.Bld.Thermal.HW.Gas.NG_Biogas</t>
  </si>
  <si>
    <t>EMI.ktCO2.SK.Ser.Bld.Thermal.HW.Biomass.Biomass_Waste</t>
  </si>
  <si>
    <t>EMI.ktCO2.SK.Ser.Bld.Thermal.HW.DistrHeat.Steam_Distr</t>
  </si>
  <si>
    <t>EMI.ktCO2.SK.Ser.Bld.Thermal.HW.Elc.Elec</t>
  </si>
  <si>
    <t>EMI.ktCO2.SK.Ser.Bld.Thermal.HW.TotalSolar.Solar</t>
  </si>
  <si>
    <t>EMI.ktCO2.SK.Ser.Bld.Thermal.CA.LPG</t>
  </si>
  <si>
    <t>EMI.ktCO2.SK.Ser.Bld.Thermal.CA.Gas.NG_Biogas</t>
  </si>
  <si>
    <t>EMI.ktCO2.SK.Ser.Bld.Thermal.CA.Biomass.Biomass_Waste</t>
  </si>
  <si>
    <t>EMI.ktCO2.SK.Ser.Bld.Thermal.CA.Elc.Elec</t>
  </si>
  <si>
    <t>SK - Final energy consumption per building</t>
  </si>
  <si>
    <t>FEC_per_building.kWh.SK.Ser.Bld.Thermal</t>
  </si>
  <si>
    <t>FEC_per_building.kWh.SK.Ser.Bld.Thermal.SH</t>
  </si>
  <si>
    <t>FEC_per_building.kWh.SK.Ser.Bld.Thermal.SH.Solids.Solids</t>
  </si>
  <si>
    <t>FEC_per_building.kWh.SK.Ser.Bld.Thermal.SH.LPG.LPG</t>
  </si>
  <si>
    <t>FEC_per_building.kWh.SK.Ser.Bld.Thermal.SH.Oil.Oil_LiqBio</t>
  </si>
  <si>
    <t>FEC_per_building.kWh.SK.Ser.Bld.Thermal.SH.GasHP.NG_Biogas</t>
  </si>
  <si>
    <t>FEC_per_building.kWh.SK.Ser.Bld.Thermal.SH.GasTH.NG_Biogas</t>
  </si>
  <si>
    <t>FEC_per_building.kWh.SK.Ser.Bld.Thermal.SH.Biomass.Biomass_Waste</t>
  </si>
  <si>
    <t>FEC_per_building.kWh.SK.Ser.Bld.Thermal.SH.Geo.Geo</t>
  </si>
  <si>
    <t>FEC_per_building.kWh.SK.Ser.Bld.Thermal.SH.DistrHeat.Steam_Distr</t>
  </si>
  <si>
    <t>FEC_per_building.kWh.SK.Ser.Bld.Thermal.SH.AdvElc.Elec</t>
  </si>
  <si>
    <t>FEC_per_building.kWh.SK.Ser.Bld.Thermal.SH.ConvElc.Elec</t>
  </si>
  <si>
    <t>FEC_per_building.kWh.SK.Ser.Bld.Thermal.SH.TotalCirculation.Elec</t>
  </si>
  <si>
    <t>FEC_per_building.kWh.SK.Ser.Bld.Thermal.SC</t>
  </si>
  <si>
    <t>FEC_per_building.kWh.SK.Ser.Bld.Thermal.SC.GasHP.NG_Biogas</t>
  </si>
  <si>
    <t>FEC_per_building.kWh.SK.Ser.Bld.Thermal.SC.AC.Elec</t>
  </si>
  <si>
    <t>FEC_per_building.kWh.SK.Ser.Bld.Thermal.HW</t>
  </si>
  <si>
    <t>FEC_per_building.kWh.SK.Ser.Bld.Thermal.HW.Solids.Solids</t>
  </si>
  <si>
    <t>FEC_per_building.kWh.SK.Ser.Bld.Thermal.HW.LPG.LPG</t>
  </si>
  <si>
    <t>FEC_per_building.kWh.SK.Ser.Bld.Thermal.HW.Oil.Oil_LiqBio</t>
  </si>
  <si>
    <t>FEC_per_building.kWh.SK.Ser.Bld.Thermal.HW.Gas.NG_Biogas</t>
  </si>
  <si>
    <t>FEC_per_building.kWh.SK.Ser.Bld.Thermal.HW.Biomass.Biomass_Waste</t>
  </si>
  <si>
    <t>FEC_per_building.kWh.SK.Ser.Bld.Thermal.HW.DistrHeat.Steam_Distr</t>
  </si>
  <si>
    <t>FEC_per_building.kWh.SK.Ser.Bld.Thermal.HW.Elc.Elec</t>
  </si>
  <si>
    <t>FEC_per_building.kWh.SK.Ser.Bld.Thermal.HW.TotalSolar.Solar</t>
  </si>
  <si>
    <t>FEC_per_building.kWh.SK.Ser.Bld.Thermal.CA</t>
  </si>
  <si>
    <t>FEC_per_building.kWh.SK.Ser.Bld.Thermal.CA.LPG</t>
  </si>
  <si>
    <t>FEC_per_building.kWh.SK.Ser.Bld.Thermal.CA.Gas.NG_Biogas</t>
  </si>
  <si>
    <t>FEC_per_building.kWh.SK.Ser.Bld.Thermal.CA.Biomass.Biomass_Waste</t>
  </si>
  <si>
    <t>FEC_per_building.kWh.SK.Ser.Bld.Thermal.CA.Elc.Elec</t>
  </si>
  <si>
    <t>SK - Thermal energy service per building</t>
  </si>
  <si>
    <t>TES_per_building.kWh.SK.Ser.Bld.Thermal</t>
  </si>
  <si>
    <t>TES_per_building.kWh.SK.Ser.Bld.Thermal.SH</t>
  </si>
  <si>
    <t>TES_per_building.kWh.SK.Ser.Bld.Thermal.SH.Solids.Solids</t>
  </si>
  <si>
    <t>TES_per_building.kWh.SK.Ser.Bld.Thermal.SH.LPG.LPG</t>
  </si>
  <si>
    <t>TES_per_building.kWh.SK.Ser.Bld.Thermal.SH.Oil.Oil_LiqBio</t>
  </si>
  <si>
    <t>TES_per_building.kWh.SK.Ser.Bld.Thermal.SH.GasHP.NG_Biogas</t>
  </si>
  <si>
    <t>TES_per_building.kWh.SK.Ser.Bld.Thermal.SH.GasTH.NG_Biogas</t>
  </si>
  <si>
    <t>TES_per_building.kWh.SK.Ser.Bld.Thermal.SH.Biomass.Biomass_Waste</t>
  </si>
  <si>
    <t>TES_per_building.kWh.SK.Ser.Bld.Thermal.SH.Geo.Geo</t>
  </si>
  <si>
    <t>TES_per_building.kWh.SK.Ser.Bld.Thermal.SH.DistrHeat.Steam_Distr</t>
  </si>
  <si>
    <t>TES_per_building.kWh.SK.Ser.Bld.Thermal.SH.AdvElc.Elec</t>
  </si>
  <si>
    <t>TES_per_building.kWh.SK.Ser.Bld.Thermal.SH.ConvElc.Elec</t>
  </si>
  <si>
    <t>TES_per_building.kWh.SK.Ser.Bld.Thermal.SH.TotalCirculation.Elec</t>
  </si>
  <si>
    <t>TES_per_building.kWh.SK.Ser.Bld.Thermal.SC</t>
  </si>
  <si>
    <t>TES_per_building.kWh.SK.Ser.Bld.Thermal.SC.GasHP.NG_Biogas</t>
  </si>
  <si>
    <t>TES_per_building.kWh.SK.Ser.Bld.Thermal.SC.AC.Elec</t>
  </si>
  <si>
    <t>TES_per_building.kWh.SK.Ser.Bld.Thermal.HW</t>
  </si>
  <si>
    <t>TES_per_building.kWh.SK.Ser.Bld.Thermal.HW.Solids.Solids</t>
  </si>
  <si>
    <t>TES_per_building.kWh.SK.Ser.Bld.Thermal.HW.LPG.LPG</t>
  </si>
  <si>
    <t>TES_per_building.kWh.SK.Ser.Bld.Thermal.HW.Oil.Oil_LiqBio</t>
  </si>
  <si>
    <t>TES_per_building.kWh.SK.Ser.Bld.Thermal.HW.Gas.NG_Biogas</t>
  </si>
  <si>
    <t>TES_per_building.kWh.SK.Ser.Bld.Thermal.HW.Biomass.Biomass_Waste</t>
  </si>
  <si>
    <t>TES_per_building.kWh.SK.Ser.Bld.Thermal.HW.DistrHeat.Steam_Distr</t>
  </si>
  <si>
    <t>TES_per_building.kWh.SK.Ser.Bld.Thermal.HW.Elc.Elec</t>
  </si>
  <si>
    <t>TES_per_building.kWh.SK.Ser.Bld.Thermal.HW.TotalSolar.Solar</t>
  </si>
  <si>
    <t>TES_per_building.kWh.SK.Ser.Bld.Thermal.CA</t>
  </si>
  <si>
    <t>TES_per_building.kWh.SK.Ser.Bld.Thermal.CA.LPG</t>
  </si>
  <si>
    <t>TES_per_building.kWh.SK.Ser.Bld.Thermal.CA.Gas.NG_Biogas</t>
  </si>
  <si>
    <t>TES_per_building.kWh.SK.Ser.Bld.Thermal.CA.Biomass.Biomass_Waste</t>
  </si>
  <si>
    <t>TES_per_building.kWh.SK.Ser.Bld.Thermal.CA.Elc.Elec</t>
  </si>
  <si>
    <t>SK - CO2 emissions per building</t>
  </si>
  <si>
    <t>EMI_per_building.kgCO2.SK.Ser.Bld.Thermal</t>
  </si>
  <si>
    <t>EMI_per_building.kgCO2.SK.Ser.Bld.Thermal.SH</t>
  </si>
  <si>
    <t>EMI_per_building.kgCO2.SK.Ser.Bld.Thermal.SH.Solids.Solids</t>
  </si>
  <si>
    <t>EMI_per_building.kgCO2.SK.Ser.Bld.Thermal.SH.LPG.LPG</t>
  </si>
  <si>
    <t>EMI_per_building.kgCO2.SK.Ser.Bld.Thermal.SH.Oil.Oil_LiqBio</t>
  </si>
  <si>
    <t>EMI_per_building.kgCO2.SK.Ser.Bld.Thermal.SH.GasHP.NG_Biogas</t>
  </si>
  <si>
    <t>EMI_per_building.kgCO2.SK.Ser.Bld.Thermal.SH.GasTH.NG_Biogas</t>
  </si>
  <si>
    <t>EMI_per_building.kgCO2.SK.Ser.Bld.Thermal.SH.Biomass.Biomass_Waste</t>
  </si>
  <si>
    <t>EMI_per_building.kgCO2.SK.Ser.Bld.Thermal.SH.Geo.Geo</t>
  </si>
  <si>
    <t>EMI_per_building.kgCO2.SK.Ser.Bld.Thermal.SH.DistrHeat.Steam_Distr</t>
  </si>
  <si>
    <t>EMI_per_building.kgCO2.SK.Ser.Bld.Thermal.SH.AdvElc.Elec</t>
  </si>
  <si>
    <t>EMI_per_building.kgCO2.SK.Ser.Bld.Thermal.SH.ConvElc.Elec</t>
  </si>
  <si>
    <t>EMI_per_building.kgCO2.SK.Ser.Bld.Thermal.SH.TotalCirculation.Elec</t>
  </si>
  <si>
    <t>EMI_per_building.kgCO2.SK.Ser.Bld.Thermal.SC</t>
  </si>
  <si>
    <t>EMI_per_building.kgCO2.SK.Ser.Bld.Thermal.SC.GasHP.NG_Biogas</t>
  </si>
  <si>
    <t>EMI_per_building.kgCO2.SK.Ser.Bld.Thermal.SC.AC.Elec</t>
  </si>
  <si>
    <t>EMI_per_building.kgCO2.SK.Ser.Bld.Thermal.HW</t>
  </si>
  <si>
    <t>EMI_per_building.kgCO2.SK.Ser.Bld.Thermal.HW.Solids.Solids</t>
  </si>
  <si>
    <t>EMI_per_building.kgCO2.SK.Ser.Bld.Thermal.HW.LPG.LPG</t>
  </si>
  <si>
    <t>EMI_per_building.kgCO2.SK.Ser.Bld.Thermal.HW.Oil.Oil_LiqBio</t>
  </si>
  <si>
    <t>EMI_per_building.kgCO2.SK.Ser.Bld.Thermal.HW.Gas.NG_Biogas</t>
  </si>
  <si>
    <t>EMI_per_building.kgCO2.SK.Ser.Bld.Thermal.HW.Biomass.Biomass_Waste</t>
  </si>
  <si>
    <t>EMI_per_building.kgCO2.SK.Ser.Bld.Thermal.HW.DistrHeat.Steam_Distr</t>
  </si>
  <si>
    <t>EMI_per_building.kgCO2.SK.Ser.Bld.Thermal.HW.Elc.Elec</t>
  </si>
  <si>
    <t>EMI_per_building.kgCO2.SK.Ser.Bld.Thermal.HW.TotalSolar.Solar</t>
  </si>
  <si>
    <t>EMI_per_building.kgCO2.SK.Ser.Bld.Thermal.CA</t>
  </si>
  <si>
    <t>EMI_per_building.kgCO2.SK.Ser.Bld.Thermal.CA.LPG</t>
  </si>
  <si>
    <t>EMI_per_building.kgCO2.SK.Ser.Bld.Thermal.CA.Gas.NG_Biogas</t>
  </si>
  <si>
    <t>EMI_per_building.kgCO2.SK.Ser.Bld.Thermal.CA.Biomass.Biomass_Waste</t>
  </si>
  <si>
    <t>EMI_per_building.kgCO2.SK.Ser.Bld.Thermal.CA.Elc.Elec</t>
  </si>
  <si>
    <t>SK - Final energy consumption per useful surface area</t>
  </si>
  <si>
    <t>FEC_per_sqm.kWh.SK.Ser.Bld.Thermal</t>
  </si>
  <si>
    <t>FEC_per_sqm.kWh.SK.Ser.Bld.Thermal.SH</t>
  </si>
  <si>
    <t>FEC_per_sqm.kWh.SK.Ser.Bld.Thermal.SH.Solids.Solids</t>
  </si>
  <si>
    <t>FEC_per_sqm.kWh.SK.Ser.Bld.Thermal.SH.LPG.LPG</t>
  </si>
  <si>
    <t>FEC_per_sqm.kWh.SK.Ser.Bld.Thermal.SH.Oil.Oil_LiqBio</t>
  </si>
  <si>
    <t>FEC_per_sqm.kWh.SK.Ser.Bld.Thermal.SH.GasHP.NG_Biogas</t>
  </si>
  <si>
    <t>FEC_per_sqm.kWh.SK.Ser.Bld.Thermal.SH.GasTH.NG_Biogas</t>
  </si>
  <si>
    <t>FEC_per_sqm.kWh.SK.Ser.Bld.Thermal.SH.Biomass.Biomass_Waste</t>
  </si>
  <si>
    <t>FEC_per_sqm.kWh.SK.Ser.Bld.Thermal.SH.Geo.Geo</t>
  </si>
  <si>
    <t>FEC_per_sqm.kWh.SK.Ser.Bld.Thermal.SH.DistrHeat.Steam_Distr</t>
  </si>
  <si>
    <t>FEC_per_sqm.kWh.SK.Ser.Bld.Thermal.SH.AdvElc.Elec</t>
  </si>
  <si>
    <t>FEC_per_sqm.kWh.SK.Ser.Bld.Thermal.SH.ConvElc.Elec</t>
  </si>
  <si>
    <t>FEC_per_sqm.kWh.SK.Ser.Bld.Thermal.SH.TotalCirculation.Elec</t>
  </si>
  <si>
    <t>FEC_per_sqm.kWh.SK.Ser.Bld.Thermal.SC</t>
  </si>
  <si>
    <t>FEC_per_sqm.kWh.SK.Ser.Bld.Thermal.SC.GasHP.NG_Biogas</t>
  </si>
  <si>
    <t>FEC_per_sqm.kWh.SK.Ser.Bld.Thermal.SC.AC.Elec</t>
  </si>
  <si>
    <t>FEC_per_sqm.kWh.SK.Ser.Bld.Thermal.HW</t>
  </si>
  <si>
    <t>FEC_per_sqm.kWh.SK.Ser.Bld.Thermal.HW.Solids.Solids</t>
  </si>
  <si>
    <t>FEC_per_sqm.kWh.SK.Ser.Bld.Thermal.HW.LPG.LPG</t>
  </si>
  <si>
    <t>FEC_per_sqm.kWh.SK.Ser.Bld.Thermal.HW.Oil.Oil_LiqBio</t>
  </si>
  <si>
    <t>FEC_per_sqm.kWh.SK.Ser.Bld.Thermal.HW.Gas.NG_Biogas</t>
  </si>
  <si>
    <t>FEC_per_sqm.kWh.SK.Ser.Bld.Thermal.HW.Biomass.Biomass_Waste</t>
  </si>
  <si>
    <t>FEC_per_sqm.kWh.SK.Ser.Bld.Thermal.HW.DistrHeat.Steam_Distr</t>
  </si>
  <si>
    <t>FEC_per_sqm.kWh.SK.Ser.Bld.Thermal.HW.Elc.Elec</t>
  </si>
  <si>
    <t>FEC_per_sqm.kWh.SK.Ser.Bld.Thermal.HW.TotalSolar.Solar</t>
  </si>
  <si>
    <t>FEC_per_sqm.kWh.SK.Ser.Bld.Thermal.CA</t>
  </si>
  <si>
    <t>FEC_per_sqm.kWh.SK.Ser.Bld.Thermal.CA.LPG</t>
  </si>
  <si>
    <t>FEC_per_sqm.kWh.SK.Ser.Bld.Thermal.CA.Gas.NG_Biogas</t>
  </si>
  <si>
    <t>FEC_per_sqm.kWh.SK.Ser.Bld.Thermal.CA.Biomass.Biomass_Waste</t>
  </si>
  <si>
    <t>FEC_per_sqm.kWh.SK.Ser.Bld.Thermal.CA.Elc.Elec</t>
  </si>
  <si>
    <t>SK - Thermal energy service per useful surface area</t>
  </si>
  <si>
    <t>TES_per_sqm.kWh.SK.Ser.Bld.Thermal</t>
  </si>
  <si>
    <t>TES_per_sqm.kWh.SK.Ser.Bld.Thermal.SH</t>
  </si>
  <si>
    <t>TES_per_sqm.kWh.SK.Ser.Bld.Thermal.SH.Solids.Solids</t>
  </si>
  <si>
    <t>TES_per_sqm.kWh.SK.Ser.Bld.Thermal.SH.LPG.LPG</t>
  </si>
  <si>
    <t>TES_per_sqm.kWh.SK.Ser.Bld.Thermal.SH.Oil.Oil_LiqBio</t>
  </si>
  <si>
    <t>TES_per_sqm.kWh.SK.Ser.Bld.Thermal.SH.GasHP.NG_Biogas</t>
  </si>
  <si>
    <t>TES_per_sqm.kWh.SK.Ser.Bld.Thermal.SH.GasTH.NG_Biogas</t>
  </si>
  <si>
    <t>TES_per_sqm.kWh.SK.Ser.Bld.Thermal.SH.Biomass.Biomass_Waste</t>
  </si>
  <si>
    <t>TES_per_sqm.kWh.SK.Ser.Bld.Thermal.SH.Geo.Geo</t>
  </si>
  <si>
    <t>TES_per_sqm.kWh.SK.Ser.Bld.Thermal.SH.DistrHeat.Steam_Distr</t>
  </si>
  <si>
    <t>TES_per_sqm.kWh.SK.Ser.Bld.Thermal.SH.AdvElc.Elec</t>
  </si>
  <si>
    <t>TES_per_sqm.kWh.SK.Ser.Bld.Thermal.SH.ConvElc.Elec</t>
  </si>
  <si>
    <t>TES_per_sqm.kWh.SK.Ser.Bld.Thermal.SH.TotalCirculation.Elec</t>
  </si>
  <si>
    <t>TES_per_sqm.kWh.SK.Ser.Bld.Thermal.SC</t>
  </si>
  <si>
    <t>TES_per_sqm.kWh.SK.Ser.Bld.Thermal.SC.GasHP.NG_Biogas</t>
  </si>
  <si>
    <t>TES_per_sqm.kWh.SK.Ser.Bld.Thermal.SC.AC.Elec</t>
  </si>
  <si>
    <t>TES_per_sqm.kWh.SK.Ser.Bld.Thermal.HW</t>
  </si>
  <si>
    <t>TES_per_sqm.kWh.SK.Ser.Bld.Thermal.HW.Solids.Solids</t>
  </si>
  <si>
    <t>TES_per_sqm.kWh.SK.Ser.Bld.Thermal.HW.LPG.LPG</t>
  </si>
  <si>
    <t>TES_per_sqm.kWh.SK.Ser.Bld.Thermal.HW.Oil.Oil_LiqBio</t>
  </si>
  <si>
    <t>TES_per_sqm.kWh.SK.Ser.Bld.Thermal.HW.Gas.NG_Biogas</t>
  </si>
  <si>
    <t>TES_per_sqm.kWh.SK.Ser.Bld.Thermal.HW.Biomass.Biomass_Waste</t>
  </si>
  <si>
    <t>TES_per_sqm.kWh.SK.Ser.Bld.Thermal.HW.DistrHeat.Steam_Distr</t>
  </si>
  <si>
    <t>TES_per_sqm.kWh.SK.Ser.Bld.Thermal.HW.Elc.Elec</t>
  </si>
  <si>
    <t>TES_per_sqm.kWh.SK.Ser.Bld.Thermal.HW.TotalSolar.Solar</t>
  </si>
  <si>
    <t>TES_per_sqm.kWh.SK.Ser.Bld.Thermal.CA</t>
  </si>
  <si>
    <t>TES_per_sqm.kWh.SK.Ser.Bld.Thermal.CA.LPG</t>
  </si>
  <si>
    <t>TES_per_sqm.kWh.SK.Ser.Bld.Thermal.CA.Gas.NG_Biogas</t>
  </si>
  <si>
    <t>TES_per_sqm.kWh.SK.Ser.Bld.Thermal.CA.Biomass.Biomass_Waste</t>
  </si>
  <si>
    <t>TES_per_sqm.kWh.SK.Ser.Bld.Thermal.CA.Elc.Elec</t>
  </si>
  <si>
    <t>SK - CO2 emissions per useful surface area</t>
  </si>
  <si>
    <t>EMI_per_sqm.kgCO2.SK.Ser.Bld.Thermal</t>
  </si>
  <si>
    <t>EMI_per_sqm.kgCO2.SK.Ser.Bld.Thermal.SH</t>
  </si>
  <si>
    <t>EMI_per_sqm.kgCO2.SK.Ser.Bld.Thermal.SH.Solids.Solids</t>
  </si>
  <si>
    <t>EMI_per_sqm.kgCO2.SK.Ser.Bld.Thermal.SH.LPG.LPG</t>
  </si>
  <si>
    <t>EMI_per_sqm.kgCO2.SK.Ser.Bld.Thermal.SH.Oil.Oil_LiqBio</t>
  </si>
  <si>
    <t>EMI_per_sqm.kgCO2.SK.Ser.Bld.Thermal.SH.GasHP.NG_Biogas</t>
  </si>
  <si>
    <t>EMI_per_sqm.kgCO2.SK.Ser.Bld.Thermal.SH.GasTH.NG_Biogas</t>
  </si>
  <si>
    <t>EMI_per_sqm.kgCO2.SK.Ser.Bld.Thermal.SH.Biomass.Biomass_Waste</t>
  </si>
  <si>
    <t>EMI_per_sqm.kgCO2.SK.Ser.Bld.Thermal.SH.Geo.Geo</t>
  </si>
  <si>
    <t>EMI_per_sqm.kgCO2.SK.Ser.Bld.Thermal.SH.DistrHeat.Steam_Distr</t>
  </si>
  <si>
    <t>EMI_per_sqm.kgCO2.SK.Ser.Bld.Thermal.SH.AdvElc.Elec</t>
  </si>
  <si>
    <t>EMI_per_sqm.kgCO2.SK.Ser.Bld.Thermal.SH.ConvElc.Elec</t>
  </si>
  <si>
    <t>EMI_per_sqm.kgCO2.SK.Ser.Bld.Thermal.SH.TotalCirculation.Elec</t>
  </si>
  <si>
    <t>EMI_per_sqm.kgCO2.SK.Ser.Bld.Thermal.SC</t>
  </si>
  <si>
    <t>EMI_per_sqm.kgCO2.SK.Ser.Bld.Thermal.SC.GasHP.NG_Biogas</t>
  </si>
  <si>
    <t>EMI_per_sqm.kgCO2.SK.Ser.Bld.Thermal.SC.AC.Elec</t>
  </si>
  <si>
    <t>EMI_per_sqm.kgCO2.SK.Ser.Bld.Thermal.HW</t>
  </si>
  <si>
    <t>EMI_per_sqm.kgCO2.SK.Ser.Bld.Thermal.HW.Solids.Solids</t>
  </si>
  <si>
    <t>EMI_per_sqm.kgCO2.SK.Ser.Bld.Thermal.HW.LPG.LPG</t>
  </si>
  <si>
    <t>EMI_per_sqm.kgCO2.SK.Ser.Bld.Thermal.HW.Oil.Oil_LiqBio</t>
  </si>
  <si>
    <t>EMI_per_sqm.kgCO2.SK.Ser.Bld.Thermal.HW.Gas.NG_Biogas</t>
  </si>
  <si>
    <t>EMI_per_sqm.kgCO2.SK.Ser.Bld.Thermal.HW.Biomass.Biomass_Waste</t>
  </si>
  <si>
    <t>EMI_per_sqm.kgCO2.SK.Ser.Bld.Thermal.HW.DistrHeat.Steam_Distr</t>
  </si>
  <si>
    <t>EMI_per_sqm.kgCO2.SK.Ser.Bld.Thermal.HW.Elc.Elec</t>
  </si>
  <si>
    <t>EMI_per_sqm.kgCO2.SK.Ser.Bld.Thermal.HW.TotalSolar.Solar</t>
  </si>
  <si>
    <t>EMI_per_sqm.kgCO2.SK.Ser.Bld.Thermal.CA</t>
  </si>
  <si>
    <t>EMI_per_sqm.kgCO2.SK.Ser.Bld.Thermal.CA.LPG</t>
  </si>
  <si>
    <t>EMI_per_sqm.kgCO2.SK.Ser.Bld.Thermal.CA.Gas.NG_Biogas</t>
  </si>
  <si>
    <t>EMI_per_sqm.kgCO2.SK.Ser.Bld.Thermal.CA.Biomass.Biomass_Waste</t>
  </si>
  <si>
    <t>EMI_per_sqm.kgCO2.SK.Ser.Bld.Thermal.CA.Elc.Elec</t>
  </si>
  <si>
    <t>SK - Number of new and renovated buildings</t>
  </si>
  <si>
    <t>NUM.number.SK.Ser.BldNew.Thermal</t>
  </si>
  <si>
    <t>NUM.number.SK.Ser.BldNew.Thermal.SH</t>
  </si>
  <si>
    <t>NUM.number.SK.Ser.BldNew.Thermal.SH.Solids</t>
  </si>
  <si>
    <t>NUM.number.SK.Ser.BldNew.Thermal.SH.LPG</t>
  </si>
  <si>
    <t>NUM.number.SK.Ser.BldNew.Thermal.SH.Oil</t>
  </si>
  <si>
    <t>NUM.number.SK.Ser.BldNew.Thermal.SH.GasHP</t>
  </si>
  <si>
    <t>NUM.number.SK.Ser.BldNew.Thermal.SH.GasTH</t>
  </si>
  <si>
    <t>NUM.number.SK.Ser.BldNew.Thermal.SH.Biomass</t>
  </si>
  <si>
    <t>NUM.number.SK.Ser.BldNew.Thermal.SH.Geo</t>
  </si>
  <si>
    <t>NUM.number.SK.Ser.BldNew.Thermal.SH.DistrHeat</t>
  </si>
  <si>
    <t>NUM.number.SK.Ser.BldNew.Thermal.SH.AdvElc</t>
  </si>
  <si>
    <t>NUM.number.SK.Ser.BldNew.Thermal.SH.ConvElc</t>
  </si>
  <si>
    <t>NUM.number.SK.Ser.BldNew.Thermal.SC</t>
  </si>
  <si>
    <t>NUM.number.SK.Ser.BldNew.Thermal.SC.GasHP</t>
  </si>
  <si>
    <t>NUM.number.SK.Ser.BldNew.Thermal.SC.AC</t>
  </si>
  <si>
    <t>NUM.number.SK.Ser.BldNew.Thermal.HW</t>
  </si>
  <si>
    <t>NUM.number.SK.Ser.BldNew.Thermal.HW.Solids</t>
  </si>
  <si>
    <t>NUM.number.SK.Ser.BldNew.Thermal.HW.LPG</t>
  </si>
  <si>
    <t>NUM.number.SK.Ser.BldNew.Thermal.HW.Oil</t>
  </si>
  <si>
    <t>NUM.number.SK.Ser.BldNew.Thermal.HW.Gas</t>
  </si>
  <si>
    <t>NUM.number.SK.Ser.BldNew.Thermal.HW.Biomass</t>
  </si>
  <si>
    <t>NUM.number.SK.Ser.BldNew.Thermal.HW.DistrHeat</t>
  </si>
  <si>
    <t>NUM.number.SK.Ser.BldNew.Thermal.HW.Elc</t>
  </si>
  <si>
    <t>NUM.number.SK.Ser.BldNew.Thermal.HW.Solar</t>
  </si>
  <si>
    <t>NUM.number.SK.Ser.BldNew.Thermal.CA</t>
  </si>
  <si>
    <t>NUM.number.SK.Ser.BldNew.Thermal.CA.LPG</t>
  </si>
  <si>
    <t>NUM.number.SK.Ser.BldNew.Thermal.CA.Gas</t>
  </si>
  <si>
    <t>NUM.number.SK.Ser.BldNew.Thermal.CA.Biomass</t>
  </si>
  <si>
    <t>NUM.number.SK.Ser.BldNew.Thermal.CA.Elc</t>
  </si>
  <si>
    <t>SK - Final energy consumption in new and renovated buildings</t>
  </si>
  <si>
    <t>FEC.ktoe.SK.Ser.BldNew.Thermal</t>
  </si>
  <si>
    <t>FEC.ktoe.SK.Ser.BldNew.Thermal.SH</t>
  </si>
  <si>
    <t>FEC.ktoe.SK.Ser.BldNew.Thermal.SH.Solids.Solids</t>
  </si>
  <si>
    <t>FEC.ktoe.SK.Ser.BldNew.Thermal.SH.LPG.LPG</t>
  </si>
  <si>
    <t>FEC.ktoe.SK.Ser.BldNew.Thermal.SH.Oil.Oil_LiqBio</t>
  </si>
  <si>
    <t>FEC.ktoe.SK.Ser.BldNew.Thermal.SH.GasHP.NG_Biogas</t>
  </si>
  <si>
    <t>FEC.ktoe.SK.Ser.BldNew.Thermal.SH.GasTH.NG_Biogas</t>
  </si>
  <si>
    <t>FEC.ktoe.SK.Ser.BldNew.Thermal.SH.Biomass.Biomass_Waste</t>
  </si>
  <si>
    <t>FEC.ktoe.SK.Ser.BldNew.Thermal.SH.Geo.Geo</t>
  </si>
  <si>
    <t>FEC.ktoe.SK.Ser.BldNew.Thermal.SH.DistrHeat.Steam_Distr</t>
  </si>
  <si>
    <t>FEC.ktoe.SK.Ser.BldNew.Thermal.SH.AdvElc.Elec</t>
  </si>
  <si>
    <t>FEC.ktoe.SK.Ser.BldNew.Thermal.SH.ConvElc.Elec</t>
  </si>
  <si>
    <t>FEC.ktoe.SK.Ser.BldNew.Thermal.SH.TotalCirculation.Elec</t>
  </si>
  <si>
    <t>FEC.ktoe.SK.Ser.BldNew.Thermal.SC</t>
  </si>
  <si>
    <t>FEC.ktoe.SK.Ser.BldNew.Thermal.SC.GasHP.NG_Biogas</t>
  </si>
  <si>
    <t>FEC.ktoe.SK.Ser.BldNew.Thermal.SC.AC.Elec</t>
  </si>
  <si>
    <t>FEC.ktoe.SK.Ser.BldNew.Thermal.HW</t>
  </si>
  <si>
    <t>FEC.ktoe.SK.Ser.BldNew.Thermal.HW.Solids.Solids</t>
  </si>
  <si>
    <t>FEC.ktoe.SK.Ser.BldNew.Thermal.HW.LPG.LPG</t>
  </si>
  <si>
    <t>FEC.ktoe.SK.Ser.BldNew.Thermal.HW.Oil.Oil_LiqBio</t>
  </si>
  <si>
    <t>FEC.ktoe.SK.Ser.BldNew.Thermal.HW.Gas.NG_Biogas</t>
  </si>
  <si>
    <t>FEC.ktoe.SK.Ser.BldNew.Thermal.HW.Biomass.Biomass_Waste</t>
  </si>
  <si>
    <t>FEC.ktoe.SK.Ser.BldNew.Thermal.HW.DistrHeat.Steam_Distr</t>
  </si>
  <si>
    <t>FEC.ktoe.SK.Ser.BldNew.Thermal.HW.Elc.Elec</t>
  </si>
  <si>
    <t>FEC.ktoe.SK.Ser.BldNew.Thermal.HW.TotalSolar.Solar</t>
  </si>
  <si>
    <t>FEC.ktoe.SK.Ser.BldNew.Thermal.CA</t>
  </si>
  <si>
    <t>FEC.ktoe.SK.Ser.BldNew.Thermal.CA.LPG</t>
  </si>
  <si>
    <t>FEC.ktoe.SK.Ser.BldNew.Thermal.CA.Gas.NG_Biogas</t>
  </si>
  <si>
    <t>FEC.ktoe.SK.Ser.BldNew.Thermal.CA.Biomass.Biomass_Waste</t>
  </si>
  <si>
    <t>FEC.ktoe.SK.Ser.BldNew.Thermal.CA.Elc.Elec</t>
  </si>
  <si>
    <t>SK - Thermal energy service in new and renovated buildings</t>
  </si>
  <si>
    <t>TES.ktoe.SK.Ser.BldNew.Thermal</t>
  </si>
  <si>
    <t>TES.ktoe.SK.Ser.BldNew.Thermal.SH</t>
  </si>
  <si>
    <t>TES.ktoe.SK.Ser.BldNew.Thermal.SH.Solids.Solids</t>
  </si>
  <si>
    <t>TES.ktoe.SK.Ser.BldNew.Thermal.SH.LPG.LPG</t>
  </si>
  <si>
    <t>TES.ktoe.SK.Ser.BldNew.Thermal.SH.Oil.Oil_LiqBio</t>
  </si>
  <si>
    <t>TES.ktoe.SK.Ser.BldNew.Thermal.SH.GasHP.NG_Biogas</t>
  </si>
  <si>
    <t>TES.ktoe.SK.Ser.BldNew.Thermal.SH.GasTH.NG_Biogas</t>
  </si>
  <si>
    <t>TES.ktoe.SK.Ser.BldNew.Thermal.SH.Biomass.Biomass_Waste</t>
  </si>
  <si>
    <t>TES.ktoe.SK.Ser.BldNew.Thermal.SH.Geo.Geo</t>
  </si>
  <si>
    <t>TES.ktoe.SK.Ser.BldNew.Thermal.SH.DistrHeat.Steam_Distr</t>
  </si>
  <si>
    <t>TES.ktoe.SK.Ser.BldNew.Thermal.SH.AdvElc.Elec</t>
  </si>
  <si>
    <t>TES.ktoe.SK.Ser.BldNew.Thermal.SH.ConvElc.Elec</t>
  </si>
  <si>
    <t>TES.ktoe.SK.Ser.BldNew.Thermal.SH.TotalCirculation.Elec</t>
  </si>
  <si>
    <t>TES.ktoe.SK.Ser.BldNew.Thermal.SC</t>
  </si>
  <si>
    <t>TES.ktoe.SK.Ser.BldNew.Thermal.SC.GasHP.NG_Biogas</t>
  </si>
  <si>
    <t>TES.ktoe.SK.Ser.BldNew.Thermal.SC.AC.Elec</t>
  </si>
  <si>
    <t>TES.ktoe.SK.Ser.BldNew.Thermal.HW</t>
  </si>
  <si>
    <t>TES.ktoe.SK.Ser.BldNew.Thermal.HW.Solids.Solids</t>
  </si>
  <si>
    <t>TES.ktoe.SK.Ser.BldNew.Thermal.HW.LPG.LPG</t>
  </si>
  <si>
    <t>TES.ktoe.SK.Ser.BldNew.Thermal.HW.Oil.Oil_LiqBio</t>
  </si>
  <si>
    <t>TES.ktoe.SK.Ser.BldNew.Thermal.HW.Gas.NG_Biogas</t>
  </si>
  <si>
    <t>TES.ktoe.SK.Ser.BldNew.Thermal.HW.Biomass.Biomass_Waste</t>
  </si>
  <si>
    <t>TES.ktoe.SK.Ser.BldNew.Thermal.HW.DistrHeat.Steam_Distr</t>
  </si>
  <si>
    <t>TES.ktoe.SK.Ser.BldNew.Thermal.HW.Elc.Elec</t>
  </si>
  <si>
    <t>TES.ktoe.SK.Ser.BldNew.Thermal.HW.TotalSolar.Solar</t>
  </si>
  <si>
    <t>TES.ktoe.SK.Ser.BldNew.Thermal.CA</t>
  </si>
  <si>
    <t>TES.ktoe.SK.Ser.BldNew.Thermal.CA.LPG</t>
  </si>
  <si>
    <t>TES.ktoe.SK.Ser.BldNew.Thermal.CA.Gas.NG_Biogas</t>
  </si>
  <si>
    <t>TES.ktoe.SK.Ser.BldNew.Thermal.CA.Biomass.Biomass_Waste</t>
  </si>
  <si>
    <t>TES.ktoe.SK.Ser.BldNew.Thermal.CA.Elc.Elec</t>
  </si>
  <si>
    <t>SK - System efficiency indicator of new and renovated buildings</t>
  </si>
  <si>
    <t>Eff.ratio.SK.Ser.BldNew.Thermal</t>
  </si>
  <si>
    <t>Eff.ratio.SK.Ser.BldNew.Thermal.SH</t>
  </si>
  <si>
    <t>Eff.ratio.SK.Ser.BldNew.Thermal.SH.Solids.Solids</t>
  </si>
  <si>
    <t>Eff.ratio.SK.Ser.BldNew.Thermal.SH.LPG.LPG</t>
  </si>
  <si>
    <t>Eff.ratio.SK.Ser.BldNew.Thermal.SH.Oil.Oil_LiqBio</t>
  </si>
  <si>
    <t>Eff.ratio.SK.Ser.BldNew.Thermal.SH.GasHP.NG_Biogas</t>
  </si>
  <si>
    <t>Eff.ratio.SK.Ser.BldNew.Thermal.SH.GasTH.NG_Biogas</t>
  </si>
  <si>
    <t>Eff.ratio.SK.Ser.BldNew.Thermal.SH.Biomass.Biomass_Waste</t>
  </si>
  <si>
    <t>Eff.ratio.SK.Ser.BldNew.Thermal.SH.Geo.Geo</t>
  </si>
  <si>
    <t>Eff.ratio.SK.Ser.BldNew.Thermal.SH.DistrHeat.Steam_Distr</t>
  </si>
  <si>
    <t>Eff.ratio.SK.Ser.BldNew.Thermal.SH.AdvElc.Elec</t>
  </si>
  <si>
    <t>Eff.ratio.SK.Ser.BldNew.Thermal.SH.ConvElc.Elec</t>
  </si>
  <si>
    <t>Eff.ratio.SK.Ser.BldNew.Thermal.SH.TotalCirculation.Elec</t>
  </si>
  <si>
    <t>Eff.ratio.SK.Ser.BldNew.Thermal.SC</t>
  </si>
  <si>
    <t>Eff.ratio.SK.Ser.BldNew.Thermal.SC.GasHP.NG_Biogas</t>
  </si>
  <si>
    <t>Eff.ratio.SK.Ser.BldNew.Thermal.SC.AC.Elec</t>
  </si>
  <si>
    <t>Eff.ratio.SK.Ser.BldNew.Thermal.HW</t>
  </si>
  <si>
    <t>Eff.ratio.SK.Ser.BldNew.Thermal.HW.Solids.Solids</t>
  </si>
  <si>
    <t>Eff.ratio.SK.Ser.BldNew.Thermal.HW.LPG.LPG</t>
  </si>
  <si>
    <t>Eff.ratio.SK.Ser.BldNew.Thermal.HW.Oil.Oil_LiqBio</t>
  </si>
  <si>
    <t>Eff.ratio.SK.Ser.BldNew.Thermal.HW.Gas.NG_Biogas</t>
  </si>
  <si>
    <t>Eff.ratio.SK.Ser.BldNew.Thermal.HW.Biomass.Biomass_Waste</t>
  </si>
  <si>
    <t>Eff.ratio.SK.Ser.BldNew.Thermal.HW.DistrHeat.Steam_Distr</t>
  </si>
  <si>
    <t>Eff.ratio.SK.Ser.BldNew.Thermal.HW.Elc.Elec</t>
  </si>
  <si>
    <t>Eff.ratio.SK.Ser.BldNew.Thermal.HW.TotalSolar.Solar</t>
  </si>
  <si>
    <t>Eff.ratio.SK.Ser.BldNew.Thermal.CA</t>
  </si>
  <si>
    <t>Eff.ratio.SK.Ser.BldNew.Thermal.CA.LPG</t>
  </si>
  <si>
    <t>Eff.ratio.SK.Ser.BldNew.Thermal.CA.Gas.NG_Biogas</t>
  </si>
  <si>
    <t>Eff.ratio.SK.Ser.BldNew.Thermal.CA.Biomass.Biomass_Waste</t>
  </si>
  <si>
    <t>Eff.ratio.SK.Ser.BldNew.Thermal.CA.Elc.Elec</t>
  </si>
  <si>
    <t>SK - CO2 emissions in new and renovated buildings</t>
  </si>
  <si>
    <t>EMI.ktCO2.SK.Ser.BldNew.Thermal</t>
  </si>
  <si>
    <t>EMI.ktCO2.SK.Ser.BldNew.Thermal.SH</t>
  </si>
  <si>
    <t>EMI.ktCO2.SK.Ser.BldNew.Thermal.SH.Solids.Solids</t>
  </si>
  <si>
    <t>EMI.ktCO2.SK.Ser.BldNew.Thermal.SH.LPG.LPG</t>
  </si>
  <si>
    <t>EMI.ktCO2.SK.Ser.BldNew.Thermal.SH.Oil.Oil_LiqBio</t>
  </si>
  <si>
    <t>EMI.ktCO2.SK.Ser.BldNew.Thermal.SH.GasHP.NG_Biogas</t>
  </si>
  <si>
    <t>EMI.ktCO2.SK.Ser.BldNew.Thermal.SH.GasTH.NG_Biogas</t>
  </si>
  <si>
    <t>EMI.ktCO2.SK.Ser.BldNew.Thermal.SH.Biomass.Biomass_Waste</t>
  </si>
  <si>
    <t>EMI.ktCO2.SK.Ser.BldNew.Thermal.SH.Geo.Geo</t>
  </si>
  <si>
    <t>EMI.ktCO2.SK.Ser.BldNew.Thermal.SH.DistrHeat.Steam_Distr</t>
  </si>
  <si>
    <t>EMI.ktCO2.SK.Ser.BldNew.Thermal.SH.AdvElc.Elec</t>
  </si>
  <si>
    <t>EMI.ktCO2.SK.Ser.BldNew.Thermal.SH.ConvElc.Elec</t>
  </si>
  <si>
    <t>EMI.ktCO2.SK.Ser.BldNew.Thermal.SH.TotalCirculation.Elec</t>
  </si>
  <si>
    <t>EMI.ktCO2.SK.Ser.BldNew.Thermal.SC</t>
  </si>
  <si>
    <t>EMI.ktCO2.SK.Ser.BldNew.Thermal.SC.GasHP.NG_Biogas</t>
  </si>
  <si>
    <t>EMI.ktCO2.SK.Ser.BldNew.Thermal.SC.AC.Elec</t>
  </si>
  <si>
    <t>EMI.ktCO2.SK.Ser.BldNew.Thermal.HW</t>
  </si>
  <si>
    <t>EMI.ktCO2.SK.Ser.BldNew.Thermal.HW.Solids.Solids</t>
  </si>
  <si>
    <t>EMI.ktCO2.SK.Ser.BldNew.Thermal.HW.LPG.LPG</t>
  </si>
  <si>
    <t>EMI.ktCO2.SK.Ser.BldNew.Thermal.HW.Oil.Oil_LiqBio</t>
  </si>
  <si>
    <t>EMI.ktCO2.SK.Ser.BldNew.Thermal.HW.Gas.NG_Biogas</t>
  </si>
  <si>
    <t>EMI.ktCO2.SK.Ser.BldNew.Thermal.HW.Biomass.Biomass_Waste</t>
  </si>
  <si>
    <t>EMI.ktCO2.SK.Ser.BldNew.Thermal.HW.DistrHeat.Steam_Distr</t>
  </si>
  <si>
    <t>EMI.ktCO2.SK.Ser.BldNew.Thermal.HW.Elc.Elec</t>
  </si>
  <si>
    <t>EMI.ktCO2.SK.Ser.BldNew.Thermal.HW.TotalSolar.Solar</t>
  </si>
  <si>
    <t>EMI.ktCO2.SK.Ser.BldNew.Thermal.CA</t>
  </si>
  <si>
    <t>EMI.ktCO2.SK.Ser.BldNew.Thermal.CA.LPG</t>
  </si>
  <si>
    <t>EMI.ktCO2.SK.Ser.BldNew.Thermal.CA.Gas.NG_Biogas</t>
  </si>
  <si>
    <t>EMI.ktCO2.SK.Ser.BldNew.Thermal.CA.Biomass.Biomass_Waste</t>
  </si>
  <si>
    <t>EMI.ktCO2.SK.Ser.BldNew.Thermal.CA.Elc.Elec</t>
  </si>
  <si>
    <t>SK - Final energy consumption of new and renovated buildings (per building)</t>
  </si>
  <si>
    <t>FEC_per_building.kWh.SK.Ser.BldNew.Thermal</t>
  </si>
  <si>
    <t>FEC_per_building.kWh.SK.Ser.BldNew.Thermal.SH</t>
  </si>
  <si>
    <t>FEC_per_building.kWh.SK.Ser.BldNew.Thermal.SH.Solids.Solids</t>
  </si>
  <si>
    <t>FEC_per_building.kWh.SK.Ser.BldNew.Thermal.SH.LPG.LPG</t>
  </si>
  <si>
    <t>FEC_per_building.kWh.SK.Ser.BldNew.Thermal.SH.Oil.Oil_LiqBio</t>
  </si>
  <si>
    <t>FEC_per_building.kWh.SK.Ser.BldNew.Thermal.SH.GasHP.NG_Biogas</t>
  </si>
  <si>
    <t>FEC_per_building.kWh.SK.Ser.BldNew.Thermal.SH.GasTH.NG_Biogas</t>
  </si>
  <si>
    <t>FEC_per_building.kWh.SK.Ser.BldNew.Thermal.SH.Biomass.Biomass_Waste</t>
  </si>
  <si>
    <t>FEC_per_building.kWh.SK.Ser.BldNew.Thermal.SH.Geo.Geo</t>
  </si>
  <si>
    <t>FEC_per_building.kWh.SK.Ser.BldNew.Thermal.SH.DistrHeat.Steam_Distr</t>
  </si>
  <si>
    <t>FEC_per_building.kWh.SK.Ser.BldNew.Thermal.SH.AdvElc.Elec</t>
  </si>
  <si>
    <t>FEC_per_building.kWh.SK.Ser.BldNew.Thermal.SH.ConvElc.Elec</t>
  </si>
  <si>
    <t>FEC_per_building.kWh.SK.Ser.BldNew.Thermal.SH.TotalCirculation.Elec</t>
  </si>
  <si>
    <t>FEC_per_building.kWh.SK.Ser.BldNew.Thermal.SC</t>
  </si>
  <si>
    <t>FEC_per_building.kWh.SK.Ser.BldNew.Thermal.SC.GasHP.NG_Biogas</t>
  </si>
  <si>
    <t>FEC_per_building.kWh.SK.Ser.BldNew.Thermal.SC.AC.Elec</t>
  </si>
  <si>
    <t>FEC_per_building.kWh.SK.Ser.BldNew.Thermal.HW</t>
  </si>
  <si>
    <t>FEC_per_building.kWh.SK.Ser.BldNew.Thermal.HW.Solids.Solids</t>
  </si>
  <si>
    <t>FEC_per_building.kWh.SK.Ser.BldNew.Thermal.HW.LPG.LPG</t>
  </si>
  <si>
    <t>FEC_per_building.kWh.SK.Ser.BldNew.Thermal.HW.Oil.Oil_LiqBio</t>
  </si>
  <si>
    <t>FEC_per_building.kWh.SK.Ser.BldNew.Thermal.HW.Gas.NG_Biogas</t>
  </si>
  <si>
    <t>FEC_per_building.kWh.SK.Ser.BldNew.Thermal.HW.Biomass.Biomass_Waste</t>
  </si>
  <si>
    <t>FEC_per_building.kWh.SK.Ser.BldNew.Thermal.HW.DistrHeat.Steam_Distr</t>
  </si>
  <si>
    <t>FEC_per_building.kWh.SK.Ser.BldNew.Thermal.HW.Elc.Elec</t>
  </si>
  <si>
    <t>FEC_per_building.kWh.SK.Ser.BldNew.Thermal.HW.TotalSolar.Solar</t>
  </si>
  <si>
    <t>FEC_per_building.kWh.SK.Ser.BldNew.Thermal.CA</t>
  </si>
  <si>
    <t>FEC_per_building.kWh.SK.Ser.BldNew.Thermal.CA.LPG</t>
  </si>
  <si>
    <t>FEC_per_building.kWh.SK.Ser.BldNew.Thermal.CA.Gas.NG_Biogas</t>
  </si>
  <si>
    <t>FEC_per_building.kWh.SK.Ser.BldNew.Thermal.CA.Biomass.Biomass_Waste</t>
  </si>
  <si>
    <t>FEC_per_building.kWh.SK.Ser.BldNew.Thermal.CA.Elc.Elec</t>
  </si>
  <si>
    <t>SK - Thermal energy service of new and renovated buildings (per building)</t>
  </si>
  <si>
    <t>TES_per_building.kWh.SK.Ser.BldNew.Thermal</t>
  </si>
  <si>
    <t>TES_per_building.kWh.SK.Ser.BldNew.Thermal.SH</t>
  </si>
  <si>
    <t>TES_per_building.kWh.SK.Ser.BldNew.Thermal.SH.Solids.Solids</t>
  </si>
  <si>
    <t>TES_per_building.kWh.SK.Ser.BldNew.Thermal.SH.LPG.LPG</t>
  </si>
  <si>
    <t>TES_per_building.kWh.SK.Ser.BldNew.Thermal.SH.Oil.Oil_LiqBio</t>
  </si>
  <si>
    <t>TES_per_building.kWh.SK.Ser.BldNew.Thermal.SH.GasHP.NG_Biogas</t>
  </si>
  <si>
    <t>TES_per_building.kWh.SK.Ser.BldNew.Thermal.SH.GasTH.NG_Biogas</t>
  </si>
  <si>
    <t>TES_per_building.kWh.SK.Ser.BldNew.Thermal.SH.Biomass.Biomass_Waste</t>
  </si>
  <si>
    <t>TES_per_building.kWh.SK.Ser.BldNew.Thermal.SH.Geo.Geo</t>
  </si>
  <si>
    <t>TES_per_building.kWh.SK.Ser.BldNew.Thermal.SH.DistrHeat.Steam_Distr</t>
  </si>
  <si>
    <t>TES_per_building.kWh.SK.Ser.BldNew.Thermal.SH.AdvElc.Elec</t>
  </si>
  <si>
    <t>TES_per_building.kWh.SK.Ser.BldNew.Thermal.SH.ConvElc.Elec</t>
  </si>
  <si>
    <t>TES_per_building.kWh.SK.Ser.BldNew.Thermal.SH.TotalCirculation.Elec</t>
  </si>
  <si>
    <t>TES_per_building.kWh.SK.Ser.BldNew.Thermal.SC</t>
  </si>
  <si>
    <t>TES_per_building.kWh.SK.Ser.BldNew.Thermal.SC.GasHP.NG_Biogas</t>
  </si>
  <si>
    <t>TES_per_building.kWh.SK.Ser.BldNew.Thermal.SC.AC.Elec</t>
  </si>
  <si>
    <t>TES_per_building.kWh.SK.Ser.BldNew.Thermal.HW</t>
  </si>
  <si>
    <t>TES_per_building.kWh.SK.Ser.BldNew.Thermal.HW.Solids.Solids</t>
  </si>
  <si>
    <t>TES_per_building.kWh.SK.Ser.BldNew.Thermal.HW.LPG.LPG</t>
  </si>
  <si>
    <t>TES_per_building.kWh.SK.Ser.BldNew.Thermal.HW.Oil.Oil_LiqBio</t>
  </si>
  <si>
    <t>TES_per_building.kWh.SK.Ser.BldNew.Thermal.HW.Gas.NG_Biogas</t>
  </si>
  <si>
    <t>TES_per_building.kWh.SK.Ser.BldNew.Thermal.HW.Biomass.Biomass_Waste</t>
  </si>
  <si>
    <t>TES_per_building.kWh.SK.Ser.BldNew.Thermal.HW.DistrHeat.Steam_Distr</t>
  </si>
  <si>
    <t>TES_per_building.kWh.SK.Ser.BldNew.Thermal.HW.Elc.Elec</t>
  </si>
  <si>
    <t>TES_per_building.kWh.SK.Ser.BldNew.Thermal.HW.TotalSolar.Solar</t>
  </si>
  <si>
    <t>TES_per_building.kWh.SK.Ser.BldNew.Thermal.CA</t>
  </si>
  <si>
    <t>TES_per_building.kWh.SK.Ser.BldNew.Thermal.CA.LPG</t>
  </si>
  <si>
    <t>TES_per_building.kWh.SK.Ser.BldNew.Thermal.CA.Gas.NG_Biogas</t>
  </si>
  <si>
    <t>TES_per_building.kWh.SK.Ser.BldNew.Thermal.CA.Biomass.Biomass_Waste</t>
  </si>
  <si>
    <t>TES_per_building.kWh.SK.Ser.BldNew.Thermal.CA.Elc.Elec</t>
  </si>
  <si>
    <t>SK - CO2 emissions in new and renovated buildings (per building)</t>
  </si>
  <si>
    <t>EMI_per_building.kgCO2.SK.Ser.BldNew.Thermal</t>
  </si>
  <si>
    <t>EMI_per_building.kgCO2.SK.Ser.BldNew.Thermal.SH</t>
  </si>
  <si>
    <t>EMI_per_building.kgCO2.SK.Ser.BldNew.Thermal.SH.Solids.Solids</t>
  </si>
  <si>
    <t>EMI_per_building.kgCO2.SK.Ser.BldNew.Thermal.SH.LPG.LPG</t>
  </si>
  <si>
    <t>EMI_per_building.kgCO2.SK.Ser.BldNew.Thermal.SH.Oil.Oil_LiqBio</t>
  </si>
  <si>
    <t>EMI_per_building.kgCO2.SK.Ser.BldNew.Thermal.SH.GasHP.NG_Biogas</t>
  </si>
  <si>
    <t>EMI_per_building.kgCO2.SK.Ser.BldNew.Thermal.SH.GasTH.NG_Biogas</t>
  </si>
  <si>
    <t>EMI_per_building.kgCO2.SK.Ser.BldNew.Thermal.SH.Biomass.Biomass_Waste</t>
  </si>
  <si>
    <t>EMI_per_building.kgCO2.SK.Ser.BldNew.Thermal.SH.Geo.Geo</t>
  </si>
  <si>
    <t>EMI_per_building.kgCO2.SK.Ser.BldNew.Thermal.SH.DistrHeat.Steam_Distr</t>
  </si>
  <si>
    <t>EMI_per_building.kgCO2.SK.Ser.BldNew.Thermal.SH.AdvElc.Elec</t>
  </si>
  <si>
    <t>EMI_per_building.kgCO2.SK.Ser.BldNew.Thermal.SH.ConvElc.Elec</t>
  </si>
  <si>
    <t>EMI_per_building.kgCO2.SK.Ser.BldNew.Thermal.SH.TotalCirculation.Elec</t>
  </si>
  <si>
    <t>EMI_per_building.kgCO2.SK.Ser.BldNew.Thermal.SC</t>
  </si>
  <si>
    <t>EMI_per_building.kgCO2.SK.Ser.BldNew.Thermal.SC.GasHP.NG_Biogas</t>
  </si>
  <si>
    <t>EMI_per_building.kgCO2.SK.Ser.BldNew.Thermal.SC.AC.Elec</t>
  </si>
  <si>
    <t>EMI_per_building.kgCO2.SK.Ser.BldNew.Thermal.HW</t>
  </si>
  <si>
    <t>EMI_per_building.kgCO2.SK.Ser.BldNew.Thermal.HW.Solids.Solids</t>
  </si>
  <si>
    <t>EMI_per_building.kgCO2.SK.Ser.BldNew.Thermal.HW.LPG.LPG</t>
  </si>
  <si>
    <t>EMI_per_building.kgCO2.SK.Ser.BldNew.Thermal.HW.Oil.Oil_LiqBio</t>
  </si>
  <si>
    <t>EMI_per_building.kgCO2.SK.Ser.BldNew.Thermal.HW.Gas.NG_Biogas</t>
  </si>
  <si>
    <t>EMI_per_building.kgCO2.SK.Ser.BldNew.Thermal.HW.Biomass.Biomass_Waste</t>
  </si>
  <si>
    <t>EMI_per_building.kgCO2.SK.Ser.BldNew.Thermal.HW.DistrHeat.Steam_Distr</t>
  </si>
  <si>
    <t>EMI_per_building.kgCO2.SK.Ser.BldNew.Thermal.HW.Elc.Elec</t>
  </si>
  <si>
    <t>EMI_per_building.kgCO2.SK.Ser.BldNew.Thermal.HW.TotalSolar.Solar</t>
  </si>
  <si>
    <t>EMI_per_building.kgCO2.SK.Ser.BldNew.Thermal.CA</t>
  </si>
  <si>
    <t>EMI_per_building.kgCO2.SK.Ser.BldNew.Thermal.CA.LPG</t>
  </si>
  <si>
    <t>EMI_per_building.kgCO2.SK.Ser.BldNew.Thermal.CA.Gas.NG_Biogas</t>
  </si>
  <si>
    <t>EMI_per_building.kgCO2.SK.Ser.BldNew.Thermal.CA.Biomass.Biomass_Waste</t>
  </si>
  <si>
    <t>EMI_per_building.kgCO2.SK.Ser.BldNew.Thermal.CA.Elc.Elec</t>
  </si>
  <si>
    <t>SK - Final energy consumption in new and renovated buildings per surface area</t>
  </si>
  <si>
    <t>FEC_per_sqm.kWh.SK.Ser.BldNew.Thermal</t>
  </si>
  <si>
    <t>FEC_per_sqm.kWh.SK.Ser.BldNew.Thermal.SH</t>
  </si>
  <si>
    <t>FEC_per_sqm.kWh.SK.Ser.BldNew.Thermal.SH.Solids.Solids</t>
  </si>
  <si>
    <t>FEC_per_sqm.kWh.SK.Ser.BldNew.Thermal.SH.LPG.LPG</t>
  </si>
  <si>
    <t>FEC_per_sqm.kWh.SK.Ser.BldNew.Thermal.SH.Oil.Oil_LiqBio</t>
  </si>
  <si>
    <t>FEC_per_sqm.kWh.SK.Ser.BldNew.Thermal.SH.GasHP.NG_Biogas</t>
  </si>
  <si>
    <t>FEC_per_sqm.kWh.SK.Ser.BldNew.Thermal.SH.GasTH.NG_Biogas</t>
  </si>
  <si>
    <t>FEC_per_sqm.kWh.SK.Ser.BldNew.Thermal.SH.Biomass.Biomass_Waste</t>
  </si>
  <si>
    <t>FEC_per_sqm.kWh.SK.Ser.BldNew.Thermal.SH.Geo.Geo</t>
  </si>
  <si>
    <t>FEC_per_sqm.kWh.SK.Ser.BldNew.Thermal.SH.DistrHeat.Steam_Distr</t>
  </si>
  <si>
    <t>FEC_per_sqm.kWh.SK.Ser.BldNew.Thermal.SH.AdvElc.Elec</t>
  </si>
  <si>
    <t>FEC_per_sqm.kWh.SK.Ser.BldNew.Thermal.SH.ConvElc.Elec</t>
  </si>
  <si>
    <t>FEC_per_sqm.kWh.SK.Ser.BldNew.Thermal.SH.TotalCirculation.Elec</t>
  </si>
  <si>
    <t>FEC_per_sqm.kWh.SK.Ser.BldNew.Thermal.SC</t>
  </si>
  <si>
    <t>FEC_per_sqm.kWh.SK.Ser.BldNew.Thermal.SC.GasHP.NG_Biogas</t>
  </si>
  <si>
    <t>FEC_per_sqm.kWh.SK.Ser.BldNew.Thermal.SC.AC.Elec</t>
  </si>
  <si>
    <t>FEC_per_sqm.kWh.SK.Ser.BldNew.Thermal.HW</t>
  </si>
  <si>
    <t>FEC_per_sqm.kWh.SK.Ser.BldNew.Thermal.HW.Solids.Solids</t>
  </si>
  <si>
    <t>FEC_per_sqm.kWh.SK.Ser.BldNew.Thermal.HW.LPG.LPG</t>
  </si>
  <si>
    <t>FEC_per_sqm.kWh.SK.Ser.BldNew.Thermal.HW.Oil.Oil_LiqBio</t>
  </si>
  <si>
    <t>FEC_per_sqm.kWh.SK.Ser.BldNew.Thermal.HW.Gas.NG_Biogas</t>
  </si>
  <si>
    <t>FEC_per_sqm.kWh.SK.Ser.BldNew.Thermal.HW.Biomass.Biomass_Waste</t>
  </si>
  <si>
    <t>FEC_per_sqm.kWh.SK.Ser.BldNew.Thermal.HW.DistrHeat.Steam_Distr</t>
  </si>
  <si>
    <t>FEC_per_sqm.kWh.SK.Ser.BldNew.Thermal.HW.Elc.Elec</t>
  </si>
  <si>
    <t>FEC_per_sqm.kWh.SK.Ser.BldNew.Thermal.HW.TotalSolar.Solar</t>
  </si>
  <si>
    <t>FEC_per_sqm.kWh.SK.Ser.BldNew.Thermal.CA</t>
  </si>
  <si>
    <t>FEC_per_sqm.kWh.SK.Ser.BldNew.Thermal.CA.LPG</t>
  </si>
  <si>
    <t>FEC_per_sqm.kWh.SK.Ser.BldNew.Thermal.CA.Gas.NG_Biogas</t>
  </si>
  <si>
    <t>FEC_per_sqm.kWh.SK.Ser.BldNew.Thermal.CA.Biomass.Biomass_Waste</t>
  </si>
  <si>
    <t>FEC_per_sqm.kWh.SK.Ser.BldNew.Thermal.CA.Elc.Elec</t>
  </si>
  <si>
    <t>SK - Thermal energy service in new and renovated buildings per surface area</t>
  </si>
  <si>
    <t>TES_per_sqm.kWh.SK.Ser.BldNew.Thermal</t>
  </si>
  <si>
    <t>TES_per_sqm.kWh.SK.Ser.BldNew.Thermal.SH</t>
  </si>
  <si>
    <t>TES_per_sqm.kWh.SK.Ser.BldNew.Thermal.SH.Solids.Solids</t>
  </si>
  <si>
    <t>TES_per_sqm.kWh.SK.Ser.BldNew.Thermal.SH.LPG.LPG</t>
  </si>
  <si>
    <t>TES_per_sqm.kWh.SK.Ser.BldNew.Thermal.SH.Oil.Oil_LiqBio</t>
  </si>
  <si>
    <t>TES_per_sqm.kWh.SK.Ser.BldNew.Thermal.SH.GasHP.NG_Biogas</t>
  </si>
  <si>
    <t>TES_per_sqm.kWh.SK.Ser.BldNew.Thermal.SH.GasTH.NG_Biogas</t>
  </si>
  <si>
    <t>TES_per_sqm.kWh.SK.Ser.BldNew.Thermal.SH.Biomass.Biomass_Waste</t>
  </si>
  <si>
    <t>TES_per_sqm.kWh.SK.Ser.BldNew.Thermal.SH.Geo.Geo</t>
  </si>
  <si>
    <t>TES_per_sqm.kWh.SK.Ser.BldNew.Thermal.SH.DistrHeat.Steam_Distr</t>
  </si>
  <si>
    <t>TES_per_sqm.kWh.SK.Ser.BldNew.Thermal.SH.AdvElc.Elec</t>
  </si>
  <si>
    <t>TES_per_sqm.kWh.SK.Ser.BldNew.Thermal.SH.ConvElc.Elec</t>
  </si>
  <si>
    <t>TES_per_sqm.kWh.SK.Ser.BldNew.Thermal.SH.TotalCirculation.Elec</t>
  </si>
  <si>
    <t>TES_per_sqm.kWh.SK.Ser.BldNew.Thermal.SC</t>
  </si>
  <si>
    <t>TES_per_sqm.kWh.SK.Ser.BldNew.Thermal.SC.GasHP.NG_Biogas</t>
  </si>
  <si>
    <t>TES_per_sqm.kWh.SK.Ser.BldNew.Thermal.SC.AC.Elec</t>
  </si>
  <si>
    <t>TES_per_sqm.kWh.SK.Ser.BldNew.Thermal.HW</t>
  </si>
  <si>
    <t>TES_per_sqm.kWh.SK.Ser.BldNew.Thermal.HW.Solids.Solids</t>
  </si>
  <si>
    <t>TES_per_sqm.kWh.SK.Ser.BldNew.Thermal.HW.LPG.LPG</t>
  </si>
  <si>
    <t>TES_per_sqm.kWh.SK.Ser.BldNew.Thermal.HW.Oil.Oil_LiqBio</t>
  </si>
  <si>
    <t>TES_per_sqm.kWh.SK.Ser.BldNew.Thermal.HW.Gas.NG_Biogas</t>
  </si>
  <si>
    <t>TES_per_sqm.kWh.SK.Ser.BldNew.Thermal.HW.Biomass.Biomass_Waste</t>
  </si>
  <si>
    <t>TES_per_sqm.kWh.SK.Ser.BldNew.Thermal.HW.DistrHeat.Steam_Distr</t>
  </si>
  <si>
    <t>TES_per_sqm.kWh.SK.Ser.BldNew.Thermal.HW.Elc.Elec</t>
  </si>
  <si>
    <t>TES_per_sqm.kWh.SK.Ser.BldNew.Thermal.HW.TotalSolar.Solar</t>
  </si>
  <si>
    <t>TES_per_sqm.kWh.SK.Ser.BldNew.Thermal.CA</t>
  </si>
  <si>
    <t>TES_per_sqm.kWh.SK.Ser.BldNew.Thermal.CA.LPG</t>
  </si>
  <si>
    <t>TES_per_sqm.kWh.SK.Ser.BldNew.Thermal.CA.Gas.NG_Biogas</t>
  </si>
  <si>
    <t>TES_per_sqm.kWh.SK.Ser.BldNew.Thermal.CA.Biomass.Biomass_Waste</t>
  </si>
  <si>
    <t>TES_per_sqm.kWh.SK.Ser.BldNew.Thermal.CA.Elc.Elec</t>
  </si>
  <si>
    <t>SK - CO2 emissions in new and renovated buildings per surface area</t>
  </si>
  <si>
    <t>EMI_per_sqm.kgCO2.SK.Ser.BldNew.Thermal</t>
  </si>
  <si>
    <t>EMI_per_sqm.kgCO2.SK.Ser.BldNew.Thermal.SH</t>
  </si>
  <si>
    <t>EMI_per_sqm.kgCO2.SK.Ser.BldNew.Thermal.SH.Solids.Solids</t>
  </si>
  <si>
    <t>EMI_per_sqm.kgCO2.SK.Ser.BldNew.Thermal.SH.LPG.LPG</t>
  </si>
  <si>
    <t>EMI_per_sqm.kgCO2.SK.Ser.BldNew.Thermal.SH.Oil.Oil_LiqBio</t>
  </si>
  <si>
    <t>EMI_per_sqm.kgCO2.SK.Ser.BldNew.Thermal.SH.GasHP.NG_Biogas</t>
  </si>
  <si>
    <t>EMI_per_sqm.kgCO2.SK.Ser.BldNew.Thermal.SH.GasTH.NG_Biogas</t>
  </si>
  <si>
    <t>EMI_per_sqm.kgCO2.SK.Ser.BldNew.Thermal.SH.Biomass.Biomass_Waste</t>
  </si>
  <si>
    <t>EMI_per_sqm.kgCO2.SK.Ser.BldNew.Thermal.SH.Geo.Geo</t>
  </si>
  <si>
    <t>EMI_per_sqm.kgCO2.SK.Ser.BldNew.Thermal.SH.DistrHeat.Steam_Distr</t>
  </si>
  <si>
    <t>EMI_per_sqm.kgCO2.SK.Ser.BldNew.Thermal.SH.AdvElc.Elec</t>
  </si>
  <si>
    <t>EMI_per_sqm.kgCO2.SK.Ser.BldNew.Thermal.SH.ConvElc.Elec</t>
  </si>
  <si>
    <t>EMI_per_sqm.kgCO2.SK.Ser.BldNew.Thermal.SH.TotalCirculation.Elec</t>
  </si>
  <si>
    <t>EMI_per_sqm.kgCO2.SK.Ser.BldNew.Thermal.SC</t>
  </si>
  <si>
    <t>EMI_per_sqm.kgCO2.SK.Ser.BldNew.Thermal.SC.GasHP.NG_Biogas</t>
  </si>
  <si>
    <t>EMI_per_sqm.kgCO2.SK.Ser.BldNew.Thermal.SC.AC.Elec</t>
  </si>
  <si>
    <t>EMI_per_sqm.kgCO2.SK.Ser.BldNew.Thermal.HW</t>
  </si>
  <si>
    <t>EMI_per_sqm.kgCO2.SK.Ser.BldNew.Thermal.HW.Solids.Solids</t>
  </si>
  <si>
    <t>EMI_per_sqm.kgCO2.SK.Ser.BldNew.Thermal.HW.LPG.LPG</t>
  </si>
  <si>
    <t>EMI_per_sqm.kgCO2.SK.Ser.BldNew.Thermal.HW.Oil.Oil_LiqBio</t>
  </si>
  <si>
    <t>EMI_per_sqm.kgCO2.SK.Ser.BldNew.Thermal.HW.Gas.NG_Biogas</t>
  </si>
  <si>
    <t>EMI_per_sqm.kgCO2.SK.Ser.BldNew.Thermal.HW.Biomass.Biomass_Waste</t>
  </si>
  <si>
    <t>EMI_per_sqm.kgCO2.SK.Ser.BldNew.Thermal.HW.DistrHeat.Steam_Distr</t>
  </si>
  <si>
    <t>EMI_per_sqm.kgCO2.SK.Ser.BldNew.Thermal.HW.Elc.Elec</t>
  </si>
  <si>
    <t>EMI_per_sqm.kgCO2.SK.Ser.BldNew.Thermal.HW.TotalSolar.Solar</t>
  </si>
  <si>
    <t>EMI_per_sqm.kgCO2.SK.Ser.BldNew.Thermal.CA</t>
  </si>
  <si>
    <t>EMI_per_sqm.kgCO2.SK.Ser.BldNew.Thermal.CA.LPG</t>
  </si>
  <si>
    <t>EMI_per_sqm.kgCO2.SK.Ser.BldNew.Thermal.CA.Gas.NG_Biogas</t>
  </si>
  <si>
    <t>EMI_per_sqm.kgCO2.SK.Ser.BldNew.Thermal.CA.Biomass.Biomass_Waste</t>
  </si>
  <si>
    <t>EMI_per_sqm.kgCO2.SK.Ser.BldNew.Thermal.CA.Elc.Elec</t>
  </si>
  <si>
    <t>FEC.ktoe.SK.Ser.SEU.VE</t>
  </si>
  <si>
    <t>FEC.ktoe.SK.Ser.SEU.SL</t>
  </si>
  <si>
    <t>FEC.ktoe.SK.Ser.SEU.BL</t>
  </si>
  <si>
    <t>FEC.ktoe.SK.Ser.SEU.CR</t>
  </si>
  <si>
    <t>FEC.ktoe.SK.Ser.SEU.BT</t>
  </si>
  <si>
    <t>FEC.ktoe.SK.Ser.SEU.IT</t>
  </si>
  <si>
    <t>Size.MW.SK.Ser.SEU</t>
  </si>
  <si>
    <t>Size.MW.SK.Ser.SEU.VE</t>
  </si>
  <si>
    <t>Size.MW.SK.Ser.SEU.SL</t>
  </si>
  <si>
    <t>Size.MW.SK.Ser.SEU.BL</t>
  </si>
  <si>
    <t>Size.MW.SK.Ser.SEU.CR</t>
  </si>
  <si>
    <t>Size.MW.SK.Ser.SEU.BT</t>
  </si>
  <si>
    <t>Size.MW.SK.Ser.SEU.IT</t>
  </si>
  <si>
    <t>NUM.Msqm.SK.Ser.SEU.VE</t>
  </si>
  <si>
    <t>NUM.k.SK.Ser.SEU.SL</t>
  </si>
  <si>
    <t>NUM.M.SK.Ser.SEU.BL</t>
  </si>
  <si>
    <t>NUM.k.SK.Ser.SEU.CR</t>
  </si>
  <si>
    <t>NUM.Msqm.SK.Ser.SEU.BT</t>
  </si>
  <si>
    <t>NUM.k.SK.Ser.SEU.IT</t>
  </si>
  <si>
    <t>NUM.Msqm.SK.Ser.SEUnew.VE</t>
  </si>
  <si>
    <t>NUM.k.SK.Ser.SEUnew.SL</t>
  </si>
  <si>
    <t>NUM.M.SK.Ser.SEUnew.BL</t>
  </si>
  <si>
    <t>NUM.k.SK.Ser.SEUnew.CR</t>
  </si>
  <si>
    <t>NUM.Msqm.SK.Ser.SEUnew.BT</t>
  </si>
  <si>
    <t>NUM.k.SK.Ser.SEUnew.IT</t>
  </si>
  <si>
    <t>NUM.Msqm.SK.Ser.SEUrepl.VE</t>
  </si>
  <si>
    <t>NUM.k.SK.Ser.SEUrepl.SL</t>
  </si>
  <si>
    <t>NUM.M.SK.Ser.SEUrepl.BL</t>
  </si>
  <si>
    <t>NUM.k.SK.Ser.SEUrepl.CR</t>
  </si>
  <si>
    <t>NUM.Msqm.SK.Ser.SEUrepl.BT</t>
  </si>
  <si>
    <t>NUM.k.SK.Ser.SEUrepl.IT</t>
  </si>
  <si>
    <t>Op.hours.SK.Ser.SEU.VE</t>
  </si>
  <si>
    <t>Op.hours.SK.Ser.SEU.SL</t>
  </si>
  <si>
    <t>Op.hours.SK.Ser.SEU.BL</t>
  </si>
  <si>
    <t>Op.hours.SK.Ser.SEU.CR</t>
  </si>
  <si>
    <t>Op.hours.SK.Ser.SEU.BT</t>
  </si>
  <si>
    <t>Op.hours.SK.Ser.SEU.IT</t>
  </si>
  <si>
    <t>Size_per_appl.W.SK.Ser.SEU.VE</t>
  </si>
  <si>
    <t>Size_per_appl.W.SK.Ser.SEU.SL</t>
  </si>
  <si>
    <t>Size_per_appl.W.SK.Ser.SEU.BL</t>
  </si>
  <si>
    <t>Size_per_appl.W.SK.Ser.SEU.CR</t>
  </si>
  <si>
    <t>Size_per_appl.W.SK.Ser.SEU.BT</t>
  </si>
  <si>
    <t>Size_per_appl.W.SK.Ser.SEU.IT</t>
  </si>
  <si>
    <t>Size_per_appl.W.SK.Ser.SEUnew.VE</t>
  </si>
  <si>
    <t>Size_per_appl.W.SK.Ser.SEUnew.SL</t>
  </si>
  <si>
    <t>Size_per_appl.W.SK.Ser.SEUnew.BL</t>
  </si>
  <si>
    <t>Size_per_appl.W.SK.Ser.SEUnew.CR</t>
  </si>
  <si>
    <t>Size_per_appl.W.SK.Ser.SEUnew.BT</t>
  </si>
  <si>
    <t>Size_per_appl.W.SK.Ser.SEUnew.IT</t>
  </si>
  <si>
    <t>NUM.sqm_per_building.SK.Ser.SEU.VE</t>
  </si>
  <si>
    <t>NUM.number_per_capita.SK.Ser.SEU.SL</t>
  </si>
  <si>
    <t>NUM.number_per_building.SK.Ser.SEU.BL</t>
  </si>
  <si>
    <t>NUM.number_per_capita.SK.Ser.SEU.CR</t>
  </si>
  <si>
    <t>NUM.sqm_per_building.SK.Ser.SEU.BT</t>
  </si>
  <si>
    <t>NUM.number_per_capita.SK.Ser.SEU.IT</t>
  </si>
  <si>
    <t>Lumens_per_sqm.lumen.SK.Ser.SEU.BL</t>
  </si>
  <si>
    <t>SK - Services / specific electric uses</t>
  </si>
  <si>
    <t>SK - Ventilation and others</t>
  </si>
  <si>
    <t>SK - Street lighting</t>
  </si>
  <si>
    <t>SK - Building lighting</t>
  </si>
  <si>
    <t>SK - Commercial refrigeration</t>
  </si>
  <si>
    <t>SK - Miscellaneous building technologies</t>
  </si>
  <si>
    <t>SK - ICT and multimedia</t>
  </si>
  <si>
    <t>SK - Agriculture, forestry and fishing</t>
  </si>
  <si>
    <t>VA.Meuro2015.SK.AGR.AGR</t>
  </si>
  <si>
    <t>OUTPUT.index.SK.AGR.AGR</t>
  </si>
  <si>
    <t>CAP.index.SK.AGR.AGR</t>
  </si>
  <si>
    <t>NEWCAP.index.SK.AGR.AGR</t>
  </si>
  <si>
    <t>CAPOUT.index.SK.AGR.AGR</t>
  </si>
  <si>
    <t>CAPIDLE.index.SK.AGR.AGR</t>
  </si>
  <si>
    <t>FEC.ktoe.SK.ES.AGR</t>
  </si>
  <si>
    <t>FEC.ktoe.SK.ES.AGR.Solids</t>
  </si>
  <si>
    <t>FEC.ktoe.SK.ES.AGR.LPG</t>
  </si>
  <si>
    <t>FEC.ktoe.SK.ES.AGR.Diesel</t>
  </si>
  <si>
    <t>FEC.ktoe.SK.ES.AGR.RFO</t>
  </si>
  <si>
    <t>FEC.ktoe.SK.ES.AGR.NG</t>
  </si>
  <si>
    <t>FEC.ktoe.SK.ES.AGR.Biomass_Waste</t>
  </si>
  <si>
    <t>FEC.ktoe.SK.ES.AGR.Biogas</t>
  </si>
  <si>
    <t>FEC.ktoe.SK.ES.AGR.LiqBio</t>
  </si>
  <si>
    <t>FEC.ktoe.SK.ES.AGR.Solar</t>
  </si>
  <si>
    <t>FEC.ktoe.SK.ES.AGR.Geo</t>
  </si>
  <si>
    <t>FEC.ktoe.SK.ES.AGR.Ambient</t>
  </si>
  <si>
    <t>FEC.ktoe.SK.ES.AGR.Steam_Distr</t>
  </si>
  <si>
    <t>FEC.ktoe.SK.ES.AGR.Elec</t>
  </si>
  <si>
    <t>SK - Agriculture, forestry and fishing / final energy consumption</t>
  </si>
  <si>
    <t>FEC.ktoe.SK.AGR.AGR.LIGHT.GENERIC.ELEC</t>
  </si>
  <si>
    <t>FEC.ktoe.SK.AGR.AGR.FANS.GENERIC.ELEC</t>
  </si>
  <si>
    <t>FEC.ktoe.SK.AGR.AGR.MOTOR.GENERIC.ELEC</t>
  </si>
  <si>
    <t>FEC.ktoe.SK.AGR.AGR.LOW_ENTH.THERM.DIESEL_LIQBIO</t>
  </si>
  <si>
    <t>FEC.ktoe.SK.AGR.AGR.LOW_ENTH.THERM.NG_BIOGAS</t>
  </si>
  <si>
    <t>FEC.ktoe.SK.AGR.AGR.LOW_ENTH.THERM.SOLAR_GEO</t>
  </si>
  <si>
    <t>FEC.ktoe.SK.AGR.AGR.LOW_ENTH.HP.AMBIENT</t>
  </si>
  <si>
    <t>FEC.ktoe.SK.AGR.AGR.LOW_ENTH.THERM.STEAM_DISTR</t>
  </si>
  <si>
    <t>FEC.ktoe.SK.AGR.AGR.LOW_ENTH.THERM.ELEC</t>
  </si>
  <si>
    <t>FEC.ktoe.SK.AGR.AGR.FARM_DRIVES.MECH.DIESEL_LIQBIO</t>
  </si>
  <si>
    <t>FEC.ktoe.SK.AGR.AGR.HEAT_USE.THERM.SOLIDS</t>
  </si>
  <si>
    <t>FEC.ktoe.SK.AGR.AGR.HEAT_USE.THERM.LPG</t>
  </si>
  <si>
    <t>FEC.ktoe.SK.AGR.AGR.HEAT_USE.THERM.DIESEL_LIQBIO</t>
  </si>
  <si>
    <t>FEC.ktoe.SK.AGR.AGR.HEAT_USE.THERM.RFO</t>
  </si>
  <si>
    <t>FEC.ktoe.SK.AGR.AGR.HEAT_USE.THERM.NG_BIOGAS</t>
  </si>
  <si>
    <t>FEC.ktoe.SK.AGR.AGR.HEAT_USE.THERM.BIOMASS_WASTE</t>
  </si>
  <si>
    <t>FEC.ktoe.SK.AGR.AGR.HEAT_USE.THERM.SOLAR_GEO</t>
  </si>
  <si>
    <t>FEC.ktoe.SK.AGR.AGR.FARM_PUMP.MECH.DIESEL_LIQBIO</t>
  </si>
  <si>
    <t>FEC.ktoe.SK.AGR.AGR.FARM_PUMP_ELEC.MECH.ELEC</t>
  </si>
  <si>
    <t>FEC.ktoe.SK.AGR.AGR.GENERIC.MECH.ELEC</t>
  </si>
  <si>
    <t>SK - Agriculture, forestry and fishing / useful energy demand</t>
  </si>
  <si>
    <t>UED.ktoe.SK.AGR.AGR.LIGHT.GENERIC.ELEC</t>
  </si>
  <si>
    <t>UED.ktoe.SK.AGR.AGR.FANS.GENERIC.ELEC</t>
  </si>
  <si>
    <t>UED.ktoe.SK.AGR.AGR.MOTOR.GENERIC.ELEC</t>
  </si>
  <si>
    <t>UED.ktoe.SK.AGR.AGR.LOW_ENTH.THERM.DIESEL_LIQBIO</t>
  </si>
  <si>
    <t>UED.ktoe.SK.AGR.AGR.LOW_ENTH.THERM.NG_BIOGAS</t>
  </si>
  <si>
    <t>UED.ktoe.SK.AGR.AGR.LOW_ENTH.THERM.SOLAR_GEO</t>
  </si>
  <si>
    <t>UED.ktoe.SK.AGR.AGR.LOW_ENTH.HP.AMBIENT</t>
  </si>
  <si>
    <t>UED.ktoe.SK.AGR.AGR.LOW_ENTH.THERM.STEAM_DISTR</t>
  </si>
  <si>
    <t>UED.ktoe.SK.AGR.AGR.LOW_ENTH.THERM.ELEC</t>
  </si>
  <si>
    <t>UED.ktoe.SK.AGR.AGR.FARM_DRIVES.MECH.DIESEL_LIQBIO</t>
  </si>
  <si>
    <t>UED.ktoe.SK.AGR.AGR.HEAT_USE.THERM.SOLIDS</t>
  </si>
  <si>
    <t>UED.ktoe.SK.AGR.AGR.HEAT_USE.THERM.LPG</t>
  </si>
  <si>
    <t>UED.ktoe.SK.AGR.AGR.HEAT_USE.THERM.DIESEL_LIQBIO</t>
  </si>
  <si>
    <t>UED.ktoe.SK.AGR.AGR.HEAT_USE.THERM.RFO</t>
  </si>
  <si>
    <t>UED.ktoe.SK.AGR.AGR.HEAT_USE.THERM.NG_BIOGAS</t>
  </si>
  <si>
    <t>UED.ktoe.SK.AGR.AGR.HEAT_USE.THERM.BIOMASS_WASTE</t>
  </si>
  <si>
    <t>UED.ktoe.SK.AGR.AGR.HEAT_USE.THERM.SOLAR_GEO</t>
  </si>
  <si>
    <t>UED.ktoe.SK.AGR.AGR.FARM_PUMP.MECH.DIESEL_LIQBIO</t>
  </si>
  <si>
    <t>UED.ktoe.SK.AGR.AGR.FARM_PUMP_ELEC.MECH.ELEC</t>
  </si>
  <si>
    <t>UED.ktoe.SK.AGR.AGR.GENERIC.MECH.ELEC</t>
  </si>
  <si>
    <t>SK - Agriculture, forestry and fishing / CO2 emissions</t>
  </si>
  <si>
    <t>FUEL_EMI.ktCO2.SK.AGR.AGR.LIGHT.GENERIC.ELEC</t>
  </si>
  <si>
    <t>FUEL_EMI.ktCO2.SK.AGR.AGR.FANS.GENERIC.ELEC</t>
  </si>
  <si>
    <t>FUEL_EMI.ktCO2.SK.AGR.AGR.MOTOR.GENERIC.ELEC</t>
  </si>
  <si>
    <t>FUEL_EMI.ktCO2.SK.AGR.AGR.LOW_ENTH.THERM.DIESEL_LIQBIO</t>
  </si>
  <si>
    <t>FUEL_EMI.ktCO2.SK.AGR.AGR.LOW_ENTH.THERM.NG_BIOGAS</t>
  </si>
  <si>
    <t>FUEL_EMI.ktCO2.SK.AGR.AGR.LOW_ENTH.THERM.SOLAR_GEO</t>
  </si>
  <si>
    <t>FUEL_EMI.ktCO2.SK.AGR.AGR.LOW_ENTH.HP.AMBIENT</t>
  </si>
  <si>
    <t>FUEL_EMI.ktCO2.SK.AGR.AGR.LOW_ENTH.THERM.STEAM_DISTR</t>
  </si>
  <si>
    <t>FUEL_EMI.ktCO2.SK.AGR.AGR.LOW_ENTH.THERM.ELEC</t>
  </si>
  <si>
    <t>FUEL_EMI.ktCO2.SK.AGR.AGR.FARM_DRIVES.MECH.DIESEL_LIQBIO</t>
  </si>
  <si>
    <t>FUEL_EMI.ktCO2.SK.AGR.AGR.HEAT_USE.THERM.SOLIDS</t>
  </si>
  <si>
    <t>FUEL_EMI.ktCO2.SK.AGR.AGR.HEAT_USE.THERM.LPG</t>
  </si>
  <si>
    <t>FUEL_EMI.ktCO2.SK.AGR.AGR.HEAT_USE.THERM.DIESEL_LIQBIO</t>
  </si>
  <si>
    <t>FUEL_EMI.ktCO2.SK.AGR.AGR.HEAT_USE.THERM.RFO</t>
  </si>
  <si>
    <t>FUEL_EMI.ktCO2.SK.AGR.AGR.HEAT_USE.THERM.NG_BIOGAS</t>
  </si>
  <si>
    <t>FUEL_EMI.ktCO2.SK.AGR.AGR.HEAT_USE.THERM.BIOMASS_WASTE</t>
  </si>
  <si>
    <t>FUEL_EMI.ktCO2.SK.AGR.AGR.HEAT_USE.THERM.SOLAR_GEO</t>
  </si>
  <si>
    <t>FUEL_EMI.ktCO2.SK.AGR.AGR.FARM_PUMP.MECH.DIESEL_LIQBIO</t>
  </si>
  <si>
    <t>FUEL_EMI.ktCO2.SK.AGR.AGR.FARM_PUMP_ELEC.MECH.ELEC</t>
  </si>
  <si>
    <t>FUEL_EMI.ktCO2.SK.AGR.AGR.GENERIC.MECH.ELEC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</si>
</sst>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45432.789375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5398657</v>
      </c>
      <c r="C3" s="34">
        <v>5378783</v>
      </c>
      <c r="D3" s="34">
        <v>5378951</v>
      </c>
      <c r="E3" s="34">
        <v>5374873</v>
      </c>
      <c r="F3" s="34">
        <v>5371875</v>
      </c>
      <c r="G3" s="34">
        <v>5372685</v>
      </c>
      <c r="H3" s="34">
        <v>5372928</v>
      </c>
      <c r="I3" s="34">
        <v>5373180</v>
      </c>
      <c r="J3" s="34">
        <v>5376064</v>
      </c>
      <c r="K3" s="34">
        <v>5382401</v>
      </c>
      <c r="L3" s="34">
        <v>5390410</v>
      </c>
      <c r="M3" s="34">
        <v>5392446</v>
      </c>
      <c r="N3" s="34">
        <v>5404322</v>
      </c>
      <c r="O3" s="34">
        <v>5410836</v>
      </c>
      <c r="P3" s="34">
        <v>5415949</v>
      </c>
      <c r="Q3" s="34">
        <v>5421349</v>
      </c>
      <c r="R3" s="34">
        <v>5426252</v>
      </c>
      <c r="S3" s="34">
        <v>5435343</v>
      </c>
      <c r="T3" s="34">
        <v>5443120</v>
      </c>
      <c r="U3" s="34">
        <v>5450421</v>
      </c>
      <c r="V3" s="34">
        <v>5457873</v>
      </c>
      <c r="W3" s="34">
        <v>5459781</v>
      </c>
      <c r="DA3" s="88" t="s">
        <v>187</v>
      </c>
    </row>
    <row r="4" spans="1:105" ht="12" customHeight="1" x14ac:dyDescent="0.25">
      <c r="A4" s="35" t="s">
        <v>178</v>
      </c>
      <c r="B4" s="36">
        <v>43296.590667362841</v>
      </c>
      <c r="C4" s="36">
        <v>44705.420413963315</v>
      </c>
      <c r="D4" s="36">
        <v>46721.593529390899</v>
      </c>
      <c r="E4" s="36">
        <v>49290.729072907292</v>
      </c>
      <c r="F4" s="36">
        <v>51892.65452373842</v>
      </c>
      <c r="G4" s="36">
        <v>55330.197289896787</v>
      </c>
      <c r="H4" s="36">
        <v>60029.48687570756</v>
      </c>
      <c r="I4" s="36">
        <v>66531.217156150728</v>
      </c>
      <c r="J4" s="36">
        <v>70240.162375269661</v>
      </c>
      <c r="K4" s="36">
        <v>66408.508345680035</v>
      </c>
      <c r="L4" s="36">
        <v>70869.000628665046</v>
      </c>
      <c r="M4" s="36">
        <v>72762.269658821388</v>
      </c>
      <c r="N4" s="36">
        <v>73721.547116173853</v>
      </c>
      <c r="O4" s="36">
        <v>74187.887781219193</v>
      </c>
      <c r="P4" s="36">
        <v>76189.169502180273</v>
      </c>
      <c r="Q4" s="36">
        <v>80126</v>
      </c>
      <c r="R4" s="36">
        <v>81683.419105821813</v>
      </c>
      <c r="S4" s="36">
        <v>84083.835665412073</v>
      </c>
      <c r="T4" s="36">
        <v>87472.699667140332</v>
      </c>
      <c r="U4" s="36">
        <v>89669.164079043578</v>
      </c>
      <c r="V4" s="36">
        <v>86678.01421071183</v>
      </c>
      <c r="W4" s="36">
        <v>90829.42252985196</v>
      </c>
      <c r="DA4" s="89" t="s">
        <v>188</v>
      </c>
    </row>
    <row r="5" spans="1:105" ht="12" customHeight="1" x14ac:dyDescent="0.25">
      <c r="A5" s="35" t="s">
        <v>147</v>
      </c>
      <c r="B5" s="36">
        <v>24966.958420242114</v>
      </c>
      <c r="C5" s="36">
        <v>25887.716654107007</v>
      </c>
      <c r="D5" s="36">
        <v>27294.142803685027</v>
      </c>
      <c r="E5" s="36">
        <v>27973.31492983667</v>
      </c>
      <c r="F5" s="36">
        <v>28496.191187453322</v>
      </c>
      <c r="G5" s="36">
        <v>30285.926528095086</v>
      </c>
      <c r="H5" s="36">
        <v>31977.127401163329</v>
      </c>
      <c r="I5" s="36">
        <v>35728.958832626951</v>
      </c>
      <c r="J5" s="36">
        <v>38288.539984702991</v>
      </c>
      <c r="K5" s="36">
        <v>39141.445528556338</v>
      </c>
      <c r="L5" s="36">
        <v>41413.500370889313</v>
      </c>
      <c r="M5" s="36">
        <v>41941.156817284435</v>
      </c>
      <c r="N5" s="36">
        <v>42806.782641713049</v>
      </c>
      <c r="O5" s="36">
        <v>44141.153081510936</v>
      </c>
      <c r="P5" s="36">
        <v>43427.995730715898</v>
      </c>
      <c r="Q5" s="36">
        <v>45889.2</v>
      </c>
      <c r="R5" s="36">
        <v>47831.114507501101</v>
      </c>
      <c r="S5" s="36">
        <v>49424.931232063238</v>
      </c>
      <c r="T5" s="36">
        <v>50810.692545557096</v>
      </c>
      <c r="U5" s="36">
        <v>51923.914484273511</v>
      </c>
      <c r="V5" s="36">
        <v>51594.676714783105</v>
      </c>
      <c r="W5" s="36">
        <v>52192.915335103753</v>
      </c>
      <c r="DA5" s="89" t="s">
        <v>189</v>
      </c>
    </row>
    <row r="6" spans="1:105" ht="12" customHeight="1" x14ac:dyDescent="0.25">
      <c r="A6" s="37" t="s">
        <v>70</v>
      </c>
      <c r="B6" s="38">
        <v>1259870.0000000002</v>
      </c>
      <c r="C6" s="38">
        <v>1278920</v>
      </c>
      <c r="D6" s="38">
        <v>1292410</v>
      </c>
      <c r="E6" s="38">
        <v>1303020</v>
      </c>
      <c r="F6" s="38">
        <v>1310570</v>
      </c>
      <c r="G6" s="38">
        <v>1331730</v>
      </c>
      <c r="H6" s="38">
        <v>1367820</v>
      </c>
      <c r="I6" s="38">
        <v>1401590</v>
      </c>
      <c r="J6" s="38">
        <v>1438659.9999999998</v>
      </c>
      <c r="K6" s="38">
        <v>1451090.0000000002</v>
      </c>
      <c r="L6" s="38">
        <v>1444199.9999999998</v>
      </c>
      <c r="M6" s="38">
        <v>1471120</v>
      </c>
      <c r="N6" s="38">
        <v>1483830</v>
      </c>
      <c r="O6" s="38">
        <v>1477419.9999999998</v>
      </c>
      <c r="P6" s="38">
        <v>1500920</v>
      </c>
      <c r="Q6" s="38">
        <v>1534190</v>
      </c>
      <c r="R6" s="38">
        <v>1569070.0000000002</v>
      </c>
      <c r="S6" s="38">
        <v>1596180</v>
      </c>
      <c r="T6" s="38">
        <v>1630350</v>
      </c>
      <c r="U6" s="38">
        <v>1646239.9999999998</v>
      </c>
      <c r="V6" s="38">
        <v>1625540</v>
      </c>
      <c r="W6" s="38">
        <v>1617570.0000000002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29067.916102302002</v>
      </c>
      <c r="C8" s="34">
        <v>29629.813634367878</v>
      </c>
      <c r="D8" s="34">
        <v>30366.108369769281</v>
      </c>
      <c r="E8" s="34">
        <v>31134.212078668075</v>
      </c>
      <c r="F8" s="34">
        <v>31952.28752192359</v>
      </c>
      <c r="G8" s="34">
        <v>33096.026500543398</v>
      </c>
      <c r="H8" s="34">
        <v>34606.277374132114</v>
      </c>
      <c r="I8" s="34">
        <v>36528.400888684555</v>
      </c>
      <c r="J8" s="34">
        <v>37733.884344548584</v>
      </c>
      <c r="K8" s="34">
        <v>37671.585043342558</v>
      </c>
      <c r="L8" s="34">
        <v>38498.244384278783</v>
      </c>
      <c r="M8" s="34">
        <v>38877.516382023052</v>
      </c>
      <c r="N8" s="34">
        <v>39263.407513805534</v>
      </c>
      <c r="O8" s="34">
        <v>39603.976372071091</v>
      </c>
      <c r="P8" s="34">
        <v>39978.477392553505</v>
      </c>
      <c r="Q8" s="34">
        <v>40478.968430540503</v>
      </c>
      <c r="R8" s="34">
        <v>40965.382473694131</v>
      </c>
      <c r="S8" s="34">
        <v>41485.244193597879</v>
      </c>
      <c r="T8" s="34">
        <v>42088.38935268209</v>
      </c>
      <c r="U8" s="34">
        <v>42715.76083857724</v>
      </c>
      <c r="V8" s="34">
        <v>43319.896666666667</v>
      </c>
      <c r="W8" s="34">
        <v>43884.839645805063</v>
      </c>
      <c r="DA8" s="88" t="s">
        <v>191</v>
      </c>
    </row>
    <row r="9" spans="1:105" ht="12" customHeight="1" x14ac:dyDescent="0.25">
      <c r="A9" s="39" t="s">
        <v>68</v>
      </c>
      <c r="B9" s="40">
        <v>26161.124492071802</v>
      </c>
      <c r="C9" s="40">
        <v>26666.832270931089</v>
      </c>
      <c r="D9" s="40">
        <v>27329.497532792353</v>
      </c>
      <c r="E9" s="40">
        <v>28020.790870801266</v>
      </c>
      <c r="F9" s="40">
        <v>28757.058769731233</v>
      </c>
      <c r="G9" s="40">
        <v>29786.423850489056</v>
      </c>
      <c r="H9" s="40">
        <v>31145.649636718903</v>
      </c>
      <c r="I9" s="40">
        <v>32875.560799816099</v>
      </c>
      <c r="J9" s="40">
        <v>33960.495910093727</v>
      </c>
      <c r="K9" s="40">
        <v>33904.426539008302</v>
      </c>
      <c r="L9" s="40">
        <v>34648.419945850903</v>
      </c>
      <c r="M9" s="40">
        <v>34989.76474382075</v>
      </c>
      <c r="N9" s="40">
        <v>35337.066762424976</v>
      </c>
      <c r="O9" s="40">
        <v>35643.578734863979</v>
      </c>
      <c r="P9" s="40">
        <v>35980.629653298158</v>
      </c>
      <c r="Q9" s="40">
        <v>36431.071587486455</v>
      </c>
      <c r="R9" s="40">
        <v>36868.84422632472</v>
      </c>
      <c r="S9" s="40">
        <v>37336.719774238089</v>
      </c>
      <c r="T9" s="40">
        <v>37879.550417413884</v>
      </c>
      <c r="U9" s="40">
        <v>38444.184754719514</v>
      </c>
      <c r="V9" s="40">
        <v>38987.906999999999</v>
      </c>
      <c r="W9" s="40">
        <v>39496.355681224559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678.12843798219785</v>
      </c>
      <c r="D10" s="41">
        <v>854.70043997311984</v>
      </c>
      <c r="E10" s="41">
        <v>889.6507893060882</v>
      </c>
      <c r="F10" s="41">
        <v>942.52225520335048</v>
      </c>
      <c r="G10" s="41">
        <v>1271.5688106982509</v>
      </c>
      <c r="H10" s="41">
        <v>1642.6719472730094</v>
      </c>
      <c r="I10" s="41">
        <v>2060.5856956128418</v>
      </c>
      <c r="J10" s="41">
        <v>1351.6782543658485</v>
      </c>
      <c r="K10" s="41">
        <v>151.02768440270455</v>
      </c>
      <c r="L10" s="41">
        <v>977.44538104387777</v>
      </c>
      <c r="M10" s="41">
        <v>533.19941368751074</v>
      </c>
      <c r="N10" s="41">
        <v>541.51005779102297</v>
      </c>
      <c r="O10" s="41">
        <v>497.63765004436414</v>
      </c>
      <c r="P10" s="41">
        <v>533.0196780315016</v>
      </c>
      <c r="Q10" s="41">
        <v>660.45956130633806</v>
      </c>
      <c r="R10" s="41">
        <v>696.14963087665603</v>
      </c>
      <c r="S10" s="41">
        <v>732.11758764308956</v>
      </c>
      <c r="T10" s="41">
        <v>818.09461086450426</v>
      </c>
      <c r="U10" s="41">
        <v>845.44604212665695</v>
      </c>
      <c r="V10" s="41">
        <v>825.46101378154549</v>
      </c>
      <c r="W10" s="41">
        <v>789.39840228173603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610.31559418397796</v>
      </c>
      <c r="D11" s="42">
        <v>769.23039597580782</v>
      </c>
      <c r="E11" s="42">
        <v>800.6857103754794</v>
      </c>
      <c r="F11" s="42">
        <v>848.27002968301554</v>
      </c>
      <c r="G11" s="42">
        <v>1144.4119296284259</v>
      </c>
      <c r="H11" s="42">
        <v>1478.4047525457083</v>
      </c>
      <c r="I11" s="42">
        <v>1854.5271260515572</v>
      </c>
      <c r="J11" s="42">
        <v>1216.5104289292638</v>
      </c>
      <c r="K11" s="42">
        <v>135.92491596243408</v>
      </c>
      <c r="L11" s="42">
        <v>879.70084293948992</v>
      </c>
      <c r="M11" s="42">
        <v>479.87947231875972</v>
      </c>
      <c r="N11" s="42">
        <v>487.35905201192065</v>
      </c>
      <c r="O11" s="42">
        <v>447.8738850399277</v>
      </c>
      <c r="P11" s="42">
        <v>479.71771022835145</v>
      </c>
      <c r="Q11" s="42">
        <v>594.41360517570433</v>
      </c>
      <c r="R11" s="42">
        <v>626.53466778899042</v>
      </c>
      <c r="S11" s="42">
        <v>658.90582887878054</v>
      </c>
      <c r="T11" s="42">
        <v>736.28514977805389</v>
      </c>
      <c r="U11" s="42">
        <v>760.90143791399123</v>
      </c>
      <c r="V11" s="42">
        <v>742.91491240339087</v>
      </c>
      <c r="W11" s="42">
        <v>710.45856205356245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3057.85</v>
      </c>
      <c r="C13" s="43">
        <v>3419.03</v>
      </c>
      <c r="D13" s="43">
        <v>3231.5</v>
      </c>
      <c r="E13" s="43">
        <v>3473.71</v>
      </c>
      <c r="F13" s="43">
        <v>3436.66</v>
      </c>
      <c r="G13" s="43">
        <v>3542.9</v>
      </c>
      <c r="H13" s="43">
        <v>3383.84</v>
      </c>
      <c r="I13" s="43">
        <v>3098</v>
      </c>
      <c r="J13" s="43">
        <v>3044.68</v>
      </c>
      <c r="K13" s="43">
        <v>3182.56</v>
      </c>
      <c r="L13" s="43">
        <v>3491.35</v>
      </c>
      <c r="M13" s="43">
        <v>3244.11</v>
      </c>
      <c r="N13" s="43">
        <v>3296.36</v>
      </c>
      <c r="O13" s="43">
        <v>3237.52</v>
      </c>
      <c r="P13" s="43">
        <v>2713.17</v>
      </c>
      <c r="Q13" s="43">
        <v>3058.95</v>
      </c>
      <c r="R13" s="43">
        <v>3176.37</v>
      </c>
      <c r="S13" s="43">
        <v>3289.94</v>
      </c>
      <c r="T13" s="43">
        <v>2923.83</v>
      </c>
      <c r="U13" s="43">
        <v>2899.05</v>
      </c>
      <c r="V13" s="43">
        <v>3046.66</v>
      </c>
      <c r="W13" s="43">
        <v>3382.63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3202.2876190476195</v>
      </c>
      <c r="C14" s="44">
        <f t="shared" ref="C14:W14" si="0">AVERAGE($B$13:$V$13)</f>
        <v>3202.2876190476195</v>
      </c>
      <c r="D14" s="44">
        <f t="shared" si="0"/>
        <v>3202.2876190476195</v>
      </c>
      <c r="E14" s="44">
        <f t="shared" si="0"/>
        <v>3202.2876190476195</v>
      </c>
      <c r="F14" s="44">
        <f t="shared" si="0"/>
        <v>3202.2876190476195</v>
      </c>
      <c r="G14" s="44">
        <f t="shared" si="0"/>
        <v>3202.2876190476195</v>
      </c>
      <c r="H14" s="44">
        <f t="shared" si="0"/>
        <v>3202.2876190476195</v>
      </c>
      <c r="I14" s="44">
        <f t="shared" si="0"/>
        <v>3202.2876190476195</v>
      </c>
      <c r="J14" s="44">
        <f t="shared" si="0"/>
        <v>3202.2876190476195</v>
      </c>
      <c r="K14" s="44">
        <f t="shared" si="0"/>
        <v>3202.2876190476195</v>
      </c>
      <c r="L14" s="44">
        <f t="shared" si="0"/>
        <v>3202.2876190476195</v>
      </c>
      <c r="M14" s="44">
        <f t="shared" si="0"/>
        <v>3202.2876190476195</v>
      </c>
      <c r="N14" s="44">
        <f t="shared" si="0"/>
        <v>3202.2876190476195</v>
      </c>
      <c r="O14" s="44">
        <f t="shared" si="0"/>
        <v>3202.2876190476195</v>
      </c>
      <c r="P14" s="44">
        <f t="shared" si="0"/>
        <v>3202.2876190476195</v>
      </c>
      <c r="Q14" s="44">
        <f t="shared" si="0"/>
        <v>3202.2876190476195</v>
      </c>
      <c r="R14" s="44">
        <f t="shared" si="0"/>
        <v>3202.2876190476195</v>
      </c>
      <c r="S14" s="44">
        <f t="shared" si="0"/>
        <v>3202.2876190476195</v>
      </c>
      <c r="T14" s="44">
        <f t="shared" si="0"/>
        <v>3202.2876190476195</v>
      </c>
      <c r="U14" s="44">
        <f t="shared" si="0"/>
        <v>3202.2876190476195</v>
      </c>
      <c r="V14" s="44">
        <f t="shared" si="0"/>
        <v>3202.2876190476195</v>
      </c>
      <c r="W14" s="44">
        <f t="shared" si="0"/>
        <v>3202.2876190476195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0.95489548840382543</v>
      </c>
      <c r="C15" s="46">
        <f t="shared" ref="C15:W15" si="1">C13/C14</f>
        <v>1.0676836083252388</v>
      </c>
      <c r="D15" s="46">
        <f t="shared" si="1"/>
        <v>1.0091223476550393</v>
      </c>
      <c r="E15" s="46">
        <f t="shared" si="1"/>
        <v>1.0847589015233752</v>
      </c>
      <c r="F15" s="46">
        <f t="shared" si="1"/>
        <v>1.0731890475915726</v>
      </c>
      <c r="G15" s="46">
        <f t="shared" si="1"/>
        <v>1.1063653304988517</v>
      </c>
      <c r="H15" s="46">
        <f t="shared" si="1"/>
        <v>1.0566945891657213</v>
      </c>
      <c r="I15" s="46">
        <f t="shared" si="1"/>
        <v>0.96743340028943581</v>
      </c>
      <c r="J15" s="46">
        <f t="shared" si="1"/>
        <v>0.95078280348393773</v>
      </c>
      <c r="K15" s="46">
        <f t="shared" si="1"/>
        <v>0.99383952305524426</v>
      </c>
      <c r="L15" s="46">
        <f t="shared" si="1"/>
        <v>1.090267463557302</v>
      </c>
      <c r="M15" s="46">
        <f t="shared" si="1"/>
        <v>1.0130601575897229</v>
      </c>
      <c r="N15" s="46">
        <f t="shared" si="1"/>
        <v>1.0293766182627775</v>
      </c>
      <c r="O15" s="46">
        <f t="shared" si="1"/>
        <v>1.0110022537459826</v>
      </c>
      <c r="P15" s="46">
        <f t="shared" si="1"/>
        <v>0.84725993501074515</v>
      </c>
      <c r="Q15" s="46">
        <f t="shared" si="1"/>
        <v>0.95523899283904756</v>
      </c>
      <c r="R15" s="46">
        <f t="shared" si="1"/>
        <v>0.9919065299152211</v>
      </c>
      <c r="S15" s="46">
        <f t="shared" si="1"/>
        <v>1.027371801468117</v>
      </c>
      <c r="T15" s="46">
        <f t="shared" si="1"/>
        <v>0.9130441571233896</v>
      </c>
      <c r="U15" s="46">
        <f t="shared" si="1"/>
        <v>0.90530593902811141</v>
      </c>
      <c r="V15" s="46">
        <f t="shared" si="1"/>
        <v>0.95140111146733775</v>
      </c>
      <c r="W15" s="46">
        <f t="shared" si="1"/>
        <v>1.0563167342869768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8019.881734913487</v>
      </c>
      <c r="C19" s="34">
        <f t="shared" si="2"/>
        <v>8311.4378129705765</v>
      </c>
      <c r="D19" s="34">
        <f t="shared" ref="D19:W19" si="3">D4*1000000/D3</f>
        <v>8686.0046744041538</v>
      </c>
      <c r="E19" s="34">
        <f t="shared" si="3"/>
        <v>9170.5848813371576</v>
      </c>
      <c r="F19" s="34">
        <f t="shared" si="3"/>
        <v>9660.0636693404849</v>
      </c>
      <c r="G19" s="34">
        <f t="shared" si="3"/>
        <v>10298.425701468967</v>
      </c>
      <c r="H19" s="34">
        <f t="shared" si="3"/>
        <v>11172.583529075311</v>
      </c>
      <c r="I19" s="34">
        <f t="shared" si="3"/>
        <v>12382.093500711073</v>
      </c>
      <c r="J19" s="34">
        <f t="shared" si="3"/>
        <v>13065.350854318265</v>
      </c>
      <c r="K19" s="34">
        <f t="shared" si="3"/>
        <v>12338.082641126151</v>
      </c>
      <c r="L19" s="34">
        <f t="shared" si="3"/>
        <v>13147.237525283797</v>
      </c>
      <c r="M19" s="34">
        <f t="shared" si="3"/>
        <v>13493.370106779257</v>
      </c>
      <c r="N19" s="34">
        <f t="shared" si="3"/>
        <v>13641.22032628216</v>
      </c>
      <c r="O19" s="34">
        <f t="shared" si="3"/>
        <v>13710.984361976447</v>
      </c>
      <c r="P19" s="34">
        <f t="shared" si="3"/>
        <v>14067.5566742191</v>
      </c>
      <c r="Q19" s="34">
        <f t="shared" si="3"/>
        <v>14779.716266191312</v>
      </c>
      <c r="R19" s="34">
        <f t="shared" si="3"/>
        <v>15053.377378312287</v>
      </c>
      <c r="S19" s="34">
        <f t="shared" si="3"/>
        <v>15469.830637259154</v>
      </c>
      <c r="T19" s="34">
        <f t="shared" si="3"/>
        <v>16070.323576761184</v>
      </c>
      <c r="U19" s="34">
        <f t="shared" si="3"/>
        <v>16451.786766388061</v>
      </c>
      <c r="V19" s="34">
        <f t="shared" si="3"/>
        <v>15881.280896552891</v>
      </c>
      <c r="W19" s="34">
        <f t="shared" si="3"/>
        <v>16636.092643615553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19817.090985770046</v>
      </c>
      <c r="C20" s="36">
        <f t="shared" si="4"/>
        <v>20241.85770345839</v>
      </c>
      <c r="D20" s="36">
        <f t="shared" ref="D20:W20" si="5">D5*1000000/D6</f>
        <v>21118.795741045818</v>
      </c>
      <c r="E20" s="36">
        <f t="shared" si="5"/>
        <v>21468.062600602192</v>
      </c>
      <c r="F20" s="36">
        <f t="shared" si="5"/>
        <v>21743.356850418768</v>
      </c>
      <c r="G20" s="36">
        <f t="shared" si="5"/>
        <v>22741.791900832064</v>
      </c>
      <c r="H20" s="36">
        <f t="shared" si="5"/>
        <v>23378.169204400674</v>
      </c>
      <c r="I20" s="36">
        <f t="shared" si="5"/>
        <v>25491.733554482376</v>
      </c>
      <c r="J20" s="36">
        <f t="shared" si="5"/>
        <v>26614.029711469695</v>
      </c>
      <c r="K20" s="36">
        <f t="shared" si="5"/>
        <v>26973.823490311646</v>
      </c>
      <c r="L20" s="36">
        <f t="shared" si="5"/>
        <v>28675.737689301564</v>
      </c>
      <c r="M20" s="36">
        <f t="shared" si="5"/>
        <v>28509.677536356267</v>
      </c>
      <c r="N20" s="36">
        <f t="shared" si="5"/>
        <v>28848.845650588715</v>
      </c>
      <c r="O20" s="36">
        <f t="shared" si="5"/>
        <v>29877.186637185729</v>
      </c>
      <c r="P20" s="36">
        <f t="shared" si="5"/>
        <v>28934.250813311766</v>
      </c>
      <c r="Q20" s="36">
        <f t="shared" si="5"/>
        <v>29911.027969156363</v>
      </c>
      <c r="R20" s="36">
        <f t="shared" si="5"/>
        <v>30483.735274717565</v>
      </c>
      <c r="S20" s="36">
        <f t="shared" si="5"/>
        <v>30964.509787156359</v>
      </c>
      <c r="T20" s="36">
        <f t="shared" si="5"/>
        <v>31165.512034567484</v>
      </c>
      <c r="U20" s="36">
        <f t="shared" si="5"/>
        <v>31540.914134192779</v>
      </c>
      <c r="V20" s="36">
        <f t="shared" si="5"/>
        <v>31740.022832279185</v>
      </c>
      <c r="W20" s="36">
        <f t="shared" si="5"/>
        <v>32266.248344803469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4624.6609888796629</v>
      </c>
      <c r="C21" s="36">
        <f t="shared" si="6"/>
        <v>4812.9319688314263</v>
      </c>
      <c r="D21" s="36">
        <f t="shared" ref="D21:W21" si="7">D5*1000000/D3</f>
        <v>5074.2501286375409</v>
      </c>
      <c r="E21" s="36">
        <f t="shared" si="7"/>
        <v>5204.4606318766364</v>
      </c>
      <c r="F21" s="36">
        <f t="shared" si="7"/>
        <v>5304.7010936504148</v>
      </c>
      <c r="G21" s="36">
        <f t="shared" si="7"/>
        <v>5637.018832873151</v>
      </c>
      <c r="H21" s="36">
        <f t="shared" si="7"/>
        <v>5951.5272494184419</v>
      </c>
      <c r="I21" s="36">
        <f t="shared" si="7"/>
        <v>6649.4997064358449</v>
      </c>
      <c r="J21" s="36">
        <f t="shared" si="7"/>
        <v>7122.0394669228244</v>
      </c>
      <c r="K21" s="36">
        <f t="shared" si="7"/>
        <v>7272.1162040056724</v>
      </c>
      <c r="L21" s="36">
        <f t="shared" si="7"/>
        <v>7682.810838301597</v>
      </c>
      <c r="M21" s="36">
        <f t="shared" si="7"/>
        <v>7777.7611156948869</v>
      </c>
      <c r="N21" s="36">
        <f t="shared" si="7"/>
        <v>7920.8423631517608</v>
      </c>
      <c r="O21" s="36">
        <f t="shared" si="7"/>
        <v>8157.9173867977024</v>
      </c>
      <c r="P21" s="36">
        <f t="shared" si="7"/>
        <v>8018.5385295754995</v>
      </c>
      <c r="Q21" s="36">
        <f t="shared" si="7"/>
        <v>8464.5353029292164</v>
      </c>
      <c r="R21" s="36">
        <f t="shared" si="7"/>
        <v>8814.7610003186546</v>
      </c>
      <c r="S21" s="36">
        <f t="shared" si="7"/>
        <v>9093.2497235341434</v>
      </c>
      <c r="T21" s="36">
        <f t="shared" si="7"/>
        <v>9334.8470262564661</v>
      </c>
      <c r="U21" s="36">
        <f t="shared" si="7"/>
        <v>9526.5878515207387</v>
      </c>
      <c r="V21" s="36">
        <f t="shared" si="7"/>
        <v>9453.257104880071</v>
      </c>
      <c r="W21" s="36">
        <f t="shared" si="7"/>
        <v>9559.5254342809276</v>
      </c>
      <c r="DA21" s="89"/>
    </row>
    <row r="22" spans="1:105" ht="12" customHeight="1" x14ac:dyDescent="0.25">
      <c r="A22" s="51" t="s">
        <v>152</v>
      </c>
      <c r="B22" s="52">
        <v>0.31787433876798771</v>
      </c>
      <c r="C22" s="52">
        <v>0.32240938552050025</v>
      </c>
      <c r="D22" s="52">
        <v>0.33343928914909093</v>
      </c>
      <c r="E22" s="52">
        <v>0.33820055730088511</v>
      </c>
      <c r="F22" s="52">
        <v>0.33682337988265909</v>
      </c>
      <c r="G22" s="52">
        <v>0.35082580930148566</v>
      </c>
      <c r="H22" s="52">
        <v>0.35993487001688562</v>
      </c>
      <c r="I22" s="52">
        <v>0.3902709553351727</v>
      </c>
      <c r="J22" s="52">
        <v>0.41257966750515235</v>
      </c>
      <c r="K22" s="52">
        <v>0.43094994417509336</v>
      </c>
      <c r="L22" s="52">
        <v>0.4492197992958577</v>
      </c>
      <c r="M22" s="52">
        <v>0.44629991158019422</v>
      </c>
      <c r="N22" s="52">
        <v>0.45589422011461128</v>
      </c>
      <c r="O22" s="52">
        <v>0.46776013461466898</v>
      </c>
      <c r="P22" s="52">
        <v>0.45382358597130451</v>
      </c>
      <c r="Q22" s="52">
        <v>0.47218895327979438</v>
      </c>
      <c r="R22" s="52">
        <v>0.48387029296644324</v>
      </c>
      <c r="S22" s="52">
        <v>0.48633398762046331</v>
      </c>
      <c r="T22" s="52">
        <v>0.48892872838685386</v>
      </c>
      <c r="U22" s="52">
        <v>0.48963046122516263</v>
      </c>
      <c r="V22" s="52">
        <v>0.51471161901297036</v>
      </c>
      <c r="W22" s="52">
        <v>0.49401231603873758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43.342288300475253</v>
      </c>
      <c r="C23" s="53">
        <f t="shared" si="8"/>
        <v>43.163281949116602</v>
      </c>
      <c r="D23" s="53">
        <f t="shared" ref="D23:W23" si="9">D6/D8</f>
        <v>42.56093616812116</v>
      </c>
      <c r="E23" s="53">
        <f t="shared" si="9"/>
        <v>41.851709518378257</v>
      </c>
      <c r="F23" s="53">
        <f t="shared" si="9"/>
        <v>41.01646866756478</v>
      </c>
      <c r="G23" s="53">
        <f t="shared" si="9"/>
        <v>40.238365169853083</v>
      </c>
      <c r="H23" s="53">
        <f t="shared" si="9"/>
        <v>39.525199003994381</v>
      </c>
      <c r="I23" s="53">
        <f t="shared" si="9"/>
        <v>38.369870180497614</v>
      </c>
      <c r="J23" s="53">
        <f t="shared" si="9"/>
        <v>38.126475049946535</v>
      </c>
      <c r="K23" s="53">
        <f t="shared" si="9"/>
        <v>38.519483539927172</v>
      </c>
      <c r="L23" s="53">
        <f t="shared" si="9"/>
        <v>37.513398937998225</v>
      </c>
      <c r="M23" s="53">
        <f t="shared" si="9"/>
        <v>37.839865734845276</v>
      </c>
      <c r="N23" s="53">
        <f t="shared" si="9"/>
        <v>37.791676626086662</v>
      </c>
      <c r="O23" s="53">
        <f t="shared" si="9"/>
        <v>37.304839951421727</v>
      </c>
      <c r="P23" s="53">
        <f t="shared" si="9"/>
        <v>37.543200689268005</v>
      </c>
      <c r="Q23" s="53">
        <f t="shared" si="9"/>
        <v>37.900916438435893</v>
      </c>
      <c r="R23" s="53">
        <f t="shared" si="9"/>
        <v>38.302339811121662</v>
      </c>
      <c r="S23" s="53">
        <f t="shared" si="9"/>
        <v>38.475849209206949</v>
      </c>
      <c r="T23" s="53">
        <f t="shared" si="9"/>
        <v>38.736336198051866</v>
      </c>
      <c r="U23" s="53">
        <f t="shared" si="9"/>
        <v>38.539404839846746</v>
      </c>
      <c r="V23" s="53">
        <f t="shared" si="9"/>
        <v>37.524096894967968</v>
      </c>
      <c r="W23" s="53">
        <f t="shared" si="9"/>
        <v>36.859426012614435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4.8458578665160239</v>
      </c>
      <c r="C24" s="54">
        <f t="shared" si="10"/>
        <v>4.9577817641892388</v>
      </c>
      <c r="D24" s="54">
        <f t="shared" ref="D24:W24" si="11">D9*1000/D3</f>
        <v>5.0808229211964102</v>
      </c>
      <c r="E24" s="54">
        <f t="shared" si="11"/>
        <v>5.2132935737832815</v>
      </c>
      <c r="F24" s="54">
        <f t="shared" si="11"/>
        <v>5.3532628308981938</v>
      </c>
      <c r="G24" s="54">
        <f t="shared" si="11"/>
        <v>5.5440480598600246</v>
      </c>
      <c r="H24" s="54">
        <f t="shared" si="11"/>
        <v>5.7967740562908903</v>
      </c>
      <c r="I24" s="54">
        <f t="shared" si="11"/>
        <v>6.1184551419859554</v>
      </c>
      <c r="J24" s="54">
        <f t="shared" si="11"/>
        <v>6.3169813287367349</v>
      </c>
      <c r="K24" s="54">
        <f t="shared" si="11"/>
        <v>6.2991268281587169</v>
      </c>
      <c r="L24" s="54">
        <f t="shared" si="11"/>
        <v>6.427789341784929</v>
      </c>
      <c r="M24" s="54">
        <f t="shared" si="11"/>
        <v>6.4886629822200819</v>
      </c>
      <c r="N24" s="54">
        <f t="shared" si="11"/>
        <v>6.5386678962550668</v>
      </c>
      <c r="O24" s="54">
        <f t="shared" si="11"/>
        <v>6.5874439245366112</v>
      </c>
      <c r="P24" s="54">
        <f t="shared" si="11"/>
        <v>6.6434579892274011</v>
      </c>
      <c r="Q24" s="54">
        <f t="shared" si="11"/>
        <v>6.7199273810792208</v>
      </c>
      <c r="R24" s="54">
        <f t="shared" si="11"/>
        <v>6.794532252892922</v>
      </c>
      <c r="S24" s="54">
        <f t="shared" si="11"/>
        <v>6.8692481365459521</v>
      </c>
      <c r="T24" s="54">
        <f t="shared" si="11"/>
        <v>6.9591613665349801</v>
      </c>
      <c r="U24" s="54">
        <f t="shared" si="11"/>
        <v>7.0534339924786567</v>
      </c>
      <c r="V24" s="54">
        <f t="shared" si="11"/>
        <v>7.1434251035156002</v>
      </c>
      <c r="W24" s="54">
        <f t="shared" si="11"/>
        <v>7.2340549339295039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20.764939630336301</v>
      </c>
      <c r="C25" s="54">
        <f t="shared" si="12"/>
        <v>20.851055789987715</v>
      </c>
      <c r="D25" s="54">
        <f t="shared" ref="D25:W25" si="13">D9*1000/D6</f>
        <v>21.146151401484321</v>
      </c>
      <c r="E25" s="54">
        <f t="shared" si="13"/>
        <v>21.504497913156563</v>
      </c>
      <c r="F25" s="54">
        <f t="shared" si="13"/>
        <v>21.942405800324465</v>
      </c>
      <c r="G25" s="54">
        <f t="shared" si="13"/>
        <v>22.366713861284989</v>
      </c>
      <c r="H25" s="54">
        <f t="shared" si="13"/>
        <v>22.770283836117986</v>
      </c>
      <c r="I25" s="54">
        <f t="shared" si="13"/>
        <v>23.455904222929743</v>
      </c>
      <c r="J25" s="54">
        <f t="shared" si="13"/>
        <v>23.60564407858266</v>
      </c>
      <c r="K25" s="54">
        <f t="shared" si="13"/>
        <v>23.364799246778833</v>
      </c>
      <c r="L25" s="54">
        <f t="shared" si="13"/>
        <v>23.991427742591682</v>
      </c>
      <c r="M25" s="54">
        <f t="shared" si="13"/>
        <v>23.784439572448711</v>
      </c>
      <c r="N25" s="54">
        <f t="shared" si="13"/>
        <v>23.814767704133882</v>
      </c>
      <c r="O25" s="54">
        <f t="shared" si="13"/>
        <v>24.125555857416298</v>
      </c>
      <c r="P25" s="54">
        <f t="shared" si="13"/>
        <v>23.972383373729549</v>
      </c>
      <c r="Q25" s="54">
        <f t="shared" si="13"/>
        <v>23.746127655301137</v>
      </c>
      <c r="R25" s="54">
        <f t="shared" si="13"/>
        <v>23.497259030078148</v>
      </c>
      <c r="S25" s="54">
        <f t="shared" si="13"/>
        <v>23.391296579482319</v>
      </c>
      <c r="T25" s="54">
        <f t="shared" si="13"/>
        <v>23.233999090633226</v>
      </c>
      <c r="U25" s="54">
        <f t="shared" si="13"/>
        <v>23.352721811351635</v>
      </c>
      <c r="V25" s="54">
        <f t="shared" si="13"/>
        <v>23.984587890793215</v>
      </c>
      <c r="W25" s="54">
        <f t="shared" si="13"/>
        <v>24.417092108053783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899.99999999999989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900.00000000000011</v>
      </c>
      <c r="G26" s="55">
        <f t="shared" si="15"/>
        <v>900</v>
      </c>
      <c r="H26" s="55">
        <f t="shared" si="15"/>
        <v>900</v>
      </c>
      <c r="I26" s="55">
        <f t="shared" si="15"/>
        <v>900</v>
      </c>
      <c r="J26" s="55">
        <f t="shared" si="15"/>
        <v>900</v>
      </c>
      <c r="K26" s="55">
        <f t="shared" si="15"/>
        <v>900</v>
      </c>
      <c r="L26" s="55">
        <f t="shared" si="15"/>
        <v>899.99999999999989</v>
      </c>
      <c r="M26" s="55">
        <f t="shared" si="15"/>
        <v>900.00000000000011</v>
      </c>
      <c r="N26" s="55">
        <f t="shared" si="15"/>
        <v>899.99999999999989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900.00000000000011</v>
      </c>
      <c r="S26" s="55">
        <f t="shared" si="15"/>
        <v>899.99999999999989</v>
      </c>
      <c r="T26" s="55">
        <f t="shared" si="15"/>
        <v>900</v>
      </c>
      <c r="U26" s="55">
        <f t="shared" si="15"/>
        <v>899.99999999999989</v>
      </c>
      <c r="V26" s="55">
        <f t="shared" si="15"/>
        <v>900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899.99999999999977</v>
      </c>
      <c r="D27" s="57">
        <f t="shared" ref="D27:W27" si="17">IF(SUM(D11)=0,"",D11*1000/D10)</f>
        <v>899.99999999999989</v>
      </c>
      <c r="E27" s="57">
        <f t="shared" si="17"/>
        <v>900</v>
      </c>
      <c r="F27" s="57">
        <f t="shared" si="17"/>
        <v>900.00000000000011</v>
      </c>
      <c r="G27" s="57">
        <f t="shared" si="17"/>
        <v>900.00000000000011</v>
      </c>
      <c r="H27" s="57">
        <f t="shared" si="17"/>
        <v>899.99999999999989</v>
      </c>
      <c r="I27" s="57">
        <f t="shared" si="17"/>
        <v>899.99999999999977</v>
      </c>
      <c r="J27" s="57">
        <f t="shared" si="17"/>
        <v>900.00000000000011</v>
      </c>
      <c r="K27" s="57">
        <f t="shared" si="17"/>
        <v>899.99999999999989</v>
      </c>
      <c r="L27" s="57">
        <f t="shared" si="17"/>
        <v>899.99999999999989</v>
      </c>
      <c r="M27" s="57">
        <f t="shared" si="17"/>
        <v>900.00000000000011</v>
      </c>
      <c r="N27" s="57">
        <f t="shared" si="17"/>
        <v>900</v>
      </c>
      <c r="O27" s="57">
        <f t="shared" si="17"/>
        <v>899.99999999999989</v>
      </c>
      <c r="P27" s="57">
        <f t="shared" si="17"/>
        <v>900</v>
      </c>
      <c r="Q27" s="57">
        <f t="shared" si="17"/>
        <v>900.00000000000011</v>
      </c>
      <c r="R27" s="57">
        <f t="shared" si="17"/>
        <v>900</v>
      </c>
      <c r="S27" s="57">
        <f t="shared" si="17"/>
        <v>900</v>
      </c>
      <c r="T27" s="57">
        <f t="shared" si="17"/>
        <v>900</v>
      </c>
      <c r="U27" s="57">
        <f t="shared" si="17"/>
        <v>900</v>
      </c>
      <c r="V27" s="57">
        <f t="shared" si="17"/>
        <v>899.99999999999989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2199.5906276870169</v>
      </c>
      <c r="C31" s="80">
        <f t="shared" ref="C31:W31" si="18">SUM(C32:C33,C36:C37,C44:C45)</f>
        <v>1712.5139294926912</v>
      </c>
      <c r="D31" s="80">
        <f t="shared" si="18"/>
        <v>1561.0292347377472</v>
      </c>
      <c r="E31" s="80">
        <f t="shared" si="18"/>
        <v>1307.2245915735166</v>
      </c>
      <c r="F31" s="80">
        <f t="shared" si="18"/>
        <v>1447.7668099742045</v>
      </c>
      <c r="G31" s="80">
        <f t="shared" si="18"/>
        <v>1770.0000859845227</v>
      </c>
      <c r="H31" s="80">
        <f t="shared" si="18"/>
        <v>1886.6108340498711</v>
      </c>
      <c r="I31" s="80">
        <f t="shared" si="18"/>
        <v>1878.6319002579532</v>
      </c>
      <c r="J31" s="80">
        <f t="shared" si="18"/>
        <v>1945.1038693035252</v>
      </c>
      <c r="K31" s="80">
        <f t="shared" si="18"/>
        <v>1951.2084264832329</v>
      </c>
      <c r="L31" s="80">
        <f t="shared" si="18"/>
        <v>2110.3815369924687</v>
      </c>
      <c r="M31" s="80">
        <f t="shared" si="18"/>
        <v>1604.6780974988815</v>
      </c>
      <c r="N31" s="80">
        <f t="shared" si="18"/>
        <v>1454.1047217151286</v>
      </c>
      <c r="O31" s="80">
        <f t="shared" si="18"/>
        <v>1713.8091196847777</v>
      </c>
      <c r="P31" s="80">
        <f t="shared" si="18"/>
        <v>1236.8561432062183</v>
      </c>
      <c r="Q31" s="80">
        <f t="shared" si="18"/>
        <v>1301.6429046539927</v>
      </c>
      <c r="R31" s="80">
        <f t="shared" si="18"/>
        <v>1309.6685204631124</v>
      </c>
      <c r="S31" s="80">
        <f t="shared" si="18"/>
        <v>1426.6692440567022</v>
      </c>
      <c r="T31" s="80">
        <f t="shared" si="18"/>
        <v>1313.7999723975774</v>
      </c>
      <c r="U31" s="80">
        <f t="shared" si="18"/>
        <v>1210.6786002640374</v>
      </c>
      <c r="V31" s="80">
        <f t="shared" si="18"/>
        <v>1093.2653109852308</v>
      </c>
      <c r="W31" s="80">
        <f t="shared" si="18"/>
        <v>1391.3372534498835</v>
      </c>
      <c r="DA31" s="103" t="s">
        <v>198</v>
      </c>
    </row>
    <row r="32" spans="1:105" ht="12" customHeight="1" x14ac:dyDescent="0.25">
      <c r="A32" s="58" t="s">
        <v>29</v>
      </c>
      <c r="B32" s="59">
        <v>189.10627687016336</v>
      </c>
      <c r="C32" s="59">
        <v>153.60266552020636</v>
      </c>
      <c r="D32" s="59">
        <v>191.41762682717109</v>
      </c>
      <c r="E32" s="59">
        <v>35.702149613069651</v>
      </c>
      <c r="F32" s="59">
        <v>126.87773000859846</v>
      </c>
      <c r="G32" s="59">
        <v>30.056921754084264</v>
      </c>
      <c r="H32" s="59">
        <v>77.727343078245909</v>
      </c>
      <c r="I32" s="59">
        <v>152.47824591573513</v>
      </c>
      <c r="J32" s="59">
        <v>228.10515907136718</v>
      </c>
      <c r="K32" s="59">
        <v>491.30756663800508</v>
      </c>
      <c r="L32" s="59">
        <v>279.64032674118653</v>
      </c>
      <c r="M32" s="59">
        <v>313.70773860705071</v>
      </c>
      <c r="N32" s="59">
        <v>90.611693895098881</v>
      </c>
      <c r="O32" s="59">
        <v>168.15528804815131</v>
      </c>
      <c r="P32" s="59">
        <v>107.29656061908857</v>
      </c>
      <c r="Q32" s="59">
        <v>108.97566638005159</v>
      </c>
      <c r="R32" s="59">
        <v>57.005073086844362</v>
      </c>
      <c r="S32" s="59">
        <v>71.468787618228703</v>
      </c>
      <c r="T32" s="59">
        <v>83.057523645743757</v>
      </c>
      <c r="U32" s="59">
        <v>122.05073086844368</v>
      </c>
      <c r="V32" s="59">
        <v>47.337919174548574</v>
      </c>
      <c r="W32" s="59">
        <v>72.368271711091992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12.569475494411005</v>
      </c>
      <c r="C33" s="55">
        <f t="shared" ref="C33:W33" si="19">SUM(C34:C35)</f>
        <v>66.676182287188297</v>
      </c>
      <c r="D33" s="55">
        <f t="shared" si="19"/>
        <v>68.658641444539981</v>
      </c>
      <c r="E33" s="55">
        <f t="shared" si="19"/>
        <v>51.480911435941529</v>
      </c>
      <c r="F33" s="55">
        <f t="shared" si="19"/>
        <v>72.627773000859833</v>
      </c>
      <c r="G33" s="55">
        <f t="shared" si="19"/>
        <v>62.002923473774707</v>
      </c>
      <c r="H33" s="55">
        <f t="shared" si="19"/>
        <v>45.985812553740317</v>
      </c>
      <c r="I33" s="55">
        <f t="shared" si="19"/>
        <v>9.8165090283748899</v>
      </c>
      <c r="J33" s="55">
        <f t="shared" si="19"/>
        <v>6.3055889939810825</v>
      </c>
      <c r="K33" s="55">
        <f t="shared" si="19"/>
        <v>21.862166809974198</v>
      </c>
      <c r="L33" s="55">
        <f t="shared" si="19"/>
        <v>19.77644024075666</v>
      </c>
      <c r="M33" s="55">
        <f t="shared" si="19"/>
        <v>2.1974204643164228</v>
      </c>
      <c r="N33" s="55">
        <f t="shared" si="19"/>
        <v>12.085640584694749</v>
      </c>
      <c r="O33" s="55">
        <f t="shared" si="19"/>
        <v>11.990799656061904</v>
      </c>
      <c r="P33" s="55">
        <f t="shared" si="19"/>
        <v>14.894067067927772</v>
      </c>
      <c r="Q33" s="55">
        <f t="shared" si="19"/>
        <v>13.727515047291487</v>
      </c>
      <c r="R33" s="55">
        <f t="shared" si="19"/>
        <v>10.616337059329322</v>
      </c>
      <c r="S33" s="55">
        <f t="shared" si="19"/>
        <v>6.314617368873602</v>
      </c>
      <c r="T33" s="55">
        <f t="shared" si="19"/>
        <v>6.4064488392089416</v>
      </c>
      <c r="U33" s="55">
        <f t="shared" si="19"/>
        <v>8.325193465176266</v>
      </c>
      <c r="V33" s="55">
        <f t="shared" si="19"/>
        <v>5.2130696474634561</v>
      </c>
      <c r="W33" s="55">
        <f t="shared" si="19"/>
        <v>5.2785038693035249</v>
      </c>
      <c r="DA33" s="101"/>
    </row>
    <row r="34" spans="1:105" ht="12" customHeight="1" x14ac:dyDescent="0.25">
      <c r="A34" s="61" t="s">
        <v>52</v>
      </c>
      <c r="B34" s="55">
        <v>6.5935511607910584</v>
      </c>
      <c r="C34" s="55">
        <v>17.579019776440241</v>
      </c>
      <c r="D34" s="55">
        <v>37.355546001719688</v>
      </c>
      <c r="E34" s="55">
        <v>40.651590713671538</v>
      </c>
      <c r="F34" s="55">
        <v>45.0463456577816</v>
      </c>
      <c r="G34" s="55">
        <v>31.862080825451411</v>
      </c>
      <c r="H34" s="55">
        <v>27.467239896818569</v>
      </c>
      <c r="I34" s="55">
        <v>8.7895098882201186</v>
      </c>
      <c r="J34" s="55">
        <v>2.1974204643164228</v>
      </c>
      <c r="K34" s="55">
        <v>10.98693035253654</v>
      </c>
      <c r="L34" s="55">
        <v>19.77644024075666</v>
      </c>
      <c r="M34" s="55">
        <v>2.1974204643164228</v>
      </c>
      <c r="N34" s="55">
        <v>12.085640584694749</v>
      </c>
      <c r="O34" s="55">
        <v>10.98693035253654</v>
      </c>
      <c r="P34" s="55">
        <v>9.8882201203783318</v>
      </c>
      <c r="Q34" s="55">
        <v>7.690799656061909</v>
      </c>
      <c r="R34" s="55">
        <v>6.592175408426483</v>
      </c>
      <c r="S34" s="55">
        <v>3.2960447119518479</v>
      </c>
      <c r="T34" s="55">
        <v>4.3947549441100593</v>
      </c>
      <c r="U34" s="55">
        <v>3.2960447119518479</v>
      </c>
      <c r="V34" s="55">
        <v>2.1974204643164228</v>
      </c>
      <c r="W34" s="55">
        <v>2.1974204643164228</v>
      </c>
      <c r="DA34" s="101" t="s">
        <v>200</v>
      </c>
    </row>
    <row r="35" spans="1:105" ht="12" customHeight="1" x14ac:dyDescent="0.25">
      <c r="A35" s="61" t="s">
        <v>170</v>
      </c>
      <c r="B35" s="55">
        <v>5.9759243336199468</v>
      </c>
      <c r="C35" s="55">
        <v>49.097162510748056</v>
      </c>
      <c r="D35" s="55">
        <v>31.303095442820293</v>
      </c>
      <c r="E35" s="55">
        <v>10.829320722269991</v>
      </c>
      <c r="F35" s="55">
        <v>27.581427343078232</v>
      </c>
      <c r="G35" s="55">
        <v>30.140842648323297</v>
      </c>
      <c r="H35" s="55">
        <v>18.518572656921748</v>
      </c>
      <c r="I35" s="55">
        <v>1.0269991401547713</v>
      </c>
      <c r="J35" s="55">
        <v>4.1081685296646597</v>
      </c>
      <c r="K35" s="55">
        <v>10.875236457437659</v>
      </c>
      <c r="L35" s="55">
        <v>0</v>
      </c>
      <c r="M35" s="55">
        <v>0</v>
      </c>
      <c r="N35" s="55">
        <v>0</v>
      </c>
      <c r="O35" s="55">
        <v>1.0038693035253647</v>
      </c>
      <c r="P35" s="55">
        <v>5.0058469475494398</v>
      </c>
      <c r="Q35" s="55">
        <v>6.0367153912295777</v>
      </c>
      <c r="R35" s="55">
        <v>4.0241616509028386</v>
      </c>
      <c r="S35" s="55">
        <v>3.0185726569217541</v>
      </c>
      <c r="T35" s="55">
        <v>2.0116938950988823</v>
      </c>
      <c r="U35" s="55">
        <v>5.0291487532244181</v>
      </c>
      <c r="V35" s="55">
        <v>3.0156491831470333</v>
      </c>
      <c r="W35" s="55">
        <v>3.0810834049871021</v>
      </c>
      <c r="DA35" s="101" t="s">
        <v>201</v>
      </c>
    </row>
    <row r="36" spans="1:105" ht="12" customHeight="1" x14ac:dyDescent="0.25">
      <c r="A36" s="60" t="s">
        <v>153</v>
      </c>
      <c r="B36" s="55">
        <v>1360.081685296647</v>
      </c>
      <c r="C36" s="55">
        <v>679.17024935511608</v>
      </c>
      <c r="D36" s="55">
        <v>448.68873602751501</v>
      </c>
      <c r="E36" s="55">
        <v>470.48581255374029</v>
      </c>
      <c r="F36" s="55">
        <v>324.20464316423039</v>
      </c>
      <c r="G36" s="55">
        <v>900.55889939810822</v>
      </c>
      <c r="H36" s="55">
        <v>996.17368873602743</v>
      </c>
      <c r="I36" s="55">
        <v>923.68873602751501</v>
      </c>
      <c r="J36" s="55">
        <v>907.80309544282022</v>
      </c>
      <c r="K36" s="55">
        <v>572.87188306104895</v>
      </c>
      <c r="L36" s="55">
        <v>842.97076526225271</v>
      </c>
      <c r="M36" s="55">
        <v>356.79277730008602</v>
      </c>
      <c r="N36" s="55">
        <v>644.23903697334481</v>
      </c>
      <c r="O36" s="55">
        <v>771.94754944110059</v>
      </c>
      <c r="P36" s="55">
        <v>493.40068787618219</v>
      </c>
      <c r="Q36" s="55">
        <v>526.09630266552017</v>
      </c>
      <c r="R36" s="55">
        <v>532.84608770421323</v>
      </c>
      <c r="S36" s="55">
        <v>571.45313843508166</v>
      </c>
      <c r="T36" s="55">
        <v>489.47850386930349</v>
      </c>
      <c r="U36" s="55">
        <v>399.12209802235589</v>
      </c>
      <c r="V36" s="55">
        <v>355.61453138435081</v>
      </c>
      <c r="W36" s="55">
        <v>550.96414445399819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0.14333619948409279</v>
      </c>
      <c r="C37" s="55">
        <f t="shared" ref="C37:W37" si="20">SUM(C38:C42)</f>
        <v>20.325709372312978</v>
      </c>
      <c r="D37" s="55">
        <f t="shared" si="20"/>
        <v>6.7593293207222702</v>
      </c>
      <c r="E37" s="55">
        <f t="shared" si="20"/>
        <v>5.923387790197765</v>
      </c>
      <c r="F37" s="55">
        <f t="shared" si="20"/>
        <v>8.5030094582975053</v>
      </c>
      <c r="G37" s="55">
        <f t="shared" si="20"/>
        <v>2.2929492691315563</v>
      </c>
      <c r="H37" s="55">
        <f t="shared" si="20"/>
        <v>6.3533104041272548</v>
      </c>
      <c r="I37" s="55">
        <f t="shared" si="20"/>
        <v>3.7260533104041267</v>
      </c>
      <c r="J37" s="55">
        <f t="shared" si="20"/>
        <v>15.644368013757521</v>
      </c>
      <c r="K37" s="55">
        <f t="shared" si="20"/>
        <v>25.890971625107476</v>
      </c>
      <c r="L37" s="55">
        <f t="shared" si="20"/>
        <v>23.502493551160789</v>
      </c>
      <c r="M37" s="55">
        <f t="shared" si="20"/>
        <v>20.397334479793635</v>
      </c>
      <c r="N37" s="55">
        <f t="shared" si="20"/>
        <v>26.559673258813412</v>
      </c>
      <c r="O37" s="55">
        <f t="shared" si="20"/>
        <v>12.849871023215821</v>
      </c>
      <c r="P37" s="55">
        <f t="shared" si="20"/>
        <v>30.548409286328464</v>
      </c>
      <c r="Q37" s="55">
        <f t="shared" si="20"/>
        <v>31.575494411006012</v>
      </c>
      <c r="R37" s="55">
        <f t="shared" si="20"/>
        <v>17.746173688736025</v>
      </c>
      <c r="S37" s="55">
        <f t="shared" si="20"/>
        <v>34.799828030954416</v>
      </c>
      <c r="T37" s="55">
        <f t="shared" si="20"/>
        <v>34.919346517626813</v>
      </c>
      <c r="U37" s="55">
        <f t="shared" si="20"/>
        <v>37.116509028374892</v>
      </c>
      <c r="V37" s="55">
        <f t="shared" si="20"/>
        <v>40.173860705073075</v>
      </c>
      <c r="W37" s="55">
        <f t="shared" si="20"/>
        <v>43.852106620808257</v>
      </c>
      <c r="DA37" s="101"/>
    </row>
    <row r="38" spans="1:105" ht="12" customHeight="1" x14ac:dyDescent="0.25">
      <c r="A38" s="61" t="s">
        <v>171</v>
      </c>
      <c r="B38" s="55">
        <v>0.14333619948409279</v>
      </c>
      <c r="C38" s="55">
        <v>14.784522785898536</v>
      </c>
      <c r="D38" s="55">
        <v>3.6065348237317281</v>
      </c>
      <c r="E38" s="55">
        <v>3.4871883061049007</v>
      </c>
      <c r="F38" s="55">
        <v>3.0572656921754078</v>
      </c>
      <c r="G38" s="55">
        <v>0.85984522785898565</v>
      </c>
      <c r="H38" s="55">
        <v>0.8359415305245057</v>
      </c>
      <c r="I38" s="55">
        <v>0.740412725709372</v>
      </c>
      <c r="J38" s="55">
        <v>11.798968185726567</v>
      </c>
      <c r="K38" s="55">
        <v>16.719260533104041</v>
      </c>
      <c r="L38" s="55">
        <v>17.483576956147889</v>
      </c>
      <c r="M38" s="55">
        <v>10.126999140154771</v>
      </c>
      <c r="N38" s="55">
        <v>13.279793637145314</v>
      </c>
      <c r="O38" s="55">
        <v>8.359587274290627</v>
      </c>
      <c r="P38" s="55">
        <v>25.126655202063635</v>
      </c>
      <c r="Q38" s="55">
        <v>15.525021496130687</v>
      </c>
      <c r="R38" s="55">
        <v>6.2099742046431636</v>
      </c>
      <c r="S38" s="55">
        <v>24.433877901977635</v>
      </c>
      <c r="T38" s="55">
        <v>24.983319002579528</v>
      </c>
      <c r="U38" s="55">
        <v>28.685296646603611</v>
      </c>
      <c r="V38" s="55">
        <v>32.769647463456572</v>
      </c>
      <c r="W38" s="55">
        <v>36.471797076526229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4.8963026655202064</v>
      </c>
      <c r="D39" s="55">
        <v>2.507910576096303</v>
      </c>
      <c r="E39" s="55">
        <v>1.7196904557179711</v>
      </c>
      <c r="F39" s="55">
        <v>4.7530524505588989</v>
      </c>
      <c r="G39" s="55">
        <v>0.57325881341358553</v>
      </c>
      <c r="H39" s="55">
        <v>4.3947549441100593</v>
      </c>
      <c r="I39" s="55">
        <v>1.863026655202064</v>
      </c>
      <c r="J39" s="55">
        <v>2.6750644883920889</v>
      </c>
      <c r="K39" s="55">
        <v>8.0251934651762671</v>
      </c>
      <c r="L39" s="55">
        <v>4.4186586414445399</v>
      </c>
      <c r="M39" s="55">
        <v>8.7656061908856397</v>
      </c>
      <c r="N39" s="55">
        <v>11.96620808254514</v>
      </c>
      <c r="O39" s="55">
        <v>3.3199484092863281</v>
      </c>
      <c r="P39" s="55">
        <v>3.6304385210662078</v>
      </c>
      <c r="Q39" s="55">
        <v>14.545743766122101</v>
      </c>
      <c r="R39" s="55">
        <v>9.8643164230438511</v>
      </c>
      <c r="S39" s="55">
        <v>8.9328460877042115</v>
      </c>
      <c r="T39" s="55">
        <v>8.5506448839208939</v>
      </c>
      <c r="U39" s="55">
        <v>7.0459157351676698</v>
      </c>
      <c r="V39" s="55">
        <v>6.6638005159071358</v>
      </c>
      <c r="W39" s="55">
        <v>6.6159931212381773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2.3903697334479789E-2</v>
      </c>
      <c r="H41" s="55">
        <v>2.3903697334479789E-2</v>
      </c>
      <c r="I41" s="55">
        <v>2.3903697334479789E-2</v>
      </c>
      <c r="J41" s="55">
        <v>2.3903697334479789E-2</v>
      </c>
      <c r="K41" s="55">
        <v>2.3903697334479789E-2</v>
      </c>
      <c r="L41" s="55">
        <v>0.45382631126397238</v>
      </c>
      <c r="M41" s="55">
        <v>0.5493551160791057</v>
      </c>
      <c r="N41" s="55">
        <v>0.5493551160791057</v>
      </c>
      <c r="O41" s="55">
        <v>0.28658641444539978</v>
      </c>
      <c r="P41" s="55">
        <v>1.146431642304385</v>
      </c>
      <c r="Q41" s="55">
        <v>0.81203783319002576</v>
      </c>
      <c r="R41" s="55">
        <v>0.85984522785898532</v>
      </c>
      <c r="S41" s="55">
        <v>0.64488392089423896</v>
      </c>
      <c r="T41" s="55">
        <v>0.69269131556319852</v>
      </c>
      <c r="U41" s="55">
        <v>0.7165090283748925</v>
      </c>
      <c r="V41" s="55">
        <v>0.74041272570937233</v>
      </c>
      <c r="W41" s="55">
        <v>0.76431642304385194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0.64488392089423896</v>
      </c>
      <c r="D42" s="55">
        <v>0.64488392089423896</v>
      </c>
      <c r="E42" s="55">
        <v>0.7165090283748925</v>
      </c>
      <c r="F42" s="55">
        <v>0.69269131556319852</v>
      </c>
      <c r="G42" s="55">
        <v>0.83594153052450548</v>
      </c>
      <c r="H42" s="55">
        <v>1.098710232158211</v>
      </c>
      <c r="I42" s="55">
        <v>1.098710232158211</v>
      </c>
      <c r="J42" s="55">
        <v>1.146431642304385</v>
      </c>
      <c r="K42" s="55">
        <v>1.1226139294926909</v>
      </c>
      <c r="L42" s="55">
        <v>1.146431642304385</v>
      </c>
      <c r="M42" s="55">
        <v>0.95537403267411869</v>
      </c>
      <c r="N42" s="55">
        <v>0.76431642304385194</v>
      </c>
      <c r="O42" s="55">
        <v>0.88374892519346515</v>
      </c>
      <c r="P42" s="55">
        <v>0.64488392089423896</v>
      </c>
      <c r="Q42" s="55">
        <v>0.69269131556319852</v>
      </c>
      <c r="R42" s="55">
        <v>0.81203783319002576</v>
      </c>
      <c r="S42" s="55">
        <v>0.78822012037833178</v>
      </c>
      <c r="T42" s="55">
        <v>0.69269131556319852</v>
      </c>
      <c r="U42" s="55">
        <v>0.66878761822871879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4.0003545736449365E-3</v>
      </c>
      <c r="C43" s="55">
        <v>3.2656228119758129E-2</v>
      </c>
      <c r="D43" s="55">
        <v>6.7820838966477393E-2</v>
      </c>
      <c r="E43" s="55">
        <v>9.1574063014026374E-2</v>
      </c>
      <c r="F43" s="55">
        <v>0.15423021869459916</v>
      </c>
      <c r="G43" s="55">
        <v>0.17651000700228595</v>
      </c>
      <c r="H43" s="55">
        <v>0.20670444908710731</v>
      </c>
      <c r="I43" s="55">
        <v>0.33671234583484566</v>
      </c>
      <c r="J43" s="55">
        <v>0.41298180218434316</v>
      </c>
      <c r="K43" s="55">
        <v>0.72136943847943535</v>
      </c>
      <c r="L43" s="55">
        <v>1.272034951919309</v>
      </c>
      <c r="M43" s="55">
        <v>2.3688984659690027</v>
      </c>
      <c r="N43" s="55">
        <v>3.1956517663696049</v>
      </c>
      <c r="O43" s="55">
        <v>3.8091220364453933</v>
      </c>
      <c r="P43" s="55">
        <v>4.5760387552626938</v>
      </c>
      <c r="Q43" s="55">
        <v>9.6364045226004595</v>
      </c>
      <c r="R43" s="55">
        <v>9.8528436915283635</v>
      </c>
      <c r="S43" s="55">
        <v>10.340642930783458</v>
      </c>
      <c r="T43" s="55">
        <v>10.793119952645263</v>
      </c>
      <c r="U43" s="55">
        <v>10.233104041272577</v>
      </c>
      <c r="V43" s="55">
        <v>13.267411865864149</v>
      </c>
      <c r="W43" s="55">
        <v>16.036113499570099</v>
      </c>
      <c r="DA43" s="101" t="s">
        <v>208</v>
      </c>
    </row>
    <row r="44" spans="1:105" ht="12" customHeight="1" x14ac:dyDescent="0.25">
      <c r="A44" s="60" t="s">
        <v>169</v>
      </c>
      <c r="B44" s="55">
        <v>184.72338779019779</v>
      </c>
      <c r="C44" s="55">
        <v>162.1286328460877</v>
      </c>
      <c r="D44" s="55">
        <v>206.5539122957868</v>
      </c>
      <c r="E44" s="55">
        <v>180.51969045571789</v>
      </c>
      <c r="F44" s="55">
        <v>276.34471195184858</v>
      </c>
      <c r="G44" s="55">
        <v>239.49079965606191</v>
      </c>
      <c r="H44" s="55">
        <v>215.48675838349101</v>
      </c>
      <c r="I44" s="55">
        <v>194.25339638865</v>
      </c>
      <c r="J44" s="55">
        <v>197.04789337919169</v>
      </c>
      <c r="K44" s="55">
        <v>223.79862424763539</v>
      </c>
      <c r="L44" s="55">
        <v>250.42992261392951</v>
      </c>
      <c r="M44" s="55">
        <v>200.79776440240749</v>
      </c>
      <c r="N44" s="55">
        <v>123.1489251934652</v>
      </c>
      <c r="O44" s="55">
        <v>96.5176268271711</v>
      </c>
      <c r="P44" s="55">
        <v>58.80386930352536</v>
      </c>
      <c r="Q44" s="55">
        <v>28.804815133276009</v>
      </c>
      <c r="R44" s="55">
        <v>92.863284608770414</v>
      </c>
      <c r="S44" s="55">
        <v>82.855631986242471</v>
      </c>
      <c r="T44" s="55">
        <v>80.228374892519341</v>
      </c>
      <c r="U44" s="55">
        <v>73.516766981943249</v>
      </c>
      <c r="V44" s="55">
        <v>72.370335339638856</v>
      </c>
      <c r="W44" s="55">
        <v>104.3040412725709</v>
      </c>
      <c r="DA44" s="101" t="s">
        <v>209</v>
      </c>
    </row>
    <row r="45" spans="1:105" ht="12" customHeight="1" x14ac:dyDescent="0.25">
      <c r="A45" s="62" t="s">
        <v>24</v>
      </c>
      <c r="B45" s="63">
        <v>452.96646603611339</v>
      </c>
      <c r="C45" s="63">
        <v>630.61049011177977</v>
      </c>
      <c r="D45" s="63">
        <v>638.95098882201194</v>
      </c>
      <c r="E45" s="63">
        <v>563.11263972484949</v>
      </c>
      <c r="F45" s="63">
        <v>639.20894239036966</v>
      </c>
      <c r="G45" s="63">
        <v>535.59759243336191</v>
      </c>
      <c r="H45" s="63">
        <v>544.88392089423905</v>
      </c>
      <c r="I45" s="63">
        <v>594.66895958727423</v>
      </c>
      <c r="J45" s="63">
        <v>590.19776440240753</v>
      </c>
      <c r="K45" s="63">
        <v>615.47721410146164</v>
      </c>
      <c r="L45" s="63">
        <v>694.0615885831827</v>
      </c>
      <c r="M45" s="63">
        <v>710.78506224522721</v>
      </c>
      <c r="N45" s="63">
        <v>557.45975180971141</v>
      </c>
      <c r="O45" s="63">
        <v>652.34798468907707</v>
      </c>
      <c r="P45" s="63">
        <v>531.91254905316589</v>
      </c>
      <c r="Q45" s="63">
        <v>592.46311101684728</v>
      </c>
      <c r="R45" s="63">
        <v>598.59156431521899</v>
      </c>
      <c r="S45" s="63">
        <v>659.77724061732135</v>
      </c>
      <c r="T45" s="63">
        <v>619.70977463317513</v>
      </c>
      <c r="U45" s="63">
        <v>570.54730189774352</v>
      </c>
      <c r="V45" s="63">
        <v>572.55559473415599</v>
      </c>
      <c r="W45" s="63">
        <v>614.57018552211048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2199.5906276870169</v>
      </c>
      <c r="C47" s="82">
        <f t="shared" ref="C47:W47" si="22">SUM(C48,C53)</f>
        <v>1712.5139294926912</v>
      </c>
      <c r="D47" s="82">
        <f t="shared" si="22"/>
        <v>1561.0292347377472</v>
      </c>
      <c r="E47" s="82">
        <f t="shared" si="22"/>
        <v>1307.2245915735166</v>
      </c>
      <c r="F47" s="82">
        <f t="shared" si="22"/>
        <v>1447.7668099742043</v>
      </c>
      <c r="G47" s="82">
        <f t="shared" si="22"/>
        <v>1770.0000859845222</v>
      </c>
      <c r="H47" s="82">
        <f t="shared" si="22"/>
        <v>1886.6108340498713</v>
      </c>
      <c r="I47" s="82">
        <f t="shared" si="22"/>
        <v>1878.631900257953</v>
      </c>
      <c r="J47" s="82">
        <f t="shared" si="22"/>
        <v>1945.1038693035252</v>
      </c>
      <c r="K47" s="82">
        <f t="shared" si="22"/>
        <v>1951.2084264832326</v>
      </c>
      <c r="L47" s="82">
        <f t="shared" si="22"/>
        <v>2110.3815369924691</v>
      </c>
      <c r="M47" s="82">
        <f t="shared" si="22"/>
        <v>1604.6780974988822</v>
      </c>
      <c r="N47" s="82">
        <f t="shared" si="22"/>
        <v>1454.1047217151283</v>
      </c>
      <c r="O47" s="82">
        <f t="shared" si="22"/>
        <v>1713.8091196847777</v>
      </c>
      <c r="P47" s="82">
        <f t="shared" si="22"/>
        <v>1236.8561432062179</v>
      </c>
      <c r="Q47" s="82">
        <f t="shared" si="22"/>
        <v>1301.6429046539922</v>
      </c>
      <c r="R47" s="82">
        <f t="shared" si="22"/>
        <v>1309.6685204631121</v>
      </c>
      <c r="S47" s="82">
        <f t="shared" si="22"/>
        <v>1426.6692440567017</v>
      </c>
      <c r="T47" s="82">
        <f t="shared" si="22"/>
        <v>1313.7999723975777</v>
      </c>
      <c r="U47" s="82">
        <f t="shared" si="22"/>
        <v>1210.6786002640376</v>
      </c>
      <c r="V47" s="82">
        <f t="shared" si="22"/>
        <v>1093.2653109852311</v>
      </c>
      <c r="W47" s="82">
        <f t="shared" si="22"/>
        <v>1391.337253449884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2041.7142641690893</v>
      </c>
      <c r="C48" s="64">
        <f t="shared" ref="C48:W48" si="24">SUM(C49:C52)</f>
        <v>1545.6440479540506</v>
      </c>
      <c r="D48" s="64">
        <f t="shared" si="24"/>
        <v>1386.6675460678734</v>
      </c>
      <c r="E48" s="64">
        <f t="shared" si="24"/>
        <v>1128.0001084161013</v>
      </c>
      <c r="F48" s="64">
        <f t="shared" si="24"/>
        <v>1259.3934057153078</v>
      </c>
      <c r="G48" s="64">
        <f t="shared" si="24"/>
        <v>1576.017577943368</v>
      </c>
      <c r="H48" s="64">
        <f t="shared" si="24"/>
        <v>1684.9872201143176</v>
      </c>
      <c r="I48" s="64">
        <f t="shared" si="24"/>
        <v>1664.2686859477928</v>
      </c>
      <c r="J48" s="64">
        <f t="shared" si="24"/>
        <v>1723.5627314288624</v>
      </c>
      <c r="K48" s="64">
        <f t="shared" si="24"/>
        <v>1725.9925585600677</v>
      </c>
      <c r="L48" s="64">
        <f t="shared" si="24"/>
        <v>1878.4987702955359</v>
      </c>
      <c r="M48" s="64">
        <f t="shared" si="24"/>
        <v>1369.5630647699491</v>
      </c>
      <c r="N48" s="64">
        <f t="shared" si="24"/>
        <v>1220.1914507252118</v>
      </c>
      <c r="O48" s="64">
        <f t="shared" si="24"/>
        <v>1472.7340633856074</v>
      </c>
      <c r="P48" s="64">
        <f t="shared" si="24"/>
        <v>995.09033601479337</v>
      </c>
      <c r="Q48" s="64">
        <f t="shared" si="24"/>
        <v>1048.8618445928464</v>
      </c>
      <c r="R48" s="64">
        <f t="shared" si="24"/>
        <v>1056.2526849822702</v>
      </c>
      <c r="S48" s="64">
        <f t="shared" si="24"/>
        <v>1163.8324882053366</v>
      </c>
      <c r="T48" s="64">
        <f t="shared" si="24"/>
        <v>1052.448536062705</v>
      </c>
      <c r="U48" s="64">
        <f t="shared" si="24"/>
        <v>952.0094310365198</v>
      </c>
      <c r="V48" s="64">
        <f t="shared" si="24"/>
        <v>836.08004360905386</v>
      </c>
      <c r="W48" s="64">
        <f t="shared" si="24"/>
        <v>1124.5356038922612</v>
      </c>
      <c r="DA48" s="108" t="s">
        <v>212</v>
      </c>
    </row>
    <row r="49" spans="1:105" ht="12" customHeight="1" x14ac:dyDescent="0.25">
      <c r="A49" s="61" t="s">
        <v>32</v>
      </c>
      <c r="B49" s="65">
        <v>1846.248493593612</v>
      </c>
      <c r="C49" s="65">
        <v>1344.5355679980587</v>
      </c>
      <c r="D49" s="65">
        <v>1172.0968197582995</v>
      </c>
      <c r="E49" s="65">
        <v>907.30254407366965</v>
      </c>
      <c r="F49" s="65">
        <v>1035.0739688381559</v>
      </c>
      <c r="G49" s="65">
        <v>1339.4496080407298</v>
      </c>
      <c r="H49" s="65">
        <v>1437.9714821449243</v>
      </c>
      <c r="I49" s="65">
        <v>1413.6287877198811</v>
      </c>
      <c r="J49" s="65">
        <v>1471.0061668081566</v>
      </c>
      <c r="K49" s="65">
        <v>1465.8111914142426</v>
      </c>
      <c r="L49" s="65">
        <v>1612.9413841389476</v>
      </c>
      <c r="M49" s="65">
        <v>1110.7422384268391</v>
      </c>
      <c r="N49" s="65">
        <v>951.91374143435394</v>
      </c>
      <c r="O49" s="65">
        <v>1201.7048693675647</v>
      </c>
      <c r="P49" s="65">
        <v>721.82584281193101</v>
      </c>
      <c r="Q49" s="65">
        <v>772.03189972420591</v>
      </c>
      <c r="R49" s="65">
        <v>781.81474415680827</v>
      </c>
      <c r="S49" s="65">
        <v>891.40611304460276</v>
      </c>
      <c r="T49" s="65">
        <v>785.14869724452876</v>
      </c>
      <c r="U49" s="65">
        <v>690.3355423672765</v>
      </c>
      <c r="V49" s="65">
        <v>600.79760109753056</v>
      </c>
      <c r="W49" s="65">
        <v>857.88134095848545</v>
      </c>
      <c r="DA49" s="109" t="s">
        <v>213</v>
      </c>
    </row>
    <row r="50" spans="1:105" ht="12" customHeight="1" x14ac:dyDescent="0.25">
      <c r="A50" s="61" t="s">
        <v>31</v>
      </c>
      <c r="B50" s="65">
        <v>5.2453154714416552</v>
      </c>
      <c r="C50" s="65">
        <v>5.3217437914965657</v>
      </c>
      <c r="D50" s="65">
        <v>5.7008067258217157</v>
      </c>
      <c r="E50" s="65">
        <v>5.8863607085073673</v>
      </c>
      <c r="F50" s="65">
        <v>5.8193735449137405</v>
      </c>
      <c r="G50" s="65">
        <v>5.9596915759041158</v>
      </c>
      <c r="H50" s="65">
        <v>6.2646498122156133</v>
      </c>
      <c r="I50" s="65">
        <v>6.7996966287868537</v>
      </c>
      <c r="J50" s="65">
        <v>6.5167527574709609</v>
      </c>
      <c r="K50" s="65">
        <v>6.6731827834103132</v>
      </c>
      <c r="L50" s="65">
        <v>7.092387741217558</v>
      </c>
      <c r="M50" s="65">
        <v>6.8351401230730895</v>
      </c>
      <c r="N50" s="65">
        <v>7.5219175423900992</v>
      </c>
      <c r="O50" s="65">
        <v>7.1960468902009556</v>
      </c>
      <c r="P50" s="65">
        <v>6.5952650681817868</v>
      </c>
      <c r="Q50" s="65">
        <v>7.7002279179552451</v>
      </c>
      <c r="R50" s="65">
        <v>6.4790478484413772</v>
      </c>
      <c r="S50" s="65">
        <v>6.8711734072914501</v>
      </c>
      <c r="T50" s="65">
        <v>6.7544344445725031</v>
      </c>
      <c r="U50" s="65">
        <v>7.0243790975701206</v>
      </c>
      <c r="V50" s="65">
        <v>6.2528436297551826</v>
      </c>
      <c r="W50" s="65">
        <v>6.8159977631767621</v>
      </c>
      <c r="DA50" s="109" t="s">
        <v>214</v>
      </c>
    </row>
    <row r="51" spans="1:105" ht="12" customHeight="1" x14ac:dyDescent="0.25">
      <c r="A51" s="61" t="s">
        <v>35</v>
      </c>
      <c r="B51" s="65">
        <v>100.83138362378412</v>
      </c>
      <c r="C51" s="65">
        <v>102.25036941000261</v>
      </c>
      <c r="D51" s="65">
        <v>105.00391915468069</v>
      </c>
      <c r="E51" s="65">
        <v>107.67938784244768</v>
      </c>
      <c r="F51" s="65">
        <v>109.2012230862079</v>
      </c>
      <c r="G51" s="65">
        <v>115.99852680215099</v>
      </c>
      <c r="H51" s="65">
        <v>122.64743141587064</v>
      </c>
      <c r="I51" s="65">
        <v>127.58242775253908</v>
      </c>
      <c r="J51" s="65">
        <v>130.49944851336531</v>
      </c>
      <c r="K51" s="65">
        <v>133.78363705189827</v>
      </c>
      <c r="L51" s="65">
        <v>136.76035843471169</v>
      </c>
      <c r="M51" s="65">
        <v>136.56102710938643</v>
      </c>
      <c r="N51" s="65">
        <v>140.10068057541739</v>
      </c>
      <c r="O51" s="65">
        <v>140.77687935615759</v>
      </c>
      <c r="P51" s="65">
        <v>143.04224726649511</v>
      </c>
      <c r="Q51" s="65">
        <v>143.54379867839504</v>
      </c>
      <c r="R51" s="65">
        <v>142.86078379826262</v>
      </c>
      <c r="S51" s="65">
        <v>142.97758650351821</v>
      </c>
      <c r="T51" s="65">
        <v>140.07386738655194</v>
      </c>
      <c r="U51" s="65">
        <v>138.38480005512403</v>
      </c>
      <c r="V51" s="65">
        <v>122.82563795451262</v>
      </c>
      <c r="W51" s="65">
        <v>135.35266426190211</v>
      </c>
      <c r="DA51" s="109" t="s">
        <v>215</v>
      </c>
    </row>
    <row r="52" spans="1:105" ht="12" customHeight="1" x14ac:dyDescent="0.25">
      <c r="A52" s="66" t="s">
        <v>34</v>
      </c>
      <c r="B52" s="67">
        <v>89.389071480251431</v>
      </c>
      <c r="C52" s="67">
        <v>93.536366754492718</v>
      </c>
      <c r="D52" s="67">
        <v>103.86600042907152</v>
      </c>
      <c r="E52" s="67">
        <v>107.1318157914765</v>
      </c>
      <c r="F52" s="67">
        <v>109.29884024603034</v>
      </c>
      <c r="G52" s="67">
        <v>114.60975152458313</v>
      </c>
      <c r="H52" s="67">
        <v>118.10365674130696</v>
      </c>
      <c r="I52" s="67">
        <v>116.25777384658576</v>
      </c>
      <c r="J52" s="67">
        <v>115.54036334986952</v>
      </c>
      <c r="K52" s="67">
        <v>119.72454731051643</v>
      </c>
      <c r="L52" s="67">
        <v>121.70463998065918</v>
      </c>
      <c r="M52" s="67">
        <v>115.42465911065027</v>
      </c>
      <c r="N52" s="67">
        <v>120.65511117305041</v>
      </c>
      <c r="O52" s="67">
        <v>123.0562677716842</v>
      </c>
      <c r="P52" s="67">
        <v>123.6269808681855</v>
      </c>
      <c r="Q52" s="67">
        <v>125.58591827229031</v>
      </c>
      <c r="R52" s="67">
        <v>125.09810917875811</v>
      </c>
      <c r="S52" s="67">
        <v>122.57761524992438</v>
      </c>
      <c r="T52" s="67">
        <v>120.47153698705171</v>
      </c>
      <c r="U52" s="67">
        <v>116.26470951654909</v>
      </c>
      <c r="V52" s="67">
        <v>106.20396092725552</v>
      </c>
      <c r="W52" s="67">
        <v>124.48560090869702</v>
      </c>
      <c r="DA52" s="110" t="s">
        <v>216</v>
      </c>
    </row>
    <row r="53" spans="1:105" ht="12" customHeight="1" x14ac:dyDescent="0.25">
      <c r="A53" s="78" t="s">
        <v>33</v>
      </c>
      <c r="B53" s="68">
        <v>157.87636351792736</v>
      </c>
      <c r="C53" s="68">
        <v>166.8698815386407</v>
      </c>
      <c r="D53" s="68">
        <v>174.36168866987376</v>
      </c>
      <c r="E53" s="68">
        <v>179.22448315741542</v>
      </c>
      <c r="F53" s="68">
        <v>188.37340425889656</v>
      </c>
      <c r="G53" s="68">
        <v>193.98250804115435</v>
      </c>
      <c r="H53" s="68">
        <v>201.62361393555381</v>
      </c>
      <c r="I53" s="68">
        <v>214.36321431016023</v>
      </c>
      <c r="J53" s="68">
        <v>221.54113787466292</v>
      </c>
      <c r="K53" s="68">
        <v>225.21586792316492</v>
      </c>
      <c r="L53" s="68">
        <v>231.88276669693312</v>
      </c>
      <c r="M53" s="68">
        <v>235.11503272893319</v>
      </c>
      <c r="N53" s="68">
        <v>233.91327098991664</v>
      </c>
      <c r="O53" s="68">
        <v>241.07505629917011</v>
      </c>
      <c r="P53" s="68">
        <v>241.76580719142459</v>
      </c>
      <c r="Q53" s="68">
        <v>252.78106006114575</v>
      </c>
      <c r="R53" s="68">
        <v>253.41583548084179</v>
      </c>
      <c r="S53" s="68">
        <v>262.83675585136518</v>
      </c>
      <c r="T53" s="68">
        <v>261.35143633487274</v>
      </c>
      <c r="U53" s="68">
        <v>258.66916922751784</v>
      </c>
      <c r="V53" s="68">
        <v>257.18526737617714</v>
      </c>
      <c r="W53" s="68">
        <v>266.8016495576228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0.92822466074792165</v>
      </c>
      <c r="C56" s="70">
        <f t="shared" ref="C56:W56" si="28">IF(C48=0,0,C48/C$47)</f>
        <v>0.9025585259980492</v>
      </c>
      <c r="D56" s="70">
        <f t="shared" si="28"/>
        <v>0.88830338036611689</v>
      </c>
      <c r="E56" s="70">
        <f t="shared" si="28"/>
        <v>0.86289694646756809</v>
      </c>
      <c r="F56" s="70">
        <f t="shared" si="28"/>
        <v>0.86988691620700098</v>
      </c>
      <c r="G56" s="70">
        <f t="shared" si="28"/>
        <v>0.89040536801259196</v>
      </c>
      <c r="H56" s="70">
        <f t="shared" si="28"/>
        <v>0.89312919744940678</v>
      </c>
      <c r="I56" s="70">
        <f t="shared" si="28"/>
        <v>0.88589397727105235</v>
      </c>
      <c r="J56" s="70">
        <f t="shared" si="28"/>
        <v>0.88610318380889908</v>
      </c>
      <c r="K56" s="70">
        <f t="shared" si="28"/>
        <v>0.88457621191751223</v>
      </c>
      <c r="L56" s="70">
        <f t="shared" si="28"/>
        <v>0.89012282251701635</v>
      </c>
      <c r="M56" s="70">
        <f t="shared" si="28"/>
        <v>0.85348149694608955</v>
      </c>
      <c r="N56" s="70">
        <f t="shared" si="28"/>
        <v>0.83913588375257187</v>
      </c>
      <c r="O56" s="70">
        <f t="shared" si="28"/>
        <v>0.85933377671399525</v>
      </c>
      <c r="P56" s="70">
        <f t="shared" si="28"/>
        <v>0.80453199143700616</v>
      </c>
      <c r="Q56" s="70">
        <f t="shared" si="28"/>
        <v>0.80579845735160283</v>
      </c>
      <c r="R56" s="70">
        <f t="shared" si="28"/>
        <v>0.80650383549630444</v>
      </c>
      <c r="S56" s="70">
        <f t="shared" si="28"/>
        <v>0.81576896190458648</v>
      </c>
      <c r="T56" s="70">
        <f t="shared" si="28"/>
        <v>0.80107212526582139</v>
      </c>
      <c r="U56" s="70">
        <f t="shared" si="28"/>
        <v>0.78634365126210659</v>
      </c>
      <c r="V56" s="70">
        <f t="shared" si="28"/>
        <v>0.76475493661789518</v>
      </c>
      <c r="W56" s="70">
        <f t="shared" si="28"/>
        <v>0.80824084966022725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0.83936004743529824</v>
      </c>
      <c r="C57" s="71">
        <f t="shared" ref="C57:W57" si="30">IF(C49=0,0,C49/C$47)</f>
        <v>0.78512387247930826</v>
      </c>
      <c r="D57" s="71">
        <f t="shared" si="30"/>
        <v>0.75084873087287929</v>
      </c>
      <c r="E57" s="71">
        <f t="shared" si="30"/>
        <v>0.69406783648519221</v>
      </c>
      <c r="F57" s="71">
        <f t="shared" si="30"/>
        <v>0.71494522578301023</v>
      </c>
      <c r="G57" s="71">
        <f t="shared" si="30"/>
        <v>0.7567511542213804</v>
      </c>
      <c r="H57" s="71">
        <f t="shared" si="30"/>
        <v>0.76219825318087431</v>
      </c>
      <c r="I57" s="71">
        <f t="shared" si="30"/>
        <v>0.75247779382740021</v>
      </c>
      <c r="J57" s="71">
        <f t="shared" si="30"/>
        <v>0.75626098432207289</v>
      </c>
      <c r="K57" s="71">
        <f t="shared" si="30"/>
        <v>0.75123250367268679</v>
      </c>
      <c r="L57" s="71">
        <f t="shared" si="30"/>
        <v>0.76428899507790915</v>
      </c>
      <c r="M57" s="71">
        <f t="shared" si="30"/>
        <v>0.69219006613107514</v>
      </c>
      <c r="N57" s="71">
        <f t="shared" si="30"/>
        <v>0.65463905537117295</v>
      </c>
      <c r="O57" s="71">
        <f t="shared" si="30"/>
        <v>0.7011894472755491</v>
      </c>
      <c r="P57" s="71">
        <f t="shared" si="30"/>
        <v>0.5835972491843644</v>
      </c>
      <c r="Q57" s="71">
        <f t="shared" si="30"/>
        <v>0.59312112174838805</v>
      </c>
      <c r="R57" s="71">
        <f t="shared" si="30"/>
        <v>0.59695620070363342</v>
      </c>
      <c r="S57" s="71">
        <f t="shared" si="30"/>
        <v>0.62481624017484927</v>
      </c>
      <c r="T57" s="71">
        <f t="shared" si="30"/>
        <v>0.59761661877012873</v>
      </c>
      <c r="U57" s="71">
        <f t="shared" si="30"/>
        <v>0.57020545520233101</v>
      </c>
      <c r="V57" s="71">
        <f t="shared" si="30"/>
        <v>0.54954419120469722</v>
      </c>
      <c r="W57" s="71">
        <f t="shared" si="30"/>
        <v>0.61658763095096436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2.3846780420943032E-3</v>
      </c>
      <c r="C58" s="72">
        <f t="shared" ref="C58:W58" si="32">IF(C50=0,0,C50/C$47)</f>
        <v>3.1075623385282826E-3</v>
      </c>
      <c r="D58" s="72">
        <f t="shared" si="32"/>
        <v>3.6519538513187749E-3</v>
      </c>
      <c r="E58" s="72">
        <f t="shared" si="32"/>
        <v>4.5029452065477966E-3</v>
      </c>
      <c r="F58" s="72">
        <f t="shared" si="32"/>
        <v>4.0195517018499875E-3</v>
      </c>
      <c r="G58" s="72">
        <f t="shared" si="32"/>
        <v>3.367057223948762E-3</v>
      </c>
      <c r="H58" s="72">
        <f t="shared" si="32"/>
        <v>3.3205840330979525E-3</v>
      </c>
      <c r="I58" s="72">
        <f t="shared" si="32"/>
        <v>3.6194938603210103E-3</v>
      </c>
      <c r="J58" s="72">
        <f t="shared" si="32"/>
        <v>3.3503366377058237E-3</v>
      </c>
      <c r="K58" s="72">
        <f t="shared" si="32"/>
        <v>3.4200256071247846E-3</v>
      </c>
      <c r="L58" s="72">
        <f t="shared" si="32"/>
        <v>3.3607135093330128E-3</v>
      </c>
      <c r="M58" s="72">
        <f t="shared" si="32"/>
        <v>4.2595085791515587E-3</v>
      </c>
      <c r="N58" s="72">
        <f t="shared" si="32"/>
        <v>5.1728857145295123E-3</v>
      </c>
      <c r="O58" s="72">
        <f t="shared" si="32"/>
        <v>4.1988613594987345E-3</v>
      </c>
      <c r="P58" s="72">
        <f t="shared" si="32"/>
        <v>5.3322814495510617E-3</v>
      </c>
      <c r="Q58" s="72">
        <f t="shared" si="32"/>
        <v>5.9157760476573644E-3</v>
      </c>
      <c r="R58" s="72">
        <f t="shared" si="32"/>
        <v>4.9470898530494722E-3</v>
      </c>
      <c r="S58" s="72">
        <f t="shared" si="32"/>
        <v>4.8162343415726998E-3</v>
      </c>
      <c r="T58" s="72">
        <f t="shared" si="32"/>
        <v>5.1411436949920248E-3</v>
      </c>
      <c r="U58" s="72">
        <f t="shared" si="32"/>
        <v>5.8020180550297741E-3</v>
      </c>
      <c r="V58" s="72">
        <f t="shared" si="32"/>
        <v>5.7194201324472947E-3</v>
      </c>
      <c r="W58" s="72">
        <f t="shared" si="32"/>
        <v>4.8988825292186969E-3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4.584097711391575E-2</v>
      </c>
      <c r="C59" s="72">
        <f t="shared" ref="C59:W59" si="34">IF(C51=0,0,C51/C$47)</f>
        <v>5.9707759247419889E-2</v>
      </c>
      <c r="D59" s="72">
        <f t="shared" si="34"/>
        <v>6.7265824891691625E-2</v>
      </c>
      <c r="E59" s="72">
        <f t="shared" si="34"/>
        <v>8.2372523081770635E-2</v>
      </c>
      <c r="F59" s="72">
        <f t="shared" si="34"/>
        <v>7.5427356349019772E-2</v>
      </c>
      <c r="G59" s="72">
        <f t="shared" si="34"/>
        <v>6.553588766501639E-2</v>
      </c>
      <c r="H59" s="72">
        <f t="shared" si="34"/>
        <v>6.5009396321864088E-2</v>
      </c>
      <c r="I59" s="72">
        <f t="shared" si="34"/>
        <v>6.7912414206860255E-2</v>
      </c>
      <c r="J59" s="72">
        <f t="shared" si="34"/>
        <v>6.7091249250402593E-2</v>
      </c>
      <c r="K59" s="72">
        <f t="shared" si="34"/>
        <v>6.8564503533343008E-2</v>
      </c>
      <c r="L59" s="72">
        <f t="shared" si="34"/>
        <v>6.4803617752271739E-2</v>
      </c>
      <c r="M59" s="72">
        <f t="shared" si="34"/>
        <v>8.5101820310401269E-2</v>
      </c>
      <c r="N59" s="72">
        <f t="shared" si="34"/>
        <v>9.6348411832517467E-2</v>
      </c>
      <c r="O59" s="72">
        <f t="shared" si="34"/>
        <v>8.2142683067324793E-2</v>
      </c>
      <c r="P59" s="72">
        <f t="shared" si="34"/>
        <v>0.11564986603510449</v>
      </c>
      <c r="Q59" s="72">
        <f t="shared" si="34"/>
        <v>0.1102789391507899</v>
      </c>
      <c r="R59" s="72">
        <f t="shared" si="34"/>
        <v>0.10908163521235556</v>
      </c>
      <c r="S59" s="72">
        <f t="shared" si="34"/>
        <v>0.10021775341351348</v>
      </c>
      <c r="T59" s="72">
        <f t="shared" si="34"/>
        <v>0.10661734687886205</v>
      </c>
      <c r="U59" s="72">
        <f t="shared" si="34"/>
        <v>0.11430349890131336</v>
      </c>
      <c r="V59" s="72">
        <f t="shared" si="34"/>
        <v>0.11234751228301972</v>
      </c>
      <c r="W59" s="72">
        <f t="shared" si="34"/>
        <v>9.7282426619634474E-2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4.0638958156613288E-2</v>
      </c>
      <c r="C60" s="73">
        <f t="shared" ref="C60:W60" si="36">IF(C52=0,0,C52/C$47)</f>
        <v>5.4619331932792857E-2</v>
      </c>
      <c r="D60" s="73">
        <f t="shared" si="36"/>
        <v>6.653687075022717E-2</v>
      </c>
      <c r="E60" s="73">
        <f t="shared" si="36"/>
        <v>8.1953641694057389E-2</v>
      </c>
      <c r="F60" s="73">
        <f t="shared" si="36"/>
        <v>7.5494782373121114E-2</v>
      </c>
      <c r="G60" s="73">
        <f t="shared" si="36"/>
        <v>6.4751268902246445E-2</v>
      </c>
      <c r="H60" s="73">
        <f t="shared" si="36"/>
        <v>6.2600963913570409E-2</v>
      </c>
      <c r="I60" s="73">
        <f t="shared" si="36"/>
        <v>6.1884275376470788E-2</v>
      </c>
      <c r="J60" s="73">
        <f t="shared" si="36"/>
        <v>5.9400613598717768E-2</v>
      </c>
      <c r="K60" s="73">
        <f t="shared" si="36"/>
        <v>6.1359179104357592E-2</v>
      </c>
      <c r="L60" s="73">
        <f t="shared" si="36"/>
        <v>5.7669496177502562E-2</v>
      </c>
      <c r="M60" s="73">
        <f t="shared" si="36"/>
        <v>7.1930101925461523E-2</v>
      </c>
      <c r="N60" s="73">
        <f t="shared" si="36"/>
        <v>8.2975530834351968E-2</v>
      </c>
      <c r="O60" s="73">
        <f t="shared" si="36"/>
        <v>7.1802785011622558E-2</v>
      </c>
      <c r="P60" s="73">
        <f t="shared" si="36"/>
        <v>9.9952594767986278E-2</v>
      </c>
      <c r="Q60" s="73">
        <f t="shared" si="36"/>
        <v>9.6482620404767655E-2</v>
      </c>
      <c r="R60" s="73">
        <f t="shared" si="36"/>
        <v>9.5518909727266052E-2</v>
      </c>
      <c r="S60" s="73">
        <f t="shared" si="36"/>
        <v>8.5918733974651121E-2</v>
      </c>
      <c r="T60" s="73">
        <f t="shared" si="36"/>
        <v>9.1697015921838529E-2</v>
      </c>
      <c r="U60" s="73">
        <f t="shared" si="36"/>
        <v>9.6032679103432439E-2</v>
      </c>
      <c r="V60" s="73">
        <f t="shared" si="36"/>
        <v>9.7143812997731005E-2</v>
      </c>
      <c r="W60" s="73">
        <f t="shared" si="36"/>
        <v>8.9471909560409832E-2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7.1775339252078241E-2</v>
      </c>
      <c r="C61" s="70">
        <f t="shared" ref="C61:W61" si="38">IF(C53=0,0,C53/C$47)</f>
        <v>9.7441474001950815E-2</v>
      </c>
      <c r="D61" s="70">
        <f t="shared" si="38"/>
        <v>0.1116966196338831</v>
      </c>
      <c r="E61" s="70">
        <f t="shared" si="38"/>
        <v>0.13710305353243202</v>
      </c>
      <c r="F61" s="70">
        <f t="shared" si="38"/>
        <v>0.13011308379299905</v>
      </c>
      <c r="G61" s="70">
        <f t="shared" si="38"/>
        <v>0.10959463198740807</v>
      </c>
      <c r="H61" s="70">
        <f t="shared" si="38"/>
        <v>0.10687080255059322</v>
      </c>
      <c r="I61" s="70">
        <f t="shared" si="38"/>
        <v>0.11410602272894772</v>
      </c>
      <c r="J61" s="70">
        <f t="shared" si="38"/>
        <v>0.11389681619110098</v>
      </c>
      <c r="K61" s="70">
        <f t="shared" si="38"/>
        <v>0.1154237880824877</v>
      </c>
      <c r="L61" s="70">
        <f t="shared" si="38"/>
        <v>0.10987717748298353</v>
      </c>
      <c r="M61" s="70">
        <f t="shared" si="38"/>
        <v>0.14651850305391045</v>
      </c>
      <c r="N61" s="70">
        <f t="shared" si="38"/>
        <v>0.16086411624742819</v>
      </c>
      <c r="O61" s="70">
        <f t="shared" si="38"/>
        <v>0.14066622328600473</v>
      </c>
      <c r="P61" s="70">
        <f t="shared" si="38"/>
        <v>0.19546800856299387</v>
      </c>
      <c r="Q61" s="70">
        <f t="shared" si="38"/>
        <v>0.19420154264839709</v>
      </c>
      <c r="R61" s="70">
        <f t="shared" si="38"/>
        <v>0.19349616450369547</v>
      </c>
      <c r="S61" s="70">
        <f t="shared" si="38"/>
        <v>0.18423103809541364</v>
      </c>
      <c r="T61" s="70">
        <f t="shared" si="38"/>
        <v>0.19892787473417869</v>
      </c>
      <c r="U61" s="70">
        <f t="shared" si="38"/>
        <v>0.21365634873789338</v>
      </c>
      <c r="V61" s="70">
        <f t="shared" si="38"/>
        <v>0.23524506338210474</v>
      </c>
      <c r="W61" s="70">
        <f t="shared" si="38"/>
        <v>0.19175915033977275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4054.8531122214913</v>
      </c>
      <c r="C65" s="80">
        <v>2459.5985339574249</v>
      </c>
      <c r="D65" s="80">
        <v>2087.4551687608241</v>
      </c>
      <c r="E65" s="80">
        <v>1404.8136995503373</v>
      </c>
      <c r="F65" s="80">
        <v>1517.7539092107604</v>
      </c>
      <c r="G65" s="80">
        <v>2419.1108524471483</v>
      </c>
      <c r="H65" s="80">
        <v>2797.6826905002999</v>
      </c>
      <c r="I65" s="80">
        <v>2829.3177185742134</v>
      </c>
      <c r="J65" s="80">
        <v>3097.1372629280995</v>
      </c>
      <c r="K65" s="80">
        <v>3512.1257787511177</v>
      </c>
      <c r="L65" s="80">
        <v>3208.209301466507</v>
      </c>
      <c r="M65" s="80">
        <v>2198.0452721007605</v>
      </c>
      <c r="N65" s="80">
        <v>1950.8580498685897</v>
      </c>
      <c r="O65" s="80">
        <v>2540.7433180086032</v>
      </c>
      <c r="P65" s="80">
        <v>1721.5913675539186</v>
      </c>
      <c r="Q65" s="80">
        <v>1785.2837372119577</v>
      </c>
      <c r="R65" s="80">
        <v>1523.0348623112748</v>
      </c>
      <c r="S65" s="80">
        <v>1687.3162511125415</v>
      </c>
      <c r="T65" s="80">
        <v>1503.2105663874402</v>
      </c>
      <c r="U65" s="80">
        <v>1508.7099283691346</v>
      </c>
      <c r="V65" s="80">
        <v>1101.7144663613046</v>
      </c>
      <c r="W65" s="80">
        <v>1653.3262269381164</v>
      </c>
      <c r="DA65" s="103" t="s">
        <v>218</v>
      </c>
    </row>
    <row r="66" spans="1:105" ht="12" customHeight="1" x14ac:dyDescent="0.25">
      <c r="A66" s="58" t="s">
        <v>29</v>
      </c>
      <c r="B66" s="59">
        <v>823.08305638148977</v>
      </c>
      <c r="C66" s="59">
        <v>645.34102336387355</v>
      </c>
      <c r="D66" s="59">
        <v>838.03083980082397</v>
      </c>
      <c r="E66" s="59">
        <v>158.97085183033715</v>
      </c>
      <c r="F66" s="59">
        <v>549.66451145076053</v>
      </c>
      <c r="G66" s="59">
        <v>127.60152692714826</v>
      </c>
      <c r="H66" s="59">
        <v>327.75004762029999</v>
      </c>
      <c r="I66" s="59">
        <v>633.35548761421364</v>
      </c>
      <c r="J66" s="59">
        <v>929.60763166681568</v>
      </c>
      <c r="K66" s="59">
        <v>2074.7547494020528</v>
      </c>
      <c r="L66" s="59">
        <v>1145.9275650402808</v>
      </c>
      <c r="M66" s="59">
        <v>1334.0753131264175</v>
      </c>
      <c r="N66" s="59">
        <v>371.34823106614772</v>
      </c>
      <c r="O66" s="59">
        <v>687.09667313811826</v>
      </c>
      <c r="P66" s="59">
        <v>438.50811359097605</v>
      </c>
      <c r="Q66" s="59">
        <v>461.84009513543754</v>
      </c>
      <c r="R66" s="59">
        <v>234.76810683257611</v>
      </c>
      <c r="S66" s="59">
        <v>289.49404211165484</v>
      </c>
      <c r="T66" s="59">
        <v>334.88652445682254</v>
      </c>
      <c r="U66" s="59">
        <v>502.58843271754023</v>
      </c>
      <c r="V66" s="59">
        <v>205.1197914605045</v>
      </c>
      <c r="W66" s="59">
        <v>290.7904886169764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36.359094240000005</v>
      </c>
      <c r="C67" s="55">
        <f t="shared" ref="C67:W67" si="39">SUM(C68:C69)</f>
        <v>198.66497903999999</v>
      </c>
      <c r="D67" s="55">
        <f t="shared" si="39"/>
        <v>195.54655896000003</v>
      </c>
      <c r="E67" s="55">
        <f t="shared" si="39"/>
        <v>140.76821772000002</v>
      </c>
      <c r="F67" s="55">
        <f t="shared" si="39"/>
        <v>206.59921776000002</v>
      </c>
      <c r="G67" s="55">
        <f t="shared" si="39"/>
        <v>176.28126551999998</v>
      </c>
      <c r="H67" s="55">
        <f t="shared" si="39"/>
        <v>130.12506288</v>
      </c>
      <c r="I67" s="55">
        <f t="shared" si="39"/>
        <v>26.406930959999997</v>
      </c>
      <c r="J67" s="55">
        <f t="shared" si="39"/>
        <v>18.550560239999999</v>
      </c>
      <c r="K67" s="55">
        <f t="shared" si="39"/>
        <v>63.700556399999996</v>
      </c>
      <c r="L67" s="55">
        <f t="shared" si="39"/>
        <v>52.2468</v>
      </c>
      <c r="M67" s="55">
        <f t="shared" si="39"/>
        <v>5.8053009600000003</v>
      </c>
      <c r="N67" s="55">
        <f t="shared" si="39"/>
        <v>31.92870095999999</v>
      </c>
      <c r="O67" s="55">
        <f t="shared" si="39"/>
        <v>32.140473479999997</v>
      </c>
      <c r="P67" s="55">
        <f t="shared" si="39"/>
        <v>41.653633680000006</v>
      </c>
      <c r="Q67" s="55">
        <f t="shared" si="39"/>
        <v>39.04651836</v>
      </c>
      <c r="R67" s="55">
        <f t="shared" si="39"/>
        <v>29.900310480000002</v>
      </c>
      <c r="S67" s="55">
        <f t="shared" si="39"/>
        <v>18.07260084</v>
      </c>
      <c r="T67" s="55">
        <f t="shared" si="39"/>
        <v>17.851491719999999</v>
      </c>
      <c r="U67" s="55">
        <f t="shared" si="39"/>
        <v>24.310249919999997</v>
      </c>
      <c r="V67" s="55">
        <f t="shared" si="39"/>
        <v>15.161107680000001</v>
      </c>
      <c r="W67" s="55">
        <f t="shared" si="39"/>
        <v>15.36411204</v>
      </c>
      <c r="DA67" s="101"/>
    </row>
    <row r="68" spans="1:105" ht="12" customHeight="1" x14ac:dyDescent="0.25">
      <c r="A68" s="61" t="s">
        <v>52</v>
      </c>
      <c r="B68" s="55">
        <v>17.419310280000005</v>
      </c>
      <c r="C68" s="55">
        <v>46.441499040000004</v>
      </c>
      <c r="D68" s="55">
        <v>98.688526200000013</v>
      </c>
      <c r="E68" s="55">
        <v>107.39625048000002</v>
      </c>
      <c r="F68" s="55">
        <v>119.00662524000002</v>
      </c>
      <c r="G68" s="55">
        <v>84.175500959999994</v>
      </c>
      <c r="H68" s="55">
        <v>72.56489904</v>
      </c>
      <c r="I68" s="55">
        <v>23.220749519999998</v>
      </c>
      <c r="J68" s="55">
        <v>5.8053009600000003</v>
      </c>
      <c r="K68" s="55">
        <v>29.026050479999995</v>
      </c>
      <c r="L68" s="55">
        <v>52.2468</v>
      </c>
      <c r="M68" s="55">
        <v>5.8053009600000003</v>
      </c>
      <c r="N68" s="55">
        <v>31.92870095999999</v>
      </c>
      <c r="O68" s="55">
        <v>29.026050479999995</v>
      </c>
      <c r="P68" s="55">
        <v>26.123400000000004</v>
      </c>
      <c r="Q68" s="55">
        <v>20.318099040000003</v>
      </c>
      <c r="R68" s="55">
        <v>17.415675720000003</v>
      </c>
      <c r="S68" s="55">
        <v>8.707724279999999</v>
      </c>
      <c r="T68" s="55">
        <v>11.610374759999999</v>
      </c>
      <c r="U68" s="55">
        <v>8.707724279999999</v>
      </c>
      <c r="V68" s="55">
        <v>5.8053009600000003</v>
      </c>
      <c r="W68" s="55">
        <v>5.8053009600000003</v>
      </c>
      <c r="DA68" s="101" t="s">
        <v>220</v>
      </c>
    </row>
    <row r="69" spans="1:105" ht="12" customHeight="1" x14ac:dyDescent="0.25">
      <c r="A69" s="61" t="s">
        <v>170</v>
      </c>
      <c r="B69" s="55">
        <v>18.93978396</v>
      </c>
      <c r="C69" s="55">
        <v>152.22348</v>
      </c>
      <c r="D69" s="55">
        <v>96.858032760000015</v>
      </c>
      <c r="E69" s="55">
        <v>33.371967240000004</v>
      </c>
      <c r="F69" s="55">
        <v>87.592592519999997</v>
      </c>
      <c r="G69" s="55">
        <v>92.105764559999983</v>
      </c>
      <c r="H69" s="55">
        <v>57.560163840000001</v>
      </c>
      <c r="I69" s="55">
        <v>3.1861814399999986</v>
      </c>
      <c r="J69" s="55">
        <v>12.745259279999999</v>
      </c>
      <c r="K69" s="55">
        <v>34.674505920000001</v>
      </c>
      <c r="L69" s="55">
        <v>0</v>
      </c>
      <c r="M69" s="55">
        <v>0</v>
      </c>
      <c r="N69" s="55">
        <v>0</v>
      </c>
      <c r="O69" s="55">
        <v>3.1144230000000022</v>
      </c>
      <c r="P69" s="55">
        <v>15.530233680000002</v>
      </c>
      <c r="Q69" s="55">
        <v>18.728419319999997</v>
      </c>
      <c r="R69" s="55">
        <v>12.484634759999999</v>
      </c>
      <c r="S69" s="55">
        <v>9.3648765600000008</v>
      </c>
      <c r="T69" s="55">
        <v>6.2411169599999994</v>
      </c>
      <c r="U69" s="55">
        <v>15.602525639999998</v>
      </c>
      <c r="V69" s="55">
        <v>9.3558067200000004</v>
      </c>
      <c r="W69" s="55">
        <v>9.5588110799999999</v>
      </c>
      <c r="DA69" s="101" t="s">
        <v>221</v>
      </c>
    </row>
    <row r="70" spans="1:105" ht="12" customHeight="1" x14ac:dyDescent="0.25">
      <c r="A70" s="60" t="s">
        <v>153</v>
      </c>
      <c r="B70" s="55">
        <v>3194.5527900000016</v>
      </c>
      <c r="C70" s="55">
        <v>1595.2315500000002</v>
      </c>
      <c r="D70" s="55">
        <v>1053.8777700000001</v>
      </c>
      <c r="E70" s="55">
        <v>1105.0746300000001</v>
      </c>
      <c r="F70" s="55">
        <v>761.49018000000001</v>
      </c>
      <c r="G70" s="55">
        <v>2115.2280599999999</v>
      </c>
      <c r="H70" s="55">
        <v>2339.8075800000001</v>
      </c>
      <c r="I70" s="55">
        <v>2169.5553</v>
      </c>
      <c r="J70" s="55">
        <v>2132.2431900000001</v>
      </c>
      <c r="K70" s="55">
        <v>1345.5585000000001</v>
      </c>
      <c r="L70" s="55">
        <v>1979.9653499999999</v>
      </c>
      <c r="M70" s="55">
        <v>838.03302000000019</v>
      </c>
      <c r="N70" s="55">
        <v>1513.1853000000003</v>
      </c>
      <c r="O70" s="55">
        <v>1813.1463900000001</v>
      </c>
      <c r="P70" s="55">
        <v>1158.89697</v>
      </c>
      <c r="Q70" s="55">
        <v>1235.69226</v>
      </c>
      <c r="R70" s="55">
        <v>1251.5461200000002</v>
      </c>
      <c r="S70" s="55">
        <v>1342.2261600000002</v>
      </c>
      <c r="T70" s="55">
        <v>1149.6845646000002</v>
      </c>
      <c r="U70" s="55">
        <v>937.45590839999988</v>
      </c>
      <c r="V70" s="55">
        <v>835.26556212000014</v>
      </c>
      <c r="W70" s="55">
        <v>1294.1017174799999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0.8581715999999997</v>
      </c>
      <c r="C71" s="55">
        <f t="shared" ref="C71:W71" si="40">SUM(C72:C76)</f>
        <v>20.360981553551305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16.73588102128355</v>
      </c>
      <c r="K71" s="55">
        <f t="shared" si="40"/>
        <v>28.111972949064921</v>
      </c>
      <c r="L71" s="55">
        <f t="shared" si="40"/>
        <v>30.069586426225928</v>
      </c>
      <c r="M71" s="55">
        <f t="shared" si="40"/>
        <v>20.131638014342368</v>
      </c>
      <c r="N71" s="55">
        <f t="shared" si="40"/>
        <v>34.395817842441488</v>
      </c>
      <c r="O71" s="55">
        <f t="shared" si="40"/>
        <v>8.3597813904847502</v>
      </c>
      <c r="P71" s="55">
        <f t="shared" si="40"/>
        <v>82.532650282942583</v>
      </c>
      <c r="Q71" s="55">
        <f t="shared" si="40"/>
        <v>48.704863716519995</v>
      </c>
      <c r="R71" s="55">
        <f t="shared" si="40"/>
        <v>6.8203249986983758</v>
      </c>
      <c r="S71" s="55">
        <f t="shared" si="40"/>
        <v>37.523448160886673</v>
      </c>
      <c r="T71" s="55">
        <f t="shared" si="40"/>
        <v>0.78798561061745398</v>
      </c>
      <c r="U71" s="55">
        <f t="shared" si="40"/>
        <v>44.35533733159447</v>
      </c>
      <c r="V71" s="55">
        <f t="shared" si="40"/>
        <v>46.168005100800009</v>
      </c>
      <c r="W71" s="55">
        <f t="shared" si="40"/>
        <v>53.069908801140002</v>
      </c>
      <c r="DA71" s="101"/>
    </row>
    <row r="72" spans="1:105" ht="12" customHeight="1" x14ac:dyDescent="0.25">
      <c r="A72" s="61" t="s">
        <v>171</v>
      </c>
      <c r="B72" s="55">
        <v>0.8581715999999997</v>
      </c>
      <c r="C72" s="55">
        <v>20.360981553551305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16.73588102128355</v>
      </c>
      <c r="K72" s="55">
        <v>28.111972949064921</v>
      </c>
      <c r="L72" s="55">
        <v>30.069586426225928</v>
      </c>
      <c r="M72" s="55">
        <v>20.131638014342368</v>
      </c>
      <c r="N72" s="55">
        <v>34.395817842441488</v>
      </c>
      <c r="O72" s="55">
        <v>8.3597813904847502</v>
      </c>
      <c r="P72" s="55">
        <v>82.532650282942583</v>
      </c>
      <c r="Q72" s="55">
        <v>48.704863716519995</v>
      </c>
      <c r="R72" s="55">
        <v>6.8203249986983758</v>
      </c>
      <c r="S72" s="55">
        <v>37.523448160886673</v>
      </c>
      <c r="T72" s="55">
        <v>0.78798561061745398</v>
      </c>
      <c r="U72" s="55">
        <v>44.35533733159447</v>
      </c>
      <c r="V72" s="55">
        <v>46.168005100800009</v>
      </c>
      <c r="W72" s="55">
        <v>53.069908801140002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4054.8531122214908</v>
      </c>
      <c r="C81" s="82">
        <f t="shared" ref="C81:W81" si="42">C82+C87</f>
        <v>2459.5985339574254</v>
      </c>
      <c r="D81" s="82">
        <f t="shared" si="42"/>
        <v>2087.4551687608246</v>
      </c>
      <c r="E81" s="82">
        <f t="shared" si="42"/>
        <v>1404.8136995503373</v>
      </c>
      <c r="F81" s="82">
        <f t="shared" si="42"/>
        <v>1517.7539092107606</v>
      </c>
      <c r="G81" s="82">
        <f t="shared" si="42"/>
        <v>2419.1108524471479</v>
      </c>
      <c r="H81" s="82">
        <f t="shared" si="42"/>
        <v>2797.6826905003004</v>
      </c>
      <c r="I81" s="82">
        <f t="shared" si="42"/>
        <v>2829.3177185742134</v>
      </c>
      <c r="J81" s="82">
        <f t="shared" si="42"/>
        <v>3097.1372629280995</v>
      </c>
      <c r="K81" s="82">
        <f t="shared" si="42"/>
        <v>3512.1257787511167</v>
      </c>
      <c r="L81" s="82">
        <f t="shared" si="42"/>
        <v>3208.2093014665065</v>
      </c>
      <c r="M81" s="82">
        <f t="shared" si="42"/>
        <v>2198.0452721007609</v>
      </c>
      <c r="N81" s="82">
        <f t="shared" si="42"/>
        <v>1950.8580498685892</v>
      </c>
      <c r="O81" s="82">
        <f t="shared" si="42"/>
        <v>2540.7433180086027</v>
      </c>
      <c r="P81" s="82">
        <f t="shared" si="42"/>
        <v>1721.5913675539186</v>
      </c>
      <c r="Q81" s="82">
        <f t="shared" si="42"/>
        <v>1785.283737211957</v>
      </c>
      <c r="R81" s="82">
        <f t="shared" si="42"/>
        <v>1523.0348623112739</v>
      </c>
      <c r="S81" s="82">
        <f t="shared" si="42"/>
        <v>1687.3162511125415</v>
      </c>
      <c r="T81" s="82">
        <f t="shared" si="42"/>
        <v>1503.2105663874404</v>
      </c>
      <c r="U81" s="82">
        <f t="shared" si="42"/>
        <v>1508.7099283691343</v>
      </c>
      <c r="V81" s="82">
        <f t="shared" si="42"/>
        <v>1101.7144663613051</v>
      </c>
      <c r="W81" s="82">
        <f t="shared" si="42"/>
        <v>1653.3262269381175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4054.8531122214908</v>
      </c>
      <c r="C82" s="64">
        <f t="shared" ref="C82:W82" si="44">SUM(C83:C86)</f>
        <v>2459.5985339574254</v>
      </c>
      <c r="D82" s="64">
        <f t="shared" si="44"/>
        <v>2087.4551687608246</v>
      </c>
      <c r="E82" s="64">
        <f t="shared" si="44"/>
        <v>1404.8136995503373</v>
      </c>
      <c r="F82" s="64">
        <f t="shared" si="44"/>
        <v>1517.7539092107606</v>
      </c>
      <c r="G82" s="64">
        <f t="shared" si="44"/>
        <v>2419.1108524471479</v>
      </c>
      <c r="H82" s="64">
        <f t="shared" si="44"/>
        <v>2797.6826905003004</v>
      </c>
      <c r="I82" s="64">
        <f t="shared" si="44"/>
        <v>2829.3177185742134</v>
      </c>
      <c r="J82" s="64">
        <f t="shared" si="44"/>
        <v>3097.1372629280995</v>
      </c>
      <c r="K82" s="64">
        <f t="shared" si="44"/>
        <v>3512.1257787511167</v>
      </c>
      <c r="L82" s="64">
        <f t="shared" si="44"/>
        <v>3208.2093014665065</v>
      </c>
      <c r="M82" s="64">
        <f t="shared" si="44"/>
        <v>2198.0452721007609</v>
      </c>
      <c r="N82" s="64">
        <f t="shared" si="44"/>
        <v>1950.8580498685892</v>
      </c>
      <c r="O82" s="64">
        <f t="shared" si="44"/>
        <v>2540.7433180086027</v>
      </c>
      <c r="P82" s="64">
        <f t="shared" si="44"/>
        <v>1721.5913675539186</v>
      </c>
      <c r="Q82" s="64">
        <f t="shared" si="44"/>
        <v>1785.283737211957</v>
      </c>
      <c r="R82" s="64">
        <f t="shared" si="44"/>
        <v>1523.0348623112739</v>
      </c>
      <c r="S82" s="64">
        <f t="shared" si="44"/>
        <v>1687.3162511125415</v>
      </c>
      <c r="T82" s="64">
        <f t="shared" si="44"/>
        <v>1503.2105663874404</v>
      </c>
      <c r="U82" s="64">
        <f t="shared" si="44"/>
        <v>1508.7099283691343</v>
      </c>
      <c r="V82" s="64">
        <f t="shared" si="44"/>
        <v>1101.7144663613051</v>
      </c>
      <c r="W82" s="64">
        <f t="shared" si="44"/>
        <v>1653.3262269381175</v>
      </c>
      <c r="DA82" s="108" t="s">
        <v>232</v>
      </c>
    </row>
    <row r="83" spans="1:105" ht="12" customHeight="1" x14ac:dyDescent="0.25">
      <c r="A83" s="61" t="s">
        <v>32</v>
      </c>
      <c r="B83" s="65">
        <v>3875.2993944292621</v>
      </c>
      <c r="C83" s="65">
        <v>2235.906149181505</v>
      </c>
      <c r="D83" s="65">
        <v>1806.0559766590659</v>
      </c>
      <c r="E83" s="65">
        <v>1131.2003793227375</v>
      </c>
      <c r="F83" s="65">
        <v>1249.8327807095932</v>
      </c>
      <c r="G83" s="65">
        <v>2162.0770287726177</v>
      </c>
      <c r="H83" s="65">
        <v>2529.1530246915777</v>
      </c>
      <c r="I83" s="65">
        <v>2575.8583217364076</v>
      </c>
      <c r="J83" s="65">
        <v>2851.674379599026</v>
      </c>
      <c r="K83" s="65">
        <v>3244.9193388976737</v>
      </c>
      <c r="L83" s="65">
        <v>2915.2206471505951</v>
      </c>
      <c r="M83" s="65">
        <v>1965.1646654361073</v>
      </c>
      <c r="N83" s="65">
        <v>1653.6432323583504</v>
      </c>
      <c r="O83" s="65">
        <v>2206.5702133795962</v>
      </c>
      <c r="P83" s="65">
        <v>1377.6772023654401</v>
      </c>
      <c r="Q83" s="65">
        <v>1428.853537095918</v>
      </c>
      <c r="R83" s="65">
        <v>1193.0326710325885</v>
      </c>
      <c r="S83" s="65">
        <v>1384.2616713976931</v>
      </c>
      <c r="T83" s="65">
        <v>1233.0838787401381</v>
      </c>
      <c r="U83" s="65">
        <v>1265.4609158950834</v>
      </c>
      <c r="V83" s="65">
        <v>926.23346434365556</v>
      </c>
      <c r="W83" s="65">
        <v>1375.2929027419998</v>
      </c>
      <c r="DA83" s="109" t="s">
        <v>233</v>
      </c>
    </row>
    <row r="84" spans="1:105" ht="12" customHeight="1" x14ac:dyDescent="0.25">
      <c r="A84" s="61" t="s">
        <v>31</v>
      </c>
      <c r="B84" s="65">
        <v>3.4061961755113369E-2</v>
      </c>
      <c r="C84" s="65">
        <v>5.4341374022130629E-2</v>
      </c>
      <c r="D84" s="65">
        <v>4.8841644665710587E-2</v>
      </c>
      <c r="E84" s="65">
        <v>1.8945984402250572E-2</v>
      </c>
      <c r="F84" s="65">
        <v>5.4681554979539665E-2</v>
      </c>
      <c r="G84" s="65">
        <v>8.2206014025942256E-2</v>
      </c>
      <c r="H84" s="65">
        <v>9.8743190135473516E-2</v>
      </c>
      <c r="I84" s="65">
        <v>0.10768588103077124</v>
      </c>
      <c r="J84" s="65">
        <v>0.11674507153000357</v>
      </c>
      <c r="K84" s="65">
        <v>0.11637686721431828</v>
      </c>
      <c r="L84" s="65">
        <v>0.13000228674400433</v>
      </c>
      <c r="M84" s="65">
        <v>0.13836382620475757</v>
      </c>
      <c r="N84" s="65">
        <v>0.16075578768488286</v>
      </c>
      <c r="O84" s="65">
        <v>0.20045863914046819</v>
      </c>
      <c r="P84" s="65">
        <v>0.2633992151670918</v>
      </c>
      <c r="Q84" s="65">
        <v>0.35571270525908383</v>
      </c>
      <c r="R84" s="65">
        <v>0.45639071987728941</v>
      </c>
      <c r="S84" s="65">
        <v>0.54807033437932762</v>
      </c>
      <c r="T84" s="65">
        <v>0.62625832985630847</v>
      </c>
      <c r="U84" s="65">
        <v>0.69294897414443468</v>
      </c>
      <c r="V84" s="65">
        <v>0.74689276444960695</v>
      </c>
      <c r="W84" s="65">
        <v>0.79597987567401896</v>
      </c>
      <c r="DA84" s="109" t="s">
        <v>234</v>
      </c>
    </row>
    <row r="85" spans="1:105" ht="12" customHeight="1" x14ac:dyDescent="0.25">
      <c r="A85" s="61" t="s">
        <v>35</v>
      </c>
      <c r="B85" s="65">
        <v>45.132400526867933</v>
      </c>
      <c r="C85" s="65">
        <v>64.5587211017383</v>
      </c>
      <c r="D85" s="65">
        <v>73.710819371152553</v>
      </c>
      <c r="E85" s="65">
        <v>65.881279534638935</v>
      </c>
      <c r="F85" s="65">
        <v>69.679644803806056</v>
      </c>
      <c r="G85" s="65">
        <v>64.539504192772938</v>
      </c>
      <c r="H85" s="65">
        <v>78.339635669549011</v>
      </c>
      <c r="I85" s="65">
        <v>103.89854086657515</v>
      </c>
      <c r="J85" s="65">
        <v>113.40911587013919</v>
      </c>
      <c r="K85" s="65">
        <v>117.71698238871353</v>
      </c>
      <c r="L85" s="65">
        <v>123.76733819916888</v>
      </c>
      <c r="M85" s="65">
        <v>124.75190604875853</v>
      </c>
      <c r="N85" s="65">
        <v>150.18753008369265</v>
      </c>
      <c r="O85" s="65">
        <v>165.56951366271238</v>
      </c>
      <c r="P85" s="65">
        <v>171.45638519920197</v>
      </c>
      <c r="Q85" s="65">
        <v>176.42200189424915</v>
      </c>
      <c r="R85" s="65">
        <v>153.06104182546576</v>
      </c>
      <c r="S85" s="65">
        <v>146.65068364495906</v>
      </c>
      <c r="T85" s="65">
        <v>128.23355179415185</v>
      </c>
      <c r="U85" s="65">
        <v>125.74532174956541</v>
      </c>
      <c r="V85" s="65">
        <v>71.451164473963104</v>
      </c>
      <c r="W85" s="65">
        <v>115.8962625841438</v>
      </c>
      <c r="DA85" s="109" t="s">
        <v>235</v>
      </c>
    </row>
    <row r="86" spans="1:105" ht="12" customHeight="1" x14ac:dyDescent="0.25">
      <c r="A86" s="66" t="s">
        <v>34</v>
      </c>
      <c r="B86" s="67">
        <v>134.3872553036058</v>
      </c>
      <c r="C86" s="67">
        <v>159.07932230015993</v>
      </c>
      <c r="D86" s="67">
        <v>207.63953108594004</v>
      </c>
      <c r="E86" s="67">
        <v>207.71309470855851</v>
      </c>
      <c r="F86" s="67">
        <v>198.18680214238179</v>
      </c>
      <c r="G86" s="67">
        <v>192.41211346773127</v>
      </c>
      <c r="H86" s="67">
        <v>190.09128694903836</v>
      </c>
      <c r="I86" s="67">
        <v>149.45317009019988</v>
      </c>
      <c r="J86" s="67">
        <v>131.93702238740457</v>
      </c>
      <c r="K86" s="67">
        <v>149.37308059751496</v>
      </c>
      <c r="L86" s="67">
        <v>169.09131382999848</v>
      </c>
      <c r="M86" s="67">
        <v>107.99033678969037</v>
      </c>
      <c r="N86" s="67">
        <v>146.86653163886149</v>
      </c>
      <c r="O86" s="67">
        <v>168.40313232715386</v>
      </c>
      <c r="P86" s="67">
        <v>172.19438077410945</v>
      </c>
      <c r="Q86" s="67">
        <v>179.65248551653076</v>
      </c>
      <c r="R86" s="67">
        <v>176.48475873334223</v>
      </c>
      <c r="S86" s="67">
        <v>155.85582573550991</v>
      </c>
      <c r="T86" s="67">
        <v>141.26687752329426</v>
      </c>
      <c r="U86" s="67">
        <v>116.81074175034105</v>
      </c>
      <c r="V86" s="67">
        <v>103.2829447792367</v>
      </c>
      <c r="W86" s="67">
        <v>161.34108173629977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0.9557188108119018</v>
      </c>
      <c r="C91" s="71">
        <f t="shared" ref="C91:W91" si="50">IF(C83=0,0,C83/C$81)</f>
        <v>0.90905329398777712</v>
      </c>
      <c r="D91" s="71">
        <f t="shared" si="50"/>
        <v>0.86519509673167949</v>
      </c>
      <c r="E91" s="71">
        <f t="shared" si="50"/>
        <v>0.80523159738890648</v>
      </c>
      <c r="F91" s="71">
        <f t="shared" si="50"/>
        <v>0.82347525058229776</v>
      </c>
      <c r="G91" s="71">
        <f t="shared" si="50"/>
        <v>0.89374863768044477</v>
      </c>
      <c r="H91" s="71">
        <f t="shared" si="50"/>
        <v>0.90401711147567543</v>
      </c>
      <c r="I91" s="71">
        <f t="shared" si="50"/>
        <v>0.91041677816037836</v>
      </c>
      <c r="J91" s="71">
        <f t="shared" si="50"/>
        <v>0.92074523584498558</v>
      </c>
      <c r="K91" s="71">
        <f t="shared" si="50"/>
        <v>0.92391888654156928</v>
      </c>
      <c r="L91" s="71">
        <f t="shared" si="50"/>
        <v>0.90867533044618276</v>
      </c>
      <c r="M91" s="71">
        <f t="shared" si="50"/>
        <v>0.89405104179584061</v>
      </c>
      <c r="N91" s="71">
        <f t="shared" si="50"/>
        <v>0.84764918312213466</v>
      </c>
      <c r="O91" s="71">
        <f t="shared" si="50"/>
        <v>0.86847427590956872</v>
      </c>
      <c r="P91" s="71">
        <f t="shared" si="50"/>
        <v>0.80023472952404451</v>
      </c>
      <c r="Q91" s="71">
        <f t="shared" si="50"/>
        <v>0.80035095111958554</v>
      </c>
      <c r="R91" s="71">
        <f t="shared" si="50"/>
        <v>0.78332591101828608</v>
      </c>
      <c r="S91" s="71">
        <f t="shared" si="50"/>
        <v>0.82039254377178694</v>
      </c>
      <c r="T91" s="71">
        <f t="shared" si="50"/>
        <v>0.82030016706410025</v>
      </c>
      <c r="U91" s="71">
        <f t="shared" si="50"/>
        <v>0.83877019173792067</v>
      </c>
      <c r="V91" s="71">
        <f t="shared" si="50"/>
        <v>0.84072007096610013</v>
      </c>
      <c r="W91" s="71">
        <f t="shared" si="50"/>
        <v>0.83183396013077082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8.4002948596212376E-6</v>
      </c>
      <c r="C92" s="72">
        <f t="shared" ref="C92:W92" si="52">IF(C84=0,0,C84/C$81)</f>
        <v>2.2093595061100021E-5</v>
      </c>
      <c r="D92" s="72">
        <f t="shared" si="52"/>
        <v>2.3397697539394074E-5</v>
      </c>
      <c r="E92" s="72">
        <f t="shared" si="52"/>
        <v>1.348647468935912E-5</v>
      </c>
      <c r="F92" s="72">
        <f t="shared" si="52"/>
        <v>3.6027945405177273E-5</v>
      </c>
      <c r="G92" s="72">
        <f t="shared" si="52"/>
        <v>3.3981912793613195E-5</v>
      </c>
      <c r="H92" s="72">
        <f t="shared" si="52"/>
        <v>3.5294635260375294E-5</v>
      </c>
      <c r="I92" s="72">
        <f t="shared" si="52"/>
        <v>3.8060724083344632E-5</v>
      </c>
      <c r="J92" s="72">
        <f t="shared" si="52"/>
        <v>3.7694510000383479E-5</v>
      </c>
      <c r="K92" s="72">
        <f t="shared" si="52"/>
        <v>3.3135734465552355E-5</v>
      </c>
      <c r="L92" s="72">
        <f t="shared" si="52"/>
        <v>4.0521759813045523E-5</v>
      </c>
      <c r="M92" s="72">
        <f t="shared" si="52"/>
        <v>6.2948578885510241E-5</v>
      </c>
      <c r="N92" s="72">
        <f t="shared" si="52"/>
        <v>8.2402606225353731E-5</v>
      </c>
      <c r="O92" s="72">
        <f t="shared" si="52"/>
        <v>7.8897635081683382E-5</v>
      </c>
      <c r="P92" s="72">
        <f t="shared" si="52"/>
        <v>1.529975231819013E-4</v>
      </c>
      <c r="Q92" s="72">
        <f t="shared" si="52"/>
        <v>1.9924715486099338E-4</v>
      </c>
      <c r="R92" s="72">
        <f t="shared" si="52"/>
        <v>2.9965874791906995E-4</v>
      </c>
      <c r="S92" s="72">
        <f t="shared" si="52"/>
        <v>3.2481778920694587E-4</v>
      </c>
      <c r="T92" s="72">
        <f t="shared" si="52"/>
        <v>4.1661384230510753E-4</v>
      </c>
      <c r="U92" s="72">
        <f t="shared" si="52"/>
        <v>4.5929900845385809E-4</v>
      </c>
      <c r="V92" s="72">
        <f t="shared" si="52"/>
        <v>6.7793678603169489E-4</v>
      </c>
      <c r="W92" s="72">
        <f t="shared" si="52"/>
        <v>4.814415102747969E-4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1.1130464970688349E-2</v>
      </c>
      <c r="C93" s="72">
        <f t="shared" ref="C93:W93" si="54">IF(C85=0,0,C85/C$81)</f>
        <v>2.6247666117228133E-2</v>
      </c>
      <c r="D93" s="72">
        <f t="shared" si="54"/>
        <v>3.5311330501487839E-2</v>
      </c>
      <c r="E93" s="72">
        <f t="shared" si="54"/>
        <v>4.689680884783988E-2</v>
      </c>
      <c r="F93" s="72">
        <f t="shared" si="54"/>
        <v>4.5909711963805652E-2</v>
      </c>
      <c r="G93" s="72">
        <f t="shared" si="54"/>
        <v>2.6679018916179652E-2</v>
      </c>
      <c r="H93" s="72">
        <f t="shared" si="54"/>
        <v>2.8001615742755941E-2</v>
      </c>
      <c r="I93" s="72">
        <f t="shared" si="54"/>
        <v>3.6722118616969272E-2</v>
      </c>
      <c r="J93" s="72">
        <f t="shared" si="54"/>
        <v>3.6617400600101206E-2</v>
      </c>
      <c r="K93" s="72">
        <f t="shared" si="54"/>
        <v>3.3517302569548844E-2</v>
      </c>
      <c r="L93" s="72">
        <f t="shared" si="54"/>
        <v>3.8578324095810551E-2</v>
      </c>
      <c r="M93" s="72">
        <f t="shared" si="54"/>
        <v>5.6755840124042611E-2</v>
      </c>
      <c r="N93" s="72">
        <f t="shared" si="54"/>
        <v>7.6985370664877109E-2</v>
      </c>
      <c r="O93" s="72">
        <f t="shared" si="54"/>
        <v>6.5165777467234801E-2</v>
      </c>
      <c r="P93" s="72">
        <f t="shared" si="54"/>
        <v>9.959180118497668E-2</v>
      </c>
      <c r="Q93" s="72">
        <f t="shared" si="54"/>
        <v>9.8820147305976117E-2</v>
      </c>
      <c r="R93" s="72">
        <f t="shared" si="54"/>
        <v>0.10049739872217288</v>
      </c>
      <c r="S93" s="72">
        <f t="shared" si="54"/>
        <v>8.6913572691701454E-2</v>
      </c>
      <c r="T93" s="72">
        <f t="shared" si="54"/>
        <v>8.5306446522875681E-2</v>
      </c>
      <c r="U93" s="72">
        <f t="shared" si="54"/>
        <v>8.3346254561665112E-2</v>
      </c>
      <c r="V93" s="72">
        <f t="shared" si="54"/>
        <v>6.4854521435076473E-2</v>
      </c>
      <c r="W93" s="72">
        <f t="shared" si="54"/>
        <v>7.0098847218300189E-2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3.3142323922550287E-2</v>
      </c>
      <c r="C94" s="73">
        <f t="shared" ref="C94:W94" si="56">IF(C86=0,0,C86/C$81)</f>
        <v>6.4676946299933646E-2</v>
      </c>
      <c r="D94" s="73">
        <f t="shared" si="56"/>
        <v>9.9470175069293121E-2</v>
      </c>
      <c r="E94" s="73">
        <f t="shared" si="56"/>
        <v>0.14785810728856416</v>
      </c>
      <c r="F94" s="73">
        <f t="shared" si="56"/>
        <v>0.13057900950849133</v>
      </c>
      <c r="G94" s="73">
        <f t="shared" si="56"/>
        <v>7.9538361490582021E-2</v>
      </c>
      <c r="H94" s="73">
        <f t="shared" si="56"/>
        <v>6.7945978146308275E-2</v>
      </c>
      <c r="I94" s="73">
        <f t="shared" si="56"/>
        <v>5.2823042498568971E-2</v>
      </c>
      <c r="J94" s="73">
        <f t="shared" si="56"/>
        <v>4.2599669044912948E-2</v>
      </c>
      <c r="K94" s="73">
        <f t="shared" si="56"/>
        <v>4.2530675154416255E-2</v>
      </c>
      <c r="L94" s="73">
        <f t="shared" si="56"/>
        <v>5.2705823698193585E-2</v>
      </c>
      <c r="M94" s="73">
        <f t="shared" si="56"/>
        <v>4.9130169501231259E-2</v>
      </c>
      <c r="N94" s="73">
        <f t="shared" si="56"/>
        <v>7.5283043606762926E-2</v>
      </c>
      <c r="O94" s="73">
        <f t="shared" si="56"/>
        <v>6.6281048988114918E-2</v>
      </c>
      <c r="P94" s="73">
        <f t="shared" si="56"/>
        <v>0.10002047176779683</v>
      </c>
      <c r="Q94" s="73">
        <f t="shared" si="56"/>
        <v>0.10062965441957734</v>
      </c>
      <c r="R94" s="73">
        <f t="shared" si="56"/>
        <v>0.11587703151162192</v>
      </c>
      <c r="S94" s="73">
        <f t="shared" si="56"/>
        <v>9.2369065747304621E-2</v>
      </c>
      <c r="T94" s="73">
        <f t="shared" si="56"/>
        <v>9.3976772570719055E-2</v>
      </c>
      <c r="U94" s="73">
        <f t="shared" si="56"/>
        <v>7.7424254691960306E-2</v>
      </c>
      <c r="V94" s="73">
        <f t="shared" si="56"/>
        <v>9.3747470812791583E-2</v>
      </c>
      <c r="W94" s="73">
        <f t="shared" si="56"/>
        <v>9.7585751140654112E-2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880050.66857799725</v>
      </c>
      <c r="C99" s="82">
        <f t="shared" ref="C99:W99" si="60">C47*11630*1000/C$8</f>
        <v>672178.94941123202</v>
      </c>
      <c r="D99" s="82">
        <f t="shared" si="60"/>
        <v>597862.91278845025</v>
      </c>
      <c r="E99" s="82">
        <f t="shared" si="60"/>
        <v>488305.9819078095</v>
      </c>
      <c r="F99" s="82">
        <f t="shared" si="60"/>
        <v>526958.45292601269</v>
      </c>
      <c r="G99" s="82">
        <f t="shared" si="60"/>
        <v>621981.04052346013</v>
      </c>
      <c r="H99" s="82">
        <f t="shared" si="60"/>
        <v>634026.12661253533</v>
      </c>
      <c r="I99" s="82">
        <f t="shared" si="60"/>
        <v>598123.33604693937</v>
      </c>
      <c r="J99" s="82">
        <f t="shared" si="60"/>
        <v>599502.50001940597</v>
      </c>
      <c r="K99" s="82">
        <f t="shared" si="60"/>
        <v>602378.52943780751</v>
      </c>
      <c r="L99" s="82">
        <f t="shared" si="60"/>
        <v>637528.74105721933</v>
      </c>
      <c r="M99" s="82">
        <f t="shared" si="60"/>
        <v>480030.82528547238</v>
      </c>
      <c r="N99" s="82">
        <f t="shared" si="60"/>
        <v>430712.43644863798</v>
      </c>
      <c r="O99" s="82">
        <f t="shared" si="60"/>
        <v>503272.69854624552</v>
      </c>
      <c r="P99" s="82">
        <f t="shared" si="60"/>
        <v>359809.52461605339</v>
      </c>
      <c r="Q99" s="82">
        <f t="shared" si="60"/>
        <v>373974.62356537126</v>
      </c>
      <c r="R99" s="82">
        <f t="shared" si="60"/>
        <v>371812.58841576416</v>
      </c>
      <c r="S99" s="82">
        <f t="shared" si="60"/>
        <v>399953.37211827218</v>
      </c>
      <c r="T99" s="82">
        <f t="shared" si="60"/>
        <v>363033.46157887933</v>
      </c>
      <c r="U99" s="82">
        <f t="shared" si="60"/>
        <v>329625.22133878805</v>
      </c>
      <c r="V99" s="82">
        <f t="shared" si="60"/>
        <v>293506.5996254278</v>
      </c>
      <c r="W99" s="82">
        <f t="shared" si="60"/>
        <v>368720.77893462032</v>
      </c>
      <c r="DA99" s="107"/>
    </row>
    <row r="100" spans="1:105" ht="12" customHeight="1" x14ac:dyDescent="0.25">
      <c r="A100" s="77" t="s">
        <v>36</v>
      </c>
      <c r="B100" s="64">
        <f t="shared" si="59"/>
        <v>816884.73328179307</v>
      </c>
      <c r="C100" s="64">
        <f t="shared" ref="C100:W100" si="61">C48*11630*1000/C$8</f>
        <v>606680.84178751893</v>
      </c>
      <c r="D100" s="64">
        <f t="shared" si="61"/>
        <v>531083.6464255132</v>
      </c>
      <c r="E100" s="64">
        <f t="shared" si="61"/>
        <v>421357.74073009635</v>
      </c>
      <c r="F100" s="64">
        <f t="shared" si="61"/>
        <v>458394.26358502131</v>
      </c>
      <c r="G100" s="64">
        <f t="shared" si="61"/>
        <v>553815.25728414638</v>
      </c>
      <c r="H100" s="64">
        <f t="shared" si="61"/>
        <v>566267.24562340975</v>
      </c>
      <c r="I100" s="64">
        <f t="shared" si="61"/>
        <v>529873.8610692533</v>
      </c>
      <c r="J100" s="64">
        <f t="shared" si="61"/>
        <v>531221.07396859012</v>
      </c>
      <c r="K100" s="64">
        <f t="shared" si="61"/>
        <v>532849.71771053749</v>
      </c>
      <c r="L100" s="64">
        <f t="shared" si="61"/>
        <v>567478.88242557214</v>
      </c>
      <c r="M100" s="64">
        <f t="shared" si="61"/>
        <v>409697.42734491179</v>
      </c>
      <c r="N100" s="64">
        <f t="shared" si="61"/>
        <v>361426.2610025513</v>
      </c>
      <c r="O100" s="64">
        <f t="shared" si="61"/>
        <v>432479.22875878913</v>
      </c>
      <c r="P100" s="64">
        <f t="shared" si="61"/>
        <v>289478.27337735594</v>
      </c>
      <c r="Q100" s="64">
        <f t="shared" si="61"/>
        <v>301348.17475762247</v>
      </c>
      <c r="R100" s="64">
        <f t="shared" si="61"/>
        <v>299868.27864312264</v>
      </c>
      <c r="S100" s="64">
        <f t="shared" si="61"/>
        <v>326269.5471831616</v>
      </c>
      <c r="T100" s="64">
        <f t="shared" si="61"/>
        <v>290815.98660960078</v>
      </c>
      <c r="U100" s="64">
        <f t="shared" si="61"/>
        <v>259198.70009562265</v>
      </c>
      <c r="V100" s="64">
        <f t="shared" si="61"/>
        <v>224460.62099347796</v>
      </c>
      <c r="W100" s="64">
        <f t="shared" si="61"/>
        <v>298015.19565349841</v>
      </c>
      <c r="DA100" s="108"/>
    </row>
    <row r="101" spans="1:105" ht="12" customHeight="1" x14ac:dyDescent="0.25">
      <c r="A101" s="61" t="s">
        <v>32</v>
      </c>
      <c r="B101" s="65">
        <f t="shared" si="59"/>
        <v>738679.37092309375</v>
      </c>
      <c r="C101" s="65">
        <f t="shared" ref="C101:W101" si="62">C49*11630*1000/C$8</f>
        <v>527743.73976081947</v>
      </c>
      <c r="D101" s="65">
        <f t="shared" si="62"/>
        <v>448904.60930317076</v>
      </c>
      <c r="E101" s="65">
        <f t="shared" si="62"/>
        <v>338917.47640553076</v>
      </c>
      <c r="F101" s="65">
        <f t="shared" si="62"/>
        <v>376746.43010545394</v>
      </c>
      <c r="G101" s="65">
        <f t="shared" si="62"/>
        <v>470684.87031994364</v>
      </c>
      <c r="H101" s="65">
        <f t="shared" si="62"/>
        <v>483253.60617511027</v>
      </c>
      <c r="I101" s="65">
        <f t="shared" si="62"/>
        <v>450074.52834528574</v>
      </c>
      <c r="J101" s="65">
        <f t="shared" si="62"/>
        <v>453380.35076821945</v>
      </c>
      <c r="K101" s="65">
        <f t="shared" si="62"/>
        <v>452526.33082823543</v>
      </c>
      <c r="L101" s="65">
        <f t="shared" si="62"/>
        <v>487256.20083590673</v>
      </c>
      <c r="M101" s="65">
        <f t="shared" si="62"/>
        <v>332272.56869930576</v>
      </c>
      <c r="N101" s="65">
        <f t="shared" si="62"/>
        <v>281961.18253335275</v>
      </c>
      <c r="O101" s="65">
        <f t="shared" si="62"/>
        <v>352889.50532251596</v>
      </c>
      <c r="P101" s="65">
        <f t="shared" si="62"/>
        <v>209983.84879626261</v>
      </c>
      <c r="Q101" s="65">
        <f t="shared" si="62"/>
        <v>221812.2482345241</v>
      </c>
      <c r="R101" s="65">
        <f t="shared" si="62"/>
        <v>221955.83015445838</v>
      </c>
      <c r="S101" s="65">
        <f t="shared" si="62"/>
        <v>249897.36221219116</v>
      </c>
      <c r="T101" s="65">
        <f t="shared" si="62"/>
        <v>216954.82980918529</v>
      </c>
      <c r="U101" s="65">
        <f t="shared" si="62"/>
        <v>187954.09937965276</v>
      </c>
      <c r="V101" s="65">
        <f t="shared" si="62"/>
        <v>161294.8469043966</v>
      </c>
      <c r="W101" s="65">
        <f t="shared" si="62"/>
        <v>227348.67156569179</v>
      </c>
      <c r="DA101" s="109"/>
    </row>
    <row r="102" spans="1:105" ht="12" customHeight="1" x14ac:dyDescent="0.25">
      <c r="A102" s="61" t="s">
        <v>31</v>
      </c>
      <c r="B102" s="65">
        <f t="shared" si="59"/>
        <v>2098.6375052883609</v>
      </c>
      <c r="C102" s="65">
        <f t="shared" ref="C102:W102" si="63">C50*11630*1000/C$8</f>
        <v>2088.8379879418526</v>
      </c>
      <c r="D102" s="65">
        <f t="shared" si="63"/>
        <v>2183.3677669184417</v>
      </c>
      <c r="E102" s="65">
        <f t="shared" si="63"/>
        <v>2198.8150805603859</v>
      </c>
      <c r="F102" s="65">
        <f t="shared" si="63"/>
        <v>2118.136746262991</v>
      </c>
      <c r="G102" s="65">
        <f t="shared" si="63"/>
        <v>2094.2457556536842</v>
      </c>
      <c r="H102" s="65">
        <f t="shared" si="63"/>
        <v>2105.3370325965252</v>
      </c>
      <c r="I102" s="65">
        <f t="shared" si="63"/>
        <v>2164.9037425366178</v>
      </c>
      <c r="J102" s="65">
        <f t="shared" si="63"/>
        <v>2008.535190211252</v>
      </c>
      <c r="K102" s="65">
        <f t="shared" si="63"/>
        <v>2060.1499958594727</v>
      </c>
      <c r="L102" s="65">
        <f t="shared" si="63"/>
        <v>2142.551452659065</v>
      </c>
      <c r="M102" s="65">
        <f t="shared" si="63"/>
        <v>2044.6954185606726</v>
      </c>
      <c r="N102" s="65">
        <f t="shared" si="63"/>
        <v>2228.0262095753601</v>
      </c>
      <c r="O102" s="65">
        <f t="shared" si="63"/>
        <v>2113.1722872164855</v>
      </c>
      <c r="P102" s="65">
        <f t="shared" si="63"/>
        <v>1918.6056534819675</v>
      </c>
      <c r="Q102" s="65">
        <f t="shared" si="63"/>
        <v>2212.3501205197022</v>
      </c>
      <c r="R102" s="65">
        <f t="shared" si="63"/>
        <v>1839.3902833876868</v>
      </c>
      <c r="S102" s="65">
        <f t="shared" si="63"/>
        <v>1926.2691658238273</v>
      </c>
      <c r="T102" s="65">
        <f t="shared" si="63"/>
        <v>1866.407192067385</v>
      </c>
      <c r="U102" s="65">
        <f t="shared" si="63"/>
        <v>1912.491485600834</v>
      </c>
      <c r="V102" s="65">
        <f t="shared" si="63"/>
        <v>1678.6875549038191</v>
      </c>
      <c r="W102" s="65">
        <f t="shared" si="63"/>
        <v>1806.3197820827206</v>
      </c>
      <c r="DA102" s="109"/>
    </row>
    <row r="103" spans="1:105" ht="12" customHeight="1" x14ac:dyDescent="0.25">
      <c r="A103" s="61" t="s">
        <v>35</v>
      </c>
      <c r="B103" s="65">
        <f t="shared" si="59"/>
        <v>40342.38255737022</v>
      </c>
      <c r="C103" s="65">
        <f t="shared" ref="C103:W103" si="64">C51*11630*1000/C$8</f>
        <v>40134.298882629468</v>
      </c>
      <c r="D103" s="65">
        <f t="shared" si="64"/>
        <v>40215.742000864593</v>
      </c>
      <c r="E103" s="65">
        <f t="shared" si="64"/>
        <v>40222.995765667714</v>
      </c>
      <c r="F103" s="65">
        <f t="shared" si="64"/>
        <v>39747.083009978523</v>
      </c>
      <c r="G103" s="65">
        <f t="shared" si="64"/>
        <v>40762.079601515492</v>
      </c>
      <c r="H103" s="65">
        <f t="shared" si="64"/>
        <v>41217.655743370691</v>
      </c>
      <c r="I103" s="65">
        <f t="shared" si="64"/>
        <v>40619.999744408815</v>
      </c>
      <c r="J103" s="65">
        <f t="shared" si="64"/>
        <v>40221.371655041447</v>
      </c>
      <c r="K103" s="65">
        <f t="shared" si="64"/>
        <v>41301.784810048521</v>
      </c>
      <c r="L103" s="65">
        <f t="shared" si="64"/>
        <v>41314.168841559076</v>
      </c>
      <c r="M103" s="65">
        <f t="shared" si="64"/>
        <v>40851.497036897897</v>
      </c>
      <c r="N103" s="65">
        <f t="shared" si="64"/>
        <v>41498.459208340384</v>
      </c>
      <c r="O103" s="65">
        <f t="shared" si="64"/>
        <v>41340.169773121532</v>
      </c>
      <c r="P103" s="65">
        <f t="shared" si="64"/>
        <v>41611.92332000121</v>
      </c>
      <c r="Q103" s="65">
        <f t="shared" si="64"/>
        <v>41241.524756105136</v>
      </c>
      <c r="R103" s="65">
        <f t="shared" si="64"/>
        <v>40557.925136930076</v>
      </c>
      <c r="S103" s="65">
        <f t="shared" si="64"/>
        <v>40082.428423852194</v>
      </c>
      <c r="T103" s="65">
        <f t="shared" si="64"/>
        <v>38705.664501789419</v>
      </c>
      <c r="U103" s="65">
        <f t="shared" si="64"/>
        <v>37677.316125143334</v>
      </c>
      <c r="V103" s="65">
        <f t="shared" si="64"/>
        <v>32974.736306565093</v>
      </c>
      <c r="W103" s="65">
        <f t="shared" si="64"/>
        <v>35870.052119841668</v>
      </c>
      <c r="DA103" s="109"/>
    </row>
    <row r="104" spans="1:105" ht="12" customHeight="1" x14ac:dyDescent="0.25">
      <c r="A104" s="66" t="s">
        <v>34</v>
      </c>
      <c r="B104" s="67">
        <f t="shared" si="59"/>
        <v>35764.34229604077</v>
      </c>
      <c r="C104" s="67">
        <f t="shared" ref="C104:W104" si="65">C52*11630*1000/C$8</f>
        <v>36713.965156128063</v>
      </c>
      <c r="D104" s="67">
        <f t="shared" si="65"/>
        <v>39779.927354559455</v>
      </c>
      <c r="E104" s="67">
        <f t="shared" si="65"/>
        <v>40018.453478337491</v>
      </c>
      <c r="F104" s="67">
        <f t="shared" si="65"/>
        <v>39782.613723325914</v>
      </c>
      <c r="G104" s="67">
        <f t="shared" si="65"/>
        <v>40274.061607033611</v>
      </c>
      <c r="H104" s="67">
        <f t="shared" si="65"/>
        <v>39690.646672332143</v>
      </c>
      <c r="I104" s="67">
        <f t="shared" si="65"/>
        <v>37014.429237022174</v>
      </c>
      <c r="J104" s="67">
        <f t="shared" si="65"/>
        <v>35610.816355118026</v>
      </c>
      <c r="K104" s="67">
        <f t="shared" si="65"/>
        <v>36961.45207639398</v>
      </c>
      <c r="L104" s="67">
        <f t="shared" si="65"/>
        <v>36765.961295447334</v>
      </c>
      <c r="M104" s="67">
        <f t="shared" si="65"/>
        <v>34528.666190147436</v>
      </c>
      <c r="N104" s="67">
        <f t="shared" si="65"/>
        <v>35738.59305128282</v>
      </c>
      <c r="O104" s="67">
        <f t="shared" si="65"/>
        <v>36136.381375935198</v>
      </c>
      <c r="P104" s="67">
        <f t="shared" si="65"/>
        <v>35963.895607610168</v>
      </c>
      <c r="Q104" s="67">
        <f t="shared" si="65"/>
        <v>36082.051646473585</v>
      </c>
      <c r="R104" s="67">
        <f t="shared" si="65"/>
        <v>35515.133068346506</v>
      </c>
      <c r="S104" s="67">
        <f t="shared" si="65"/>
        <v>34363.487381294472</v>
      </c>
      <c r="T104" s="67">
        <f t="shared" si="65"/>
        <v>33289.085106558661</v>
      </c>
      <c r="U104" s="67">
        <f t="shared" si="65"/>
        <v>31654.793105225726</v>
      </c>
      <c r="V104" s="67">
        <f t="shared" si="65"/>
        <v>28512.350227612464</v>
      </c>
      <c r="W104" s="67">
        <f t="shared" si="65"/>
        <v>32990.152185882209</v>
      </c>
      <c r="DA104" s="110"/>
    </row>
    <row r="105" spans="1:105" ht="12" customHeight="1" x14ac:dyDescent="0.25">
      <c r="A105" s="78" t="s">
        <v>33</v>
      </c>
      <c r="B105" s="68">
        <f t="shared" si="59"/>
        <v>63165.935296204021</v>
      </c>
      <c r="C105" s="68">
        <f t="shared" ref="C105:W105" si="66">C53*11630*1000/C$8</f>
        <v>65498.107623713178</v>
      </c>
      <c r="D105" s="68">
        <f t="shared" si="66"/>
        <v>66779.266362936949</v>
      </c>
      <c r="E105" s="68">
        <f t="shared" si="66"/>
        <v>66948.241177713193</v>
      </c>
      <c r="F105" s="68">
        <f t="shared" si="66"/>
        <v>68564.189340991434</v>
      </c>
      <c r="G105" s="68">
        <f t="shared" si="66"/>
        <v>68165.783239313765</v>
      </c>
      <c r="H105" s="68">
        <f t="shared" si="66"/>
        <v>67758.880989125682</v>
      </c>
      <c r="I105" s="68">
        <f t="shared" si="66"/>
        <v>68249.474977686114</v>
      </c>
      <c r="J105" s="68">
        <f t="shared" si="66"/>
        <v>68281.426050815789</v>
      </c>
      <c r="K105" s="68">
        <f t="shared" si="66"/>
        <v>69528.811727270077</v>
      </c>
      <c r="L105" s="68">
        <f t="shared" si="66"/>
        <v>70049.858631647148</v>
      </c>
      <c r="M105" s="68">
        <f t="shared" si="66"/>
        <v>70333.397940560651</v>
      </c>
      <c r="N105" s="68">
        <f t="shared" si="66"/>
        <v>69286.175446086738</v>
      </c>
      <c r="O105" s="68">
        <f t="shared" si="66"/>
        <v>70793.469787456313</v>
      </c>
      <c r="P105" s="68">
        <f t="shared" si="66"/>
        <v>70331.25123869747</v>
      </c>
      <c r="Q105" s="68">
        <f t="shared" si="66"/>
        <v>72626.448807748689</v>
      </c>
      <c r="R105" s="68">
        <f t="shared" si="66"/>
        <v>71944.309772641514</v>
      </c>
      <c r="S105" s="68">
        <f t="shared" si="66"/>
        <v>73683.824935110548</v>
      </c>
      <c r="T105" s="68">
        <f t="shared" si="66"/>
        <v>72217.474969278584</v>
      </c>
      <c r="U105" s="68">
        <f t="shared" si="66"/>
        <v>70426.521243165393</v>
      </c>
      <c r="V105" s="68">
        <f t="shared" si="66"/>
        <v>69045.978631949794</v>
      </c>
      <c r="W105" s="68">
        <f t="shared" si="66"/>
        <v>70705.583281121973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449316.94212091778</v>
      </c>
      <c r="C107" s="85">
        <f t="shared" ref="C107:W107" si="68">SUM(C108:C111)</f>
        <v>357150.38700974936</v>
      </c>
      <c r="D107" s="85">
        <f t="shared" si="68"/>
        <v>327060.84276673134</v>
      </c>
      <c r="E107" s="85">
        <f t="shared" si="68"/>
        <v>262627.38894589565</v>
      </c>
      <c r="F107" s="85">
        <f t="shared" si="68"/>
        <v>296992.8345157057</v>
      </c>
      <c r="G107" s="85">
        <f t="shared" si="68"/>
        <v>339475.43942348205</v>
      </c>
      <c r="H107" s="85">
        <f t="shared" si="68"/>
        <v>350319.43000101187</v>
      </c>
      <c r="I107" s="85">
        <f t="shared" si="68"/>
        <v>335056.58856865932</v>
      </c>
      <c r="J107" s="85">
        <f t="shared" si="68"/>
        <v>338357.37761283718</v>
      </c>
      <c r="K107" s="85">
        <f t="shared" si="68"/>
        <v>348204.86151769804</v>
      </c>
      <c r="L107" s="85">
        <f t="shared" si="68"/>
        <v>373719.35206771834</v>
      </c>
      <c r="M107" s="85">
        <f t="shared" si="68"/>
        <v>282724.16629133566</v>
      </c>
      <c r="N107" s="85">
        <f t="shared" si="68"/>
        <v>247987.48921817288</v>
      </c>
      <c r="O107" s="85">
        <f t="shared" si="68"/>
        <v>297973.74950710981</v>
      </c>
      <c r="P107" s="85">
        <f t="shared" si="68"/>
        <v>201787.85247300784</v>
      </c>
      <c r="Q107" s="85">
        <f t="shared" si="68"/>
        <v>213362.79160111072</v>
      </c>
      <c r="R107" s="85">
        <f t="shared" si="68"/>
        <v>217286.81823427009</v>
      </c>
      <c r="S107" s="85">
        <f t="shared" si="68"/>
        <v>238101.12168199592</v>
      </c>
      <c r="T107" s="85">
        <f t="shared" si="68"/>
        <v>215539.99496960131</v>
      </c>
      <c r="U107" s="85">
        <f t="shared" si="68"/>
        <v>194447.9331262779</v>
      </c>
      <c r="V107" s="85">
        <f t="shared" si="68"/>
        <v>173489.74946039909</v>
      </c>
      <c r="W107" s="85">
        <f t="shared" si="68"/>
        <v>229531.05500623336</v>
      </c>
      <c r="DA107" s="117"/>
    </row>
    <row r="108" spans="1:105" ht="12" customHeight="1" x14ac:dyDescent="0.25">
      <c r="A108" s="61" t="s">
        <v>32</v>
      </c>
      <c r="B108" s="65">
        <v>395712.00313689286</v>
      </c>
      <c r="C108" s="65">
        <v>303526.98664693651</v>
      </c>
      <c r="D108" s="65">
        <v>271416.48239813471</v>
      </c>
      <c r="E108" s="65">
        <v>206017.43030503389</v>
      </c>
      <c r="F108" s="65">
        <v>239975.11452022989</v>
      </c>
      <c r="G108" s="65">
        <v>281095.73881989752</v>
      </c>
      <c r="H108" s="65">
        <v>291606.86618223827</v>
      </c>
      <c r="I108" s="65">
        <v>277195.42244992696</v>
      </c>
      <c r="J108" s="65">
        <v>281287.38874903467</v>
      </c>
      <c r="K108" s="65">
        <v>289326.79577955243</v>
      </c>
      <c r="L108" s="65">
        <v>314827.06218862272</v>
      </c>
      <c r="M108" s="65">
        <v>224388.93251058448</v>
      </c>
      <c r="N108" s="65">
        <v>188316.38024643823</v>
      </c>
      <c r="O108" s="65">
        <v>238597.99008161947</v>
      </c>
      <c r="P108" s="65">
        <v>142573.2331077173</v>
      </c>
      <c r="Q108" s="65">
        <v>153301.83865146688</v>
      </c>
      <c r="R108" s="65">
        <v>158096.83007146156</v>
      </c>
      <c r="S108" s="65">
        <v>178505.89506054431</v>
      </c>
      <c r="T108" s="65">
        <v>156569.93887721203</v>
      </c>
      <c r="U108" s="65">
        <v>135891.76044274899</v>
      </c>
      <c r="V108" s="65">
        <v>120453.38144702866</v>
      </c>
      <c r="W108" s="65">
        <v>171151.77909660674</v>
      </c>
      <c r="DA108" s="109"/>
    </row>
    <row r="109" spans="1:105" ht="12" customHeight="1" x14ac:dyDescent="0.25">
      <c r="A109" s="61" t="s">
        <v>31</v>
      </c>
      <c r="B109" s="65">
        <v>3606.7363426122593</v>
      </c>
      <c r="C109" s="65">
        <v>3745.4264035666729</v>
      </c>
      <c r="D109" s="65">
        <v>4111.46948377238</v>
      </c>
      <c r="E109" s="65">
        <v>4324.6198156576984</v>
      </c>
      <c r="F109" s="65">
        <v>4348.5689689546198</v>
      </c>
      <c r="G109" s="65">
        <v>4489.1440897601187</v>
      </c>
      <c r="H109" s="65">
        <v>4730.24828671656</v>
      </c>
      <c r="I109" s="65">
        <v>5127.3806319971573</v>
      </c>
      <c r="J109" s="65">
        <v>5010.4641027460639</v>
      </c>
      <c r="K109" s="65">
        <v>5211.722684002837</v>
      </c>
      <c r="L109" s="65">
        <v>5535.1199317724886</v>
      </c>
      <c r="M109" s="65">
        <v>5424.1930161585806</v>
      </c>
      <c r="N109" s="65">
        <v>6093.010439299851</v>
      </c>
      <c r="O109" s="65">
        <v>5948.4131265724036</v>
      </c>
      <c r="P109" s="65">
        <v>5567.1912252859493</v>
      </c>
      <c r="Q109" s="65">
        <v>6632.5383475926519</v>
      </c>
      <c r="R109" s="65">
        <v>5675.5857961767779</v>
      </c>
      <c r="S109" s="65">
        <v>6144.5340403299761</v>
      </c>
      <c r="T109" s="65">
        <v>6113.499805345723</v>
      </c>
      <c r="U109" s="65">
        <v>6404.5137980252193</v>
      </c>
      <c r="V109" s="65">
        <v>5709.2703745934523</v>
      </c>
      <c r="W109" s="65">
        <v>6291.8331754238161</v>
      </c>
      <c r="DA109" s="109"/>
    </row>
    <row r="110" spans="1:105" ht="12" customHeight="1" x14ac:dyDescent="0.25">
      <c r="A110" s="61" t="s">
        <v>35</v>
      </c>
      <c r="B110" s="65">
        <v>24876.977456266213</v>
      </c>
      <c r="C110" s="65">
        <v>24591.862183483394</v>
      </c>
      <c r="D110" s="65">
        <v>24911.996211525962</v>
      </c>
      <c r="E110" s="65">
        <v>25231.615808610615</v>
      </c>
      <c r="F110" s="65">
        <v>25303.004250960068</v>
      </c>
      <c r="G110" s="65">
        <v>25759.567879980495</v>
      </c>
      <c r="H110" s="65">
        <v>26009.0228451455</v>
      </c>
      <c r="I110" s="65">
        <v>25667.446449852177</v>
      </c>
      <c r="J110" s="65">
        <v>25568.506301628044</v>
      </c>
      <c r="K110" s="65">
        <v>26445.683740841396</v>
      </c>
      <c r="L110" s="65">
        <v>26617.955558777496</v>
      </c>
      <c r="M110" s="65">
        <v>26561.280404302692</v>
      </c>
      <c r="N110" s="65">
        <v>27112.015731358802</v>
      </c>
      <c r="O110" s="65">
        <v>27106.041115160897</v>
      </c>
      <c r="P110" s="65">
        <v>27525.496255463066</v>
      </c>
      <c r="Q110" s="65">
        <v>27388.599899323988</v>
      </c>
      <c r="R110" s="65">
        <v>27698.526283088155</v>
      </c>
      <c r="S110" s="65">
        <v>27877.057694106214</v>
      </c>
      <c r="T110" s="65">
        <v>27590.69784076995</v>
      </c>
      <c r="U110" s="65">
        <v>27422.139161451945</v>
      </c>
      <c r="V110" s="65">
        <v>24836.421830594507</v>
      </c>
      <c r="W110" s="65">
        <v>27105.214565267579</v>
      </c>
      <c r="DA110" s="109"/>
    </row>
    <row r="111" spans="1:105" ht="12" customHeight="1" x14ac:dyDescent="0.25">
      <c r="A111" s="74" t="s">
        <v>34</v>
      </c>
      <c r="B111" s="68">
        <v>25121.225185146439</v>
      </c>
      <c r="C111" s="68">
        <v>25286.111775762802</v>
      </c>
      <c r="D111" s="68">
        <v>26620.89467329828</v>
      </c>
      <c r="E111" s="68">
        <v>27053.723016593434</v>
      </c>
      <c r="F111" s="68">
        <v>27366.146775561137</v>
      </c>
      <c r="G111" s="68">
        <v>28130.988633843914</v>
      </c>
      <c r="H111" s="68">
        <v>27973.292686911529</v>
      </c>
      <c r="I111" s="68">
        <v>27066.339036883026</v>
      </c>
      <c r="J111" s="68">
        <v>26491.018459428466</v>
      </c>
      <c r="K111" s="68">
        <v>27220.659313301381</v>
      </c>
      <c r="L111" s="68">
        <v>26739.214388545653</v>
      </c>
      <c r="M111" s="68">
        <v>26349.760360289885</v>
      </c>
      <c r="N111" s="68">
        <v>26466.082801075972</v>
      </c>
      <c r="O111" s="68">
        <v>26321.305183757013</v>
      </c>
      <c r="P111" s="68">
        <v>26121.9318845415</v>
      </c>
      <c r="Q111" s="68">
        <v>26039.814702727177</v>
      </c>
      <c r="R111" s="68">
        <v>25815.87608354359</v>
      </c>
      <c r="S111" s="68">
        <v>25573.634887015403</v>
      </c>
      <c r="T111" s="68">
        <v>25265.858446273611</v>
      </c>
      <c r="U111" s="68">
        <v>24729.519724051734</v>
      </c>
      <c r="V111" s="68">
        <v>22490.675808182474</v>
      </c>
      <c r="W111" s="68">
        <v>24982.228168935213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139495.83100318536</v>
      </c>
      <c r="C113" s="82">
        <f t="shared" ref="C113:W113" si="70">C81*1000000/C$8</f>
        <v>83010.935009881941</v>
      </c>
      <c r="D113" s="82">
        <f t="shared" si="70"/>
        <v>68742.926928330824</v>
      </c>
      <c r="E113" s="82">
        <f t="shared" si="70"/>
        <v>45121.222146259475</v>
      </c>
      <c r="F113" s="82">
        <f t="shared" si="70"/>
        <v>47500.633817512316</v>
      </c>
      <c r="G113" s="82">
        <f t="shared" si="70"/>
        <v>73093.69456806028</v>
      </c>
      <c r="H113" s="82">
        <f t="shared" si="70"/>
        <v>80843.214086688895</v>
      </c>
      <c r="I113" s="82">
        <f t="shared" si="70"/>
        <v>77455.285469412775</v>
      </c>
      <c r="J113" s="82">
        <f t="shared" si="70"/>
        <v>82078.410869342246</v>
      </c>
      <c r="K113" s="82">
        <f t="shared" si="70"/>
        <v>93230.103663285889</v>
      </c>
      <c r="L113" s="82">
        <f t="shared" si="70"/>
        <v>83333.911786809083</v>
      </c>
      <c r="M113" s="82">
        <f t="shared" si="70"/>
        <v>56537.697791753388</v>
      </c>
      <c r="N113" s="82">
        <f t="shared" si="70"/>
        <v>49686.417287716089</v>
      </c>
      <c r="O113" s="82">
        <f t="shared" si="70"/>
        <v>64153.742900431251</v>
      </c>
      <c r="P113" s="82">
        <f t="shared" si="70"/>
        <v>43062.954865674466</v>
      </c>
      <c r="Q113" s="82">
        <f t="shared" si="70"/>
        <v>44103.98304184548</v>
      </c>
      <c r="R113" s="82">
        <f t="shared" si="70"/>
        <v>37178.582753115727</v>
      </c>
      <c r="S113" s="82">
        <f t="shared" si="70"/>
        <v>40672.684563176146</v>
      </c>
      <c r="T113" s="82">
        <f t="shared" si="70"/>
        <v>35715.564066640814</v>
      </c>
      <c r="U113" s="82">
        <f t="shared" si="70"/>
        <v>35319.748466392666</v>
      </c>
      <c r="V113" s="82">
        <f t="shared" si="70"/>
        <v>25432.065889691756</v>
      </c>
      <c r="W113" s="82">
        <f t="shared" si="70"/>
        <v>37674.200026299026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139495.83100318536</v>
      </c>
      <c r="C114" s="64">
        <f t="shared" ref="C114:W114" si="72">C82*1000000/C$8</f>
        <v>83010.935009881941</v>
      </c>
      <c r="D114" s="64">
        <f t="shared" si="72"/>
        <v>68742.926928330824</v>
      </c>
      <c r="E114" s="64">
        <f t="shared" si="72"/>
        <v>45121.222146259475</v>
      </c>
      <c r="F114" s="64">
        <f t="shared" si="72"/>
        <v>47500.633817512316</v>
      </c>
      <c r="G114" s="64">
        <f t="shared" si="72"/>
        <v>73093.69456806028</v>
      </c>
      <c r="H114" s="64">
        <f t="shared" si="72"/>
        <v>80843.214086688895</v>
      </c>
      <c r="I114" s="64">
        <f t="shared" si="72"/>
        <v>77455.285469412775</v>
      </c>
      <c r="J114" s="64">
        <f t="shared" si="72"/>
        <v>82078.410869342246</v>
      </c>
      <c r="K114" s="64">
        <f t="shared" si="72"/>
        <v>93230.103663285889</v>
      </c>
      <c r="L114" s="64">
        <f t="shared" si="72"/>
        <v>83333.911786809083</v>
      </c>
      <c r="M114" s="64">
        <f t="shared" si="72"/>
        <v>56537.697791753388</v>
      </c>
      <c r="N114" s="64">
        <f t="shared" si="72"/>
        <v>49686.417287716089</v>
      </c>
      <c r="O114" s="64">
        <f t="shared" si="72"/>
        <v>64153.742900431251</v>
      </c>
      <c r="P114" s="64">
        <f t="shared" si="72"/>
        <v>43062.954865674466</v>
      </c>
      <c r="Q114" s="64">
        <f t="shared" si="72"/>
        <v>44103.98304184548</v>
      </c>
      <c r="R114" s="64">
        <f t="shared" si="72"/>
        <v>37178.582753115727</v>
      </c>
      <c r="S114" s="64">
        <f t="shared" si="72"/>
        <v>40672.684563176146</v>
      </c>
      <c r="T114" s="64">
        <f t="shared" si="72"/>
        <v>35715.564066640814</v>
      </c>
      <c r="U114" s="64">
        <f t="shared" si="72"/>
        <v>35319.748466392666</v>
      </c>
      <c r="V114" s="64">
        <f t="shared" si="72"/>
        <v>25432.065889691756</v>
      </c>
      <c r="W114" s="64">
        <f t="shared" si="72"/>
        <v>37674.200026299026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133318.78971958233</v>
      </c>
      <c r="C115" s="65">
        <f t="shared" ref="C115:W115" si="74">C83*1000000/C$8</f>
        <v>75461.363907738458</v>
      </c>
      <c r="D115" s="65">
        <f t="shared" si="74"/>
        <v>59476.043313375958</v>
      </c>
      <c r="E115" s="65">
        <f t="shared" si="74"/>
        <v>36333.03378497222</v>
      </c>
      <c r="F115" s="65">
        <f t="shared" si="74"/>
        <v>39115.596335693932</v>
      </c>
      <c r="G115" s="65">
        <f t="shared" si="74"/>
        <v>65327.389943234397</v>
      </c>
      <c r="H115" s="65">
        <f t="shared" si="74"/>
        <v>73083.648881058136</v>
      </c>
      <c r="I115" s="65">
        <f t="shared" si="74"/>
        <v>70516.591448555148</v>
      </c>
      <c r="J115" s="65">
        <f t="shared" si="74"/>
        <v>75573.305773674147</v>
      </c>
      <c r="K115" s="65">
        <f t="shared" si="74"/>
        <v>86137.053568738163</v>
      </c>
      <c r="L115" s="65">
        <f t="shared" si="74"/>
        <v>75723.469830251794</v>
      </c>
      <c r="M115" s="65">
        <f t="shared" si="74"/>
        <v>50547.587611455514</v>
      </c>
      <c r="N115" s="65">
        <f t="shared" si="74"/>
        <v>42116.651026198058</v>
      </c>
      <c r="O115" s="65">
        <f t="shared" si="74"/>
        <v>55715.875412340662</v>
      </c>
      <c r="P115" s="65">
        <f t="shared" si="74"/>
        <v>34460.472039439148</v>
      </c>
      <c r="Q115" s="65">
        <f t="shared" si="74"/>
        <v>35298.664775703102</v>
      </c>
      <c r="R115" s="65">
        <f t="shared" si="74"/>
        <v>29122.947205453114</v>
      </c>
      <c r="S115" s="65">
        <f t="shared" si="74"/>
        <v>33367.567150811577</v>
      </c>
      <c r="T115" s="65">
        <f t="shared" si="74"/>
        <v>29297.483170654035</v>
      </c>
      <c r="U115" s="65">
        <f t="shared" si="74"/>
        <v>29625.152193291306</v>
      </c>
      <c r="V115" s="65">
        <f t="shared" si="74"/>
        <v>21381.248239596192</v>
      </c>
      <c r="W115" s="65">
        <f t="shared" si="74"/>
        <v>31338.679002635108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1.171806112114651</v>
      </c>
      <c r="C116" s="65">
        <f t="shared" ref="C116:W116" si="76">C84*1000000/C$8</f>
        <v>1.8340099837516224</v>
      </c>
      <c r="D116" s="65">
        <f t="shared" si="76"/>
        <v>1.6084262122417525</v>
      </c>
      <c r="E116" s="65">
        <f t="shared" si="76"/>
        <v>0.60852622042847859</v>
      </c>
      <c r="F116" s="65">
        <f t="shared" si="76"/>
        <v>1.711350241888651</v>
      </c>
      <c r="G116" s="65">
        <f t="shared" si="76"/>
        <v>2.4838635545748229</v>
      </c>
      <c r="H116" s="65">
        <f t="shared" si="76"/>
        <v>2.8533317544661183</v>
      </c>
      <c r="I116" s="65">
        <f t="shared" si="76"/>
        <v>2.9480042490480121</v>
      </c>
      <c r="J116" s="65">
        <f t="shared" si="76"/>
        <v>3.0939054793300058</v>
      </c>
      <c r="K116" s="65">
        <f t="shared" si="76"/>
        <v>3.0892479591825608</v>
      </c>
      <c r="L116" s="65">
        <f t="shared" si="76"/>
        <v>3.376836757706601</v>
      </c>
      <c r="M116" s="65">
        <f t="shared" si="76"/>
        <v>3.5589677294493258</v>
      </c>
      <c r="N116" s="65">
        <f t="shared" si="76"/>
        <v>4.0942902785082769</v>
      </c>
      <c r="O116" s="65">
        <f t="shared" si="76"/>
        <v>5.0615785964823612</v>
      </c>
      <c r="P116" s="65">
        <f t="shared" si="76"/>
        <v>6.5885254353421985</v>
      </c>
      <c r="Q116" s="65">
        <f t="shared" si="76"/>
        <v>8.7875931391252138</v>
      </c>
      <c r="R116" s="65">
        <f t="shared" si="76"/>
        <v>11.140887557204188</v>
      </c>
      <c r="S116" s="65">
        <f t="shared" si="76"/>
        <v>13.211211480922351</v>
      </c>
      <c r="T116" s="65">
        <f t="shared" si="76"/>
        <v>14.879598375897464</v>
      </c>
      <c r="U116" s="65">
        <f t="shared" si="76"/>
        <v>16.222325449453827</v>
      </c>
      <c r="V116" s="65">
        <f t="shared" si="76"/>
        <v>17.241333011403928</v>
      </c>
      <c r="W116" s="65">
        <f t="shared" si="76"/>
        <v>18.137923759056196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1552.6534605380164</v>
      </c>
      <c r="C117" s="65">
        <f t="shared" ref="C117:W117" si="78">C85*1000000/C$8</f>
        <v>2178.8433062183044</v>
      </c>
      <c r="D117" s="65">
        <f t="shared" si="78"/>
        <v>2427.4042124059179</v>
      </c>
      <c r="E117" s="65">
        <f t="shared" si="78"/>
        <v>2116.0413299740503</v>
      </c>
      <c r="F117" s="65">
        <f t="shared" si="78"/>
        <v>2180.7404166601968</v>
      </c>
      <c r="G117" s="65">
        <f t="shared" si="78"/>
        <v>1950.068060034738</v>
      </c>
      <c r="H117" s="65">
        <f t="shared" si="78"/>
        <v>2263.7406162648167</v>
      </c>
      <c r="I117" s="65">
        <f t="shared" si="78"/>
        <v>2844.3221805189924</v>
      </c>
      <c r="J117" s="65">
        <f t="shared" si="78"/>
        <v>3005.4980514224053</v>
      </c>
      <c r="K117" s="65">
        <f t="shared" si="78"/>
        <v>3124.821593072757</v>
      </c>
      <c r="L117" s="65">
        <f t="shared" si="78"/>
        <v>3214.8826570832084</v>
      </c>
      <c r="M117" s="65">
        <f t="shared" si="78"/>
        <v>3208.8445368501921</v>
      </c>
      <c r="N117" s="65">
        <f t="shared" si="78"/>
        <v>3825.127251904581</v>
      </c>
      <c r="O117" s="65">
        <f t="shared" si="78"/>
        <v>4180.6285335396979</v>
      </c>
      <c r="P117" s="65">
        <f t="shared" si="78"/>
        <v>4288.7172394198751</v>
      </c>
      <c r="Q117" s="65">
        <f t="shared" si="78"/>
        <v>4358.3621009754434</v>
      </c>
      <c r="R117" s="65">
        <f t="shared" si="78"/>
        <v>3736.3508548651712</v>
      </c>
      <c r="S117" s="65">
        <f t="shared" si="78"/>
        <v>3535.0083263482543</v>
      </c>
      <c r="T117" s="65">
        <f t="shared" si="78"/>
        <v>3046.7678560852355</v>
      </c>
      <c r="U117" s="65">
        <f t="shared" si="78"/>
        <v>2943.7687467339442</v>
      </c>
      <c r="V117" s="65">
        <f t="shared" si="78"/>
        <v>1649.3844623812913</v>
      </c>
      <c r="W117" s="65">
        <f t="shared" si="78"/>
        <v>2640.917991715216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4623.2160169529025</v>
      </c>
      <c r="C118" s="67">
        <f t="shared" ref="C118:W118" si="80">C86*1000000/C$8</f>
        <v>5368.8937859414154</v>
      </c>
      <c r="D118" s="67">
        <f t="shared" si="80"/>
        <v>6837.8709763366905</v>
      </c>
      <c r="E118" s="67">
        <f t="shared" si="80"/>
        <v>6671.5385050927716</v>
      </c>
      <c r="F118" s="67">
        <f t="shared" si="80"/>
        <v>6202.5857149163057</v>
      </c>
      <c r="G118" s="67">
        <f t="shared" si="80"/>
        <v>5813.7527012365699</v>
      </c>
      <c r="H118" s="67">
        <f t="shared" si="80"/>
        <v>5492.9712576114853</v>
      </c>
      <c r="I118" s="67">
        <f t="shared" si="80"/>
        <v>4091.4238360895829</v>
      </c>
      <c r="J118" s="67">
        <f t="shared" si="80"/>
        <v>3496.5131387663646</v>
      </c>
      <c r="K118" s="67">
        <f t="shared" si="80"/>
        <v>3965.1392535157647</v>
      </c>
      <c r="L118" s="67">
        <f t="shared" si="80"/>
        <v>4392.182462716376</v>
      </c>
      <c r="M118" s="67">
        <f t="shared" si="80"/>
        <v>2777.7066757182324</v>
      </c>
      <c r="N118" s="67">
        <f t="shared" si="80"/>
        <v>3740.5447193349496</v>
      </c>
      <c r="O118" s="67">
        <f t="shared" si="80"/>
        <v>4252.1773759544139</v>
      </c>
      <c r="P118" s="67">
        <f t="shared" si="80"/>
        <v>4307.1770613801018</v>
      </c>
      <c r="Q118" s="67">
        <f t="shared" si="80"/>
        <v>4438.1685720278101</v>
      </c>
      <c r="R118" s="67">
        <f t="shared" si="80"/>
        <v>4308.1438052402345</v>
      </c>
      <c r="S118" s="67">
        <f t="shared" si="80"/>
        <v>3756.8978745353998</v>
      </c>
      <c r="T118" s="67">
        <f t="shared" si="80"/>
        <v>3356.4334415256494</v>
      </c>
      <c r="U118" s="67">
        <f t="shared" si="80"/>
        <v>2734.6052009179602</v>
      </c>
      <c r="V118" s="67">
        <f t="shared" si="80"/>
        <v>2384.1918547028704</v>
      </c>
      <c r="W118" s="67">
        <f t="shared" si="80"/>
        <v>3676.4651081896418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0.55003713965348544</v>
      </c>
      <c r="C121" s="86">
        <f t="shared" ref="C121:W121" si="84">IF(C107=0,"",C107/C100)</f>
        <v>0.58869567391883471</v>
      </c>
      <c r="D121" s="86">
        <f t="shared" si="84"/>
        <v>0.61583678007792519</v>
      </c>
      <c r="E121" s="86">
        <f t="shared" si="84"/>
        <v>0.62328839263955393</v>
      </c>
      <c r="F121" s="86">
        <f t="shared" si="84"/>
        <v>0.64789823544687652</v>
      </c>
      <c r="G121" s="86">
        <f t="shared" si="84"/>
        <v>0.61297596077116945</v>
      </c>
      <c r="H121" s="86">
        <f t="shared" si="84"/>
        <v>0.6186468186330315</v>
      </c>
      <c r="I121" s="86">
        <f t="shared" si="84"/>
        <v>0.63233273649795718</v>
      </c>
      <c r="J121" s="86">
        <f t="shared" si="84"/>
        <v>0.63694268581077318</v>
      </c>
      <c r="K121" s="86">
        <f t="shared" si="84"/>
        <v>0.65347667446237634</v>
      </c>
      <c r="L121" s="86">
        <f t="shared" si="84"/>
        <v>0.65856080929449146</v>
      </c>
      <c r="M121" s="86">
        <f t="shared" si="84"/>
        <v>0.69008040427190376</v>
      </c>
      <c r="N121" s="86">
        <f t="shared" si="84"/>
        <v>0.68613577920510416</v>
      </c>
      <c r="O121" s="86">
        <f t="shared" si="84"/>
        <v>0.68898973567422273</v>
      </c>
      <c r="P121" s="86">
        <f t="shared" si="84"/>
        <v>0.69707425748654617</v>
      </c>
      <c r="Q121" s="86">
        <f t="shared" si="84"/>
        <v>0.70802748937411242</v>
      </c>
      <c r="R121" s="86">
        <f t="shared" si="84"/>
        <v>0.72460754841250186</v>
      </c>
      <c r="S121" s="86">
        <f t="shared" si="84"/>
        <v>0.72976814335764661</v>
      </c>
      <c r="T121" s="86">
        <f t="shared" si="84"/>
        <v>0.74115593672279101</v>
      </c>
      <c r="U121" s="86">
        <f t="shared" si="84"/>
        <v>0.75018868942839168</v>
      </c>
      <c r="V121" s="86">
        <f t="shared" si="84"/>
        <v>0.77291842414282586</v>
      </c>
      <c r="W121" s="86">
        <f t="shared" si="84"/>
        <v>0.77019916552546741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0.53570198209595277</v>
      </c>
      <c r="C122" s="75">
        <f t="shared" ref="C122:W122" si="86">IF(C108=0,"",C108/C101)</f>
        <v>0.57514085678117</v>
      </c>
      <c r="D122" s="75">
        <f t="shared" si="86"/>
        <v>0.60461950439638223</v>
      </c>
      <c r="E122" s="75">
        <f t="shared" si="86"/>
        <v>0.60786900837926783</v>
      </c>
      <c r="F122" s="75">
        <f t="shared" si="86"/>
        <v>0.63696718892083248</v>
      </c>
      <c r="G122" s="75">
        <f t="shared" si="86"/>
        <v>0.59720580911985832</v>
      </c>
      <c r="H122" s="75">
        <f t="shared" si="86"/>
        <v>0.6034240871791291</v>
      </c>
      <c r="I122" s="75">
        <f t="shared" si="86"/>
        <v>0.61588782522095908</v>
      </c>
      <c r="J122" s="75">
        <f t="shared" si="86"/>
        <v>0.62042253986617202</v>
      </c>
      <c r="K122" s="75">
        <f t="shared" si="86"/>
        <v>0.63935902967240077</v>
      </c>
      <c r="L122" s="75">
        <f t="shared" si="86"/>
        <v>0.64612222820053355</v>
      </c>
      <c r="M122" s="75">
        <f t="shared" si="86"/>
        <v>0.67531585104651859</v>
      </c>
      <c r="N122" s="75">
        <f t="shared" si="86"/>
        <v>0.66788051658196812</v>
      </c>
      <c r="O122" s="75">
        <f t="shared" si="86"/>
        <v>0.67612662457490158</v>
      </c>
      <c r="P122" s="75">
        <f t="shared" si="86"/>
        <v>0.67897237775677388</v>
      </c>
      <c r="Q122" s="75">
        <f t="shared" si="86"/>
        <v>0.69113333403202992</v>
      </c>
      <c r="R122" s="75">
        <f t="shared" si="86"/>
        <v>0.71228960267203822</v>
      </c>
      <c r="S122" s="75">
        <f t="shared" si="86"/>
        <v>0.71431684384476446</v>
      </c>
      <c r="T122" s="75">
        <f t="shared" si="86"/>
        <v>0.72167067686355457</v>
      </c>
      <c r="U122" s="75">
        <f t="shared" si="86"/>
        <v>0.72300503628951518</v>
      </c>
      <c r="V122" s="75">
        <f t="shared" si="86"/>
        <v>0.74679001690875046</v>
      </c>
      <c r="W122" s="75">
        <f t="shared" si="86"/>
        <v>0.75281627078763413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1.7186085417436965</v>
      </c>
      <c r="C123" s="76">
        <f t="shared" ref="C123:W123" si="88">IF(C109=0,"",C109/C102)</f>
        <v>1.7930669708171427</v>
      </c>
      <c r="D123" s="76">
        <f t="shared" si="88"/>
        <v>1.8830860957406272</v>
      </c>
      <c r="E123" s="76">
        <f t="shared" si="88"/>
        <v>1.9667955954511345</v>
      </c>
      <c r="F123" s="76">
        <f t="shared" si="88"/>
        <v>2.053016159899383</v>
      </c>
      <c r="G123" s="76">
        <f t="shared" si="88"/>
        <v>2.1435612690827237</v>
      </c>
      <c r="H123" s="76">
        <f t="shared" si="88"/>
        <v>2.2467890952750285</v>
      </c>
      <c r="I123" s="76">
        <f t="shared" si="88"/>
        <v>2.3684104430386386</v>
      </c>
      <c r="J123" s="76">
        <f t="shared" si="88"/>
        <v>2.494586167653392</v>
      </c>
      <c r="K123" s="76">
        <f t="shared" si="88"/>
        <v>2.5297782658920238</v>
      </c>
      <c r="L123" s="76">
        <f t="shared" si="88"/>
        <v>2.5834245076835822</v>
      </c>
      <c r="M123" s="76">
        <f t="shared" si="88"/>
        <v>2.6528122315532188</v>
      </c>
      <c r="N123" s="76">
        <f t="shared" si="88"/>
        <v>2.7347121919454973</v>
      </c>
      <c r="O123" s="76">
        <f t="shared" si="88"/>
        <v>2.8149210372277675</v>
      </c>
      <c r="P123" s="76">
        <f t="shared" si="88"/>
        <v>2.901686031823357</v>
      </c>
      <c r="Q123" s="76">
        <f t="shared" si="88"/>
        <v>2.9979605334957586</v>
      </c>
      <c r="R123" s="76">
        <f t="shared" si="88"/>
        <v>3.0855799595308286</v>
      </c>
      <c r="S123" s="76">
        <f t="shared" si="88"/>
        <v>3.1898626367214264</v>
      </c>
      <c r="T123" s="76">
        <f t="shared" si="88"/>
        <v>3.275544496039962</v>
      </c>
      <c r="U123" s="76">
        <f t="shared" si="88"/>
        <v>3.3487802932692055</v>
      </c>
      <c r="V123" s="76">
        <f t="shared" si="88"/>
        <v>3.401032168205099</v>
      </c>
      <c r="W123" s="76">
        <f t="shared" si="88"/>
        <v>3.4832332778691124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0.61664621371554063</v>
      </c>
      <c r="C124" s="76">
        <f t="shared" ref="C124:W124" si="90">IF(C110=0,"",C110/C103)</f>
        <v>0.61273929950541639</v>
      </c>
      <c r="D124" s="76">
        <f t="shared" si="90"/>
        <v>0.61945882313921707</v>
      </c>
      <c r="E124" s="76">
        <f t="shared" si="90"/>
        <v>0.62729330146381157</v>
      </c>
      <c r="F124" s="76">
        <f t="shared" si="90"/>
        <v>0.63660028195296081</v>
      </c>
      <c r="G124" s="76">
        <f t="shared" si="90"/>
        <v>0.63194930513365621</v>
      </c>
      <c r="H124" s="76">
        <f t="shared" si="90"/>
        <v>0.63101654803181528</v>
      </c>
      <c r="I124" s="76">
        <f t="shared" si="90"/>
        <v>0.63189184173703006</v>
      </c>
      <c r="J124" s="76">
        <f t="shared" si="90"/>
        <v>0.63569453873717463</v>
      </c>
      <c r="K124" s="76">
        <f t="shared" si="90"/>
        <v>0.64030365424806757</v>
      </c>
      <c r="L124" s="76">
        <f t="shared" si="90"/>
        <v>0.64428152145231465</v>
      </c>
      <c r="M124" s="76">
        <f t="shared" si="90"/>
        <v>0.65019111491341453</v>
      </c>
      <c r="N124" s="76">
        <f t="shared" si="90"/>
        <v>0.65332584024974627</v>
      </c>
      <c r="O124" s="76">
        <f t="shared" si="90"/>
        <v>0.65568286883970772</v>
      </c>
      <c r="P124" s="76">
        <f t="shared" si="90"/>
        <v>0.66148099052736276</v>
      </c>
      <c r="Q124" s="76">
        <f t="shared" si="90"/>
        <v>0.66410250497029821</v>
      </c>
      <c r="R124" s="76">
        <f t="shared" si="90"/>
        <v>0.68293745771198788</v>
      </c>
      <c r="S124" s="76">
        <f t="shared" si="90"/>
        <v>0.69549323207965053</v>
      </c>
      <c r="T124" s="76">
        <f t="shared" si="90"/>
        <v>0.71283359156627812</v>
      </c>
      <c r="U124" s="76">
        <f t="shared" si="90"/>
        <v>0.72781561909480685</v>
      </c>
      <c r="V124" s="76">
        <f t="shared" si="90"/>
        <v>0.75319546454264463</v>
      </c>
      <c r="W124" s="76">
        <f t="shared" si="90"/>
        <v>0.75565026988835116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0.70240981861778684</v>
      </c>
      <c r="C125" s="56">
        <f t="shared" ref="C125:W125" si="92">IF(C111=0,"",C111/C104)</f>
        <v>0.68873279331808168</v>
      </c>
      <c r="D125" s="56">
        <f t="shared" si="92"/>
        <v>0.66920420532761671</v>
      </c>
      <c r="E125" s="56">
        <f t="shared" si="92"/>
        <v>0.67603119723849314</v>
      </c>
      <c r="F125" s="56">
        <f t="shared" si="92"/>
        <v>0.68789212709559666</v>
      </c>
      <c r="G125" s="56">
        <f t="shared" si="92"/>
        <v>0.69848899046554103</v>
      </c>
      <c r="H125" s="56">
        <f t="shared" si="92"/>
        <v>0.70478299126356547</v>
      </c>
      <c r="I125" s="56">
        <f t="shared" si="92"/>
        <v>0.73123750912282137</v>
      </c>
      <c r="J125" s="56">
        <f t="shared" si="92"/>
        <v>0.74390371159298474</v>
      </c>
      <c r="K125" s="56">
        <f t="shared" si="92"/>
        <v>0.73646076612575206</v>
      </c>
      <c r="L125" s="56">
        <f t="shared" si="92"/>
        <v>0.72728179670516935</v>
      </c>
      <c r="M125" s="56">
        <f t="shared" si="92"/>
        <v>0.76312708446898081</v>
      </c>
      <c r="N125" s="56">
        <f t="shared" si="92"/>
        <v>0.74054629859375465</v>
      </c>
      <c r="O125" s="56">
        <f t="shared" si="92"/>
        <v>0.72838796198020883</v>
      </c>
      <c r="P125" s="56">
        <f t="shared" si="92"/>
        <v>0.72633766290362467</v>
      </c>
      <c r="Q125" s="56">
        <f t="shared" si="92"/>
        <v>0.72168331662127461</v>
      </c>
      <c r="R125" s="56">
        <f t="shared" si="92"/>
        <v>0.72689791233113665</v>
      </c>
      <c r="S125" s="56">
        <f t="shared" si="92"/>
        <v>0.74420953273026169</v>
      </c>
      <c r="T125" s="56">
        <f t="shared" si="92"/>
        <v>0.75898326329478172</v>
      </c>
      <c r="U125" s="56">
        <f t="shared" si="92"/>
        <v>0.78122512574467795</v>
      </c>
      <c r="V125" s="56">
        <f t="shared" si="92"/>
        <v>0.78880469791654118</v>
      </c>
      <c r="W125" s="56">
        <f t="shared" si="92"/>
        <v>0.75726319867133252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977.83407619777483</v>
      </c>
      <c r="C129" s="82">
        <f t="shared" ref="C129:W129" si="94">IF(C99=0,0,C99/C$26)</f>
        <v>746.86549934581342</v>
      </c>
      <c r="D129" s="82">
        <f t="shared" si="94"/>
        <v>664.2921253205003</v>
      </c>
      <c r="E129" s="82">
        <f t="shared" si="94"/>
        <v>542.56220211978837</v>
      </c>
      <c r="F129" s="82">
        <f t="shared" si="94"/>
        <v>585.50939214001403</v>
      </c>
      <c r="G129" s="82">
        <f t="shared" si="94"/>
        <v>691.09004502606683</v>
      </c>
      <c r="H129" s="82">
        <f t="shared" si="94"/>
        <v>704.47347401392813</v>
      </c>
      <c r="I129" s="82">
        <f t="shared" si="94"/>
        <v>664.58148449659927</v>
      </c>
      <c r="J129" s="82">
        <f t="shared" si="94"/>
        <v>666.11388891045112</v>
      </c>
      <c r="K129" s="82">
        <f t="shared" si="94"/>
        <v>669.30947715311947</v>
      </c>
      <c r="L129" s="82">
        <f t="shared" si="94"/>
        <v>708.36526784135492</v>
      </c>
      <c r="M129" s="82">
        <f t="shared" si="94"/>
        <v>533.36758365052481</v>
      </c>
      <c r="N129" s="82">
        <f t="shared" si="94"/>
        <v>478.56937383182003</v>
      </c>
      <c r="O129" s="82">
        <f t="shared" si="94"/>
        <v>559.19188727360608</v>
      </c>
      <c r="P129" s="82">
        <f t="shared" si="94"/>
        <v>399.78836068450374</v>
      </c>
      <c r="Q129" s="82">
        <f t="shared" si="94"/>
        <v>415.52735951707916</v>
      </c>
      <c r="R129" s="82">
        <f t="shared" si="94"/>
        <v>413.12509823973789</v>
      </c>
      <c r="S129" s="82">
        <f t="shared" si="94"/>
        <v>444.39263568696913</v>
      </c>
      <c r="T129" s="82">
        <f t="shared" si="94"/>
        <v>403.37051286542146</v>
      </c>
      <c r="U129" s="82">
        <f t="shared" si="94"/>
        <v>366.25024593198674</v>
      </c>
      <c r="V129" s="82">
        <f t="shared" si="94"/>
        <v>326.11844402825312</v>
      </c>
      <c r="W129" s="82">
        <f t="shared" si="94"/>
        <v>409.68975437180029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907.64970364643682</v>
      </c>
      <c r="C130" s="64">
        <f t="shared" ref="C130:W130" si="96">IF(C100=0,0,C100/C$26)</f>
        <v>674.08982420835446</v>
      </c>
      <c r="D130" s="64">
        <f t="shared" si="96"/>
        <v>590.09294047279241</v>
      </c>
      <c r="E130" s="64">
        <f t="shared" si="96"/>
        <v>468.17526747788486</v>
      </c>
      <c r="F130" s="64">
        <f t="shared" si="96"/>
        <v>509.32695953891249</v>
      </c>
      <c r="G130" s="64">
        <f t="shared" si="96"/>
        <v>615.35028587127374</v>
      </c>
      <c r="H130" s="64">
        <f t="shared" si="96"/>
        <v>629.18582847045525</v>
      </c>
      <c r="I130" s="64">
        <f t="shared" si="96"/>
        <v>588.74873452139252</v>
      </c>
      <c r="J130" s="64">
        <f t="shared" si="96"/>
        <v>590.24563774287788</v>
      </c>
      <c r="K130" s="64">
        <f t="shared" si="96"/>
        <v>592.05524190059725</v>
      </c>
      <c r="L130" s="64">
        <f t="shared" si="96"/>
        <v>630.53209158396908</v>
      </c>
      <c r="M130" s="64">
        <f t="shared" si="96"/>
        <v>455.21936371656858</v>
      </c>
      <c r="N130" s="64">
        <f t="shared" si="96"/>
        <v>401.58473444727929</v>
      </c>
      <c r="O130" s="64">
        <f t="shared" si="96"/>
        <v>480.53247639865458</v>
      </c>
      <c r="P130" s="64">
        <f t="shared" si="96"/>
        <v>321.64252597483994</v>
      </c>
      <c r="Q130" s="64">
        <f t="shared" si="96"/>
        <v>334.83130528624719</v>
      </c>
      <c r="R130" s="64">
        <f t="shared" si="96"/>
        <v>333.1869762701362</v>
      </c>
      <c r="S130" s="64">
        <f t="shared" si="96"/>
        <v>362.52171909240184</v>
      </c>
      <c r="T130" s="64">
        <f t="shared" si="96"/>
        <v>323.12887401066752</v>
      </c>
      <c r="U130" s="64">
        <f t="shared" si="96"/>
        <v>287.99855566180298</v>
      </c>
      <c r="V130" s="64">
        <f t="shared" si="96"/>
        <v>249.40068999275329</v>
      </c>
      <c r="W130" s="64">
        <f t="shared" si="96"/>
        <v>331.12799517055373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820.75485658121534</v>
      </c>
      <c r="C131" s="65">
        <f t="shared" ref="C131:W131" si="98">IF(C101=0,0,C101/C$26)</f>
        <v>586.38193306757728</v>
      </c>
      <c r="D131" s="65">
        <f t="shared" si="98"/>
        <v>498.78289922574527</v>
      </c>
      <c r="E131" s="65">
        <f t="shared" si="98"/>
        <v>376.57497378392304</v>
      </c>
      <c r="F131" s="65">
        <f t="shared" si="98"/>
        <v>418.60714456161543</v>
      </c>
      <c r="G131" s="65">
        <f t="shared" si="98"/>
        <v>522.98318924438183</v>
      </c>
      <c r="H131" s="65">
        <f t="shared" si="98"/>
        <v>536.94845130567808</v>
      </c>
      <c r="I131" s="65">
        <f t="shared" si="98"/>
        <v>500.08280927253969</v>
      </c>
      <c r="J131" s="65">
        <f t="shared" si="98"/>
        <v>503.75594529802163</v>
      </c>
      <c r="K131" s="65">
        <f t="shared" si="98"/>
        <v>502.80703425359491</v>
      </c>
      <c r="L131" s="65">
        <f t="shared" si="98"/>
        <v>541.39577870656308</v>
      </c>
      <c r="M131" s="65">
        <f t="shared" si="98"/>
        <v>369.19174299922855</v>
      </c>
      <c r="N131" s="65">
        <f t="shared" si="98"/>
        <v>313.29020281483645</v>
      </c>
      <c r="O131" s="65">
        <f t="shared" si="98"/>
        <v>392.09945035835108</v>
      </c>
      <c r="P131" s="65">
        <f t="shared" si="98"/>
        <v>233.31538755140289</v>
      </c>
      <c r="Q131" s="65">
        <f t="shared" si="98"/>
        <v>246.45805359391568</v>
      </c>
      <c r="R131" s="65">
        <f t="shared" si="98"/>
        <v>246.61758906050929</v>
      </c>
      <c r="S131" s="65">
        <f t="shared" si="98"/>
        <v>277.66373579132357</v>
      </c>
      <c r="T131" s="65">
        <f t="shared" si="98"/>
        <v>241.06092201020587</v>
      </c>
      <c r="U131" s="65">
        <f t="shared" si="98"/>
        <v>208.83788819961421</v>
      </c>
      <c r="V131" s="65">
        <f t="shared" si="98"/>
        <v>179.21649656044067</v>
      </c>
      <c r="W131" s="65">
        <f t="shared" si="98"/>
        <v>252.60963507299084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2.3318194503204013</v>
      </c>
      <c r="C132" s="65">
        <f t="shared" ref="C132:W132" si="100">IF(C102=0,0,C102/C$26)</f>
        <v>2.3209310977131699</v>
      </c>
      <c r="D132" s="65">
        <f t="shared" si="100"/>
        <v>2.4259641854649354</v>
      </c>
      <c r="E132" s="65">
        <f t="shared" si="100"/>
        <v>2.4431278672893177</v>
      </c>
      <c r="F132" s="65">
        <f t="shared" si="100"/>
        <v>2.3534852736255454</v>
      </c>
      <c r="G132" s="65">
        <f t="shared" si="100"/>
        <v>2.3269397285040938</v>
      </c>
      <c r="H132" s="65">
        <f t="shared" si="100"/>
        <v>2.3392633695516949</v>
      </c>
      <c r="I132" s="65">
        <f t="shared" si="100"/>
        <v>2.4054486028184643</v>
      </c>
      <c r="J132" s="65">
        <f t="shared" si="100"/>
        <v>2.2317057669013911</v>
      </c>
      <c r="K132" s="65">
        <f t="shared" si="100"/>
        <v>2.2890555509549695</v>
      </c>
      <c r="L132" s="65">
        <f t="shared" si="100"/>
        <v>2.3806127251767393</v>
      </c>
      <c r="M132" s="65">
        <f t="shared" si="100"/>
        <v>2.2718837984007472</v>
      </c>
      <c r="N132" s="65">
        <f t="shared" si="100"/>
        <v>2.4755846773059558</v>
      </c>
      <c r="O132" s="65">
        <f t="shared" si="100"/>
        <v>2.3479692080183172</v>
      </c>
      <c r="P132" s="65">
        <f t="shared" si="100"/>
        <v>2.1317840594244082</v>
      </c>
      <c r="Q132" s="65">
        <f t="shared" si="100"/>
        <v>2.4581668005774469</v>
      </c>
      <c r="R132" s="65">
        <f t="shared" si="100"/>
        <v>2.0437669815418742</v>
      </c>
      <c r="S132" s="65">
        <f t="shared" si="100"/>
        <v>2.1402990731375859</v>
      </c>
      <c r="T132" s="65">
        <f t="shared" si="100"/>
        <v>2.0737857689637611</v>
      </c>
      <c r="U132" s="65">
        <f t="shared" si="100"/>
        <v>2.1249905395564825</v>
      </c>
      <c r="V132" s="65">
        <f t="shared" si="100"/>
        <v>1.8652083943375768</v>
      </c>
      <c r="W132" s="65">
        <f t="shared" si="100"/>
        <v>2.0070219800919116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44.824869508189138</v>
      </c>
      <c r="C133" s="65">
        <f t="shared" ref="C133:W133" si="102">IF(C103=0,0,C103/C$26)</f>
        <v>44.593665425143861</v>
      </c>
      <c r="D133" s="65">
        <f t="shared" si="102"/>
        <v>44.684157778738438</v>
      </c>
      <c r="E133" s="65">
        <f t="shared" si="102"/>
        <v>44.692217517408572</v>
      </c>
      <c r="F133" s="65">
        <f t="shared" si="102"/>
        <v>44.1634255666428</v>
      </c>
      <c r="G133" s="65">
        <f t="shared" si="102"/>
        <v>45.291199557239437</v>
      </c>
      <c r="H133" s="65">
        <f t="shared" si="102"/>
        <v>45.797395270411876</v>
      </c>
      <c r="I133" s="65">
        <f t="shared" si="102"/>
        <v>45.133333049343129</v>
      </c>
      <c r="J133" s="65">
        <f t="shared" si="102"/>
        <v>44.690412950046053</v>
      </c>
      <c r="K133" s="65">
        <f t="shared" si="102"/>
        <v>45.890872011165023</v>
      </c>
      <c r="L133" s="65">
        <f t="shared" si="102"/>
        <v>45.904632046176758</v>
      </c>
      <c r="M133" s="65">
        <f t="shared" si="102"/>
        <v>45.390552263219881</v>
      </c>
      <c r="N133" s="65">
        <f t="shared" si="102"/>
        <v>46.109399120378214</v>
      </c>
      <c r="O133" s="65">
        <f t="shared" si="102"/>
        <v>45.933521970135033</v>
      </c>
      <c r="P133" s="65">
        <f t="shared" si="102"/>
        <v>46.235470355556899</v>
      </c>
      <c r="Q133" s="65">
        <f t="shared" si="102"/>
        <v>45.823916395672377</v>
      </c>
      <c r="R133" s="65">
        <f t="shared" si="102"/>
        <v>45.064361263255634</v>
      </c>
      <c r="S133" s="65">
        <f t="shared" si="102"/>
        <v>44.536031582058001</v>
      </c>
      <c r="T133" s="65">
        <f t="shared" si="102"/>
        <v>43.006293890877132</v>
      </c>
      <c r="U133" s="65">
        <f t="shared" si="102"/>
        <v>41.863684583492599</v>
      </c>
      <c r="V133" s="65">
        <f t="shared" si="102"/>
        <v>36.638595896183439</v>
      </c>
      <c r="W133" s="65">
        <f t="shared" si="102"/>
        <v>39.855613466490738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39.738158106711971</v>
      </c>
      <c r="C134" s="67">
        <f t="shared" ref="C134:W134" si="104">IF(C104=0,0,C104/C$26)</f>
        <v>40.793294617920075</v>
      </c>
      <c r="D134" s="67">
        <f t="shared" si="104"/>
        <v>44.199919282843837</v>
      </c>
      <c r="E134" s="67">
        <f t="shared" si="104"/>
        <v>44.464948309263882</v>
      </c>
      <c r="F134" s="67">
        <f t="shared" si="104"/>
        <v>44.202904137028789</v>
      </c>
      <c r="G134" s="67">
        <f t="shared" si="104"/>
        <v>44.748957341148454</v>
      </c>
      <c r="H134" s="67">
        <f t="shared" si="104"/>
        <v>44.100718524813495</v>
      </c>
      <c r="I134" s="67">
        <f t="shared" si="104"/>
        <v>41.127143596691305</v>
      </c>
      <c r="J134" s="67">
        <f t="shared" si="104"/>
        <v>39.567573727908915</v>
      </c>
      <c r="K134" s="67">
        <f t="shared" si="104"/>
        <v>41.068280084882197</v>
      </c>
      <c r="L134" s="67">
        <f t="shared" si="104"/>
        <v>40.851068106052601</v>
      </c>
      <c r="M134" s="67">
        <f t="shared" si="104"/>
        <v>38.365184655719368</v>
      </c>
      <c r="N134" s="67">
        <f t="shared" si="104"/>
        <v>39.709547834758695</v>
      </c>
      <c r="O134" s="67">
        <f t="shared" si="104"/>
        <v>40.151534862150221</v>
      </c>
      <c r="P134" s="67">
        <f t="shared" si="104"/>
        <v>39.959884008455745</v>
      </c>
      <c r="Q134" s="67">
        <f t="shared" si="104"/>
        <v>40.091168496081764</v>
      </c>
      <c r="R134" s="67">
        <f t="shared" si="104"/>
        <v>39.461258964829447</v>
      </c>
      <c r="S134" s="67">
        <f t="shared" si="104"/>
        <v>38.18165264588275</v>
      </c>
      <c r="T134" s="67">
        <f t="shared" si="104"/>
        <v>36.987872340620733</v>
      </c>
      <c r="U134" s="67">
        <f t="shared" si="104"/>
        <v>35.171992339139699</v>
      </c>
      <c r="V134" s="67">
        <f t="shared" si="104"/>
        <v>31.680389141791625</v>
      </c>
      <c r="W134" s="67">
        <f t="shared" si="104"/>
        <v>36.655724650980225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70.184372551337816</v>
      </c>
      <c r="C135" s="68">
        <f t="shared" ref="C135:W135" si="106">IF(C105=0,0,C105/C$26)</f>
        <v>72.775675137459103</v>
      </c>
      <c r="D135" s="68">
        <f t="shared" si="106"/>
        <v>74.199184847707727</v>
      </c>
      <c r="E135" s="68">
        <f t="shared" si="106"/>
        <v>74.386934641903551</v>
      </c>
      <c r="F135" s="68">
        <f t="shared" si="106"/>
        <v>76.182432601101581</v>
      </c>
      <c r="G135" s="68">
        <f t="shared" si="106"/>
        <v>75.739759154793077</v>
      </c>
      <c r="H135" s="68">
        <f t="shared" si="106"/>
        <v>75.287645543472976</v>
      </c>
      <c r="I135" s="68">
        <f t="shared" si="106"/>
        <v>75.832749975206795</v>
      </c>
      <c r="J135" s="68">
        <f t="shared" si="106"/>
        <v>75.868251167573106</v>
      </c>
      <c r="K135" s="68">
        <f t="shared" si="106"/>
        <v>77.254235252522307</v>
      </c>
      <c r="L135" s="68">
        <f t="shared" si="106"/>
        <v>77.83317625738573</v>
      </c>
      <c r="M135" s="68">
        <f t="shared" si="106"/>
        <v>78.14821993395627</v>
      </c>
      <c r="N135" s="68">
        <f t="shared" si="106"/>
        <v>76.984639384540827</v>
      </c>
      <c r="O135" s="68">
        <f t="shared" si="106"/>
        <v>78.659410874951462</v>
      </c>
      <c r="P135" s="68">
        <f t="shared" si="106"/>
        <v>78.145834709663859</v>
      </c>
      <c r="Q135" s="68">
        <f t="shared" si="106"/>
        <v>80.696054230831876</v>
      </c>
      <c r="R135" s="68">
        <f t="shared" si="106"/>
        <v>79.938121969601667</v>
      </c>
      <c r="S135" s="68">
        <f t="shared" si="106"/>
        <v>81.870916594567291</v>
      </c>
      <c r="T135" s="68">
        <f t="shared" si="106"/>
        <v>80.241638854753987</v>
      </c>
      <c r="U135" s="68">
        <f t="shared" si="106"/>
        <v>78.251690270183786</v>
      </c>
      <c r="V135" s="68">
        <f t="shared" si="106"/>
        <v>76.717754035499766</v>
      </c>
      <c r="W135" s="68">
        <f t="shared" si="106"/>
        <v>78.56175920124663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499.24104680101982</v>
      </c>
      <c r="C137" s="85">
        <f t="shared" ref="C137:W137" si="108">IF(C107=0,0,C107/C$26)</f>
        <v>396.83376334416602</v>
      </c>
      <c r="D137" s="85">
        <f t="shared" si="108"/>
        <v>363.40093640747926</v>
      </c>
      <c r="E137" s="85">
        <f t="shared" si="108"/>
        <v>291.80820993988408</v>
      </c>
      <c r="F137" s="85">
        <f t="shared" si="108"/>
        <v>329.99203835078407</v>
      </c>
      <c r="G137" s="85">
        <f t="shared" si="108"/>
        <v>377.19493269275785</v>
      </c>
      <c r="H137" s="85">
        <f t="shared" si="108"/>
        <v>389.24381111223539</v>
      </c>
      <c r="I137" s="85">
        <f t="shared" si="108"/>
        <v>372.28509840962147</v>
      </c>
      <c r="J137" s="85">
        <f t="shared" si="108"/>
        <v>375.95264179204133</v>
      </c>
      <c r="K137" s="85">
        <f t="shared" si="108"/>
        <v>386.89429057522005</v>
      </c>
      <c r="L137" s="85">
        <f t="shared" si="108"/>
        <v>415.24372451968708</v>
      </c>
      <c r="M137" s="85">
        <f t="shared" si="108"/>
        <v>314.13796254592847</v>
      </c>
      <c r="N137" s="85">
        <f t="shared" si="108"/>
        <v>275.54165468685881</v>
      </c>
      <c r="O137" s="85">
        <f t="shared" si="108"/>
        <v>331.08194389678869</v>
      </c>
      <c r="P137" s="85">
        <f t="shared" si="108"/>
        <v>224.20872497000872</v>
      </c>
      <c r="Q137" s="85">
        <f t="shared" si="108"/>
        <v>237.06976844567856</v>
      </c>
      <c r="R137" s="85">
        <f t="shared" si="108"/>
        <v>241.42979803807785</v>
      </c>
      <c r="S137" s="85">
        <f t="shared" si="108"/>
        <v>264.55680186888441</v>
      </c>
      <c r="T137" s="85">
        <f t="shared" si="108"/>
        <v>239.48888329955702</v>
      </c>
      <c r="U137" s="85">
        <f t="shared" si="108"/>
        <v>216.0532590291977</v>
      </c>
      <c r="V137" s="85">
        <f t="shared" si="108"/>
        <v>192.76638828933233</v>
      </c>
      <c r="W137" s="85">
        <f t="shared" si="108"/>
        <v>255.03450556248148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439.68000348543654</v>
      </c>
      <c r="C138" s="65">
        <f t="shared" ref="C138:W138" si="110">IF(C108=0,0,C108/C$26)</f>
        <v>337.25220738548506</v>
      </c>
      <c r="D138" s="65">
        <f t="shared" si="110"/>
        <v>301.57386933126077</v>
      </c>
      <c r="E138" s="65">
        <f t="shared" si="110"/>
        <v>228.9082558944821</v>
      </c>
      <c r="F138" s="65">
        <f t="shared" si="110"/>
        <v>266.63901613358871</v>
      </c>
      <c r="G138" s="65">
        <f t="shared" si="110"/>
        <v>312.328598688775</v>
      </c>
      <c r="H138" s="65">
        <f t="shared" si="110"/>
        <v>324.00762909137586</v>
      </c>
      <c r="I138" s="65">
        <f t="shared" si="110"/>
        <v>307.99491383325216</v>
      </c>
      <c r="J138" s="65">
        <f t="shared" si="110"/>
        <v>312.54154305448299</v>
      </c>
      <c r="K138" s="65">
        <f t="shared" si="110"/>
        <v>321.47421753283601</v>
      </c>
      <c r="L138" s="65">
        <f t="shared" si="110"/>
        <v>349.80784687624748</v>
      </c>
      <c r="M138" s="65">
        <f t="shared" si="110"/>
        <v>249.32103612287162</v>
      </c>
      <c r="N138" s="65">
        <f t="shared" si="110"/>
        <v>209.2404224960425</v>
      </c>
      <c r="O138" s="65">
        <f t="shared" si="110"/>
        <v>265.1088778684661</v>
      </c>
      <c r="P138" s="65">
        <f t="shared" si="110"/>
        <v>158.41470345301923</v>
      </c>
      <c r="Q138" s="65">
        <f t="shared" si="110"/>
        <v>170.33537627940765</v>
      </c>
      <c r="R138" s="65">
        <f t="shared" si="110"/>
        <v>175.66314452384617</v>
      </c>
      <c r="S138" s="65">
        <f t="shared" si="110"/>
        <v>198.3398834006048</v>
      </c>
      <c r="T138" s="65">
        <f t="shared" si="110"/>
        <v>173.9665987524578</v>
      </c>
      <c r="U138" s="65">
        <f t="shared" si="110"/>
        <v>150.99084493638779</v>
      </c>
      <c r="V138" s="65">
        <f t="shared" si="110"/>
        <v>133.83709049669852</v>
      </c>
      <c r="W138" s="65">
        <f t="shared" si="110"/>
        <v>190.16864344067415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4.0074848251247328</v>
      </c>
      <c r="C139" s="65">
        <f t="shared" ref="C139:W139" si="112">IF(C109=0,0,C109/C$26)</f>
        <v>4.1615848928518595</v>
      </c>
      <c r="D139" s="65">
        <f t="shared" si="112"/>
        <v>4.5682994264137555</v>
      </c>
      <c r="E139" s="65">
        <f t="shared" si="112"/>
        <v>4.8051331285085537</v>
      </c>
      <c r="F139" s="65">
        <f t="shared" si="112"/>
        <v>4.8317432988384654</v>
      </c>
      <c r="G139" s="65">
        <f t="shared" si="112"/>
        <v>4.9879378775112428</v>
      </c>
      <c r="H139" s="65">
        <f t="shared" si="112"/>
        <v>5.2558314296850668</v>
      </c>
      <c r="I139" s="65">
        <f t="shared" si="112"/>
        <v>5.6970895911079529</v>
      </c>
      <c r="J139" s="65">
        <f t="shared" si="112"/>
        <v>5.5671823363845157</v>
      </c>
      <c r="K139" s="65">
        <f t="shared" si="112"/>
        <v>5.7908029822253742</v>
      </c>
      <c r="L139" s="65">
        <f t="shared" si="112"/>
        <v>6.1501332575249883</v>
      </c>
      <c r="M139" s="65">
        <f t="shared" si="112"/>
        <v>6.0268811290650888</v>
      </c>
      <c r="N139" s="65">
        <f t="shared" si="112"/>
        <v>6.7700115992220571</v>
      </c>
      <c r="O139" s="65">
        <f t="shared" si="112"/>
        <v>6.609347918413782</v>
      </c>
      <c r="P139" s="65">
        <f t="shared" si="112"/>
        <v>6.1857680280954987</v>
      </c>
      <c r="Q139" s="65">
        <f t="shared" si="112"/>
        <v>7.3694870528807241</v>
      </c>
      <c r="R139" s="65">
        <f t="shared" si="112"/>
        <v>6.3062064401964193</v>
      </c>
      <c r="S139" s="65">
        <f t="shared" si="112"/>
        <v>6.8272600448110854</v>
      </c>
      <c r="T139" s="65">
        <f t="shared" si="112"/>
        <v>6.7927775614952477</v>
      </c>
      <c r="U139" s="65">
        <f t="shared" si="112"/>
        <v>7.1161264422502448</v>
      </c>
      <c r="V139" s="65">
        <f t="shared" si="112"/>
        <v>6.34363374954828</v>
      </c>
      <c r="W139" s="65">
        <f t="shared" si="112"/>
        <v>6.9909257504709057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27.641086062518017</v>
      </c>
      <c r="C140" s="65">
        <f t="shared" ref="C140:W140" si="114">IF(C110=0,0,C110/C$26)</f>
        <v>27.324291314981551</v>
      </c>
      <c r="D140" s="65">
        <f t="shared" si="114"/>
        <v>27.679995790584403</v>
      </c>
      <c r="E140" s="65">
        <f t="shared" si="114"/>
        <v>28.035128676234017</v>
      </c>
      <c r="F140" s="65">
        <f t="shared" si="114"/>
        <v>28.114449167733405</v>
      </c>
      <c r="G140" s="65">
        <f t="shared" si="114"/>
        <v>28.621742088867219</v>
      </c>
      <c r="H140" s="65">
        <f t="shared" si="114"/>
        <v>28.898914272383891</v>
      </c>
      <c r="I140" s="65">
        <f t="shared" si="114"/>
        <v>28.519384944280198</v>
      </c>
      <c r="J140" s="65">
        <f t="shared" si="114"/>
        <v>28.409451446253382</v>
      </c>
      <c r="K140" s="65">
        <f t="shared" si="114"/>
        <v>29.384093045379327</v>
      </c>
      <c r="L140" s="65">
        <f t="shared" si="114"/>
        <v>29.575506176419445</v>
      </c>
      <c r="M140" s="65">
        <f t="shared" si="114"/>
        <v>29.512533782558542</v>
      </c>
      <c r="N140" s="65">
        <f t="shared" si="114"/>
        <v>30.124461923732007</v>
      </c>
      <c r="O140" s="65">
        <f t="shared" si="114"/>
        <v>30.117823461289884</v>
      </c>
      <c r="P140" s="65">
        <f t="shared" si="114"/>
        <v>30.583884728292293</v>
      </c>
      <c r="Q140" s="65">
        <f t="shared" si="114"/>
        <v>30.431777665915543</v>
      </c>
      <c r="R140" s="65">
        <f t="shared" si="114"/>
        <v>30.776140314542392</v>
      </c>
      <c r="S140" s="65">
        <f t="shared" si="114"/>
        <v>30.974508549006909</v>
      </c>
      <c r="T140" s="65">
        <f t="shared" si="114"/>
        <v>30.656330934188833</v>
      </c>
      <c r="U140" s="65">
        <f t="shared" si="114"/>
        <v>30.469043512724387</v>
      </c>
      <c r="V140" s="65">
        <f t="shared" si="114"/>
        <v>27.596024256216118</v>
      </c>
      <c r="W140" s="65">
        <f t="shared" si="114"/>
        <v>30.116905072519529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27.912472427940489</v>
      </c>
      <c r="C141" s="68">
        <f t="shared" ref="C141:W141" si="116">IF(C111=0,0,C111/C$26)</f>
        <v>28.095679750847562</v>
      </c>
      <c r="D141" s="68">
        <f t="shared" si="116"/>
        <v>29.578771859220311</v>
      </c>
      <c r="E141" s="68">
        <f t="shared" si="116"/>
        <v>30.05969224065937</v>
      </c>
      <c r="F141" s="68">
        <f t="shared" si="116"/>
        <v>30.406829750623483</v>
      </c>
      <c r="G141" s="68">
        <f t="shared" si="116"/>
        <v>31.256654037604349</v>
      </c>
      <c r="H141" s="68">
        <f t="shared" si="116"/>
        <v>31.081436318790587</v>
      </c>
      <c r="I141" s="68">
        <f t="shared" si="116"/>
        <v>30.07371004098114</v>
      </c>
      <c r="J141" s="68">
        <f t="shared" si="116"/>
        <v>29.434464954920518</v>
      </c>
      <c r="K141" s="68">
        <f t="shared" si="116"/>
        <v>30.245177014779312</v>
      </c>
      <c r="L141" s="68">
        <f t="shared" si="116"/>
        <v>29.710238209495174</v>
      </c>
      <c r="M141" s="68">
        <f t="shared" si="116"/>
        <v>29.277511511433204</v>
      </c>
      <c r="N141" s="68">
        <f t="shared" si="116"/>
        <v>29.406758667862196</v>
      </c>
      <c r="O141" s="68">
        <f t="shared" si="116"/>
        <v>29.245894648618904</v>
      </c>
      <c r="P141" s="68">
        <f t="shared" si="116"/>
        <v>29.024368760601668</v>
      </c>
      <c r="Q141" s="68">
        <f t="shared" si="116"/>
        <v>28.933127447474643</v>
      </c>
      <c r="R141" s="68">
        <f t="shared" si="116"/>
        <v>28.684306759492873</v>
      </c>
      <c r="S141" s="68">
        <f t="shared" si="116"/>
        <v>28.415149874461562</v>
      </c>
      <c r="T141" s="68">
        <f t="shared" si="116"/>
        <v>28.073176051415125</v>
      </c>
      <c r="U141" s="68">
        <f t="shared" si="116"/>
        <v>27.477244137835264</v>
      </c>
      <c r="V141" s="68">
        <f t="shared" si="116"/>
        <v>24.989639786869414</v>
      </c>
      <c r="W141" s="68">
        <f t="shared" si="116"/>
        <v>27.758031298816899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154.9953677813171</v>
      </c>
      <c r="C143" s="82">
        <f t="shared" ref="C143:W143" si="118">IF(C113=0,0,C113/C$26)</f>
        <v>92.234372233202166</v>
      </c>
      <c r="D143" s="82">
        <f t="shared" si="118"/>
        <v>76.381029920367581</v>
      </c>
      <c r="E143" s="82">
        <f t="shared" si="118"/>
        <v>50.134691273621641</v>
      </c>
      <c r="F143" s="82">
        <f t="shared" si="118"/>
        <v>52.778482019458124</v>
      </c>
      <c r="G143" s="82">
        <f t="shared" si="118"/>
        <v>81.215216186733642</v>
      </c>
      <c r="H143" s="82">
        <f t="shared" si="118"/>
        <v>89.825793429654325</v>
      </c>
      <c r="I143" s="82">
        <f t="shared" si="118"/>
        <v>86.061428299347526</v>
      </c>
      <c r="J143" s="82">
        <f t="shared" si="118"/>
        <v>91.19823429926916</v>
      </c>
      <c r="K143" s="82">
        <f t="shared" si="118"/>
        <v>103.58900407031766</v>
      </c>
      <c r="L143" s="82">
        <f t="shared" si="118"/>
        <v>92.593235318676776</v>
      </c>
      <c r="M143" s="82">
        <f t="shared" si="118"/>
        <v>62.819664213059312</v>
      </c>
      <c r="N143" s="82">
        <f t="shared" si="118"/>
        <v>55.207130319684552</v>
      </c>
      <c r="O143" s="82">
        <f t="shared" si="118"/>
        <v>71.281936556034722</v>
      </c>
      <c r="P143" s="82">
        <f t="shared" si="118"/>
        <v>47.847727628527188</v>
      </c>
      <c r="Q143" s="82">
        <f t="shared" si="118"/>
        <v>49.004425602050532</v>
      </c>
      <c r="R143" s="82">
        <f t="shared" si="118"/>
        <v>41.3095363923508</v>
      </c>
      <c r="S143" s="82">
        <f t="shared" si="118"/>
        <v>45.191871736862389</v>
      </c>
      <c r="T143" s="82">
        <f t="shared" si="118"/>
        <v>39.683960074045352</v>
      </c>
      <c r="U143" s="82">
        <f t="shared" si="118"/>
        <v>39.244164962658523</v>
      </c>
      <c r="V143" s="82">
        <f t="shared" si="118"/>
        <v>28.257850988546394</v>
      </c>
      <c r="W143" s="82">
        <f t="shared" si="118"/>
        <v>41.860222251443354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154.9953677813171</v>
      </c>
      <c r="C144" s="64">
        <f t="shared" ref="C144:W144" si="120">IF(C114=0,0,C114/C$26)</f>
        <v>92.234372233202166</v>
      </c>
      <c r="D144" s="64">
        <f t="shared" si="120"/>
        <v>76.381029920367581</v>
      </c>
      <c r="E144" s="64">
        <f t="shared" si="120"/>
        <v>50.134691273621641</v>
      </c>
      <c r="F144" s="64">
        <f t="shared" si="120"/>
        <v>52.778482019458124</v>
      </c>
      <c r="G144" s="64">
        <f t="shared" si="120"/>
        <v>81.215216186733642</v>
      </c>
      <c r="H144" s="64">
        <f t="shared" si="120"/>
        <v>89.825793429654325</v>
      </c>
      <c r="I144" s="64">
        <f t="shared" si="120"/>
        <v>86.061428299347526</v>
      </c>
      <c r="J144" s="64">
        <f t="shared" si="120"/>
        <v>91.19823429926916</v>
      </c>
      <c r="K144" s="64">
        <f t="shared" si="120"/>
        <v>103.58900407031766</v>
      </c>
      <c r="L144" s="64">
        <f t="shared" si="120"/>
        <v>92.593235318676776</v>
      </c>
      <c r="M144" s="64">
        <f t="shared" si="120"/>
        <v>62.819664213059312</v>
      </c>
      <c r="N144" s="64">
        <f t="shared" si="120"/>
        <v>55.207130319684552</v>
      </c>
      <c r="O144" s="64">
        <f t="shared" si="120"/>
        <v>71.281936556034722</v>
      </c>
      <c r="P144" s="64">
        <f t="shared" si="120"/>
        <v>47.847727628527188</v>
      </c>
      <c r="Q144" s="64">
        <f t="shared" si="120"/>
        <v>49.004425602050532</v>
      </c>
      <c r="R144" s="64">
        <f t="shared" si="120"/>
        <v>41.3095363923508</v>
      </c>
      <c r="S144" s="64">
        <f t="shared" si="120"/>
        <v>45.191871736862389</v>
      </c>
      <c r="T144" s="64">
        <f t="shared" si="120"/>
        <v>39.683960074045352</v>
      </c>
      <c r="U144" s="64">
        <f t="shared" si="120"/>
        <v>39.244164962658523</v>
      </c>
      <c r="V144" s="64">
        <f t="shared" si="120"/>
        <v>28.257850988546394</v>
      </c>
      <c r="W144" s="64">
        <f t="shared" si="120"/>
        <v>41.860222251443354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148.13198857731373</v>
      </c>
      <c r="C145" s="65">
        <f t="shared" ref="C145:W145" si="122">IF(C115=0,0,C115/C$26)</f>
        <v>83.845959897487191</v>
      </c>
      <c r="D145" s="65">
        <f t="shared" si="122"/>
        <v>66.084492570417737</v>
      </c>
      <c r="E145" s="65">
        <f t="shared" si="122"/>
        <v>40.370037538858021</v>
      </c>
      <c r="F145" s="65">
        <f t="shared" si="122"/>
        <v>43.461773706326582</v>
      </c>
      <c r="G145" s="65">
        <f t="shared" si="122"/>
        <v>72.585988825816003</v>
      </c>
      <c r="H145" s="65">
        <f t="shared" si="122"/>
        <v>81.204054312286814</v>
      </c>
      <c r="I145" s="65">
        <f t="shared" si="122"/>
        <v>78.351768276172379</v>
      </c>
      <c r="J145" s="65">
        <f t="shared" si="122"/>
        <v>83.970339748526825</v>
      </c>
      <c r="K145" s="65">
        <f t="shared" si="122"/>
        <v>95.707837298597966</v>
      </c>
      <c r="L145" s="65">
        <f t="shared" si="122"/>
        <v>84.137188700279779</v>
      </c>
      <c r="M145" s="65">
        <f t="shared" si="122"/>
        <v>56.163986234950563</v>
      </c>
      <c r="N145" s="65">
        <f t="shared" si="122"/>
        <v>46.796278917997846</v>
      </c>
      <c r="O145" s="65">
        <f t="shared" si="122"/>
        <v>61.906528235934069</v>
      </c>
      <c r="P145" s="65">
        <f t="shared" si="122"/>
        <v>38.289413377154609</v>
      </c>
      <c r="Q145" s="65">
        <f t="shared" si="122"/>
        <v>39.220738639670117</v>
      </c>
      <c r="R145" s="65">
        <f t="shared" si="122"/>
        <v>32.358830228281235</v>
      </c>
      <c r="S145" s="65">
        <f t="shared" si="122"/>
        <v>37.07507461201287</v>
      </c>
      <c r="T145" s="65">
        <f t="shared" si="122"/>
        <v>32.552759078504486</v>
      </c>
      <c r="U145" s="65">
        <f t="shared" si="122"/>
        <v>32.916835770323679</v>
      </c>
      <c r="V145" s="65">
        <f t="shared" si="122"/>
        <v>23.756942488440213</v>
      </c>
      <c r="W145" s="65">
        <f t="shared" si="122"/>
        <v>34.820754447372337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1.3020067912385012E-3</v>
      </c>
      <c r="C146" s="65">
        <f t="shared" ref="C146:W146" si="124">IF(C116=0,0,C116/C$26)</f>
        <v>2.0377888708351362E-3</v>
      </c>
      <c r="D146" s="65">
        <f t="shared" si="124"/>
        <v>1.7871402358241694E-3</v>
      </c>
      <c r="E146" s="65">
        <f t="shared" si="124"/>
        <v>6.7614024492053176E-4</v>
      </c>
      <c r="F146" s="65">
        <f t="shared" si="124"/>
        <v>1.9015002687651677E-3</v>
      </c>
      <c r="G146" s="65">
        <f t="shared" si="124"/>
        <v>2.7598483939720252E-3</v>
      </c>
      <c r="H146" s="65">
        <f t="shared" si="124"/>
        <v>3.1703686160734646E-3</v>
      </c>
      <c r="I146" s="65">
        <f t="shared" si="124"/>
        <v>3.2755602767200135E-3</v>
      </c>
      <c r="J146" s="65">
        <f t="shared" si="124"/>
        <v>3.4376727548111174E-3</v>
      </c>
      <c r="K146" s="65">
        <f t="shared" si="124"/>
        <v>3.4324977324250677E-3</v>
      </c>
      <c r="L146" s="65">
        <f t="shared" si="124"/>
        <v>3.7520408418962236E-3</v>
      </c>
      <c r="M146" s="65">
        <f t="shared" si="124"/>
        <v>3.9544085882770282E-3</v>
      </c>
      <c r="N146" s="65">
        <f t="shared" si="124"/>
        <v>4.5492114205647523E-3</v>
      </c>
      <c r="O146" s="65">
        <f t="shared" si="124"/>
        <v>5.6239762183137344E-3</v>
      </c>
      <c r="P146" s="65">
        <f t="shared" si="124"/>
        <v>7.320583817046887E-3</v>
      </c>
      <c r="Q146" s="65">
        <f t="shared" si="124"/>
        <v>9.7639923768057923E-3</v>
      </c>
      <c r="R146" s="65">
        <f t="shared" si="124"/>
        <v>1.2378763952449096E-2</v>
      </c>
      <c r="S146" s="65">
        <f t="shared" si="124"/>
        <v>1.4679123867691503E-2</v>
      </c>
      <c r="T146" s="65">
        <f t="shared" si="124"/>
        <v>1.6532887084330514E-2</v>
      </c>
      <c r="U146" s="65">
        <f t="shared" si="124"/>
        <v>1.8024806054948699E-2</v>
      </c>
      <c r="V146" s="65">
        <f t="shared" si="124"/>
        <v>1.9157036679337696E-2</v>
      </c>
      <c r="W146" s="65">
        <f t="shared" si="124"/>
        <v>2.0153248621173549E-2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1.7251705117089073</v>
      </c>
      <c r="C147" s="65">
        <f t="shared" ref="C147:W147" si="126">IF(C117=0,0,C117/C$26)</f>
        <v>2.4209370069092273</v>
      </c>
      <c r="D147" s="65">
        <f t="shared" si="126"/>
        <v>2.6971157915621311</v>
      </c>
      <c r="E147" s="65">
        <f t="shared" si="126"/>
        <v>2.3511570333045002</v>
      </c>
      <c r="F147" s="65">
        <f t="shared" si="126"/>
        <v>2.4230449074002185</v>
      </c>
      <c r="G147" s="65">
        <f t="shared" si="126"/>
        <v>2.1667422889274865</v>
      </c>
      <c r="H147" s="65">
        <f t="shared" si="126"/>
        <v>2.5152673514053521</v>
      </c>
      <c r="I147" s="65">
        <f t="shared" si="126"/>
        <v>3.160357978354436</v>
      </c>
      <c r="J147" s="65">
        <f t="shared" si="126"/>
        <v>3.3394422793582281</v>
      </c>
      <c r="K147" s="65">
        <f t="shared" si="126"/>
        <v>3.4720239923030634</v>
      </c>
      <c r="L147" s="65">
        <f t="shared" si="126"/>
        <v>3.5720918412035654</v>
      </c>
      <c r="M147" s="65">
        <f t="shared" si="126"/>
        <v>3.5653828187224352</v>
      </c>
      <c r="N147" s="65">
        <f t="shared" si="126"/>
        <v>4.2501413910050907</v>
      </c>
      <c r="O147" s="65">
        <f t="shared" si="126"/>
        <v>4.6451428150441085</v>
      </c>
      <c r="P147" s="65">
        <f t="shared" si="126"/>
        <v>4.7652413771331945</v>
      </c>
      <c r="Q147" s="65">
        <f t="shared" si="126"/>
        <v>4.8426245566393815</v>
      </c>
      <c r="R147" s="65">
        <f t="shared" si="126"/>
        <v>4.15150094985019</v>
      </c>
      <c r="S147" s="65">
        <f t="shared" si="126"/>
        <v>3.9277870292758386</v>
      </c>
      <c r="T147" s="65">
        <f t="shared" si="126"/>
        <v>3.3852976178724838</v>
      </c>
      <c r="U147" s="65">
        <f t="shared" si="126"/>
        <v>3.2708541630377161</v>
      </c>
      <c r="V147" s="65">
        <f t="shared" si="126"/>
        <v>1.8326494026458793</v>
      </c>
      <c r="W147" s="65">
        <f t="shared" si="126"/>
        <v>2.9343533241280175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5.1369066855032255</v>
      </c>
      <c r="C148" s="67">
        <f t="shared" ref="C148:W148" si="128">IF(C118=0,0,C118/C$26)</f>
        <v>5.9654375399349071</v>
      </c>
      <c r="D148" s="67">
        <f t="shared" si="128"/>
        <v>7.5976344181518787</v>
      </c>
      <c r="E148" s="67">
        <f t="shared" si="128"/>
        <v>7.4128205612141906</v>
      </c>
      <c r="F148" s="67">
        <f t="shared" si="128"/>
        <v>6.8917619054625607</v>
      </c>
      <c r="G148" s="67">
        <f t="shared" si="128"/>
        <v>6.4597252235961884</v>
      </c>
      <c r="H148" s="67">
        <f t="shared" si="128"/>
        <v>6.1033013973460948</v>
      </c>
      <c r="I148" s="67">
        <f t="shared" si="128"/>
        <v>4.5460264845439813</v>
      </c>
      <c r="J148" s="67">
        <f t="shared" si="128"/>
        <v>3.8850145986292941</v>
      </c>
      <c r="K148" s="67">
        <f t="shared" si="128"/>
        <v>4.4057102816841827</v>
      </c>
      <c r="L148" s="67">
        <f t="shared" si="128"/>
        <v>4.8802027363515297</v>
      </c>
      <c r="M148" s="67">
        <f t="shared" si="128"/>
        <v>3.0863407507980356</v>
      </c>
      <c r="N148" s="67">
        <f t="shared" si="128"/>
        <v>4.1561607992610554</v>
      </c>
      <c r="O148" s="67">
        <f t="shared" si="128"/>
        <v>4.7246415288382373</v>
      </c>
      <c r="P148" s="67">
        <f t="shared" si="128"/>
        <v>4.7857522904223355</v>
      </c>
      <c r="Q148" s="67">
        <f t="shared" si="128"/>
        <v>4.9312984133642335</v>
      </c>
      <c r="R148" s="67">
        <f t="shared" si="128"/>
        <v>4.7868264502669264</v>
      </c>
      <c r="S148" s="67">
        <f t="shared" si="128"/>
        <v>4.1743309717060004</v>
      </c>
      <c r="T148" s="67">
        <f t="shared" si="128"/>
        <v>3.729370490584055</v>
      </c>
      <c r="U148" s="67">
        <f t="shared" si="128"/>
        <v>3.0384502232421786</v>
      </c>
      <c r="V148" s="67">
        <f t="shared" si="128"/>
        <v>2.649102060780967</v>
      </c>
      <c r="W148" s="67">
        <f t="shared" si="128"/>
        <v>4.0849612313218238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20304.665560732457</v>
      </c>
      <c r="C153" s="82">
        <f t="shared" ref="C153:W153" si="132">IF(C99=0,0,C99/C$23)</f>
        <v>15572.934194476589</v>
      </c>
      <c r="D153" s="82">
        <f t="shared" si="132"/>
        <v>14047.221856841095</v>
      </c>
      <c r="E153" s="82">
        <f t="shared" si="132"/>
        <v>11667.527743242619</v>
      </c>
      <c r="F153" s="82">
        <f t="shared" si="132"/>
        <v>12847.484682237495</v>
      </c>
      <c r="G153" s="82">
        <f t="shared" si="132"/>
        <v>15457.413289480595</v>
      </c>
      <c r="H153" s="82">
        <f t="shared" si="132"/>
        <v>16041.060958313232</v>
      </c>
      <c r="I153" s="82">
        <f t="shared" si="132"/>
        <v>15588.359648684702</v>
      </c>
      <c r="J153" s="82">
        <f t="shared" si="132"/>
        <v>15724.047377420658</v>
      </c>
      <c r="K153" s="82">
        <f t="shared" si="132"/>
        <v>15638.281567649139</v>
      </c>
      <c r="L153" s="82">
        <f t="shared" si="132"/>
        <v>16994.694138777468</v>
      </c>
      <c r="M153" s="82">
        <f t="shared" si="132"/>
        <v>12685.849063238891</v>
      </c>
      <c r="N153" s="82">
        <f t="shared" si="132"/>
        <v>11397.018468117602</v>
      </c>
      <c r="O153" s="82">
        <f t="shared" si="132"/>
        <v>13490.815111433423</v>
      </c>
      <c r="P153" s="82">
        <f t="shared" si="132"/>
        <v>9583.8798506837902</v>
      </c>
      <c r="Q153" s="82">
        <f t="shared" si="132"/>
        <v>9867.165723362772</v>
      </c>
      <c r="R153" s="82">
        <f t="shared" si="132"/>
        <v>9707.307445165603</v>
      </c>
      <c r="S153" s="82">
        <f t="shared" si="132"/>
        <v>10394.919939091733</v>
      </c>
      <c r="T153" s="82">
        <f t="shared" si="132"/>
        <v>9371.9101291034603</v>
      </c>
      <c r="U153" s="82">
        <f t="shared" si="132"/>
        <v>8552.9401065888087</v>
      </c>
      <c r="V153" s="82">
        <f t="shared" si="132"/>
        <v>7821.8164836043643</v>
      </c>
      <c r="W153" s="82">
        <f t="shared" si="132"/>
        <v>10003.432468222176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18847.291301710895</v>
      </c>
      <c r="C154" s="64">
        <f t="shared" ref="C154:W154" si="134">IF(C100=0,0,C100/C$23)</f>
        <v>14055.484532031409</v>
      </c>
      <c r="D154" s="64">
        <f t="shared" si="134"/>
        <v>12478.194660184745</v>
      </c>
      <c r="E154" s="64">
        <f t="shared" si="134"/>
        <v>10067.874062469691</v>
      </c>
      <c r="F154" s="64">
        <f t="shared" si="134"/>
        <v>11175.858831248257</v>
      </c>
      <c r="G154" s="64">
        <f t="shared" si="134"/>
        <v>13763.363768542698</v>
      </c>
      <c r="H154" s="64">
        <f t="shared" si="134"/>
        <v>14326.739899935312</v>
      </c>
      <c r="I154" s="64">
        <f t="shared" si="134"/>
        <v>13809.633928304873</v>
      </c>
      <c r="J154" s="64">
        <f t="shared" si="134"/>
        <v>13933.128443494412</v>
      </c>
      <c r="K154" s="64">
        <f t="shared" si="134"/>
        <v>13833.251870010532</v>
      </c>
      <c r="L154" s="64">
        <f t="shared" si="134"/>
        <v>15127.365114621995</v>
      </c>
      <c r="M154" s="64">
        <f t="shared" si="134"/>
        <v>10827.137448525278</v>
      </c>
      <c r="N154" s="64">
        <f t="shared" si="134"/>
        <v>9563.6471643882469</v>
      </c>
      <c r="O154" s="64">
        <f t="shared" si="134"/>
        <v>11593.11310065832</v>
      </c>
      <c r="P154" s="64">
        <f t="shared" si="134"/>
        <v>7710.5379419636274</v>
      </c>
      <c r="Q154" s="64">
        <f t="shared" si="134"/>
        <v>7950.9469183183319</v>
      </c>
      <c r="R154" s="64">
        <f t="shared" si="134"/>
        <v>7828.9806868678907</v>
      </c>
      <c r="S154" s="64">
        <f t="shared" si="134"/>
        <v>8479.8530477941476</v>
      </c>
      <c r="T154" s="64">
        <f t="shared" si="134"/>
        <v>7507.5759649211877</v>
      </c>
      <c r="U154" s="64">
        <f t="shared" si="134"/>
        <v>6725.5501524411548</v>
      </c>
      <c r="V154" s="64">
        <f t="shared" si="134"/>
        <v>5981.7727691556629</v>
      </c>
      <c r="W154" s="64">
        <f t="shared" si="134"/>
        <v>8085.1827576345977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17042.925048214263</v>
      </c>
      <c r="C155" s="65">
        <f t="shared" ref="C155:W155" si="136">IF(C101=0,0,C101/C$23)</f>
        <v>12226.682400632895</v>
      </c>
      <c r="D155" s="65">
        <f t="shared" si="136"/>
        <v>10547.338703498906</v>
      </c>
      <c r="E155" s="65">
        <f t="shared" si="136"/>
        <v>8098.0557378833619</v>
      </c>
      <c r="F155" s="65">
        <f t="shared" si="136"/>
        <v>9185.247836886052</v>
      </c>
      <c r="G155" s="65">
        <f t="shared" si="136"/>
        <v>11697.415348091345</v>
      </c>
      <c r="H155" s="65">
        <f t="shared" si="136"/>
        <v>12226.468641594267</v>
      </c>
      <c r="I155" s="65">
        <f t="shared" si="136"/>
        <v>11729.894477830334</v>
      </c>
      <c r="J155" s="65">
        <f t="shared" si="136"/>
        <v>11891.483547175054</v>
      </c>
      <c r="K155" s="65">
        <f t="shared" si="136"/>
        <v>11747.985415203493</v>
      </c>
      <c r="L155" s="65">
        <f t="shared" si="136"/>
        <v>12988.857704982664</v>
      </c>
      <c r="M155" s="65">
        <f t="shared" si="136"/>
        <v>8781.0187020121684</v>
      </c>
      <c r="N155" s="65">
        <f t="shared" si="136"/>
        <v>7460.9334040163203</v>
      </c>
      <c r="O155" s="65">
        <f t="shared" si="136"/>
        <v>9459.6171912826285</v>
      </c>
      <c r="P155" s="65">
        <f t="shared" si="136"/>
        <v>5593.1259173725166</v>
      </c>
      <c r="Q155" s="65">
        <f t="shared" si="136"/>
        <v>5852.4244023181709</v>
      </c>
      <c r="R155" s="65">
        <f t="shared" si="136"/>
        <v>5794.8373715281532</v>
      </c>
      <c r="S155" s="65">
        <f t="shared" si="136"/>
        <v>6494.914793261868</v>
      </c>
      <c r="T155" s="65">
        <f t="shared" si="136"/>
        <v>5600.8092427723304</v>
      </c>
      <c r="U155" s="65">
        <f t="shared" si="136"/>
        <v>4876.9331067957446</v>
      </c>
      <c r="V155" s="65">
        <f t="shared" si="136"/>
        <v>4298.433813233929</v>
      </c>
      <c r="W155" s="65">
        <f t="shared" si="136"/>
        <v>6167.9927269590698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48.420090114747104</v>
      </c>
      <c r="C156" s="65">
        <f t="shared" ref="C156:W156" si="138">IF(C102=0,0,C102/C$23)</f>
        <v>48.393863803134728</v>
      </c>
      <c r="D156" s="65">
        <f t="shared" si="138"/>
        <v>51.299805960420109</v>
      </c>
      <c r="E156" s="65">
        <f t="shared" si="138"/>
        <v>52.538238123697781</v>
      </c>
      <c r="F156" s="65">
        <f t="shared" si="138"/>
        <v>51.641128918979376</v>
      </c>
      <c r="G156" s="65">
        <f t="shared" si="138"/>
        <v>52.045995079907236</v>
      </c>
      <c r="H156" s="65">
        <f t="shared" si="138"/>
        <v>53.265690892125853</v>
      </c>
      <c r="I156" s="65">
        <f t="shared" si="138"/>
        <v>56.421972040890061</v>
      </c>
      <c r="J156" s="65">
        <f t="shared" si="138"/>
        <v>52.680852021594603</v>
      </c>
      <c r="K156" s="65">
        <f t="shared" si="138"/>
        <v>53.483323412787577</v>
      </c>
      <c r="L156" s="65">
        <f t="shared" si="138"/>
        <v>57.114298179172003</v>
      </c>
      <c r="M156" s="65">
        <f t="shared" si="138"/>
        <v>54.035482918687826</v>
      </c>
      <c r="N156" s="65">
        <f t="shared" si="138"/>
        <v>58.955474021954572</v>
      </c>
      <c r="O156" s="65">
        <f t="shared" si="138"/>
        <v>56.646062279539422</v>
      </c>
      <c r="P156" s="65">
        <f t="shared" si="138"/>
        <v>51.103944742527368</v>
      </c>
      <c r="Q156" s="65">
        <f t="shared" si="138"/>
        <v>58.371942644535224</v>
      </c>
      <c r="R156" s="65">
        <f t="shared" si="138"/>
        <v>48.022922162410353</v>
      </c>
      <c r="S156" s="65">
        <f t="shared" si="138"/>
        <v>50.064370388552391</v>
      </c>
      <c r="T156" s="65">
        <f t="shared" si="138"/>
        <v>48.18233667027215</v>
      </c>
      <c r="U156" s="65">
        <f t="shared" si="138"/>
        <v>49.62431292201655</v>
      </c>
      <c r="V156" s="65">
        <f t="shared" si="138"/>
        <v>44.736254668634899</v>
      </c>
      <c r="W156" s="65">
        <f t="shared" si="138"/>
        <v>49.005640550792684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930.78570927524981</v>
      </c>
      <c r="C157" s="65">
        <f t="shared" ref="C157:W157" si="140">IF(C103=0,0,C103/C$23)</f>
        <v>929.82500565972077</v>
      </c>
      <c r="D157" s="65">
        <f t="shared" si="140"/>
        <v>944.89796563701634</v>
      </c>
      <c r="E157" s="65">
        <f t="shared" si="140"/>
        <v>961.08369833745189</v>
      </c>
      <c r="F157" s="65">
        <f t="shared" si="140"/>
        <v>969.05180531570068</v>
      </c>
      <c r="G157" s="65">
        <f t="shared" si="140"/>
        <v>1013.0153009311318</v>
      </c>
      <c r="H157" s="65">
        <f t="shared" si="140"/>
        <v>1042.8196892621659</v>
      </c>
      <c r="I157" s="65">
        <f t="shared" si="140"/>
        <v>1058.643137266982</v>
      </c>
      <c r="J157" s="65">
        <f t="shared" si="140"/>
        <v>1054.9459818236685</v>
      </c>
      <c r="K157" s="65">
        <f t="shared" si="140"/>
        <v>1072.2310118004923</v>
      </c>
      <c r="L157" s="65">
        <f t="shared" si="140"/>
        <v>1101.317662786108</v>
      </c>
      <c r="M157" s="65">
        <f t="shared" si="140"/>
        <v>1079.5888474646285</v>
      </c>
      <c r="N157" s="65">
        <f t="shared" si="140"/>
        <v>1098.0846290290021</v>
      </c>
      <c r="O157" s="65">
        <f t="shared" si="140"/>
        <v>1108.1717500183515</v>
      </c>
      <c r="P157" s="65">
        <f t="shared" si="140"/>
        <v>1108.3744208281175</v>
      </c>
      <c r="Q157" s="65">
        <f t="shared" si="140"/>
        <v>1088.1405683974829</v>
      </c>
      <c r="R157" s="65">
        <f t="shared" si="140"/>
        <v>1058.8889696277372</v>
      </c>
      <c r="S157" s="65">
        <f t="shared" si="140"/>
        <v>1041.7555232091097</v>
      </c>
      <c r="T157" s="65">
        <f t="shared" si="140"/>
        <v>999.20819315214453</v>
      </c>
      <c r="U157" s="65">
        <f t="shared" si="140"/>
        <v>977.63098007647284</v>
      </c>
      <c r="V157" s="65">
        <f t="shared" si="140"/>
        <v>878.76162346726721</v>
      </c>
      <c r="W157" s="65">
        <f t="shared" si="140"/>
        <v>973.15818503429296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825.1604541066331</v>
      </c>
      <c r="C158" s="67">
        <f t="shared" ref="C158:W158" si="142">IF(C104=0,0,C104/C$23)</f>
        <v>850.58326193565699</v>
      </c>
      <c r="D158" s="67">
        <f t="shared" si="142"/>
        <v>934.65818508840209</v>
      </c>
      <c r="E158" s="67">
        <f t="shared" si="142"/>
        <v>956.19638812517962</v>
      </c>
      <c r="F158" s="67">
        <f t="shared" si="142"/>
        <v>969.91806012752681</v>
      </c>
      <c r="G158" s="67">
        <f t="shared" si="142"/>
        <v>1000.8871244403158</v>
      </c>
      <c r="H158" s="67">
        <f t="shared" si="142"/>
        <v>1004.1858781867497</v>
      </c>
      <c r="I158" s="67">
        <f t="shared" si="142"/>
        <v>964.67434116666948</v>
      </c>
      <c r="J158" s="67">
        <f t="shared" si="142"/>
        <v>934.01806247409604</v>
      </c>
      <c r="K158" s="67">
        <f t="shared" si="142"/>
        <v>959.55211959375777</v>
      </c>
      <c r="L158" s="67">
        <f t="shared" si="142"/>
        <v>980.0754486740525</v>
      </c>
      <c r="M158" s="67">
        <f t="shared" si="142"/>
        <v>912.49441612979399</v>
      </c>
      <c r="N158" s="67">
        <f t="shared" si="142"/>
        <v>945.67365732097085</v>
      </c>
      <c r="O158" s="67">
        <f t="shared" si="142"/>
        <v>968.67809707780293</v>
      </c>
      <c r="P158" s="67">
        <f t="shared" si="142"/>
        <v>957.9336590204656</v>
      </c>
      <c r="Q158" s="67">
        <f t="shared" si="142"/>
        <v>952.0100049581448</v>
      </c>
      <c r="R158" s="67">
        <f t="shared" si="142"/>
        <v>927.23142354959089</v>
      </c>
      <c r="S158" s="67">
        <f t="shared" si="142"/>
        <v>893.11836093461909</v>
      </c>
      <c r="T158" s="67">
        <f t="shared" si="142"/>
        <v>859.37619232643999</v>
      </c>
      <c r="U158" s="67">
        <f t="shared" si="142"/>
        <v>821.36175264692031</v>
      </c>
      <c r="V158" s="67">
        <f t="shared" si="142"/>
        <v>759.84107778583223</v>
      </c>
      <c r="W158" s="67">
        <f t="shared" si="142"/>
        <v>895.02620509044175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1457.3742590215616</v>
      </c>
      <c r="C159" s="68">
        <f t="shared" ref="C159:W159" si="144">IF(C105=0,0,C105/C$23)</f>
        <v>1517.4496624451813</v>
      </c>
      <c r="D159" s="68">
        <f t="shared" si="144"/>
        <v>1569.0271966563489</v>
      </c>
      <c r="E159" s="68">
        <f t="shared" si="144"/>
        <v>1599.6536807729287</v>
      </c>
      <c r="F159" s="68">
        <f t="shared" si="144"/>
        <v>1671.6258509892391</v>
      </c>
      <c r="G159" s="68">
        <f t="shared" si="144"/>
        <v>1694.0495209378967</v>
      </c>
      <c r="H159" s="68">
        <f t="shared" si="144"/>
        <v>1714.3210583779232</v>
      </c>
      <c r="I159" s="68">
        <f t="shared" si="144"/>
        <v>1778.7257203798283</v>
      </c>
      <c r="J159" s="68">
        <f t="shared" si="144"/>
        <v>1790.9189339262441</v>
      </c>
      <c r="K159" s="68">
        <f t="shared" si="144"/>
        <v>1805.0296976386078</v>
      </c>
      <c r="L159" s="68">
        <f t="shared" si="144"/>
        <v>1867.3290241554721</v>
      </c>
      <c r="M159" s="68">
        <f t="shared" si="144"/>
        <v>1858.7116147136148</v>
      </c>
      <c r="N159" s="68">
        <f t="shared" si="144"/>
        <v>1833.371303729356</v>
      </c>
      <c r="O159" s="68">
        <f t="shared" si="144"/>
        <v>1897.7020107751005</v>
      </c>
      <c r="P159" s="68">
        <f t="shared" si="144"/>
        <v>1873.3419087201632</v>
      </c>
      <c r="Q159" s="68">
        <f t="shared" si="144"/>
        <v>1916.2188050444372</v>
      </c>
      <c r="R159" s="68">
        <f t="shared" si="144"/>
        <v>1878.326758297711</v>
      </c>
      <c r="S159" s="68">
        <f t="shared" si="144"/>
        <v>1915.0668912975837</v>
      </c>
      <c r="T159" s="68">
        <f t="shared" si="144"/>
        <v>1864.3341641822738</v>
      </c>
      <c r="U159" s="68">
        <f t="shared" si="144"/>
        <v>1827.3899541476533</v>
      </c>
      <c r="V159" s="68">
        <f t="shared" si="144"/>
        <v>1840.0437144487</v>
      </c>
      <c r="W159" s="68">
        <f t="shared" si="144"/>
        <v>1918.2497105875805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10366.710197809076</v>
      </c>
      <c r="C161" s="85">
        <f t="shared" ref="C161:W161" si="146">IF(C107=0,0,C107/C$23)</f>
        <v>8274.4029388399867</v>
      </c>
      <c r="D161" s="85">
        <f t="shared" si="146"/>
        <v>7684.5312207137322</v>
      </c>
      <c r="E161" s="85">
        <f t="shared" si="146"/>
        <v>6275.1890416941897</v>
      </c>
      <c r="F161" s="85">
        <f t="shared" si="146"/>
        <v>7240.8192163691374</v>
      </c>
      <c r="G161" s="85">
        <f t="shared" si="146"/>
        <v>8436.6111294655639</v>
      </c>
      <c r="H161" s="85">
        <f t="shared" si="146"/>
        <v>8863.192060477897</v>
      </c>
      <c r="I161" s="85">
        <f t="shared" si="146"/>
        <v>8732.2836119200547</v>
      </c>
      <c r="J161" s="85">
        <f t="shared" si="146"/>
        <v>8874.6042525458088</v>
      </c>
      <c r="K161" s="85">
        <f t="shared" si="146"/>
        <v>9039.7074290149321</v>
      </c>
      <c r="L161" s="85">
        <f t="shared" si="146"/>
        <v>9962.2898123787181</v>
      </c>
      <c r="M161" s="85">
        <f t="shared" si="146"/>
        <v>7471.5953875857931</v>
      </c>
      <c r="N161" s="85">
        <f t="shared" si="146"/>
        <v>6561.9604991802144</v>
      </c>
      <c r="O161" s="85">
        <f t="shared" si="146"/>
        <v>7987.5359308639445</v>
      </c>
      <c r="P161" s="85">
        <f t="shared" si="146"/>
        <v>5374.8175107161378</v>
      </c>
      <c r="Q161" s="85">
        <f t="shared" si="146"/>
        <v>5629.4889847237646</v>
      </c>
      <c r="R161" s="85">
        <f t="shared" si="146"/>
        <v>5672.9385020801674</v>
      </c>
      <c r="S161" s="85">
        <f t="shared" si="146"/>
        <v>6188.3266146344167</v>
      </c>
      <c r="T161" s="85">
        <f t="shared" si="146"/>
        <v>5564.2844967986748</v>
      </c>
      <c r="U161" s="85">
        <f t="shared" si="146"/>
        <v>5045.43165454475</v>
      </c>
      <c r="V161" s="85">
        <f t="shared" si="146"/>
        <v>4623.4223823162629</v>
      </c>
      <c r="W161" s="85">
        <f t="shared" si="146"/>
        <v>6227.2010130510644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9129.928729041143</v>
      </c>
      <c r="C162" s="65">
        <f t="shared" ref="C162:W162" si="148">IF(C108=0,0,C108/C$23)</f>
        <v>7032.0645914912557</v>
      </c>
      <c r="D162" s="65">
        <f t="shared" si="148"/>
        <v>6377.1266996102904</v>
      </c>
      <c r="E162" s="65">
        <f t="shared" si="148"/>
        <v>4922.5571111871996</v>
      </c>
      <c r="F162" s="65">
        <f t="shared" si="148"/>
        <v>5850.7014942024662</v>
      </c>
      <c r="G162" s="65">
        <f t="shared" si="148"/>
        <v>6985.7643975679403</v>
      </c>
      <c r="H162" s="65">
        <f t="shared" si="148"/>
        <v>7377.7456794782674</v>
      </c>
      <c r="I162" s="65">
        <f t="shared" si="148"/>
        <v>7224.2992000222621</v>
      </c>
      <c r="J162" s="65">
        <f t="shared" si="148"/>
        <v>7377.7444251151437</v>
      </c>
      <c r="K162" s="65">
        <f t="shared" si="148"/>
        <v>7511.1805556700219</v>
      </c>
      <c r="L162" s="65">
        <f t="shared" si="148"/>
        <v>8392.3896821230665</v>
      </c>
      <c r="M162" s="65">
        <f t="shared" si="148"/>
        <v>5929.9611178047426</v>
      </c>
      <c r="N162" s="65">
        <f t="shared" si="148"/>
        <v>4983.0120560580817</v>
      </c>
      <c r="O162" s="65">
        <f t="shared" si="148"/>
        <v>6395.8990413126339</v>
      </c>
      <c r="P162" s="65">
        <f t="shared" si="148"/>
        <v>3797.5780032114549</v>
      </c>
      <c r="Q162" s="65">
        <f t="shared" si="148"/>
        <v>4044.8055893445671</v>
      </c>
      <c r="R162" s="65">
        <f t="shared" si="148"/>
        <v>4127.6024089148668</v>
      </c>
      <c r="S162" s="65">
        <f t="shared" si="148"/>
        <v>4639.427036163489</v>
      </c>
      <c r="T162" s="65">
        <f t="shared" si="148"/>
        <v>4041.9397972151601</v>
      </c>
      <c r="U162" s="65">
        <f t="shared" si="148"/>
        <v>3526.0471978603955</v>
      </c>
      <c r="V162" s="65">
        <f t="shared" si="148"/>
        <v>3210.027460066111</v>
      </c>
      <c r="W162" s="65">
        <f t="shared" si="148"/>
        <v>4643.3652829545772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83.215180463203893</v>
      </c>
      <c r="C163" s="65">
        <f t="shared" ref="C163:W163" si="150">IF(C109=0,0,C109/C$23)</f>
        <v>86.773438775624157</v>
      </c>
      <c r="D163" s="65">
        <f t="shared" si="150"/>
        <v>96.601951318259253</v>
      </c>
      <c r="E163" s="65">
        <f t="shared" si="150"/>
        <v>103.33197533445167</v>
      </c>
      <c r="F163" s="65">
        <f t="shared" si="150"/>
        <v>106.02007218611202</v>
      </c>
      <c r="G163" s="65">
        <f t="shared" si="150"/>
        <v>111.56377926415914</v>
      </c>
      <c r="H163" s="65">
        <f t="shared" si="150"/>
        <v>119.67677344871876</v>
      </c>
      <c r="I163" s="65">
        <f t="shared" si="150"/>
        <v>133.6303877984781</v>
      </c>
      <c r="J163" s="65">
        <f t="shared" si="150"/>
        <v>131.41692475326514</v>
      </c>
      <c r="K163" s="65">
        <f t="shared" si="150"/>
        <v>135.30094915734404</v>
      </c>
      <c r="L163" s="65">
        <f t="shared" si="150"/>
        <v>147.55047765522073</v>
      </c>
      <c r="M163" s="65">
        <f t="shared" si="150"/>
        <v>143.34599002458009</v>
      </c>
      <c r="N163" s="65">
        <f t="shared" si="150"/>
        <v>161.22625358976521</v>
      </c>
      <c r="O163" s="65">
        <f t="shared" si="150"/>
        <v>159.45419238678983</v>
      </c>
      <c r="P163" s="65">
        <f t="shared" si="150"/>
        <v>148.28760263046436</v>
      </c>
      <c r="Q163" s="65">
        <f t="shared" si="150"/>
        <v>174.99678031179462</v>
      </c>
      <c r="R163" s="65">
        <f t="shared" si="150"/>
        <v>148.17856622244227</v>
      </c>
      <c r="S163" s="65">
        <f t="shared" si="150"/>
        <v>159.69846453342583</v>
      </c>
      <c r="T163" s="65">
        <f t="shared" si="150"/>
        <v>157.82338768665437</v>
      </c>
      <c r="U163" s="65">
        <f t="shared" si="150"/>
        <v>166.1809211802734</v>
      </c>
      <c r="V163" s="65">
        <f t="shared" si="150"/>
        <v>152.14944121304285</v>
      </c>
      <c r="W163" s="65">
        <f t="shared" si="150"/>
        <v>170.69807796981311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573.96548340511674</v>
      </c>
      <c r="C164" s="65">
        <f t="shared" ref="C164:W164" si="152">IF(C110=0,0,C110/C$23)</f>
        <v>569.7403226305571</v>
      </c>
      <c r="D164" s="65">
        <f t="shared" si="152"/>
        <v>585.32538178014647</v>
      </c>
      <c r="E164" s="65">
        <f t="shared" si="152"/>
        <v>602.88136611315019</v>
      </c>
      <c r="F164" s="65">
        <f t="shared" si="152"/>
        <v>616.8986524910008</v>
      </c>
      <c r="G164" s="65">
        <f t="shared" si="152"/>
        <v>640.17431551319032</v>
      </c>
      <c r="H164" s="65">
        <f t="shared" si="152"/>
        <v>658.03648053782229</v>
      </c>
      <c r="I164" s="65">
        <f t="shared" si="152"/>
        <v>668.94796174990086</v>
      </c>
      <c r="J164" s="65">
        <f t="shared" si="152"/>
        <v>670.62339930803273</v>
      </c>
      <c r="K164" s="65">
        <f t="shared" si="152"/>
        <v>686.55343505395808</v>
      </c>
      <c r="L164" s="65">
        <f t="shared" si="152"/>
        <v>709.55861938214105</v>
      </c>
      <c r="M164" s="65">
        <f t="shared" si="152"/>
        <v>701.93907638111489</v>
      </c>
      <c r="N164" s="65">
        <f t="shared" si="152"/>
        <v>717.40706292570371</v>
      </c>
      <c r="O164" s="65">
        <f t="shared" si="152"/>
        <v>726.6092322191522</v>
      </c>
      <c r="P164" s="65">
        <f t="shared" si="152"/>
        <v>733.16860976457519</v>
      </c>
      <c r="Q164" s="65">
        <f t="shared" si="152"/>
        <v>722.63687723257249</v>
      </c>
      <c r="R164" s="65">
        <f t="shared" si="152"/>
        <v>723.1549409168332</v>
      </c>
      <c r="S164" s="65">
        <f t="shared" si="152"/>
        <v>724.5339158735311</v>
      </c>
      <c r="T164" s="65">
        <f t="shared" si="152"/>
        <v>712.26916504709459</v>
      </c>
      <c r="U164" s="65">
        <f t="shared" si="152"/>
        <v>711.5350970106208</v>
      </c>
      <c r="V164" s="65">
        <f t="shared" si="152"/>
        <v>661.87926920967698</v>
      </c>
      <c r="W164" s="65">
        <f t="shared" si="152"/>
        <v>735.36724516522145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579.60080489961069</v>
      </c>
      <c r="C165" s="68">
        <f t="shared" ref="C165:W165" si="154">IF(C111=0,0,C111/C$23)</f>
        <v>585.82458594255058</v>
      </c>
      <c r="D165" s="68">
        <f t="shared" si="154"/>
        <v>625.47718800503662</v>
      </c>
      <c r="E165" s="68">
        <f t="shared" si="154"/>
        <v>646.41858905938807</v>
      </c>
      <c r="F165" s="68">
        <f t="shared" si="154"/>
        <v>667.19899748955925</v>
      </c>
      <c r="G165" s="68">
        <f t="shared" si="154"/>
        <v>699.10863712027458</v>
      </c>
      <c r="H165" s="68">
        <f t="shared" si="154"/>
        <v>707.73312701308782</v>
      </c>
      <c r="I165" s="68">
        <f t="shared" si="154"/>
        <v>705.40606234941413</v>
      </c>
      <c r="J165" s="68">
        <f t="shared" si="154"/>
        <v>694.81950336936836</v>
      </c>
      <c r="K165" s="68">
        <f t="shared" si="154"/>
        <v>706.67248913360811</v>
      </c>
      <c r="L165" s="68">
        <f t="shared" si="154"/>
        <v>712.79103321828984</v>
      </c>
      <c r="M165" s="68">
        <f t="shared" si="154"/>
        <v>696.34920337535459</v>
      </c>
      <c r="N165" s="68">
        <f t="shared" si="154"/>
        <v>700.31512660666363</v>
      </c>
      <c r="O165" s="68">
        <f t="shared" si="154"/>
        <v>705.57346494536773</v>
      </c>
      <c r="P165" s="68">
        <f t="shared" si="154"/>
        <v>695.78329510964261</v>
      </c>
      <c r="Q165" s="68">
        <f t="shared" si="154"/>
        <v>687.04973783483001</v>
      </c>
      <c r="R165" s="68">
        <f t="shared" si="154"/>
        <v>674.00258602602548</v>
      </c>
      <c r="S165" s="68">
        <f t="shared" si="154"/>
        <v>664.66719806397009</v>
      </c>
      <c r="T165" s="68">
        <f t="shared" si="154"/>
        <v>652.2521468497655</v>
      </c>
      <c r="U165" s="68">
        <f t="shared" si="154"/>
        <v>641.66843849345946</v>
      </c>
      <c r="V165" s="68">
        <f t="shared" si="154"/>
        <v>599.36621182743249</v>
      </c>
      <c r="W165" s="68">
        <f t="shared" si="154"/>
        <v>677.77040696145195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3218.4694549608212</v>
      </c>
      <c r="C167" s="82">
        <f t="shared" ref="C167:W167" si="156">IF(C113=0,0,C113/C$23)</f>
        <v>1923.1840411889921</v>
      </c>
      <c r="D167" s="82">
        <f t="shared" si="156"/>
        <v>1615.1648228973968</v>
      </c>
      <c r="E167" s="82">
        <f t="shared" si="156"/>
        <v>1078.1213638703452</v>
      </c>
      <c r="F167" s="82">
        <f t="shared" si="156"/>
        <v>1158.0868699960783</v>
      </c>
      <c r="G167" s="82">
        <f t="shared" si="156"/>
        <v>1816.5175016310723</v>
      </c>
      <c r="H167" s="82">
        <f t="shared" si="156"/>
        <v>2045.3588121977311</v>
      </c>
      <c r="I167" s="82">
        <f t="shared" si="156"/>
        <v>2018.6486194780309</v>
      </c>
      <c r="J167" s="82">
        <f t="shared" si="156"/>
        <v>2152.7930594637373</v>
      </c>
      <c r="K167" s="82">
        <f t="shared" si="156"/>
        <v>2420.3362842767274</v>
      </c>
      <c r="L167" s="82">
        <f t="shared" si="156"/>
        <v>2221.4439146008217</v>
      </c>
      <c r="M167" s="82">
        <f t="shared" si="156"/>
        <v>1494.1305074370282</v>
      </c>
      <c r="N167" s="82">
        <f t="shared" si="156"/>
        <v>1314.7449841751341</v>
      </c>
      <c r="O167" s="82">
        <f t="shared" si="156"/>
        <v>1719.7163420074205</v>
      </c>
      <c r="P167" s="82">
        <f t="shared" si="156"/>
        <v>1147.0240702728449</v>
      </c>
      <c r="Q167" s="82">
        <f t="shared" si="156"/>
        <v>1163.6653460209993</v>
      </c>
      <c r="R167" s="82">
        <f t="shared" si="156"/>
        <v>970.6608770235066</v>
      </c>
      <c r="S167" s="82">
        <f t="shared" si="156"/>
        <v>1057.0964747788728</v>
      </c>
      <c r="T167" s="82">
        <f t="shared" si="156"/>
        <v>922.01709227309493</v>
      </c>
      <c r="U167" s="82">
        <f t="shared" si="156"/>
        <v>916.45806709175736</v>
      </c>
      <c r="V167" s="82">
        <f t="shared" si="156"/>
        <v>677.75291063972895</v>
      </c>
      <c r="W167" s="82">
        <f t="shared" si="156"/>
        <v>1022.1049023770948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3218.4694549608212</v>
      </c>
      <c r="C168" s="64">
        <f t="shared" ref="C168:W168" si="158">IF(C114=0,0,C114/C$23)</f>
        <v>1923.1840411889921</v>
      </c>
      <c r="D168" s="64">
        <f t="shared" si="158"/>
        <v>1615.1648228973968</v>
      </c>
      <c r="E168" s="64">
        <f t="shared" si="158"/>
        <v>1078.1213638703452</v>
      </c>
      <c r="F168" s="64">
        <f t="shared" si="158"/>
        <v>1158.0868699960783</v>
      </c>
      <c r="G168" s="64">
        <f t="shared" si="158"/>
        <v>1816.5175016310723</v>
      </c>
      <c r="H168" s="64">
        <f t="shared" si="158"/>
        <v>2045.3588121977311</v>
      </c>
      <c r="I168" s="64">
        <f t="shared" si="158"/>
        <v>2018.6486194780309</v>
      </c>
      <c r="J168" s="64">
        <f t="shared" si="158"/>
        <v>2152.7930594637373</v>
      </c>
      <c r="K168" s="64">
        <f t="shared" si="158"/>
        <v>2420.3362842767274</v>
      </c>
      <c r="L168" s="64">
        <f t="shared" si="158"/>
        <v>2221.4439146008217</v>
      </c>
      <c r="M168" s="64">
        <f t="shared" si="158"/>
        <v>1494.1305074370282</v>
      </c>
      <c r="N168" s="64">
        <f t="shared" si="158"/>
        <v>1314.7449841751341</v>
      </c>
      <c r="O168" s="64">
        <f t="shared" si="158"/>
        <v>1719.7163420074205</v>
      </c>
      <c r="P168" s="64">
        <f t="shared" si="158"/>
        <v>1147.0240702728449</v>
      </c>
      <c r="Q168" s="64">
        <f t="shared" si="158"/>
        <v>1163.6653460209993</v>
      </c>
      <c r="R168" s="64">
        <f t="shared" si="158"/>
        <v>970.6608770235066</v>
      </c>
      <c r="S168" s="64">
        <f t="shared" si="158"/>
        <v>1057.0964747788728</v>
      </c>
      <c r="T168" s="64">
        <f t="shared" si="158"/>
        <v>922.01709227309493</v>
      </c>
      <c r="U168" s="64">
        <f t="shared" si="158"/>
        <v>916.45806709175736</v>
      </c>
      <c r="V168" s="64">
        <f t="shared" si="158"/>
        <v>677.75291063972895</v>
      </c>
      <c r="W168" s="64">
        <f t="shared" si="158"/>
        <v>1022.1049023770948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3075.9518001295855</v>
      </c>
      <c r="C169" s="65">
        <f t="shared" ref="C169:W169" si="160">IF(C115=0,0,C115/C$23)</f>
        <v>1748.2767875875779</v>
      </c>
      <c r="D169" s="65">
        <f t="shared" si="160"/>
        <v>1397.4326851843191</v>
      </c>
      <c r="E169" s="65">
        <f t="shared" si="160"/>
        <v>868.13738800842452</v>
      </c>
      <c r="F169" s="65">
        <f t="shared" si="160"/>
        <v>953.65587546608981</v>
      </c>
      <c r="G169" s="65">
        <f t="shared" si="160"/>
        <v>1623.5100424054558</v>
      </c>
      <c r="H169" s="65">
        <f t="shared" si="160"/>
        <v>1849.0393653343117</v>
      </c>
      <c r="I169" s="65">
        <f t="shared" si="160"/>
        <v>1837.8115723830845</v>
      </c>
      <c r="J169" s="65">
        <f t="shared" si="160"/>
        <v>1982.1739532613867</v>
      </c>
      <c r="K169" s="65">
        <f t="shared" si="160"/>
        <v>2236.1944048251125</v>
      </c>
      <c r="L169" s="65">
        <f t="shared" si="160"/>
        <v>2018.5712831675635</v>
      </c>
      <c r="M169" s="65">
        <f t="shared" si="160"/>
        <v>1335.8289367530231</v>
      </c>
      <c r="N169" s="65">
        <f t="shared" si="160"/>
        <v>1114.4425118499764</v>
      </c>
      <c r="O169" s="65">
        <f t="shared" si="160"/>
        <v>1493.5294048947467</v>
      </c>
      <c r="P169" s="65">
        <f t="shared" si="160"/>
        <v>917.88849663235885</v>
      </c>
      <c r="Q169" s="65">
        <f t="shared" si="160"/>
        <v>931.34066647280838</v>
      </c>
      <c r="R169" s="65">
        <f t="shared" si="160"/>
        <v>760.34381578424689</v>
      </c>
      <c r="S169" s="65">
        <f t="shared" si="160"/>
        <v>867.2340659560283</v>
      </c>
      <c r="T169" s="65">
        <f t="shared" si="160"/>
        <v>756.33077482757574</v>
      </c>
      <c r="U169" s="65">
        <f t="shared" si="160"/>
        <v>768.69770865431747</v>
      </c>
      <c r="V169" s="65">
        <f t="shared" si="160"/>
        <v>569.80047513051397</v>
      </c>
      <c r="W169" s="65">
        <f t="shared" si="160"/>
        <v>850.22156861341364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2.7036092418355355E-2</v>
      </c>
      <c r="C170" s="65">
        <f t="shared" ref="C170:W170" si="162">IF(C116=0,0,C116/C$23)</f>
        <v>4.2490049433999491E-2</v>
      </c>
      <c r="D170" s="65">
        <f t="shared" si="162"/>
        <v>3.779113800242228E-2</v>
      </c>
      <c r="E170" s="65">
        <f t="shared" si="162"/>
        <v>1.4540056485894744E-2</v>
      </c>
      <c r="F170" s="65">
        <f t="shared" si="162"/>
        <v>4.172349052667134E-2</v>
      </c>
      <c r="G170" s="65">
        <f t="shared" si="162"/>
        <v>6.1728739328499212E-2</v>
      </c>
      <c r="H170" s="65">
        <f t="shared" si="162"/>
        <v>7.2190193253113363E-2</v>
      </c>
      <c r="I170" s="65">
        <f t="shared" si="162"/>
        <v>7.6831228127177881E-2</v>
      </c>
      <c r="J170" s="65">
        <f t="shared" si="162"/>
        <v>8.1148479508711999E-2</v>
      </c>
      <c r="K170" s="65">
        <f t="shared" si="162"/>
        <v>8.0199620433135263E-2</v>
      </c>
      <c r="L170" s="65">
        <f t="shared" si="162"/>
        <v>9.0016816745606104E-2</v>
      </c>
      <c r="M170" s="65">
        <f t="shared" si="162"/>
        <v>9.4053392112647197E-2</v>
      </c>
      <c r="N170" s="65">
        <f t="shared" si="162"/>
        <v>0.10833841321774249</v>
      </c>
      <c r="O170" s="65">
        <f t="shared" si="162"/>
        <v>0.13568155239570889</v>
      </c>
      <c r="P170" s="65">
        <f t="shared" si="162"/>
        <v>0.17549184178176838</v>
      </c>
      <c r="Q170" s="65">
        <f t="shared" si="162"/>
        <v>0.23185700940501752</v>
      </c>
      <c r="R170" s="65">
        <f t="shared" si="162"/>
        <v>0.29086702306289036</v>
      </c>
      <c r="S170" s="65">
        <f t="shared" si="162"/>
        <v>0.34336373991612951</v>
      </c>
      <c r="T170" s="65">
        <f t="shared" si="162"/>
        <v>0.38412508348287699</v>
      </c>
      <c r="U170" s="65">
        <f t="shared" si="162"/>
        <v>0.42092828150478351</v>
      </c>
      <c r="V170" s="65">
        <f t="shared" si="162"/>
        <v>0.45947362996272439</v>
      </c>
      <c r="W170" s="65">
        <f t="shared" si="162"/>
        <v>0.49208372785970239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35.82306152767184</v>
      </c>
      <c r="C171" s="65">
        <f t="shared" ref="C171:W171" si="164">IF(C117=0,0,C117/C$23)</f>
        <v>50.479092595110174</v>
      </c>
      <c r="D171" s="65">
        <f t="shared" si="164"/>
        <v>57.033618875707049</v>
      </c>
      <c r="E171" s="65">
        <f t="shared" si="164"/>
        <v>50.560451516200011</v>
      </c>
      <c r="F171" s="65">
        <f t="shared" si="164"/>
        <v>53.167434630585205</v>
      </c>
      <c r="G171" s="65">
        <f t="shared" si="164"/>
        <v>48.46290478758678</v>
      </c>
      <c r="H171" s="65">
        <f t="shared" si="164"/>
        <v>57.273351515220583</v>
      </c>
      <c r="I171" s="65">
        <f t="shared" si="164"/>
        <v>74.129054050453519</v>
      </c>
      <c r="J171" s="65">
        <f t="shared" si="164"/>
        <v>78.829685867501141</v>
      </c>
      <c r="K171" s="65">
        <f t="shared" si="164"/>
        <v>81.123143560160642</v>
      </c>
      <c r="L171" s="65">
        <f t="shared" si="164"/>
        <v>85.699583298136616</v>
      </c>
      <c r="M171" s="65">
        <f t="shared" si="164"/>
        <v>84.800632204550624</v>
      </c>
      <c r="N171" s="65">
        <f t="shared" si="164"/>
        <v>101.21612993651068</v>
      </c>
      <c r="O171" s="65">
        <f t="shared" si="164"/>
        <v>112.06665245002263</v>
      </c>
      <c r="P171" s="65">
        <f t="shared" si="164"/>
        <v>114.23419316099589</v>
      </c>
      <c r="Q171" s="65">
        <f t="shared" si="164"/>
        <v>114.99358090865482</v>
      </c>
      <c r="R171" s="65">
        <f t="shared" si="164"/>
        <v>97.548893182245365</v>
      </c>
      <c r="S171" s="65">
        <f t="shared" si="164"/>
        <v>91.876031302834932</v>
      </c>
      <c r="T171" s="65">
        <f t="shared" si="164"/>
        <v>78.654001775172119</v>
      </c>
      <c r="U171" s="65">
        <f t="shared" si="164"/>
        <v>76.38334735492117</v>
      </c>
      <c r="V171" s="65">
        <f t="shared" si="164"/>
        <v>43.955340670769772</v>
      </c>
      <c r="W171" s="65">
        <f t="shared" si="164"/>
        <v>71.648375392807594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106.66755721114541</v>
      </c>
      <c r="C172" s="67">
        <f t="shared" ref="C172:W172" si="166">IF(C118=0,0,C118/C$23)</f>
        <v>124.3856709568698</v>
      </c>
      <c r="D172" s="67">
        <f t="shared" si="166"/>
        <v>160.66072769936787</v>
      </c>
      <c r="E172" s="67">
        <f t="shared" si="166"/>
        <v>159.40898428923464</v>
      </c>
      <c r="F172" s="67">
        <f t="shared" si="166"/>
        <v>151.2218364088769</v>
      </c>
      <c r="G172" s="67">
        <f t="shared" si="166"/>
        <v>144.48282569870113</v>
      </c>
      <c r="H172" s="67">
        <f t="shared" si="166"/>
        <v>138.9739051549461</v>
      </c>
      <c r="I172" s="67">
        <f t="shared" si="166"/>
        <v>106.63116181636562</v>
      </c>
      <c r="J172" s="67">
        <f t="shared" si="166"/>
        <v>91.708271855340783</v>
      </c>
      <c r="K172" s="67">
        <f t="shared" si="166"/>
        <v>102.93853627102035</v>
      </c>
      <c r="L172" s="67">
        <f t="shared" si="166"/>
        <v>117.08303131837592</v>
      </c>
      <c r="M172" s="67">
        <f t="shared" si="166"/>
        <v>73.406885087341877</v>
      </c>
      <c r="N172" s="67">
        <f t="shared" si="166"/>
        <v>98.978003975429445</v>
      </c>
      <c r="O172" s="67">
        <f t="shared" si="166"/>
        <v>113.98460311025565</v>
      </c>
      <c r="P172" s="67">
        <f t="shared" si="166"/>
        <v>114.72588863770849</v>
      </c>
      <c r="Q172" s="67">
        <f t="shared" si="166"/>
        <v>117.09924163013103</v>
      </c>
      <c r="R172" s="67">
        <f t="shared" si="166"/>
        <v>112.47730103395146</v>
      </c>
      <c r="S172" s="67">
        <f t="shared" si="166"/>
        <v>97.643013780093654</v>
      </c>
      <c r="T172" s="67">
        <f t="shared" si="166"/>
        <v>86.648190586864317</v>
      </c>
      <c r="U172" s="67">
        <f t="shared" si="166"/>
        <v>70.956082801013864</v>
      </c>
      <c r="V172" s="67">
        <f t="shared" si="166"/>
        <v>63.537621208482534</v>
      </c>
      <c r="W172" s="67">
        <f t="shared" si="166"/>
        <v>99.742874643013749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29067.916102302006</v>
      </c>
      <c r="C3" s="125">
        <f t="shared" si="0"/>
        <v>29629.813634367878</v>
      </c>
      <c r="D3" s="125">
        <f t="shared" si="0"/>
        <v>30366.108369769288</v>
      </c>
      <c r="E3" s="125">
        <f t="shared" si="0"/>
        <v>31134.212078668075</v>
      </c>
      <c r="F3" s="125">
        <f t="shared" si="0"/>
        <v>31952.287521923598</v>
      </c>
      <c r="G3" s="125">
        <f t="shared" si="0"/>
        <v>33096.026500543398</v>
      </c>
      <c r="H3" s="125">
        <f t="shared" si="0"/>
        <v>34606.277374132107</v>
      </c>
      <c r="I3" s="125">
        <f t="shared" si="0"/>
        <v>36528.40088868457</v>
      </c>
      <c r="J3" s="125">
        <f t="shared" si="0"/>
        <v>37733.884344548576</v>
      </c>
      <c r="K3" s="125">
        <f t="shared" si="0"/>
        <v>37671.585043342558</v>
      </c>
      <c r="L3" s="125">
        <f t="shared" si="0"/>
        <v>38498.244384278769</v>
      </c>
      <c r="M3" s="125">
        <f t="shared" si="0"/>
        <v>38877.516382023045</v>
      </c>
      <c r="N3" s="125">
        <f t="shared" si="0"/>
        <v>39263.407513805534</v>
      </c>
      <c r="O3" s="125">
        <f t="shared" si="0"/>
        <v>39603.976372071105</v>
      </c>
      <c r="P3" s="125">
        <f t="shared" si="0"/>
        <v>39978.477392553519</v>
      </c>
      <c r="Q3" s="125">
        <f t="shared" si="0"/>
        <v>40478.968430540495</v>
      </c>
      <c r="R3" s="125">
        <f t="shared" si="0"/>
        <v>40965.382473694131</v>
      </c>
      <c r="S3" s="125">
        <f t="shared" si="0"/>
        <v>41485.244193597871</v>
      </c>
      <c r="T3" s="125">
        <f t="shared" si="0"/>
        <v>42088.389352682098</v>
      </c>
      <c r="U3" s="125">
        <f t="shared" si="0"/>
        <v>42715.760838577247</v>
      </c>
      <c r="V3" s="125">
        <f t="shared" si="0"/>
        <v>43319.896666666667</v>
      </c>
      <c r="W3" s="125">
        <f t="shared" si="0"/>
        <v>43884.839645805048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29067.916102302006</v>
      </c>
      <c r="C4" s="140">
        <f t="shared" si="1"/>
        <v>29629.813634367878</v>
      </c>
      <c r="D4" s="140">
        <f t="shared" si="1"/>
        <v>30366.108369769288</v>
      </c>
      <c r="E4" s="140">
        <f t="shared" si="1"/>
        <v>31134.212078668075</v>
      </c>
      <c r="F4" s="140">
        <f t="shared" si="1"/>
        <v>31952.287521923598</v>
      </c>
      <c r="G4" s="140">
        <f t="shared" si="1"/>
        <v>33096.026500543398</v>
      </c>
      <c r="H4" s="140">
        <f t="shared" si="1"/>
        <v>34606.277374132107</v>
      </c>
      <c r="I4" s="140">
        <f t="shared" si="1"/>
        <v>36528.40088868457</v>
      </c>
      <c r="J4" s="140">
        <f t="shared" si="1"/>
        <v>37733.884344548576</v>
      </c>
      <c r="K4" s="140">
        <f t="shared" si="1"/>
        <v>37671.585043342558</v>
      </c>
      <c r="L4" s="140">
        <f t="shared" si="1"/>
        <v>38498.244384278769</v>
      </c>
      <c r="M4" s="140">
        <f t="shared" si="1"/>
        <v>38877.516382023045</v>
      </c>
      <c r="N4" s="140">
        <f t="shared" si="1"/>
        <v>39263.407513805534</v>
      </c>
      <c r="O4" s="140">
        <f t="shared" si="1"/>
        <v>39603.976372071105</v>
      </c>
      <c r="P4" s="140">
        <f t="shared" si="1"/>
        <v>39978.477392553519</v>
      </c>
      <c r="Q4" s="140">
        <f t="shared" si="1"/>
        <v>40478.968430540495</v>
      </c>
      <c r="R4" s="140">
        <f t="shared" ref="R4:W4" si="2">SUM(R5:R14)</f>
        <v>40965.382473694131</v>
      </c>
      <c r="S4" s="140">
        <f t="shared" si="2"/>
        <v>41485.244193597871</v>
      </c>
      <c r="T4" s="140">
        <f t="shared" si="2"/>
        <v>42088.389352682098</v>
      </c>
      <c r="U4" s="140">
        <f t="shared" si="2"/>
        <v>42715.760838577247</v>
      </c>
      <c r="V4" s="140">
        <f t="shared" si="2"/>
        <v>43319.896666666667</v>
      </c>
      <c r="W4" s="140">
        <f t="shared" si="2"/>
        <v>43884.839645805048</v>
      </c>
      <c r="DA4" s="170" t="s">
        <v>245</v>
      </c>
    </row>
    <row r="5" spans="1:105" ht="12" customHeight="1" x14ac:dyDescent="0.25">
      <c r="A5" s="132" t="s">
        <v>29</v>
      </c>
      <c r="B5" s="141">
        <v>3339.2709242466044</v>
      </c>
      <c r="C5" s="141">
        <v>3239.0355697679488</v>
      </c>
      <c r="D5" s="141">
        <v>3075.164132108735</v>
      </c>
      <c r="E5" s="141">
        <v>2233.0023733558014</v>
      </c>
      <c r="F5" s="141">
        <v>2185.6032833706768</v>
      </c>
      <c r="G5" s="141">
        <v>2176.5070785810517</v>
      </c>
      <c r="H5" s="141">
        <v>2368.5250980291626</v>
      </c>
      <c r="I5" s="141">
        <v>4115.1820273715957</v>
      </c>
      <c r="J5" s="141">
        <v>6087.7364439427083</v>
      </c>
      <c r="K5" s="141">
        <v>7468.4900056621645</v>
      </c>
      <c r="L5" s="141">
        <v>7709.7672767376298</v>
      </c>
      <c r="M5" s="141">
        <v>7494.242728498969</v>
      </c>
      <c r="N5" s="141">
        <v>5315.641208321701</v>
      </c>
      <c r="O5" s="141">
        <v>5024.067244676583</v>
      </c>
      <c r="P5" s="141">
        <v>4456.0292323108206</v>
      </c>
      <c r="Q5" s="141">
        <v>4101.5951011537527</v>
      </c>
      <c r="R5" s="141">
        <v>3284.0976901665608</v>
      </c>
      <c r="S5" s="141">
        <v>3357.4362038719541</v>
      </c>
      <c r="T5" s="141">
        <v>3733.3355859820813</v>
      </c>
      <c r="U5" s="141">
        <v>3820.3751315707432</v>
      </c>
      <c r="V5" s="141">
        <v>3663.7153287318956</v>
      </c>
      <c r="W5" s="141">
        <v>3586.2865337217709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653.66321313328001</v>
      </c>
      <c r="C7" s="141">
        <v>632.25666738666825</v>
      </c>
      <c r="D7" s="141">
        <v>570.38241964735869</v>
      </c>
      <c r="E7" s="141">
        <v>537.99061988357494</v>
      </c>
      <c r="F7" s="141">
        <v>521.10775231359548</v>
      </c>
      <c r="G7" s="141">
        <v>477.38425113720456</v>
      </c>
      <c r="H7" s="141">
        <v>343.96105249616164</v>
      </c>
      <c r="I7" s="141">
        <v>179.68014647417027</v>
      </c>
      <c r="J7" s="141">
        <v>116.34602829167433</v>
      </c>
      <c r="K7" s="141">
        <v>104.10066147680857</v>
      </c>
      <c r="L7" s="141">
        <v>0</v>
      </c>
      <c r="M7" s="141">
        <v>0</v>
      </c>
      <c r="N7" s="141">
        <v>0</v>
      </c>
      <c r="O7" s="141">
        <v>103.02306033786671</v>
      </c>
      <c r="P7" s="141">
        <v>207.09607490479831</v>
      </c>
      <c r="Q7" s="141">
        <v>246.51419409412091</v>
      </c>
      <c r="R7" s="141">
        <v>246.27697635149775</v>
      </c>
      <c r="S7" s="141">
        <v>232.93581065779168</v>
      </c>
      <c r="T7" s="141">
        <v>225.11293722078352</v>
      </c>
      <c r="U7" s="141">
        <v>217.6975474845193</v>
      </c>
      <c r="V7" s="141">
        <v>221.9420271440176</v>
      </c>
      <c r="W7" s="141">
        <v>221.91961722193702</v>
      </c>
      <c r="DA7" s="171" t="s">
        <v>248</v>
      </c>
    </row>
    <row r="8" spans="1:105" ht="12" customHeight="1" x14ac:dyDescent="0.25">
      <c r="A8" s="132" t="s">
        <v>73</v>
      </c>
      <c r="B8" s="141">
        <v>0.55335951392549432</v>
      </c>
      <c r="C8" s="141">
        <v>0.80490320033156182</v>
      </c>
      <c r="D8" s="141">
        <v>1.4743979733348234</v>
      </c>
      <c r="E8" s="141">
        <v>2.167332950328523</v>
      </c>
      <c r="F8" s="141">
        <v>2.6122230831440425</v>
      </c>
      <c r="G8" s="141">
        <v>2.8699812927121457</v>
      </c>
      <c r="H8" s="141">
        <v>3.0632457264358295</v>
      </c>
      <c r="I8" s="141">
        <v>3.2861300950411256</v>
      </c>
      <c r="J8" s="141">
        <v>3.5407297672320936</v>
      </c>
      <c r="K8" s="141">
        <v>4.3301990063172502</v>
      </c>
      <c r="L8" s="141">
        <v>5.9242764870727971</v>
      </c>
      <c r="M8" s="141">
        <v>8.9707920735012898</v>
      </c>
      <c r="N8" s="141">
        <v>13.693267337308413</v>
      </c>
      <c r="O8" s="141">
        <v>19.791950631405342</v>
      </c>
      <c r="P8" s="141">
        <v>27.635268734379761</v>
      </c>
      <c r="Q8" s="141">
        <v>31.688755189383979</v>
      </c>
      <c r="R8" s="141">
        <v>32.403571557941405</v>
      </c>
      <c r="S8" s="141">
        <v>33.113355367359489</v>
      </c>
      <c r="T8" s="141">
        <v>35.365469531700398</v>
      </c>
      <c r="U8" s="141">
        <v>39.843515202259816</v>
      </c>
      <c r="V8" s="141">
        <v>47.632152548319965</v>
      </c>
      <c r="W8" s="141">
        <v>53.0084397113568</v>
      </c>
      <c r="DA8" s="171" t="s">
        <v>249</v>
      </c>
    </row>
    <row r="9" spans="1:105" ht="12" customHeight="1" x14ac:dyDescent="0.25">
      <c r="A9" s="132" t="s">
        <v>78</v>
      </c>
      <c r="B9" s="141">
        <v>15525.560873383381</v>
      </c>
      <c r="C9" s="141">
        <v>12612.797738846659</v>
      </c>
      <c r="D9" s="141">
        <v>10407.267628576805</v>
      </c>
      <c r="E9" s="141">
        <v>10505.88886257312</v>
      </c>
      <c r="F9" s="141">
        <v>11786.107580790795</v>
      </c>
      <c r="G9" s="141">
        <v>15161.362370674984</v>
      </c>
      <c r="H9" s="141">
        <v>18335.623143052791</v>
      </c>
      <c r="I9" s="141">
        <v>19382.142633131083</v>
      </c>
      <c r="J9" s="141">
        <v>18348.453439891717</v>
      </c>
      <c r="K9" s="141">
        <v>15575.096404772004</v>
      </c>
      <c r="L9" s="141">
        <v>15022.137481063437</v>
      </c>
      <c r="M9" s="141">
        <v>15047.510323337985</v>
      </c>
      <c r="N9" s="141">
        <v>18486.126008250041</v>
      </c>
      <c r="O9" s="141">
        <v>19282.094011186538</v>
      </c>
      <c r="P9" s="141">
        <v>19715.278389808278</v>
      </c>
      <c r="Q9" s="141">
        <v>19512.360993087117</v>
      </c>
      <c r="R9" s="141">
        <v>20216.698344293512</v>
      </c>
      <c r="S9" s="141">
        <v>20031.103966476581</v>
      </c>
      <c r="T9" s="141">
        <v>19866.820580348263</v>
      </c>
      <c r="U9" s="141">
        <v>20372.900024741371</v>
      </c>
      <c r="V9" s="141">
        <v>20403.800917441054</v>
      </c>
      <c r="W9" s="141">
        <v>20689.384006593002</v>
      </c>
      <c r="DA9" s="171" t="s">
        <v>250</v>
      </c>
    </row>
    <row r="10" spans="1:105" ht="12" customHeight="1" x14ac:dyDescent="0.25">
      <c r="A10" s="132" t="s">
        <v>128</v>
      </c>
      <c r="B10" s="141">
        <v>191.6520099565376</v>
      </c>
      <c r="C10" s="141">
        <v>154.66360012919503</v>
      </c>
      <c r="D10" s="141">
        <v>110.28006739229816</v>
      </c>
      <c r="E10" s="141">
        <v>95.938884822005704</v>
      </c>
      <c r="F10" s="141">
        <v>60.046446637261432</v>
      </c>
      <c r="G10" s="141">
        <v>35.540625457738244</v>
      </c>
      <c r="H10" s="141">
        <v>46.203712080820203</v>
      </c>
      <c r="I10" s="141">
        <v>98.748531025801498</v>
      </c>
      <c r="J10" s="141">
        <v>213.84958670064694</v>
      </c>
      <c r="K10" s="141">
        <v>292.7250583857662</v>
      </c>
      <c r="L10" s="141">
        <v>334.83564986712457</v>
      </c>
      <c r="M10" s="141">
        <v>376.68270998782884</v>
      </c>
      <c r="N10" s="141">
        <v>421.05705003195635</v>
      </c>
      <c r="O10" s="141">
        <v>488.40178885003343</v>
      </c>
      <c r="P10" s="141">
        <v>581.55817256943783</v>
      </c>
      <c r="Q10" s="141">
        <v>632.43734761182247</v>
      </c>
      <c r="R10" s="141">
        <v>708.9145793315538</v>
      </c>
      <c r="S10" s="141">
        <v>841.1433217229237</v>
      </c>
      <c r="T10" s="141">
        <v>1035.9233440557946</v>
      </c>
      <c r="U10" s="141">
        <v>1295.4983200712593</v>
      </c>
      <c r="V10" s="141">
        <v>1424.4343568439226</v>
      </c>
      <c r="W10" s="141">
        <v>1465.4223500833884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14.875980284389975</v>
      </c>
      <c r="D11" s="141">
        <v>21.250744361606053</v>
      </c>
      <c r="E11" s="141">
        <v>26.655344102821875</v>
      </c>
      <c r="F11" s="141">
        <v>27.664429460877397</v>
      </c>
      <c r="G11" s="141">
        <v>29.601243327210355</v>
      </c>
      <c r="H11" s="141">
        <v>32.646627225696847</v>
      </c>
      <c r="I11" s="141">
        <v>34.971324019552569</v>
      </c>
      <c r="J11" s="141">
        <v>35.920280141913167</v>
      </c>
      <c r="K11" s="141">
        <v>35.738941562883376</v>
      </c>
      <c r="L11" s="141">
        <v>35.622648305108385</v>
      </c>
      <c r="M11" s="141">
        <v>36.67164254870648</v>
      </c>
      <c r="N11" s="141">
        <v>37.09470311409175</v>
      </c>
      <c r="O11" s="141">
        <v>37.698475055508915</v>
      </c>
      <c r="P11" s="141">
        <v>40.776332442727401</v>
      </c>
      <c r="Q11" s="141">
        <v>42.812387915174426</v>
      </c>
      <c r="R11" s="141">
        <v>44.953754810614448</v>
      </c>
      <c r="S11" s="141">
        <v>44.226443190012773</v>
      </c>
      <c r="T11" s="141">
        <v>39.903585826754565</v>
      </c>
      <c r="U11" s="141">
        <v>31.765138664547997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4096.4153836531696</v>
      </c>
      <c r="C12" s="141">
        <v>4762.2468385594611</v>
      </c>
      <c r="D12" s="141">
        <v>6152.1889343534713</v>
      </c>
      <c r="E12" s="141">
        <v>7141.4148419195844</v>
      </c>
      <c r="F12" s="141">
        <v>7391.9395909803388</v>
      </c>
      <c r="G12" s="141">
        <v>7302.4495427090887</v>
      </c>
      <c r="H12" s="141">
        <v>6639.3806720015164</v>
      </c>
      <c r="I12" s="141">
        <v>6152.5469792005533</v>
      </c>
      <c r="J12" s="141">
        <v>6162.5502872620855</v>
      </c>
      <c r="K12" s="141">
        <v>6540.9895661378659</v>
      </c>
      <c r="L12" s="141">
        <v>6722.2730654774405</v>
      </c>
      <c r="M12" s="141">
        <v>6499.7713109556416</v>
      </c>
      <c r="N12" s="141">
        <v>5345.4726419454455</v>
      </c>
      <c r="O12" s="141">
        <v>4463.6545006882052</v>
      </c>
      <c r="P12" s="141">
        <v>4249.7081888386165</v>
      </c>
      <c r="Q12" s="141">
        <v>3880.3034075457554</v>
      </c>
      <c r="R12" s="141">
        <v>3672.2635213549288</v>
      </c>
      <c r="S12" s="141">
        <v>3908.6484411263336</v>
      </c>
      <c r="T12" s="141">
        <v>4405.7603618612256</v>
      </c>
      <c r="U12" s="141">
        <v>4742.7583771293293</v>
      </c>
      <c r="V12" s="141">
        <v>5312.7800146774352</v>
      </c>
      <c r="W12" s="141">
        <v>5593.8934075547504</v>
      </c>
      <c r="DA12" s="171" t="s">
        <v>253</v>
      </c>
    </row>
    <row r="13" spans="1:105" ht="12" customHeight="1" x14ac:dyDescent="0.25">
      <c r="A13" s="132" t="s">
        <v>77</v>
      </c>
      <c r="B13" s="141">
        <v>1.8323991709717389</v>
      </c>
      <c r="C13" s="141">
        <v>4.6936153138809056</v>
      </c>
      <c r="D13" s="141">
        <v>9.6024232673021874</v>
      </c>
      <c r="E13" s="141">
        <v>14.10436839366241</v>
      </c>
      <c r="F13" s="141">
        <v>17.691603209840306</v>
      </c>
      <c r="G13" s="141">
        <v>20.226782531983769</v>
      </c>
      <c r="H13" s="141">
        <v>23.782231473623327</v>
      </c>
      <c r="I13" s="141">
        <v>31.437589124565505</v>
      </c>
      <c r="J13" s="141">
        <v>42.226479970404881</v>
      </c>
      <c r="K13" s="141">
        <v>70.013605758929089</v>
      </c>
      <c r="L13" s="141">
        <v>121.68783922880675</v>
      </c>
      <c r="M13" s="141">
        <v>198.13834486296122</v>
      </c>
      <c r="N13" s="141">
        <v>291.2585802846221</v>
      </c>
      <c r="O13" s="141">
        <v>419.50964409168341</v>
      </c>
      <c r="P13" s="141">
        <v>635.65391001249168</v>
      </c>
      <c r="Q13" s="141">
        <v>885.61961403606767</v>
      </c>
      <c r="R13" s="141">
        <v>1013.3098530974567</v>
      </c>
      <c r="S13" s="141">
        <v>1076.1279358720562</v>
      </c>
      <c r="T13" s="141">
        <v>1206.1202880620756</v>
      </c>
      <c r="U13" s="141">
        <v>1357.7089061343199</v>
      </c>
      <c r="V13" s="141">
        <v>1617.3125512594993</v>
      </c>
      <c r="W13" s="141">
        <v>1740.8470695719066</v>
      </c>
      <c r="DA13" s="171" t="s">
        <v>254</v>
      </c>
    </row>
    <row r="14" spans="1:105" ht="12" customHeight="1" x14ac:dyDescent="0.25">
      <c r="A14" s="60" t="s">
        <v>76</v>
      </c>
      <c r="B14" s="142">
        <v>5258.9679392441321</v>
      </c>
      <c r="C14" s="142">
        <v>8208.4387208793432</v>
      </c>
      <c r="D14" s="142">
        <v>10018.497622088376</v>
      </c>
      <c r="E14" s="142">
        <v>10577.049450667175</v>
      </c>
      <c r="F14" s="142">
        <v>9959.514612077066</v>
      </c>
      <c r="G14" s="142">
        <v>7890.0846248314228</v>
      </c>
      <c r="H14" s="142">
        <v>6813.0915920458965</v>
      </c>
      <c r="I14" s="142">
        <v>6530.4055282422041</v>
      </c>
      <c r="J14" s="142">
        <v>6723.2610685801965</v>
      </c>
      <c r="K14" s="142">
        <v>7580.1006005798208</v>
      </c>
      <c r="L14" s="142">
        <v>8545.9961471121551</v>
      </c>
      <c r="M14" s="142">
        <v>9215.5285297574537</v>
      </c>
      <c r="N14" s="142">
        <v>9353.0640545203642</v>
      </c>
      <c r="O14" s="142">
        <v>9765.7356965532799</v>
      </c>
      <c r="P14" s="142">
        <v>10064.741822931966</v>
      </c>
      <c r="Q14" s="142">
        <v>11145.636629907298</v>
      </c>
      <c r="R14" s="142">
        <v>11746.464182730062</v>
      </c>
      <c r="S14" s="142">
        <v>11960.508715312859</v>
      </c>
      <c r="T14" s="142">
        <v>11540.047199793415</v>
      </c>
      <c r="U14" s="142">
        <v>10837.213877578894</v>
      </c>
      <c r="V14" s="142">
        <v>10628.279318020526</v>
      </c>
      <c r="W14" s="142">
        <v>10534.078221346937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23807.115763886901</v>
      </c>
      <c r="C15" s="144">
        <f t="shared" si="3"/>
        <v>21416.681298174655</v>
      </c>
      <c r="D15" s="144">
        <f t="shared" si="3"/>
        <v>20338.008324413611</v>
      </c>
      <c r="E15" s="144">
        <f t="shared" si="3"/>
        <v>20543.058259607238</v>
      </c>
      <c r="F15" s="144">
        <f t="shared" si="3"/>
        <v>21975.08130663669</v>
      </c>
      <c r="G15" s="144">
        <f t="shared" si="3"/>
        <v>25185.715093179992</v>
      </c>
      <c r="H15" s="144">
        <f t="shared" si="3"/>
        <v>27769.403550612587</v>
      </c>
      <c r="I15" s="144">
        <f t="shared" si="3"/>
        <v>29966.557771317799</v>
      </c>
      <c r="J15" s="144">
        <f t="shared" si="3"/>
        <v>30968.396795997975</v>
      </c>
      <c r="K15" s="144">
        <f t="shared" si="3"/>
        <v>30021.47083700381</v>
      </c>
      <c r="L15" s="144">
        <f t="shared" si="3"/>
        <v>29830.560397937807</v>
      </c>
      <c r="M15" s="144">
        <f t="shared" si="3"/>
        <v>29463.849507402632</v>
      </c>
      <c r="N15" s="144">
        <f t="shared" si="3"/>
        <v>29619.084879000544</v>
      </c>
      <c r="O15" s="144">
        <f t="shared" si="3"/>
        <v>29418.731031426141</v>
      </c>
      <c r="P15" s="144">
        <f t="shared" si="3"/>
        <v>29278.081659609063</v>
      </c>
      <c r="Q15" s="144">
        <f t="shared" si="3"/>
        <v>28447.712186597128</v>
      </c>
      <c r="R15" s="144">
        <f t="shared" ref="R15:W15" si="4">SUM(R5:R12)</f>
        <v>28205.608437866609</v>
      </c>
      <c r="S15" s="144">
        <f t="shared" si="4"/>
        <v>28448.607542412956</v>
      </c>
      <c r="T15" s="144">
        <f t="shared" si="4"/>
        <v>29342.221864826606</v>
      </c>
      <c r="U15" s="144">
        <f t="shared" si="4"/>
        <v>30520.838054864031</v>
      </c>
      <c r="V15" s="144">
        <f t="shared" si="4"/>
        <v>31074.304797386645</v>
      </c>
      <c r="W15" s="144">
        <f t="shared" si="4"/>
        <v>31609.914354886205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3819.3940364641717</v>
      </c>
      <c r="C16" s="140">
        <f t="shared" si="5"/>
        <v>4115.9983368021176</v>
      </c>
      <c r="D16" s="140">
        <f t="shared" si="5"/>
        <v>4549.4458247924586</v>
      </c>
      <c r="E16" s="140">
        <f t="shared" si="5"/>
        <v>4852.3334929691746</v>
      </c>
      <c r="F16" s="140">
        <f t="shared" si="5"/>
        <v>5194.6432317123035</v>
      </c>
      <c r="G16" s="140">
        <f t="shared" si="5"/>
        <v>5506.9806198817214</v>
      </c>
      <c r="H16" s="140">
        <f t="shared" si="5"/>
        <v>5899.1802272528539</v>
      </c>
      <c r="I16" s="140">
        <f t="shared" si="5"/>
        <v>6503.3453273774239</v>
      </c>
      <c r="J16" s="140">
        <f t="shared" si="5"/>
        <v>7001.9562019553459</v>
      </c>
      <c r="K16" s="140">
        <f t="shared" si="5"/>
        <v>7209.9828145488709</v>
      </c>
      <c r="L16" s="140">
        <f t="shared" si="5"/>
        <v>7530.7130623824114</v>
      </c>
      <c r="M16" s="140">
        <f t="shared" si="5"/>
        <v>7612.1299567168644</v>
      </c>
      <c r="N16" s="140">
        <f t="shared" si="5"/>
        <v>7809.8180419612745</v>
      </c>
      <c r="O16" s="140">
        <f t="shared" si="5"/>
        <v>7956.8610805664293</v>
      </c>
      <c r="P16" s="140">
        <f t="shared" si="5"/>
        <v>8126.2812412583016</v>
      </c>
      <c r="Q16" s="140">
        <f t="shared" si="5"/>
        <v>8270.9029568973838</v>
      </c>
      <c r="R16" s="140">
        <f t="shared" ref="R16:W16" si="6">SUM(R17:R18)</f>
        <v>8390.328748442269</v>
      </c>
      <c r="S16" s="140">
        <f t="shared" si="6"/>
        <v>8597.2037266699917</v>
      </c>
      <c r="T16" s="140">
        <f t="shared" si="6"/>
        <v>8819.7465533253926</v>
      </c>
      <c r="U16" s="140">
        <f t="shared" si="6"/>
        <v>9072.0714604127679</v>
      </c>
      <c r="V16" s="140">
        <f t="shared" si="6"/>
        <v>8952.1132610235727</v>
      </c>
      <c r="W16" s="140">
        <f t="shared" si="6"/>
        <v>9210.3533256509327</v>
      </c>
      <c r="DA16" s="170" t="s">
        <v>256</v>
      </c>
    </row>
    <row r="17" spans="1:105" ht="12.95" customHeight="1" x14ac:dyDescent="0.25">
      <c r="A17" s="132" t="s">
        <v>73</v>
      </c>
      <c r="B17" s="141">
        <v>7.4888763572882864</v>
      </c>
      <c r="C17" s="141">
        <v>12.40480848720207</v>
      </c>
      <c r="D17" s="141">
        <v>10.947712754779193</v>
      </c>
      <c r="E17" s="141">
        <v>4.1956765830403793</v>
      </c>
      <c r="F17" s="141">
        <v>12.858903299899575</v>
      </c>
      <c r="G17" s="141">
        <v>18.945802457798646</v>
      </c>
      <c r="H17" s="141">
        <v>22.229978124368298</v>
      </c>
      <c r="I17" s="141">
        <v>23.344964653871994</v>
      </c>
      <c r="J17" s="141">
        <v>27.074017426316683</v>
      </c>
      <c r="K17" s="141">
        <v>27.059779308219159</v>
      </c>
      <c r="L17" s="141">
        <v>28.861714510532902</v>
      </c>
      <c r="M17" s="141">
        <v>32.049289699630734</v>
      </c>
      <c r="N17" s="141">
        <v>33.555852764077365</v>
      </c>
      <c r="O17" s="141">
        <v>43.105550288925336</v>
      </c>
      <c r="P17" s="141">
        <v>62.54253441708785</v>
      </c>
      <c r="Q17" s="141">
        <v>74.338170391092916</v>
      </c>
      <c r="R17" s="141">
        <v>111.94734743590776</v>
      </c>
      <c r="S17" s="141">
        <v>126.49754834287222</v>
      </c>
      <c r="T17" s="141">
        <v>149.17729397764043</v>
      </c>
      <c r="U17" s="141">
        <v>161.3139688806549</v>
      </c>
      <c r="V17" s="141">
        <v>182.82154788583611</v>
      </c>
      <c r="W17" s="141">
        <v>201.18816341502381</v>
      </c>
      <c r="DA17" s="171" t="s">
        <v>257</v>
      </c>
    </row>
    <row r="18" spans="1:105" ht="12" customHeight="1" x14ac:dyDescent="0.25">
      <c r="A18" s="132" t="s">
        <v>72</v>
      </c>
      <c r="B18" s="141">
        <v>3811.9051601068836</v>
      </c>
      <c r="C18" s="141">
        <v>4103.5935283149156</v>
      </c>
      <c r="D18" s="141">
        <v>4538.4981120376797</v>
      </c>
      <c r="E18" s="141">
        <v>4848.1378163861345</v>
      </c>
      <c r="F18" s="141">
        <v>5181.7843284124037</v>
      </c>
      <c r="G18" s="141">
        <v>5488.0348174239225</v>
      </c>
      <c r="H18" s="141">
        <v>5876.9502491284857</v>
      </c>
      <c r="I18" s="141">
        <v>6480.0003627235519</v>
      </c>
      <c r="J18" s="141">
        <v>6974.8821845290295</v>
      </c>
      <c r="K18" s="141">
        <v>7182.9230352406521</v>
      </c>
      <c r="L18" s="141">
        <v>7501.8513478718787</v>
      </c>
      <c r="M18" s="141">
        <v>7580.0806670172333</v>
      </c>
      <c r="N18" s="141">
        <v>7776.2621891971976</v>
      </c>
      <c r="O18" s="141">
        <v>7913.7555302775036</v>
      </c>
      <c r="P18" s="141">
        <v>8063.7387068412136</v>
      </c>
      <c r="Q18" s="141">
        <v>8196.5647865062911</v>
      </c>
      <c r="R18" s="141">
        <v>8278.3814010063616</v>
      </c>
      <c r="S18" s="141">
        <v>8470.7061783271201</v>
      </c>
      <c r="T18" s="141">
        <v>8670.5692593477524</v>
      </c>
      <c r="U18" s="141">
        <v>8910.7574915321129</v>
      </c>
      <c r="V18" s="141">
        <v>8769.2917131377362</v>
      </c>
      <c r="W18" s="141">
        <v>9009.1651622359095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29067.916102301999</v>
      </c>
      <c r="C19" s="140">
        <f t="shared" si="7"/>
        <v>29629.813634367878</v>
      </c>
      <c r="D19" s="140">
        <f t="shared" si="7"/>
        <v>30366.108369769281</v>
      </c>
      <c r="E19" s="140">
        <f t="shared" si="7"/>
        <v>31134.212078668075</v>
      </c>
      <c r="F19" s="140">
        <f t="shared" si="7"/>
        <v>31952.287521923594</v>
      </c>
      <c r="G19" s="140">
        <f t="shared" si="7"/>
        <v>33096.02650054339</v>
      </c>
      <c r="H19" s="140">
        <f t="shared" si="7"/>
        <v>34606.277374132114</v>
      </c>
      <c r="I19" s="140">
        <f t="shared" si="7"/>
        <v>36528.400888684562</v>
      </c>
      <c r="J19" s="140">
        <f t="shared" si="7"/>
        <v>37733.884344548591</v>
      </c>
      <c r="K19" s="140">
        <f t="shared" si="7"/>
        <v>37671.585043342558</v>
      </c>
      <c r="L19" s="140">
        <f t="shared" si="7"/>
        <v>38498.244384278791</v>
      </c>
      <c r="M19" s="140">
        <f t="shared" si="7"/>
        <v>38877.516382023052</v>
      </c>
      <c r="N19" s="140">
        <f t="shared" si="7"/>
        <v>39263.407513805527</v>
      </c>
      <c r="O19" s="140">
        <f t="shared" si="7"/>
        <v>39603.976372071083</v>
      </c>
      <c r="P19" s="140">
        <f t="shared" si="7"/>
        <v>39978.477392553526</v>
      </c>
      <c r="Q19" s="140">
        <f t="shared" si="7"/>
        <v>40478.968430540503</v>
      </c>
      <c r="R19" s="140">
        <f t="shared" ref="R19:W19" si="8">SUM(R20:R26)</f>
        <v>40965.382473694146</v>
      </c>
      <c r="S19" s="140">
        <f t="shared" si="8"/>
        <v>41485.244193597886</v>
      </c>
      <c r="T19" s="140">
        <f t="shared" si="8"/>
        <v>42088.38935268209</v>
      </c>
      <c r="U19" s="140">
        <f t="shared" si="8"/>
        <v>42715.760838577211</v>
      </c>
      <c r="V19" s="140">
        <f t="shared" si="8"/>
        <v>43319.896666666667</v>
      </c>
      <c r="W19" s="140">
        <f t="shared" si="8"/>
        <v>43884.83964580507</v>
      </c>
      <c r="DA19" s="170" t="s">
        <v>259</v>
      </c>
    </row>
    <row r="20" spans="1:105" ht="12" customHeight="1" x14ac:dyDescent="0.25">
      <c r="A20" s="132" t="s">
        <v>29</v>
      </c>
      <c r="B20" s="141">
        <v>1679.5168963502331</v>
      </c>
      <c r="C20" s="141">
        <v>1537.4808842572506</v>
      </c>
      <c r="D20" s="141">
        <v>1266.9377756586464</v>
      </c>
      <c r="E20" s="141">
        <v>934.65788785754398</v>
      </c>
      <c r="F20" s="141">
        <v>743.19372657930228</v>
      </c>
      <c r="G20" s="141">
        <v>721.32038056630722</v>
      </c>
      <c r="H20" s="141">
        <v>1129.9928376095647</v>
      </c>
      <c r="I20" s="141">
        <v>1771.9800079597946</v>
      </c>
      <c r="J20" s="141">
        <v>2323.0055875555472</v>
      </c>
      <c r="K20" s="141">
        <v>2640.5584751688084</v>
      </c>
      <c r="L20" s="141">
        <v>2747.6933704297098</v>
      </c>
      <c r="M20" s="141">
        <v>2807.4897719102855</v>
      </c>
      <c r="N20" s="141">
        <v>2863.2442579636636</v>
      </c>
      <c r="O20" s="141">
        <v>2946.4023296982364</v>
      </c>
      <c r="P20" s="141">
        <v>2883.3422678718807</v>
      </c>
      <c r="Q20" s="141">
        <v>2729.7543587369269</v>
      </c>
      <c r="R20" s="141">
        <v>2342.1041921548781</v>
      </c>
      <c r="S20" s="141">
        <v>2220.9751827731329</v>
      </c>
      <c r="T20" s="141">
        <v>2196.5872158510351</v>
      </c>
      <c r="U20" s="141">
        <v>2091.0316552680347</v>
      </c>
      <c r="V20" s="141">
        <v>1813.6132121055564</v>
      </c>
      <c r="W20" s="141">
        <v>1531.9972848389077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0</v>
      </c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262</v>
      </c>
    </row>
    <row r="23" spans="1:105" ht="12" customHeight="1" x14ac:dyDescent="0.25">
      <c r="A23" s="132" t="s">
        <v>153</v>
      </c>
      <c r="B23" s="141">
        <v>2137.5853406108763</v>
      </c>
      <c r="C23" s="141">
        <v>3782.7957119095618</v>
      </c>
      <c r="D23" s="141">
        <v>4798.7247289543575</v>
      </c>
      <c r="E23" s="141">
        <v>5501.1393230862041</v>
      </c>
      <c r="F23" s="141">
        <v>6004.1948576076502</v>
      </c>
      <c r="G23" s="141">
        <v>6430.5485170312568</v>
      </c>
      <c r="H23" s="141">
        <v>7014.6036128501628</v>
      </c>
      <c r="I23" s="141">
        <v>7678.8680161514349</v>
      </c>
      <c r="J23" s="141">
        <v>8173.0757830016746</v>
      </c>
      <c r="K23" s="141">
        <v>8479.2780921689573</v>
      </c>
      <c r="L23" s="141">
        <v>9158.8773028124633</v>
      </c>
      <c r="M23" s="141">
        <v>10161.335216132462</v>
      </c>
      <c r="N23" s="141">
        <v>11852.335723164721</v>
      </c>
      <c r="O23" s="141">
        <v>13334.370564089968</v>
      </c>
      <c r="P23" s="141">
        <v>13823.53660359027</v>
      </c>
      <c r="Q23" s="141">
        <v>13981.728903823783</v>
      </c>
      <c r="R23" s="141">
        <v>13919.677237086549</v>
      </c>
      <c r="S23" s="141">
        <v>13343.998976286572</v>
      </c>
      <c r="T23" s="141">
        <v>11606.975588110181</v>
      </c>
      <c r="U23" s="141">
        <v>10770.950196548298</v>
      </c>
      <c r="V23" s="141">
        <v>10028.480149335352</v>
      </c>
      <c r="W23" s="141">
        <v>9717.9941141022409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3389.7019164285748</v>
      </c>
      <c r="C25" s="141">
        <v>4199.9658520555731</v>
      </c>
      <c r="D25" s="141">
        <v>5627.5773278115457</v>
      </c>
      <c r="E25" s="141">
        <v>6089.1888529090211</v>
      </c>
      <c r="F25" s="141">
        <v>6192.9785945041867</v>
      </c>
      <c r="G25" s="141">
        <v>5995.5355045292599</v>
      </c>
      <c r="H25" s="141">
        <v>5844.4298888392768</v>
      </c>
      <c r="I25" s="141">
        <v>5386.5979066076216</v>
      </c>
      <c r="J25" s="141">
        <v>5244.8155254447975</v>
      </c>
      <c r="K25" s="141">
        <v>5138.8276761632787</v>
      </c>
      <c r="L25" s="141">
        <v>4972.930071707452</v>
      </c>
      <c r="M25" s="141">
        <v>4702.614695351258</v>
      </c>
      <c r="N25" s="141">
        <v>4306.4428803622786</v>
      </c>
      <c r="O25" s="141">
        <v>3992.7008299888739</v>
      </c>
      <c r="P25" s="141">
        <v>3727.4994248913204</v>
      </c>
      <c r="Q25" s="141">
        <v>3668.1284893804027</v>
      </c>
      <c r="R25" s="141">
        <v>3570.992915216375</v>
      </c>
      <c r="S25" s="141">
        <v>3464.3747623948493</v>
      </c>
      <c r="T25" s="141">
        <v>3334.9299234447944</v>
      </c>
      <c r="U25" s="141">
        <v>3058.9282067012364</v>
      </c>
      <c r="V25" s="141">
        <v>2518.0575666346263</v>
      </c>
      <c r="W25" s="141">
        <v>2310.7028402658048</v>
      </c>
      <c r="DA25" s="171" t="s">
        <v>265</v>
      </c>
    </row>
    <row r="26" spans="1:105" ht="12" customHeight="1" x14ac:dyDescent="0.25">
      <c r="A26" s="132" t="s">
        <v>24</v>
      </c>
      <c r="B26" s="142">
        <v>21861.111948912316</v>
      </c>
      <c r="C26" s="142">
        <v>20109.571186145491</v>
      </c>
      <c r="D26" s="142">
        <v>18672.868537344733</v>
      </c>
      <c r="E26" s="142">
        <v>18609.226014815307</v>
      </c>
      <c r="F26" s="142">
        <v>19011.920343232454</v>
      </c>
      <c r="G26" s="142">
        <v>19948.622098416563</v>
      </c>
      <c r="H26" s="142">
        <v>20617.251034833109</v>
      </c>
      <c r="I26" s="142">
        <v>21690.95495796571</v>
      </c>
      <c r="J26" s="142">
        <v>21992.98744854657</v>
      </c>
      <c r="K26" s="142">
        <v>21412.920799841515</v>
      </c>
      <c r="L26" s="142">
        <v>21618.743639329161</v>
      </c>
      <c r="M26" s="142">
        <v>21206.076698629044</v>
      </c>
      <c r="N26" s="142">
        <v>20241.384652314864</v>
      </c>
      <c r="O26" s="142">
        <v>19330.502648294005</v>
      </c>
      <c r="P26" s="142">
        <v>19544.099096200058</v>
      </c>
      <c r="Q26" s="142">
        <v>20099.35667859939</v>
      </c>
      <c r="R26" s="142">
        <v>21132.608129236349</v>
      </c>
      <c r="S26" s="142">
        <v>22455.895272143327</v>
      </c>
      <c r="T26" s="142">
        <v>24949.89662527608</v>
      </c>
      <c r="U26" s="142">
        <v>26794.850780059642</v>
      </c>
      <c r="V26" s="142">
        <v>28959.745738591133</v>
      </c>
      <c r="W26" s="142">
        <v>30324.145406598116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15.598076450030227</v>
      </c>
      <c r="H27" s="151">
        <v>15.442283759879318</v>
      </c>
      <c r="I27" s="151">
        <v>15.650173041742404</v>
      </c>
      <c r="J27" s="151">
        <v>15.712172571145846</v>
      </c>
      <c r="K27" s="151">
        <v>15.192061099348599</v>
      </c>
      <c r="L27" s="151">
        <v>307.89717207624716</v>
      </c>
      <c r="M27" s="151">
        <v>350.56963157410394</v>
      </c>
      <c r="N27" s="151">
        <v>351.90391524712595</v>
      </c>
      <c r="O27" s="151">
        <v>193.00417100241268</v>
      </c>
      <c r="P27" s="151">
        <v>715.16562054734447</v>
      </c>
      <c r="Q27" s="151">
        <v>511.26900903770934</v>
      </c>
      <c r="R27" s="151">
        <v>539.20842674631717</v>
      </c>
      <c r="S27" s="151">
        <v>385.8601801338952</v>
      </c>
      <c r="T27" s="151">
        <v>428.17648350503481</v>
      </c>
      <c r="U27" s="151">
        <v>432.30918942814486</v>
      </c>
      <c r="V27" s="151">
        <v>494.22276036787235</v>
      </c>
      <c r="W27" s="151">
        <v>464.94827263979312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29067.916102302002</v>
      </c>
      <c r="C29" s="140">
        <f t="shared" si="9"/>
        <v>29629.813634367878</v>
      </c>
      <c r="D29" s="140">
        <f t="shared" si="9"/>
        <v>30366.108369769285</v>
      </c>
      <c r="E29" s="140">
        <f t="shared" si="9"/>
        <v>31134.212078668068</v>
      </c>
      <c r="F29" s="140">
        <f t="shared" si="9"/>
        <v>31952.28752192359</v>
      </c>
      <c r="G29" s="140">
        <f t="shared" si="9"/>
        <v>33096.02650054339</v>
      </c>
      <c r="H29" s="140">
        <f t="shared" si="9"/>
        <v>34606.277374132107</v>
      </c>
      <c r="I29" s="140">
        <f t="shared" si="9"/>
        <v>36528.40088868457</v>
      </c>
      <c r="J29" s="140">
        <f t="shared" si="9"/>
        <v>37733.884344548576</v>
      </c>
      <c r="K29" s="140">
        <f t="shared" si="9"/>
        <v>37671.585043342558</v>
      </c>
      <c r="L29" s="140">
        <f t="shared" si="9"/>
        <v>38498.244384278791</v>
      </c>
      <c r="M29" s="140">
        <f t="shared" si="9"/>
        <v>38877.516382023052</v>
      </c>
      <c r="N29" s="140">
        <f t="shared" si="9"/>
        <v>39263.407513805534</v>
      </c>
      <c r="O29" s="140">
        <f t="shared" si="9"/>
        <v>39603.976372071098</v>
      </c>
      <c r="P29" s="140">
        <f t="shared" si="9"/>
        <v>39978.477392553541</v>
      </c>
      <c r="Q29" s="140">
        <f t="shared" si="9"/>
        <v>40478.968430540495</v>
      </c>
      <c r="R29" s="140">
        <f t="shared" ref="R29:W29" si="10">SUM(R30:R33)</f>
        <v>40965.382473694131</v>
      </c>
      <c r="S29" s="140">
        <f t="shared" si="10"/>
        <v>41485.244193597871</v>
      </c>
      <c r="T29" s="140">
        <f t="shared" si="10"/>
        <v>42088.389352682076</v>
      </c>
      <c r="U29" s="140">
        <f t="shared" si="10"/>
        <v>42715.760838577233</v>
      </c>
      <c r="V29" s="140">
        <f t="shared" si="10"/>
        <v>43319.896666666682</v>
      </c>
      <c r="W29" s="140">
        <f t="shared" si="10"/>
        <v>43884.839645805063</v>
      </c>
      <c r="DA29" s="170" t="s">
        <v>268</v>
      </c>
    </row>
    <row r="30" spans="1:105" ht="12" customHeight="1" x14ac:dyDescent="0.25">
      <c r="A30" s="132" t="s">
        <v>52</v>
      </c>
      <c r="B30" s="141">
        <v>3980.9768086039198</v>
      </c>
      <c r="C30" s="141">
        <v>6615.852536247542</v>
      </c>
      <c r="D30" s="141">
        <v>8775.4257994975706</v>
      </c>
      <c r="E30" s="141">
        <v>9271.6322122248439</v>
      </c>
      <c r="F30" s="141">
        <v>9499.0833794481969</v>
      </c>
      <c r="G30" s="141">
        <v>8564.6709578612918</v>
      </c>
      <c r="H30" s="141">
        <v>6321.446862315348</v>
      </c>
      <c r="I30" s="141">
        <v>3662.0742613113248</v>
      </c>
      <c r="J30" s="141">
        <v>2590.4359261421196</v>
      </c>
      <c r="K30" s="141">
        <v>2708.443753888097</v>
      </c>
      <c r="L30" s="141">
        <v>2804.3298093718136</v>
      </c>
      <c r="M30" s="141">
        <v>2621.5349391212303</v>
      </c>
      <c r="N30" s="141">
        <v>2917.758385640313</v>
      </c>
      <c r="O30" s="141">
        <v>2750.7443094210598</v>
      </c>
      <c r="P30" s="141">
        <v>2702.1810443511831</v>
      </c>
      <c r="Q30" s="141">
        <v>2217.3355283063574</v>
      </c>
      <c r="R30" s="141">
        <v>1793.2012869669391</v>
      </c>
      <c r="S30" s="141">
        <v>1334.2960399732831</v>
      </c>
      <c r="T30" s="141">
        <v>1163.9263994122146</v>
      </c>
      <c r="U30" s="141">
        <v>956.69284036844874</v>
      </c>
      <c r="V30" s="141">
        <v>770.73361208842016</v>
      </c>
      <c r="W30" s="141">
        <v>675.62501859116492</v>
      </c>
      <c r="DA30" s="171" t="s">
        <v>269</v>
      </c>
    </row>
    <row r="31" spans="1:105" ht="12" customHeight="1" x14ac:dyDescent="0.25">
      <c r="A31" s="132" t="s">
        <v>153</v>
      </c>
      <c r="B31" s="141">
        <v>14201.386753637024</v>
      </c>
      <c r="C31" s="141">
        <v>13839.07116367217</v>
      </c>
      <c r="D31" s="141">
        <v>12637.007434124505</v>
      </c>
      <c r="E31" s="141">
        <v>11642.95258814726</v>
      </c>
      <c r="F31" s="141">
        <v>11881.49912312239</v>
      </c>
      <c r="G31" s="141">
        <v>11980.230802572316</v>
      </c>
      <c r="H31" s="141">
        <v>13113.615486389803</v>
      </c>
      <c r="I31" s="141">
        <v>14200.216173632802</v>
      </c>
      <c r="J31" s="141">
        <v>14538.67746755388</v>
      </c>
      <c r="K31" s="141">
        <v>14203.190046324811</v>
      </c>
      <c r="L31" s="141">
        <v>13824.606819363536</v>
      </c>
      <c r="M31" s="141">
        <v>13718.143498251944</v>
      </c>
      <c r="N31" s="141">
        <v>14664.90553125254</v>
      </c>
      <c r="O31" s="141">
        <v>16361.913886737142</v>
      </c>
      <c r="P31" s="141">
        <v>17885.609892464927</v>
      </c>
      <c r="Q31" s="141">
        <v>19057.66621177307</v>
      </c>
      <c r="R31" s="141">
        <v>19087.14464358355</v>
      </c>
      <c r="S31" s="141">
        <v>18100.52043778505</v>
      </c>
      <c r="T31" s="141">
        <v>17532.903436517925</v>
      </c>
      <c r="U31" s="141">
        <v>17609.937439682271</v>
      </c>
      <c r="V31" s="141">
        <v>17548.166775555837</v>
      </c>
      <c r="W31" s="141">
        <v>17055.126271377336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10885.55254006106</v>
      </c>
      <c r="C33" s="153">
        <v>9174.8899344481633</v>
      </c>
      <c r="D33" s="153">
        <v>8953.6751361472088</v>
      </c>
      <c r="E33" s="153">
        <v>10219.627278295964</v>
      </c>
      <c r="F33" s="153">
        <v>10571.705019353005</v>
      </c>
      <c r="G33" s="153">
        <v>12551.124740109784</v>
      </c>
      <c r="H33" s="153">
        <v>15171.21502542696</v>
      </c>
      <c r="I33" s="153">
        <v>18666.110453740446</v>
      </c>
      <c r="J33" s="153">
        <v>20604.770950852577</v>
      </c>
      <c r="K33" s="153">
        <v>20759.95124312965</v>
      </c>
      <c r="L33" s="153">
        <v>21869.307755543436</v>
      </c>
      <c r="M33" s="153">
        <v>22537.837944649877</v>
      </c>
      <c r="N33" s="153">
        <v>21680.743596912682</v>
      </c>
      <c r="O33" s="153">
        <v>20491.318175912897</v>
      </c>
      <c r="P33" s="153">
        <v>19390.686455737428</v>
      </c>
      <c r="Q33" s="153">
        <v>19203.966690461068</v>
      </c>
      <c r="R33" s="153">
        <v>20085.036543143648</v>
      </c>
      <c r="S33" s="153">
        <v>22050.427715839538</v>
      </c>
      <c r="T33" s="153">
        <v>23391.559516751931</v>
      </c>
      <c r="U33" s="153">
        <v>24149.130558526518</v>
      </c>
      <c r="V33" s="153">
        <v>25000.996279022427</v>
      </c>
      <c r="W33" s="153">
        <v>26154.08835583656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2041.7142641690896</v>
      </c>
      <c r="C3" s="126">
        <f t="shared" si="0"/>
        <v>1545.6440479540506</v>
      </c>
      <c r="D3" s="126">
        <f t="shared" si="0"/>
        <v>1386.6675460678732</v>
      </c>
      <c r="E3" s="126">
        <f t="shared" si="0"/>
        <v>1128.0001084161013</v>
      </c>
      <c r="F3" s="126">
        <f t="shared" si="0"/>
        <v>1259.3934057153078</v>
      </c>
      <c r="G3" s="126">
        <f t="shared" si="0"/>
        <v>1576.017577943368</v>
      </c>
      <c r="H3" s="126">
        <f t="shared" si="0"/>
        <v>1684.9872201143171</v>
      </c>
      <c r="I3" s="126">
        <f t="shared" si="0"/>
        <v>1664.2686859477928</v>
      </c>
      <c r="J3" s="126">
        <f t="shared" si="0"/>
        <v>1723.5627314288624</v>
      </c>
      <c r="K3" s="126">
        <f t="shared" si="0"/>
        <v>1725.9925585600677</v>
      </c>
      <c r="L3" s="126">
        <f t="shared" si="0"/>
        <v>1878.4987702955359</v>
      </c>
      <c r="M3" s="126">
        <f t="shared" si="0"/>
        <v>1369.5630647699488</v>
      </c>
      <c r="N3" s="126">
        <f t="shared" si="0"/>
        <v>1220.1914507252118</v>
      </c>
      <c r="O3" s="126">
        <f t="shared" si="0"/>
        <v>1472.7340633856072</v>
      </c>
      <c r="P3" s="126">
        <f t="shared" si="0"/>
        <v>995.09033601479337</v>
      </c>
      <c r="Q3" s="126">
        <f t="shared" si="0"/>
        <v>1048.8618445928466</v>
      </c>
      <c r="R3" s="126">
        <f t="shared" ref="R3:W3" si="1">SUM(R4,R16,R19,R29)</f>
        <v>1056.2526849822702</v>
      </c>
      <c r="S3" s="126">
        <f t="shared" si="1"/>
        <v>1163.8324882053366</v>
      </c>
      <c r="T3" s="126">
        <f t="shared" si="1"/>
        <v>1052.4485360627048</v>
      </c>
      <c r="U3" s="126">
        <f t="shared" si="1"/>
        <v>952.0094310365198</v>
      </c>
      <c r="V3" s="126">
        <f t="shared" si="1"/>
        <v>836.08004360905363</v>
      </c>
      <c r="W3" s="126">
        <f t="shared" si="1"/>
        <v>1124.5356038922614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1846.2484935936122</v>
      </c>
      <c r="C4" s="131">
        <f t="shared" si="2"/>
        <v>1344.5355679980587</v>
      </c>
      <c r="D4" s="131">
        <f t="shared" si="2"/>
        <v>1172.0968197582993</v>
      </c>
      <c r="E4" s="131">
        <f t="shared" si="2"/>
        <v>907.30254407366976</v>
      </c>
      <c r="F4" s="131">
        <f t="shared" si="2"/>
        <v>1035.0739688381559</v>
      </c>
      <c r="G4" s="131">
        <f t="shared" si="2"/>
        <v>1339.4496080407298</v>
      </c>
      <c r="H4" s="131">
        <f t="shared" si="2"/>
        <v>1437.971482144924</v>
      </c>
      <c r="I4" s="131">
        <f t="shared" si="2"/>
        <v>1413.6287877198811</v>
      </c>
      <c r="J4" s="131">
        <f t="shared" si="2"/>
        <v>1471.0061668081566</v>
      </c>
      <c r="K4" s="131">
        <f t="shared" si="2"/>
        <v>1465.8111914142426</v>
      </c>
      <c r="L4" s="131">
        <f t="shared" si="2"/>
        <v>1612.9413841389476</v>
      </c>
      <c r="M4" s="131">
        <f t="shared" si="2"/>
        <v>1110.7422384268389</v>
      </c>
      <c r="N4" s="131">
        <f t="shared" si="2"/>
        <v>951.91374143435382</v>
      </c>
      <c r="O4" s="131">
        <f t="shared" si="2"/>
        <v>1201.7048693675647</v>
      </c>
      <c r="P4" s="131">
        <f t="shared" si="2"/>
        <v>721.82584281193101</v>
      </c>
      <c r="Q4" s="131">
        <f t="shared" si="2"/>
        <v>772.03189972420603</v>
      </c>
      <c r="R4" s="131">
        <f t="shared" ref="R4:W4" si="3">SUM(R5:R15)</f>
        <v>781.81474415680816</v>
      </c>
      <c r="S4" s="131">
        <f t="shared" si="3"/>
        <v>891.40611304460276</v>
      </c>
      <c r="T4" s="131">
        <f t="shared" si="3"/>
        <v>785.14869724452865</v>
      </c>
      <c r="U4" s="131">
        <f t="shared" si="3"/>
        <v>690.3355423672765</v>
      </c>
      <c r="V4" s="131">
        <f t="shared" si="3"/>
        <v>600.79760109753045</v>
      </c>
      <c r="W4" s="131">
        <f t="shared" si="3"/>
        <v>857.88134095848545</v>
      </c>
      <c r="DA4" s="156" t="s">
        <v>213</v>
      </c>
    </row>
    <row r="5" spans="1:105" ht="12" customHeight="1" x14ac:dyDescent="0.25">
      <c r="A5" s="132" t="s">
        <v>29</v>
      </c>
      <c r="B5" s="133">
        <v>182.01938570106083</v>
      </c>
      <c r="C5" s="133">
        <v>147.62933693618692</v>
      </c>
      <c r="D5" s="133">
        <v>185.88692149338465</v>
      </c>
      <c r="E5" s="133">
        <v>32.303093942841834</v>
      </c>
      <c r="F5" s="133">
        <v>123.92272056994574</v>
      </c>
      <c r="G5" s="133">
        <v>28.791824525329275</v>
      </c>
      <c r="H5" s="133">
        <v>74.249506005625406</v>
      </c>
      <c r="I5" s="133">
        <v>145.26615988823391</v>
      </c>
      <c r="J5" s="133">
        <v>219.02825118568458</v>
      </c>
      <c r="K5" s="133">
        <v>481.24375838409122</v>
      </c>
      <c r="L5" s="133">
        <v>269.83594717454287</v>
      </c>
      <c r="M5" s="133">
        <v>303.84206161759073</v>
      </c>
      <c r="N5" s="133">
        <v>80.430354896580226</v>
      </c>
      <c r="O5" s="133">
        <v>157.85679724199039</v>
      </c>
      <c r="P5" s="133">
        <v>96.608634042052017</v>
      </c>
      <c r="Q5" s="133">
        <v>97.499955977543479</v>
      </c>
      <c r="R5" s="133">
        <v>51.016714698814205</v>
      </c>
      <c r="S5" s="133">
        <v>64.126547212241604</v>
      </c>
      <c r="T5" s="133">
        <v>75.212010255601498</v>
      </c>
      <c r="U5" s="133">
        <v>111.29187002824118</v>
      </c>
      <c r="V5" s="133">
        <v>43.347732625286959</v>
      </c>
      <c r="W5" s="133">
        <v>66.596904280217558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5.9759243336199468</v>
      </c>
      <c r="C7" s="133">
        <v>49.097162510748063</v>
      </c>
      <c r="D7" s="133">
        <v>31.30309544282029</v>
      </c>
      <c r="E7" s="133">
        <v>10.829320722269994</v>
      </c>
      <c r="F7" s="133">
        <v>27.581427343078236</v>
      </c>
      <c r="G7" s="133">
        <v>30.1408426483233</v>
      </c>
      <c r="H7" s="133">
        <v>18.518572656921751</v>
      </c>
      <c r="I7" s="133">
        <v>1.0269991401547718</v>
      </c>
      <c r="J7" s="133">
        <v>4.1081685296646615</v>
      </c>
      <c r="K7" s="133">
        <v>10.875236457437664</v>
      </c>
      <c r="L7" s="133">
        <v>0</v>
      </c>
      <c r="M7" s="133">
        <v>0</v>
      </c>
      <c r="N7" s="133">
        <v>0</v>
      </c>
      <c r="O7" s="133">
        <v>1.0038693035253645</v>
      </c>
      <c r="P7" s="133">
        <v>5.0058469475494389</v>
      </c>
      <c r="Q7" s="133">
        <v>6.0367153912295786</v>
      </c>
      <c r="R7" s="133">
        <v>4.0241616509028404</v>
      </c>
      <c r="S7" s="133">
        <v>3.018572656921755</v>
      </c>
      <c r="T7" s="133">
        <v>2.0116938950988814</v>
      </c>
      <c r="U7" s="133">
        <v>5.0291487532244208</v>
      </c>
      <c r="V7" s="133">
        <v>3.0156491831470347</v>
      </c>
      <c r="W7" s="133">
        <v>3.0810834049871021</v>
      </c>
      <c r="DA7" s="157" t="s">
        <v>276</v>
      </c>
    </row>
    <row r="8" spans="1:105" ht="12" customHeight="1" x14ac:dyDescent="0.25">
      <c r="A8" s="132" t="s">
        <v>73</v>
      </c>
      <c r="B8" s="133">
        <v>1.4910347758620622E-2</v>
      </c>
      <c r="C8" s="133">
        <v>1.9457976232215637E-2</v>
      </c>
      <c r="D8" s="133">
        <v>2.6348807855946291E-2</v>
      </c>
      <c r="E8" s="133">
        <v>3.8888228709315915E-2</v>
      </c>
      <c r="F8" s="133">
        <v>4.9537991145611388E-2</v>
      </c>
      <c r="G8" s="133">
        <v>5.6109313873724205E-2</v>
      </c>
      <c r="H8" s="133">
        <v>6.2528815325005663E-2</v>
      </c>
      <c r="I8" s="133">
        <v>6.3424382937905269E-2</v>
      </c>
      <c r="J8" s="133">
        <v>6.3835919755508772E-2</v>
      </c>
      <c r="K8" s="133">
        <v>7.08046695503316E-2</v>
      </c>
      <c r="L8" s="133">
        <v>8.0202045446855261E-2</v>
      </c>
      <c r="M8" s="133">
        <v>0.10593062719147173</v>
      </c>
      <c r="N8" s="133">
        <v>0.11668795086318726</v>
      </c>
      <c r="O8" s="133">
        <v>0.17286922597602872</v>
      </c>
      <c r="P8" s="133">
        <v>0.19587166301349856</v>
      </c>
      <c r="Q8" s="133">
        <v>0.23012839132630958</v>
      </c>
      <c r="R8" s="133">
        <v>0.20831785424328184</v>
      </c>
      <c r="S8" s="133">
        <v>0.21133054965806619</v>
      </c>
      <c r="T8" s="133">
        <v>0.20900437893869597</v>
      </c>
      <c r="U8" s="133">
        <v>0.19513737949620008</v>
      </c>
      <c r="V8" s="133">
        <v>0.24639829006029287</v>
      </c>
      <c r="W8" s="133">
        <v>0.28728463300100837</v>
      </c>
      <c r="DA8" s="157" t="s">
        <v>277</v>
      </c>
    </row>
    <row r="9" spans="1:105" ht="12" customHeight="1" x14ac:dyDescent="0.25">
      <c r="A9" s="132" t="s">
        <v>78</v>
      </c>
      <c r="B9" s="133">
        <v>1304.1705386478779</v>
      </c>
      <c r="C9" s="133">
        <v>618.80015709364204</v>
      </c>
      <c r="D9" s="133">
        <v>383.3129370779148</v>
      </c>
      <c r="E9" s="133">
        <v>407.60825875934012</v>
      </c>
      <c r="F9" s="133">
        <v>270.10855508083915</v>
      </c>
      <c r="G9" s="133">
        <v>829.72278115186759</v>
      </c>
      <c r="H9" s="133">
        <v>922.97690838286621</v>
      </c>
      <c r="I9" s="133">
        <v>840.0464556399736</v>
      </c>
      <c r="J9" s="133">
        <v>823.8749464625256</v>
      </c>
      <c r="K9" s="133">
        <v>496.3476557292766</v>
      </c>
      <c r="L9" s="133">
        <v>761.47108424426801</v>
      </c>
      <c r="M9" s="133">
        <v>284.70105196695096</v>
      </c>
      <c r="N9" s="133">
        <v>559.13967698541899</v>
      </c>
      <c r="O9" s="133">
        <v>662.61228879099474</v>
      </c>
      <c r="P9" s="133">
        <v>379.27394194268214</v>
      </c>
      <c r="Q9" s="133">
        <v>414.63412402447733</v>
      </c>
      <c r="R9" s="133">
        <v>417.64893775856268</v>
      </c>
      <c r="S9" s="133">
        <v>465.75751356395898</v>
      </c>
      <c r="T9" s="133">
        <v>399.53708634469427</v>
      </c>
      <c r="U9" s="133">
        <v>323.54927750492192</v>
      </c>
      <c r="V9" s="133">
        <v>295.93788042704847</v>
      </c>
      <c r="W9" s="133">
        <v>449.99189159982745</v>
      </c>
      <c r="DA9" s="157" t="s">
        <v>278</v>
      </c>
    </row>
    <row r="10" spans="1:105" ht="12" customHeight="1" x14ac:dyDescent="0.25">
      <c r="A10" s="132" t="s">
        <v>128</v>
      </c>
      <c r="B10" s="133">
        <v>0.14333619948409279</v>
      </c>
      <c r="C10" s="133">
        <v>14.784522785898536</v>
      </c>
      <c r="D10" s="133">
        <v>3.6065348237317281</v>
      </c>
      <c r="E10" s="133">
        <v>3.4871883061049007</v>
      </c>
      <c r="F10" s="133">
        <v>3.0572656921754078</v>
      </c>
      <c r="G10" s="133">
        <v>0.85984522785898565</v>
      </c>
      <c r="H10" s="133">
        <v>0.8359415305245057</v>
      </c>
      <c r="I10" s="133">
        <v>0.74041272570937189</v>
      </c>
      <c r="J10" s="133">
        <v>11.798968185726569</v>
      </c>
      <c r="K10" s="133">
        <v>16.719260533104041</v>
      </c>
      <c r="L10" s="133">
        <v>17.483576956147896</v>
      </c>
      <c r="M10" s="133">
        <v>10.126999140154776</v>
      </c>
      <c r="N10" s="133">
        <v>13.279793637145316</v>
      </c>
      <c r="O10" s="133">
        <v>8.3595872742906217</v>
      </c>
      <c r="P10" s="133">
        <v>25.126655202063603</v>
      </c>
      <c r="Q10" s="133">
        <v>15.525021496130682</v>
      </c>
      <c r="R10" s="133">
        <v>6.2099742046431654</v>
      </c>
      <c r="S10" s="133">
        <v>24.433877901977652</v>
      </c>
      <c r="T10" s="133">
        <v>24.983319002579513</v>
      </c>
      <c r="U10" s="133">
        <v>28.685296646603604</v>
      </c>
      <c r="V10" s="133">
        <v>32.769647463456593</v>
      </c>
      <c r="W10" s="133">
        <v>36.471797076526258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0.64488392089423907</v>
      </c>
      <c r="D11" s="133">
        <v>0.64488392089423896</v>
      </c>
      <c r="E11" s="133">
        <v>0.71650902837489261</v>
      </c>
      <c r="F11" s="133">
        <v>0.6926913155631983</v>
      </c>
      <c r="G11" s="133">
        <v>0.83594153052450504</v>
      </c>
      <c r="H11" s="133">
        <v>1.098710232158211</v>
      </c>
      <c r="I11" s="133">
        <v>1.0987102321582105</v>
      </c>
      <c r="J11" s="133">
        <v>1.1464316423043843</v>
      </c>
      <c r="K11" s="133">
        <v>1.1226139294926907</v>
      </c>
      <c r="L11" s="133">
        <v>1.1464316423043852</v>
      </c>
      <c r="M11" s="133">
        <v>0.95537403267411958</v>
      </c>
      <c r="N11" s="133">
        <v>0.76431642304385228</v>
      </c>
      <c r="O11" s="133">
        <v>0.88374892519346504</v>
      </c>
      <c r="P11" s="133">
        <v>0.64488392089423896</v>
      </c>
      <c r="Q11" s="133">
        <v>0.69269131556319885</v>
      </c>
      <c r="R11" s="133">
        <v>0.81203783319002554</v>
      </c>
      <c r="S11" s="133">
        <v>0.78822012037833233</v>
      </c>
      <c r="T11" s="133">
        <v>0.69269131556319874</v>
      </c>
      <c r="U11" s="133">
        <v>0.66878761822871957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175.87698688929046</v>
      </c>
      <c r="C12" s="133">
        <v>151.09070879619529</v>
      </c>
      <c r="D12" s="133">
        <v>190.27457846520534</v>
      </c>
      <c r="E12" s="133">
        <v>161.70419924576038</v>
      </c>
      <c r="F12" s="133">
        <v>251.54077755220513</v>
      </c>
      <c r="G12" s="133">
        <v>221.68962003702254</v>
      </c>
      <c r="H12" s="133">
        <v>199.93727255569638</v>
      </c>
      <c r="I12" s="133">
        <v>179.10066617882666</v>
      </c>
      <c r="J12" s="133">
        <v>181.97410137874479</v>
      </c>
      <c r="K12" s="133">
        <v>208.45360982328225</v>
      </c>
      <c r="L12" s="133">
        <v>235.95692444526597</v>
      </c>
      <c r="M12" s="133">
        <v>186.65060011305061</v>
      </c>
      <c r="N12" s="133">
        <v>109.02023695462903</v>
      </c>
      <c r="O12" s="133">
        <v>86.80456580191786</v>
      </c>
      <c r="P12" s="133">
        <v>49.447643178770463</v>
      </c>
      <c r="Q12" s="133">
        <v>24.44433569696012</v>
      </c>
      <c r="R12" s="133">
        <v>78.816726972556978</v>
      </c>
      <c r="S12" s="133">
        <v>70.319679052943528</v>
      </c>
      <c r="T12" s="133">
        <v>68.851335520008405</v>
      </c>
      <c r="U12" s="133">
        <v>63.957106992262638</v>
      </c>
      <c r="V12" s="133">
        <v>66.933949498382077</v>
      </c>
      <c r="W12" s="133">
        <v>97.638208745585004</v>
      </c>
      <c r="DA12" s="157" t="s">
        <v>281</v>
      </c>
    </row>
    <row r="13" spans="1:105" ht="12" customHeight="1" x14ac:dyDescent="0.25">
      <c r="A13" s="132" t="s">
        <v>77</v>
      </c>
      <c r="B13" s="133">
        <v>1.2192468983114728E-2</v>
      </c>
      <c r="C13" s="133">
        <v>8.7334464650291682E-2</v>
      </c>
      <c r="D13" s="133">
        <v>0.14998898673896663</v>
      </c>
      <c r="E13" s="133">
        <v>0.1753026054668885</v>
      </c>
      <c r="F13" s="133">
        <v>0.27118924770086517</v>
      </c>
      <c r="G13" s="133">
        <v>0.28799757594707937</v>
      </c>
      <c r="H13" s="133">
        <v>0.30724009384894158</v>
      </c>
      <c r="I13" s="133">
        <v>0.44252745230232698</v>
      </c>
      <c r="J13" s="133">
        <v>0.47296995211928572</v>
      </c>
      <c r="K13" s="133">
        <v>0.68222976344772024</v>
      </c>
      <c r="L13" s="133">
        <v>1.0306246571415798</v>
      </c>
      <c r="M13" s="133">
        <v>1.7012647390601996</v>
      </c>
      <c r="N13" s="133">
        <v>2.0901232183069718</v>
      </c>
      <c r="O13" s="133">
        <v>2.2506624089924787</v>
      </c>
      <c r="P13" s="133">
        <v>2.4552480436753199</v>
      </c>
      <c r="Q13" s="133">
        <v>4.9000674282074339</v>
      </c>
      <c r="R13" s="133">
        <v>4.8706269133071736</v>
      </c>
      <c r="S13" s="133">
        <v>5.0208579766496468</v>
      </c>
      <c r="T13" s="133">
        <v>5.1101439124795363</v>
      </c>
      <c r="U13" s="133">
        <v>4.7278703040601675</v>
      </c>
      <c r="V13" s="133">
        <v>5.9543201869515938</v>
      </c>
      <c r="W13" s="133">
        <v>7.0810192442697195</v>
      </c>
      <c r="DA13" s="157" t="s">
        <v>282</v>
      </c>
    </row>
    <row r="14" spans="1:105" ht="12" customHeight="1" x14ac:dyDescent="0.25">
      <c r="A14" s="60" t="s">
        <v>76</v>
      </c>
      <c r="B14" s="65">
        <v>163.67669809283052</v>
      </c>
      <c r="C14" s="65">
        <v>354.62996542382751</v>
      </c>
      <c r="D14" s="65">
        <v>371.36111060625819</v>
      </c>
      <c r="E14" s="65">
        <v>285.8290775828072</v>
      </c>
      <c r="F14" s="65">
        <v>353.61337849987399</v>
      </c>
      <c r="G14" s="65">
        <v>217.96187715278018</v>
      </c>
      <c r="H14" s="65">
        <v>209.75688728579115</v>
      </c>
      <c r="I14" s="65">
        <v>236.21219828624004</v>
      </c>
      <c r="J14" s="65">
        <v>218.60324227762231</v>
      </c>
      <c r="K14" s="65">
        <v>242.0245432640971</v>
      </c>
      <c r="L14" s="65">
        <v>316.16758753267618</v>
      </c>
      <c r="M14" s="65">
        <v>317.57364332425601</v>
      </c>
      <c r="N14" s="65">
        <v>180.43458833303532</v>
      </c>
      <c r="O14" s="65">
        <v>273.61046774918339</v>
      </c>
      <c r="P14" s="65">
        <v>158.24808162671562</v>
      </c>
      <c r="Q14" s="65">
        <v>203.002474703529</v>
      </c>
      <c r="R14" s="65">
        <v>213.23223640581494</v>
      </c>
      <c r="S14" s="65">
        <v>252.12277535163247</v>
      </c>
      <c r="T14" s="65">
        <v>203.55378682190766</v>
      </c>
      <c r="U14" s="65">
        <v>147.7807139967058</v>
      </c>
      <c r="V14" s="65">
        <v>148.72242871068295</v>
      </c>
      <c r="W14" s="65">
        <v>190.80872341492244</v>
      </c>
      <c r="DA14" s="109" t="s">
        <v>283</v>
      </c>
    </row>
    <row r="15" spans="1:105" ht="12" customHeight="1" x14ac:dyDescent="0.25">
      <c r="A15" s="134" t="s">
        <v>80</v>
      </c>
      <c r="B15" s="135">
        <v>14.358520912706638</v>
      </c>
      <c r="C15" s="135">
        <v>7.7520380897835688</v>
      </c>
      <c r="D15" s="135">
        <v>5.5304201334953351</v>
      </c>
      <c r="E15" s="135">
        <v>4.6107056519941594</v>
      </c>
      <c r="F15" s="135">
        <v>4.2364255456286388</v>
      </c>
      <c r="G15" s="135">
        <v>9.1027688772027986</v>
      </c>
      <c r="H15" s="135">
        <v>10.227914586166513</v>
      </c>
      <c r="I15" s="135">
        <v>9.6312337933444212</v>
      </c>
      <c r="J15" s="135">
        <v>9.935251274009099</v>
      </c>
      <c r="K15" s="135">
        <v>8.2714788604629277</v>
      </c>
      <c r="L15" s="135">
        <v>9.7690054411537766</v>
      </c>
      <c r="M15" s="135">
        <v>5.0853128659100832</v>
      </c>
      <c r="N15" s="135">
        <v>6.6379630353309302</v>
      </c>
      <c r="O15" s="135">
        <v>8.1500126455003095</v>
      </c>
      <c r="P15" s="135">
        <v>4.8190362445147752</v>
      </c>
      <c r="Q15" s="135">
        <v>5.066385299238954</v>
      </c>
      <c r="R15" s="135">
        <v>4.9750098647729422</v>
      </c>
      <c r="S15" s="135">
        <v>5.6067386582405838</v>
      </c>
      <c r="T15" s="135">
        <v>4.9876257976570155</v>
      </c>
      <c r="U15" s="135">
        <v>4.4503331435318954</v>
      </c>
      <c r="V15" s="135">
        <v>3.8695947125145587</v>
      </c>
      <c r="W15" s="135">
        <v>5.9244285591489882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5.2453154714416552</v>
      </c>
      <c r="C16" s="131">
        <f t="shared" si="4"/>
        <v>5.3217437914965657</v>
      </c>
      <c r="D16" s="131">
        <f t="shared" si="4"/>
        <v>5.7008067258217157</v>
      </c>
      <c r="E16" s="131">
        <f t="shared" si="4"/>
        <v>5.8863607085073673</v>
      </c>
      <c r="F16" s="131">
        <f t="shared" si="4"/>
        <v>5.8193735449137405</v>
      </c>
      <c r="G16" s="131">
        <f t="shared" si="4"/>
        <v>5.9596915759041158</v>
      </c>
      <c r="H16" s="131">
        <f t="shared" si="4"/>
        <v>6.2646498122156133</v>
      </c>
      <c r="I16" s="131">
        <f t="shared" si="4"/>
        <v>6.7996966287868537</v>
      </c>
      <c r="J16" s="131">
        <f t="shared" si="4"/>
        <v>6.5167527574709609</v>
      </c>
      <c r="K16" s="131">
        <f t="shared" si="4"/>
        <v>6.6731827834103132</v>
      </c>
      <c r="L16" s="131">
        <f t="shared" si="4"/>
        <v>7.092387741217558</v>
      </c>
      <c r="M16" s="131">
        <f t="shared" si="4"/>
        <v>6.8351401230730895</v>
      </c>
      <c r="N16" s="131">
        <f t="shared" si="4"/>
        <v>7.5219175423900992</v>
      </c>
      <c r="O16" s="131">
        <f t="shared" si="4"/>
        <v>7.1960468902009556</v>
      </c>
      <c r="P16" s="131">
        <f t="shared" si="4"/>
        <v>6.5952650681817868</v>
      </c>
      <c r="Q16" s="131">
        <f t="shared" si="4"/>
        <v>7.7002279179552451</v>
      </c>
      <c r="R16" s="131">
        <f t="shared" ref="R16:W16" si="5">SUM(R17:R18)</f>
        <v>6.4790478484413772</v>
      </c>
      <c r="S16" s="131">
        <f t="shared" si="5"/>
        <v>6.8711734072914501</v>
      </c>
      <c r="T16" s="131">
        <f t="shared" si="5"/>
        <v>6.7544344445725031</v>
      </c>
      <c r="U16" s="131">
        <f t="shared" si="5"/>
        <v>7.0243790975701206</v>
      </c>
      <c r="V16" s="131">
        <f t="shared" si="5"/>
        <v>6.2528436297551826</v>
      </c>
      <c r="W16" s="131">
        <f t="shared" si="5"/>
        <v>6.8159977631767621</v>
      </c>
      <c r="DA16" s="156" t="s">
        <v>214</v>
      </c>
    </row>
    <row r="17" spans="1:105" ht="12.95" customHeight="1" x14ac:dyDescent="0.25">
      <c r="A17" s="132" t="s">
        <v>73</v>
      </c>
      <c r="B17" s="133">
        <v>1.4501889119949247E-2</v>
      </c>
      <c r="C17" s="133">
        <v>2.3302646164052278E-2</v>
      </c>
      <c r="D17" s="133">
        <v>2.0910571334827356E-2</v>
      </c>
      <c r="E17" s="133">
        <v>8.095741094584788E-3</v>
      </c>
      <c r="F17" s="133">
        <v>2.3621996436911076E-2</v>
      </c>
      <c r="G17" s="133">
        <v>3.5021511031375019E-2</v>
      </c>
      <c r="H17" s="133">
        <v>4.2225403884648773E-2</v>
      </c>
      <c r="I17" s="133">
        <v>4.5939763325724713E-2</v>
      </c>
      <c r="J17" s="133">
        <v>4.9850710465946156E-2</v>
      </c>
      <c r="K17" s="133">
        <v>5.0241577709239836E-2</v>
      </c>
      <c r="L17" s="133">
        <v>5.5638631691289492E-2</v>
      </c>
      <c r="M17" s="133">
        <v>6.0355684601827386E-2</v>
      </c>
      <c r="N17" s="133">
        <v>6.9713068883177187E-2</v>
      </c>
      <c r="O17" s="133">
        <v>8.5712366329629017E-2</v>
      </c>
      <c r="P17" s="133">
        <v>0.11296742678225385</v>
      </c>
      <c r="Q17" s="133">
        <v>0.1556319895643003</v>
      </c>
      <c r="R17" s="133">
        <v>0.19790560496846374</v>
      </c>
      <c r="S17" s="133">
        <v>0.23698863133950426</v>
      </c>
      <c r="T17" s="133">
        <v>0.27128737092027344</v>
      </c>
      <c r="U17" s="133">
        <v>0.30023140922321229</v>
      </c>
      <c r="V17" s="133">
        <v>0.32394854652741212</v>
      </c>
      <c r="W17" s="133">
        <v>0.34295802454361413</v>
      </c>
      <c r="DA17" s="157" t="s">
        <v>285</v>
      </c>
    </row>
    <row r="18" spans="1:105" ht="12" customHeight="1" x14ac:dyDescent="0.25">
      <c r="A18" s="132" t="s">
        <v>72</v>
      </c>
      <c r="B18" s="133">
        <v>5.2308135823217059</v>
      </c>
      <c r="C18" s="133">
        <v>5.2984411453325135</v>
      </c>
      <c r="D18" s="133">
        <v>5.6798961544868884</v>
      </c>
      <c r="E18" s="133">
        <v>5.8782649674127825</v>
      </c>
      <c r="F18" s="133">
        <v>5.7957515484768294</v>
      </c>
      <c r="G18" s="133">
        <v>5.9246700648727408</v>
      </c>
      <c r="H18" s="133">
        <v>6.2224244083309648</v>
      </c>
      <c r="I18" s="133">
        <v>6.7537568654611286</v>
      </c>
      <c r="J18" s="133">
        <v>6.4669020470050151</v>
      </c>
      <c r="K18" s="133">
        <v>6.622941205701073</v>
      </c>
      <c r="L18" s="133">
        <v>7.0367491095262684</v>
      </c>
      <c r="M18" s="133">
        <v>6.7747844384712623</v>
      </c>
      <c r="N18" s="133">
        <v>7.4522044735069217</v>
      </c>
      <c r="O18" s="133">
        <v>7.1103345238713267</v>
      </c>
      <c r="P18" s="133">
        <v>6.4822976413995326</v>
      </c>
      <c r="Q18" s="133">
        <v>7.5445959283909447</v>
      </c>
      <c r="R18" s="133">
        <v>6.2811422434729138</v>
      </c>
      <c r="S18" s="133">
        <v>6.6341847759519457</v>
      </c>
      <c r="T18" s="133">
        <v>6.4831470736522299</v>
      </c>
      <c r="U18" s="133">
        <v>6.7241476883469087</v>
      </c>
      <c r="V18" s="133">
        <v>5.9288950832277703</v>
      </c>
      <c r="W18" s="133">
        <v>6.4730397386331475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100.83138362378412</v>
      </c>
      <c r="C19" s="131">
        <f t="shared" si="6"/>
        <v>102.25036941000261</v>
      </c>
      <c r="D19" s="131">
        <f t="shared" si="6"/>
        <v>105.00391915468069</v>
      </c>
      <c r="E19" s="131">
        <f t="shared" si="6"/>
        <v>107.67938784244768</v>
      </c>
      <c r="F19" s="131">
        <f t="shared" si="6"/>
        <v>109.2012230862079</v>
      </c>
      <c r="G19" s="131">
        <f t="shared" si="6"/>
        <v>115.99852680215099</v>
      </c>
      <c r="H19" s="131">
        <f t="shared" si="6"/>
        <v>122.64743141587064</v>
      </c>
      <c r="I19" s="131">
        <f t="shared" si="6"/>
        <v>127.58242775253906</v>
      </c>
      <c r="J19" s="131">
        <f t="shared" si="6"/>
        <v>130.49944851336525</v>
      </c>
      <c r="K19" s="131">
        <f t="shared" si="6"/>
        <v>133.78363705189824</v>
      </c>
      <c r="L19" s="131">
        <f t="shared" si="6"/>
        <v>136.76035843471169</v>
      </c>
      <c r="M19" s="131">
        <f t="shared" si="6"/>
        <v>136.56102710938643</v>
      </c>
      <c r="N19" s="131">
        <f t="shared" si="6"/>
        <v>140.10068057541739</v>
      </c>
      <c r="O19" s="131">
        <f t="shared" si="6"/>
        <v>140.77687935615756</v>
      </c>
      <c r="P19" s="131">
        <f t="shared" si="6"/>
        <v>143.04224726649505</v>
      </c>
      <c r="Q19" s="131">
        <f t="shared" si="6"/>
        <v>143.54379867839506</v>
      </c>
      <c r="R19" s="131">
        <f t="shared" ref="R19:W19" si="7">SUM(R20:R27)</f>
        <v>142.86078379826259</v>
      </c>
      <c r="S19" s="131">
        <f t="shared" si="7"/>
        <v>142.97758650351824</v>
      </c>
      <c r="T19" s="131">
        <f t="shared" si="7"/>
        <v>140.07386738655197</v>
      </c>
      <c r="U19" s="131">
        <f t="shared" si="7"/>
        <v>138.38480005512403</v>
      </c>
      <c r="V19" s="131">
        <f t="shared" si="7"/>
        <v>122.82563795451262</v>
      </c>
      <c r="W19" s="131">
        <f t="shared" si="7"/>
        <v>135.35266426190213</v>
      </c>
      <c r="DA19" s="156" t="s">
        <v>215</v>
      </c>
    </row>
    <row r="20" spans="1:105" ht="12" customHeight="1" x14ac:dyDescent="0.25">
      <c r="A20" s="132" t="s">
        <v>29</v>
      </c>
      <c r="B20" s="133">
        <v>7.0868911691025298</v>
      </c>
      <c r="C20" s="133">
        <v>5.9733285840194341</v>
      </c>
      <c r="D20" s="133">
        <v>5.5307053337864751</v>
      </c>
      <c r="E20" s="133">
        <v>3.3990556702278094</v>
      </c>
      <c r="F20" s="133">
        <v>2.9550094386527452</v>
      </c>
      <c r="G20" s="133">
        <v>1.265097228754994</v>
      </c>
      <c r="H20" s="133">
        <v>3.4778370726204968</v>
      </c>
      <c r="I20" s="133">
        <v>7.2120860275011722</v>
      </c>
      <c r="J20" s="133">
        <v>9.0769078856826315</v>
      </c>
      <c r="K20" s="133">
        <v>10.063808253913784</v>
      </c>
      <c r="L20" s="133">
        <v>9.8043795666435667</v>
      </c>
      <c r="M20" s="133">
        <v>9.8656769894602103</v>
      </c>
      <c r="N20" s="133">
        <v>10.181338998518648</v>
      </c>
      <c r="O20" s="133">
        <v>10.298490806160942</v>
      </c>
      <c r="P20" s="133">
        <v>10.687926577036572</v>
      </c>
      <c r="Q20" s="133">
        <v>11.475710402508092</v>
      </c>
      <c r="R20" s="133">
        <v>5.9883583880301279</v>
      </c>
      <c r="S20" s="133">
        <v>7.3422404059870905</v>
      </c>
      <c r="T20" s="133">
        <v>7.8455133901422043</v>
      </c>
      <c r="U20" s="133">
        <v>10.758860840202365</v>
      </c>
      <c r="V20" s="133">
        <v>3.9901865492615958</v>
      </c>
      <c r="W20" s="133">
        <v>5.7713674308744389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289</v>
      </c>
    </row>
    <row r="23" spans="1:105" ht="12" customHeight="1" x14ac:dyDescent="0.25">
      <c r="A23" s="132" t="s">
        <v>153</v>
      </c>
      <c r="B23" s="133">
        <v>6.0826012464025609</v>
      </c>
      <c r="C23" s="133">
        <v>16.922328212270937</v>
      </c>
      <c r="D23" s="133">
        <v>21.191260876947666</v>
      </c>
      <c r="E23" s="133">
        <v>21.684226979678218</v>
      </c>
      <c r="F23" s="133">
        <v>24.570774469804856</v>
      </c>
      <c r="G23" s="133">
        <v>25.207146410082302</v>
      </c>
      <c r="H23" s="133">
        <v>27.229146199601136</v>
      </c>
      <c r="I23" s="133">
        <v>31.544059348521959</v>
      </c>
      <c r="J23" s="133">
        <v>32.630671444874231</v>
      </c>
      <c r="K23" s="133">
        <v>32.472820061438725</v>
      </c>
      <c r="L23" s="133">
        <v>35.775156550409719</v>
      </c>
      <c r="M23" s="133">
        <v>36.116910752861386</v>
      </c>
      <c r="N23" s="133">
        <v>47.035431887017403</v>
      </c>
      <c r="O23" s="133">
        <v>52.801593057685018</v>
      </c>
      <c r="P23" s="133">
        <v>54.800995352192132</v>
      </c>
      <c r="Q23" s="133">
        <v>55.909927386557499</v>
      </c>
      <c r="R23" s="133">
        <v>55.677803766989442</v>
      </c>
      <c r="S23" s="133">
        <v>50.552502221427339</v>
      </c>
      <c r="T23" s="133">
        <v>41.846175599134639</v>
      </c>
      <c r="U23" s="133">
        <v>35.285977573126765</v>
      </c>
      <c r="V23" s="133">
        <v>23.491289608297926</v>
      </c>
      <c r="W23" s="133">
        <v>39.943439569353778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8.846400900907339</v>
      </c>
      <c r="C25" s="133">
        <v>11.037924049892412</v>
      </c>
      <c r="D25" s="133">
        <v>16.279333830581471</v>
      </c>
      <c r="E25" s="133">
        <v>18.81549120995755</v>
      </c>
      <c r="F25" s="133">
        <v>24.80393439964341</v>
      </c>
      <c r="G25" s="133">
        <v>17.801179619039456</v>
      </c>
      <c r="H25" s="133">
        <v>15.549485827794602</v>
      </c>
      <c r="I25" s="133">
        <v>15.152730209823329</v>
      </c>
      <c r="J25" s="133">
        <v>15.073792000446931</v>
      </c>
      <c r="K25" s="133">
        <v>15.345014424353142</v>
      </c>
      <c r="L25" s="133">
        <v>14.4729981686635</v>
      </c>
      <c r="M25" s="133">
        <v>14.147164289356887</v>
      </c>
      <c r="N25" s="133">
        <v>14.128688238836212</v>
      </c>
      <c r="O25" s="133">
        <v>9.7130610252532268</v>
      </c>
      <c r="P25" s="133">
        <v>9.3562261247548815</v>
      </c>
      <c r="Q25" s="133">
        <v>4.3604794363158854</v>
      </c>
      <c r="R25" s="133">
        <v>14.046557636213418</v>
      </c>
      <c r="S25" s="133">
        <v>12.535952933298921</v>
      </c>
      <c r="T25" s="133">
        <v>11.37703937251092</v>
      </c>
      <c r="U25" s="133">
        <v>9.5596599896806538</v>
      </c>
      <c r="V25" s="133">
        <v>5.4363858412568034</v>
      </c>
      <c r="W25" s="133">
        <v>6.6658325269859571</v>
      </c>
      <c r="DA25" s="157" t="s">
        <v>292</v>
      </c>
    </row>
    <row r="26" spans="1:105" ht="12" customHeight="1" x14ac:dyDescent="0.25">
      <c r="A26" s="132" t="s">
        <v>24</v>
      </c>
      <c r="B26" s="65">
        <v>78.815490307371689</v>
      </c>
      <c r="C26" s="65">
        <v>68.316788563819827</v>
      </c>
      <c r="D26" s="65">
        <v>62.002619113365064</v>
      </c>
      <c r="E26" s="65">
        <v>63.780613982584093</v>
      </c>
      <c r="F26" s="65">
        <v>56.871504778106903</v>
      </c>
      <c r="G26" s="65">
        <v>71.701199846939758</v>
      </c>
      <c r="H26" s="65">
        <v>76.367058618519934</v>
      </c>
      <c r="I26" s="65">
        <v>73.649648469358127</v>
      </c>
      <c r="J26" s="65">
        <v>73.694173485026994</v>
      </c>
      <c r="K26" s="65">
        <v>75.878090614858095</v>
      </c>
      <c r="L26" s="65">
        <v>76.253997837730921</v>
      </c>
      <c r="M26" s="65">
        <v>75.881919961628824</v>
      </c>
      <c r="N26" s="65">
        <v>68.205866334966004</v>
      </c>
      <c r="O26" s="65">
        <v>67.677148052612978</v>
      </c>
      <c r="P26" s="65">
        <v>67.050667570207096</v>
      </c>
      <c r="Q26" s="65">
        <v>70.985643619823563</v>
      </c>
      <c r="R26" s="65">
        <v>66.288218779170634</v>
      </c>
      <c r="S26" s="65">
        <v>71.902007021910634</v>
      </c>
      <c r="T26" s="65">
        <v>78.312447709200995</v>
      </c>
      <c r="U26" s="65">
        <v>82.063792623739346</v>
      </c>
      <c r="V26" s="65">
        <v>89.167363229986918</v>
      </c>
      <c r="W26" s="65">
        <v>82.207708311644097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2.3903697334479786E-2</v>
      </c>
      <c r="H27" s="146">
        <v>2.3903697334479789E-2</v>
      </c>
      <c r="I27" s="146">
        <v>2.3903697334479782E-2</v>
      </c>
      <c r="J27" s="146">
        <v>2.3903697334479793E-2</v>
      </c>
      <c r="K27" s="146">
        <v>2.3903697334479789E-2</v>
      </c>
      <c r="L27" s="146">
        <v>0.45382631126397238</v>
      </c>
      <c r="M27" s="146">
        <v>0.54935511607910559</v>
      </c>
      <c r="N27" s="146">
        <v>0.5493551160791057</v>
      </c>
      <c r="O27" s="146">
        <v>0.28658641444539978</v>
      </c>
      <c r="P27" s="146">
        <v>1.146431642304385</v>
      </c>
      <c r="Q27" s="146">
        <v>0.81203783319002587</v>
      </c>
      <c r="R27" s="146">
        <v>0.85984522785898521</v>
      </c>
      <c r="S27" s="146">
        <v>0.64488392089423907</v>
      </c>
      <c r="T27" s="146">
        <v>0.69269131556319863</v>
      </c>
      <c r="U27" s="146">
        <v>0.71650902837489272</v>
      </c>
      <c r="V27" s="146">
        <v>0.74041272570937244</v>
      </c>
      <c r="W27" s="146">
        <v>0.76431642304385194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89.389071480251431</v>
      </c>
      <c r="C29" s="131">
        <f t="shared" si="8"/>
        <v>93.536366754492718</v>
      </c>
      <c r="D29" s="131">
        <f t="shared" si="8"/>
        <v>103.86600042907152</v>
      </c>
      <c r="E29" s="131">
        <f t="shared" si="8"/>
        <v>107.1318157914765</v>
      </c>
      <c r="F29" s="131">
        <f t="shared" si="8"/>
        <v>109.29884024603034</v>
      </c>
      <c r="G29" s="131">
        <f t="shared" si="8"/>
        <v>114.60975152458313</v>
      </c>
      <c r="H29" s="131">
        <f t="shared" si="8"/>
        <v>118.10365674130696</v>
      </c>
      <c r="I29" s="131">
        <f t="shared" si="8"/>
        <v>116.25777384658576</v>
      </c>
      <c r="J29" s="131">
        <f t="shared" si="8"/>
        <v>115.54036334986952</v>
      </c>
      <c r="K29" s="131">
        <f t="shared" si="8"/>
        <v>119.72454731051643</v>
      </c>
      <c r="L29" s="131">
        <f t="shared" si="8"/>
        <v>121.70463998065918</v>
      </c>
      <c r="M29" s="131">
        <f t="shared" si="8"/>
        <v>115.42465911065027</v>
      </c>
      <c r="N29" s="131">
        <f t="shared" si="8"/>
        <v>120.65511117305041</v>
      </c>
      <c r="O29" s="131">
        <f t="shared" si="8"/>
        <v>123.0562677716842</v>
      </c>
      <c r="P29" s="131">
        <f t="shared" si="8"/>
        <v>123.6269808681855</v>
      </c>
      <c r="Q29" s="131">
        <f t="shared" si="8"/>
        <v>125.58591827229031</v>
      </c>
      <c r="R29" s="131">
        <f t="shared" ref="R29:W29" si="9">SUM(R30:R33)</f>
        <v>125.09810917875811</v>
      </c>
      <c r="S29" s="131">
        <f t="shared" si="9"/>
        <v>122.57761524992438</v>
      </c>
      <c r="T29" s="131">
        <f t="shared" si="9"/>
        <v>120.47153698705171</v>
      </c>
      <c r="U29" s="131">
        <f t="shared" si="9"/>
        <v>116.26470951654909</v>
      </c>
      <c r="V29" s="131">
        <f t="shared" si="9"/>
        <v>106.20396092725552</v>
      </c>
      <c r="W29" s="131">
        <f t="shared" si="9"/>
        <v>124.48560090869702</v>
      </c>
      <c r="DA29" s="156" t="s">
        <v>216</v>
      </c>
    </row>
    <row r="30" spans="1:105" ht="12" customHeight="1" x14ac:dyDescent="0.25">
      <c r="A30" s="132" t="s">
        <v>52</v>
      </c>
      <c r="B30" s="133">
        <v>6.5935511607910584</v>
      </c>
      <c r="C30" s="133">
        <v>17.579019776440241</v>
      </c>
      <c r="D30" s="133">
        <v>37.355546001719695</v>
      </c>
      <c r="E30" s="133">
        <v>40.651590713671538</v>
      </c>
      <c r="F30" s="133">
        <v>45.046345657781607</v>
      </c>
      <c r="G30" s="133">
        <v>31.862080825451407</v>
      </c>
      <c r="H30" s="133">
        <v>27.467239896818558</v>
      </c>
      <c r="I30" s="133">
        <v>8.7895098882201186</v>
      </c>
      <c r="J30" s="133">
        <v>2.1974204643164228</v>
      </c>
      <c r="K30" s="133">
        <v>10.986930352536543</v>
      </c>
      <c r="L30" s="133">
        <v>19.776440240756656</v>
      </c>
      <c r="M30" s="133">
        <v>2.1974204643164232</v>
      </c>
      <c r="N30" s="133">
        <v>12.085640584694747</v>
      </c>
      <c r="O30" s="133">
        <v>10.98693035253654</v>
      </c>
      <c r="P30" s="133">
        <v>9.8882201203783371</v>
      </c>
      <c r="Q30" s="133">
        <v>7.690799656061909</v>
      </c>
      <c r="R30" s="133">
        <v>6.592175408426483</v>
      </c>
      <c r="S30" s="133">
        <v>3.2960447119518479</v>
      </c>
      <c r="T30" s="133">
        <v>4.3947549441100566</v>
      </c>
      <c r="U30" s="133">
        <v>3.2960447119518475</v>
      </c>
      <c r="V30" s="133">
        <v>2.1974204643164228</v>
      </c>
      <c r="W30" s="133">
        <v>2.1974204643164228</v>
      </c>
      <c r="DA30" s="157" t="s">
        <v>295</v>
      </c>
    </row>
    <row r="31" spans="1:105" ht="12" customHeight="1" x14ac:dyDescent="0.25">
      <c r="A31" s="132" t="s">
        <v>153</v>
      </c>
      <c r="B31" s="133">
        <v>49.799133165488009</v>
      </c>
      <c r="C31" s="133">
        <v>48.30130609232711</v>
      </c>
      <c r="D31" s="133">
        <v>46.645189269558081</v>
      </c>
      <c r="E31" s="133">
        <v>42.866033300635934</v>
      </c>
      <c r="F31" s="133">
        <v>34.205206076562753</v>
      </c>
      <c r="G31" s="133">
        <v>46.111099824666709</v>
      </c>
      <c r="H31" s="133">
        <v>50.257634878460671</v>
      </c>
      <c r="I31" s="133">
        <v>53.851883547957762</v>
      </c>
      <c r="J31" s="133">
        <v>53.858855393591185</v>
      </c>
      <c r="K31" s="133">
        <v>51.955554488250051</v>
      </c>
      <c r="L31" s="133">
        <v>50.007342431881447</v>
      </c>
      <c r="M31" s="133">
        <v>44.574134459366078</v>
      </c>
      <c r="N31" s="133">
        <v>49.843735163707109</v>
      </c>
      <c r="O31" s="133">
        <v>59.59503440940118</v>
      </c>
      <c r="P31" s="133">
        <v>62.647350012578272</v>
      </c>
      <c r="Q31" s="133">
        <v>69.712234639716669</v>
      </c>
      <c r="R31" s="133">
        <v>68.977439142492941</v>
      </c>
      <c r="S31" s="133">
        <v>63.627649556401792</v>
      </c>
      <c r="T31" s="133">
        <v>56.165595059536841</v>
      </c>
      <c r="U31" s="133">
        <v>46.837389890755638</v>
      </c>
      <c r="V31" s="133">
        <v>42.278815028324011</v>
      </c>
      <c r="W31" s="133">
        <v>67.014563748510994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32.996387153972371</v>
      </c>
      <c r="C33" s="68">
        <v>27.656040885725368</v>
      </c>
      <c r="D33" s="68">
        <v>19.865265157793743</v>
      </c>
      <c r="E33" s="68">
        <v>23.614191777169019</v>
      </c>
      <c r="F33" s="68">
        <v>30.047288511685974</v>
      </c>
      <c r="G33" s="68">
        <v>36.636570874465022</v>
      </c>
      <c r="H33" s="68">
        <v>40.378781966027731</v>
      </c>
      <c r="I33" s="68">
        <v>53.616380410407892</v>
      </c>
      <c r="J33" s="68">
        <v>59.484087491961915</v>
      </c>
      <c r="K33" s="68">
        <v>56.782062469729837</v>
      </c>
      <c r="L33" s="68">
        <v>51.920857308021091</v>
      </c>
      <c r="M33" s="68">
        <v>68.653104186967767</v>
      </c>
      <c r="N33" s="68">
        <v>58.725735424648555</v>
      </c>
      <c r="O33" s="68">
        <v>52.474303009746492</v>
      </c>
      <c r="P33" s="68">
        <v>51.091410735228891</v>
      </c>
      <c r="Q33" s="68">
        <v>48.182883976511725</v>
      </c>
      <c r="R33" s="68">
        <v>49.528494627838676</v>
      </c>
      <c r="S33" s="68">
        <v>55.653920981570735</v>
      </c>
      <c r="T33" s="68">
        <v>59.911186983404804</v>
      </c>
      <c r="U33" s="68">
        <v>66.131274913841594</v>
      </c>
      <c r="V33" s="68">
        <v>61.727725434615088</v>
      </c>
      <c r="W33" s="68">
        <v>55.273616695869599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1123.0186738532868</v>
      </c>
      <c r="C3" s="126">
        <f t="shared" si="0"/>
        <v>909.91396444894542</v>
      </c>
      <c r="D3" s="126">
        <f t="shared" si="0"/>
        <v>853.96087660899707</v>
      </c>
      <c r="E3" s="126">
        <f t="shared" si="0"/>
        <v>703.06937447191422</v>
      </c>
      <c r="F3" s="126">
        <f t="shared" si="0"/>
        <v>815.95876529638042</v>
      </c>
      <c r="G3" s="126">
        <f t="shared" si="0"/>
        <v>966.0608890320874</v>
      </c>
      <c r="H3" s="126">
        <f t="shared" si="0"/>
        <v>1042.4119831610378</v>
      </c>
      <c r="I3" s="126">
        <f t="shared" si="0"/>
        <v>1052.3715724532271</v>
      </c>
      <c r="J3" s="126">
        <f t="shared" si="0"/>
        <v>1097.8106753196516</v>
      </c>
      <c r="K3" s="126">
        <f t="shared" si="0"/>
        <v>1127.8958773146414</v>
      </c>
      <c r="L3" s="126">
        <f t="shared" si="0"/>
        <v>1237.1056704245348</v>
      </c>
      <c r="M3" s="126">
        <f t="shared" si="0"/>
        <v>945.10863341231379</v>
      </c>
      <c r="N3" s="126">
        <f t="shared" si="0"/>
        <v>837.21701182274933</v>
      </c>
      <c r="O3" s="126">
        <f t="shared" si="0"/>
        <v>1014.6986530504738</v>
      </c>
      <c r="P3" s="126">
        <f t="shared" si="0"/>
        <v>693.65185710955018</v>
      </c>
      <c r="Q3" s="126">
        <f t="shared" si="0"/>
        <v>742.62301852737335</v>
      </c>
      <c r="R3" s="126">
        <f t="shared" ref="R3:W3" si="1">SUM(R4,R16,R19,R29)</f>
        <v>765.36866856912548</v>
      </c>
      <c r="S3" s="126">
        <f t="shared" si="1"/>
        <v>849.32787409691855</v>
      </c>
      <c r="T3" s="126">
        <f t="shared" si="1"/>
        <v>780.02848059808434</v>
      </c>
      <c r="U3" s="126">
        <f t="shared" si="1"/>
        <v>714.18670739275547</v>
      </c>
      <c r="V3" s="126">
        <f t="shared" si="1"/>
        <v>646.22166976357516</v>
      </c>
      <c r="W3" s="126">
        <f t="shared" si="1"/>
        <v>866.11638372149707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989.03897745976542</v>
      </c>
      <c r="C4" s="131">
        <f t="shared" si="2"/>
        <v>773.29733855116035</v>
      </c>
      <c r="D4" s="131">
        <f t="shared" si="2"/>
        <v>708.67259826683892</v>
      </c>
      <c r="E4" s="131">
        <f t="shared" si="2"/>
        <v>551.52109776604846</v>
      </c>
      <c r="F4" s="131">
        <f t="shared" si="2"/>
        <v>659.30815625596983</v>
      </c>
      <c r="G4" s="131">
        <f t="shared" si="2"/>
        <v>799.92708694524106</v>
      </c>
      <c r="H4" s="131">
        <f t="shared" si="2"/>
        <v>867.70662900291984</v>
      </c>
      <c r="I4" s="131">
        <f t="shared" si="2"/>
        <v>870.63675973853867</v>
      </c>
      <c r="J4" s="131">
        <f t="shared" si="2"/>
        <v>912.64538216991809</v>
      </c>
      <c r="K4" s="131">
        <f t="shared" si="2"/>
        <v>937.17962102555589</v>
      </c>
      <c r="L4" s="131">
        <f t="shared" si="2"/>
        <v>1042.1572810767093</v>
      </c>
      <c r="M4" s="131">
        <f t="shared" si="2"/>
        <v>750.10184003653592</v>
      </c>
      <c r="N4" s="131">
        <f t="shared" si="2"/>
        <v>635.76464137065022</v>
      </c>
      <c r="O4" s="131">
        <f t="shared" si="2"/>
        <v>812.50465706071486</v>
      </c>
      <c r="P4" s="131">
        <f t="shared" si="2"/>
        <v>490.0998088203043</v>
      </c>
      <c r="Q4" s="131">
        <f t="shared" si="2"/>
        <v>533.57698083547223</v>
      </c>
      <c r="R4" s="131">
        <f t="shared" ref="R4:W4" si="3">SUM(R5:R15)</f>
        <v>556.87851347859419</v>
      </c>
      <c r="S4" s="131">
        <f t="shared" si="3"/>
        <v>636.7464012539499</v>
      </c>
      <c r="T4" s="131">
        <f t="shared" si="3"/>
        <v>566.61879177899732</v>
      </c>
      <c r="U4" s="131">
        <f t="shared" si="3"/>
        <v>499.11607386119499</v>
      </c>
      <c r="V4" s="131">
        <f t="shared" si="3"/>
        <v>448.66965068236169</v>
      </c>
      <c r="W4" s="131">
        <f t="shared" si="3"/>
        <v>645.82703187866173</v>
      </c>
      <c r="DA4" s="156" t="s">
        <v>301</v>
      </c>
    </row>
    <row r="5" spans="1:105" ht="12" customHeight="1" x14ac:dyDescent="0.25">
      <c r="A5" s="132" t="s">
        <v>29</v>
      </c>
      <c r="B5" s="133">
        <v>93.199633880208268</v>
      </c>
      <c r="C5" s="133">
        <v>76.068947754387821</v>
      </c>
      <c r="D5" s="133">
        <v>96.229517784344878</v>
      </c>
      <c r="E5" s="133">
        <v>16.739500391785416</v>
      </c>
      <c r="F5" s="133">
        <v>64.216896164876388</v>
      </c>
      <c r="G5" s="133">
        <v>14.919956545796005</v>
      </c>
      <c r="H5" s="133">
        <v>39.56480064084441</v>
      </c>
      <c r="I5" s="133">
        <v>83.507394929924999</v>
      </c>
      <c r="J5" s="133">
        <v>130.8756612392321</v>
      </c>
      <c r="K5" s="133">
        <v>293.51053778987659</v>
      </c>
      <c r="L5" s="133">
        <v>166.26507360319897</v>
      </c>
      <c r="M5" s="133">
        <v>188.70819187850341</v>
      </c>
      <c r="N5" s="133">
        <v>50.361614333666481</v>
      </c>
      <c r="O5" s="133">
        <v>99.537748157403954</v>
      </c>
      <c r="P5" s="133">
        <v>60.921073368116552</v>
      </c>
      <c r="Q5" s="133">
        <v>61.499283181077963</v>
      </c>
      <c r="R5" s="133">
        <v>32.197283959684967</v>
      </c>
      <c r="S5" s="133">
        <v>40.602412725964768</v>
      </c>
      <c r="T5" s="133">
        <v>48.083148693621382</v>
      </c>
      <c r="U5" s="133">
        <v>71.294263094421808</v>
      </c>
      <c r="V5" s="133">
        <v>27.781299989329245</v>
      </c>
      <c r="W5" s="133">
        <v>43.05410037247217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2.6484439283491081</v>
      </c>
      <c r="C7" s="133">
        <v>21.889996320837216</v>
      </c>
      <c r="D7" s="133">
        <v>13.963859105113123</v>
      </c>
      <c r="E7" s="133">
        <v>4.8444171919708623</v>
      </c>
      <c r="F7" s="133">
        <v>12.478284338564327</v>
      </c>
      <c r="G7" s="133">
        <v>13.700920491042575</v>
      </c>
      <c r="H7" s="133">
        <v>8.4429252144211517</v>
      </c>
      <c r="I7" s="133">
        <v>0.46822598567609475</v>
      </c>
      <c r="J7" s="133">
        <v>1.8729823462518809</v>
      </c>
      <c r="K7" s="133">
        <v>4.9582011421907923</v>
      </c>
      <c r="L7" s="133">
        <v>0</v>
      </c>
      <c r="M7" s="133">
        <v>0</v>
      </c>
      <c r="N7" s="133">
        <v>0</v>
      </c>
      <c r="O7" s="133">
        <v>0.67345616392493313</v>
      </c>
      <c r="P7" s="133">
        <v>3.4562919208171885</v>
      </c>
      <c r="Q7" s="133">
        <v>4.2174273508072986</v>
      </c>
      <c r="R7" s="133">
        <v>2.8119899265132897</v>
      </c>
      <c r="S7" s="133">
        <v>2.109538874998258</v>
      </c>
      <c r="T7" s="133">
        <v>1.4058785255927557</v>
      </c>
      <c r="U7" s="133">
        <v>3.5146362234311277</v>
      </c>
      <c r="V7" s="133">
        <v>2.1119361099343443</v>
      </c>
      <c r="W7" s="133">
        <v>2.1577962616655197</v>
      </c>
      <c r="DA7" s="157" t="s">
        <v>304</v>
      </c>
    </row>
    <row r="8" spans="1:105" ht="12" customHeight="1" x14ac:dyDescent="0.25">
      <c r="A8" s="132" t="s">
        <v>73</v>
      </c>
      <c r="B8" s="133">
        <v>1.5044437887090544E-2</v>
      </c>
      <c r="C8" s="133">
        <v>2.0117753884495809E-2</v>
      </c>
      <c r="D8" s="133">
        <v>2.8738624247550495E-2</v>
      </c>
      <c r="E8" s="133">
        <v>4.4240489438659755E-2</v>
      </c>
      <c r="F8" s="133">
        <v>5.7932558506692607E-2</v>
      </c>
      <c r="G8" s="133">
        <v>6.694854805692306E-2</v>
      </c>
      <c r="H8" s="133">
        <v>7.6011472070701511E-2</v>
      </c>
      <c r="I8" s="133">
        <v>7.8860662072148244E-2</v>
      </c>
      <c r="J8" s="133">
        <v>8.1537736327587637E-2</v>
      </c>
      <c r="K8" s="133">
        <v>9.6131953026518058E-2</v>
      </c>
      <c r="L8" s="133">
        <v>0.11810209469726241</v>
      </c>
      <c r="M8" s="133">
        <v>0.17148040853449398</v>
      </c>
      <c r="N8" s="133">
        <v>0.20549088544893299</v>
      </c>
      <c r="O8" s="133">
        <v>0.32582944472206432</v>
      </c>
      <c r="P8" s="133">
        <v>0.39076241409983775</v>
      </c>
      <c r="Q8" s="133">
        <v>0.47258591862326621</v>
      </c>
      <c r="R8" s="133">
        <v>0.43364768503670242</v>
      </c>
      <c r="S8" s="133">
        <v>0.44686799706590313</v>
      </c>
      <c r="T8" s="133">
        <v>0.45144812454573285</v>
      </c>
      <c r="U8" s="133">
        <v>0.431676518364561</v>
      </c>
      <c r="V8" s="133">
        <v>0.55917231467006101</v>
      </c>
      <c r="W8" s="133">
        <v>0.66294113620876127</v>
      </c>
      <c r="DA8" s="157" t="s">
        <v>305</v>
      </c>
    </row>
    <row r="9" spans="1:105" ht="12" customHeight="1" x14ac:dyDescent="0.25">
      <c r="A9" s="132" t="s">
        <v>78</v>
      </c>
      <c r="B9" s="133">
        <v>635.33338316530057</v>
      </c>
      <c r="C9" s="133">
        <v>301.45167802757032</v>
      </c>
      <c r="D9" s="133">
        <v>186.73286806281118</v>
      </c>
      <c r="E9" s="133">
        <v>198.90076817749116</v>
      </c>
      <c r="F9" s="133">
        <v>134.51418983943236</v>
      </c>
      <c r="G9" s="133">
        <v>436.38037313414691</v>
      </c>
      <c r="H9" s="133">
        <v>505.82696349992358</v>
      </c>
      <c r="I9" s="133">
        <v>470.72635180857179</v>
      </c>
      <c r="J9" s="133">
        <v>466.94201882905941</v>
      </c>
      <c r="K9" s="133">
        <v>284.59256889382152</v>
      </c>
      <c r="L9" s="133">
        <v>441.81722477249423</v>
      </c>
      <c r="M9" s="133">
        <v>169.54735502623137</v>
      </c>
      <c r="N9" s="133">
        <v>348.43100963187021</v>
      </c>
      <c r="O9" s="133">
        <v>423.35283285293815</v>
      </c>
      <c r="P9" s="133">
        <v>243.66095356116455</v>
      </c>
      <c r="Q9" s="133">
        <v>267.66213077392075</v>
      </c>
      <c r="R9" s="133">
        <v>272.88139750677118</v>
      </c>
      <c r="S9" s="133">
        <v>307.18357507198465</v>
      </c>
      <c r="T9" s="133">
        <v>266.75642370930427</v>
      </c>
      <c r="U9" s="133">
        <v>220.07975057551738</v>
      </c>
      <c r="V9" s="133">
        <v>205.34433158651132</v>
      </c>
      <c r="W9" s="133">
        <v>319.27351009943595</v>
      </c>
      <c r="DA9" s="157" t="s">
        <v>306</v>
      </c>
    </row>
    <row r="10" spans="1:105" ht="12" customHeight="1" x14ac:dyDescent="0.25">
      <c r="A10" s="132" t="s">
        <v>128</v>
      </c>
      <c r="B10" s="133">
        <v>6.2710234609393387E-2</v>
      </c>
      <c r="C10" s="133">
        <v>6.4682954887087831</v>
      </c>
      <c r="D10" s="133">
        <v>1.5778752732191947</v>
      </c>
      <c r="E10" s="133">
        <v>1.5256606327645827</v>
      </c>
      <c r="F10" s="133">
        <v>1.3375675475534445</v>
      </c>
      <c r="G10" s="133">
        <v>0.3761861704222762</v>
      </c>
      <c r="H10" s="133">
        <v>0.38129518813940266</v>
      </c>
      <c r="I10" s="133">
        <v>0.36566699417617415</v>
      </c>
      <c r="J10" s="133">
        <v>6.0746107326613821</v>
      </c>
      <c r="K10" s="133">
        <v>8.6982422775822243</v>
      </c>
      <c r="L10" s="133">
        <v>9.1275209667303816</v>
      </c>
      <c r="M10" s="133">
        <v>5.3294501766274527</v>
      </c>
      <c r="N10" s="133">
        <v>7.0595938428978089</v>
      </c>
      <c r="O10" s="133">
        <v>4.4746830522752985</v>
      </c>
      <c r="P10" s="133">
        <v>13.453505222193286</v>
      </c>
      <c r="Q10" s="133">
        <v>8.3139809127678603</v>
      </c>
      <c r="R10" s="133">
        <v>3.3264990327450823</v>
      </c>
      <c r="S10" s="133">
        <v>13.094291993374332</v>
      </c>
      <c r="T10" s="133">
        <v>13.396074598907616</v>
      </c>
      <c r="U10" s="133">
        <v>15.390109051092846</v>
      </c>
      <c r="V10" s="133">
        <v>17.587422935960408</v>
      </c>
      <c r="W10" s="133">
        <v>19.579085425255716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0.49729427250449859</v>
      </c>
      <c r="D11" s="133">
        <v>0.49816708670777388</v>
      </c>
      <c r="E11" s="133">
        <v>0.55460686652285884</v>
      </c>
      <c r="F11" s="133">
        <v>0.53645835917523021</v>
      </c>
      <c r="G11" s="133">
        <v>0.648266740533195</v>
      </c>
      <c r="H11" s="133">
        <v>0.8540526528705471</v>
      </c>
      <c r="I11" s="133">
        <v>0.85585875102024322</v>
      </c>
      <c r="J11" s="133">
        <v>0.89433763237948338</v>
      </c>
      <c r="K11" s="133">
        <v>0.87661506461698446</v>
      </c>
      <c r="L11" s="133">
        <v>0.89659444822618506</v>
      </c>
      <c r="M11" s="133">
        <v>0.74982695711048386</v>
      </c>
      <c r="N11" s="133">
        <v>0.60212194602727898</v>
      </c>
      <c r="O11" s="133">
        <v>0.69971471078418024</v>
      </c>
      <c r="P11" s="133">
        <v>0.51494497660125804</v>
      </c>
      <c r="Q11" s="133">
        <v>0.55777249077919311</v>
      </c>
      <c r="R11" s="133">
        <v>0.66022496247320828</v>
      </c>
      <c r="S11" s="133">
        <v>0.64690124540401828</v>
      </c>
      <c r="T11" s="133">
        <v>0.57064246425249421</v>
      </c>
      <c r="U11" s="133">
        <v>0.55243768009422256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133.23714149920627</v>
      </c>
      <c r="C12" s="133">
        <v>115.23597000952964</v>
      </c>
      <c r="D12" s="133">
        <v>146.34174716007544</v>
      </c>
      <c r="E12" s="133">
        <v>124.98871254470848</v>
      </c>
      <c r="F12" s="133">
        <v>194.9199217064957</v>
      </c>
      <c r="G12" s="133">
        <v>172.08456037303083</v>
      </c>
      <c r="H12" s="133">
        <v>155.36795893240446</v>
      </c>
      <c r="I12" s="133">
        <v>139.30250847726847</v>
      </c>
      <c r="J12" s="133">
        <v>141.84382594035253</v>
      </c>
      <c r="K12" s="133">
        <v>163.22845862347009</v>
      </c>
      <c r="L12" s="133">
        <v>185.50720300551063</v>
      </c>
      <c r="M12" s="133">
        <v>147.22223988848759</v>
      </c>
      <c r="N12" s="133">
        <v>86.202521091538884</v>
      </c>
      <c r="O12" s="133">
        <v>68.784029641242654</v>
      </c>
      <c r="P12" s="133">
        <v>39.189766838372776</v>
      </c>
      <c r="Q12" s="133">
        <v>19.390764156067402</v>
      </c>
      <c r="R12" s="133">
        <v>62.997939775233569</v>
      </c>
      <c r="S12" s="133">
        <v>57.177324816258256</v>
      </c>
      <c r="T12" s="133">
        <v>56.946830239133106</v>
      </c>
      <c r="U12" s="133">
        <v>53.42747626965334</v>
      </c>
      <c r="V12" s="133">
        <v>56.342610163050161</v>
      </c>
      <c r="W12" s="133">
        <v>82.58428202041496</v>
      </c>
      <c r="DA12" s="157" t="s">
        <v>309</v>
      </c>
    </row>
    <row r="13" spans="1:105" ht="12" customHeight="1" x14ac:dyDescent="0.25">
      <c r="A13" s="132" t="s">
        <v>77</v>
      </c>
      <c r="B13" s="133">
        <v>1.6058733428289743E-2</v>
      </c>
      <c r="C13" s="133">
        <v>0.11933091511776964</v>
      </c>
      <c r="D13" s="133">
        <v>0.21542000931383981</v>
      </c>
      <c r="E13" s="133">
        <v>0.26152440775157104</v>
      </c>
      <c r="F13" s="133">
        <v>0.41702489903438311</v>
      </c>
      <c r="G13" s="133">
        <v>0.45366834876616646</v>
      </c>
      <c r="H13" s="133">
        <v>0.50046188619035303</v>
      </c>
      <c r="I13" s="133">
        <v>0.76380351900292964</v>
      </c>
      <c r="J13" s="133">
        <v>0.86824993773155001</v>
      </c>
      <c r="K13" s="133">
        <v>1.3782719184509691</v>
      </c>
      <c r="L13" s="133">
        <v>2.2647595598104817</v>
      </c>
      <c r="M13" s="133">
        <v>4.0046134236861803</v>
      </c>
      <c r="N13" s="133">
        <v>5.1969720500908307</v>
      </c>
      <c r="O13" s="133">
        <v>5.9068242266918363</v>
      </c>
      <c r="P13" s="133">
        <v>6.8363960478516743</v>
      </c>
      <c r="Q13" s="133">
        <v>14.294014423510937</v>
      </c>
      <c r="R13" s="133">
        <v>14.498140774042117</v>
      </c>
      <c r="S13" s="133">
        <v>15.125963460025268</v>
      </c>
      <c r="T13" s="133">
        <v>15.660820119517762</v>
      </c>
      <c r="U13" s="133">
        <v>14.724435206464383</v>
      </c>
      <c r="V13" s="133">
        <v>18.908958028205976</v>
      </c>
      <c r="W13" s="133">
        <v>22.741476240632064</v>
      </c>
      <c r="DA13" s="157" t="s">
        <v>310</v>
      </c>
    </row>
    <row r="14" spans="1:105" ht="12" customHeight="1" x14ac:dyDescent="0.25">
      <c r="A14" s="60" t="s">
        <v>76</v>
      </c>
      <c r="B14" s="65">
        <v>110.16804066806965</v>
      </c>
      <c r="C14" s="65">
        <v>243.79366991883626</v>
      </c>
      <c r="D14" s="65">
        <v>257.55398502751058</v>
      </c>
      <c r="E14" s="65">
        <v>199.05096141162068</v>
      </c>
      <c r="F14" s="65">
        <v>246.59345529670259</v>
      </c>
      <c r="G14" s="65">
        <v>152.19343771624335</v>
      </c>
      <c r="H14" s="65">
        <v>146.46424492988876</v>
      </c>
      <c r="I14" s="65">
        <v>164.93685481748125</v>
      </c>
      <c r="J14" s="65">
        <v>153.25690650191302</v>
      </c>
      <c r="K14" s="65">
        <v>171.5691145020572</v>
      </c>
      <c r="L14" s="65">
        <v>226.39179718488742</v>
      </c>
      <c r="M14" s="65">
        <v>229.28336941144485</v>
      </c>
      <c r="N14" s="65">
        <v>131.06735455377884</v>
      </c>
      <c r="O14" s="65">
        <v>200.59952616523151</v>
      </c>
      <c r="P14" s="65">
        <v>116.8570782265723</v>
      </c>
      <c r="Q14" s="65">
        <v>152.10263632867856</v>
      </c>
      <c r="R14" s="65">
        <v>162.09637999132113</v>
      </c>
      <c r="S14" s="65">
        <v>194.7527864106338</v>
      </c>
      <c r="T14" s="65">
        <v>158.35989950646524</v>
      </c>
      <c r="U14" s="65">
        <v>115.25095609862342</v>
      </c>
      <c r="V14" s="65">
        <v>116.16432484218558</v>
      </c>
      <c r="W14" s="65">
        <v>149.84941176342761</v>
      </c>
      <c r="DA14" s="109" t="s">
        <v>311</v>
      </c>
    </row>
    <row r="15" spans="1:105" ht="12" customHeight="1" x14ac:dyDescent="0.25">
      <c r="A15" s="134" t="s">
        <v>80</v>
      </c>
      <c r="B15" s="135">
        <v>14.358520912706638</v>
      </c>
      <c r="C15" s="135">
        <v>7.7520380897835688</v>
      </c>
      <c r="D15" s="135">
        <v>5.5304201334953351</v>
      </c>
      <c r="E15" s="135">
        <v>4.6107056519941594</v>
      </c>
      <c r="F15" s="135">
        <v>4.2364255456286388</v>
      </c>
      <c r="G15" s="135">
        <v>9.1027688772027986</v>
      </c>
      <c r="H15" s="135">
        <v>10.227914586166513</v>
      </c>
      <c r="I15" s="135">
        <v>9.6312337933444212</v>
      </c>
      <c r="J15" s="135">
        <v>9.935251274009099</v>
      </c>
      <c r="K15" s="135">
        <v>8.2714788604629277</v>
      </c>
      <c r="L15" s="135">
        <v>9.7690054411537766</v>
      </c>
      <c r="M15" s="135">
        <v>5.0853128659100832</v>
      </c>
      <c r="N15" s="135">
        <v>6.6379630353309302</v>
      </c>
      <c r="O15" s="135">
        <v>8.1500126455003095</v>
      </c>
      <c r="P15" s="135">
        <v>4.8190362445147752</v>
      </c>
      <c r="Q15" s="135">
        <v>5.066385299238954</v>
      </c>
      <c r="R15" s="135">
        <v>4.9750098647729422</v>
      </c>
      <c r="S15" s="135">
        <v>5.6067386582405838</v>
      </c>
      <c r="T15" s="135">
        <v>4.9876257976570155</v>
      </c>
      <c r="U15" s="135">
        <v>4.4503331435318954</v>
      </c>
      <c r="V15" s="135">
        <v>3.8695947125145587</v>
      </c>
      <c r="W15" s="135">
        <v>5.9244285591489882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9.0146439733599948</v>
      </c>
      <c r="C16" s="131">
        <f t="shared" si="4"/>
        <v>9.5422430196836849</v>
      </c>
      <c r="D16" s="131">
        <f t="shared" si="4"/>
        <v>10.735109879899525</v>
      </c>
      <c r="E16" s="131">
        <f t="shared" si="4"/>
        <v>11.57726831472891</v>
      </c>
      <c r="F16" s="131">
        <f t="shared" si="4"/>
        <v>11.947267928198869</v>
      </c>
      <c r="G16" s="131">
        <f t="shared" si="4"/>
        <v>12.77496403778664</v>
      </c>
      <c r="H16" s="131">
        <f t="shared" si="4"/>
        <v>14.075346883802789</v>
      </c>
      <c r="I16" s="131">
        <f t="shared" si="4"/>
        <v>16.104472505113414</v>
      </c>
      <c r="J16" s="131">
        <f t="shared" si="4"/>
        <v>16.256601286804155</v>
      </c>
      <c r="K16" s="131">
        <f t="shared" si="4"/>
        <v>16.881672769796253</v>
      </c>
      <c r="L16" s="131">
        <f t="shared" si="4"/>
        <v>18.322648308656039</v>
      </c>
      <c r="M16" s="131">
        <f t="shared" si="4"/>
        <v>18.132343322868461</v>
      </c>
      <c r="N16" s="131">
        <f t="shared" si="4"/>
        <v>20.570279609982915</v>
      </c>
      <c r="O16" s="131">
        <f t="shared" si="4"/>
        <v>20.256303776104133</v>
      </c>
      <c r="P16" s="131">
        <f t="shared" si="4"/>
        <v>19.137388524515615</v>
      </c>
      <c r="Q16" s="131">
        <f t="shared" si="4"/>
        <v>23.084979396952036</v>
      </c>
      <c r="R16" s="131">
        <f t="shared" ref="R16:W16" si="5">SUM(R17:R18)</f>
        <v>19.991620197992045</v>
      </c>
      <c r="S16" s="131">
        <f t="shared" si="5"/>
        <v>21.918099322352848</v>
      </c>
      <c r="T16" s="131">
        <f t="shared" si="5"/>
        <v>22.124450568782201</v>
      </c>
      <c r="U16" s="131">
        <f t="shared" si="5"/>
        <v>23.523102294394953</v>
      </c>
      <c r="V16" s="131">
        <f t="shared" si="5"/>
        <v>21.266122327553713</v>
      </c>
      <c r="W16" s="131">
        <f t="shared" si="5"/>
        <v>23.741710230578725</v>
      </c>
      <c r="DA16" s="156" t="s">
        <v>313</v>
      </c>
    </row>
    <row r="17" spans="1:105" ht="12.95" customHeight="1" x14ac:dyDescent="0.25">
      <c r="A17" s="132" t="s">
        <v>73</v>
      </c>
      <c r="B17" s="133">
        <v>1.7675461991338393E-2</v>
      </c>
      <c r="C17" s="133">
        <v>2.8758565325142749E-2</v>
      </c>
      <c r="D17" s="133">
        <v>2.5832808167161901E-2</v>
      </c>
      <c r="E17" s="133">
        <v>1.0010527656577371E-2</v>
      </c>
      <c r="F17" s="133">
        <v>2.9574408158105282E-2</v>
      </c>
      <c r="G17" s="133">
        <v>4.3949958348625008E-2</v>
      </c>
      <c r="H17" s="133">
        <v>5.3040313814804001E-2</v>
      </c>
      <c r="I17" s="133">
        <v>5.7809986447288922E-2</v>
      </c>
      <c r="J17" s="133">
        <v>6.2858394818548782E-2</v>
      </c>
      <c r="K17" s="133">
        <v>6.3358651688709383E-2</v>
      </c>
      <c r="L17" s="133">
        <v>7.0222276733156397E-2</v>
      </c>
      <c r="M17" s="133">
        <v>7.6342622917966355E-2</v>
      </c>
      <c r="N17" s="133">
        <v>8.8382698839026289E-2</v>
      </c>
      <c r="O17" s="133">
        <v>0.1097363526636289</v>
      </c>
      <c r="P17" s="133">
        <v>0.14728715786893698</v>
      </c>
      <c r="Q17" s="133">
        <v>0.20534062024923347</v>
      </c>
      <c r="R17" s="133">
        <v>0.26672452696573795</v>
      </c>
      <c r="S17" s="133">
        <v>0.32246247115223747</v>
      </c>
      <c r="T17" s="133">
        <v>0.37414593285611419</v>
      </c>
      <c r="U17" s="133">
        <v>0.41818501529360358</v>
      </c>
      <c r="V17" s="133">
        <v>0.45793913756628224</v>
      </c>
      <c r="W17" s="133">
        <v>0.4927007170027583</v>
      </c>
      <c r="DA17" s="157" t="s">
        <v>314</v>
      </c>
    </row>
    <row r="18" spans="1:105" ht="12" customHeight="1" x14ac:dyDescent="0.25">
      <c r="A18" s="132" t="s">
        <v>72</v>
      </c>
      <c r="B18" s="133">
        <v>8.9969685113686566</v>
      </c>
      <c r="C18" s="133">
        <v>9.513484454358542</v>
      </c>
      <c r="D18" s="133">
        <v>10.709277071732364</v>
      </c>
      <c r="E18" s="133">
        <v>11.567257787072332</v>
      </c>
      <c r="F18" s="133">
        <v>11.917693520040764</v>
      </c>
      <c r="G18" s="133">
        <v>12.731014079438015</v>
      </c>
      <c r="H18" s="133">
        <v>14.022306569987984</v>
      </c>
      <c r="I18" s="133">
        <v>16.046662518666125</v>
      </c>
      <c r="J18" s="133">
        <v>16.193742891985607</v>
      </c>
      <c r="K18" s="133">
        <v>16.818314118107544</v>
      </c>
      <c r="L18" s="133">
        <v>18.252426031922884</v>
      </c>
      <c r="M18" s="133">
        <v>18.056000699950495</v>
      </c>
      <c r="N18" s="133">
        <v>20.481896911143888</v>
      </c>
      <c r="O18" s="133">
        <v>20.146567423440505</v>
      </c>
      <c r="P18" s="133">
        <v>18.990101366646677</v>
      </c>
      <c r="Q18" s="133">
        <v>22.879638776702802</v>
      </c>
      <c r="R18" s="133">
        <v>19.724895671026307</v>
      </c>
      <c r="S18" s="133">
        <v>21.595636851200609</v>
      </c>
      <c r="T18" s="133">
        <v>21.750304635926089</v>
      </c>
      <c r="U18" s="133">
        <v>23.10491727910135</v>
      </c>
      <c r="V18" s="133">
        <v>20.808183189987432</v>
      </c>
      <c r="W18" s="133">
        <v>23.249009513575967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62.177290935305635</v>
      </c>
      <c r="C19" s="131">
        <f t="shared" si="6"/>
        <v>62.652819726455036</v>
      </c>
      <c r="D19" s="131">
        <f t="shared" si="6"/>
        <v>65.045604184563985</v>
      </c>
      <c r="E19" s="131">
        <f t="shared" si="6"/>
        <v>67.546558699291225</v>
      </c>
      <c r="F19" s="131">
        <f t="shared" si="6"/>
        <v>69.517529406288133</v>
      </c>
      <c r="G19" s="131">
        <f t="shared" si="6"/>
        <v>73.305188409147107</v>
      </c>
      <c r="H19" s="131">
        <f t="shared" si="6"/>
        <v>77.392558797011546</v>
      </c>
      <c r="I19" s="131">
        <f t="shared" si="6"/>
        <v>80.618295245833508</v>
      </c>
      <c r="J19" s="131">
        <f t="shared" si="6"/>
        <v>82.957786728159419</v>
      </c>
      <c r="K19" s="131">
        <f t="shared" si="6"/>
        <v>85.662151682927629</v>
      </c>
      <c r="L19" s="131">
        <f t="shared" si="6"/>
        <v>88.112171806679953</v>
      </c>
      <c r="M19" s="131">
        <f t="shared" si="6"/>
        <v>88.790766469972951</v>
      </c>
      <c r="N19" s="131">
        <f t="shared" si="6"/>
        <v>91.531394856495865</v>
      </c>
      <c r="O19" s="131">
        <f t="shared" si="6"/>
        <v>92.304988122546831</v>
      </c>
      <c r="P19" s="131">
        <f t="shared" si="6"/>
        <v>94.619727409101159</v>
      </c>
      <c r="Q19" s="131">
        <f t="shared" si="6"/>
        <v>95.327796275274352</v>
      </c>
      <c r="R19" s="131">
        <f t="shared" ref="R19:W19" si="7">SUM(R20:R27)</f>
        <v>97.564980493927436</v>
      </c>
      <c r="S19" s="131">
        <f t="shared" si="7"/>
        <v>99.439943752279731</v>
      </c>
      <c r="T19" s="131">
        <f t="shared" si="7"/>
        <v>99.849357973734357</v>
      </c>
      <c r="U19" s="131">
        <f t="shared" si="7"/>
        <v>100.71861892543104</v>
      </c>
      <c r="V19" s="131">
        <f t="shared" si="7"/>
        <v>92.511713436895803</v>
      </c>
      <c r="W19" s="131">
        <f t="shared" si="7"/>
        <v>102.27927727961372</v>
      </c>
      <c r="DA19" s="156" t="s">
        <v>316</v>
      </c>
    </row>
    <row r="20" spans="1:105" ht="12" customHeight="1" x14ac:dyDescent="0.25">
      <c r="A20" s="132" t="s">
        <v>29</v>
      </c>
      <c r="B20" s="133">
        <v>3.7753999695278941</v>
      </c>
      <c r="C20" s="133">
        <v>3.1821717049089346</v>
      </c>
      <c r="D20" s="133">
        <v>2.9463729935180449</v>
      </c>
      <c r="E20" s="133">
        <v>1.8107791368026338</v>
      </c>
      <c r="F20" s="133">
        <v>1.5742223604736167</v>
      </c>
      <c r="G20" s="133">
        <v>0.67395532468664709</v>
      </c>
      <c r="H20" s="133">
        <v>1.9769628624047275</v>
      </c>
      <c r="I20" s="133">
        <v>4.2990675059849881</v>
      </c>
      <c r="J20" s="133">
        <v>5.5846474228092795</v>
      </c>
      <c r="K20" s="133">
        <v>6.3234941268675193</v>
      </c>
      <c r="L20" s="133">
        <v>6.2509047774118178</v>
      </c>
      <c r="M20" s="133">
        <v>6.3772800452076757</v>
      </c>
      <c r="N20" s="133">
        <v>6.674921332124681</v>
      </c>
      <c r="O20" s="133">
        <v>6.8359464925735294</v>
      </c>
      <c r="P20" s="133">
        <v>7.0965036131050887</v>
      </c>
      <c r="Q20" s="133">
        <v>7.6224726686445896</v>
      </c>
      <c r="R20" s="133">
        <v>3.9790916357807498</v>
      </c>
      <c r="S20" s="133">
        <v>4.8787072339812196</v>
      </c>
      <c r="T20" s="133">
        <v>5.214798073628244</v>
      </c>
      <c r="U20" s="133">
        <v>7.1747654222698598</v>
      </c>
      <c r="V20" s="133">
        <v>2.6668893652754875</v>
      </c>
      <c r="W20" s="133">
        <v>3.8695629829381812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319</v>
      </c>
    </row>
    <row r="23" spans="1:105" ht="12" customHeight="1" x14ac:dyDescent="0.25">
      <c r="A23" s="132" t="s">
        <v>153</v>
      </c>
      <c r="B23" s="133">
        <v>3.048246622483342</v>
      </c>
      <c r="C23" s="133">
        <v>8.8925863601851916</v>
      </c>
      <c r="D23" s="133">
        <v>11.33225292239743</v>
      </c>
      <c r="E23" s="133">
        <v>11.727223988223574</v>
      </c>
      <c r="F23" s="133">
        <v>13.405574991192703</v>
      </c>
      <c r="G23" s="133">
        <v>13.864705371999598</v>
      </c>
      <c r="H23" s="133">
        <v>15.121232127645952</v>
      </c>
      <c r="I23" s="133">
        <v>17.697435661926388</v>
      </c>
      <c r="J23" s="133">
        <v>18.473653025135139</v>
      </c>
      <c r="K23" s="133">
        <v>18.536793920158939</v>
      </c>
      <c r="L23" s="133">
        <v>20.671343636974981</v>
      </c>
      <c r="M23" s="133">
        <v>21.206618248137879</v>
      </c>
      <c r="N23" s="133">
        <v>28.261164964026129</v>
      </c>
      <c r="O23" s="133">
        <v>32.450322423924554</v>
      </c>
      <c r="P23" s="133">
        <v>34.118641456008248</v>
      </c>
      <c r="Q23" s="133">
        <v>35.332687386144016</v>
      </c>
      <c r="R23" s="133">
        <v>35.761270600156081</v>
      </c>
      <c r="S23" s="133">
        <v>32.988559334725011</v>
      </c>
      <c r="T23" s="133">
        <v>27.526518657635314</v>
      </c>
      <c r="U23" s="133">
        <v>23.335790444413</v>
      </c>
      <c r="V23" s="133">
        <v>15.629596150174224</v>
      </c>
      <c r="W23" s="133">
        <v>26.909831479524218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6.6361521319544936</v>
      </c>
      <c r="C25" s="133">
        <v>8.3500351429449502</v>
      </c>
      <c r="D25" s="133">
        <v>12.422796518721928</v>
      </c>
      <c r="E25" s="133">
        <v>14.406910697759017</v>
      </c>
      <c r="F25" s="133">
        <v>19.0339802318056</v>
      </c>
      <c r="G25" s="133">
        <v>13.678039322537757</v>
      </c>
      <c r="H25" s="133">
        <v>11.967757358938604</v>
      </c>
      <c r="I25" s="133">
        <v>11.675759521985183</v>
      </c>
      <c r="J25" s="133">
        <v>11.634423104127009</v>
      </c>
      <c r="K25" s="133">
        <v>11.878348632039769</v>
      </c>
      <c r="L25" s="133">
        <v>11.238676200573192</v>
      </c>
      <c r="M25" s="133">
        <v>11.022358103611513</v>
      </c>
      <c r="N25" s="133">
        <v>11.047501718574614</v>
      </c>
      <c r="O25" s="133">
        <v>7.6330347716765834</v>
      </c>
      <c r="P25" s="133">
        <v>7.3705492799176762</v>
      </c>
      <c r="Q25" s="133">
        <v>3.461469789243993</v>
      </c>
      <c r="R25" s="133">
        <v>11.262295753858467</v>
      </c>
      <c r="S25" s="133">
        <v>10.189672296976372</v>
      </c>
      <c r="T25" s="133">
        <v>9.3605512687026771</v>
      </c>
      <c r="U25" s="133">
        <v>7.8988080570352812</v>
      </c>
      <c r="V25" s="133">
        <v>4.5036191882630021</v>
      </c>
      <c r="W25" s="133">
        <v>5.5264435091701927</v>
      </c>
      <c r="DA25" s="157" t="s">
        <v>322</v>
      </c>
    </row>
    <row r="26" spans="1:105" ht="12" customHeight="1" x14ac:dyDescent="0.25">
      <c r="A26" s="132" t="s">
        <v>24</v>
      </c>
      <c r="B26" s="65">
        <v>48.717492211339902</v>
      </c>
      <c r="C26" s="65">
        <v>42.228026518415959</v>
      </c>
      <c r="D26" s="65">
        <v>38.344181749926591</v>
      </c>
      <c r="E26" s="65">
        <v>39.601644876506001</v>
      </c>
      <c r="F26" s="65">
        <v>35.503751822816213</v>
      </c>
      <c r="G26" s="65">
        <v>45.064584692588632</v>
      </c>
      <c r="H26" s="65">
        <v>48.302702750687786</v>
      </c>
      <c r="I26" s="65">
        <v>46.92212885860247</v>
      </c>
      <c r="J26" s="65">
        <v>47.241159478753524</v>
      </c>
      <c r="K26" s="65">
        <v>48.899611306526928</v>
      </c>
      <c r="L26" s="65">
        <v>49.497420880455991</v>
      </c>
      <c r="M26" s="65">
        <v>49.635154956936788</v>
      </c>
      <c r="N26" s="65">
        <v>44.998451725691332</v>
      </c>
      <c r="O26" s="65">
        <v>45.099098019926771</v>
      </c>
      <c r="P26" s="65">
        <v>44.887601417765779</v>
      </c>
      <c r="Q26" s="65">
        <v>48.099128598051728</v>
      </c>
      <c r="R26" s="65">
        <v>45.70247727627315</v>
      </c>
      <c r="S26" s="65">
        <v>50.738120965702883</v>
      </c>
      <c r="T26" s="65">
        <v>57.05479865820493</v>
      </c>
      <c r="U26" s="65">
        <v>61.592745973338019</v>
      </c>
      <c r="V26" s="65">
        <v>68.971196007473708</v>
      </c>
      <c r="W26" s="65">
        <v>65.209122884937273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2.3903697334479786E-2</v>
      </c>
      <c r="H27" s="146">
        <v>2.3903697334479789E-2</v>
      </c>
      <c r="I27" s="146">
        <v>2.3903697334479782E-2</v>
      </c>
      <c r="J27" s="146">
        <v>2.3903697334479793E-2</v>
      </c>
      <c r="K27" s="146">
        <v>2.3903697334479789E-2</v>
      </c>
      <c r="L27" s="146">
        <v>0.45382631126397238</v>
      </c>
      <c r="M27" s="146">
        <v>0.54935511607910559</v>
      </c>
      <c r="N27" s="146">
        <v>0.5493551160791057</v>
      </c>
      <c r="O27" s="146">
        <v>0.28658641444539978</v>
      </c>
      <c r="P27" s="146">
        <v>1.146431642304385</v>
      </c>
      <c r="Q27" s="146">
        <v>0.81203783319002587</v>
      </c>
      <c r="R27" s="146">
        <v>0.85984522785898521</v>
      </c>
      <c r="S27" s="146">
        <v>0.64488392089423907</v>
      </c>
      <c r="T27" s="146">
        <v>0.69269131556319863</v>
      </c>
      <c r="U27" s="146">
        <v>0.71650902837489272</v>
      </c>
      <c r="V27" s="146">
        <v>0.74041272570937244</v>
      </c>
      <c r="W27" s="146">
        <v>0.76431642304385194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62.787761484855785</v>
      </c>
      <c r="C29" s="131">
        <f t="shared" si="8"/>
        <v>64.421563151646325</v>
      </c>
      <c r="D29" s="131">
        <f t="shared" si="8"/>
        <v>69.507564277694712</v>
      </c>
      <c r="E29" s="131">
        <f t="shared" si="8"/>
        <v>72.424449691845538</v>
      </c>
      <c r="F29" s="131">
        <f t="shared" si="8"/>
        <v>75.185811705923612</v>
      </c>
      <c r="G29" s="131">
        <f t="shared" si="8"/>
        <v>80.053649639912578</v>
      </c>
      <c r="H29" s="131">
        <f t="shared" si="8"/>
        <v>83.237448477303673</v>
      </c>
      <c r="I29" s="131">
        <f t="shared" si="8"/>
        <v>85.012044963741687</v>
      </c>
      <c r="J29" s="131">
        <f t="shared" si="8"/>
        <v>85.950905134769997</v>
      </c>
      <c r="K29" s="131">
        <f t="shared" si="8"/>
        <v>88.172431836361795</v>
      </c>
      <c r="L29" s="131">
        <f t="shared" si="8"/>
        <v>88.513569232489601</v>
      </c>
      <c r="M29" s="131">
        <f t="shared" si="8"/>
        <v>88.083683582936501</v>
      </c>
      <c r="N29" s="131">
        <f t="shared" si="8"/>
        <v>89.350695985620447</v>
      </c>
      <c r="O29" s="131">
        <f t="shared" si="8"/>
        <v>89.632704091107939</v>
      </c>
      <c r="P29" s="131">
        <f t="shared" si="8"/>
        <v>89.794932355629044</v>
      </c>
      <c r="Q29" s="131">
        <f t="shared" si="8"/>
        <v>90.633262019674774</v>
      </c>
      <c r="R29" s="131">
        <f t="shared" ref="R29:W29" si="9">SUM(R30:R33)</f>
        <v>90.933554398611875</v>
      </c>
      <c r="S29" s="131">
        <f t="shared" si="9"/>
        <v>91.223429768336004</v>
      </c>
      <c r="T29" s="131">
        <f t="shared" si="9"/>
        <v>91.435880276570472</v>
      </c>
      <c r="U29" s="131">
        <f t="shared" si="9"/>
        <v>90.828912311734513</v>
      </c>
      <c r="V29" s="131">
        <f t="shared" si="9"/>
        <v>83.774183316763967</v>
      </c>
      <c r="W29" s="131">
        <f t="shared" si="9"/>
        <v>94.268364332642818</v>
      </c>
      <c r="DA29" s="156" t="s">
        <v>325</v>
      </c>
    </row>
    <row r="30" spans="1:105" ht="12" customHeight="1" x14ac:dyDescent="0.25">
      <c r="A30" s="132" t="s">
        <v>52</v>
      </c>
      <c r="B30" s="133">
        <v>4.1427952879827279</v>
      </c>
      <c r="C30" s="133">
        <v>11.09783806852718</v>
      </c>
      <c r="D30" s="133">
        <v>23.629229687014217</v>
      </c>
      <c r="E30" s="133">
        <v>25.732707560084208</v>
      </c>
      <c r="F30" s="133">
        <v>28.531473639512971</v>
      </c>
      <c r="G30" s="133">
        <v>20.187798308858852</v>
      </c>
      <c r="H30" s="133">
        <v>17.409012087033219</v>
      </c>
      <c r="I30" s="133">
        <v>5.5714031736258676</v>
      </c>
      <c r="J30" s="133">
        <v>1.3928780448942764</v>
      </c>
      <c r="K30" s="133">
        <v>6.972014674697161</v>
      </c>
      <c r="L30" s="133">
        <v>12.565558477904869</v>
      </c>
      <c r="M30" s="133">
        <v>1.3961962409982009</v>
      </c>
      <c r="N30" s="133">
        <v>7.6815168640925044</v>
      </c>
      <c r="O30" s="133">
        <v>6.9883264842681738</v>
      </c>
      <c r="P30" s="133">
        <v>6.2930957533609506</v>
      </c>
      <c r="Q30" s="133">
        <v>4.8954992743783707</v>
      </c>
      <c r="R30" s="133">
        <v>4.1966790583060618</v>
      </c>
      <c r="S30" s="133">
        <v>2.0983121596259968</v>
      </c>
      <c r="T30" s="133">
        <v>2.7977677925193514</v>
      </c>
      <c r="U30" s="133">
        <v>2.098317573755708</v>
      </c>
      <c r="V30" s="133">
        <v>1.3989345814277963</v>
      </c>
      <c r="W30" s="133">
        <v>1.3989955481346532</v>
      </c>
      <c r="DA30" s="157" t="s">
        <v>326</v>
      </c>
    </row>
    <row r="31" spans="1:105" ht="12" customHeight="1" x14ac:dyDescent="0.25">
      <c r="A31" s="132" t="s">
        <v>153</v>
      </c>
      <c r="B31" s="133">
        <v>31.45432610595061</v>
      </c>
      <c r="C31" s="133">
        <v>30.533792035159248</v>
      </c>
      <c r="D31" s="133">
        <v>29.496163483622865</v>
      </c>
      <c r="E31" s="133">
        <v>27.121612197611746</v>
      </c>
      <c r="F31" s="133">
        <v>21.676995095719803</v>
      </c>
      <c r="G31" s="133">
        <v>29.26698098343951</v>
      </c>
      <c r="H31" s="133">
        <v>31.963069285424865</v>
      </c>
      <c r="I31" s="133">
        <v>34.308995068007725</v>
      </c>
      <c r="J31" s="133">
        <v>34.3626841901593</v>
      </c>
      <c r="K31" s="133">
        <v>33.193023414511735</v>
      </c>
      <c r="L31" s="133">
        <v>31.976618419123152</v>
      </c>
      <c r="M31" s="133">
        <v>28.505108923138355</v>
      </c>
      <c r="N31" s="133">
        <v>31.881758993245718</v>
      </c>
      <c r="O31" s="133">
        <v>38.12889251965823</v>
      </c>
      <c r="P31" s="133">
        <v>40.089148626720203</v>
      </c>
      <c r="Q31" s="133">
        <v>44.617384104887179</v>
      </c>
      <c r="R31" s="133">
        <v>44.157873752909317</v>
      </c>
      <c r="S31" s="133">
        <v>40.743483100400802</v>
      </c>
      <c r="T31" s="133">
        <v>35.983334323260941</v>
      </c>
      <c r="U31" s="133">
        <v>30.031222705208073</v>
      </c>
      <c r="V31" s="133">
        <v>27.130348155635737</v>
      </c>
      <c r="W31" s="133">
        <v>43.034328985079213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27.19064009092245</v>
      </c>
      <c r="C33" s="68">
        <v>22.789933047959902</v>
      </c>
      <c r="D33" s="68">
        <v>16.382171107057637</v>
      </c>
      <c r="E33" s="68">
        <v>19.570129934149584</v>
      </c>
      <c r="F33" s="68">
        <v>24.977342970690845</v>
      </c>
      <c r="G33" s="68">
        <v>30.598870347614223</v>
      </c>
      <c r="H33" s="68">
        <v>33.865367104845582</v>
      </c>
      <c r="I33" s="68">
        <v>45.131646722108101</v>
      </c>
      <c r="J33" s="68">
        <v>50.195342899716422</v>
      </c>
      <c r="K33" s="68">
        <v>48.007393747152889</v>
      </c>
      <c r="L33" s="68">
        <v>43.971392335461573</v>
      </c>
      <c r="M33" s="68">
        <v>58.182378418799949</v>
      </c>
      <c r="N33" s="68">
        <v>49.787420128282221</v>
      </c>
      <c r="O33" s="68">
        <v>44.515485087181531</v>
      </c>
      <c r="P33" s="68">
        <v>43.412687975547883</v>
      </c>
      <c r="Q33" s="68">
        <v>41.120378640409221</v>
      </c>
      <c r="R33" s="68">
        <v>42.57900158739649</v>
      </c>
      <c r="S33" s="68">
        <v>48.381634508309205</v>
      </c>
      <c r="T33" s="68">
        <v>52.65477816079018</v>
      </c>
      <c r="U33" s="68">
        <v>58.699372032770739</v>
      </c>
      <c r="V33" s="68">
        <v>55.244900579700435</v>
      </c>
      <c r="W33" s="68">
        <v>49.835039799428955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0.55003713965348544</v>
      </c>
      <c r="C3" s="127">
        <f>IF(SER_hh_tes!C3=0,"",SER_hh_tes!C3/SER_hh_fec!C3)</f>
        <v>0.58869567391883471</v>
      </c>
      <c r="D3" s="127">
        <f>IF(SER_hh_tes!D3=0,"",SER_hh_tes!D3/SER_hh_fec!D3)</f>
        <v>0.61583678007792519</v>
      </c>
      <c r="E3" s="127">
        <f>IF(SER_hh_tes!E3=0,"",SER_hh_tes!E3/SER_hh_fec!E3)</f>
        <v>0.62328839263955382</v>
      </c>
      <c r="F3" s="127">
        <f>IF(SER_hh_tes!F3=0,"",SER_hh_tes!F3/SER_hh_fec!F3)</f>
        <v>0.64789823544687675</v>
      </c>
      <c r="G3" s="127">
        <f>IF(SER_hh_tes!G3=0,"",SER_hh_tes!G3/SER_hh_fec!G3)</f>
        <v>0.61297596077116945</v>
      </c>
      <c r="H3" s="127">
        <f>IF(SER_hh_tes!H3=0,"",SER_hh_tes!H3/SER_hh_fec!H3)</f>
        <v>0.6186468186330315</v>
      </c>
      <c r="I3" s="127">
        <f>IF(SER_hh_tes!I3=0,"",SER_hh_tes!I3/SER_hh_fec!I3)</f>
        <v>0.63233273649795718</v>
      </c>
      <c r="J3" s="127">
        <f>IF(SER_hh_tes!J3=0,"",SER_hh_tes!J3/SER_hh_fec!J3)</f>
        <v>0.63694268581077296</v>
      </c>
      <c r="K3" s="127">
        <f>IF(SER_hh_tes!K3=0,"",SER_hh_tes!K3/SER_hh_fec!K3)</f>
        <v>0.65347667446237634</v>
      </c>
      <c r="L3" s="127">
        <f>IF(SER_hh_tes!L3=0,"",SER_hh_tes!L3/SER_hh_fec!L3)</f>
        <v>0.65856080929449123</v>
      </c>
      <c r="M3" s="127">
        <f>IF(SER_hh_tes!M3=0,"",SER_hh_tes!M3/SER_hh_fec!M3)</f>
        <v>0.69008040427190376</v>
      </c>
      <c r="N3" s="127">
        <f>IF(SER_hh_tes!N3=0,"",SER_hh_tes!N3/SER_hh_fec!N3)</f>
        <v>0.68613577920510394</v>
      </c>
      <c r="O3" s="127">
        <f>IF(SER_hh_tes!O3=0,"",SER_hh_tes!O3/SER_hh_fec!O3)</f>
        <v>0.68898973567422295</v>
      </c>
      <c r="P3" s="127">
        <f>IF(SER_hh_tes!P3=0,"",SER_hh_tes!P3/SER_hh_fec!P3)</f>
        <v>0.6970742574865465</v>
      </c>
      <c r="Q3" s="127">
        <f>IF(SER_hh_tes!Q3=0,"",SER_hh_tes!Q3/SER_hh_fec!Q3)</f>
        <v>0.70802748937411208</v>
      </c>
      <c r="R3" s="127">
        <f>IF(SER_hh_tes!R3=0,"",SER_hh_tes!R3/SER_hh_fec!R3)</f>
        <v>0.72460754841250186</v>
      </c>
      <c r="S3" s="127">
        <f>IF(SER_hh_tes!S3=0,"",SER_hh_tes!S3/SER_hh_fec!S3)</f>
        <v>0.7297681433576465</v>
      </c>
      <c r="T3" s="127">
        <f>IF(SER_hh_tes!T3=0,"",SER_hh_tes!T3/SER_hh_fec!T3)</f>
        <v>0.74115593672279134</v>
      </c>
      <c r="U3" s="127">
        <f>IF(SER_hh_tes!U3=0,"",SER_hh_tes!U3/SER_hh_fec!U3)</f>
        <v>0.75018868942839156</v>
      </c>
      <c r="V3" s="127">
        <f>IF(SER_hh_tes!V3=0,"",SER_hh_tes!V3/SER_hh_fec!V3)</f>
        <v>0.77291842414282619</v>
      </c>
      <c r="W3" s="127">
        <f>IF(SER_hh_tes!W3=0,"",SER_hh_tes!W3/SER_hh_fec!W3)</f>
        <v>0.77019916552546719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0.53570198209595299</v>
      </c>
      <c r="C4" s="136">
        <f>IF(SER_hh_tes!C4=0,"",SER_hh_tes!C4/SER_hh_fec!C4)</f>
        <v>0.57514085678116988</v>
      </c>
      <c r="D4" s="136">
        <f>IF(SER_hh_tes!D4=0,"",SER_hh_tes!D4/SER_hh_fec!D4)</f>
        <v>0.60461950439638246</v>
      </c>
      <c r="E4" s="136">
        <f>IF(SER_hh_tes!E4=0,"",SER_hh_tes!E4/SER_hh_fec!E4)</f>
        <v>0.60786900837926772</v>
      </c>
      <c r="F4" s="136">
        <f>IF(SER_hh_tes!F4=0,"",SER_hh_tes!F4/SER_hh_fec!F4)</f>
        <v>0.63696718892083282</v>
      </c>
      <c r="G4" s="136">
        <f>IF(SER_hh_tes!G4=0,"",SER_hh_tes!G4/SER_hh_fec!G4)</f>
        <v>0.59720580911985832</v>
      </c>
      <c r="H4" s="136">
        <f>IF(SER_hh_tes!H4=0,"",SER_hh_tes!H4/SER_hh_fec!H4)</f>
        <v>0.60342408717912888</v>
      </c>
      <c r="I4" s="136">
        <f>IF(SER_hh_tes!I4=0,"",SER_hh_tes!I4/SER_hh_fec!I4)</f>
        <v>0.61588782522095931</v>
      </c>
      <c r="J4" s="136">
        <f>IF(SER_hh_tes!J4=0,"",SER_hh_tes!J4/SER_hh_fec!J4)</f>
        <v>0.6204225398661718</v>
      </c>
      <c r="K4" s="136">
        <f>IF(SER_hh_tes!K4=0,"",SER_hh_tes!K4/SER_hh_fec!K4)</f>
        <v>0.63935902967240077</v>
      </c>
      <c r="L4" s="136">
        <f>IF(SER_hh_tes!L4=0,"",SER_hh_tes!L4/SER_hh_fec!L4)</f>
        <v>0.64612222820053344</v>
      </c>
      <c r="M4" s="136">
        <f>IF(SER_hh_tes!M4=0,"",SER_hh_tes!M4/SER_hh_fec!M4)</f>
        <v>0.6753158510465187</v>
      </c>
      <c r="N4" s="136">
        <f>IF(SER_hh_tes!N4=0,"",SER_hh_tes!N4/SER_hh_fec!N4)</f>
        <v>0.66788051658196812</v>
      </c>
      <c r="O4" s="136">
        <f>IF(SER_hh_tes!O4=0,"",SER_hh_tes!O4/SER_hh_fec!O4)</f>
        <v>0.6761266245749018</v>
      </c>
      <c r="P4" s="136">
        <f>IF(SER_hh_tes!P4=0,"",SER_hh_tes!P4/SER_hh_fec!P4)</f>
        <v>0.6789723777567741</v>
      </c>
      <c r="Q4" s="136">
        <f>IF(SER_hh_tes!Q4=0,"",SER_hh_tes!Q4/SER_hh_fec!Q4)</f>
        <v>0.69113333403202981</v>
      </c>
      <c r="R4" s="136">
        <f>IF(SER_hh_tes!R4=0,"",SER_hh_tes!R4/SER_hh_fec!R4)</f>
        <v>0.71228960267203834</v>
      </c>
      <c r="S4" s="136">
        <f>IF(SER_hh_tes!S4=0,"",SER_hh_tes!S4/SER_hh_fec!S4)</f>
        <v>0.71431684384476435</v>
      </c>
      <c r="T4" s="136">
        <f>IF(SER_hh_tes!T4=0,"",SER_hh_tes!T4/SER_hh_fec!T4)</f>
        <v>0.72167067686355491</v>
      </c>
      <c r="U4" s="136">
        <f>IF(SER_hh_tes!U4=0,"",SER_hh_tes!U4/SER_hh_fec!U4)</f>
        <v>0.72300503628951529</v>
      </c>
      <c r="V4" s="136">
        <f>IF(SER_hh_tes!V4=0,"",SER_hh_tes!V4/SER_hh_fec!V4)</f>
        <v>0.7467900169087508</v>
      </c>
      <c r="W4" s="136">
        <f>IF(SER_hh_tes!W4=0,"",SER_hh_tes!W4/SER_hh_fec!W4)</f>
        <v>0.75281627078763402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0.51203136150165074</v>
      </c>
      <c r="C5" s="137">
        <f>IF(SER_hh_tes!C5=0,"",SER_hh_tes!C5/SER_hh_fec!C5)</f>
        <v>0.51526985986036622</v>
      </c>
      <c r="D5" s="137">
        <f>IF(SER_hh_tes!D5=0,"",SER_hh_tes!D5/SER_hh_fec!D5)</f>
        <v>0.51767772047249438</v>
      </c>
      <c r="E5" s="137">
        <f>IF(SER_hh_tes!E5=0,"",SER_hh_tes!E5/SER_hh_fec!E5)</f>
        <v>0.51820114882508916</v>
      </c>
      <c r="F5" s="137">
        <f>IF(SER_hh_tes!F5=0,"",SER_hh_tes!F5/SER_hh_fec!F5)</f>
        <v>0.51820114882508916</v>
      </c>
      <c r="G5" s="137">
        <f>IF(SER_hh_tes!G5=0,"",SER_hh_tes!G5/SER_hh_fec!G5)</f>
        <v>0.51820114882508905</v>
      </c>
      <c r="H5" s="137">
        <f>IF(SER_hh_tes!H5=0,"",SER_hh_tes!H5/SER_hh_fec!H5)</f>
        <v>0.5328628130919395</v>
      </c>
      <c r="I5" s="137">
        <f>IF(SER_hh_tes!I5=0,"",SER_hh_tes!I5/SER_hh_fec!I5)</f>
        <v>0.57485786775236991</v>
      </c>
      <c r="J5" s="137">
        <f>IF(SER_hh_tes!J5=0,"",SER_hh_tes!J5/SER_hh_fec!J5)</f>
        <v>0.59752867737724047</v>
      </c>
      <c r="K5" s="137">
        <f>IF(SER_hh_tes!K5=0,"",SER_hh_tes!K5/SER_hh_fec!K5)</f>
        <v>0.60989993672940146</v>
      </c>
      <c r="L5" s="137">
        <f>IF(SER_hh_tes!L5=0,"",SER_hh_tes!L5/SER_hh_fec!L5)</f>
        <v>0.61617095625754681</v>
      </c>
      <c r="M5" s="137">
        <f>IF(SER_hh_tes!M5=0,"",SER_hh_tes!M5/SER_hh_fec!M5)</f>
        <v>0.62107329996992844</v>
      </c>
      <c r="N5" s="137">
        <f>IF(SER_hh_tes!N5=0,"",SER_hh_tes!N5/SER_hh_fec!N5)</f>
        <v>0.62615183531669061</v>
      </c>
      <c r="O5" s="137">
        <f>IF(SER_hh_tes!O5=0,"",SER_hh_tes!O5/SER_hh_fec!O5)</f>
        <v>0.63055725123331341</v>
      </c>
      <c r="P5" s="137">
        <f>IF(SER_hh_tes!P5=0,"",SER_hh_tes!P5/SER_hh_fec!P5)</f>
        <v>0.63059657112633116</v>
      </c>
      <c r="Q5" s="137">
        <f>IF(SER_hh_tes!Q5=0,"",SER_hh_tes!Q5/SER_hh_fec!Q5)</f>
        <v>0.63076216357720905</v>
      </c>
      <c r="R5" s="137">
        <f>IF(SER_hh_tes!R5=0,"",SER_hh_tes!R5/SER_hh_fec!R5)</f>
        <v>0.63111245304146046</v>
      </c>
      <c r="S5" s="137">
        <f>IF(SER_hh_tes!S5=0,"",SER_hh_tes!S5/SER_hh_fec!S5)</f>
        <v>0.63316074997117366</v>
      </c>
      <c r="T5" s="137">
        <f>IF(SER_hh_tes!T5=0,"",SER_hh_tes!T5/SER_hh_fec!T5)</f>
        <v>0.63930146967505541</v>
      </c>
      <c r="U5" s="137">
        <f>IF(SER_hh_tes!U5=0,"",SER_hh_tes!U5/SER_hh_fec!U5)</f>
        <v>0.6406062102858936</v>
      </c>
      <c r="V5" s="137">
        <f>IF(SER_hh_tes!V5=0,"",SER_hh_tes!V5/SER_hh_fec!V5)</f>
        <v>0.64089395930994986</v>
      </c>
      <c r="W5" s="137">
        <f>IF(SER_hh_tes!W5=0,"",SER_hh_tes!W5/SER_hh_fec!W5)</f>
        <v>0.64648801378687026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0.44318565304604512</v>
      </c>
      <c r="C7" s="137">
        <f>IF(SER_hh_tes!C7=0,"",SER_hh_tes!C7/SER_hh_fec!C7)</f>
        <v>0.445850538023357</v>
      </c>
      <c r="D7" s="137">
        <f>IF(SER_hh_tes!D7=0,"",SER_hh_tes!D7/SER_hh_fec!D7)</f>
        <v>0.44608556781932851</v>
      </c>
      <c r="E7" s="137">
        <f>IF(SER_hh_tes!E7=0,"",SER_hh_tes!E7/SER_hh_fec!E7)</f>
        <v>0.44734266499361719</v>
      </c>
      <c r="F7" s="137">
        <f>IF(SER_hh_tes!F7=0,"",SER_hh_tes!F7/SER_hh_fec!F7)</f>
        <v>0.45241619236561537</v>
      </c>
      <c r="G7" s="137">
        <f>IF(SER_hh_tes!G7=0,"",SER_hh_tes!G7/SER_hh_fec!G7)</f>
        <v>0.45456328646487731</v>
      </c>
      <c r="H7" s="137">
        <f>IF(SER_hh_tes!H7=0,"",SER_hh_tes!H7/SER_hh_fec!H7)</f>
        <v>0.45591662871843475</v>
      </c>
      <c r="I7" s="137">
        <f>IF(SER_hh_tes!I7=0,"",SER_hh_tes!I7/SER_hh_fec!I7)</f>
        <v>0.45591662871843469</v>
      </c>
      <c r="J7" s="137">
        <f>IF(SER_hh_tes!J7=0,"",SER_hh_tes!J7/SER_hh_fec!J7)</f>
        <v>0.45591662871843458</v>
      </c>
      <c r="K7" s="137">
        <f>IF(SER_hh_tes!K7=0,"",SER_hh_tes!K7/SER_hh_fec!K7)</f>
        <v>0.45591662871843469</v>
      </c>
      <c r="L7" s="137" t="str">
        <f>IF(SER_hh_tes!L7=0,"",SER_hh_tes!L7/SER_hh_fec!L7)</f>
        <v/>
      </c>
      <c r="M7" s="137" t="str">
        <f>IF(SER_hh_tes!M7=0,"",SER_hh_tes!M7/SER_hh_fec!M7)</f>
        <v/>
      </c>
      <c r="N7" s="137" t="str">
        <f>IF(SER_hh_tes!N7=0,"",SER_hh_tes!N7/SER_hh_fec!N7)</f>
        <v/>
      </c>
      <c r="O7" s="137">
        <f>IF(SER_hh_tes!O7=0,"",SER_hh_tes!O7/SER_hh_fec!O7)</f>
        <v>0.67086040140873482</v>
      </c>
      <c r="P7" s="137">
        <f>IF(SER_hh_tes!P7=0,"",SER_hh_tes!P7/SER_hh_fec!P7)</f>
        <v>0.69045097803263455</v>
      </c>
      <c r="Q7" s="137">
        <f>IF(SER_hh_tes!Q7=0,"",SER_hh_tes!Q7/SER_hh_fec!Q7)</f>
        <v>0.69862948267108527</v>
      </c>
      <c r="R7" s="137">
        <f>IF(SER_hh_tes!R7=0,"",SER_hh_tes!R7/SER_hh_fec!R7)</f>
        <v>0.69877658266595877</v>
      </c>
      <c r="S7" s="137">
        <f>IF(SER_hh_tes!S7=0,"",SER_hh_tes!S7/SER_hh_fec!S7)</f>
        <v>0.69885310534466283</v>
      </c>
      <c r="T7" s="137">
        <f>IF(SER_hh_tes!T7=0,"",SER_hh_tes!T7/SER_hh_fec!T7)</f>
        <v>0.69885310534466383</v>
      </c>
      <c r="U7" s="137">
        <f>IF(SER_hh_tes!U7=0,"",SER_hh_tes!U7/SER_hh_fec!U7)</f>
        <v>0.69885310534466316</v>
      </c>
      <c r="V7" s="137">
        <f>IF(SER_hh_tes!V7=0,"",SER_hh_tes!V7/SER_hh_fec!V7)</f>
        <v>0.7003255291553494</v>
      </c>
      <c r="W7" s="137">
        <f>IF(SER_hh_tes!W7=0,"",SER_hh_tes!W7/SER_hh_fec!W7)</f>
        <v>0.70033685494292963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1.0089930919547061</v>
      </c>
      <c r="C8" s="137">
        <f>IF(SER_hh_tes!C8=0,"",SER_hh_tes!C8/SER_hh_fec!C8)</f>
        <v>1.0339078249662885</v>
      </c>
      <c r="D8" s="137">
        <f>IF(SER_hh_tes!D8=0,"",SER_hh_tes!D8/SER_hh_fec!D8)</f>
        <v>1.0906992226999326</v>
      </c>
      <c r="E8" s="137">
        <f>IF(SER_hh_tes!E8=0,"",SER_hh_tes!E8/SER_hh_fec!E8)</f>
        <v>1.1376318980571536</v>
      </c>
      <c r="F8" s="137">
        <f>IF(SER_hh_tes!F8=0,"",SER_hh_tes!F8/SER_hh_fec!F8)</f>
        <v>1.1694571614017679</v>
      </c>
      <c r="G8" s="137">
        <f>IF(SER_hh_tes!G8=0,"",SER_hh_tes!G8/SER_hh_fec!G8)</f>
        <v>1.1931806581629727</v>
      </c>
      <c r="H8" s="137">
        <f>IF(SER_hh_tes!H8=0,"",SER_hh_tes!H8/SER_hh_fec!H8)</f>
        <v>1.2156230959377228</v>
      </c>
      <c r="I8" s="137">
        <f>IF(SER_hh_tes!I8=0,"",SER_hh_tes!I8/SER_hh_fec!I8)</f>
        <v>1.2433808327210001</v>
      </c>
      <c r="J8" s="137">
        <f>IF(SER_hh_tes!J8=0,"",SER_hh_tes!J8/SER_hh_fec!J8)</f>
        <v>1.2773018175327735</v>
      </c>
      <c r="K8" s="137">
        <f>IF(SER_hh_tes!K8=0,"",SER_hh_tes!K8/SER_hh_fec!K8)</f>
        <v>1.3577064003975405</v>
      </c>
      <c r="L8" s="137">
        <f>IF(SER_hh_tes!L8=0,"",SER_hh_tes!L8/SER_hh_fec!L8)</f>
        <v>1.4725571403976359</v>
      </c>
      <c r="M8" s="137">
        <f>IF(SER_hh_tes!M8=0,"",SER_hh_tes!M8/SER_hh_fec!M8)</f>
        <v>1.6187991431839606</v>
      </c>
      <c r="N8" s="137">
        <f>IF(SER_hh_tes!N8=0,"",SER_hh_tes!N8/SER_hh_fec!N8)</f>
        <v>1.7610291716397026</v>
      </c>
      <c r="O8" s="137">
        <f>IF(SER_hh_tes!O8=0,"",SER_hh_tes!O8/SER_hh_fec!O8)</f>
        <v>1.8848319756302152</v>
      </c>
      <c r="P8" s="137">
        <f>IF(SER_hh_tes!P8=0,"",SER_hh_tes!P8/SER_hh_fec!P8)</f>
        <v>1.9949920682141153</v>
      </c>
      <c r="Q8" s="137">
        <f>IF(SER_hh_tes!Q8=0,"",SER_hh_tes!Q8/SER_hh_fec!Q8)</f>
        <v>2.0535750321791673</v>
      </c>
      <c r="R8" s="137">
        <f>IF(SER_hh_tes!R8=0,"",SER_hh_tes!R8/SER_hh_fec!R8)</f>
        <v>2.0816635550127716</v>
      </c>
      <c r="S8" s="137">
        <f>IF(SER_hh_tes!S8=0,"",SER_hh_tes!S8/SER_hh_fec!S8)</f>
        <v>2.1145451889891813</v>
      </c>
      <c r="T8" s="137">
        <f>IF(SER_hh_tes!T8=0,"",SER_hh_tes!T8/SER_hh_fec!T8)</f>
        <v>2.1599936175411387</v>
      </c>
      <c r="U8" s="137">
        <f>IF(SER_hh_tes!U8=0,"",SER_hh_tes!U8/SER_hh_fec!U8)</f>
        <v>2.2121672407359916</v>
      </c>
      <c r="V8" s="137">
        <f>IF(SER_hh_tes!V8=0,"",SER_hh_tes!V8/SER_hh_fec!V8)</f>
        <v>2.2693839090085945</v>
      </c>
      <c r="W8" s="137">
        <f>IF(SER_hh_tes!W8=0,"",SER_hh_tes!W8/SER_hh_fec!W8)</f>
        <v>2.3076108501996844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0.4871551414004443</v>
      </c>
      <c r="C9" s="137">
        <f>IF(SER_hh_tes!C9=0,"",SER_hh_tes!C9/SER_hh_fec!C9)</f>
        <v>0.4871551414004443</v>
      </c>
      <c r="D9" s="137">
        <f>IF(SER_hh_tes!D9=0,"",SER_hh_tes!D9/SER_hh_fec!D9)</f>
        <v>0.48715514140044425</v>
      </c>
      <c r="E9" s="137">
        <f>IF(SER_hh_tes!E9=0,"",SER_hh_tes!E9/SER_hh_fec!E9)</f>
        <v>0.48797040762347765</v>
      </c>
      <c r="F9" s="137">
        <f>IF(SER_hh_tes!F9=0,"",SER_hh_tes!F9/SER_hh_fec!F9)</f>
        <v>0.49800047910061357</v>
      </c>
      <c r="G9" s="137">
        <f>IF(SER_hh_tes!G9=0,"",SER_hh_tes!G9/SER_hh_fec!G9)</f>
        <v>0.52593514731310531</v>
      </c>
      <c r="H9" s="137">
        <f>IF(SER_hh_tes!H9=0,"",SER_hh_tes!H9/SER_hh_fec!H9)</f>
        <v>0.54803859002948985</v>
      </c>
      <c r="I9" s="137">
        <f>IF(SER_hh_tes!I9=0,"",SER_hh_tes!I9/SER_hh_fec!I9)</f>
        <v>0.56035752385855586</v>
      </c>
      <c r="J9" s="137">
        <f>IF(SER_hh_tes!J9=0,"",SER_hh_tes!J9/SER_hh_fec!J9)</f>
        <v>0.56676322157139236</v>
      </c>
      <c r="K9" s="137">
        <f>IF(SER_hh_tes!K9=0,"",SER_hh_tes!K9/SER_hh_fec!K9)</f>
        <v>0.57337345227444192</v>
      </c>
      <c r="L9" s="137">
        <f>IF(SER_hh_tes!L9=0,"",SER_hh_tes!L9/SER_hh_fec!L9)</f>
        <v>0.58021536722038702</v>
      </c>
      <c r="M9" s="137">
        <f>IF(SER_hh_tes!M9=0,"",SER_hh_tes!M9/SER_hh_fec!M9)</f>
        <v>0.59552767316754762</v>
      </c>
      <c r="N9" s="137">
        <f>IF(SER_hh_tes!N9=0,"",SER_hh_tes!N9/SER_hh_fec!N9)</f>
        <v>0.62315557985515035</v>
      </c>
      <c r="O9" s="137">
        <f>IF(SER_hh_tes!O9=0,"",SER_hh_tes!O9/SER_hh_fec!O9)</f>
        <v>0.63891485264390369</v>
      </c>
      <c r="P9" s="137">
        <f>IF(SER_hh_tes!P9=0,"",SER_hh_tes!P9/SER_hh_fec!P9)</f>
        <v>0.64244053338625584</v>
      </c>
      <c r="Q9" s="137">
        <f>IF(SER_hh_tes!Q9=0,"",SER_hh_tes!Q9/SER_hh_fec!Q9)</f>
        <v>0.645538114846813</v>
      </c>
      <c r="R9" s="137">
        <f>IF(SER_hh_tes!R9=0,"",SER_hh_tes!R9/SER_hh_fec!R9)</f>
        <v>0.65337505458835932</v>
      </c>
      <c r="S9" s="137">
        <f>IF(SER_hh_tes!S9=0,"",SER_hh_tes!S9/SER_hh_fec!S9)</f>
        <v>0.65953541515933367</v>
      </c>
      <c r="T9" s="137">
        <f>IF(SER_hh_tes!T9=0,"",SER_hh_tes!T9/SER_hh_fec!T9)</f>
        <v>0.66766373592454042</v>
      </c>
      <c r="U9" s="137">
        <f>IF(SER_hh_tes!U9=0,"",SER_hh_tes!U9/SER_hh_fec!U9)</f>
        <v>0.68020473503350498</v>
      </c>
      <c r="V9" s="137">
        <f>IF(SER_hh_tes!V9=0,"",SER_hh_tes!V9/SER_hh_fec!V9)</f>
        <v>0.69387646924480373</v>
      </c>
      <c r="W9" s="137">
        <f>IF(SER_hh_tes!W9=0,"",SER_hh_tes!W9/SER_hh_fec!W9)</f>
        <v>0.70950947352482996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0.43750451620110703</v>
      </c>
      <c r="C10" s="137">
        <f>IF(SER_hh_tes!C10=0,"",SER_hh_tes!C10/SER_hh_fec!C10)</f>
        <v>0.43750451620110709</v>
      </c>
      <c r="D10" s="137">
        <f>IF(SER_hh_tes!D10=0,"",SER_hh_tes!D10/SER_hh_fec!D10)</f>
        <v>0.43750451620110709</v>
      </c>
      <c r="E10" s="137">
        <f>IF(SER_hh_tes!E10=0,"",SER_hh_tes!E10/SER_hh_fec!E10)</f>
        <v>0.43750451620110709</v>
      </c>
      <c r="F10" s="137">
        <f>IF(SER_hh_tes!F10=0,"",SER_hh_tes!F10/SER_hh_fec!F10)</f>
        <v>0.43750451620110709</v>
      </c>
      <c r="G10" s="137">
        <f>IF(SER_hh_tes!G10=0,"",SER_hh_tes!G10/SER_hh_fec!G10)</f>
        <v>0.43750451620110709</v>
      </c>
      <c r="H10" s="137">
        <f>IF(SER_hh_tes!H10=0,"",SER_hh_tes!H10/SER_hh_fec!H10)</f>
        <v>0.45612662395199055</v>
      </c>
      <c r="I10" s="137">
        <f>IF(SER_hh_tes!I10=0,"",SER_hh_tes!I10/SER_hh_fec!I10)</f>
        <v>0.49386913741364624</v>
      </c>
      <c r="J10" s="137">
        <f>IF(SER_hh_tes!J10=0,"",SER_hh_tes!J10/SER_hh_fec!J10)</f>
        <v>0.51484253852044048</v>
      </c>
      <c r="K10" s="137">
        <f>IF(SER_hh_tes!K10=0,"",SER_hh_tes!K10/SER_hh_fec!K10)</f>
        <v>0.52025281024598868</v>
      </c>
      <c r="L10" s="137">
        <f>IF(SER_hh_tes!L10=0,"",SER_hh_tes!L10/SER_hh_fec!L10)</f>
        <v>0.52206256131819728</v>
      </c>
      <c r="M10" s="137">
        <f>IF(SER_hh_tes!M10=0,"",SER_hh_tes!M10/SER_hh_fec!M10)</f>
        <v>0.52626154133809866</v>
      </c>
      <c r="N10" s="137">
        <f>IF(SER_hh_tes!N10=0,"",SER_hh_tes!N10/SER_hh_fec!N10)</f>
        <v>0.53160418269988807</v>
      </c>
      <c r="O10" s="137">
        <f>IF(SER_hh_tes!O10=0,"",SER_hh_tes!O10/SER_hh_fec!O10)</f>
        <v>0.53527559500896671</v>
      </c>
      <c r="P10" s="137">
        <f>IF(SER_hh_tes!P10=0,"",SER_hh_tes!P10/SER_hh_fec!P10)</f>
        <v>0.53542762114586484</v>
      </c>
      <c r="Q10" s="137">
        <f>IF(SER_hh_tes!Q10=0,"",SER_hh_tes!Q10/SER_hh_fec!Q10)</f>
        <v>0.53552137849470693</v>
      </c>
      <c r="R10" s="137">
        <f>IF(SER_hh_tes!R10=0,"",SER_hh_tes!R10/SER_hh_fec!R10)</f>
        <v>0.53567034630480048</v>
      </c>
      <c r="S10" s="137">
        <f>IF(SER_hh_tes!S10=0,"",SER_hh_tes!S10/SER_hh_fec!S10)</f>
        <v>0.53590723690710163</v>
      </c>
      <c r="T10" s="137">
        <f>IF(SER_hh_tes!T10=0,"",SER_hh_tes!T10/SER_hh_fec!T10)</f>
        <v>0.53620075849507742</v>
      </c>
      <c r="U10" s="137">
        <f>IF(SER_hh_tes!U10=0,"",SER_hh_tes!U10/SER_hh_fec!U10)</f>
        <v>0.53651559684724637</v>
      </c>
      <c r="V10" s="137">
        <f>IF(SER_hh_tes!V10=0,"",SER_hh_tes!V10/SER_hh_fec!V10)</f>
        <v>0.53669857008908017</v>
      </c>
      <c r="W10" s="137">
        <f>IF(SER_hh_tes!W10=0,"",SER_hh_tes!W10/SER_hh_fec!W10)</f>
        <v>0.53682809717805435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>
        <f>IF(SER_hh_tes!C11=0,"",SER_hh_tes!C11/SER_hh_fec!C11)</f>
        <v>0.77113765189697581</v>
      </c>
      <c r="D11" s="137">
        <f>IF(SER_hh_tes!D11=0,"",SER_hh_tes!D11/SER_hh_fec!D11)</f>
        <v>0.77249109578818809</v>
      </c>
      <c r="E11" s="137">
        <f>IF(SER_hh_tes!E11=0,"",SER_hh_tes!E11/SER_hh_fec!E11)</f>
        <v>0.77404030453148298</v>
      </c>
      <c r="F11" s="137">
        <f>IF(SER_hh_tes!F11=0,"",SER_hh_tes!F11/SER_hh_fec!F11)</f>
        <v>0.77445515357595962</v>
      </c>
      <c r="G11" s="137">
        <f>IF(SER_hh_tes!G11=0,"",SER_hh_tes!G11/SER_hh_fec!G11)</f>
        <v>0.77549292248519464</v>
      </c>
      <c r="H11" s="137">
        <f>IF(SER_hh_tes!H11=0,"",SER_hh_tes!H11/SER_hh_fec!H11)</f>
        <v>0.77732292634876099</v>
      </c>
      <c r="I11" s="137">
        <f>IF(SER_hh_tes!I11=0,"",SER_hh_tes!I11/SER_hh_fec!I11)</f>
        <v>0.77896676118057895</v>
      </c>
      <c r="J11" s="137">
        <f>IF(SER_hh_tes!J11=0,"",SER_hh_tes!J11/SER_hh_fec!J11)</f>
        <v>0.78010550248056698</v>
      </c>
      <c r="K11" s="137">
        <f>IF(SER_hh_tes!K11=0,"",SER_hh_tes!K11/SER_hh_fec!K11)</f>
        <v>0.78086957732043005</v>
      </c>
      <c r="L11" s="137">
        <f>IF(SER_hh_tes!L11=0,"",SER_hh_tes!L11/SER_hh_fec!L11)</f>
        <v>0.78207405931677287</v>
      </c>
      <c r="M11" s="137">
        <f>IF(SER_hh_tes!M11=0,"",SER_hh_tes!M11/SER_hh_fec!M11)</f>
        <v>0.78485172452478791</v>
      </c>
      <c r="N11" s="137">
        <f>IF(SER_hh_tes!N11=0,"",SER_hh_tes!N11/SER_hh_fec!N11)</f>
        <v>0.78779145374026915</v>
      </c>
      <c r="O11" s="137">
        <f>IF(SER_hh_tes!O11=0,"",SER_hh_tes!O11/SER_hh_fec!O11)</f>
        <v>0.79175735419537041</v>
      </c>
      <c r="P11" s="137">
        <f>IF(SER_hh_tes!P11=0,"",SER_hh_tes!P11/SER_hh_fec!P11)</f>
        <v>0.79850801038301755</v>
      </c>
      <c r="Q11" s="137">
        <f>IF(SER_hh_tes!Q11=0,"",SER_hh_tes!Q11/SER_hh_fec!Q11)</f>
        <v>0.80522518219488748</v>
      </c>
      <c r="R11" s="137">
        <f>IF(SER_hh_tes!R11=0,"",SER_hh_tes!R11/SER_hh_fec!R11)</f>
        <v>0.81304704717952292</v>
      </c>
      <c r="S11" s="137">
        <f>IF(SER_hh_tes!S11=0,"",SER_hh_tes!S11/SER_hh_fec!S11)</f>
        <v>0.82071140875408843</v>
      </c>
      <c r="T11" s="137">
        <f>IF(SER_hh_tes!T11=0,"",SER_hh_tes!T11/SER_hh_fec!T11)</f>
        <v>0.82380484846778879</v>
      </c>
      <c r="U11" s="137">
        <f>IF(SER_hh_tes!U11=0,"",SER_hh_tes!U11/SER_hh_fec!U11)</f>
        <v>0.82602857026173837</v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0.75755869972388856</v>
      </c>
      <c r="C12" s="137">
        <f>IF(SER_hh_tes!C12=0,"",SER_hh_tes!C12/SER_hh_fec!C12)</f>
        <v>0.76269395337187984</v>
      </c>
      <c r="D12" s="137">
        <f>IF(SER_hh_tes!D12=0,"",SER_hh_tes!D12/SER_hh_fec!D12)</f>
        <v>0.76910824525534982</v>
      </c>
      <c r="E12" s="137">
        <f>IF(SER_hh_tes!E12=0,"",SER_hh_tes!E12/SER_hh_fec!E12)</f>
        <v>0.77294660947393723</v>
      </c>
      <c r="F12" s="137">
        <f>IF(SER_hh_tes!F12=0,"",SER_hh_tes!F12/SER_hh_fec!F12)</f>
        <v>0.77490386888082885</v>
      </c>
      <c r="G12" s="137">
        <f>IF(SER_hh_tes!G12=0,"",SER_hh_tes!G12/SER_hh_fec!G12)</f>
        <v>0.77624094598697235</v>
      </c>
      <c r="H12" s="137">
        <f>IF(SER_hh_tes!H12=0,"",SER_hh_tes!H12/SER_hh_fec!H12)</f>
        <v>0.77708351697717459</v>
      </c>
      <c r="I12" s="137">
        <f>IF(SER_hh_tes!I12=0,"",SER_hh_tes!I12/SER_hh_fec!I12)</f>
        <v>0.77778889073577806</v>
      </c>
      <c r="J12" s="137">
        <f>IF(SER_hh_tes!J12=0,"",SER_hh_tes!J12/SER_hh_fec!J12)</f>
        <v>0.77947260003296481</v>
      </c>
      <c r="K12" s="137">
        <f>IF(SER_hh_tes!K12=0,"",SER_hh_tes!K12/SER_hh_fec!K12)</f>
        <v>0.78304452852530571</v>
      </c>
      <c r="L12" s="137">
        <f>IF(SER_hh_tes!L12=0,"",SER_hh_tes!L12/SER_hh_fec!L12)</f>
        <v>0.78619096871870797</v>
      </c>
      <c r="M12" s="137">
        <f>IF(SER_hh_tes!M12=0,"",SER_hh_tes!M12/SER_hh_fec!M12)</f>
        <v>0.7887584599209323</v>
      </c>
      <c r="N12" s="137">
        <f>IF(SER_hh_tes!N12=0,"",SER_hh_tes!N12/SER_hh_fec!N12)</f>
        <v>0.79070201551124686</v>
      </c>
      <c r="O12" s="137">
        <f>IF(SER_hh_tes!O12=0,"",SER_hh_tes!O12/SER_hh_fec!O12)</f>
        <v>0.79240105639377489</v>
      </c>
      <c r="P12" s="137">
        <f>IF(SER_hh_tes!P12=0,"",SER_hh_tes!P12/SER_hh_fec!P12)</f>
        <v>0.79255075305992062</v>
      </c>
      <c r="Q12" s="137">
        <f>IF(SER_hh_tes!Q12=0,"",SER_hh_tes!Q12/SER_hh_fec!Q12)</f>
        <v>0.79326206269040977</v>
      </c>
      <c r="R12" s="137">
        <f>IF(SER_hh_tes!R12=0,"",SER_hh_tes!R12/SER_hh_fec!R12)</f>
        <v>0.79929657313946423</v>
      </c>
      <c r="S12" s="137">
        <f>IF(SER_hh_tes!S12=0,"",SER_hh_tes!S12/SER_hh_fec!S12)</f>
        <v>0.81310559983087494</v>
      </c>
      <c r="T12" s="137">
        <f>IF(SER_hh_tes!T12=0,"",SER_hh_tes!T12/SER_hh_fec!T12)</f>
        <v>0.82709841151279029</v>
      </c>
      <c r="U12" s="137">
        <f>IF(SER_hh_tes!U12=0,"",SER_hh_tes!U12/SER_hh_fec!U12)</f>
        <v>0.83536418049860905</v>
      </c>
      <c r="V12" s="137">
        <f>IF(SER_hh_tes!V12=0,"",SER_hh_tes!V12/SER_hh_fec!V12)</f>
        <v>0.84176431519870298</v>
      </c>
      <c r="W12" s="137">
        <f>IF(SER_hh_tes!W12=0,"",SER_hh_tes!W12/SER_hh_fec!W12)</f>
        <v>0.84581930661595883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1.3171026680920312</v>
      </c>
      <c r="C13" s="137">
        <f>IF(SER_hh_tes!C13=0,"",SER_hh_tes!C13/SER_hh_fec!C13)</f>
        <v>1.3663668243184346</v>
      </c>
      <c r="D13" s="137">
        <f>IF(SER_hh_tes!D13=0,"",SER_hh_tes!D13/SER_hh_fec!D13)</f>
        <v>1.4362388465810898</v>
      </c>
      <c r="E13" s="137">
        <f>IF(SER_hh_tes!E13=0,"",SER_hh_tes!E13/SER_hh_fec!E13)</f>
        <v>1.491845526511403</v>
      </c>
      <c r="F13" s="137">
        <f>IF(SER_hh_tes!F13=0,"",SER_hh_tes!F13/SER_hh_fec!F13)</f>
        <v>1.537763397958837</v>
      </c>
      <c r="G13" s="137">
        <f>IF(SER_hh_tes!G13=0,"",SER_hh_tes!G13/SER_hh_fec!G13)</f>
        <v>1.5752505807532551</v>
      </c>
      <c r="H13" s="137">
        <f>IF(SER_hh_tes!H13=0,"",SER_hh_tes!H13/SER_hh_fec!H13)</f>
        <v>1.62889510910126</v>
      </c>
      <c r="I13" s="137">
        <f>IF(SER_hh_tes!I13=0,"",SER_hh_tes!I13/SER_hh_fec!I13)</f>
        <v>1.7260025678160922</v>
      </c>
      <c r="J13" s="137">
        <f>IF(SER_hh_tes!J13=0,"",SER_hh_tes!J13/SER_hh_fec!J13)</f>
        <v>1.8357401645518749</v>
      </c>
      <c r="K13" s="137">
        <f>IF(SER_hh_tes!K13=0,"",SER_hh_tes!K13/SER_hh_fec!K13)</f>
        <v>2.0202459527501793</v>
      </c>
      <c r="L13" s="137">
        <f>IF(SER_hh_tes!L13=0,"",SER_hh_tes!L13/SER_hh_fec!L13)</f>
        <v>2.1974630085910758</v>
      </c>
      <c r="M13" s="137">
        <f>IF(SER_hh_tes!M13=0,"",SER_hh_tes!M13/SER_hh_fec!M13)</f>
        <v>2.3539037351108445</v>
      </c>
      <c r="N13" s="137">
        <f>IF(SER_hh_tes!N13=0,"",SER_hh_tes!N13/SER_hh_fec!N13)</f>
        <v>2.4864429066055007</v>
      </c>
      <c r="O13" s="137">
        <f>IF(SER_hh_tes!O13=0,"",SER_hh_tes!O13/SER_hh_fec!O13)</f>
        <v>2.6244825537100689</v>
      </c>
      <c r="P13" s="137">
        <f>IF(SER_hh_tes!P13=0,"",SER_hh_tes!P13/SER_hh_fec!P13)</f>
        <v>2.7844013827695018</v>
      </c>
      <c r="Q13" s="137">
        <f>IF(SER_hh_tes!Q13=0,"",SER_hh_tes!Q13/SER_hh_fec!Q13)</f>
        <v>2.9171056588378503</v>
      </c>
      <c r="R13" s="137">
        <f>IF(SER_hh_tes!R13=0,"",SER_hh_tes!R13/SER_hh_fec!R13)</f>
        <v>2.9766477769897235</v>
      </c>
      <c r="S13" s="137">
        <f>IF(SER_hh_tes!S13=0,"",SER_hh_tes!S13/SER_hh_fec!S13)</f>
        <v>3.0126252386287624</v>
      </c>
      <c r="T13" s="137">
        <f>IF(SER_hh_tes!T13=0,"",SER_hh_tes!T13/SER_hh_fec!T13)</f>
        <v>3.0646534398517247</v>
      </c>
      <c r="U13" s="137">
        <f>IF(SER_hh_tes!U13=0,"",SER_hh_tes!U13/SER_hh_fec!U13)</f>
        <v>3.114390678995453</v>
      </c>
      <c r="V13" s="137">
        <f>IF(SER_hh_tes!V13=0,"",SER_hh_tes!V13/SER_hh_fec!V13)</f>
        <v>3.1756703426267556</v>
      </c>
      <c r="W13" s="137">
        <f>IF(SER_hh_tes!W13=0,"",SER_hh_tes!W13/SER_hh_fec!W13)</f>
        <v>3.2116105684976768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0.67308323024446026</v>
      </c>
      <c r="C14" s="138">
        <f>IF(SER_hh_tes!C14=0,"",SER_hh_tes!C14/SER_hh_fec!C14)</f>
        <v>0.68745930600498495</v>
      </c>
      <c r="D14" s="138">
        <f>IF(SER_hh_tes!D14=0,"",SER_hh_tes!D14/SER_hh_fec!D14)</f>
        <v>0.69354053957627915</v>
      </c>
      <c r="E14" s="138">
        <f>IF(SER_hh_tes!E14=0,"",SER_hh_tes!E14/SER_hh_fec!E14)</f>
        <v>0.69639857181414255</v>
      </c>
      <c r="F14" s="138">
        <f>IF(SER_hh_tes!F14=0,"",SER_hh_tes!F14/SER_hh_fec!F14)</f>
        <v>0.69735329682044389</v>
      </c>
      <c r="G14" s="138">
        <f>IF(SER_hh_tes!G14=0,"",SER_hh_tes!G14/SER_hh_fec!G14)</f>
        <v>0.6982571434249647</v>
      </c>
      <c r="H14" s="138">
        <f>IF(SER_hh_tes!H14=0,"",SER_hh_tes!H14/SER_hh_fec!H14)</f>
        <v>0.69825714342496437</v>
      </c>
      <c r="I14" s="138">
        <f>IF(SER_hh_tes!I14=0,"",SER_hh_tes!I14/SER_hh_fec!I14)</f>
        <v>0.69825714342496448</v>
      </c>
      <c r="J14" s="138">
        <f>IF(SER_hh_tes!J14=0,"",SER_hh_tes!J14/SER_hh_fec!J14)</f>
        <v>0.70107334596290849</v>
      </c>
      <c r="K14" s="138">
        <f>IF(SER_hh_tes!K14=0,"",SER_hh_tes!K14/SER_hh_fec!K14)</f>
        <v>0.7088913884028738</v>
      </c>
      <c r="L14" s="138">
        <f>IF(SER_hh_tes!L14=0,"",SER_hh_tes!L14/SER_hh_fec!L14)</f>
        <v>0.71604998776634443</v>
      </c>
      <c r="M14" s="138">
        <f>IF(SER_hh_tes!M14=0,"",SER_hh_tes!M14/SER_hh_fec!M14)</f>
        <v>0.7219848820304553</v>
      </c>
      <c r="N14" s="138">
        <f>IF(SER_hh_tes!N14=0,"",SER_hh_tes!N14/SER_hh_fec!N14)</f>
        <v>0.72639816880266106</v>
      </c>
      <c r="O14" s="138">
        <f>IF(SER_hh_tes!O14=0,"",SER_hh_tes!O14/SER_hh_fec!O14)</f>
        <v>0.73315735255099801</v>
      </c>
      <c r="P14" s="138">
        <f>IF(SER_hh_tes!P14=0,"",SER_hh_tes!P14/SER_hh_fec!P14)</f>
        <v>0.73844230543167833</v>
      </c>
      <c r="Q14" s="138">
        <f>IF(SER_hh_tes!Q14=0,"",SER_hh_tes!Q14/SER_hh_fec!Q14)</f>
        <v>0.74926493655219661</v>
      </c>
      <c r="R14" s="138">
        <f>IF(SER_hh_tes!R14=0,"",SER_hh_tes!R14/SER_hh_fec!R14)</f>
        <v>0.7601870276444781</v>
      </c>
      <c r="S14" s="138">
        <f>IF(SER_hh_tes!S14=0,"",SER_hh_tes!S14/SER_hh_fec!S14)</f>
        <v>0.77245217588539761</v>
      </c>
      <c r="T14" s="138">
        <f>IF(SER_hh_tes!T14=0,"",SER_hh_tes!T14/SER_hh_fec!T14)</f>
        <v>0.77797569860499205</v>
      </c>
      <c r="U14" s="138">
        <f>IF(SER_hh_tes!U14=0,"",SER_hh_tes!U14/SER_hh_fec!U14)</f>
        <v>0.77987819236813605</v>
      </c>
      <c r="V14" s="138">
        <f>IF(SER_hh_tes!V14=0,"",SER_hh_tes!V14/SER_hh_fec!V14)</f>
        <v>0.78108141353827509</v>
      </c>
      <c r="W14" s="138">
        <f>IF(SER_hh_tes!W14=0,"",SER_hh_tes!W14/SER_hh_fec!W14)</f>
        <v>0.78533836965919579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1.7186085417436969</v>
      </c>
      <c r="C16" s="136">
        <f>IF(SER_hh_tes!C16=0,"",SER_hh_tes!C16/SER_hh_fec!C16)</f>
        <v>1.7930669708171432</v>
      </c>
      <c r="D16" s="136">
        <f>IF(SER_hh_tes!D16=0,"",SER_hh_tes!D16/SER_hh_fec!D16)</f>
        <v>1.8830860957406277</v>
      </c>
      <c r="E16" s="136">
        <f>IF(SER_hh_tes!E16=0,"",SER_hh_tes!E16/SER_hh_fec!E16)</f>
        <v>1.9667955954511345</v>
      </c>
      <c r="F16" s="136">
        <f>IF(SER_hh_tes!F16=0,"",SER_hh_tes!F16/SER_hh_fec!F16)</f>
        <v>2.0530161598993835</v>
      </c>
      <c r="G16" s="136">
        <f>IF(SER_hh_tes!G16=0,"",SER_hh_tes!G16/SER_hh_fec!G16)</f>
        <v>2.1435612690827233</v>
      </c>
      <c r="H16" s="136">
        <f>IF(SER_hh_tes!H16=0,"",SER_hh_tes!H16/SER_hh_fec!H16)</f>
        <v>2.2467890952750276</v>
      </c>
      <c r="I16" s="136">
        <f>IF(SER_hh_tes!I16=0,"",SER_hh_tes!I16/SER_hh_fec!I16)</f>
        <v>2.368410443038639</v>
      </c>
      <c r="J16" s="136">
        <f>IF(SER_hh_tes!J16=0,"",SER_hh_tes!J16/SER_hh_fec!J16)</f>
        <v>2.4945861676533916</v>
      </c>
      <c r="K16" s="136">
        <f>IF(SER_hh_tes!K16=0,"",SER_hh_tes!K16/SER_hh_fec!K16)</f>
        <v>2.5297782658920243</v>
      </c>
      <c r="L16" s="136">
        <f>IF(SER_hh_tes!L16=0,"",SER_hh_tes!L16/SER_hh_fec!L16)</f>
        <v>2.5834245076835813</v>
      </c>
      <c r="M16" s="136">
        <f>IF(SER_hh_tes!M16=0,"",SER_hh_tes!M16/SER_hh_fec!M16)</f>
        <v>2.6528122315532183</v>
      </c>
      <c r="N16" s="136">
        <f>IF(SER_hh_tes!N16=0,"",SER_hh_tes!N16/SER_hh_fec!N16)</f>
        <v>2.7347121919454973</v>
      </c>
      <c r="O16" s="136">
        <f>IF(SER_hh_tes!O16=0,"",SER_hh_tes!O16/SER_hh_fec!O16)</f>
        <v>2.8149210372277689</v>
      </c>
      <c r="P16" s="136">
        <f>IF(SER_hh_tes!P16=0,"",SER_hh_tes!P16/SER_hh_fec!P16)</f>
        <v>2.9016860318233575</v>
      </c>
      <c r="Q16" s="136">
        <f>IF(SER_hh_tes!Q16=0,"",SER_hh_tes!Q16/SER_hh_fec!Q16)</f>
        <v>2.9979605334957582</v>
      </c>
      <c r="R16" s="136">
        <f>IF(SER_hh_tes!R16=0,"",SER_hh_tes!R16/SER_hh_fec!R16)</f>
        <v>3.0855799595308282</v>
      </c>
      <c r="S16" s="136">
        <f>IF(SER_hh_tes!S16=0,"",SER_hh_tes!S16/SER_hh_fec!S16)</f>
        <v>3.1898626367214256</v>
      </c>
      <c r="T16" s="136">
        <f>IF(SER_hh_tes!T16=0,"",SER_hh_tes!T16/SER_hh_fec!T16)</f>
        <v>3.275544496039962</v>
      </c>
      <c r="U16" s="136">
        <f>IF(SER_hh_tes!U16=0,"",SER_hh_tes!U16/SER_hh_fec!U16)</f>
        <v>3.3487802932692063</v>
      </c>
      <c r="V16" s="136">
        <f>IF(SER_hh_tes!V16=0,"",SER_hh_tes!V16/SER_hh_fec!V16)</f>
        <v>3.4010321682050995</v>
      </c>
      <c r="W16" s="136">
        <f>IF(SER_hh_tes!W16=0,"",SER_hh_tes!W16/SER_hh_fec!W16)</f>
        <v>3.4832332778691115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1.2188385833831457</v>
      </c>
      <c r="C17" s="137">
        <f>IF(SER_hh_tes!C17=0,"",SER_hh_tes!C17/SER_hh_fec!C17)</f>
        <v>1.2341330303297064</v>
      </c>
      <c r="D17" s="137">
        <f>IF(SER_hh_tes!D17=0,"",SER_hh_tes!D17/SER_hh_fec!D17)</f>
        <v>1.2353946601227663</v>
      </c>
      <c r="E17" s="137">
        <f>IF(SER_hh_tes!E17=0,"",SER_hh_tes!E17/SER_hh_fec!E17)</f>
        <v>1.2365177615763152</v>
      </c>
      <c r="F17" s="137">
        <f>IF(SER_hh_tes!F17=0,"",SER_hh_tes!F17/SER_hh_fec!F17)</f>
        <v>1.2519859715114143</v>
      </c>
      <c r="G17" s="137">
        <f>IF(SER_hh_tes!G17=0,"",SER_hh_tes!G17/SER_hh_fec!G17)</f>
        <v>1.2549418073152578</v>
      </c>
      <c r="H17" s="137">
        <f>IF(SER_hh_tes!H17=0,"",SER_hh_tes!H17/SER_hh_fec!H17)</f>
        <v>1.2561233033957322</v>
      </c>
      <c r="I17" s="137">
        <f>IF(SER_hh_tes!I17=0,"",SER_hh_tes!I17/SER_hh_fec!I17)</f>
        <v>1.2583866842630704</v>
      </c>
      <c r="J17" s="137">
        <f>IF(SER_hh_tes!J17=0,"",SER_hh_tes!J17/SER_hh_fec!J17)</f>
        <v>1.260932777708121</v>
      </c>
      <c r="K17" s="137">
        <f>IF(SER_hh_tes!K17=0,"",SER_hh_tes!K17/SER_hh_fec!K17)</f>
        <v>1.2610800571467167</v>
      </c>
      <c r="L17" s="137">
        <f>IF(SER_hh_tes!L17=0,"",SER_hh_tes!L17/SER_hh_fec!L17)</f>
        <v>1.2621136537430349</v>
      </c>
      <c r="M17" s="137">
        <f>IF(SER_hh_tes!M17=0,"",SER_hh_tes!M17/SER_hh_fec!M17)</f>
        <v>1.2648787503879118</v>
      </c>
      <c r="N17" s="137">
        <f>IF(SER_hh_tes!N17=0,"",SER_hh_tes!N17/SER_hh_fec!N17)</f>
        <v>1.2678067434835645</v>
      </c>
      <c r="O17" s="137">
        <f>IF(SER_hh_tes!O17=0,"",SER_hh_tes!O17/SER_hh_fec!O17)</f>
        <v>1.2802861169601765</v>
      </c>
      <c r="P17" s="137">
        <f>IF(SER_hh_tes!P17=0,"",SER_hh_tes!P17/SER_hh_fec!P17)</f>
        <v>1.3038020079260091</v>
      </c>
      <c r="Q17" s="137">
        <f>IF(SER_hh_tes!Q17=0,"",SER_hh_tes!Q17/SER_hh_fec!Q17)</f>
        <v>1.3193985428323254</v>
      </c>
      <c r="R17" s="137">
        <f>IF(SER_hh_tes!R17=0,"",SER_hh_tes!R17/SER_hh_fec!R17)</f>
        <v>1.347736093721249</v>
      </c>
      <c r="S17" s="137">
        <f>IF(SER_hh_tes!S17=0,"",SER_hh_tes!S17/SER_hh_fec!S17)</f>
        <v>1.3606664139525133</v>
      </c>
      <c r="T17" s="137">
        <f>IF(SER_hh_tes!T17=0,"",SER_hh_tes!T17/SER_hh_fec!T17)</f>
        <v>1.3791498350509985</v>
      </c>
      <c r="U17" s="137">
        <f>IF(SER_hh_tes!U17=0,"",SER_hh_tes!U17/SER_hh_fec!U17)</f>
        <v>1.3928756367482411</v>
      </c>
      <c r="V17" s="137">
        <f>IF(SER_hh_tes!V17=0,"",SER_hh_tes!V17/SER_hh_fec!V17)</f>
        <v>1.4136168921737453</v>
      </c>
      <c r="W17" s="137">
        <f>IF(SER_hh_tes!W17=0,"",SER_hh_tes!W17/SER_hh_fec!W17)</f>
        <v>1.4366210490581519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1.7199941022129366</v>
      </c>
      <c r="C18" s="137">
        <f>IF(SER_hh_tes!C18=0,"",SER_hh_tes!C18/SER_hh_fec!C18)</f>
        <v>1.7955251730481392</v>
      </c>
      <c r="D18" s="137">
        <f>IF(SER_hh_tes!D18=0,"",SER_hh_tes!D18/SER_hh_fec!D18)</f>
        <v>1.8854705755971379</v>
      </c>
      <c r="E18" s="137">
        <f>IF(SER_hh_tes!E18=0,"",SER_hh_tes!E18/SER_hh_fec!E18)</f>
        <v>1.9678013582574967</v>
      </c>
      <c r="F18" s="137">
        <f>IF(SER_hh_tes!F18=0,"",SER_hh_tes!F18/SER_hh_fec!F18)</f>
        <v>2.0562809534464654</v>
      </c>
      <c r="G18" s="137">
        <f>IF(SER_hh_tes!G18=0,"",SER_hh_tes!G18/SER_hh_fec!G18)</f>
        <v>2.1488140166521612</v>
      </c>
      <c r="H18" s="137">
        <f>IF(SER_hh_tes!H18=0,"",SER_hh_tes!H18/SER_hh_fec!H18)</f>
        <v>2.2535117584094806</v>
      </c>
      <c r="I18" s="137">
        <f>IF(SER_hh_tes!I18=0,"",SER_hh_tes!I18/SER_hh_fec!I18)</f>
        <v>2.3759609411954306</v>
      </c>
      <c r="J18" s="137">
        <f>IF(SER_hh_tes!J18=0,"",SER_hh_tes!J18/SER_hh_fec!J18)</f>
        <v>2.5040958985122308</v>
      </c>
      <c r="K18" s="137">
        <f>IF(SER_hh_tes!K18=0,"",SER_hh_tes!K18/SER_hh_fec!K18)</f>
        <v>2.539402600106162</v>
      </c>
      <c r="L18" s="137">
        <f>IF(SER_hh_tes!L18=0,"",SER_hh_tes!L18/SER_hh_fec!L18)</f>
        <v>2.5938719354386195</v>
      </c>
      <c r="M18" s="137">
        <f>IF(SER_hh_tes!M18=0,"",SER_hh_tes!M18/SER_hh_fec!M18)</f>
        <v>2.6651771527102421</v>
      </c>
      <c r="N18" s="137">
        <f>IF(SER_hh_tes!N18=0,"",SER_hh_tes!N18/SER_hh_fec!N18)</f>
        <v>2.7484346388989169</v>
      </c>
      <c r="O18" s="137">
        <f>IF(SER_hh_tes!O18=0,"",SER_hh_tes!O18/SER_hh_fec!O18)</f>
        <v>2.8334204749161942</v>
      </c>
      <c r="P18" s="137">
        <f>IF(SER_hh_tes!P18=0,"",SER_hh_tes!P18/SER_hh_fec!P18)</f>
        <v>2.929532461663809</v>
      </c>
      <c r="Q18" s="137">
        <f>IF(SER_hh_tes!Q18=0,"",SER_hh_tes!Q18/SER_hh_fec!Q18)</f>
        <v>3.0325863696165372</v>
      </c>
      <c r="R18" s="137">
        <f>IF(SER_hh_tes!R18=0,"",SER_hh_tes!R18/SER_hh_fec!R18)</f>
        <v>3.1403357711765798</v>
      </c>
      <c r="S18" s="137">
        <f>IF(SER_hh_tes!S18=0,"",SER_hh_tes!S18/SER_hh_fec!S18)</f>
        <v>3.2552058136038018</v>
      </c>
      <c r="T18" s="137">
        <f>IF(SER_hh_tes!T18=0,"",SER_hh_tes!T18/SER_hh_fec!T18)</f>
        <v>3.354899154504793</v>
      </c>
      <c r="U18" s="137">
        <f>IF(SER_hh_tes!U18=0,"",SER_hh_tes!U18/SER_hh_fec!U18)</f>
        <v>3.4361109169482793</v>
      </c>
      <c r="V18" s="137">
        <f>IF(SER_hh_tes!V18=0,"",SER_hh_tes!V18/SER_hh_fec!V18)</f>
        <v>3.5096224335039468</v>
      </c>
      <c r="W18" s="137">
        <f>IF(SER_hh_tes!W18=0,"",SER_hh_tes!W18/SER_hh_fec!W18)</f>
        <v>3.591667972439367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0.61664621371554051</v>
      </c>
      <c r="C19" s="136">
        <f>IF(SER_hh_tes!C19=0,"",SER_hh_tes!C19/SER_hh_fec!C19)</f>
        <v>0.61273929950541628</v>
      </c>
      <c r="D19" s="136">
        <f>IF(SER_hh_tes!D19=0,"",SER_hh_tes!D19/SER_hh_fec!D19)</f>
        <v>0.61945882313921696</v>
      </c>
      <c r="E19" s="136">
        <f>IF(SER_hh_tes!E19=0,"",SER_hh_tes!E19/SER_hh_fec!E19)</f>
        <v>0.62729330146381157</v>
      </c>
      <c r="F19" s="136">
        <f>IF(SER_hh_tes!F19=0,"",SER_hh_tes!F19/SER_hh_fec!F19)</f>
        <v>0.63660028195296092</v>
      </c>
      <c r="G19" s="136">
        <f>IF(SER_hh_tes!G19=0,"",SER_hh_tes!G19/SER_hh_fec!G19)</f>
        <v>0.6319493051336561</v>
      </c>
      <c r="H19" s="136">
        <f>IF(SER_hh_tes!H19=0,"",SER_hh_tes!H19/SER_hh_fec!H19)</f>
        <v>0.63101654803181562</v>
      </c>
      <c r="I19" s="136">
        <f>IF(SER_hh_tes!I19=0,"",SER_hh_tes!I19/SER_hh_fec!I19)</f>
        <v>0.63189184173703028</v>
      </c>
      <c r="J19" s="136">
        <f>IF(SER_hh_tes!J19=0,"",SER_hh_tes!J19/SER_hh_fec!J19)</f>
        <v>0.63569453873717485</v>
      </c>
      <c r="K19" s="136">
        <f>IF(SER_hh_tes!K19=0,"",SER_hh_tes!K19/SER_hh_fec!K19)</f>
        <v>0.64030365424806768</v>
      </c>
      <c r="L19" s="136">
        <f>IF(SER_hh_tes!L19=0,"",SER_hh_tes!L19/SER_hh_fec!L19)</f>
        <v>0.64428152145231476</v>
      </c>
      <c r="M19" s="136">
        <f>IF(SER_hh_tes!M19=0,"",SER_hh_tes!M19/SER_hh_fec!M19)</f>
        <v>0.6501911149134143</v>
      </c>
      <c r="N19" s="136">
        <f>IF(SER_hh_tes!N19=0,"",SER_hh_tes!N19/SER_hh_fec!N19)</f>
        <v>0.65332584024974627</v>
      </c>
      <c r="O19" s="136">
        <f>IF(SER_hh_tes!O19=0,"",SER_hh_tes!O19/SER_hh_fec!O19)</f>
        <v>0.65568286883970783</v>
      </c>
      <c r="P19" s="136">
        <f>IF(SER_hh_tes!P19=0,"",SER_hh_tes!P19/SER_hh_fec!P19)</f>
        <v>0.6614809905273632</v>
      </c>
      <c r="Q19" s="136">
        <f>IF(SER_hh_tes!Q19=0,"",SER_hh_tes!Q19/SER_hh_fec!Q19)</f>
        <v>0.66410250497029832</v>
      </c>
      <c r="R19" s="136">
        <f>IF(SER_hh_tes!R19=0,"",SER_hh_tes!R19/SER_hh_fec!R19)</f>
        <v>0.68293745771198811</v>
      </c>
      <c r="S19" s="136">
        <f>IF(SER_hh_tes!S19=0,"",SER_hh_tes!S19/SER_hh_fec!S19)</f>
        <v>0.69549323207965064</v>
      </c>
      <c r="T19" s="136">
        <f>IF(SER_hh_tes!T19=0,"",SER_hh_tes!T19/SER_hh_fec!T19)</f>
        <v>0.7128335915662779</v>
      </c>
      <c r="U19" s="136">
        <f>IF(SER_hh_tes!U19=0,"",SER_hh_tes!U19/SER_hh_fec!U19)</f>
        <v>0.72781561909480608</v>
      </c>
      <c r="V19" s="136">
        <f>IF(SER_hh_tes!V19=0,"",SER_hh_tes!V19/SER_hh_fec!V19)</f>
        <v>0.75319546454264452</v>
      </c>
      <c r="W19" s="136">
        <f>IF(SER_hh_tes!W19=0,"",SER_hh_tes!W19/SER_hh_fec!W19)</f>
        <v>0.75565026988835116</v>
      </c>
      <c r="DA19" s="163" t="s">
        <v>241</v>
      </c>
    </row>
    <row r="20" spans="1:105" ht="12" customHeight="1" x14ac:dyDescent="0.25">
      <c r="A20" s="132" t="s">
        <v>29</v>
      </c>
      <c r="B20" s="137">
        <f>IF(SER_hh_tes!B20=0,"",SER_hh_tes!B20/SER_hh_fec!B20)</f>
        <v>0.53273006166482495</v>
      </c>
      <c r="C20" s="137">
        <f>IF(SER_hh_tes!C20=0,"",SER_hh_tes!C20/SER_hh_fec!C20)</f>
        <v>0.53273006166482495</v>
      </c>
      <c r="D20" s="137">
        <f>IF(SER_hh_tes!D20=0,"",SER_hh_tes!D20/SER_hh_fec!D20)</f>
        <v>0.53273006166482495</v>
      </c>
      <c r="E20" s="137">
        <f>IF(SER_hh_tes!E20=0,"",SER_hh_tes!E20/SER_hh_fec!E20)</f>
        <v>0.53273006166482495</v>
      </c>
      <c r="F20" s="137">
        <f>IF(SER_hh_tes!F20=0,"",SER_hh_tes!F20/SER_hh_fec!F20)</f>
        <v>0.53273006166482495</v>
      </c>
      <c r="G20" s="137">
        <f>IF(SER_hh_tes!G20=0,"",SER_hh_tes!G20/SER_hh_fec!G20)</f>
        <v>0.53273006166482495</v>
      </c>
      <c r="H20" s="137">
        <f>IF(SER_hh_tes!H20=0,"",SER_hh_tes!H20/SER_hh_fec!H20)</f>
        <v>0.56844608333394886</v>
      </c>
      <c r="I20" s="137">
        <f>IF(SER_hh_tes!I20=0,"",SER_hh_tes!I20/SER_hh_fec!I20)</f>
        <v>0.59609210006532876</v>
      </c>
      <c r="J20" s="137">
        <f>IF(SER_hh_tes!J20=0,"",SER_hh_tes!J20/SER_hh_fec!J20)</f>
        <v>0.6152587966237012</v>
      </c>
      <c r="K20" s="137">
        <f>IF(SER_hh_tes!K20=0,"",SER_hh_tes!K20/SER_hh_fec!K20)</f>
        <v>0.62834008432228738</v>
      </c>
      <c r="L20" s="137">
        <f>IF(SER_hh_tes!L20=0,"",SER_hh_tes!L20/SER_hh_fec!L20)</f>
        <v>0.63756250305512741</v>
      </c>
      <c r="M20" s="137">
        <f>IF(SER_hh_tes!M20=0,"",SER_hh_tes!M20/SER_hh_fec!M20)</f>
        <v>0.64641078884102021</v>
      </c>
      <c r="N20" s="137">
        <f>IF(SER_hh_tes!N20=0,"",SER_hh_tes!N20/SER_hh_fec!N20)</f>
        <v>0.65560348526808321</v>
      </c>
      <c r="O20" s="137">
        <f>IF(SER_hh_tes!O20=0,"",SER_hh_tes!O20/SER_hh_fec!O20)</f>
        <v>0.66378138517966256</v>
      </c>
      <c r="P20" s="137">
        <f>IF(SER_hh_tes!P20=0,"",SER_hh_tes!P20/SER_hh_fec!P20)</f>
        <v>0.66397383645507113</v>
      </c>
      <c r="Q20" s="137">
        <f>IF(SER_hh_tes!Q20=0,"",SER_hh_tes!Q20/SER_hh_fec!Q20)</f>
        <v>0.66422664926945596</v>
      </c>
      <c r="R20" s="137">
        <f>IF(SER_hh_tes!R20=0,"",SER_hh_tes!R20/SER_hh_fec!R20)</f>
        <v>0.66447119192705384</v>
      </c>
      <c r="S20" s="137">
        <f>IF(SER_hh_tes!S20=0,"",SER_hh_tes!S20/SER_hh_fec!S20)</f>
        <v>0.66447119192705406</v>
      </c>
      <c r="T20" s="137">
        <f>IF(SER_hh_tes!T20=0,"",SER_hh_tes!T20/SER_hh_fec!T20)</f>
        <v>0.6646853831363766</v>
      </c>
      <c r="U20" s="137">
        <f>IF(SER_hh_tes!U20=0,"",SER_hh_tes!U20/SER_hh_fec!U20)</f>
        <v>0.66687036191230342</v>
      </c>
      <c r="V20" s="137">
        <f>IF(SER_hh_tes!V20=0,"",SER_hh_tes!V20/SER_hh_fec!V20)</f>
        <v>0.66836207589567687</v>
      </c>
      <c r="W20" s="137">
        <f>IF(SER_hh_tes!W20=0,"",SER_hh_tes!W20/SER_hh_fec!W20)</f>
        <v>0.67047593647176451</v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 t="str">
        <f>IF(SER_hh_tes!B22=0,"",SER_hh_tes!B22/SER_hh_fec!B22)</f>
        <v/>
      </c>
      <c r="C22" s="137" t="str">
        <f>IF(SER_hh_tes!C22=0,"",SER_hh_tes!C22/SER_hh_fec!C22)</f>
        <v/>
      </c>
      <c r="D22" s="137" t="str">
        <f>IF(SER_hh_tes!D22=0,"",SER_hh_tes!D22/SER_hh_fec!D22)</f>
        <v/>
      </c>
      <c r="E22" s="137" t="str">
        <f>IF(SER_hh_tes!E22=0,"",SER_hh_tes!E22/SER_hh_fec!E22)</f>
        <v/>
      </c>
      <c r="F22" s="137" t="str">
        <f>IF(SER_hh_tes!F22=0,"",SER_hh_tes!F22/SER_hh_fec!F22)</f>
        <v/>
      </c>
      <c r="G22" s="137" t="str">
        <f>IF(SER_hh_tes!G22=0,"",SER_hh_tes!G22/SER_hh_fec!G22)</f>
        <v/>
      </c>
      <c r="H22" s="137" t="str">
        <f>IF(SER_hh_tes!H22=0,"",SER_hh_tes!H22/SER_hh_fec!H22)</f>
        <v/>
      </c>
      <c r="I22" s="137" t="str">
        <f>IF(SER_hh_tes!I22=0,"",SER_hh_tes!I22/SER_hh_fec!I22)</f>
        <v/>
      </c>
      <c r="J22" s="137" t="str">
        <f>IF(SER_hh_tes!J22=0,"",SER_hh_tes!J22/SER_hh_fec!J22)</f>
        <v/>
      </c>
      <c r="K22" s="137" t="str">
        <f>IF(SER_hh_tes!K22=0,"",SER_hh_tes!K22/SER_hh_fec!K22)</f>
        <v/>
      </c>
      <c r="L22" s="137" t="str">
        <f>IF(SER_hh_tes!L22=0,"",SER_hh_tes!L22/SER_hh_fec!L22)</f>
        <v/>
      </c>
      <c r="M22" s="137" t="str">
        <f>IF(SER_hh_tes!M22=0,"",SER_hh_tes!M22/SER_hh_fec!M22)</f>
        <v/>
      </c>
      <c r="N22" s="137" t="str">
        <f>IF(SER_hh_tes!N22=0,"",SER_hh_tes!N22/SER_hh_fec!N22)</f>
        <v/>
      </c>
      <c r="O22" s="137" t="str">
        <f>IF(SER_hh_tes!O22=0,"",SER_hh_tes!O22/SER_hh_fec!O22)</f>
        <v/>
      </c>
      <c r="P22" s="137" t="str">
        <f>IF(SER_hh_tes!P22=0,"",SER_hh_tes!P22/SER_hh_fec!P22)</f>
        <v/>
      </c>
      <c r="Q22" s="137" t="str">
        <f>IF(SER_hh_tes!Q22=0,"",SER_hh_tes!Q22/SER_hh_fec!Q22)</f>
        <v/>
      </c>
      <c r="R22" s="137" t="str">
        <f>IF(SER_hh_tes!R22=0,"",SER_hh_tes!R22/SER_hh_fec!R22)</f>
        <v/>
      </c>
      <c r="S22" s="137" t="str">
        <f>IF(SER_hh_tes!S22=0,"",SER_hh_tes!S22/SER_hh_fec!S22)</f>
        <v/>
      </c>
      <c r="T22" s="137" t="str">
        <f>IF(SER_hh_tes!T22=0,"",SER_hh_tes!T22/SER_hh_fec!T22)</f>
        <v/>
      </c>
      <c r="U22" s="137" t="str">
        <f>IF(SER_hh_tes!U22=0,"",SER_hh_tes!U22/SER_hh_fec!U22)</f>
        <v/>
      </c>
      <c r="V22" s="137" t="str">
        <f>IF(SER_hh_tes!V22=0,"",SER_hh_tes!V22/SER_hh_fec!V22)</f>
        <v/>
      </c>
      <c r="W22" s="137" t="str">
        <f>IF(SER_hh_tes!W22=0,"",SER_hh_tes!W22/SER_hh_fec!W22)</f>
        <v/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0.50114194552637648</v>
      </c>
      <c r="C23" s="137">
        <f>IF(SER_hh_tes!C23=0,"",SER_hh_tes!C23/SER_hh_fec!C23)</f>
        <v>0.52549426111100273</v>
      </c>
      <c r="D23" s="137">
        <f>IF(SER_hh_tes!D23=0,"",SER_hh_tes!D23/SER_hh_fec!D23)</f>
        <v>0.53476067272263683</v>
      </c>
      <c r="E23" s="137">
        <f>IF(SER_hh_tes!E23=0,"",SER_hh_tes!E23/SER_hh_fec!E23)</f>
        <v>0.54081817162373202</v>
      </c>
      <c r="F23" s="137">
        <f>IF(SER_hh_tes!F23=0,"",SER_hh_tes!F23/SER_hh_fec!F23)</f>
        <v>0.54559025022458607</v>
      </c>
      <c r="G23" s="137">
        <f>IF(SER_hh_tes!G23=0,"",SER_hh_tes!G23/SER_hh_fec!G23)</f>
        <v>0.55003073915792478</v>
      </c>
      <c r="H23" s="137">
        <f>IF(SER_hh_tes!H23=0,"",SER_hh_tes!H23/SER_hh_fec!H23)</f>
        <v>0.55533258431244725</v>
      </c>
      <c r="I23" s="137">
        <f>IF(SER_hh_tes!I23=0,"",SER_hh_tes!I23/SER_hh_fec!I23)</f>
        <v>0.56103862430615248</v>
      </c>
      <c r="J23" s="137">
        <f>IF(SER_hh_tes!J23=0,"",SER_hh_tes!J23/SER_hh_fec!J23)</f>
        <v>0.56614382135360752</v>
      </c>
      <c r="K23" s="137">
        <f>IF(SER_hh_tes!K23=0,"",SER_hh_tes!K23/SER_hh_fec!K23)</f>
        <v>0.57084028689492439</v>
      </c>
      <c r="L23" s="137">
        <f>IF(SER_hh_tes!L23=0,"",SER_hh_tes!L23/SER_hh_fec!L23)</f>
        <v>0.57781280727164952</v>
      </c>
      <c r="M23" s="137">
        <f>IF(SER_hh_tes!M23=0,"",SER_hh_tes!M23/SER_hh_fec!M23)</f>
        <v>0.58716589558972099</v>
      </c>
      <c r="N23" s="137">
        <f>IF(SER_hh_tes!N23=0,"",SER_hh_tes!N23/SER_hh_fec!N23)</f>
        <v>0.60084842065257404</v>
      </c>
      <c r="O23" s="137">
        <f>IF(SER_hh_tes!O23=0,"",SER_hh_tes!O23/SER_hh_fec!O23)</f>
        <v>0.61457089729230363</v>
      </c>
      <c r="P23" s="137">
        <f>IF(SER_hh_tes!P23=0,"",SER_hh_tes!P23/SER_hh_fec!P23)</f>
        <v>0.62259163792074157</v>
      </c>
      <c r="Q23" s="137">
        <f>IF(SER_hh_tes!Q23=0,"",SER_hh_tes!Q23/SER_hh_fec!Q23)</f>
        <v>0.63195731129922916</v>
      </c>
      <c r="R23" s="137">
        <f>IF(SER_hh_tes!R23=0,"",SER_hh_tes!R23/SER_hh_fec!R23)</f>
        <v>0.64228953336263628</v>
      </c>
      <c r="S23" s="137">
        <f>IF(SER_hh_tes!S23=0,"",SER_hh_tes!S23/SER_hh_fec!S23)</f>
        <v>0.65256036566163045</v>
      </c>
      <c r="T23" s="137">
        <f>IF(SER_hh_tes!T23=0,"",SER_hh_tes!T23/SER_hh_fec!T23)</f>
        <v>0.65780249362153298</v>
      </c>
      <c r="U23" s="137">
        <f>IF(SER_hh_tes!U23=0,"",SER_hh_tes!U23/SER_hh_fec!U23)</f>
        <v>0.66133325613699767</v>
      </c>
      <c r="V23" s="137">
        <f>IF(SER_hh_tes!V23=0,"",SER_hh_tes!V23/SER_hh_fec!V23)</f>
        <v>0.66533580790104074</v>
      </c>
      <c r="W23" s="137">
        <f>IF(SER_hh_tes!W23=0,"",SER_hh_tes!W23/SER_hh_fec!W23)</f>
        <v>0.6736984037841981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0.75015276905140604</v>
      </c>
      <c r="C25" s="137">
        <f>IF(SER_hh_tes!C25=0,"",SER_hh_tes!C25/SER_hh_fec!C25)</f>
        <v>0.75648601179008279</v>
      </c>
      <c r="D25" s="137">
        <f>IF(SER_hh_tes!D25=0,"",SER_hh_tes!D25/SER_hh_fec!D25)</f>
        <v>0.76310226499472222</v>
      </c>
      <c r="E25" s="137">
        <f>IF(SER_hh_tes!E25=0,"",SER_hh_tes!E25/SER_hh_fec!E25)</f>
        <v>0.76569410476695821</v>
      </c>
      <c r="F25" s="137">
        <f>IF(SER_hh_tes!F25=0,"",SER_hh_tes!F25/SER_hh_fec!F25)</f>
        <v>0.76737746218516201</v>
      </c>
      <c r="G25" s="137">
        <f>IF(SER_hh_tes!G25=0,"",SER_hh_tes!G25/SER_hh_fec!G25)</f>
        <v>0.76837825443366981</v>
      </c>
      <c r="H25" s="137">
        <f>IF(SER_hh_tes!H25=0,"",SER_hh_tes!H25/SER_hh_fec!H25)</f>
        <v>0.76965614757153689</v>
      </c>
      <c r="I25" s="137">
        <f>IF(SER_hh_tes!I25=0,"",SER_hh_tes!I25/SER_hh_fec!I25)</f>
        <v>0.77053833601656363</v>
      </c>
      <c r="J25" s="137">
        <f>IF(SER_hh_tes!J25=0,"",SER_hh_tes!J25/SER_hh_fec!J25)</f>
        <v>0.77183120901376734</v>
      </c>
      <c r="K25" s="137">
        <f>IF(SER_hh_tes!K25=0,"",SER_hh_tes!K25/SER_hh_fec!K25)</f>
        <v>0.77408520471563469</v>
      </c>
      <c r="L25" s="137">
        <f>IF(SER_hh_tes!L25=0,"",SER_hh_tes!L25/SER_hh_fec!L25)</f>
        <v>0.7765271624857133</v>
      </c>
      <c r="M25" s="137">
        <f>IF(SER_hh_tes!M25=0,"",SER_hh_tes!M25/SER_hh_fec!M25)</f>
        <v>0.77912137571653073</v>
      </c>
      <c r="N25" s="137">
        <f>IF(SER_hh_tes!N25=0,"",SER_hh_tes!N25/SER_hh_fec!N25)</f>
        <v>0.78191984505736412</v>
      </c>
      <c r="O25" s="137">
        <f>IF(SER_hh_tes!O25=0,"",SER_hh_tes!O25/SER_hh_fec!O25)</f>
        <v>0.78585265261190762</v>
      </c>
      <c r="P25" s="137">
        <f>IF(SER_hh_tes!P25=0,"",SER_hh_tes!P25/SER_hh_fec!P25)</f>
        <v>0.78776946833473127</v>
      </c>
      <c r="Q25" s="137">
        <f>IF(SER_hh_tes!Q25=0,"",SER_hh_tes!Q25/SER_hh_fec!Q25)</f>
        <v>0.79382779802042724</v>
      </c>
      <c r="R25" s="137">
        <f>IF(SER_hh_tes!R25=0,"",SER_hh_tes!R25/SER_hh_fec!R25)</f>
        <v>0.80178332980481659</v>
      </c>
      <c r="S25" s="137">
        <f>IF(SER_hh_tes!S25=0,"",SER_hh_tes!S25/SER_hh_fec!S25)</f>
        <v>0.81283587703251614</v>
      </c>
      <c r="T25" s="137">
        <f>IF(SER_hh_tes!T25=0,"",SER_hh_tes!T25/SER_hh_fec!T25)</f>
        <v>0.82275809744664685</v>
      </c>
      <c r="U25" s="137">
        <f>IF(SER_hh_tes!U25=0,"",SER_hh_tes!U25/SER_hh_fec!U25)</f>
        <v>0.82626453927878096</v>
      </c>
      <c r="V25" s="137">
        <f>IF(SER_hh_tes!V25=0,"",SER_hh_tes!V25/SER_hh_fec!V25)</f>
        <v>0.82842155059800526</v>
      </c>
      <c r="W25" s="137">
        <f>IF(SER_hh_tes!W25=0,"",SER_hh_tes!W25/SER_hh_fec!W25)</f>
        <v>0.82907026043587773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0.61812077830572487</v>
      </c>
      <c r="C26" s="138">
        <f>IF(SER_hh_tes!C26=0,"",SER_hh_tes!C26/SER_hh_fec!C26)</f>
        <v>0.61812077830572487</v>
      </c>
      <c r="D26" s="138">
        <f>IF(SER_hh_tes!D26=0,"",SER_hh_tes!D26/SER_hh_fec!D26)</f>
        <v>0.61842841960947514</v>
      </c>
      <c r="E26" s="138">
        <f>IF(SER_hh_tes!E26=0,"",SER_hh_tes!E26/SER_hh_fec!E26)</f>
        <v>0.62090410241769711</v>
      </c>
      <c r="F26" s="138">
        <f>IF(SER_hh_tes!F26=0,"",SER_hh_tes!F26/SER_hh_fec!F26)</f>
        <v>0.62428015508539236</v>
      </c>
      <c r="G26" s="138">
        <f>IF(SER_hh_tes!G26=0,"",SER_hh_tes!G26/SER_hh_fec!G26)</f>
        <v>0.62850530798351778</v>
      </c>
      <c r="H26" s="138">
        <f>IF(SER_hh_tes!H26=0,"",SER_hh_tes!H26/SER_hh_fec!H26)</f>
        <v>0.63250704720705053</v>
      </c>
      <c r="I26" s="138">
        <f>IF(SER_hh_tes!I26=0,"",SER_hh_tes!I26/SER_hh_fec!I26)</f>
        <v>0.63709915571592146</v>
      </c>
      <c r="J26" s="138">
        <f>IF(SER_hh_tes!J26=0,"",SER_hh_tes!J26/SER_hh_fec!J26)</f>
        <v>0.64104334501223315</v>
      </c>
      <c r="K26" s="138">
        <f>IF(SER_hh_tes!K26=0,"",SER_hh_tes!K26/SER_hh_fec!K26)</f>
        <v>0.64444968119626922</v>
      </c>
      <c r="L26" s="138">
        <f>IF(SER_hh_tes!L26=0,"",SER_hh_tes!L26/SER_hh_fec!L26)</f>
        <v>0.64911246995582939</v>
      </c>
      <c r="M26" s="138">
        <f>IF(SER_hh_tes!M26=0,"",SER_hh_tes!M26/SER_hh_fec!M26)</f>
        <v>0.65411042554057375</v>
      </c>
      <c r="N26" s="138">
        <f>IF(SER_hh_tes!N26=0,"",SER_hh_tes!N26/SER_hh_fec!N26)</f>
        <v>0.65974459593694368</v>
      </c>
      <c r="O26" s="138">
        <f>IF(SER_hh_tes!O26=0,"",SER_hh_tes!O26/SER_hh_fec!O26)</f>
        <v>0.66638591190140317</v>
      </c>
      <c r="P26" s="138">
        <f>IF(SER_hh_tes!P26=0,"",SER_hh_tes!P26/SER_hh_fec!P26)</f>
        <v>0.66945793449058622</v>
      </c>
      <c r="Q26" s="138">
        <f>IF(SER_hh_tes!Q26=0,"",SER_hh_tes!Q26/SER_hh_fec!Q26)</f>
        <v>0.67758952578714793</v>
      </c>
      <c r="R26" s="138">
        <f>IF(SER_hh_tes!R26=0,"",SER_hh_tes!R26/SER_hh_fec!R26)</f>
        <v>0.68945097813721878</v>
      </c>
      <c r="S26" s="138">
        <f>IF(SER_hh_tes!S26=0,"",SER_hh_tes!S26/SER_hh_fec!S26)</f>
        <v>0.70565653265063244</v>
      </c>
      <c r="T26" s="138">
        <f>IF(SER_hh_tes!T26=0,"",SER_hh_tes!T26/SER_hh_fec!T26)</f>
        <v>0.72855338234436917</v>
      </c>
      <c r="U26" s="138">
        <f>IF(SER_hh_tes!U26=0,"",SER_hh_tes!U26/SER_hh_fec!U26)</f>
        <v>0.7505471536727456</v>
      </c>
      <c r="V26" s="138">
        <f>IF(SER_hh_tes!V26=0,"",SER_hh_tes!V26/SER_hh_fec!V26)</f>
        <v>0.77350269772560398</v>
      </c>
      <c r="W26" s="138">
        <f>IF(SER_hh_tes!W26=0,"",SER_hh_tes!W26/SER_hh_fec!W26)</f>
        <v>0.79322394729377099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0.70240981861778684</v>
      </c>
      <c r="C29" s="136">
        <f>IF(SER_hh_tes!C29=0,"",SER_hh_tes!C29/SER_hh_fec!C29)</f>
        <v>0.68873279331808168</v>
      </c>
      <c r="D29" s="136">
        <f>IF(SER_hh_tes!D29=0,"",SER_hh_tes!D29/SER_hh_fec!D29)</f>
        <v>0.66920420532761682</v>
      </c>
      <c r="E29" s="136">
        <f>IF(SER_hh_tes!E29=0,"",SER_hh_tes!E29/SER_hh_fec!E29)</f>
        <v>0.67603119723849292</v>
      </c>
      <c r="F29" s="136">
        <f>IF(SER_hh_tes!F29=0,"",SER_hh_tes!F29/SER_hh_fec!F29)</f>
        <v>0.68789212709559666</v>
      </c>
      <c r="G29" s="136">
        <f>IF(SER_hh_tes!G29=0,"",SER_hh_tes!G29/SER_hh_fec!G29)</f>
        <v>0.69848899046554103</v>
      </c>
      <c r="H29" s="136">
        <f>IF(SER_hh_tes!H29=0,"",SER_hh_tes!H29/SER_hh_fec!H29)</f>
        <v>0.70478299126356536</v>
      </c>
      <c r="I29" s="136">
        <f>IF(SER_hh_tes!I29=0,"",SER_hh_tes!I29/SER_hh_fec!I29)</f>
        <v>0.73123750912282159</v>
      </c>
      <c r="J29" s="136">
        <f>IF(SER_hh_tes!J29=0,"",SER_hh_tes!J29/SER_hh_fec!J29)</f>
        <v>0.74390371159298474</v>
      </c>
      <c r="K29" s="136">
        <f>IF(SER_hh_tes!K29=0,"",SER_hh_tes!K29/SER_hh_fec!K29)</f>
        <v>0.73646076612575218</v>
      </c>
      <c r="L29" s="136">
        <f>IF(SER_hh_tes!L29=0,"",SER_hh_tes!L29/SER_hh_fec!L29)</f>
        <v>0.72728179670516935</v>
      </c>
      <c r="M29" s="136">
        <f>IF(SER_hh_tes!M29=0,"",SER_hh_tes!M29/SER_hh_fec!M29)</f>
        <v>0.76312708446898059</v>
      </c>
      <c r="N29" s="136">
        <f>IF(SER_hh_tes!N29=0,"",SER_hh_tes!N29/SER_hh_fec!N29)</f>
        <v>0.74054629859375454</v>
      </c>
      <c r="O29" s="136">
        <f>IF(SER_hh_tes!O29=0,"",SER_hh_tes!O29/SER_hh_fec!O29)</f>
        <v>0.72838796198020905</v>
      </c>
      <c r="P29" s="136">
        <f>IF(SER_hh_tes!P29=0,"",SER_hh_tes!P29/SER_hh_fec!P29)</f>
        <v>0.72633766290362523</v>
      </c>
      <c r="Q29" s="136">
        <f>IF(SER_hh_tes!Q29=0,"",SER_hh_tes!Q29/SER_hh_fec!Q29)</f>
        <v>0.72168331662127438</v>
      </c>
      <c r="R29" s="136">
        <f>IF(SER_hh_tes!R29=0,"",SER_hh_tes!R29/SER_hh_fec!R29)</f>
        <v>0.72689791233113665</v>
      </c>
      <c r="S29" s="136">
        <f>IF(SER_hh_tes!S29=0,"",SER_hh_tes!S29/SER_hh_fec!S29)</f>
        <v>0.74420953273026158</v>
      </c>
      <c r="T29" s="136">
        <f>IF(SER_hh_tes!T29=0,"",SER_hh_tes!T29/SER_hh_fec!T29)</f>
        <v>0.7589832632947815</v>
      </c>
      <c r="U29" s="136">
        <f>IF(SER_hh_tes!U29=0,"",SER_hh_tes!U29/SER_hh_fec!U29)</f>
        <v>0.78122512574467795</v>
      </c>
      <c r="V29" s="136">
        <f>IF(SER_hh_tes!V29=0,"",SER_hh_tes!V29/SER_hh_fec!V29)</f>
        <v>0.78880469791654151</v>
      </c>
      <c r="W29" s="136">
        <f>IF(SER_hh_tes!W29=0,"",SER_hh_tes!W29/SER_hh_fec!W29)</f>
        <v>0.75726319867133229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0.62831017564830693</v>
      </c>
      <c r="C30" s="137">
        <f>IF(SER_hh_tes!C30=0,"",SER_hh_tes!C30/SER_hh_fec!C30)</f>
        <v>0.63131154123853528</v>
      </c>
      <c r="D30" s="137">
        <f>IF(SER_hh_tes!D30=0,"",SER_hh_tes!D30/SER_hh_fec!D30)</f>
        <v>0.63254943953774423</v>
      </c>
      <c r="E30" s="137">
        <f>IF(SER_hh_tes!E30=0,"",SER_hh_tes!E30/SER_hh_fec!E30)</f>
        <v>0.63300616552330979</v>
      </c>
      <c r="F30" s="137">
        <f>IF(SER_hh_tes!F30=0,"",SER_hh_tes!F30/SER_hh_fec!F30)</f>
        <v>0.63338042682235318</v>
      </c>
      <c r="G30" s="137">
        <f>IF(SER_hh_tes!G30=0,"",SER_hh_tes!G30/SER_hh_fec!G30)</f>
        <v>0.63359949462976861</v>
      </c>
      <c r="H30" s="137">
        <f>IF(SER_hh_tes!H30=0,"",SER_hh_tes!H30/SER_hh_fec!H30)</f>
        <v>0.63381002796169728</v>
      </c>
      <c r="I30" s="137">
        <f>IF(SER_hh_tes!I30=0,"",SER_hh_tes!I30/SER_hh_fec!I30)</f>
        <v>0.63386960643764412</v>
      </c>
      <c r="J30" s="137">
        <f>IF(SER_hh_tes!J30=0,"",SER_hh_tes!J30/SER_hh_fec!J30)</f>
        <v>0.63386960643764423</v>
      </c>
      <c r="K30" s="137">
        <f>IF(SER_hh_tes!K30=0,"",SER_hh_tes!K30/SER_hh_fec!K30)</f>
        <v>0.6345734842205073</v>
      </c>
      <c r="L30" s="137">
        <f>IF(SER_hh_tes!L30=0,"",SER_hh_tes!L30/SER_hh_fec!L30)</f>
        <v>0.63538019607840734</v>
      </c>
      <c r="M30" s="137">
        <f>IF(SER_hh_tes!M30=0,"",SER_hh_tes!M30/SER_hh_fec!M30)</f>
        <v>0.63537964794213009</v>
      </c>
      <c r="N30" s="137">
        <f>IF(SER_hh_tes!N30=0,"",SER_hh_tes!N30/SER_hh_fec!N30)</f>
        <v>0.63559037770992266</v>
      </c>
      <c r="O30" s="137">
        <f>IF(SER_hh_tes!O30=0,"",SER_hh_tes!O30/SER_hh_fec!O30)</f>
        <v>0.63605813999310434</v>
      </c>
      <c r="P30" s="137">
        <f>IF(SER_hh_tes!P30=0,"",SER_hh_tes!P30/SER_hh_fec!P30)</f>
        <v>0.63642350966598105</v>
      </c>
      <c r="Q30" s="137">
        <f>IF(SER_hh_tes!Q30=0,"",SER_hh_tes!Q30/SER_hh_fec!Q30)</f>
        <v>0.63653969591051884</v>
      </c>
      <c r="R30" s="137">
        <f>IF(SER_hh_tes!R30=0,"",SER_hh_tes!R30/SER_hh_fec!R30)</f>
        <v>0.63661519882217255</v>
      </c>
      <c r="S30" s="137">
        <f>IF(SER_hh_tes!S30=0,"",SER_hh_tes!S30/SER_hh_fec!S30)</f>
        <v>0.63661519882217277</v>
      </c>
      <c r="T30" s="137">
        <f>IF(SER_hh_tes!T30=0,"",SER_hh_tes!T30/SER_hh_fec!T30)</f>
        <v>0.63661519882217299</v>
      </c>
      <c r="U30" s="137">
        <f>IF(SER_hh_tes!U30=0,"",SER_hh_tes!U30/SER_hh_fec!U30)</f>
        <v>0.63661684143633146</v>
      </c>
      <c r="V30" s="137">
        <f>IF(SER_hh_tes!V30=0,"",SER_hh_tes!V30/SER_hh_fec!V30)</f>
        <v>0.63662580928178403</v>
      </c>
      <c r="W30" s="137">
        <f>IF(SER_hh_tes!W30=0,"",SER_hh_tes!W30/SER_hh_fec!W30)</f>
        <v>0.63665355395234069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0.63162396826114253</v>
      </c>
      <c r="C31" s="137">
        <f>IF(SER_hh_tes!C31=0,"",SER_hh_tes!C31/SER_hh_fec!C31)</f>
        <v>0.6321525131596738</v>
      </c>
      <c r="D31" s="137">
        <f>IF(SER_hh_tes!D31=0,"",SER_hh_tes!D31/SER_hh_fec!D31)</f>
        <v>0.63235167324903241</v>
      </c>
      <c r="E31" s="137">
        <f>IF(SER_hh_tes!E31=0,"",SER_hh_tes!E31/SER_hh_fec!E31)</f>
        <v>0.63270636700619054</v>
      </c>
      <c r="F31" s="137">
        <f>IF(SER_hh_tes!F31=0,"",SER_hh_tes!F31/SER_hh_fec!F31)</f>
        <v>0.63373379617124359</v>
      </c>
      <c r="G31" s="137">
        <f>IF(SER_hh_tes!G31=0,"",SER_hh_tes!G31/SER_hh_fec!G31)</f>
        <v>0.63470576704360904</v>
      </c>
      <c r="H31" s="137">
        <f>IF(SER_hh_tes!H31=0,"",SER_hh_tes!H31/SER_hh_fec!H31)</f>
        <v>0.63598435069063586</v>
      </c>
      <c r="I31" s="137">
        <f>IF(SER_hh_tes!I31=0,"",SER_hh_tes!I31/SER_hh_fec!I31)</f>
        <v>0.63709925832870584</v>
      </c>
      <c r="J31" s="137">
        <f>IF(SER_hh_tes!J31=0,"",SER_hh_tes!J31/SER_hh_fec!J31)</f>
        <v>0.63801363655136667</v>
      </c>
      <c r="K31" s="137">
        <f>IF(SER_hh_tes!K31=0,"",SER_hh_tes!K31/SER_hh_fec!K31)</f>
        <v>0.63887343213743331</v>
      </c>
      <c r="L31" s="137">
        <f>IF(SER_hh_tes!L31=0,"",SER_hh_tes!L31/SER_hh_fec!L31)</f>
        <v>0.63943846771463164</v>
      </c>
      <c r="M31" s="137">
        <f>IF(SER_hh_tes!M31=0,"",SER_hh_tes!M31/SER_hh_fec!M31)</f>
        <v>0.63949887684580176</v>
      </c>
      <c r="N31" s="137">
        <f>IF(SER_hh_tes!N31=0,"",SER_hh_tes!N31/SER_hh_fec!N31)</f>
        <v>0.63963422661911373</v>
      </c>
      <c r="O31" s="137">
        <f>IF(SER_hh_tes!O31=0,"",SER_hh_tes!O31/SER_hh_fec!O31)</f>
        <v>0.63979982388672563</v>
      </c>
      <c r="P31" s="137">
        <f>IF(SER_hh_tes!P31=0,"",SER_hh_tes!P31/SER_hh_fec!P31)</f>
        <v>0.63991770791056835</v>
      </c>
      <c r="Q31" s="137">
        <f>IF(SER_hh_tes!Q31=0,"",SER_hh_tes!Q31/SER_hh_fec!Q31)</f>
        <v>0.64002229071376837</v>
      </c>
      <c r="R31" s="137">
        <f>IF(SER_hh_tes!R31=0,"",SER_hh_tes!R31/SER_hh_fec!R31)</f>
        <v>0.64017850331741655</v>
      </c>
      <c r="S31" s="137">
        <f>IF(SER_hh_tes!S31=0,"",SER_hh_tes!S31/SER_hh_fec!S31)</f>
        <v>0.64034242007139275</v>
      </c>
      <c r="T31" s="137">
        <f>IF(SER_hh_tes!T31=0,"",SER_hh_tes!T31/SER_hh_fec!T31)</f>
        <v>0.64066505990220113</v>
      </c>
      <c r="U31" s="137">
        <f>IF(SER_hh_tes!U31=0,"",SER_hh_tes!U31/SER_hh_fec!U31)</f>
        <v>0.64118053493701144</v>
      </c>
      <c r="V31" s="137">
        <f>IF(SER_hh_tes!V31=0,"",SER_hh_tes!V31/SER_hh_fec!V31)</f>
        <v>0.6417007699354913</v>
      </c>
      <c r="W31" s="137">
        <f>IF(SER_hh_tes!W31=0,"",SER_hh_tes!W31/SER_hh_fec!W31)</f>
        <v>0.64216383093347229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0.82404900766989031</v>
      </c>
      <c r="C33" s="150">
        <f>IF(SER_hh_tes!C33=0,"",SER_hh_tes!C33/SER_hh_fec!C33)</f>
        <v>0.82404900766989031</v>
      </c>
      <c r="D33" s="150">
        <f>IF(SER_hh_tes!D33=0,"",SER_hh_tes!D33/SER_hh_fec!D33)</f>
        <v>0.82466410475424323</v>
      </c>
      <c r="E33" s="150">
        <f>IF(SER_hh_tes!E33=0,"",SER_hh_tes!E33/SER_hh_fec!E33)</f>
        <v>0.82874443126487318</v>
      </c>
      <c r="F33" s="150">
        <f>IF(SER_hh_tes!F33=0,"",SER_hh_tes!F33/SER_hh_fec!F33)</f>
        <v>0.83126778514396304</v>
      </c>
      <c r="G33" s="150">
        <f>IF(SER_hh_tes!G33=0,"",SER_hh_tes!G33/SER_hh_fec!G33)</f>
        <v>0.83520017341309205</v>
      </c>
      <c r="H33" s="150">
        <f>IF(SER_hh_tes!H33=0,"",SER_hh_tes!H33/SER_hh_fec!H33)</f>
        <v>0.83869214116804858</v>
      </c>
      <c r="I33" s="150">
        <f>IF(SER_hh_tes!I33=0,"",SER_hh_tes!I33/SER_hh_fec!I33)</f>
        <v>0.84175109130170311</v>
      </c>
      <c r="J33" s="150">
        <f>IF(SER_hh_tes!J33=0,"",SER_hh_tes!J33/SER_hh_fec!J33)</f>
        <v>0.84384488383551848</v>
      </c>
      <c r="K33" s="150">
        <f>IF(SER_hh_tes!K33=0,"",SER_hh_tes!K33/SER_hh_fec!K33)</f>
        <v>0.8454675941499189</v>
      </c>
      <c r="L33" s="150">
        <f>IF(SER_hh_tes!L33=0,"",SER_hh_tes!L33/SER_hh_fec!L33)</f>
        <v>0.84689264806628239</v>
      </c>
      <c r="M33" s="150">
        <f>IF(SER_hh_tes!M33=0,"",SER_hh_tes!M33/SER_hh_fec!M33)</f>
        <v>0.84748357860626133</v>
      </c>
      <c r="N33" s="150">
        <f>IF(SER_hh_tes!N33=0,"",SER_hh_tes!N33/SER_hh_fec!N33)</f>
        <v>0.84779560048532465</v>
      </c>
      <c r="O33" s="150">
        <f>IF(SER_hh_tes!O33=0,"",SER_hh_tes!O33/SER_hh_fec!O33)</f>
        <v>0.84832923038374219</v>
      </c>
      <c r="P33" s="150">
        <f>IF(SER_hh_tes!P33=0,"",SER_hh_tes!P33/SER_hh_fec!P33)</f>
        <v>0.84970619035214223</v>
      </c>
      <c r="Q33" s="150">
        <f>IF(SER_hh_tes!Q33=0,"",SER_hh_tes!Q33/SER_hh_fec!Q33)</f>
        <v>0.85342294289512965</v>
      </c>
      <c r="R33" s="150">
        <f>IF(SER_hh_tes!R33=0,"",SER_hh_tes!R33/SER_hh_fec!R33)</f>
        <v>0.85968697226392066</v>
      </c>
      <c r="S33" s="150">
        <f>IF(SER_hh_tes!S33=0,"",SER_hh_tes!S33/SER_hh_fec!S33)</f>
        <v>0.86933020450311704</v>
      </c>
      <c r="T33" s="150">
        <f>IF(SER_hh_tes!T33=0,"",SER_hh_tes!T33/SER_hh_fec!T33)</f>
        <v>0.87888056992386709</v>
      </c>
      <c r="U33" s="150">
        <f>IF(SER_hh_tes!U33=0,"",SER_hh_tes!U33/SER_hh_fec!U33)</f>
        <v>0.88761893838046479</v>
      </c>
      <c r="V33" s="150">
        <f>IF(SER_hh_tes!V33=0,"",SER_hh_tes!V33/SER_hh_fec!V33)</f>
        <v>0.89497709806622361</v>
      </c>
      <c r="W33" s="150">
        <f>IF(SER_hh_tes!W33=0,"",SER_hh_tes!W33/SER_hh_fec!W33)</f>
        <v>0.90160627761405288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4054.8531122214908</v>
      </c>
      <c r="C3" s="126">
        <f t="shared" si="0"/>
        <v>2459.5985339574254</v>
      </c>
      <c r="D3" s="126">
        <f t="shared" si="0"/>
        <v>2087.4551687608246</v>
      </c>
      <c r="E3" s="126">
        <f t="shared" si="0"/>
        <v>1404.8136995503373</v>
      </c>
      <c r="F3" s="126">
        <f t="shared" si="0"/>
        <v>1517.7539092107606</v>
      </c>
      <c r="G3" s="126">
        <f t="shared" si="0"/>
        <v>2419.1108524471479</v>
      </c>
      <c r="H3" s="126">
        <f t="shared" si="0"/>
        <v>2797.6826905003004</v>
      </c>
      <c r="I3" s="126">
        <f t="shared" si="0"/>
        <v>2829.3177185742134</v>
      </c>
      <c r="J3" s="126">
        <f t="shared" si="0"/>
        <v>3097.1372629281004</v>
      </c>
      <c r="K3" s="126">
        <f t="shared" si="0"/>
        <v>3512.1257787511167</v>
      </c>
      <c r="L3" s="126">
        <f t="shared" si="0"/>
        <v>3208.2093014665065</v>
      </c>
      <c r="M3" s="126">
        <f t="shared" si="0"/>
        <v>2198.0452721007609</v>
      </c>
      <c r="N3" s="126">
        <f t="shared" si="0"/>
        <v>1950.8580498685892</v>
      </c>
      <c r="O3" s="126">
        <f t="shared" si="0"/>
        <v>2540.7433180086027</v>
      </c>
      <c r="P3" s="126">
        <f t="shared" si="0"/>
        <v>1721.5913675539186</v>
      </c>
      <c r="Q3" s="126">
        <f t="shared" si="0"/>
        <v>1785.283737211957</v>
      </c>
      <c r="R3" s="126">
        <f t="shared" ref="R3:W3" si="1">SUM(R4,R16,R19,R29)</f>
        <v>1523.0348623112739</v>
      </c>
      <c r="S3" s="126">
        <f t="shared" si="1"/>
        <v>1687.3162511125415</v>
      </c>
      <c r="T3" s="126">
        <f t="shared" si="1"/>
        <v>1503.2105663874404</v>
      </c>
      <c r="U3" s="126">
        <f t="shared" si="1"/>
        <v>1508.7099283691343</v>
      </c>
      <c r="V3" s="126">
        <f t="shared" si="1"/>
        <v>1101.7144663613051</v>
      </c>
      <c r="W3" s="126">
        <f t="shared" si="1"/>
        <v>1653.3262269381175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3875.2993944292621</v>
      </c>
      <c r="C4" s="131">
        <f t="shared" si="2"/>
        <v>2235.906149181505</v>
      </c>
      <c r="D4" s="131">
        <f t="shared" si="2"/>
        <v>1806.0559766590659</v>
      </c>
      <c r="E4" s="131">
        <f t="shared" si="2"/>
        <v>1131.2003793227375</v>
      </c>
      <c r="F4" s="131">
        <f t="shared" si="2"/>
        <v>1249.8327807095932</v>
      </c>
      <c r="G4" s="131">
        <f t="shared" si="2"/>
        <v>2162.0770287726177</v>
      </c>
      <c r="H4" s="131">
        <f t="shared" si="2"/>
        <v>2529.1530246915777</v>
      </c>
      <c r="I4" s="131">
        <f t="shared" si="2"/>
        <v>2575.8583217364076</v>
      </c>
      <c r="J4" s="131">
        <f t="shared" si="2"/>
        <v>2851.674379599026</v>
      </c>
      <c r="K4" s="131">
        <f t="shared" si="2"/>
        <v>3244.9193388976737</v>
      </c>
      <c r="L4" s="131">
        <f t="shared" si="2"/>
        <v>2915.2206471505951</v>
      </c>
      <c r="M4" s="131">
        <f t="shared" si="2"/>
        <v>1965.1646654361073</v>
      </c>
      <c r="N4" s="131">
        <f t="shared" si="2"/>
        <v>1653.6432323583504</v>
      </c>
      <c r="O4" s="131">
        <f t="shared" si="2"/>
        <v>2206.5702133795962</v>
      </c>
      <c r="P4" s="131">
        <f t="shared" si="2"/>
        <v>1377.6772023654401</v>
      </c>
      <c r="Q4" s="131">
        <f t="shared" si="2"/>
        <v>1428.853537095918</v>
      </c>
      <c r="R4" s="131">
        <f t="shared" ref="R4:W4" si="3">SUM(R5:R15)</f>
        <v>1193.0326710325885</v>
      </c>
      <c r="S4" s="131">
        <f t="shared" si="3"/>
        <v>1384.2616713976931</v>
      </c>
      <c r="T4" s="131">
        <f t="shared" si="3"/>
        <v>1233.0838787401381</v>
      </c>
      <c r="U4" s="131">
        <f t="shared" si="3"/>
        <v>1265.4609158950834</v>
      </c>
      <c r="V4" s="131">
        <f t="shared" si="3"/>
        <v>926.23346434365556</v>
      </c>
      <c r="W4" s="131">
        <f t="shared" si="3"/>
        <v>1375.2929027419998</v>
      </c>
      <c r="DA4" s="156" t="s">
        <v>233</v>
      </c>
    </row>
    <row r="5" spans="1:105" ht="12" customHeight="1" x14ac:dyDescent="0.25">
      <c r="A5" s="132" t="s">
        <v>29</v>
      </c>
      <c r="B5" s="133">
        <v>792.23743803264563</v>
      </c>
      <c r="C5" s="133">
        <v>620.24488347434362</v>
      </c>
      <c r="D5" s="133">
        <v>813.81728270898532</v>
      </c>
      <c r="E5" s="133">
        <v>143.83588709653174</v>
      </c>
      <c r="F5" s="133">
        <v>536.86270754617169</v>
      </c>
      <c r="G5" s="133">
        <v>122.23077274875324</v>
      </c>
      <c r="H5" s="133">
        <v>313.085179106532</v>
      </c>
      <c r="I5" s="133">
        <v>603.3983338233179</v>
      </c>
      <c r="J5" s="133">
        <v>892.61608409805922</v>
      </c>
      <c r="K5" s="133">
        <v>2032.2560471842955</v>
      </c>
      <c r="L5" s="133">
        <v>1105.750567200005</v>
      </c>
      <c r="M5" s="133">
        <v>1292.120479059018</v>
      </c>
      <c r="N5" s="133">
        <v>329.62268699496258</v>
      </c>
      <c r="O5" s="133">
        <v>645.01617211200471</v>
      </c>
      <c r="P5" s="133">
        <v>394.82784560798387</v>
      </c>
      <c r="Q5" s="133">
        <v>413.20590587012413</v>
      </c>
      <c r="R5" s="133">
        <v>210.10581827360809</v>
      </c>
      <c r="S5" s="133">
        <v>259.75329899678792</v>
      </c>
      <c r="T5" s="133">
        <v>303.25354773805611</v>
      </c>
      <c r="U5" s="133">
        <v>458.2848962370262</v>
      </c>
      <c r="V5" s="133">
        <v>187.82992644013612</v>
      </c>
      <c r="W5" s="133">
        <v>267.59995614285555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18.93978396</v>
      </c>
      <c r="C7" s="133">
        <v>152.22348</v>
      </c>
      <c r="D7" s="133">
        <v>96.85803276</v>
      </c>
      <c r="E7" s="133">
        <v>33.371967240000011</v>
      </c>
      <c r="F7" s="133">
        <v>87.592592520000011</v>
      </c>
      <c r="G7" s="133">
        <v>92.105764559999983</v>
      </c>
      <c r="H7" s="133">
        <v>57.560163840000016</v>
      </c>
      <c r="I7" s="133">
        <v>3.1861814399999999</v>
      </c>
      <c r="J7" s="133">
        <v>12.745259280000004</v>
      </c>
      <c r="K7" s="133">
        <v>34.674505920000023</v>
      </c>
      <c r="L7" s="133">
        <v>0</v>
      </c>
      <c r="M7" s="133">
        <v>0</v>
      </c>
      <c r="N7" s="133">
        <v>0</v>
      </c>
      <c r="O7" s="133">
        <v>3.1144230000000013</v>
      </c>
      <c r="P7" s="133">
        <v>15.530233679999998</v>
      </c>
      <c r="Q7" s="133">
        <v>18.72841932</v>
      </c>
      <c r="R7" s="133">
        <v>12.484634760000004</v>
      </c>
      <c r="S7" s="133">
        <v>9.3648765600000026</v>
      </c>
      <c r="T7" s="133">
        <v>6.2411169599999967</v>
      </c>
      <c r="U7" s="133">
        <v>15.602525640000007</v>
      </c>
      <c r="V7" s="133">
        <v>9.3558067200000039</v>
      </c>
      <c r="W7" s="133">
        <v>9.5588110799999999</v>
      </c>
      <c r="DA7" s="157" t="s">
        <v>359</v>
      </c>
    </row>
    <row r="8" spans="1:105" ht="12" customHeight="1" x14ac:dyDescent="0.25">
      <c r="A8" s="132" t="s">
        <v>73</v>
      </c>
      <c r="B8" s="133">
        <v>3.5021347281639775E-2</v>
      </c>
      <c r="C8" s="133">
        <v>4.5375669213898552E-2</v>
      </c>
      <c r="D8" s="133">
        <v>6.1543947798394179E-2</v>
      </c>
      <c r="E8" s="133">
        <v>9.1007823243097391E-2</v>
      </c>
      <c r="F8" s="133">
        <v>0.1146733890016163</v>
      </c>
      <c r="G8" s="133">
        <v>0.13170542639228525</v>
      </c>
      <c r="H8" s="133">
        <v>0.14622227693664847</v>
      </c>
      <c r="I8" s="133">
        <v>0.148671000045767</v>
      </c>
      <c r="J8" s="133">
        <v>0.14949694695186713</v>
      </c>
      <c r="K8" s="133">
        <v>0.16400809851353887</v>
      </c>
      <c r="L8" s="133">
        <v>0.18739586134124966</v>
      </c>
      <c r="M8" s="133">
        <v>0.24284318846145589</v>
      </c>
      <c r="N8" s="133">
        <v>0.26907814782592687</v>
      </c>
      <c r="O8" s="133">
        <v>0.40429556751651496</v>
      </c>
      <c r="P8" s="133">
        <v>0.45670193418385724</v>
      </c>
      <c r="Q8" s="133">
        <v>0.52598179117784694</v>
      </c>
      <c r="R8" s="133">
        <v>0.48040243972136992</v>
      </c>
      <c r="S8" s="133">
        <v>0.48873232593903093</v>
      </c>
      <c r="T8" s="133">
        <v>0.48248000945561603</v>
      </c>
      <c r="U8" s="133">
        <v>0.45038674430826531</v>
      </c>
      <c r="V8" s="133">
        <v>0.56809361237006084</v>
      </c>
      <c r="W8" s="133">
        <v>0.66676610574574369</v>
      </c>
      <c r="DA8" s="157" t="s">
        <v>360</v>
      </c>
    </row>
    <row r="9" spans="1:105" ht="12" customHeight="1" x14ac:dyDescent="0.25">
      <c r="A9" s="132" t="s">
        <v>78</v>
      </c>
      <c r="B9" s="133">
        <v>3063.228979489335</v>
      </c>
      <c r="C9" s="133">
        <v>1443.0314284843962</v>
      </c>
      <c r="D9" s="133">
        <v>895.319117242282</v>
      </c>
      <c r="E9" s="133">
        <v>953.90151716296259</v>
      </c>
      <c r="F9" s="133">
        <v>625.26280725441984</v>
      </c>
      <c r="G9" s="133">
        <v>1947.6087860374723</v>
      </c>
      <c r="H9" s="133">
        <v>2158.3614594681089</v>
      </c>
      <c r="I9" s="133">
        <v>1969.1251354730439</v>
      </c>
      <c r="J9" s="133">
        <v>1929.4276582527314</v>
      </c>
      <c r="K9" s="133">
        <v>1149.7128047457998</v>
      </c>
      <c r="L9" s="133">
        <v>1779.2130976630228</v>
      </c>
      <c r="M9" s="133">
        <v>652.6697051742857</v>
      </c>
      <c r="N9" s="133">
        <v>1289.3556493731203</v>
      </c>
      <c r="O9" s="133">
        <v>1549.67554130959</v>
      </c>
      <c r="P9" s="133">
        <v>884.32977086032975</v>
      </c>
      <c r="Q9" s="133">
        <v>947.68836639809615</v>
      </c>
      <c r="R9" s="133">
        <v>963.14149056056067</v>
      </c>
      <c r="S9" s="133">
        <v>1077.1313153540793</v>
      </c>
      <c r="T9" s="133">
        <v>922.31874842200898</v>
      </c>
      <c r="U9" s="133">
        <v>746.76776994215459</v>
      </c>
      <c r="V9" s="133">
        <v>682.31163247034931</v>
      </c>
      <c r="W9" s="133">
        <v>1044.3974606122586</v>
      </c>
      <c r="DA9" s="157" t="s">
        <v>361</v>
      </c>
    </row>
    <row r="10" spans="1:105" ht="12" customHeight="1" x14ac:dyDescent="0.25">
      <c r="A10" s="132" t="s">
        <v>128</v>
      </c>
      <c r="B10" s="133">
        <v>0.8581715999999997</v>
      </c>
      <c r="C10" s="133">
        <v>20.360981553551305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16.735881021283554</v>
      </c>
      <c r="K10" s="133">
        <v>28.111972949064921</v>
      </c>
      <c r="L10" s="133">
        <v>30.069586426225943</v>
      </c>
      <c r="M10" s="133">
        <v>20.131638014342379</v>
      </c>
      <c r="N10" s="133">
        <v>34.395817842441495</v>
      </c>
      <c r="O10" s="133">
        <v>8.3597813904847449</v>
      </c>
      <c r="P10" s="133">
        <v>82.53265028294247</v>
      </c>
      <c r="Q10" s="133">
        <v>48.704863716519974</v>
      </c>
      <c r="R10" s="133">
        <v>6.8203249986983776</v>
      </c>
      <c r="S10" s="133">
        <v>37.523448160886701</v>
      </c>
      <c r="T10" s="133">
        <v>0.78798561061745342</v>
      </c>
      <c r="U10" s="133">
        <v>44.355337331594455</v>
      </c>
      <c r="V10" s="133">
        <v>46.168005100800038</v>
      </c>
      <c r="W10" s="133">
        <v>53.069908801140045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3.4061961755113369E-2</v>
      </c>
      <c r="C16" s="131">
        <f t="shared" si="4"/>
        <v>5.4341374022130629E-2</v>
      </c>
      <c r="D16" s="131">
        <f t="shared" si="4"/>
        <v>4.8841644665710587E-2</v>
      </c>
      <c r="E16" s="131">
        <f t="shared" si="4"/>
        <v>1.8945984402250572E-2</v>
      </c>
      <c r="F16" s="131">
        <f t="shared" si="4"/>
        <v>5.4681554979539665E-2</v>
      </c>
      <c r="G16" s="131">
        <f t="shared" si="4"/>
        <v>8.2206014025942256E-2</v>
      </c>
      <c r="H16" s="131">
        <f t="shared" si="4"/>
        <v>9.8743190135473516E-2</v>
      </c>
      <c r="I16" s="131">
        <f t="shared" si="4"/>
        <v>0.10768588103077124</v>
      </c>
      <c r="J16" s="131">
        <f t="shared" si="4"/>
        <v>0.11674507153000357</v>
      </c>
      <c r="K16" s="131">
        <f t="shared" si="4"/>
        <v>0.11637686721431828</v>
      </c>
      <c r="L16" s="131">
        <f t="shared" si="4"/>
        <v>0.13000228674400433</v>
      </c>
      <c r="M16" s="131">
        <f t="shared" si="4"/>
        <v>0.13836382620475757</v>
      </c>
      <c r="N16" s="131">
        <f t="shared" si="4"/>
        <v>0.16075578768488286</v>
      </c>
      <c r="O16" s="131">
        <f t="shared" si="4"/>
        <v>0.20045863914046819</v>
      </c>
      <c r="P16" s="131">
        <f t="shared" si="4"/>
        <v>0.2633992151670918</v>
      </c>
      <c r="Q16" s="131">
        <f t="shared" si="4"/>
        <v>0.35571270525908383</v>
      </c>
      <c r="R16" s="131">
        <f t="shared" ref="R16:W16" si="5">SUM(R17:R18)</f>
        <v>0.45639071987728941</v>
      </c>
      <c r="S16" s="131">
        <f t="shared" si="5"/>
        <v>0.54807033437932762</v>
      </c>
      <c r="T16" s="131">
        <f t="shared" si="5"/>
        <v>0.62625832985630847</v>
      </c>
      <c r="U16" s="131">
        <f t="shared" si="5"/>
        <v>0.69294897414443468</v>
      </c>
      <c r="V16" s="131">
        <f t="shared" si="5"/>
        <v>0.74689276444960695</v>
      </c>
      <c r="W16" s="131">
        <f t="shared" si="5"/>
        <v>0.79597987567401896</v>
      </c>
      <c r="DA16" s="156" t="s">
        <v>234</v>
      </c>
    </row>
    <row r="17" spans="1:105" ht="12.95" customHeight="1" x14ac:dyDescent="0.25">
      <c r="A17" s="132" t="s">
        <v>73</v>
      </c>
      <c r="B17" s="133">
        <v>3.4061961755113369E-2</v>
      </c>
      <c r="C17" s="133">
        <v>5.4341374022130629E-2</v>
      </c>
      <c r="D17" s="133">
        <v>4.8841644665710587E-2</v>
      </c>
      <c r="E17" s="133">
        <v>1.8945984402250572E-2</v>
      </c>
      <c r="F17" s="133">
        <v>5.4681554979539665E-2</v>
      </c>
      <c r="G17" s="133">
        <v>8.2206014025942256E-2</v>
      </c>
      <c r="H17" s="133">
        <v>9.8743190135473516E-2</v>
      </c>
      <c r="I17" s="133">
        <v>0.10768588103077124</v>
      </c>
      <c r="J17" s="133">
        <v>0.11674507153000357</v>
      </c>
      <c r="K17" s="133">
        <v>0.11637686721431828</v>
      </c>
      <c r="L17" s="133">
        <v>0.13000228674400433</v>
      </c>
      <c r="M17" s="133">
        <v>0.13836382620475757</v>
      </c>
      <c r="N17" s="133">
        <v>0.16075578768488286</v>
      </c>
      <c r="O17" s="133">
        <v>0.20045863914046819</v>
      </c>
      <c r="P17" s="133">
        <v>0.2633992151670918</v>
      </c>
      <c r="Q17" s="133">
        <v>0.35571270525908383</v>
      </c>
      <c r="R17" s="133">
        <v>0.45639071987728941</v>
      </c>
      <c r="S17" s="133">
        <v>0.54807033437932762</v>
      </c>
      <c r="T17" s="133">
        <v>0.62625832985630847</v>
      </c>
      <c r="U17" s="133">
        <v>0.69294897414443468</v>
      </c>
      <c r="V17" s="133">
        <v>0.74689276444960695</v>
      </c>
      <c r="W17" s="133">
        <v>0.79597987567401896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45.132400526867933</v>
      </c>
      <c r="C19" s="131">
        <f t="shared" si="6"/>
        <v>64.5587211017383</v>
      </c>
      <c r="D19" s="131">
        <f t="shared" si="6"/>
        <v>73.710819371152553</v>
      </c>
      <c r="E19" s="131">
        <f t="shared" si="6"/>
        <v>65.881279534638935</v>
      </c>
      <c r="F19" s="131">
        <f t="shared" si="6"/>
        <v>69.679644803806056</v>
      </c>
      <c r="G19" s="131">
        <f t="shared" si="6"/>
        <v>64.539504192772938</v>
      </c>
      <c r="H19" s="131">
        <f t="shared" si="6"/>
        <v>78.339635669549011</v>
      </c>
      <c r="I19" s="131">
        <f t="shared" si="6"/>
        <v>103.89854086657515</v>
      </c>
      <c r="J19" s="131">
        <f t="shared" si="6"/>
        <v>113.4091158701392</v>
      </c>
      <c r="K19" s="131">
        <f t="shared" si="6"/>
        <v>117.71698238871353</v>
      </c>
      <c r="L19" s="131">
        <f t="shared" si="6"/>
        <v>123.76733819916888</v>
      </c>
      <c r="M19" s="131">
        <f t="shared" si="6"/>
        <v>124.75190604875853</v>
      </c>
      <c r="N19" s="131">
        <f t="shared" si="6"/>
        <v>150.18753008369265</v>
      </c>
      <c r="O19" s="131">
        <f t="shared" si="6"/>
        <v>165.56951366271238</v>
      </c>
      <c r="P19" s="131">
        <f t="shared" si="6"/>
        <v>171.45638519920197</v>
      </c>
      <c r="Q19" s="131">
        <f t="shared" si="6"/>
        <v>176.42200189424915</v>
      </c>
      <c r="R19" s="131">
        <f t="shared" ref="R19:W19" si="7">SUM(R20:R27)</f>
        <v>153.06104182546576</v>
      </c>
      <c r="S19" s="131">
        <f t="shared" si="7"/>
        <v>146.65068364495909</v>
      </c>
      <c r="T19" s="131">
        <f t="shared" si="7"/>
        <v>128.23355179415185</v>
      </c>
      <c r="U19" s="131">
        <f t="shared" si="7"/>
        <v>125.74532174956541</v>
      </c>
      <c r="V19" s="131">
        <f t="shared" si="7"/>
        <v>71.451164473963118</v>
      </c>
      <c r="W19" s="131">
        <f t="shared" si="7"/>
        <v>115.8962625841438</v>
      </c>
      <c r="DA19" s="156" t="s">
        <v>235</v>
      </c>
    </row>
    <row r="20" spans="1:105" ht="12" customHeight="1" x14ac:dyDescent="0.25">
      <c r="A20" s="132" t="s">
        <v>29</v>
      </c>
      <c r="B20" s="133">
        <v>30.845618348844077</v>
      </c>
      <c r="C20" s="133">
        <v>25.096139889529962</v>
      </c>
      <c r="D20" s="133">
        <v>24.213557091838666</v>
      </c>
      <c r="E20" s="133">
        <v>15.134964733805377</v>
      </c>
      <c r="F20" s="133">
        <v>12.801803904588862</v>
      </c>
      <c r="G20" s="133">
        <v>5.3707541783950461</v>
      </c>
      <c r="H20" s="133">
        <v>14.664868513768015</v>
      </c>
      <c r="I20" s="133">
        <v>29.957153790895507</v>
      </c>
      <c r="J20" s="133">
        <v>36.991547568756623</v>
      </c>
      <c r="K20" s="133">
        <v>42.49870221775663</v>
      </c>
      <c r="L20" s="133">
        <v>40.176997840275355</v>
      </c>
      <c r="M20" s="133">
        <v>41.95483406740037</v>
      </c>
      <c r="N20" s="133">
        <v>41.725544071185112</v>
      </c>
      <c r="O20" s="133">
        <v>42.08050102611373</v>
      </c>
      <c r="P20" s="133">
        <v>43.680267982992284</v>
      </c>
      <c r="Q20" s="133">
        <v>48.634189265313282</v>
      </c>
      <c r="R20" s="133">
        <v>24.662288558967894</v>
      </c>
      <c r="S20" s="133">
        <v>29.740743114866905</v>
      </c>
      <c r="T20" s="133">
        <v>31.632976718766209</v>
      </c>
      <c r="U20" s="133">
        <v>44.303536480513458</v>
      </c>
      <c r="V20" s="133">
        <v>17.289865020368286</v>
      </c>
      <c r="W20" s="133">
        <v>23.190532474120875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372</v>
      </c>
    </row>
    <row r="23" spans="1:105" ht="12" customHeight="1" x14ac:dyDescent="0.25">
      <c r="A23" s="132" t="s">
        <v>153</v>
      </c>
      <c r="B23" s="133">
        <v>14.286782178023856</v>
      </c>
      <c r="C23" s="133">
        <v>39.462581212208342</v>
      </c>
      <c r="D23" s="133">
        <v>49.497262279313894</v>
      </c>
      <c r="E23" s="133">
        <v>50.746314800833559</v>
      </c>
      <c r="F23" s="133">
        <v>56.877840899217198</v>
      </c>
      <c r="G23" s="133">
        <v>59.168750014377885</v>
      </c>
      <c r="H23" s="133">
        <v>63.674767155780991</v>
      </c>
      <c r="I23" s="133">
        <v>73.941387075679643</v>
      </c>
      <c r="J23" s="133">
        <v>76.417568301382573</v>
      </c>
      <c r="K23" s="133">
        <v>75.218280170956902</v>
      </c>
      <c r="L23" s="133">
        <v>83.590340358893528</v>
      </c>
      <c r="M23" s="133">
        <v>82.797071981358158</v>
      </c>
      <c r="N23" s="133">
        <v>108.46198601250752</v>
      </c>
      <c r="O23" s="133">
        <v>123.48901263659866</v>
      </c>
      <c r="P23" s="133">
        <v>127.7761172162097</v>
      </c>
      <c r="Q23" s="133">
        <v>127.78781262893585</v>
      </c>
      <c r="R23" s="133">
        <v>128.39875326649786</v>
      </c>
      <c r="S23" s="133">
        <v>116.90994053009217</v>
      </c>
      <c r="T23" s="133">
        <v>96.600575075385635</v>
      </c>
      <c r="U23" s="133">
        <v>81.441785269051948</v>
      </c>
      <c r="V23" s="133">
        <v>54.161299453594829</v>
      </c>
      <c r="W23" s="133">
        <v>92.705730110022927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134.3872553036058</v>
      </c>
      <c r="C29" s="131">
        <f t="shared" si="8"/>
        <v>159.07932230015993</v>
      </c>
      <c r="D29" s="131">
        <f t="shared" si="8"/>
        <v>207.63953108594004</v>
      </c>
      <c r="E29" s="131">
        <f t="shared" si="8"/>
        <v>207.71309470855851</v>
      </c>
      <c r="F29" s="131">
        <f t="shared" si="8"/>
        <v>198.18680214238179</v>
      </c>
      <c r="G29" s="131">
        <f t="shared" si="8"/>
        <v>192.41211346773127</v>
      </c>
      <c r="H29" s="131">
        <f t="shared" si="8"/>
        <v>190.09128694903836</v>
      </c>
      <c r="I29" s="131">
        <f t="shared" si="8"/>
        <v>149.45317009019988</v>
      </c>
      <c r="J29" s="131">
        <f t="shared" si="8"/>
        <v>131.93702238740457</v>
      </c>
      <c r="K29" s="131">
        <f t="shared" si="8"/>
        <v>149.37308059751496</v>
      </c>
      <c r="L29" s="131">
        <f t="shared" si="8"/>
        <v>169.09131382999848</v>
      </c>
      <c r="M29" s="131">
        <f t="shared" si="8"/>
        <v>107.99033678969037</v>
      </c>
      <c r="N29" s="131">
        <f t="shared" si="8"/>
        <v>146.86653163886149</v>
      </c>
      <c r="O29" s="131">
        <f t="shared" si="8"/>
        <v>168.40313232715386</v>
      </c>
      <c r="P29" s="131">
        <f t="shared" si="8"/>
        <v>172.19438077410945</v>
      </c>
      <c r="Q29" s="131">
        <f t="shared" si="8"/>
        <v>179.65248551653076</v>
      </c>
      <c r="R29" s="131">
        <f t="shared" ref="R29:W29" si="9">SUM(R30:R33)</f>
        <v>176.48475873334223</v>
      </c>
      <c r="S29" s="131">
        <f t="shared" si="9"/>
        <v>155.85582573550991</v>
      </c>
      <c r="T29" s="131">
        <f t="shared" si="9"/>
        <v>141.26687752329426</v>
      </c>
      <c r="U29" s="131">
        <f t="shared" si="9"/>
        <v>116.81074175034105</v>
      </c>
      <c r="V29" s="131">
        <f t="shared" si="9"/>
        <v>103.2829447792367</v>
      </c>
      <c r="W29" s="131">
        <f t="shared" si="9"/>
        <v>161.34108173629977</v>
      </c>
      <c r="DA29" s="156" t="s">
        <v>236</v>
      </c>
    </row>
    <row r="30" spans="1:105" ht="12" customHeight="1" x14ac:dyDescent="0.25">
      <c r="A30" s="132" t="s">
        <v>52</v>
      </c>
      <c r="B30" s="133">
        <v>17.419310280000005</v>
      </c>
      <c r="C30" s="133">
        <v>46.441499040000004</v>
      </c>
      <c r="D30" s="133">
        <v>98.688526200000027</v>
      </c>
      <c r="E30" s="133">
        <v>107.39625048000002</v>
      </c>
      <c r="F30" s="133">
        <v>119.00662524000003</v>
      </c>
      <c r="G30" s="133">
        <v>84.17550095999998</v>
      </c>
      <c r="H30" s="133">
        <v>72.564899039999972</v>
      </c>
      <c r="I30" s="133">
        <v>23.220749519999998</v>
      </c>
      <c r="J30" s="133">
        <v>5.8053009600000003</v>
      </c>
      <c r="K30" s="133">
        <v>29.026050480000002</v>
      </c>
      <c r="L30" s="133">
        <v>52.246799999999986</v>
      </c>
      <c r="M30" s="133">
        <v>5.8053009600000012</v>
      </c>
      <c r="N30" s="133">
        <v>31.928700959999986</v>
      </c>
      <c r="O30" s="133">
        <v>29.026050479999995</v>
      </c>
      <c r="P30" s="133">
        <v>26.123400000000018</v>
      </c>
      <c r="Q30" s="133">
        <v>20.318099040000003</v>
      </c>
      <c r="R30" s="133">
        <v>17.415675720000003</v>
      </c>
      <c r="S30" s="133">
        <v>8.707724279999999</v>
      </c>
      <c r="T30" s="133">
        <v>11.610374759999992</v>
      </c>
      <c r="U30" s="133">
        <v>8.707724279999999</v>
      </c>
      <c r="V30" s="133">
        <v>5.8053009600000003</v>
      </c>
      <c r="W30" s="133">
        <v>5.8053009600000003</v>
      </c>
      <c r="DA30" s="157" t="s">
        <v>378</v>
      </c>
    </row>
    <row r="31" spans="1:105" ht="12" customHeight="1" x14ac:dyDescent="0.25">
      <c r="A31" s="132" t="s">
        <v>153</v>
      </c>
      <c r="B31" s="133">
        <v>116.96794502360579</v>
      </c>
      <c r="C31" s="133">
        <v>112.63782326015993</v>
      </c>
      <c r="D31" s="133">
        <v>108.95100488594001</v>
      </c>
      <c r="E31" s="133">
        <v>100.31684422855851</v>
      </c>
      <c r="F31" s="133">
        <v>79.180176902381746</v>
      </c>
      <c r="G31" s="133">
        <v>108.23661250773131</v>
      </c>
      <c r="H31" s="133">
        <v>117.52638790903838</v>
      </c>
      <c r="I31" s="133">
        <v>126.23242057019989</v>
      </c>
      <c r="J31" s="133">
        <v>126.13172142740457</v>
      </c>
      <c r="K31" s="133">
        <v>120.34703011751495</v>
      </c>
      <c r="L31" s="133">
        <v>116.84451382999849</v>
      </c>
      <c r="M31" s="133">
        <v>102.18503582969038</v>
      </c>
      <c r="N31" s="133">
        <v>114.93783067886152</v>
      </c>
      <c r="O31" s="133">
        <v>139.37708184715385</v>
      </c>
      <c r="P31" s="133">
        <v>146.07098077410942</v>
      </c>
      <c r="Q31" s="133">
        <v>159.33438647653077</v>
      </c>
      <c r="R31" s="133">
        <v>159.06908301334224</v>
      </c>
      <c r="S31" s="133">
        <v>147.1481014555099</v>
      </c>
      <c r="T31" s="133">
        <v>129.65650276329427</v>
      </c>
      <c r="U31" s="133">
        <v>108.10301747034106</v>
      </c>
      <c r="V31" s="133">
        <v>97.477643819236704</v>
      </c>
      <c r="W31" s="133">
        <v>155.53578077629976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816884.73328179296</v>
      </c>
      <c r="C3" s="126">
        <f>IF(SER_hh_fec!C3=0,0,11630*1000*SER_hh_fec!C3/SER_hh_num!C3)</f>
        <v>606680.84178751893</v>
      </c>
      <c r="D3" s="126">
        <f>IF(SER_hh_fec!D3=0,0,11630*1000*SER_hh_fec!D3/SER_hh_num!D3)</f>
        <v>531083.64642551308</v>
      </c>
      <c r="E3" s="126">
        <f>IF(SER_hh_fec!E3=0,0,11630*1000*SER_hh_fec!E3/SER_hh_num!E3)</f>
        <v>421357.74073009635</v>
      </c>
      <c r="F3" s="126">
        <f>IF(SER_hh_fec!F3=0,0,11630*1000*SER_hh_fec!F3/SER_hh_num!F3)</f>
        <v>458394.26358502125</v>
      </c>
      <c r="G3" s="126">
        <f>IF(SER_hh_fec!G3=0,0,11630*1000*SER_hh_fec!G3/SER_hh_num!G3)</f>
        <v>553815.25728414638</v>
      </c>
      <c r="H3" s="126">
        <f>IF(SER_hh_fec!H3=0,0,11630*1000*SER_hh_fec!H3/SER_hh_num!H3)</f>
        <v>566267.24562340963</v>
      </c>
      <c r="I3" s="126">
        <f>IF(SER_hh_fec!I3=0,0,11630*1000*SER_hh_fec!I3/SER_hh_num!I3)</f>
        <v>529873.86106925318</v>
      </c>
      <c r="J3" s="126">
        <f>IF(SER_hh_fec!J3=0,0,11630*1000*SER_hh_fec!J3/SER_hh_num!J3)</f>
        <v>531221.07396859024</v>
      </c>
      <c r="K3" s="126">
        <f>IF(SER_hh_fec!K3=0,0,11630*1000*SER_hh_fec!K3/SER_hh_num!K3)</f>
        <v>532849.71771053737</v>
      </c>
      <c r="L3" s="126">
        <f>IF(SER_hh_fec!L3=0,0,11630*1000*SER_hh_fec!L3/SER_hh_num!L3)</f>
        <v>567478.88242557237</v>
      </c>
      <c r="M3" s="126">
        <f>IF(SER_hh_fec!M3=0,0,11630*1000*SER_hh_fec!M3/SER_hh_num!M3)</f>
        <v>409697.42734491185</v>
      </c>
      <c r="N3" s="126">
        <f>IF(SER_hh_fec!N3=0,0,11630*1000*SER_hh_fec!N3/SER_hh_num!N3)</f>
        <v>361426.2610025513</v>
      </c>
      <c r="O3" s="126">
        <f>IF(SER_hh_fec!O3=0,0,11630*1000*SER_hh_fec!O3/SER_hh_num!O3)</f>
        <v>432479.22875878896</v>
      </c>
      <c r="P3" s="126">
        <f>IF(SER_hh_fec!P3=0,0,11630*1000*SER_hh_fec!P3/SER_hh_num!P3)</f>
        <v>289478.27337735583</v>
      </c>
      <c r="Q3" s="126">
        <f>IF(SER_hh_fec!Q3=0,0,11630*1000*SER_hh_fec!Q3/SER_hh_num!Q3)</f>
        <v>301348.17475762265</v>
      </c>
      <c r="R3" s="126">
        <f>IF(SER_hh_fec!R3=0,0,11630*1000*SER_hh_fec!R3/SER_hh_num!R3)</f>
        <v>299868.27864312264</v>
      </c>
      <c r="S3" s="126">
        <f>IF(SER_hh_fec!S3=0,0,11630*1000*SER_hh_fec!S3/SER_hh_num!S3)</f>
        <v>326269.54718316172</v>
      </c>
      <c r="T3" s="126">
        <f>IF(SER_hh_fec!T3=0,0,11630*1000*SER_hh_fec!T3/SER_hh_num!T3)</f>
        <v>290815.98660960066</v>
      </c>
      <c r="U3" s="126">
        <f>IF(SER_hh_fec!U3=0,0,11630*1000*SER_hh_fec!U3/SER_hh_num!U3)</f>
        <v>259198.70009562263</v>
      </c>
      <c r="V3" s="126">
        <f>IF(SER_hh_fec!V3=0,0,11630*1000*SER_hh_fec!V3/SER_hh_num!V3)</f>
        <v>224460.6209934779</v>
      </c>
      <c r="W3" s="126">
        <f>IF(SER_hh_fec!W3=0,0,11630*1000*SER_hh_fec!W3/SER_hh_num!W3)</f>
        <v>298015.19565349852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738679.37092309364</v>
      </c>
      <c r="C4" s="131">
        <f>IF(SER_hh_fec!C4=0,0,11630*1000*SER_hh_fec!C4/SER_hh_num!C4)</f>
        <v>527743.73976081947</v>
      </c>
      <c r="D4" s="131">
        <f>IF(SER_hh_fec!D4=0,0,11630*1000*SER_hh_fec!D4/SER_hh_num!D4)</f>
        <v>448904.60930317058</v>
      </c>
      <c r="E4" s="131">
        <f>IF(SER_hh_fec!E4=0,0,11630*1000*SER_hh_fec!E4/SER_hh_num!E4)</f>
        <v>338917.47640553076</v>
      </c>
      <c r="F4" s="131">
        <f>IF(SER_hh_fec!F4=0,0,11630*1000*SER_hh_fec!F4/SER_hh_num!F4)</f>
        <v>376746.43010545382</v>
      </c>
      <c r="G4" s="131">
        <f>IF(SER_hh_fec!G4=0,0,11630*1000*SER_hh_fec!G4/SER_hh_num!G4)</f>
        <v>470684.87031994364</v>
      </c>
      <c r="H4" s="131">
        <f>IF(SER_hh_fec!H4=0,0,11630*1000*SER_hh_fec!H4/SER_hh_num!H4)</f>
        <v>483253.60617511027</v>
      </c>
      <c r="I4" s="131">
        <f>IF(SER_hh_fec!I4=0,0,11630*1000*SER_hh_fec!I4/SER_hh_num!I4)</f>
        <v>450074.52834528551</v>
      </c>
      <c r="J4" s="131">
        <f>IF(SER_hh_fec!J4=0,0,11630*1000*SER_hh_fec!J4/SER_hh_num!J4)</f>
        <v>453380.35076821956</v>
      </c>
      <c r="K4" s="131">
        <f>IF(SER_hh_fec!K4=0,0,11630*1000*SER_hh_fec!K4/SER_hh_num!K4)</f>
        <v>452526.33082823543</v>
      </c>
      <c r="L4" s="131">
        <f>IF(SER_hh_fec!L4=0,0,11630*1000*SER_hh_fec!L4/SER_hh_num!L4)</f>
        <v>487256.2008359069</v>
      </c>
      <c r="M4" s="131">
        <f>IF(SER_hh_fec!M4=0,0,11630*1000*SER_hh_fec!M4/SER_hh_num!M4)</f>
        <v>332272.56869930576</v>
      </c>
      <c r="N4" s="131">
        <f>IF(SER_hh_fec!N4=0,0,11630*1000*SER_hh_fec!N4/SER_hh_num!N4)</f>
        <v>281961.18253335269</v>
      </c>
      <c r="O4" s="131">
        <f>IF(SER_hh_fec!O4=0,0,11630*1000*SER_hh_fec!O4/SER_hh_num!O4)</f>
        <v>352889.50532251585</v>
      </c>
      <c r="P4" s="131">
        <f>IF(SER_hh_fec!P4=0,0,11630*1000*SER_hh_fec!P4/SER_hh_num!P4)</f>
        <v>209983.84879626252</v>
      </c>
      <c r="Q4" s="131">
        <f>IF(SER_hh_fec!Q4=0,0,11630*1000*SER_hh_fec!Q4/SER_hh_num!Q4)</f>
        <v>221812.24823452419</v>
      </c>
      <c r="R4" s="131">
        <f>IF(SER_hh_fec!R4=0,0,11630*1000*SER_hh_fec!R4/SER_hh_num!R4)</f>
        <v>221955.83015445832</v>
      </c>
      <c r="S4" s="131">
        <f>IF(SER_hh_fec!S4=0,0,11630*1000*SER_hh_fec!S4/SER_hh_num!S4)</f>
        <v>249897.36221219125</v>
      </c>
      <c r="T4" s="131">
        <f>IF(SER_hh_fec!T4=0,0,11630*1000*SER_hh_fec!T4/SER_hh_num!T4)</f>
        <v>216954.82980918523</v>
      </c>
      <c r="U4" s="131">
        <f>IF(SER_hh_fec!U4=0,0,11630*1000*SER_hh_fec!U4/SER_hh_num!U4)</f>
        <v>187954.0993796527</v>
      </c>
      <c r="V4" s="131">
        <f>IF(SER_hh_fec!V4=0,0,11630*1000*SER_hh_fec!V4/SER_hh_num!V4)</f>
        <v>161294.84690439657</v>
      </c>
      <c r="W4" s="131">
        <f>IF(SER_hh_fec!W4=0,0,11630*1000*SER_hh_fec!W4/SER_hh_num!W4)</f>
        <v>227348.67156569185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633936.42017259868</v>
      </c>
      <c r="C5" s="133">
        <f>IF(SER_hh_fec!C5=0,0,11630*1000*SER_hh_fec!C5/SER_hh_num!C5)</f>
        <v>530074.20004679298</v>
      </c>
      <c r="D5" s="133">
        <f>IF(SER_hh_fec!D5=0,0,11630*1000*SER_hh_fec!D5/SER_hh_num!D5)</f>
        <v>703007.97098774882</v>
      </c>
      <c r="E5" s="133">
        <f>IF(SER_hh_fec!E5=0,0,11630*1000*SER_hh_fec!E5/SER_hh_num!E5)</f>
        <v>168242.08833717604</v>
      </c>
      <c r="F5" s="133">
        <f>IF(SER_hh_fec!F5=0,0,11630*1000*SER_hh_fec!F5/SER_hh_num!F5)</f>
        <v>659415.75545484701</v>
      </c>
      <c r="G5" s="133">
        <f>IF(SER_hh_fec!G5=0,0,11630*1000*SER_hh_fec!G5/SER_hh_num!G5)</f>
        <v>153846.92405773397</v>
      </c>
      <c r="H5" s="133">
        <f>IF(SER_hh_fec!H5=0,0,11630*1000*SER_hh_fec!H5/SER_hh_num!H5)</f>
        <v>364582.05807654536</v>
      </c>
      <c r="I5" s="133">
        <f>IF(SER_hh_fec!I5=0,0,11630*1000*SER_hh_fec!I5/SER_hh_num!I5)</f>
        <v>410539.66222223826</v>
      </c>
      <c r="J5" s="133">
        <f>IF(SER_hh_fec!J5=0,0,11630*1000*SER_hh_fec!J5/SER_hh_num!J5)</f>
        <v>418431.15002523985</v>
      </c>
      <c r="K5" s="133">
        <f>IF(SER_hh_fec!K5=0,0,11630*1000*SER_hh_fec!K5/SER_hh_num!K5)</f>
        <v>749397.12120706739</v>
      </c>
      <c r="L5" s="133">
        <f>IF(SER_hh_fec!L5=0,0,11630*1000*SER_hh_fec!L5/SER_hh_num!L5)</f>
        <v>407041.08866018226</v>
      </c>
      <c r="M5" s="133">
        <f>IF(SER_hh_fec!M5=0,0,11630*1000*SER_hh_fec!M5/SER_hh_num!M5)</f>
        <v>471519.71248205699</v>
      </c>
      <c r="N5" s="133">
        <f>IF(SER_hh_fec!N5=0,0,11630*1000*SER_hh_fec!N5/SER_hh_num!N5)</f>
        <v>175972.19052009005</v>
      </c>
      <c r="O5" s="133">
        <f>IF(SER_hh_fec!O5=0,0,11630*1000*SER_hh_fec!O5/SER_hh_num!O5)</f>
        <v>365415.99913289578</v>
      </c>
      <c r="P5" s="133">
        <f>IF(SER_hh_fec!P5=0,0,11630*1000*SER_hh_fec!P5/SER_hh_num!P5)</f>
        <v>252143.41184346468</v>
      </c>
      <c r="Q5" s="133">
        <f>IF(SER_hh_fec!Q5=0,0,11630*1000*SER_hh_fec!Q5/SER_hh_num!Q5)</f>
        <v>276459.39203015552</v>
      </c>
      <c r="R5" s="133">
        <f>IF(SER_hh_fec!R5=0,0,11630*1000*SER_hh_fec!R5/SER_hh_num!R5)</f>
        <v>180665.87779157</v>
      </c>
      <c r="S5" s="133">
        <f>IF(SER_hh_fec!S5=0,0,11630*1000*SER_hh_fec!S5/SER_hh_num!S5)</f>
        <v>222131.32247108303</v>
      </c>
      <c r="T5" s="133">
        <f>IF(SER_hh_fec!T5=0,0,11630*1000*SER_hh_fec!T5/SER_hh_num!T5)</f>
        <v>234298.70128927752</v>
      </c>
      <c r="U5" s="133">
        <f>IF(SER_hh_fec!U5=0,0,11630*1000*SER_hh_fec!U5/SER_hh_num!U5)</f>
        <v>338795.11928879214</v>
      </c>
      <c r="V5" s="133">
        <f>IF(SER_hh_fec!V5=0,0,11630*1000*SER_hh_fec!V5/SER_hh_num!V5)</f>
        <v>137601.88366124529</v>
      </c>
      <c r="W5" s="133">
        <f>IF(SER_hh_fec!W5=0,0,11630*1000*SER_hh_fec!W5/SER_hh_num!W5)</f>
        <v>215967.68398066284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106323.8661800433</v>
      </c>
      <c r="C7" s="133">
        <f>IF(SER_hh_fec!C7=0,0,11630*1000*SER_hh_fec!C7/SER_hh_num!C7)</f>
        <v>903114.24055065657</v>
      </c>
      <c r="D7" s="133">
        <f>IF(SER_hh_fec!D7=0,0,11630*1000*SER_hh_fec!D7/SER_hh_num!D7)</f>
        <v>638264.76318305614</v>
      </c>
      <c r="E7" s="133">
        <f>IF(SER_hh_fec!E7=0,0,11630*1000*SER_hh_fec!E7/SER_hh_num!E7)</f>
        <v>234102.59462749638</v>
      </c>
      <c r="F7" s="133">
        <f>IF(SER_hh_fec!F7=0,0,11630*1000*SER_hh_fec!F7/SER_hh_num!F7)</f>
        <v>615557.91211289389</v>
      </c>
      <c r="G7" s="133">
        <f>IF(SER_hh_fec!G7=0,0,11630*1000*SER_hh_fec!G7/SER_hh_num!G7)</f>
        <v>734288.990818116</v>
      </c>
      <c r="H7" s="133">
        <f>IF(SER_hh_fec!H7=0,0,11630*1000*SER_hh_fec!H7/SER_hh_num!H7)</f>
        <v>626149.38068432431</v>
      </c>
      <c r="I7" s="133">
        <f>IF(SER_hh_fec!I7=0,0,11630*1000*SER_hh_fec!I7/SER_hh_num!I7)</f>
        <v>66473.676888486923</v>
      </c>
      <c r="J7" s="133">
        <f>IF(SER_hh_fec!J7=0,0,11630*1000*SER_hh_fec!J7/SER_hh_num!J7)</f>
        <v>410654.32745347085</v>
      </c>
      <c r="K7" s="133">
        <f>IF(SER_hh_fec!K7=0,0,11630*1000*SER_hh_fec!K7/SER_hh_num!K7)</f>
        <v>1214968.2644252637</v>
      </c>
      <c r="L7" s="133">
        <f>IF(SER_hh_fec!L7=0,0,11630*1000*SER_hh_fec!L7/SER_hh_num!L7)</f>
        <v>0</v>
      </c>
      <c r="M7" s="133">
        <f>IF(SER_hh_fec!M7=0,0,11630*1000*SER_hh_fec!M7/SER_hh_num!M7)</f>
        <v>0</v>
      </c>
      <c r="N7" s="133">
        <f>IF(SER_hh_fec!N7=0,0,11630*1000*SER_hh_fec!N7/SER_hh_num!N7)</f>
        <v>0</v>
      </c>
      <c r="O7" s="133">
        <f>IF(SER_hh_fec!O7=0,0,11630*1000*SER_hh_fec!O7/SER_hh_num!O7)</f>
        <v>113324.14278620275</v>
      </c>
      <c r="P7" s="133">
        <f>IF(SER_hh_fec!P7=0,0,11630*1000*SER_hh_fec!P7/SER_hh_num!P7)</f>
        <v>281115.90249483328</v>
      </c>
      <c r="Q7" s="133">
        <f>IF(SER_hh_fec!Q7=0,0,11630*1000*SER_hh_fec!Q7/SER_hh_num!Q7)</f>
        <v>284799.01637304691</v>
      </c>
      <c r="R7" s="133">
        <f>IF(SER_hh_fec!R7=0,0,11630*1000*SER_hh_fec!R7/SER_hh_num!R7)</f>
        <v>190034.00436914375</v>
      </c>
      <c r="S7" s="133">
        <f>IF(SER_hh_fec!S7=0,0,11630*1000*SER_hh_fec!S7/SER_hh_num!S7)</f>
        <v>150711.04739483181</v>
      </c>
      <c r="T7" s="133">
        <f>IF(SER_hh_fec!T7=0,0,11630*1000*SER_hh_fec!T7/SER_hh_num!T7)</f>
        <v>103930.05523735826</v>
      </c>
      <c r="U7" s="133">
        <f>IF(SER_hh_fec!U7=0,0,11630*1000*SER_hh_fec!U7/SER_hh_num!U7)</f>
        <v>268670.91832607449</v>
      </c>
      <c r="V7" s="133">
        <f>IF(SER_hh_fec!V7=0,0,11630*1000*SER_hh_fec!V7/SER_hh_num!V7)</f>
        <v>158023.24801350888</v>
      </c>
      <c r="W7" s="133">
        <f>IF(SER_hh_fec!W7=0,0,11630*1000*SER_hh_fec!W7/SER_hh_num!W7)</f>
        <v>161468.37511964611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313371.94006590411</v>
      </c>
      <c r="C8" s="133">
        <f>IF(SER_hh_fec!C8=0,0,11630*1000*SER_hh_fec!C8/SER_hh_num!C8)</f>
        <v>281147.17830349068</v>
      </c>
      <c r="D8" s="133">
        <f>IF(SER_hh_fec!D8=0,0,11630*1000*SER_hh_fec!D8/SER_hh_num!D8)</f>
        <v>207838.48113379505</v>
      </c>
      <c r="E8" s="133">
        <f>IF(SER_hh_fec!E8=0,0,11630*1000*SER_hh_fec!E8/SER_hh_num!E8)</f>
        <v>208675.87502916396</v>
      </c>
      <c r="F8" s="133">
        <f>IF(SER_hh_fec!F8=0,0,11630*1000*SER_hh_fec!F8/SER_hh_num!F8)</f>
        <v>220550.39661085937</v>
      </c>
      <c r="G8" s="133">
        <f>IF(SER_hh_fec!G8=0,0,11630*1000*SER_hh_fec!G8/SER_hh_num!G8)</f>
        <v>227371.28008759543</v>
      </c>
      <c r="H8" s="133">
        <f>IF(SER_hh_fec!H8=0,0,11630*1000*SER_hh_fec!H8/SER_hh_num!H8)</f>
        <v>237398.55929741057</v>
      </c>
      <c r="I8" s="133">
        <f>IF(SER_hh_fec!I8=0,0,11630*1000*SER_hh_fec!I8/SER_hh_num!I8)</f>
        <v>224466.33341782136</v>
      </c>
      <c r="J8" s="133">
        <f>IF(SER_hh_fec!J8=0,0,11630*1000*SER_hh_fec!J8/SER_hh_num!J8)</f>
        <v>209677.60760147902</v>
      </c>
      <c r="K8" s="133">
        <f>IF(SER_hh_fec!K8=0,0,11630*1000*SER_hh_fec!K8/SER_hh_num!K8)</f>
        <v>190166.38858145502</v>
      </c>
      <c r="L8" s="133">
        <f>IF(SER_hh_fec!L8=0,0,11630*1000*SER_hh_fec!L8/SER_hh_num!L8)</f>
        <v>157445.35059804429</v>
      </c>
      <c r="M8" s="133">
        <f>IF(SER_hh_fec!M8=0,0,11630*1000*SER_hh_fec!M8/SER_hh_num!M8)</f>
        <v>137331.59615592097</v>
      </c>
      <c r="N8" s="133">
        <f>IF(SER_hh_fec!N8=0,0,11630*1000*SER_hh_fec!N8/SER_hh_num!N8)</f>
        <v>99105.701737188123</v>
      </c>
      <c r="O8" s="133">
        <f>IF(SER_hh_fec!O8=0,0,11630*1000*SER_hh_fec!O8/SER_hh_num!O8)</f>
        <v>101580.13909508521</v>
      </c>
      <c r="P8" s="133">
        <f>IF(SER_hh_fec!P8=0,0,11630*1000*SER_hh_fec!P8/SER_hh_num!P8)</f>
        <v>82430.442878706279</v>
      </c>
      <c r="Q8" s="133">
        <f>IF(SER_hh_fec!Q8=0,0,11630*1000*SER_hh_fec!Q8/SER_hh_num!Q8)</f>
        <v>84458.767002043562</v>
      </c>
      <c r="R8" s="133">
        <f>IF(SER_hh_fec!R8=0,0,11630*1000*SER_hh_fec!R8/SER_hh_num!R8)</f>
        <v>74767.580497021117</v>
      </c>
      <c r="S8" s="133">
        <f>IF(SER_hh_fec!S8=0,0,11630*1000*SER_hh_fec!S8/SER_hh_num!S8)</f>
        <v>74223.051854962061</v>
      </c>
      <c r="T8" s="133">
        <f>IF(SER_hh_fec!T8=0,0,11630*1000*SER_hh_fec!T8/SER_hh_num!T8)</f>
        <v>68731.476189739798</v>
      </c>
      <c r="U8" s="133">
        <f>IF(SER_hh_fec!U8=0,0,11630*1000*SER_hh_fec!U8/SER_hh_num!U8)</f>
        <v>56959.023620789616</v>
      </c>
      <c r="V8" s="133">
        <f>IF(SER_hh_fec!V8=0,0,11630*1000*SER_hh_fec!V8/SER_hh_num!V8)</f>
        <v>60161.297780825975</v>
      </c>
      <c r="W8" s="133">
        <f>IF(SER_hh_fec!W8=0,0,11630*1000*SER_hh_fec!W8/SER_hh_num!W8)</f>
        <v>63029.968435118994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976937.5475817814</v>
      </c>
      <c r="C9" s="133">
        <f>IF(SER_hh_fec!C9=0,0,11630*1000*SER_hh_fec!C9/SER_hh_num!C9)</f>
        <v>570582.82991677732</v>
      </c>
      <c r="D9" s="133">
        <f>IF(SER_hh_fec!D9=0,0,11630*1000*SER_hh_fec!D9/SER_hh_num!D9)</f>
        <v>428347.72942470893</v>
      </c>
      <c r="E9" s="133">
        <f>IF(SER_hh_fec!E9=0,0,11630*1000*SER_hh_fec!E9/SER_hh_num!E9)</f>
        <v>451221.60641342233</v>
      </c>
      <c r="F9" s="133">
        <f>IF(SER_hh_fec!F9=0,0,11630*1000*SER_hh_fec!F9/SER_hh_num!F9)</f>
        <v>266530.95384179312</v>
      </c>
      <c r="G9" s="133">
        <f>IF(SER_hh_fec!G9=0,0,11630*1000*SER_hh_fec!G9/SER_hh_num!G9)</f>
        <v>636464.96329779481</v>
      </c>
      <c r="H9" s="133">
        <f>IF(SER_hh_fec!H9=0,0,11630*1000*SER_hh_fec!H9/SER_hh_num!H9)</f>
        <v>585429.8684449041</v>
      </c>
      <c r="I9" s="133">
        <f>IF(SER_hh_fec!I9=0,0,11630*1000*SER_hh_fec!I9/SER_hh_num!I9)</f>
        <v>504058.83725119627</v>
      </c>
      <c r="J9" s="133">
        <f>IF(SER_hh_fec!J9=0,0,11630*1000*SER_hh_fec!J9/SER_hh_num!J9)</f>
        <v>522205.62668935867</v>
      </c>
      <c r="K9" s="133">
        <f>IF(SER_hh_fec!K9=0,0,11630*1000*SER_hh_fec!K9/SER_hh_num!K9)</f>
        <v>370625.20103328937</v>
      </c>
      <c r="L9" s="133">
        <f>IF(SER_hh_fec!L9=0,0,11630*1000*SER_hh_fec!L9/SER_hh_num!L9)</f>
        <v>589523.87574167748</v>
      </c>
      <c r="M9" s="133">
        <f>IF(SER_hh_fec!M9=0,0,11630*1000*SER_hh_fec!M9/SER_hh_num!M9)</f>
        <v>220041.2668426829</v>
      </c>
      <c r="N9" s="133">
        <f>IF(SER_hh_fec!N9=0,0,11630*1000*SER_hh_fec!N9/SER_hh_num!N9)</f>
        <v>351766.20782733691</v>
      </c>
      <c r="O9" s="133">
        <f>IF(SER_hh_fec!O9=0,0,11630*1000*SER_hh_fec!O9/SER_hh_num!O9)</f>
        <v>399654.7737070733</v>
      </c>
      <c r="P9" s="133">
        <f>IF(SER_hh_fec!P9=0,0,11630*1000*SER_hh_fec!P9/SER_hh_num!P9)</f>
        <v>223732.87648190738</v>
      </c>
      <c r="Q9" s="133">
        <f>IF(SER_hh_fec!Q9=0,0,11630*1000*SER_hh_fec!Q9/SER_hh_num!Q9)</f>
        <v>247135.3858260971</v>
      </c>
      <c r="R9" s="133">
        <f>IF(SER_hh_fec!R9=0,0,11630*1000*SER_hh_fec!R9/SER_hh_num!R9)</f>
        <v>240259.66373995595</v>
      </c>
      <c r="S9" s="133">
        <f>IF(SER_hh_fec!S9=0,0,11630*1000*SER_hh_fec!S9/SER_hh_num!S9)</f>
        <v>270417.44138586475</v>
      </c>
      <c r="T9" s="133">
        <f>IF(SER_hh_fec!T9=0,0,11630*1000*SER_hh_fec!T9/SER_hh_num!T9)</f>
        <v>233888.27091865442</v>
      </c>
      <c r="U9" s="133">
        <f>IF(SER_hh_fec!U9=0,0,11630*1000*SER_hh_fec!U9/SER_hh_num!U9)</f>
        <v>184700.16997150658</v>
      </c>
      <c r="V9" s="133">
        <f>IF(SER_hh_fec!V9=0,0,11630*1000*SER_hh_fec!V9/SER_hh_num!V9)</f>
        <v>168682.17658527431</v>
      </c>
      <c r="W9" s="133">
        <f>IF(SER_hh_fec!W9=0,0,11630*1000*SER_hh_fec!W9/SER_hh_num!W9)</f>
        <v>252951.25740033077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8698.0564429146216</v>
      </c>
      <c r="C10" s="133">
        <f>IF(SER_hh_fec!C10=0,0,11630*1000*SER_hh_fec!C10/SER_hh_num!C10)</f>
        <v>1111728.9385244499</v>
      </c>
      <c r="D10" s="133">
        <f>IF(SER_hh_fec!D10=0,0,11630*1000*SER_hh_fec!D10/SER_hh_num!D10)</f>
        <v>380340.71788143757</v>
      </c>
      <c r="E10" s="133">
        <f>IF(SER_hh_fec!E10=0,0,11630*1000*SER_hh_fec!E10/SER_hh_num!E10)</f>
        <v>422727.44857565383</v>
      </c>
      <c r="F10" s="133">
        <f>IF(SER_hh_fec!F10=0,0,11630*1000*SER_hh_fec!F10/SER_hh_num!F10)</f>
        <v>592141.61688521877</v>
      </c>
      <c r="G10" s="133">
        <f>IF(SER_hh_fec!G10=0,0,11630*1000*SER_hh_fec!G10/SER_hh_num!G10)</f>
        <v>281368.14901839913</v>
      </c>
      <c r="H10" s="133">
        <f>IF(SER_hh_fec!H10=0,0,11630*1000*SER_hh_fec!H10/SER_hh_num!H10)</f>
        <v>210415.9939139552</v>
      </c>
      <c r="I10" s="133">
        <f>IF(SER_hh_fec!I10=0,0,11630*1000*SER_hh_fec!I10/SER_hh_num!I10)</f>
        <v>87201.297179297486</v>
      </c>
      <c r="J10" s="133">
        <f>IF(SER_hh_fec!J10=0,0,11630*1000*SER_hh_fec!J10/SER_hh_num!J10)</f>
        <v>641675.31075048307</v>
      </c>
      <c r="K10" s="133">
        <f>IF(SER_hh_fec!K10=0,0,11630*1000*SER_hh_fec!K10/SER_hh_num!K10)</f>
        <v>664258.13038442261</v>
      </c>
      <c r="L10" s="133">
        <f>IF(SER_hh_fec!L10=0,0,11630*1000*SER_hh_fec!L10/SER_hh_num!L10)</f>
        <v>607265.08685885335</v>
      </c>
      <c r="M10" s="133">
        <f>IF(SER_hh_fec!M10=0,0,11630*1000*SER_hh_fec!M10/SER_hh_num!M10)</f>
        <v>312668.98340995156</v>
      </c>
      <c r="N10" s="133">
        <f>IF(SER_hh_fec!N10=0,0,11630*1000*SER_hh_fec!N10/SER_hh_num!N10)</f>
        <v>366800.65085783129</v>
      </c>
      <c r="O10" s="133">
        <f>IF(SER_hh_fec!O10=0,0,11630*1000*SER_hh_fec!O10/SER_hh_num!O10)</f>
        <v>199061.51496478752</v>
      </c>
      <c r="P10" s="133">
        <f>IF(SER_hh_fec!P10=0,0,11630*1000*SER_hh_fec!P10/SER_hh_num!P10)</f>
        <v>502482.83625505818</v>
      </c>
      <c r="Q10" s="133">
        <f>IF(SER_hh_fec!Q10=0,0,11630*1000*SER_hh_fec!Q10/SER_hh_num!Q10)</f>
        <v>285492.31110687269</v>
      </c>
      <c r="R10" s="133">
        <f>IF(SER_hh_fec!R10=0,0,11630*1000*SER_hh_fec!R10/SER_hh_num!R10)</f>
        <v>101876.87220101923</v>
      </c>
      <c r="S10" s="133">
        <f>IF(SER_hh_fec!S10=0,0,11630*1000*SER_hh_fec!S10/SER_hh_num!S10)</f>
        <v>337833.03351673717</v>
      </c>
      <c r="T10" s="133">
        <f>IF(SER_hh_fec!T10=0,0,11630*1000*SER_hh_fec!T10/SER_hh_num!T10)</f>
        <v>280480.21281423164</v>
      </c>
      <c r="U10" s="133">
        <f>IF(SER_hh_fec!U10=0,0,11630*1000*SER_hh_fec!U10/SER_hh_num!U10)</f>
        <v>257514.80710654231</v>
      </c>
      <c r="V10" s="133">
        <f>IF(SER_hh_fec!V10=0,0,11630*1000*SER_hh_fec!V10/SER_hh_num!V10)</f>
        <v>267552.51877272647</v>
      </c>
      <c r="W10" s="133">
        <f>IF(SER_hh_fec!W10=0,0,11630*1000*SER_hh_fec!W10/SER_hh_num!W10)</f>
        <v>289450.34172289207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504168.45522913756</v>
      </c>
      <c r="D11" s="133">
        <f>IF(SER_hh_fec!D11=0,0,11630*1000*SER_hh_fec!D11/SER_hh_num!D11)</f>
        <v>352928.81380429806</v>
      </c>
      <c r="E11" s="133">
        <f>IF(SER_hh_fec!E11=0,0,11630*1000*SER_hh_fec!E11/SER_hh_num!E11)</f>
        <v>312620.23734737025</v>
      </c>
      <c r="F11" s="133">
        <f>IF(SER_hh_fec!F11=0,0,11630*1000*SER_hh_fec!F11/SER_hh_num!F11)</f>
        <v>291204.27050168032</v>
      </c>
      <c r="G11" s="133">
        <f>IF(SER_hh_fec!G11=0,0,11630*1000*SER_hh_fec!G11/SER_hh_num!G11)</f>
        <v>328432.15038414416</v>
      </c>
      <c r="H11" s="133">
        <f>IF(SER_hh_fec!H11=0,0,11630*1000*SER_hh_fec!H11/SER_hh_num!H11)</f>
        <v>391403.37259532156</v>
      </c>
      <c r="I11" s="133">
        <f>IF(SER_hh_fec!I11=0,0,11630*1000*SER_hh_fec!I11/SER_hh_num!I11)</f>
        <v>365385.07929684821</v>
      </c>
      <c r="J11" s="133">
        <f>IF(SER_hh_fec!J11=0,0,11630*1000*SER_hh_fec!J11/SER_hh_num!J11)</f>
        <v>371183.07394386188</v>
      </c>
      <c r="K11" s="133">
        <f>IF(SER_hh_fec!K11=0,0,11630*1000*SER_hh_fec!K11/SER_hh_num!K11)</f>
        <v>365315.79921100073</v>
      </c>
      <c r="L11" s="133">
        <f>IF(SER_hh_fec!L11=0,0,11630*1000*SER_hh_fec!L11/SER_hh_num!L11)</f>
        <v>374284.35656447284</v>
      </c>
      <c r="M11" s="133">
        <f>IF(SER_hh_fec!M11=0,0,11630*1000*SER_hh_fec!M11/SER_hh_num!M11)</f>
        <v>302986.15572625695</v>
      </c>
      <c r="N11" s="133">
        <f>IF(SER_hh_fec!N11=0,0,11630*1000*SER_hh_fec!N11/SER_hh_num!N11)</f>
        <v>239629.90006039964</v>
      </c>
      <c r="O11" s="133">
        <f>IF(SER_hh_fec!O11=0,0,11630*1000*SER_hh_fec!O11/SER_hh_num!O11)</f>
        <v>272637.02271421358</v>
      </c>
      <c r="P11" s="133">
        <f>IF(SER_hh_fec!P11=0,0,11630*1000*SER_hh_fec!P11/SER_hh_num!P11)</f>
        <v>183930.22497877074</v>
      </c>
      <c r="Q11" s="133">
        <f>IF(SER_hh_fec!Q11=0,0,11630*1000*SER_hh_fec!Q11/SER_hh_num!Q11)</f>
        <v>188169.83570179774</v>
      </c>
      <c r="R11" s="133">
        <f>IF(SER_hh_fec!R11=0,0,11630*1000*SER_hh_fec!R11/SER_hh_num!R11)</f>
        <v>210082.56239743705</v>
      </c>
      <c r="S11" s="133">
        <f>IF(SER_hh_fec!S11=0,0,11630*1000*SER_hh_fec!S11/SER_hh_num!S11)</f>
        <v>207274.18573126631</v>
      </c>
      <c r="T11" s="133">
        <f>IF(SER_hh_fec!T11=0,0,11630*1000*SER_hh_fec!T11/SER_hh_num!T11)</f>
        <v>201886.61828478111</v>
      </c>
      <c r="U11" s="133">
        <f>IF(SER_hh_fec!U11=0,0,11630*1000*SER_hh_fec!U11/SER_hh_num!U11)</f>
        <v>244859.62684245332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499326.6468251379</v>
      </c>
      <c r="C12" s="133">
        <f>IF(SER_hh_fec!C12=0,0,11630*1000*SER_hh_fec!C12/SER_hh_num!C12)</f>
        <v>368982.33184218663</v>
      </c>
      <c r="D12" s="133">
        <f>IF(SER_hh_fec!D12=0,0,11630*1000*SER_hh_fec!D12/SER_hh_num!D12)</f>
        <v>359692.03338240611</v>
      </c>
      <c r="E12" s="133">
        <f>IF(SER_hh_fec!E12=0,0,11630*1000*SER_hh_fec!E12/SER_hh_num!E12)</f>
        <v>263339.95137617434</v>
      </c>
      <c r="F12" s="133">
        <f>IF(SER_hh_fec!F12=0,0,11630*1000*SER_hh_fec!F12/SER_hh_num!F12)</f>
        <v>395758.00193250342</v>
      </c>
      <c r="G12" s="133">
        <f>IF(SER_hh_fec!G12=0,0,11630*1000*SER_hh_fec!G12/SER_hh_num!G12)</f>
        <v>353066.49720089452</v>
      </c>
      <c r="H12" s="133">
        <f>IF(SER_hh_fec!H12=0,0,11630*1000*SER_hh_fec!H12/SER_hh_num!H12)</f>
        <v>350224.00351714884</v>
      </c>
      <c r="I12" s="133">
        <f>IF(SER_hh_fec!I12=0,0,11630*1000*SER_hh_fec!I12/SER_hh_num!I12)</f>
        <v>338549.34463749616</v>
      </c>
      <c r="J12" s="133">
        <f>IF(SER_hh_fec!J12=0,0,11630*1000*SER_hh_fec!J12/SER_hh_num!J12)</f>
        <v>343422.56052811269</v>
      </c>
      <c r="K12" s="133">
        <f>IF(SER_hh_fec!K12=0,0,11630*1000*SER_hh_fec!K12/SER_hh_num!K12)</f>
        <v>370634.3600967112</v>
      </c>
      <c r="L12" s="133">
        <f>IF(SER_hh_fec!L12=0,0,11630*1000*SER_hh_fec!L12/SER_hh_num!L12)</f>
        <v>408221.8922928478</v>
      </c>
      <c r="M12" s="133">
        <f>IF(SER_hh_fec!M12=0,0,11630*1000*SER_hh_fec!M12/SER_hh_num!M12)</f>
        <v>333972.74695740343</v>
      </c>
      <c r="N12" s="133">
        <f>IF(SER_hh_fec!N12=0,0,11630*1000*SER_hh_fec!N12/SER_hh_num!N12)</f>
        <v>237192.37581223325</v>
      </c>
      <c r="O12" s="133">
        <f>IF(SER_hh_fec!O12=0,0,11630*1000*SER_hh_fec!O12/SER_hh_num!O12)</f>
        <v>226168.28881371857</v>
      </c>
      <c r="P12" s="133">
        <f>IF(SER_hh_fec!P12=0,0,11630*1000*SER_hh_fec!P12/SER_hh_num!P12)</f>
        <v>135321.3125737606</v>
      </c>
      <c r="Q12" s="133">
        <f>IF(SER_hh_fec!Q12=0,0,11630*1000*SER_hh_fec!Q12/SER_hh_num!Q12)</f>
        <v>73264.277118848971</v>
      </c>
      <c r="R12" s="133">
        <f>IF(SER_hh_fec!R12=0,0,11630*1000*SER_hh_fec!R12/SER_hh_num!R12)</f>
        <v>249611.31720542541</v>
      </c>
      <c r="S12" s="133">
        <f>IF(SER_hh_fec!S12=0,0,11630*1000*SER_hh_fec!S12/SER_hh_num!S12)</f>
        <v>209232.90485292845</v>
      </c>
      <c r="T12" s="133">
        <f>IF(SER_hh_fec!T12=0,0,11630*1000*SER_hh_fec!T12/SER_hh_num!T12)</f>
        <v>181748.65774120827</v>
      </c>
      <c r="U12" s="133">
        <f>IF(SER_hh_fec!U12=0,0,11630*1000*SER_hh_fec!U12/SER_hh_num!U12)</f>
        <v>156833.0273595406</v>
      </c>
      <c r="V12" s="133">
        <f>IF(SER_hh_fec!V12=0,0,11630*1000*SER_hh_fec!V12/SER_hh_num!V12)</f>
        <v>146522.50432271033</v>
      </c>
      <c r="W12" s="133">
        <f>IF(SER_hh_fec!W12=0,0,11630*1000*SER_hh_fec!W12/SER_hh_num!W12)</f>
        <v>202994.99561031623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77384.020097775545</v>
      </c>
      <c r="C13" s="133">
        <f>IF(SER_hh_fec!C13=0,0,11630*1000*SER_hh_fec!C13/SER_hh_num!C13)</f>
        <v>216400.31318268881</v>
      </c>
      <c r="D13" s="133">
        <f>IF(SER_hh_fec!D13=0,0,11630*1000*SER_hh_fec!D13/SER_hh_num!D13)</f>
        <v>181659.55272082746</v>
      </c>
      <c r="E13" s="133">
        <f>IF(SER_hh_fec!E13=0,0,11630*1000*SER_hh_fec!E13/SER_hh_num!E13)</f>
        <v>144548.78408422772</v>
      </c>
      <c r="F13" s="133">
        <f>IF(SER_hh_fec!F13=0,0,11630*1000*SER_hh_fec!F13/SER_hh_num!F13)</f>
        <v>178272.76100149043</v>
      </c>
      <c r="G13" s="133">
        <f>IF(SER_hh_fec!G13=0,0,11630*1000*SER_hh_fec!G13/SER_hh_num!G13)</f>
        <v>165592.91142663188</v>
      </c>
      <c r="H13" s="133">
        <f>IF(SER_hh_fec!H13=0,0,11630*1000*SER_hh_fec!H13/SER_hh_num!H13)</f>
        <v>150246.72076824243</v>
      </c>
      <c r="I13" s="133">
        <f>IF(SER_hh_fec!I13=0,0,11630*1000*SER_hh_fec!I13/SER_hh_num!I13)</f>
        <v>163708.29995530687</v>
      </c>
      <c r="J13" s="133">
        <f>IF(SER_hh_fec!J13=0,0,11630*1000*SER_hh_fec!J13/SER_hh_num!J13)</f>
        <v>130265.19252853912</v>
      </c>
      <c r="K13" s="133">
        <f>IF(SER_hh_fec!K13=0,0,11630*1000*SER_hh_fec!K13/SER_hh_num!K13)</f>
        <v>113325.57526342075</v>
      </c>
      <c r="L13" s="133">
        <f>IF(SER_hh_fec!L13=0,0,11630*1000*SER_hh_fec!L13/SER_hh_num!L13)</f>
        <v>98499.281756653378</v>
      </c>
      <c r="M13" s="133">
        <f>IF(SER_hh_fec!M13=0,0,11630*1000*SER_hh_fec!M13/SER_hh_num!M13)</f>
        <v>99858.050842983197</v>
      </c>
      <c r="N13" s="133">
        <f>IF(SER_hh_fec!N13=0,0,11630*1000*SER_hh_fec!N13/SER_hh_num!N13)</f>
        <v>83458.942240107819</v>
      </c>
      <c r="O13" s="133">
        <f>IF(SER_hh_fec!O13=0,0,11630*1000*SER_hh_fec!O13/SER_hh_num!O13)</f>
        <v>62394.760609751233</v>
      </c>
      <c r="P13" s="133">
        <f>IF(SER_hh_fec!P13=0,0,11630*1000*SER_hh_fec!P13/SER_hh_num!P13)</f>
        <v>44921.512002314004</v>
      </c>
      <c r="Q13" s="133">
        <f>IF(SER_hh_fec!Q13=0,0,11630*1000*SER_hh_fec!Q13/SER_hh_num!Q13)</f>
        <v>64347.924647174288</v>
      </c>
      <c r="R13" s="133">
        <f>IF(SER_hh_fec!R13=0,0,11630*1000*SER_hh_fec!R13/SER_hh_num!R13)</f>
        <v>55901.352215820669</v>
      </c>
      <c r="S13" s="133">
        <f>IF(SER_hh_fec!S13=0,0,11630*1000*SER_hh_fec!S13/SER_hh_num!S13)</f>
        <v>54261.743722056715</v>
      </c>
      <c r="T13" s="133">
        <f>IF(SER_hh_fec!T13=0,0,11630*1000*SER_hh_fec!T13/SER_hh_num!T13)</f>
        <v>49274.499641845228</v>
      </c>
      <c r="U13" s="133">
        <f>IF(SER_hh_fec!U13=0,0,11630*1000*SER_hh_fec!U13/SER_hh_num!U13)</f>
        <v>40498.468698105447</v>
      </c>
      <c r="V13" s="133">
        <f>IF(SER_hh_fec!V13=0,0,11630*1000*SER_hh_fec!V13/SER_hh_num!V13)</f>
        <v>42817.168345301492</v>
      </c>
      <c r="W13" s="133">
        <f>IF(SER_hh_fec!W13=0,0,11630*1000*SER_hh_fec!W13/SER_hh_num!W13)</f>
        <v>47305.851990265954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361964.5566984035</v>
      </c>
      <c r="C14" s="65">
        <f>IF(SER_hh_fec!C14=0,0,11630*1000*SER_hh_fec!C14/SER_hh_num!C14)</f>
        <v>502452.00556693517</v>
      </c>
      <c r="D14" s="65">
        <f>IF(SER_hh_fec!D14=0,0,11630*1000*SER_hh_fec!D14/SER_hh_num!D14)</f>
        <v>431095.54738313076</v>
      </c>
      <c r="E14" s="65">
        <f>IF(SER_hh_fec!E14=0,0,11630*1000*SER_hh_fec!E14/SER_hh_num!E14)</f>
        <v>314283.50484627503</v>
      </c>
      <c r="F14" s="65">
        <f>IF(SER_hh_fec!F14=0,0,11630*1000*SER_hh_fec!F14/SER_hh_num!F14)</f>
        <v>412924.09842610435</v>
      </c>
      <c r="G14" s="65">
        <f>IF(SER_hh_fec!G14=0,0,11630*1000*SER_hh_fec!G14/SER_hh_num!G14)</f>
        <v>321276.22856022196</v>
      </c>
      <c r="H14" s="65">
        <f>IF(SER_hh_fec!H14=0,0,11630*1000*SER_hh_fec!H14/SER_hh_num!H14)</f>
        <v>358056.62762287981</v>
      </c>
      <c r="I14" s="65">
        <f>IF(SER_hh_fec!I14=0,0,11630*1000*SER_hh_fec!I14/SER_hh_num!I14)</f>
        <v>420670.33267510176</v>
      </c>
      <c r="J14" s="65">
        <f>IF(SER_hh_fec!J14=0,0,11630*1000*SER_hh_fec!J14/SER_hh_num!J14)</f>
        <v>378143.2375978874</v>
      </c>
      <c r="K14" s="65">
        <f>IF(SER_hh_fec!K14=0,0,11630*1000*SER_hh_fec!K14/SER_hh_num!K14)</f>
        <v>371333.52002559736</v>
      </c>
      <c r="L14" s="65">
        <f>IF(SER_hh_fec!L14=0,0,11630*1000*SER_hh_fec!L14/SER_hh_num!L14)</f>
        <v>430263.36306593794</v>
      </c>
      <c r="M14" s="65">
        <f>IF(SER_hh_fec!M14=0,0,11630*1000*SER_hh_fec!M14/SER_hh_num!M14)</f>
        <v>400778.04110040603</v>
      </c>
      <c r="N14" s="65">
        <f>IF(SER_hh_fec!N14=0,0,11630*1000*SER_hh_fec!N14/SER_hh_num!N14)</f>
        <v>224360.08671393749</v>
      </c>
      <c r="O14" s="65">
        <f>IF(SER_hh_fec!O14=0,0,11630*1000*SER_hh_fec!O14/SER_hh_num!O14)</f>
        <v>325842.29583912349</v>
      </c>
      <c r="P14" s="65">
        <f>IF(SER_hh_fec!P14=0,0,11630*1000*SER_hh_fec!P14/SER_hh_num!P14)</f>
        <v>182858.65864193297</v>
      </c>
      <c r="Q14" s="65">
        <f>IF(SER_hh_fec!Q14=0,0,11630*1000*SER_hh_fec!Q14/SER_hh_num!Q14)</f>
        <v>211824.48873911289</v>
      </c>
      <c r="R14" s="65">
        <f>IF(SER_hh_fec!R14=0,0,11630*1000*SER_hh_fec!R14/SER_hh_num!R14)</f>
        <v>211118.07526265</v>
      </c>
      <c r="S14" s="65">
        <f>IF(SER_hh_fec!S14=0,0,11630*1000*SER_hh_fec!S14/SER_hh_num!S14)</f>
        <v>245155.7828460465</v>
      </c>
      <c r="T14" s="65">
        <f>IF(SER_hh_fec!T14=0,0,11630*1000*SER_hh_fec!T14/SER_hh_num!T14)</f>
        <v>205140.45564572432</v>
      </c>
      <c r="U14" s="65">
        <f>IF(SER_hh_fec!U14=0,0,11630*1000*SER_hh_fec!U14/SER_hh_num!U14)</f>
        <v>158591.47223600381</v>
      </c>
      <c r="V14" s="65">
        <f>IF(SER_hh_fec!V14=0,0,11630*1000*SER_hh_fec!V14/SER_hh_num!V14)</f>
        <v>162739.5925672173</v>
      </c>
      <c r="W14" s="65">
        <f>IF(SER_hh_fec!W14=0,0,11630*1000*SER_hh_fec!W14/SER_hh_num!W14)</f>
        <v>210659.67108717773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7014.2725339322833</v>
      </c>
      <c r="C15" s="135">
        <f>IF(SER_hh_fec!C15=0,0,11630*1000*SER_hh_fec!C15/SER_hh_num!C15)</f>
        <v>4209.625278957993</v>
      </c>
      <c r="D15" s="135">
        <f>IF(SER_hh_fec!D15=0,0,11630*1000*SER_hh_fec!D15/SER_hh_num!D15)</f>
        <v>3162.49187858493</v>
      </c>
      <c r="E15" s="135">
        <f>IF(SER_hh_fec!E15=0,0,11630*1000*SER_hh_fec!E15/SER_hh_num!E15)</f>
        <v>2610.249460185159</v>
      </c>
      <c r="F15" s="135">
        <f>IF(SER_hh_fec!F15=0,0,11630*1000*SER_hh_fec!F15/SER_hh_num!F15)</f>
        <v>2242.0681137949264</v>
      </c>
      <c r="G15" s="135">
        <f>IF(SER_hh_fec!G15=0,0,11630*1000*SER_hh_fec!G15/SER_hh_num!G15)</f>
        <v>4203.3828164178531</v>
      </c>
      <c r="H15" s="135">
        <f>IF(SER_hh_fec!H15=0,0,11630*1000*SER_hh_fec!H15/SER_hh_num!H15)</f>
        <v>4283.51463942381</v>
      </c>
      <c r="I15" s="135">
        <f>IF(SER_hh_fec!I15=0,0,11630*1000*SER_hh_fec!I15/SER_hh_num!I15)</f>
        <v>3737.8750629745705</v>
      </c>
      <c r="J15" s="135">
        <f>IF(SER_hh_fec!J15=0,0,11630*1000*SER_hh_fec!J15/SER_hh_num!J15)</f>
        <v>3731.1254140110309</v>
      </c>
      <c r="K15" s="135">
        <f>IF(SER_hh_fec!K15=0,0,11630*1000*SER_hh_fec!K15/SER_hh_num!K15)</f>
        <v>3204.2833500553597</v>
      </c>
      <c r="L15" s="135">
        <f>IF(SER_hh_fec!L15=0,0,11630*1000*SER_hh_fec!L15/SER_hh_num!L15)</f>
        <v>3808.6288613093752</v>
      </c>
      <c r="M15" s="135">
        <f>IF(SER_hh_fec!M15=0,0,11630*1000*SER_hh_fec!M15/SER_hh_num!M15)</f>
        <v>2007.2797553379817</v>
      </c>
      <c r="N15" s="135">
        <f>IF(SER_hh_fec!N15=0,0,11630*1000*SER_hh_fec!N15/SER_hh_num!N15)</f>
        <v>2606.4110493714788</v>
      </c>
      <c r="O15" s="135">
        <f>IF(SER_hh_fec!O15=0,0,11630*1000*SER_hh_fec!O15/SER_hh_num!O15)</f>
        <v>3221.9148734157243</v>
      </c>
      <c r="P15" s="135">
        <f>IF(SER_hh_fec!P15=0,0,11630*1000*SER_hh_fec!P15/SER_hh_num!P15)</f>
        <v>1914.2439786628831</v>
      </c>
      <c r="Q15" s="135">
        <f>IF(SER_hh_fec!Q15=0,0,11630*1000*SER_hh_fec!Q15/SER_hh_num!Q15)</f>
        <v>2071.2407607213354</v>
      </c>
      <c r="R15" s="135">
        <f>IF(SER_hh_fec!R15=0,0,11630*1000*SER_hh_fec!R15/SER_hh_num!R15)</f>
        <v>2051.3425496481022</v>
      </c>
      <c r="S15" s="135">
        <f>IF(SER_hh_fec!S15=0,0,11630*1000*SER_hh_fec!S15/SER_hh_num!S15)</f>
        <v>2292.0760004905078</v>
      </c>
      <c r="T15" s="135">
        <f>IF(SER_hh_fec!T15=0,0,11630*1000*SER_hh_fec!T15/SER_hh_num!T15)</f>
        <v>1976.8812428033855</v>
      </c>
      <c r="U15" s="135">
        <f>IF(SER_hh_fec!U15=0,0,11630*1000*SER_hh_fec!U15/SER_hh_num!U15)</f>
        <v>1695.8044981018304</v>
      </c>
      <c r="V15" s="135">
        <f>IF(SER_hh_fec!V15=0,0,11630*1000*SER_hh_fec!V15/SER_hh_num!V15)</f>
        <v>1448.2507911272437</v>
      </c>
      <c r="W15" s="135">
        <f>IF(SER_hh_fec!W15=0,0,11630*1000*SER_hh_fec!W15/SER_hh_num!W15)</f>
        <v>2179.7308075354567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15971.910295314903</v>
      </c>
      <c r="C16" s="131">
        <f>IF(SER_hh_fec!C16=0,0,11630*1000*SER_hh_fec!C16/SER_hh_num!C16)</f>
        <v>15036.906050645131</v>
      </c>
      <c r="D16" s="131">
        <f>IF(SER_hh_fec!D16=0,0,11630*1000*SER_hh_fec!D16/SER_hh_num!D16)</f>
        <v>14573.287555156483</v>
      </c>
      <c r="E16" s="131">
        <f>IF(SER_hh_fec!E16=0,0,11630*1000*SER_hh_fec!E16/SER_hh_num!E16)</f>
        <v>14108.340891889226</v>
      </c>
      <c r="F16" s="131">
        <f>IF(SER_hh_fec!F16=0,0,11630*1000*SER_hh_fec!F16/SER_hh_num!F16)</f>
        <v>13028.674214655884</v>
      </c>
      <c r="G16" s="131">
        <f>IF(SER_hh_fec!G16=0,0,11630*1000*SER_hh_fec!G16/SER_hh_num!G16)</f>
        <v>12586.064453819257</v>
      </c>
      <c r="H16" s="131">
        <f>IF(SER_hh_fec!H16=0,0,11630*1000*SER_hh_fec!H16/SER_hh_num!H16)</f>
        <v>12350.508801117987</v>
      </c>
      <c r="I16" s="131">
        <f>IF(SER_hh_fec!I16=0,0,11630*1000*SER_hh_fec!I16/SER_hh_num!I16)</f>
        <v>12159.968110548045</v>
      </c>
      <c r="J16" s="131">
        <f>IF(SER_hh_fec!J16=0,0,11630*1000*SER_hh_fec!J16/SER_hh_num!J16)</f>
        <v>10824.094350693371</v>
      </c>
      <c r="K16" s="131">
        <f>IF(SER_hh_fec!K16=0,0,11630*1000*SER_hh_fec!K16/SER_hh_num!K16)</f>
        <v>10764.119383815472</v>
      </c>
      <c r="L16" s="131">
        <f>IF(SER_hh_fec!L16=0,0,11630*1000*SER_hh_fec!L16/SER_hh_num!L16)</f>
        <v>10953.075591525123</v>
      </c>
      <c r="M16" s="131">
        <f>IF(SER_hh_fec!M16=0,0,11630*1000*SER_hh_fec!M16/SER_hh_num!M16)</f>
        <v>10442.895757605467</v>
      </c>
      <c r="N16" s="131">
        <f>IF(SER_hh_fec!N16=0,0,11630*1000*SER_hh_fec!N16/SER_hh_num!N16)</f>
        <v>11201.272622227198</v>
      </c>
      <c r="O16" s="131">
        <f>IF(SER_hh_fec!O16=0,0,11630*1000*SER_hh_fec!O16/SER_hh_num!O16)</f>
        <v>10517.969898637393</v>
      </c>
      <c r="P16" s="131">
        <f>IF(SER_hh_fec!P16=0,0,11630*1000*SER_hh_fec!P16/SER_hh_num!P16)</f>
        <v>9438.8725255437057</v>
      </c>
      <c r="Q16" s="131">
        <f>IF(SER_hh_fec!Q16=0,0,11630*1000*SER_hh_fec!Q16/SER_hh_num!Q16)</f>
        <v>10827.554277025789</v>
      </c>
      <c r="R16" s="131">
        <f>IF(SER_hh_fec!R16=0,0,11630*1000*SER_hh_fec!R16/SER_hh_num!R16)</f>
        <v>8980.7358849154498</v>
      </c>
      <c r="S16" s="131">
        <f>IF(SER_hh_fec!S16=0,0,11630*1000*SER_hh_fec!S16/SER_hh_num!S16)</f>
        <v>9295.0858520311322</v>
      </c>
      <c r="T16" s="131">
        <f>IF(SER_hh_fec!T16=0,0,11630*1000*SER_hh_fec!T16/SER_hh_num!T16)</f>
        <v>8906.6133720997041</v>
      </c>
      <c r="U16" s="131">
        <f>IF(SER_hh_fec!U16=0,0,11630*1000*SER_hh_fec!U16/SER_hh_num!U16)</f>
        <v>9004.9476860077048</v>
      </c>
      <c r="V16" s="131">
        <f>IF(SER_hh_fec!V16=0,0,11630*1000*SER_hh_fec!V16/SER_hh_num!V16)</f>
        <v>8123.285451566996</v>
      </c>
      <c r="W16" s="131">
        <f>IF(SER_hh_fec!W16=0,0,11630*1000*SER_hh_fec!W16/SER_hh_num!W16)</f>
        <v>8606.6246519531232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22520.998133567828</v>
      </c>
      <c r="C17" s="133">
        <f>IF(SER_hh_fec!C17=0,0,11630*1000*SER_hh_fec!C17/SER_hh_num!C17)</f>
        <v>21847.155090505941</v>
      </c>
      <c r="D17" s="133">
        <f>IF(SER_hh_fec!D17=0,0,11630*1000*SER_hh_fec!D17/SER_hh_num!D17)</f>
        <v>22213.767393365182</v>
      </c>
      <c r="E17" s="133">
        <f>IF(SER_hh_fec!E17=0,0,11630*1000*SER_hh_fec!E17/SER_hh_num!E17)</f>
        <v>22440.592611595715</v>
      </c>
      <c r="F17" s="133">
        <f>IF(SER_hh_fec!F17=0,0,11630*1000*SER_hh_fec!F17/SER_hh_num!F17)</f>
        <v>21364.482814286454</v>
      </c>
      <c r="G17" s="133">
        <f>IF(SER_hh_fec!G17=0,0,11630*1000*SER_hh_fec!G17/SER_hh_num!G17)</f>
        <v>21498.174817463845</v>
      </c>
      <c r="H17" s="133">
        <f>IF(SER_hh_fec!H17=0,0,11630*1000*SER_hh_fec!H17/SER_hh_num!H17)</f>
        <v>22090.955035180454</v>
      </c>
      <c r="I17" s="133">
        <f>IF(SER_hh_fec!I17=0,0,11630*1000*SER_hh_fec!I17/SER_hh_num!I17)</f>
        <v>22886.282134060242</v>
      </c>
      <c r="J17" s="133">
        <f>IF(SER_hh_fec!J17=0,0,11630*1000*SER_hh_fec!J17/SER_hh_num!J17)</f>
        <v>21414.027833025164</v>
      </c>
      <c r="K17" s="133">
        <f>IF(SER_hh_fec!K17=0,0,11630*1000*SER_hh_fec!K17/SER_hh_num!K17)</f>
        <v>21593.285817411695</v>
      </c>
      <c r="L17" s="133">
        <f>IF(SER_hh_fec!L17=0,0,11630*1000*SER_hh_fec!L17/SER_hh_num!L17)</f>
        <v>22419.918481750276</v>
      </c>
      <c r="M17" s="133">
        <f>IF(SER_hh_fec!M17=0,0,11630*1000*SER_hh_fec!M17/SER_hh_num!M17)</f>
        <v>21901.783736796518</v>
      </c>
      <c r="N17" s="133">
        <f>IF(SER_hh_fec!N17=0,0,11630*1000*SER_hh_fec!N17/SER_hh_num!N17)</f>
        <v>24161.596989104059</v>
      </c>
      <c r="O17" s="133">
        <f>IF(SER_hh_fec!O17=0,0,11630*1000*SER_hh_fec!O17/SER_hh_num!O17)</f>
        <v>23125.440082125388</v>
      </c>
      <c r="P17" s="133">
        <f>IF(SER_hh_fec!P17=0,0,11630*1000*SER_hh_fec!P17/SER_hh_num!P17)</f>
        <v>21006.682663609063</v>
      </c>
      <c r="Q17" s="133">
        <f>IF(SER_hh_fec!Q17=0,0,11630*1000*SER_hh_fec!Q17/SER_hh_num!Q17)</f>
        <v>24348.191906128533</v>
      </c>
      <c r="R17" s="133">
        <f>IF(SER_hh_fec!R17=0,0,11630*1000*SER_hh_fec!R17/SER_hh_num!R17)</f>
        <v>20560.042185018923</v>
      </c>
      <c r="S17" s="133">
        <f>IF(SER_hh_fec!S17=0,0,11630*1000*SER_hh_fec!S17/SER_hh_num!S17)</f>
        <v>21788.38893389302</v>
      </c>
      <c r="T17" s="133">
        <f>IF(SER_hh_fec!T17=0,0,11630*1000*SER_hh_fec!T17/SER_hh_num!T17)</f>
        <v>21149.81469147497</v>
      </c>
      <c r="U17" s="133">
        <f>IF(SER_hh_fec!U17=0,0,11630*1000*SER_hh_fec!U17/SER_hh_num!U17)</f>
        <v>21645.31263779903</v>
      </c>
      <c r="V17" s="133">
        <f>IF(SER_hh_fec!V17=0,0,11630*1000*SER_hh_fec!V17/SER_hh_num!V17)</f>
        <v>20607.645212950782</v>
      </c>
      <c r="W17" s="133">
        <f>IF(SER_hh_fec!W17=0,0,11630*1000*SER_hh_fec!W17/SER_hh_num!W17)</f>
        <v>19825.231056035285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15959.043944497214</v>
      </c>
      <c r="C18" s="133">
        <f>IF(SER_hh_fec!C18=0,0,11630*1000*SER_hh_fec!C18/SER_hh_num!C18)</f>
        <v>15016.319256532433</v>
      </c>
      <c r="D18" s="133">
        <f>IF(SER_hh_fec!D18=0,0,11630*1000*SER_hh_fec!D18/SER_hh_num!D18)</f>
        <v>14554.857277890191</v>
      </c>
      <c r="E18" s="133">
        <f>IF(SER_hh_fec!E18=0,0,11630*1000*SER_hh_fec!E18/SER_hh_num!E18)</f>
        <v>14101.129992622662</v>
      </c>
      <c r="F18" s="133">
        <f>IF(SER_hh_fec!F18=0,0,11630*1000*SER_hh_fec!F18/SER_hh_num!F18)</f>
        <v>13007.988414183375</v>
      </c>
      <c r="G18" s="133">
        <f>IF(SER_hh_fec!G18=0,0,11630*1000*SER_hh_fec!G18/SER_hh_num!G18)</f>
        <v>12555.298052356999</v>
      </c>
      <c r="H18" s="133">
        <f>IF(SER_hh_fec!H18=0,0,11630*1000*SER_hh_fec!H18/SER_hh_num!H18)</f>
        <v>12313.664877394642</v>
      </c>
      <c r="I18" s="133">
        <f>IF(SER_hh_fec!I18=0,0,11630*1000*SER_hh_fec!I18/SER_hh_num!I18)</f>
        <v>12121.325300713388</v>
      </c>
      <c r="J18" s="133">
        <f>IF(SER_hh_fec!J18=0,0,11630*1000*SER_hh_fec!J18/SER_hh_num!J18)</f>
        <v>10782.987987021719</v>
      </c>
      <c r="K18" s="133">
        <f>IF(SER_hh_fec!K18=0,0,11630*1000*SER_hh_fec!K18/SER_hh_num!K18)</f>
        <v>10723.32333848025</v>
      </c>
      <c r="L18" s="133">
        <f>IF(SER_hh_fec!L18=0,0,11630*1000*SER_hh_fec!L18/SER_hh_num!L18)</f>
        <v>10908.959448657442</v>
      </c>
      <c r="M18" s="133">
        <f>IF(SER_hh_fec!M18=0,0,11630*1000*SER_hh_fec!M18/SER_hh_num!M18)</f>
        <v>10394.446507971663</v>
      </c>
      <c r="N18" s="133">
        <f>IF(SER_hh_fec!N18=0,0,11630*1000*SER_hh_fec!N18/SER_hh_num!N18)</f>
        <v>11145.346686906529</v>
      </c>
      <c r="O18" s="133">
        <f>IF(SER_hh_fec!O18=0,0,11630*1000*SER_hh_fec!O18/SER_hh_num!O18)</f>
        <v>10449.298085623806</v>
      </c>
      <c r="P18" s="133">
        <f>IF(SER_hh_fec!P18=0,0,11630*1000*SER_hh_fec!P18/SER_hh_num!P18)</f>
        <v>9349.152336188301</v>
      </c>
      <c r="Q18" s="133">
        <f>IF(SER_hh_fec!Q18=0,0,11630*1000*SER_hh_fec!Q18/SER_hh_num!Q18)</f>
        <v>10704.929800791168</v>
      </c>
      <c r="R18" s="133">
        <f>IF(SER_hh_fec!R18=0,0,11630*1000*SER_hh_fec!R18/SER_hh_num!R18)</f>
        <v>8824.1506102521089</v>
      </c>
      <c r="S18" s="133">
        <f>IF(SER_hh_fec!S18=0,0,11630*1000*SER_hh_fec!S18/SER_hh_num!S18)</f>
        <v>9108.5167304856968</v>
      </c>
      <c r="T18" s="133">
        <f>IF(SER_hh_fec!T18=0,0,11630*1000*SER_hh_fec!T18/SER_hh_num!T18)</f>
        <v>8695.9688817764381</v>
      </c>
      <c r="U18" s="133">
        <f>IF(SER_hh_fec!U18=0,0,11630*1000*SER_hh_fec!U18/SER_hh_num!U18)</f>
        <v>8776.1155760090769</v>
      </c>
      <c r="V18" s="133">
        <f>IF(SER_hh_fec!V18=0,0,11630*1000*SER_hh_fec!V18/SER_hh_num!V18)</f>
        <v>7863.0124385800491</v>
      </c>
      <c r="W18" s="133">
        <f>IF(SER_hh_fec!W18=0,0,11630*1000*SER_hh_fec!W18/SER_hh_num!W18)</f>
        <v>8356.0963535071915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40342.382557370227</v>
      </c>
      <c r="C19" s="131">
        <f>IF(SER_hh_fec!C19=0,0,11630*1000*SER_hh_fec!C19/SER_hh_num!C19)</f>
        <v>40134.298882629475</v>
      </c>
      <c r="D19" s="131">
        <f>IF(SER_hh_fec!D19=0,0,11630*1000*SER_hh_fec!D19/SER_hh_num!D19)</f>
        <v>40215.742000864593</v>
      </c>
      <c r="E19" s="131">
        <f>IF(SER_hh_fec!E19=0,0,11630*1000*SER_hh_fec!E19/SER_hh_num!E19)</f>
        <v>40222.995765667714</v>
      </c>
      <c r="F19" s="131">
        <f>IF(SER_hh_fec!F19=0,0,11630*1000*SER_hh_fec!F19/SER_hh_num!F19)</f>
        <v>39747.083009978516</v>
      </c>
      <c r="G19" s="131">
        <f>IF(SER_hh_fec!G19=0,0,11630*1000*SER_hh_fec!G19/SER_hh_num!G19)</f>
        <v>40762.079601515499</v>
      </c>
      <c r="H19" s="131">
        <f>IF(SER_hh_fec!H19=0,0,11630*1000*SER_hh_fec!H19/SER_hh_num!H19)</f>
        <v>41217.655743370684</v>
      </c>
      <c r="I19" s="131">
        <f>IF(SER_hh_fec!I19=0,0,11630*1000*SER_hh_fec!I19/SER_hh_num!I19)</f>
        <v>40619.9997444088</v>
      </c>
      <c r="J19" s="131">
        <f>IF(SER_hh_fec!J19=0,0,11630*1000*SER_hh_fec!J19/SER_hh_num!J19)</f>
        <v>40221.371655041417</v>
      </c>
      <c r="K19" s="131">
        <f>IF(SER_hh_fec!K19=0,0,11630*1000*SER_hh_fec!K19/SER_hh_num!K19)</f>
        <v>41301.784810048521</v>
      </c>
      <c r="L19" s="131">
        <f>IF(SER_hh_fec!L19=0,0,11630*1000*SER_hh_fec!L19/SER_hh_num!L19)</f>
        <v>41314.168841559062</v>
      </c>
      <c r="M19" s="131">
        <f>IF(SER_hh_fec!M19=0,0,11630*1000*SER_hh_fec!M19/SER_hh_num!M19)</f>
        <v>40851.497036897897</v>
      </c>
      <c r="N19" s="131">
        <f>IF(SER_hh_fec!N19=0,0,11630*1000*SER_hh_fec!N19/SER_hh_num!N19)</f>
        <v>41498.459208340391</v>
      </c>
      <c r="O19" s="131">
        <f>IF(SER_hh_fec!O19=0,0,11630*1000*SER_hh_fec!O19/SER_hh_num!O19)</f>
        <v>41340.169773121532</v>
      </c>
      <c r="P19" s="131">
        <f>IF(SER_hh_fec!P19=0,0,11630*1000*SER_hh_fec!P19/SER_hh_num!P19)</f>
        <v>41611.923320001166</v>
      </c>
      <c r="Q19" s="131">
        <f>IF(SER_hh_fec!Q19=0,0,11630*1000*SER_hh_fec!Q19/SER_hh_num!Q19)</f>
        <v>41241.524756105136</v>
      </c>
      <c r="R19" s="131">
        <f>IF(SER_hh_fec!R19=0,0,11630*1000*SER_hh_fec!R19/SER_hh_num!R19)</f>
        <v>40557.925136930062</v>
      </c>
      <c r="S19" s="131">
        <f>IF(SER_hh_fec!S19=0,0,11630*1000*SER_hh_fec!S19/SER_hh_num!S19)</f>
        <v>40082.428423852194</v>
      </c>
      <c r="T19" s="131">
        <f>IF(SER_hh_fec!T19=0,0,11630*1000*SER_hh_fec!T19/SER_hh_num!T19)</f>
        <v>38705.664501789426</v>
      </c>
      <c r="U19" s="131">
        <f>IF(SER_hh_fec!U19=0,0,11630*1000*SER_hh_fec!U19/SER_hh_num!U19)</f>
        <v>37677.316125143363</v>
      </c>
      <c r="V19" s="131">
        <f>IF(SER_hh_fec!V19=0,0,11630*1000*SER_hh_fec!V19/SER_hh_num!V19)</f>
        <v>32974.736306565093</v>
      </c>
      <c r="W19" s="131">
        <f>IF(SER_hh_fec!W19=0,0,11630*1000*SER_hh_fec!W19/SER_hh_num!W19)</f>
        <v>35870.052119841668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49073.9595866948</v>
      </c>
      <c r="C20" s="133">
        <f>IF(SER_hh_fec!C20=0,0,11630*1000*SER_hh_fec!C20/SER_hh_num!C20)</f>
        <v>45184.178966691048</v>
      </c>
      <c r="D20" s="133">
        <f>IF(SER_hh_fec!D20=0,0,11630*1000*SER_hh_fec!D20/SER_hh_num!D20)</f>
        <v>50769.741235710964</v>
      </c>
      <c r="E20" s="133">
        <f>IF(SER_hh_fec!E20=0,0,11630*1000*SER_hh_fec!E20/SER_hh_num!E20)</f>
        <v>42294.638453609827</v>
      </c>
      <c r="F20" s="133">
        <f>IF(SER_hh_fec!F20=0,0,11630*1000*SER_hh_fec!F20/SER_hh_num!F20)</f>
        <v>46241.993900717258</v>
      </c>
      <c r="G20" s="133">
        <f>IF(SER_hh_fec!G20=0,0,11630*1000*SER_hh_fec!G20/SER_hh_num!G20)</f>
        <v>20397.42833672517</v>
      </c>
      <c r="H20" s="133">
        <f>IF(SER_hh_fec!H20=0,0,11630*1000*SER_hh_fec!H20/SER_hh_num!H20)</f>
        <v>35794.249138906234</v>
      </c>
      <c r="I20" s="133">
        <f>IF(SER_hh_fec!I20=0,0,11630*1000*SER_hh_fec!I20/SER_hh_num!I20)</f>
        <v>47334.936129675429</v>
      </c>
      <c r="J20" s="133">
        <f>IF(SER_hh_fec!J20=0,0,11630*1000*SER_hh_fec!J20/SER_hh_num!J20)</f>
        <v>45443.041237611644</v>
      </c>
      <c r="K20" s="133">
        <f>IF(SER_hh_fec!K20=0,0,11630*1000*SER_hh_fec!K20/SER_hh_num!K20)</f>
        <v>44324.748379425655</v>
      </c>
      <c r="L20" s="133">
        <f>IF(SER_hh_fec!L20=0,0,11630*1000*SER_hh_fec!L20/SER_hh_num!L20)</f>
        <v>41498.420306714361</v>
      </c>
      <c r="M20" s="133">
        <f>IF(SER_hh_fec!M20=0,0,11630*1000*SER_hh_fec!M20/SER_hh_num!M20)</f>
        <v>40868.474227548759</v>
      </c>
      <c r="N20" s="133">
        <f>IF(SER_hh_fec!N20=0,0,11630*1000*SER_hh_fec!N20/SER_hh_num!N20)</f>
        <v>41354.827560881655</v>
      </c>
      <c r="O20" s="133">
        <f>IF(SER_hh_fec!O20=0,0,11630*1000*SER_hh_fec!O20/SER_hh_num!O20)</f>
        <v>40650.065630350779</v>
      </c>
      <c r="P20" s="133">
        <f>IF(SER_hh_fec!P20=0,0,11630*1000*SER_hh_fec!P20/SER_hh_num!P20)</f>
        <v>43109.896274186809</v>
      </c>
      <c r="Q20" s="133">
        <f>IF(SER_hh_fec!Q20=0,0,11630*1000*SER_hh_fec!Q20/SER_hh_num!Q20)</f>
        <v>48891.766233106406</v>
      </c>
      <c r="R20" s="133">
        <f>IF(SER_hh_fec!R20=0,0,11630*1000*SER_hh_fec!R20/SER_hh_num!R20)</f>
        <v>29735.913665187167</v>
      </c>
      <c r="S20" s="133">
        <f>IF(SER_hh_fec!S20=0,0,11630*1000*SER_hh_fec!S20/SER_hh_num!S20)</f>
        <v>38447.190488193883</v>
      </c>
      <c r="T20" s="133">
        <f>IF(SER_hh_fec!T20=0,0,11630*1000*SER_hh_fec!T20/SER_hh_num!T20)</f>
        <v>41538.67420738993</v>
      </c>
      <c r="U20" s="133">
        <f>IF(SER_hh_fec!U20=0,0,11630*1000*SER_hh_fec!U20/SER_hh_num!U20)</f>
        <v>59839.147464037094</v>
      </c>
      <c r="V20" s="133">
        <f>IF(SER_hh_fec!V20=0,0,11630*1000*SER_hh_fec!V20/SER_hh_num!V20)</f>
        <v>25587.522884240785</v>
      </c>
      <c r="W20" s="133">
        <f>IF(SER_hh_fec!W20=0,0,11630*1000*SER_hh_fec!W20/SER_hh_num!W20)</f>
        <v>43812.742937157112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0</v>
      </c>
      <c r="C22" s="133">
        <f>IF(SER_hh_fec!C22=0,0,11630*1000*SER_hh_fec!C22/SER_hh_num!C22)</f>
        <v>0</v>
      </c>
      <c r="D22" s="133">
        <f>IF(SER_hh_fec!D22=0,0,11630*1000*SER_hh_fec!D22/SER_hh_num!D22)</f>
        <v>0</v>
      </c>
      <c r="E22" s="133">
        <f>IF(SER_hh_fec!E22=0,0,11630*1000*SER_hh_fec!E22/SER_hh_num!E22)</f>
        <v>0</v>
      </c>
      <c r="F22" s="133">
        <f>IF(SER_hh_fec!F22=0,0,11630*1000*SER_hh_fec!F22/SER_hh_num!F22)</f>
        <v>0</v>
      </c>
      <c r="G22" s="133">
        <f>IF(SER_hh_fec!G22=0,0,11630*1000*SER_hh_fec!G22/SER_hh_num!G22)</f>
        <v>0</v>
      </c>
      <c r="H22" s="133">
        <f>IF(SER_hh_fec!H22=0,0,11630*1000*SER_hh_fec!H22/SER_hh_num!H22)</f>
        <v>0</v>
      </c>
      <c r="I22" s="133">
        <f>IF(SER_hh_fec!I22=0,0,11630*1000*SER_hh_fec!I22/SER_hh_num!I22)</f>
        <v>0</v>
      </c>
      <c r="J22" s="133">
        <f>IF(SER_hh_fec!J22=0,0,11630*1000*SER_hh_fec!J22/SER_hh_num!J22)</f>
        <v>0</v>
      </c>
      <c r="K22" s="133">
        <f>IF(SER_hh_fec!K22=0,0,11630*1000*SER_hh_fec!K22/SER_hh_num!K22)</f>
        <v>0</v>
      </c>
      <c r="L22" s="133">
        <f>IF(SER_hh_fec!L22=0,0,11630*1000*SER_hh_fec!L22/SER_hh_num!L22)</f>
        <v>0</v>
      </c>
      <c r="M22" s="133">
        <f>IF(SER_hh_fec!M22=0,0,11630*1000*SER_hh_fec!M22/SER_hh_num!M22)</f>
        <v>0</v>
      </c>
      <c r="N22" s="133">
        <f>IF(SER_hh_fec!N22=0,0,11630*1000*SER_hh_fec!N22/SER_hh_num!N22)</f>
        <v>0</v>
      </c>
      <c r="O22" s="133">
        <f>IF(SER_hh_fec!O22=0,0,11630*1000*SER_hh_fec!O22/SER_hh_num!O22)</f>
        <v>0</v>
      </c>
      <c r="P22" s="133">
        <f>IF(SER_hh_fec!P22=0,0,11630*1000*SER_hh_fec!P22/SER_hh_num!P22)</f>
        <v>0</v>
      </c>
      <c r="Q22" s="133">
        <f>IF(SER_hh_fec!Q22=0,0,11630*1000*SER_hh_fec!Q22/SER_hh_num!Q22)</f>
        <v>0</v>
      </c>
      <c r="R22" s="133">
        <f>IF(SER_hh_fec!R22=0,0,11630*1000*SER_hh_fec!R22/SER_hh_num!R22)</f>
        <v>0</v>
      </c>
      <c r="S22" s="133">
        <f>IF(SER_hh_fec!S22=0,0,11630*1000*SER_hh_fec!S22/SER_hh_num!S22)</f>
        <v>0</v>
      </c>
      <c r="T22" s="133">
        <f>IF(SER_hh_fec!T22=0,0,11630*1000*SER_hh_fec!T22/SER_hh_num!T22)</f>
        <v>0</v>
      </c>
      <c r="U22" s="133">
        <f>IF(SER_hh_fec!U22=0,0,11630*1000*SER_hh_fec!U22/SER_hh_num!U22)</f>
        <v>0</v>
      </c>
      <c r="V22" s="133">
        <f>IF(SER_hh_fec!V22=0,0,11630*1000*SER_hh_fec!V22/SER_hh_num!V22)</f>
        <v>0</v>
      </c>
      <c r="W22" s="133">
        <f>IF(SER_hh_fec!W22=0,0,11630*1000*SER_hh_fec!W22/SER_hh_num!W22)</f>
        <v>0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33093.72082213364</v>
      </c>
      <c r="C23" s="133">
        <f>IF(SER_hh_fec!C23=0,0,11630*1000*SER_hh_fec!C23/SER_hh_num!C23)</f>
        <v>52026.779159417696</v>
      </c>
      <c r="D23" s="133">
        <f>IF(SER_hh_fec!D23=0,0,11630*1000*SER_hh_fec!D23/SER_hh_num!D23)</f>
        <v>51358.304116061227</v>
      </c>
      <c r="E23" s="133">
        <f>IF(SER_hh_fec!E23=0,0,11630*1000*SER_hh_fec!E23/SER_hh_num!E23)</f>
        <v>45842.787277777483</v>
      </c>
      <c r="F23" s="133">
        <f>IF(SER_hh_fec!F23=0,0,11630*1000*SER_hh_fec!F23/SER_hh_num!F23)</f>
        <v>47593.076817245361</v>
      </c>
      <c r="G23" s="133">
        <f>IF(SER_hh_fec!G23=0,0,11630*1000*SER_hh_fec!G23/SER_hh_num!G23)</f>
        <v>45588.508036729305</v>
      </c>
      <c r="H23" s="133">
        <f>IF(SER_hh_fec!H23=0,0,11630*1000*SER_hh_fec!H23/SER_hh_num!H23)</f>
        <v>45145.098394617671</v>
      </c>
      <c r="I23" s="133">
        <f>IF(SER_hh_fec!I23=0,0,11630*1000*SER_hh_fec!I23/SER_hh_num!I23)</f>
        <v>47774.933681849543</v>
      </c>
      <c r="J23" s="133">
        <f>IF(SER_hh_fec!J23=0,0,11630*1000*SER_hh_fec!J23/SER_hh_num!J23)</f>
        <v>46432.30027221315</v>
      </c>
      <c r="K23" s="133">
        <f>IF(SER_hh_fec!K23=0,0,11630*1000*SER_hh_fec!K23/SER_hh_num!K23)</f>
        <v>44539.038961738908</v>
      </c>
      <c r="L23" s="133">
        <f>IF(SER_hh_fec!L23=0,0,11630*1000*SER_hh_fec!L23/SER_hh_num!L23)</f>
        <v>45427.518780440681</v>
      </c>
      <c r="M23" s="133">
        <f>IF(SER_hh_fec!M23=0,0,11630*1000*SER_hh_fec!M23/SER_hh_num!M23)</f>
        <v>41337.054936334491</v>
      </c>
      <c r="N23" s="133">
        <f>IF(SER_hh_fec!N23=0,0,11630*1000*SER_hh_fec!N23/SER_hh_num!N23)</f>
        <v>46153.103120162938</v>
      </c>
      <c r="O23" s="133">
        <f>IF(SER_hh_fec!O23=0,0,11630*1000*SER_hh_fec!O23/SER_hh_num!O23)</f>
        <v>46052.607006035018</v>
      </c>
      <c r="P23" s="133">
        <f>IF(SER_hh_fec!P23=0,0,11630*1000*SER_hh_fec!P23/SER_hh_num!P23)</f>
        <v>46105.102783933362</v>
      </c>
      <c r="Q23" s="133">
        <f>IF(SER_hh_fec!Q23=0,0,11630*1000*SER_hh_fec!Q23/SER_hh_num!Q23)</f>
        <v>46505.869193890278</v>
      </c>
      <c r="R23" s="133">
        <f>IF(SER_hh_fec!R23=0,0,11630*1000*SER_hh_fec!R23/SER_hh_num!R23)</f>
        <v>46519.243713844815</v>
      </c>
      <c r="S23" s="133">
        <f>IF(SER_hh_fec!S23=0,0,11630*1000*SER_hh_fec!S23/SER_hh_num!S23)</f>
        <v>44059.176104554121</v>
      </c>
      <c r="T23" s="133">
        <f>IF(SER_hh_fec!T23=0,0,11630*1000*SER_hh_fec!T23/SER_hh_num!T23)</f>
        <v>41929.184611749013</v>
      </c>
      <c r="U23" s="133">
        <f>IF(SER_hh_fec!U23=0,0,11630*1000*SER_hh_fec!U23/SER_hh_num!U23)</f>
        <v>38100.252223520169</v>
      </c>
      <c r="V23" s="133">
        <f>IF(SER_hh_fec!V23=0,0,11630*1000*SER_hh_fec!V23/SER_hh_num!V23)</f>
        <v>27242.781964584312</v>
      </c>
      <c r="W23" s="133">
        <f>IF(SER_hh_fec!W23=0,0,11630*1000*SER_hh_fec!W23/SER_hh_num!W23)</f>
        <v>47802.272437834195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30351.82591687933</v>
      </c>
      <c r="C25" s="133">
        <f>IF(SER_hh_fec!C25=0,0,11630*1000*SER_hh_fec!C25/SER_hh_num!C25)</f>
        <v>30564.785815441952</v>
      </c>
      <c r="D25" s="133">
        <f>IF(SER_hh_fec!D25=0,0,11630*1000*SER_hh_fec!D25/SER_hh_num!D25)</f>
        <v>33643.012156225443</v>
      </c>
      <c r="E25" s="133">
        <f>IF(SER_hh_fec!E25=0,0,11630*1000*SER_hh_fec!E25/SER_hh_num!E25)</f>
        <v>35936.504525929799</v>
      </c>
      <c r="F25" s="133">
        <f>IF(SER_hh_fec!F25=0,0,11630*1000*SER_hh_fec!F25/SER_hh_num!F25)</f>
        <v>46580.131461111225</v>
      </c>
      <c r="G25" s="133">
        <f>IF(SER_hh_fec!G25=0,0,11630*1000*SER_hh_fec!G25/SER_hh_num!G25)</f>
        <v>34530.313232743283</v>
      </c>
      <c r="H25" s="133">
        <f>IF(SER_hh_fec!H25=0,0,11630*1000*SER_hh_fec!H25/SER_hh_num!H25)</f>
        <v>30942.371388968233</v>
      </c>
      <c r="I25" s="133">
        <f>IF(SER_hh_fec!I25=0,0,11630*1000*SER_hh_fec!I25/SER_hh_num!I25)</f>
        <v>32715.687228867115</v>
      </c>
      <c r="J25" s="133">
        <f>IF(SER_hh_fec!J25=0,0,11630*1000*SER_hh_fec!J25/SER_hh_num!J25)</f>
        <v>33425.046145990127</v>
      </c>
      <c r="K25" s="133">
        <f>IF(SER_hh_fec!K25=0,0,11630*1000*SER_hh_fec!K25/SER_hh_num!K25)</f>
        <v>34728.254964266416</v>
      </c>
      <c r="L25" s="133">
        <f>IF(SER_hh_fec!L25=0,0,11630*1000*SER_hh_fec!L25/SER_hh_num!L25)</f>
        <v>33847.443312985015</v>
      </c>
      <c r="M25" s="133">
        <f>IF(SER_hh_fec!M25=0,0,11630*1000*SER_hh_fec!M25/SER_hh_num!M25)</f>
        <v>34987.242490410128</v>
      </c>
      <c r="N25" s="133">
        <f>IF(SER_hh_fec!N25=0,0,11630*1000*SER_hh_fec!N25/SER_hh_num!N25)</f>
        <v>38156.002246532065</v>
      </c>
      <c r="O25" s="133">
        <f>IF(SER_hh_fec!O25=0,0,11630*1000*SER_hh_fec!O25/SER_hh_num!O25)</f>
        <v>28292.352603841297</v>
      </c>
      <c r="P25" s="133">
        <f>IF(SER_hh_fec!P25=0,0,11630*1000*SER_hh_fec!P25/SER_hh_num!P25)</f>
        <v>29191.932023992689</v>
      </c>
      <c r="Q25" s="133">
        <f>IF(SER_hh_fec!Q25=0,0,11630*1000*SER_hh_fec!Q25/SER_hh_num!Q25)</f>
        <v>13825.136167168388</v>
      </c>
      <c r="R25" s="133">
        <f>IF(SER_hh_fec!R25=0,0,11630*1000*SER_hh_fec!R25/SER_hh_num!R25)</f>
        <v>45746.790651155236</v>
      </c>
      <c r="S25" s="133">
        <f>IF(SER_hh_fec!S25=0,0,11630*1000*SER_hh_fec!S25/SER_hh_num!S25)</f>
        <v>42083.533859218718</v>
      </c>
      <c r="T25" s="133">
        <f>IF(SER_hh_fec!T25=0,0,11630*1000*SER_hh_fec!T25/SER_hh_num!T25)</f>
        <v>39675.48672375943</v>
      </c>
      <c r="U25" s="133">
        <f>IF(SER_hh_fec!U25=0,0,11630*1000*SER_hh_fec!U25/SER_hh_num!U25)</f>
        <v>36345.686517396833</v>
      </c>
      <c r="V25" s="133">
        <f>IF(SER_hh_fec!V25=0,0,11630*1000*SER_hh_fec!V25/SER_hh_num!V25)</f>
        <v>25108.706080265198</v>
      </c>
      <c r="W25" s="133">
        <f>IF(SER_hh_fec!W25=0,0,11630*1000*SER_hh_fec!W25/SER_hh_num!W25)</f>
        <v>33549.806118699795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41929.438649635507</v>
      </c>
      <c r="C26" s="65">
        <f>IF(SER_hh_fec!C26=0,0,11630*1000*SER_hh_fec!C26/SER_hh_num!C26)</f>
        <v>39509.756008353514</v>
      </c>
      <c r="D26" s="65">
        <f>IF(SER_hh_fec!D26=0,0,11630*1000*SER_hh_fec!D26/SER_hh_num!D26)</f>
        <v>38617.015850901189</v>
      </c>
      <c r="E26" s="65">
        <f>IF(SER_hh_fec!E26=0,0,11630*1000*SER_hh_fec!E26/SER_hh_num!E26)</f>
        <v>39860.257488780619</v>
      </c>
      <c r="F26" s="65">
        <f>IF(SER_hh_fec!F26=0,0,11630*1000*SER_hh_fec!F26/SER_hh_num!F26)</f>
        <v>34789.520923109849</v>
      </c>
      <c r="G26" s="65">
        <f>IF(SER_hh_fec!G26=0,0,11630*1000*SER_hh_fec!G26/SER_hh_num!G26)</f>
        <v>41801.631717014665</v>
      </c>
      <c r="H26" s="65">
        <f>IF(SER_hh_fec!H26=0,0,11630*1000*SER_hh_fec!H26/SER_hh_num!H26)</f>
        <v>43077.949152040106</v>
      </c>
      <c r="I26" s="65">
        <f>IF(SER_hh_fec!I26=0,0,11630*1000*SER_hh_fec!I26/SER_hh_num!I26)</f>
        <v>39488.598512998171</v>
      </c>
      <c r="J26" s="65">
        <f>IF(SER_hh_fec!J26=0,0,11630*1000*SER_hh_fec!J26/SER_hh_num!J26)</f>
        <v>38969.841620470885</v>
      </c>
      <c r="K26" s="65">
        <f>IF(SER_hh_fec!K26=0,0,11630*1000*SER_hh_fec!K26/SER_hh_num!K26)</f>
        <v>41211.668510786774</v>
      </c>
      <c r="L26" s="65">
        <f>IF(SER_hh_fec!L26=0,0,11630*1000*SER_hh_fec!L26/SER_hh_num!L26)</f>
        <v>41021.532501984446</v>
      </c>
      <c r="M26" s="65">
        <f>IF(SER_hh_fec!M26=0,0,11630*1000*SER_hh_fec!M26/SER_hh_num!M26)</f>
        <v>41615.747301847521</v>
      </c>
      <c r="N26" s="65">
        <f>IF(SER_hh_fec!N26=0,0,11630*1000*SER_hh_fec!N26/SER_hh_num!N26)</f>
        <v>39188.733335243349</v>
      </c>
      <c r="O26" s="65">
        <f>IF(SER_hh_fec!O26=0,0,11630*1000*SER_hh_fec!O26/SER_hh_num!O26)</f>
        <v>40717.266703944319</v>
      </c>
      <c r="P26" s="65">
        <f>IF(SER_hh_fec!P26=0,0,11630*1000*SER_hh_fec!P26/SER_hh_num!P26)</f>
        <v>39899.473493414909</v>
      </c>
      <c r="Q26" s="65">
        <f>IF(SER_hh_fec!Q26=0,0,11630*1000*SER_hh_fec!Q26/SER_hh_num!Q26)</f>
        <v>41074.102445157303</v>
      </c>
      <c r="R26" s="65">
        <f>IF(SER_hh_fec!R26=0,0,11630*1000*SER_hh_fec!R26/SER_hh_num!R26)</f>
        <v>36480.683296975185</v>
      </c>
      <c r="S26" s="65">
        <f>IF(SER_hh_fec!S26=0,0,11630*1000*SER_hh_fec!S26/SER_hh_num!S26)</f>
        <v>37238.343496469592</v>
      </c>
      <c r="T26" s="65">
        <f>IF(SER_hh_fec!T26=0,0,11630*1000*SER_hh_fec!T26/SER_hh_num!T26)</f>
        <v>36504.109838087534</v>
      </c>
      <c r="U26" s="65">
        <f>IF(SER_hh_fec!U26=0,0,11630*1000*SER_hh_fec!U26/SER_hh_num!U26)</f>
        <v>35618.855131835306</v>
      </c>
      <c r="V26" s="65">
        <f>IF(SER_hh_fec!V26=0,0,11630*1000*SER_hh_fec!V26/SER_hh_num!V26)</f>
        <v>35808.892927635141</v>
      </c>
      <c r="W26" s="65">
        <f>IF(SER_hh_fec!W26=0,0,11630*1000*SER_hh_fec!W26/SER_hh_num!W26)</f>
        <v>31528.527344958318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8.3997998972908583</v>
      </c>
      <c r="H27" s="146">
        <f>IF(SER_hh_fec!H27=0,0,11630*1000*SER_hh_fec!H27/SER_hh_num!H19)</f>
        <v>8.0332246370943814</v>
      </c>
      <c r="I27" s="146">
        <f>IF(SER_hh_fec!I27=0,0,11630*1000*SER_hh_fec!I27/SER_hh_num!I19)</f>
        <v>7.6105165634588783</v>
      </c>
      <c r="J27" s="146">
        <f>IF(SER_hh_fec!J27=0,0,11630*1000*SER_hh_fec!J27/SER_hh_num!J19)</f>
        <v>7.3673835818644688</v>
      </c>
      <c r="K27" s="146">
        <f>IF(SER_hh_fec!K27=0,0,11630*1000*SER_hh_fec!K27/SER_hh_num!K19)</f>
        <v>7.3795673763169409</v>
      </c>
      <c r="L27" s="146">
        <f>IF(SER_hh_fec!L27=0,0,11630*1000*SER_hh_fec!L27/SER_hh_num!L19)</f>
        <v>137.0971607774232</v>
      </c>
      <c r="M27" s="146">
        <f>IF(SER_hh_fec!M27=0,0,11630*1000*SER_hh_fec!M27/SER_hh_num!M19)</f>
        <v>164.33662935717439</v>
      </c>
      <c r="N27" s="146">
        <f>IF(SER_hh_fec!N27=0,0,11630*1000*SER_hh_fec!N27/SER_hh_num!N19)</f>
        <v>162.721485590713</v>
      </c>
      <c r="O27" s="146">
        <f>IF(SER_hh_fec!O27=0,0,11630*1000*SER_hh_fec!O27/SER_hh_num!O19)</f>
        <v>84.158216051013696</v>
      </c>
      <c r="P27" s="146">
        <f>IF(SER_hh_fec!P27=0,0,11630*1000*SER_hh_fec!P27/SER_hh_num!P19)</f>
        <v>333.50444713243206</v>
      </c>
      <c r="Q27" s="146">
        <f>IF(SER_hh_fec!Q27=0,0,11630*1000*SER_hh_fec!Q27/SER_hh_num!Q19)</f>
        <v>233.30634070394706</v>
      </c>
      <c r="R27" s="146">
        <f>IF(SER_hh_fec!R27=0,0,11630*1000*SER_hh_fec!R27/SER_hh_num!R19)</f>
        <v>244.10854717202952</v>
      </c>
      <c r="S27" s="146">
        <f>IF(SER_hh_fec!S27=0,0,11630*1000*SER_hh_fec!S27/SER_hh_num!S19)</f>
        <v>180.787172542603</v>
      </c>
      <c r="T27" s="146">
        <f>IF(SER_hh_fec!T27=0,0,11630*1000*SER_hh_fec!T27/SER_hh_num!T19)</f>
        <v>191.40670678780987</v>
      </c>
      <c r="U27" s="146">
        <f>IF(SER_hh_fec!U27=0,0,11630*1000*SER_hh_fec!U27/SER_hh_num!U19)</f>
        <v>195.08021948831475</v>
      </c>
      <c r="V27" s="146">
        <f>IF(SER_hh_fec!V27=0,0,11630*1000*SER_hh_fec!V27/SER_hh_num!V19)</f>
        <v>198.77702078236726</v>
      </c>
      <c r="W27" s="146">
        <f>IF(SER_hh_fec!W27=0,0,11630*1000*SER_hh_fec!W27/SER_hh_num!W19)</f>
        <v>202.55286499263062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17822.710440649313</v>
      </c>
      <c r="H28" s="147">
        <f>IF(SER_hh_fec!H27=0,0,11630*1000*SER_hh_fec!H27/SER_hh_num!H27)</f>
        <v>18002.518560258119</v>
      </c>
      <c r="I28" s="147">
        <f>IF(SER_hh_fec!I27=0,0,11630*1000*SER_hh_fec!I27/SER_hh_num!I27)</f>
        <v>17763.381865396223</v>
      </c>
      <c r="J28" s="147">
        <f>IF(SER_hh_fec!J27=0,0,11630*1000*SER_hh_fec!J27/SER_hh_num!J27)</f>
        <v>17693.28835596707</v>
      </c>
      <c r="K28" s="147">
        <f>IF(SER_hh_fec!K27=0,0,11630*1000*SER_hh_fec!K27/SER_hh_num!K27)</f>
        <v>18299.031196755779</v>
      </c>
      <c r="L28" s="147">
        <f>IF(SER_hh_fec!L27=0,0,11630*1000*SER_hh_fec!L27/SER_hh_num!L27)</f>
        <v>17142.086640188314</v>
      </c>
      <c r="M28" s="147">
        <f>IF(SER_hh_fec!M27=0,0,11630*1000*SER_hh_fec!M27/SER_hh_num!M27)</f>
        <v>18224.624795115724</v>
      </c>
      <c r="N28" s="147">
        <f>IF(SER_hh_fec!N27=0,0,11630*1000*SER_hh_fec!N27/SER_hh_num!N27)</f>
        <v>18155.524059780062</v>
      </c>
      <c r="O28" s="147">
        <f>IF(SER_hh_fec!O27=0,0,11630*1000*SER_hh_fec!O27/SER_hh_num!O27)</f>
        <v>17269.056843120426</v>
      </c>
      <c r="P28" s="147">
        <f>IF(SER_hh_fec!P27=0,0,11630*1000*SER_hh_fec!P27/SER_hh_num!P27)</f>
        <v>18643.233982354643</v>
      </c>
      <c r="Q28" s="147">
        <f>IF(SER_hh_fec!Q27=0,0,11630*1000*SER_hh_fec!Q27/SER_hh_num!Q27)</f>
        <v>18471.684833342686</v>
      </c>
      <c r="R28" s="147">
        <f>IF(SER_hh_fec!R27=0,0,11630*1000*SER_hh_fec!R27/SER_hh_num!R27)</f>
        <v>18545.704228589002</v>
      </c>
      <c r="S28" s="147">
        <f>IF(SER_hh_fec!S27=0,0,11630*1000*SER_hh_fec!S27/SER_hh_num!S27)</f>
        <v>19437.092465455924</v>
      </c>
      <c r="T28" s="147">
        <f>IF(SER_hh_fec!T27=0,0,11630*1000*SER_hh_fec!T27/SER_hh_num!T27)</f>
        <v>18814.67177752015</v>
      </c>
      <c r="U28" s="147">
        <f>IF(SER_hh_fec!U27=0,0,11630*1000*SER_hh_fec!U27/SER_hh_num!U27)</f>
        <v>19275.556022815126</v>
      </c>
      <c r="V28" s="147">
        <f>IF(SER_hh_fec!V27=0,0,11630*1000*SER_hh_fec!V27/SER_hh_num!V27)</f>
        <v>17423.317359140736</v>
      </c>
      <c r="W28" s="147">
        <f>IF(SER_hh_fec!W27=0,0,11630*1000*SER_hh_fec!W27/SER_hh_num!W27)</f>
        <v>19118.255778286384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35764.342296040777</v>
      </c>
      <c r="C29" s="131">
        <f>IF(SER_hh_fec!C29=0,0,11630*1000*SER_hh_fec!C29/SER_hh_num!C29)</f>
        <v>36713.965156128063</v>
      </c>
      <c r="D29" s="131">
        <f>IF(SER_hh_fec!D29=0,0,11630*1000*SER_hh_fec!D29/SER_hh_num!D29)</f>
        <v>39779.927354559448</v>
      </c>
      <c r="E29" s="131">
        <f>IF(SER_hh_fec!E29=0,0,11630*1000*SER_hh_fec!E29/SER_hh_num!E29)</f>
        <v>40018.453478337506</v>
      </c>
      <c r="F29" s="131">
        <f>IF(SER_hh_fec!F29=0,0,11630*1000*SER_hh_fec!F29/SER_hh_num!F29)</f>
        <v>39782.613723325921</v>
      </c>
      <c r="G29" s="131">
        <f>IF(SER_hh_fec!G29=0,0,11630*1000*SER_hh_fec!G29/SER_hh_num!G29)</f>
        <v>40274.061607033618</v>
      </c>
      <c r="H29" s="131">
        <f>IF(SER_hh_fec!H29=0,0,11630*1000*SER_hh_fec!H29/SER_hh_num!H29)</f>
        <v>39690.646672332157</v>
      </c>
      <c r="I29" s="131">
        <f>IF(SER_hh_fec!I29=0,0,11630*1000*SER_hh_fec!I29/SER_hh_num!I29)</f>
        <v>37014.429237022166</v>
      </c>
      <c r="J29" s="131">
        <f>IF(SER_hh_fec!J29=0,0,11630*1000*SER_hh_fec!J29/SER_hh_num!J29)</f>
        <v>35610.816355118033</v>
      </c>
      <c r="K29" s="131">
        <f>IF(SER_hh_fec!K29=0,0,11630*1000*SER_hh_fec!K29/SER_hh_num!K29)</f>
        <v>36961.45207639398</v>
      </c>
      <c r="L29" s="131">
        <f>IF(SER_hh_fec!L29=0,0,11630*1000*SER_hh_fec!L29/SER_hh_num!L29)</f>
        <v>36765.96129544732</v>
      </c>
      <c r="M29" s="131">
        <f>IF(SER_hh_fec!M29=0,0,11630*1000*SER_hh_fec!M29/SER_hh_num!M29)</f>
        <v>34528.666190147444</v>
      </c>
      <c r="N29" s="131">
        <f>IF(SER_hh_fec!N29=0,0,11630*1000*SER_hh_fec!N29/SER_hh_num!N29)</f>
        <v>35738.593051282827</v>
      </c>
      <c r="O29" s="131">
        <f>IF(SER_hh_fec!O29=0,0,11630*1000*SER_hh_fec!O29/SER_hh_num!O29)</f>
        <v>36136.381375935191</v>
      </c>
      <c r="P29" s="131">
        <f>IF(SER_hh_fec!P29=0,0,11630*1000*SER_hh_fec!P29/SER_hh_num!P29)</f>
        <v>35963.895607610131</v>
      </c>
      <c r="Q29" s="131">
        <f>IF(SER_hh_fec!Q29=0,0,11630*1000*SER_hh_fec!Q29/SER_hh_num!Q29)</f>
        <v>36082.051646473592</v>
      </c>
      <c r="R29" s="131">
        <f>IF(SER_hh_fec!R29=0,0,11630*1000*SER_hh_fec!R29/SER_hh_num!R29)</f>
        <v>35515.133068346498</v>
      </c>
      <c r="S29" s="131">
        <f>IF(SER_hh_fec!S29=0,0,11630*1000*SER_hh_fec!S29/SER_hh_num!S29)</f>
        <v>34363.487381294479</v>
      </c>
      <c r="T29" s="131">
        <f>IF(SER_hh_fec!T29=0,0,11630*1000*SER_hh_fec!T29/SER_hh_num!T29)</f>
        <v>33289.085106558668</v>
      </c>
      <c r="U29" s="131">
        <f>IF(SER_hh_fec!U29=0,0,11630*1000*SER_hh_fec!U29/SER_hh_num!U29)</f>
        <v>31654.793105225734</v>
      </c>
      <c r="V29" s="131">
        <f>IF(SER_hh_fec!V29=0,0,11630*1000*SER_hh_fec!V29/SER_hh_num!V29)</f>
        <v>28512.350227612453</v>
      </c>
      <c r="W29" s="131">
        <f>IF(SER_hh_fec!W29=0,0,11630*1000*SER_hh_fec!W29/SER_hh_num!W29)</f>
        <v>32990.152185882216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19262.357880173586</v>
      </c>
      <c r="C30" s="133">
        <f>IF(SER_hh_fec!C30=0,0,11630*1000*SER_hh_fec!C30/SER_hh_num!C30)</f>
        <v>30902.139804337141</v>
      </c>
      <c r="D30" s="133">
        <f>IF(SER_hh_fec!D30=0,0,11630*1000*SER_hh_fec!D30/SER_hh_num!D30)</f>
        <v>49506.999423876827</v>
      </c>
      <c r="E30" s="133">
        <f>IF(SER_hh_fec!E30=0,0,11630*1000*SER_hh_fec!E30/SER_hh_num!E30)</f>
        <v>50991.884619477481</v>
      </c>
      <c r="F30" s="133">
        <f>IF(SER_hh_fec!F30=0,0,11630*1000*SER_hh_fec!F30/SER_hh_num!F30)</f>
        <v>55151.531897642206</v>
      </c>
      <c r="G30" s="133">
        <f>IF(SER_hh_fec!G30=0,0,11630*1000*SER_hh_fec!G30/SER_hh_num!G30)</f>
        <v>43265.643458243547</v>
      </c>
      <c r="H30" s="133">
        <f>IF(SER_hh_fec!H30=0,0,11630*1000*SER_hh_fec!H30/SER_hh_num!H30)</f>
        <v>50533.367907327069</v>
      </c>
      <c r="I30" s="133">
        <f>IF(SER_hh_fec!I30=0,0,11630*1000*SER_hh_fec!I30/SER_hh_num!I30)</f>
        <v>27913.688446993991</v>
      </c>
      <c r="J30" s="133">
        <f>IF(SER_hh_fec!J30=0,0,11630*1000*SER_hh_fec!J30/SER_hh_num!J30)</f>
        <v>9865.5209889943108</v>
      </c>
      <c r="K30" s="133">
        <f>IF(SER_hh_fec!K30=0,0,11630*1000*SER_hh_fec!K30/SER_hh_num!K30)</f>
        <v>47177.645766713351</v>
      </c>
      <c r="L30" s="133">
        <f>IF(SER_hh_fec!L30=0,0,11630*1000*SER_hh_fec!L30/SER_hh_num!L30)</f>
        <v>82016.030793297192</v>
      </c>
      <c r="M30" s="133">
        <f>IF(SER_hh_fec!M30=0,0,11630*1000*SER_hh_fec!M30/SER_hh_num!M30)</f>
        <v>9748.4872769106332</v>
      </c>
      <c r="N30" s="133">
        <f>IF(SER_hh_fec!N30=0,0,11630*1000*SER_hh_fec!N30/SER_hh_num!N30)</f>
        <v>48172.597392485732</v>
      </c>
      <c r="O30" s="133">
        <f>IF(SER_hh_fec!O30=0,0,11630*1000*SER_hh_fec!O30/SER_hh_num!O30)</f>
        <v>46452.154626793708</v>
      </c>
      <c r="P30" s="133">
        <f>IF(SER_hh_fec!P30=0,0,11630*1000*SER_hh_fec!P30/SER_hh_num!P30)</f>
        <v>42558.214313731354</v>
      </c>
      <c r="Q30" s="133">
        <f>IF(SER_hh_fec!Q30=0,0,11630*1000*SER_hh_fec!Q30/SER_hh_num!Q30)</f>
        <v>40338.504866838535</v>
      </c>
      <c r="R30" s="133">
        <f>IF(SER_hh_fec!R30=0,0,11630*1000*SER_hh_fec!R30/SER_hh_num!R30)</f>
        <v>42754.263315121912</v>
      </c>
      <c r="S30" s="133">
        <f>IF(SER_hh_fec!S30=0,0,11630*1000*SER_hh_fec!S30/SER_hh_num!S30)</f>
        <v>28729.006795798887</v>
      </c>
      <c r="T30" s="133">
        <f>IF(SER_hh_fec!T30=0,0,11630*1000*SER_hh_fec!T30/SER_hh_num!T30)</f>
        <v>43912.570438999515</v>
      </c>
      <c r="U30" s="133">
        <f>IF(SER_hh_fec!U30=0,0,11630*1000*SER_hh_fec!U30/SER_hh_num!U30)</f>
        <v>40068.241741243604</v>
      </c>
      <c r="V30" s="133">
        <f>IF(SER_hh_fec!V30=0,0,11630*1000*SER_hh_fec!V30/SER_hh_num!V30)</f>
        <v>33158.019319738916</v>
      </c>
      <c r="W30" s="133">
        <f>IF(SER_hh_fec!W30=0,0,11630*1000*SER_hh_fec!W30/SER_hh_num!W30)</f>
        <v>37825.715887919891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40782.208721010975</v>
      </c>
      <c r="C31" s="133">
        <f>IF(SER_hh_fec!C31=0,0,11630*1000*SER_hh_fec!C31/SER_hh_num!C31)</f>
        <v>40591.177197524186</v>
      </c>
      <c r="D31" s="133">
        <f>IF(SER_hh_fec!D31=0,0,11630*1000*SER_hh_fec!D31/SER_hh_num!D31)</f>
        <v>42928.165867819152</v>
      </c>
      <c r="E31" s="133">
        <f>IF(SER_hh_fec!E31=0,0,11630*1000*SER_hh_fec!E31/SER_hh_num!E31)</f>
        <v>42818.345562440118</v>
      </c>
      <c r="F31" s="133">
        <f>IF(SER_hh_fec!F31=0,0,11630*1000*SER_hh_fec!F31/SER_hh_num!F31)</f>
        <v>33481.174601634237</v>
      </c>
      <c r="G31" s="133">
        <f>IF(SER_hh_fec!G31=0,0,11630*1000*SER_hh_fec!G31/SER_hh_num!G31)</f>
        <v>44763.085102311139</v>
      </c>
      <c r="H31" s="133">
        <f>IF(SER_hh_fec!H31=0,0,11630*1000*SER_hh_fec!H31/SER_hh_num!H31)</f>
        <v>44571.712068508292</v>
      </c>
      <c r="I31" s="133">
        <f>IF(SER_hh_fec!I31=0,0,11630*1000*SER_hh_fec!I31/SER_hh_num!I31)</f>
        <v>44104.779674105826</v>
      </c>
      <c r="J31" s="133">
        <f>IF(SER_hh_fec!J31=0,0,11630*1000*SER_hh_fec!J31/SER_hh_num!J31)</f>
        <v>43083.594750991688</v>
      </c>
      <c r="K31" s="133">
        <f>IF(SER_hh_fec!K31=0,0,11630*1000*SER_hh_fec!K31/SER_hh_num!K31)</f>
        <v>42542.773611249453</v>
      </c>
      <c r="L31" s="133">
        <f>IF(SER_hh_fec!L31=0,0,11630*1000*SER_hh_fec!L31/SER_hh_num!L31)</f>
        <v>42068.855923495736</v>
      </c>
      <c r="M31" s="133">
        <f>IF(SER_hh_fec!M31=0,0,11630*1000*SER_hh_fec!M31/SER_hh_num!M31)</f>
        <v>37789.164680226961</v>
      </c>
      <c r="N31" s="133">
        <f>IF(SER_hh_fec!N31=0,0,11630*1000*SER_hh_fec!N31/SER_hh_num!N31)</f>
        <v>39528.562848123751</v>
      </c>
      <c r="O31" s="133">
        <f>IF(SER_hh_fec!O31=0,0,11630*1000*SER_hh_fec!O31/SER_hh_num!O31)</f>
        <v>42359.974204677244</v>
      </c>
      <c r="P31" s="133">
        <f>IF(SER_hh_fec!P31=0,0,11630*1000*SER_hh_fec!P31/SER_hh_num!P31)</f>
        <v>40736.026617310614</v>
      </c>
      <c r="Q31" s="133">
        <f>IF(SER_hh_fec!Q31=0,0,11630*1000*SER_hh_fec!Q31/SER_hh_num!Q31)</f>
        <v>42542.107719310021</v>
      </c>
      <c r="R31" s="133">
        <f>IF(SER_hh_fec!R31=0,0,11630*1000*SER_hh_fec!R31/SER_hh_num!R31)</f>
        <v>42028.686438276032</v>
      </c>
      <c r="S31" s="133">
        <f>IF(SER_hh_fec!S31=0,0,11630*1000*SER_hh_fec!S31/SER_hh_num!S31)</f>
        <v>40882.225838999409</v>
      </c>
      <c r="T31" s="133">
        <f>IF(SER_hh_fec!T31=0,0,11630*1000*SER_hh_fec!T31/SER_hh_num!T31)</f>
        <v>37256.001147071947</v>
      </c>
      <c r="U31" s="133">
        <f>IF(SER_hh_fec!U31=0,0,11630*1000*SER_hh_fec!U31/SER_hh_num!U31)</f>
        <v>30932.469027517236</v>
      </c>
      <c r="V31" s="133">
        <f>IF(SER_hh_fec!V31=0,0,11630*1000*SER_hh_fec!V31/SER_hh_num!V31)</f>
        <v>28020.170144743432</v>
      </c>
      <c r="W31" s="133">
        <f>IF(SER_hh_fec!W31=0,0,11630*1000*SER_hh_fec!W31/SER_hh_num!W31)</f>
        <v>45697.660867112529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35252.963153540215</v>
      </c>
      <c r="C33" s="68">
        <f>IF(SER_hh_fec!C33=0,0,11630*1000*SER_hh_fec!C33/SER_hh_num!C33)</f>
        <v>35056.524688470992</v>
      </c>
      <c r="D33" s="68">
        <f>IF(SER_hh_fec!D33=0,0,11630*1000*SER_hh_fec!D33/SER_hh_num!D33)</f>
        <v>25803.151250421106</v>
      </c>
      <c r="E33" s="68">
        <f>IF(SER_hh_fec!E33=0,0,11630*1000*SER_hh_fec!E33/SER_hh_num!E33)</f>
        <v>26873.098488800111</v>
      </c>
      <c r="F33" s="68">
        <f>IF(SER_hh_fec!F33=0,0,11630*1000*SER_hh_fec!F33/SER_hh_num!F33)</f>
        <v>33055.213397573069</v>
      </c>
      <c r="G33" s="68">
        <f>IF(SER_hh_fec!G33=0,0,11630*1000*SER_hh_fec!G33/SER_hh_num!G33)</f>
        <v>33947.819664988951</v>
      </c>
      <c r="H33" s="68">
        <f>IF(SER_hh_fec!H33=0,0,11630*1000*SER_hh_fec!H33/SER_hh_num!H33)</f>
        <v>30953.699718700449</v>
      </c>
      <c r="I33" s="68">
        <f>IF(SER_hh_fec!I33=0,0,11630*1000*SER_hh_fec!I33/SER_hh_num!I33)</f>
        <v>33405.915266513955</v>
      </c>
      <c r="J33" s="68">
        <f>IF(SER_hh_fec!J33=0,0,11630*1000*SER_hh_fec!J33/SER_hh_num!J33)</f>
        <v>33574.745343281378</v>
      </c>
      <c r="K33" s="68">
        <f>IF(SER_hh_fec!K33=0,0,11630*1000*SER_hh_fec!K33/SER_hh_num!K33)</f>
        <v>31810.06442592221</v>
      </c>
      <c r="L33" s="68">
        <f>IF(SER_hh_fec!L33=0,0,11630*1000*SER_hh_fec!L33/SER_hh_num!L33)</f>
        <v>27611.279572359756</v>
      </c>
      <c r="M33" s="68">
        <f>IF(SER_hh_fec!M33=0,0,11630*1000*SER_hh_fec!M33/SER_hh_num!M33)</f>
        <v>35426.450560843215</v>
      </c>
      <c r="N33" s="68">
        <f>IF(SER_hh_fec!N33=0,0,11630*1000*SER_hh_fec!N33/SER_hh_num!N33)</f>
        <v>31501.701034180325</v>
      </c>
      <c r="O33" s="68">
        <f>IF(SER_hh_fec!O33=0,0,11630*1000*SER_hh_fec!O33/SER_hh_num!O33)</f>
        <v>29782.180861391247</v>
      </c>
      <c r="P33" s="68">
        <f>IF(SER_hh_fec!P33=0,0,11630*1000*SER_hh_fec!P33/SER_hh_num!P33)</f>
        <v>30643.221848131048</v>
      </c>
      <c r="Q33" s="68">
        <f>IF(SER_hh_fec!Q33=0,0,11630*1000*SER_hh_fec!Q33/SER_hh_num!Q33)</f>
        <v>29179.749667300508</v>
      </c>
      <c r="R33" s="68">
        <f>IF(SER_hh_fec!R33=0,0,11630*1000*SER_hh_fec!R33/SER_hh_num!R33)</f>
        <v>28678.881976861343</v>
      </c>
      <c r="S33" s="68">
        <f>IF(SER_hh_fec!S33=0,0,11630*1000*SER_hh_fec!S33/SER_hh_num!S33)</f>
        <v>29353.403451250215</v>
      </c>
      <c r="T33" s="68">
        <f>IF(SER_hh_fec!T33=0,0,11630*1000*SER_hh_fec!T33/SER_hh_num!T33)</f>
        <v>29787.116336471969</v>
      </c>
      <c r="U33" s="68">
        <f>IF(SER_hh_fec!U33=0,0,11630*1000*SER_hh_fec!U33/SER_hh_num!U33)</f>
        <v>31848.216041733369</v>
      </c>
      <c r="V33" s="68">
        <f>IF(SER_hh_fec!V33=0,0,11630*1000*SER_hh_fec!V33/SER_hh_num!V33)</f>
        <v>28714.593562294795</v>
      </c>
      <c r="W33" s="68">
        <f>IF(SER_hh_fec!W33=0,0,11630*1000*SER_hh_fec!W33/SER_hh_num!W33)</f>
        <v>24578.649174346334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449316.94212091778</v>
      </c>
      <c r="C3" s="126">
        <f>IF(SER_hh_tes!C3=0,0,11630*1000*SER_hh_tes!C3/SER_hh_num!C3)</f>
        <v>357150.38700974931</v>
      </c>
      <c r="D3" s="126">
        <f>IF(SER_hh_tes!D3=0,0,11630*1000*SER_hh_tes!D3/SER_hh_num!D3)</f>
        <v>327060.84276673128</v>
      </c>
      <c r="E3" s="126">
        <f>IF(SER_hh_tes!E3=0,0,11630*1000*SER_hh_tes!E3/SER_hh_num!E3)</f>
        <v>262627.38894589565</v>
      </c>
      <c r="F3" s="126">
        <f>IF(SER_hh_tes!F3=0,0,11630*1000*SER_hh_tes!F3/SER_hh_num!F3)</f>
        <v>296992.8345157057</v>
      </c>
      <c r="G3" s="126">
        <f>IF(SER_hh_tes!G3=0,0,11630*1000*SER_hh_tes!G3/SER_hh_num!G3)</f>
        <v>339475.43942348205</v>
      </c>
      <c r="H3" s="126">
        <f>IF(SER_hh_tes!H3=0,0,11630*1000*SER_hh_tes!H3/SER_hh_num!H3)</f>
        <v>350319.43000101176</v>
      </c>
      <c r="I3" s="126">
        <f>IF(SER_hh_tes!I3=0,0,11630*1000*SER_hh_tes!I3/SER_hh_num!I3)</f>
        <v>335056.58856865921</v>
      </c>
      <c r="J3" s="126">
        <f>IF(SER_hh_tes!J3=0,0,11630*1000*SER_hh_tes!J3/SER_hh_num!J3)</f>
        <v>338357.37761283718</v>
      </c>
      <c r="K3" s="126">
        <f>IF(SER_hh_tes!K3=0,0,11630*1000*SER_hh_tes!K3/SER_hh_num!K3)</f>
        <v>348204.86151769798</v>
      </c>
      <c r="L3" s="126">
        <f>IF(SER_hh_tes!L3=0,0,11630*1000*SER_hh_tes!L3/SER_hh_num!L3)</f>
        <v>373719.3520677184</v>
      </c>
      <c r="M3" s="126">
        <f>IF(SER_hh_tes!M3=0,0,11630*1000*SER_hh_tes!M3/SER_hh_num!M3)</f>
        <v>282724.16629133566</v>
      </c>
      <c r="N3" s="126">
        <f>IF(SER_hh_tes!N3=0,0,11630*1000*SER_hh_tes!N3/SER_hh_num!N3)</f>
        <v>247987.48921817282</v>
      </c>
      <c r="O3" s="126">
        <f>IF(SER_hh_tes!O3=0,0,11630*1000*SER_hh_tes!O3/SER_hh_num!O3)</f>
        <v>297973.74950710981</v>
      </c>
      <c r="P3" s="126">
        <f>IF(SER_hh_tes!P3=0,0,11630*1000*SER_hh_tes!P3/SER_hh_num!P3)</f>
        <v>201787.85247300784</v>
      </c>
      <c r="Q3" s="126">
        <f>IF(SER_hh_tes!Q3=0,0,11630*1000*SER_hh_tes!Q3/SER_hh_num!Q3)</f>
        <v>213362.79160111074</v>
      </c>
      <c r="R3" s="126">
        <f>IF(SER_hh_tes!R3=0,0,11630*1000*SER_hh_tes!R3/SER_hh_num!R3)</f>
        <v>217286.81823427006</v>
      </c>
      <c r="S3" s="126">
        <f>IF(SER_hh_tes!S3=0,0,11630*1000*SER_hh_tes!S3/SER_hh_num!S3)</f>
        <v>238101.12168199592</v>
      </c>
      <c r="T3" s="126">
        <f>IF(SER_hh_tes!T3=0,0,11630*1000*SER_hh_tes!T3/SER_hh_num!T3)</f>
        <v>215539.99496960131</v>
      </c>
      <c r="U3" s="126">
        <f>IF(SER_hh_tes!U3=0,0,11630*1000*SER_hh_tes!U3/SER_hh_num!U3)</f>
        <v>194447.93312627784</v>
      </c>
      <c r="V3" s="126">
        <f>IF(SER_hh_tes!V3=0,0,11630*1000*SER_hh_tes!V3/SER_hh_num!V3)</f>
        <v>173489.74946039912</v>
      </c>
      <c r="W3" s="126">
        <f>IF(SER_hh_tes!W3=0,0,11630*1000*SER_hh_tes!W3/SER_hh_num!W3)</f>
        <v>229531.05500623342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395712.00313689292</v>
      </c>
      <c r="C4" s="131">
        <f>IF(SER_hh_tes!C4=0,0,11630*1000*SER_hh_tes!C4/SER_hh_num!C4)</f>
        <v>303526.98664693645</v>
      </c>
      <c r="D4" s="131">
        <f>IF(SER_hh_tes!D4=0,0,11630*1000*SER_hh_tes!D4/SER_hh_num!D4)</f>
        <v>271416.48239813471</v>
      </c>
      <c r="E4" s="131">
        <f>IF(SER_hh_tes!E4=0,0,11630*1000*SER_hh_tes!E4/SER_hh_num!E4)</f>
        <v>206017.43030503383</v>
      </c>
      <c r="F4" s="131">
        <f>IF(SER_hh_tes!F4=0,0,11630*1000*SER_hh_tes!F4/SER_hh_num!F4)</f>
        <v>239975.11452022995</v>
      </c>
      <c r="G4" s="131">
        <f>IF(SER_hh_tes!G4=0,0,11630*1000*SER_hh_tes!G4/SER_hh_num!G4)</f>
        <v>281095.73881989747</v>
      </c>
      <c r="H4" s="131">
        <f>IF(SER_hh_tes!H4=0,0,11630*1000*SER_hh_tes!H4/SER_hh_num!H4)</f>
        <v>291606.86618223815</v>
      </c>
      <c r="I4" s="131">
        <f>IF(SER_hh_tes!I4=0,0,11630*1000*SER_hh_tes!I4/SER_hh_num!I4)</f>
        <v>277195.4224499269</v>
      </c>
      <c r="J4" s="131">
        <f>IF(SER_hh_tes!J4=0,0,11630*1000*SER_hh_tes!J4/SER_hh_num!J4)</f>
        <v>281287.38874903461</v>
      </c>
      <c r="K4" s="131">
        <f>IF(SER_hh_tes!K4=0,0,11630*1000*SER_hh_tes!K4/SER_hh_num!K4)</f>
        <v>289326.79577955243</v>
      </c>
      <c r="L4" s="131">
        <f>IF(SER_hh_tes!L4=0,0,11630*1000*SER_hh_tes!L4/SER_hh_num!L4)</f>
        <v>314827.06218862277</v>
      </c>
      <c r="M4" s="131">
        <f>IF(SER_hh_tes!M4=0,0,11630*1000*SER_hh_tes!M4/SER_hh_num!M4)</f>
        <v>224388.93251058451</v>
      </c>
      <c r="N4" s="131">
        <f>IF(SER_hh_tes!N4=0,0,11630*1000*SER_hh_tes!N4/SER_hh_num!N4)</f>
        <v>188316.3802464382</v>
      </c>
      <c r="O4" s="131">
        <f>IF(SER_hh_tes!O4=0,0,11630*1000*SER_hh_tes!O4/SER_hh_num!O4)</f>
        <v>238597.99008161947</v>
      </c>
      <c r="P4" s="131">
        <f>IF(SER_hh_tes!P4=0,0,11630*1000*SER_hh_tes!P4/SER_hh_num!P4)</f>
        <v>142573.2331077173</v>
      </c>
      <c r="Q4" s="131">
        <f>IF(SER_hh_tes!Q4=0,0,11630*1000*SER_hh_tes!Q4/SER_hh_num!Q4)</f>
        <v>153301.83865146691</v>
      </c>
      <c r="R4" s="131">
        <f>IF(SER_hh_tes!R4=0,0,11630*1000*SER_hh_tes!R4/SER_hh_num!R4)</f>
        <v>158096.83007146153</v>
      </c>
      <c r="S4" s="131">
        <f>IF(SER_hh_tes!S4=0,0,11630*1000*SER_hh_tes!S4/SER_hh_num!S4)</f>
        <v>178505.89506054431</v>
      </c>
      <c r="T4" s="131">
        <f>IF(SER_hh_tes!T4=0,0,11630*1000*SER_hh_tes!T4/SER_hh_num!T4)</f>
        <v>156569.93887721206</v>
      </c>
      <c r="U4" s="131">
        <f>IF(SER_hh_tes!U4=0,0,11630*1000*SER_hh_tes!U4/SER_hh_num!U4)</f>
        <v>135891.76044274899</v>
      </c>
      <c r="V4" s="131">
        <f>IF(SER_hh_tes!V4=0,0,11630*1000*SER_hh_tes!V4/SER_hh_num!V4)</f>
        <v>120453.38144702867</v>
      </c>
      <c r="W4" s="131">
        <f>IF(SER_hh_tes!W4=0,0,11630*1000*SER_hh_tes!W4/SER_hh_num!W4)</f>
        <v>171151.77909660674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324595.32832645823</v>
      </c>
      <c r="C5" s="133">
        <f>IF(SER_hh_tes!C5=0,0,11630*1000*SER_hh_tes!C5/SER_hh_num!C5)</f>
        <v>273131.2587737068</v>
      </c>
      <c r="D5" s="133">
        <f>IF(SER_hh_tes!D5=0,0,11630*1000*SER_hh_tes!D5/SER_hh_num!D5)</f>
        <v>363931.56389493123</v>
      </c>
      <c r="E5" s="133">
        <f>IF(SER_hh_tes!E5=0,0,11630*1000*SER_hh_tes!E5/SER_hh_num!E5)</f>
        <v>87183.243457056771</v>
      </c>
      <c r="F5" s="133">
        <f>IF(SER_hh_tes!F5=0,0,11630*1000*SER_hh_tes!F5/SER_hh_num!F5)</f>
        <v>341710.00203006581</v>
      </c>
      <c r="G5" s="133">
        <f>IF(SER_hh_tes!G5=0,0,11630*1000*SER_hh_tes!G5/SER_hh_num!G5)</f>
        <v>79723.652789923974</v>
      </c>
      <c r="H5" s="133">
        <f>IF(SER_hh_tes!H5=0,0,11630*1000*SER_hh_tes!H5/SER_hh_num!H5)</f>
        <v>194272.22106951685</v>
      </c>
      <c r="I5" s="133">
        <f>IF(SER_hh_tes!I5=0,0,11630*1000*SER_hh_tes!I5/SER_hh_num!I5)</f>
        <v>236001.95485285405</v>
      </c>
      <c r="J5" s="133">
        <f>IF(SER_hh_tes!J5=0,0,11630*1000*SER_hh_tes!J5/SER_hh_num!J5)</f>
        <v>250024.61164801923</v>
      </c>
      <c r="K5" s="133">
        <f>IF(SER_hh_tes!K5=0,0,11630*1000*SER_hh_tes!K5/SER_hh_num!K5)</f>
        <v>457057.25680938602</v>
      </c>
      <c r="L5" s="133">
        <f>IF(SER_hh_tes!L5=0,0,11630*1000*SER_hh_tes!L5/SER_hh_num!L5)</f>
        <v>250806.89683585739</v>
      </c>
      <c r="M5" s="133">
        <f>IF(SER_hh_tes!M5=0,0,11630*1000*SER_hh_tes!M5/SER_hh_num!M5)</f>
        <v>292848.30383210303</v>
      </c>
      <c r="N5" s="133">
        <f>IF(SER_hh_tes!N5=0,0,11630*1000*SER_hh_tes!N5/SER_hh_num!N5)</f>
        <v>110185.31005885272</v>
      </c>
      <c r="O5" s="133">
        <f>IF(SER_hh_tes!O5=0,0,11630*1000*SER_hh_tes!O5/SER_hh_num!O5)</f>
        <v>230415.70796991358</v>
      </c>
      <c r="P5" s="133">
        <f>IF(SER_hh_tes!P5=0,0,11630*1000*SER_hh_tes!P5/SER_hh_num!P5)</f>
        <v>159000.7709405832</v>
      </c>
      <c r="Q5" s="133">
        <f>IF(SER_hh_tes!Q5=0,0,11630*1000*SER_hh_tes!Q5/SER_hh_num!Q5)</f>
        <v>174380.12425818073</v>
      </c>
      <c r="R5" s="133">
        <f>IF(SER_hh_tes!R5=0,0,11630*1000*SER_hh_tes!R5/SER_hh_num!R5)</f>
        <v>114020.48531392646</v>
      </c>
      <c r="S5" s="133">
        <f>IF(SER_hh_tes!S5=0,0,11630*1000*SER_hh_tes!S5/SER_hh_num!S5)</f>
        <v>140644.83472787956</v>
      </c>
      <c r="T5" s="133">
        <f>IF(SER_hh_tes!T5=0,0,11630*1000*SER_hh_tes!T5/SER_hh_num!T5)</f>
        <v>149787.50407719193</v>
      </c>
      <c r="U5" s="133">
        <f>IF(SER_hh_tes!U5=0,0,11630*1000*SER_hh_tes!U5/SER_hh_num!U5)</f>
        <v>217034.25743095038</v>
      </c>
      <c r="V5" s="133">
        <f>IF(SER_hh_tes!V5=0,0,11630*1000*SER_hh_tes!V5/SER_hh_num!V5)</f>
        <v>88188.216028162598</v>
      </c>
      <c r="W5" s="133">
        <f>IF(SER_hh_tes!W5=0,0,11630*1000*SER_hh_tes!W5/SER_hh_num!W5)</f>
        <v>139620.51905880921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47121.212067382796</v>
      </c>
      <c r="C7" s="133">
        <f>IF(SER_hh_tes!C7=0,0,11630*1000*SER_hh_tes!C7/SER_hh_num!C7)</f>
        <v>402653.97004606569</v>
      </c>
      <c r="D7" s="133">
        <f>IF(SER_hh_tes!D7=0,0,11630*1000*SER_hh_tes!D7/SER_hh_num!D7)</f>
        <v>284720.69930358283</v>
      </c>
      <c r="E7" s="133">
        <f>IF(SER_hh_tes!E7=0,0,11630*1000*SER_hh_tes!E7/SER_hh_num!E7)</f>
        <v>104724.07856258466</v>
      </c>
      <c r="F7" s="133">
        <f>IF(SER_hh_tes!F7=0,0,11630*1000*SER_hh_tes!F7/SER_hh_num!F7)</f>
        <v>278488.36677864357</v>
      </c>
      <c r="G7" s="133">
        <f>IF(SER_hh_tes!G7=0,0,11630*1000*SER_hh_tes!G7/SER_hh_num!G7)</f>
        <v>333780.81688126089</v>
      </c>
      <c r="H7" s="133">
        <f>IF(SER_hh_tes!H7=0,0,11630*1000*SER_hh_tes!H7/SER_hh_num!H7)</f>
        <v>285471.91471573297</v>
      </c>
      <c r="I7" s="133">
        <f>IF(SER_hh_tes!I7=0,0,11630*1000*SER_hh_tes!I7/SER_hh_num!I7)</f>
        <v>30306.454665517478</v>
      </c>
      <c r="J7" s="133">
        <f>IF(SER_hh_tes!J7=0,0,11630*1000*SER_hh_tes!J7/SER_hh_num!J7)</f>
        <v>187224.13654122251</v>
      </c>
      <c r="K7" s="133">
        <f>IF(SER_hh_tes!K7=0,0,11630*1000*SER_hh_tes!K7/SER_hh_num!K7)</f>
        <v>553924.23511665396</v>
      </c>
      <c r="L7" s="133">
        <f>IF(SER_hh_tes!L7=0,0,11630*1000*SER_hh_tes!L7/SER_hh_num!L7)</f>
        <v>0</v>
      </c>
      <c r="M7" s="133">
        <f>IF(SER_hh_tes!M7=0,0,11630*1000*SER_hh_tes!M7/SER_hh_num!M7)</f>
        <v>0</v>
      </c>
      <c r="N7" s="133">
        <f>IF(SER_hh_tes!N7=0,0,11630*1000*SER_hh_tes!N7/SER_hh_num!N7)</f>
        <v>0</v>
      </c>
      <c r="O7" s="133">
        <f>IF(SER_hh_tes!O7=0,0,11630*1000*SER_hh_tes!O7/SER_hh_num!O7)</f>
        <v>76024.679918852766</v>
      </c>
      <c r="P7" s="133">
        <f>IF(SER_hh_tes!P7=0,0,11630*1000*SER_hh_tes!P7/SER_hh_num!P7)</f>
        <v>194096.74981808438</v>
      </c>
      <c r="Q7" s="133">
        <f>IF(SER_hh_tes!Q7=0,0,11630*1000*SER_hh_tes!Q7/SER_hh_num!Q7)</f>
        <v>198968.98947393571</v>
      </c>
      <c r="R7" s="133">
        <f>IF(SER_hh_tes!R7=0,0,11630*1000*SER_hh_tes!R7/SER_hh_num!R7)</f>
        <v>132791.31216339814</v>
      </c>
      <c r="S7" s="133">
        <f>IF(SER_hh_tes!S7=0,0,11630*1000*SER_hh_tes!S7/SER_hh_num!S7)</f>
        <v>105324.88348162486</v>
      </c>
      <c r="T7" s="133">
        <f>IF(SER_hh_tes!T7=0,0,11630*1000*SER_hh_tes!T7/SER_hh_num!T7)</f>
        <v>72631.841841270259</v>
      </c>
      <c r="U7" s="133">
        <f>IF(SER_hh_tes!U7=0,0,11630*1000*SER_hh_tes!U7/SER_hh_num!U7)</f>
        <v>187761.50558797954</v>
      </c>
      <c r="V7" s="133">
        <f>IF(SER_hh_tes!V7=0,0,11630*1000*SER_hh_tes!V7/SER_hh_num!V7)</f>
        <v>110667.71478390762</v>
      </c>
      <c r="W7" s="133">
        <f>IF(SER_hh_tes!W7=0,0,11630*1000*SER_hh_tes!W7/SER_hh_num!W7)</f>
        <v>113082.25400403811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316190.1227389414</v>
      </c>
      <c r="C8" s="133">
        <f>IF(SER_hh_tes!C8=0,0,11630*1000*SER_hh_tes!C8/SER_hh_num!C8)</f>
        <v>290680.26761517132</v>
      </c>
      <c r="D8" s="133">
        <f>IF(SER_hh_tes!D8=0,0,11630*1000*SER_hh_tes!D8/SER_hh_num!D8)</f>
        <v>226689.26981976486</v>
      </c>
      <c r="E8" s="133">
        <f>IF(SER_hh_tes!E8=0,0,11630*1000*SER_hh_tes!E8/SER_hh_num!E8)</f>
        <v>237396.33178816517</v>
      </c>
      <c r="F8" s="133">
        <f>IF(SER_hh_tes!F8=0,0,11630*1000*SER_hh_tes!F8/SER_hh_num!F8)</f>
        <v>257924.24076656968</v>
      </c>
      <c r="G8" s="133">
        <f>IF(SER_hh_tes!G8=0,0,11630*1000*SER_hh_tes!G8/SER_hh_num!G8)</f>
        <v>271295.01362227468</v>
      </c>
      <c r="H8" s="133">
        <f>IF(SER_hh_tes!H8=0,0,11630*1000*SER_hh_tes!H8/SER_hh_num!H8)</f>
        <v>288587.17162427335</v>
      </c>
      <c r="I8" s="133">
        <f>IF(SER_hh_tes!I8=0,0,11630*1000*SER_hh_tes!I8/SER_hh_num!I8)</f>
        <v>279097.13656288036</v>
      </c>
      <c r="J8" s="133">
        <f>IF(SER_hh_tes!J8=0,0,11630*1000*SER_hh_tes!J8/SER_hh_num!J8)</f>
        <v>267821.58928529284</v>
      </c>
      <c r="K8" s="133">
        <f>IF(SER_hh_tes!K8=0,0,11630*1000*SER_hh_tes!K8/SER_hh_num!K8)</f>
        <v>258190.12291752722</v>
      </c>
      <c r="L8" s="133">
        <f>IF(SER_hh_tes!L8=0,0,11630*1000*SER_hh_tes!L8/SER_hh_num!L8)</f>
        <v>231847.27524555929</v>
      </c>
      <c r="M8" s="133">
        <f>IF(SER_hh_tes!M8=0,0,11630*1000*SER_hh_tes!M8/SER_hh_num!M8)</f>
        <v>222312.27018929058</v>
      </c>
      <c r="N8" s="133">
        <f>IF(SER_hh_tes!N8=0,0,11630*1000*SER_hh_tes!N8/SER_hh_num!N8)</f>
        <v>174528.03183501188</v>
      </c>
      <c r="O8" s="133">
        <f>IF(SER_hh_tes!O8=0,0,11630*1000*SER_hh_tes!O8/SER_hh_num!O8)</f>
        <v>191461.49425538149</v>
      </c>
      <c r="P8" s="133">
        <f>IF(SER_hh_tes!P8=0,0,11630*1000*SER_hh_tes!P8/SER_hh_num!P8)</f>
        <v>164448.07972239572</v>
      </c>
      <c r="Q8" s="133">
        <f>IF(SER_hh_tes!Q8=0,0,11630*1000*SER_hh_tes!Q8/SER_hh_num!Q8)</f>
        <v>173442.41516403441</v>
      </c>
      <c r="R8" s="133">
        <f>IF(SER_hh_tes!R8=0,0,11630*1000*SER_hh_tes!R8/SER_hh_num!R8)</f>
        <v>155640.9474171325</v>
      </c>
      <c r="S8" s="133">
        <f>IF(SER_hh_tes!S8=0,0,11630*1000*SER_hh_tes!S8/SER_hh_num!S8)</f>
        <v>156947.99721200456</v>
      </c>
      <c r="T8" s="133">
        <f>IF(SER_hh_tes!T8=0,0,11630*1000*SER_hh_tes!T8/SER_hh_num!T8)</f>
        <v>148459.54989401868</v>
      </c>
      <c r="U8" s="133">
        <f>IF(SER_hh_tes!U8=0,0,11630*1000*SER_hh_tes!U8/SER_hh_num!U8)</f>
        <v>126002.88611821832</v>
      </c>
      <c r="V8" s="133">
        <f>IF(SER_hh_tes!V8=0,0,11630*1000*SER_hh_tes!V8/SER_hh_num!V8)</f>
        <v>136529.08112888093</v>
      </c>
      <c r="W8" s="133">
        <f>IF(SER_hh_tes!W8=0,0,11630*1000*SER_hh_tes!W8/SER_hh_num!W8)</f>
        <v>145448.63904862423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475920.14913160593</v>
      </c>
      <c r="C9" s="133">
        <f>IF(SER_hh_tes!C9=0,0,11630*1000*SER_hh_tes!C9/SER_hh_num!C9)</f>
        <v>277962.35918877332</v>
      </c>
      <c r="D9" s="133">
        <f>IF(SER_hh_tes!D9=0,0,11630*1000*SER_hh_tes!D9/SER_hh_num!D9)</f>
        <v>208671.79869645333</v>
      </c>
      <c r="E9" s="133">
        <f>IF(SER_hh_tes!E9=0,0,11630*1000*SER_hh_tes!E9/SER_hh_num!E9)</f>
        <v>220182.79121007808</v>
      </c>
      <c r="F9" s="133">
        <f>IF(SER_hh_tes!F9=0,0,11630*1000*SER_hh_tes!F9/SER_hh_num!F9)</f>
        <v>132732.54270835649</v>
      </c>
      <c r="G9" s="133">
        <f>IF(SER_hh_tes!G9=0,0,11630*1000*SER_hh_tes!G9/SER_hh_num!G9)</f>
        <v>334739.29423165589</v>
      </c>
      <c r="H9" s="133">
        <f>IF(SER_hh_tes!H9=0,0,11630*1000*SER_hh_tes!H9/SER_hh_num!H9)</f>
        <v>320838.15966369491</v>
      </c>
      <c r="I9" s="133">
        <f>IF(SER_hh_tes!I9=0,0,11630*1000*SER_hh_tes!I9/SER_hh_num!I9)</f>
        <v>282453.16192110308</v>
      </c>
      <c r="J9" s="133">
        <f>IF(SER_hh_tes!J9=0,0,11630*1000*SER_hh_tes!J9/SER_hh_num!J9)</f>
        <v>295966.94330516882</v>
      </c>
      <c r="K9" s="133">
        <f>IF(SER_hh_tes!K9=0,0,11630*1000*SER_hh_tes!K9/SER_hh_num!K9)</f>
        <v>212506.6510163662</v>
      </c>
      <c r="L9" s="133">
        <f>IF(SER_hh_tes!L9=0,0,11630*1000*SER_hh_tes!L9/SER_hh_num!L9)</f>
        <v>342050.81204864319</v>
      </c>
      <c r="M9" s="133">
        <f>IF(SER_hh_tes!M9=0,0,11630*1000*SER_hh_tes!M9/SER_hh_num!M9)</f>
        <v>131040.66364366242</v>
      </c>
      <c r="N9" s="133">
        <f>IF(SER_hh_tes!N9=0,0,11630*1000*SER_hh_tes!N9/SER_hh_num!N9)</f>
        <v>219205.07521209147</v>
      </c>
      <c r="O9" s="133">
        <f>IF(SER_hh_tes!O9=0,0,11630*1000*SER_hh_tes!O9/SER_hh_num!O9)</f>
        <v>255345.37085148739</v>
      </c>
      <c r="P9" s="133">
        <f>IF(SER_hh_tes!P9=0,0,11630*1000*SER_hh_tes!P9/SER_hh_num!P9)</f>
        <v>143735.06850307787</v>
      </c>
      <c r="Q9" s="133">
        <f>IF(SER_hh_tes!Q9=0,0,11630*1000*SER_hh_tes!Q9/SER_hh_num!Q9)</f>
        <v>159535.31107811848</v>
      </c>
      <c r="R9" s="133">
        <f>IF(SER_hh_tes!R9=0,0,11630*1000*SER_hh_tes!R9/SER_hh_num!R9)</f>
        <v>156979.67091147459</v>
      </c>
      <c r="S9" s="133">
        <f>IF(SER_hh_tes!S9=0,0,11630*1000*SER_hh_tes!S9/SER_hh_num!S9)</f>
        <v>178349.87947075104</v>
      </c>
      <c r="T9" s="133">
        <f>IF(SER_hh_tes!T9=0,0,11630*1000*SER_hh_tes!T9/SER_hh_num!T9)</f>
        <v>156158.71675047989</v>
      </c>
      <c r="U9" s="133">
        <f>IF(SER_hh_tes!U9=0,0,11630*1000*SER_hh_tes!U9/SER_hh_num!U9)</f>
        <v>125633.93017611197</v>
      </c>
      <c r="V9" s="133">
        <f>IF(SER_hh_tes!V9=0,0,11630*1000*SER_hh_tes!V9/SER_hh_num!V9)</f>
        <v>117044.59311351864</v>
      </c>
      <c r="W9" s="133">
        <f>IF(SER_hh_tes!W9=0,0,11630*1000*SER_hh_tes!W9/SER_hh_num!W9)</f>
        <v>179471.31346555243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3805.4389759472842</v>
      </c>
      <c r="C10" s="133">
        <f>IF(SER_hh_tes!C10=0,0,11630*1000*SER_hh_tes!C10/SER_hh_num!C10)</f>
        <v>486386.43139590981</v>
      </c>
      <c r="D10" s="133">
        <f>IF(SER_hh_tes!D10=0,0,11630*1000*SER_hh_tes!D10/SER_hh_num!D10)</f>
        <v>166400.78176830008</v>
      </c>
      <c r="E10" s="133">
        <f>IF(SER_hh_tes!E10=0,0,11630*1000*SER_hh_tes!E10/SER_hh_num!E10)</f>
        <v>184945.16787401983</v>
      </c>
      <c r="F10" s="133">
        <f>IF(SER_hh_tes!F10=0,0,11630*1000*SER_hh_tes!F10/SER_hh_num!F10)</f>
        <v>259064.63161790895</v>
      </c>
      <c r="G10" s="133">
        <f>IF(SER_hh_tes!G10=0,0,11630*1000*SER_hh_tes!G10/SER_hh_num!G10)</f>
        <v>123099.83591069569</v>
      </c>
      <c r="H10" s="133">
        <f>IF(SER_hh_tes!H10=0,0,11630*1000*SER_hh_tes!H10/SER_hh_num!H10)</f>
        <v>95976.336929474972</v>
      </c>
      <c r="I10" s="133">
        <f>IF(SER_hh_tes!I10=0,0,11630*1000*SER_hh_tes!I10/SER_hh_num!I10)</f>
        <v>43066.029419290673</v>
      </c>
      <c r="J10" s="133">
        <f>IF(SER_hh_tes!J10=0,0,11630*1000*SER_hh_tes!J10/SER_hh_num!J10)</f>
        <v>330361.74589267117</v>
      </c>
      <c r="K10" s="133">
        <f>IF(SER_hh_tes!K10=0,0,11630*1000*SER_hh_tes!K10/SER_hh_num!K10)</f>
        <v>345582.15906124219</v>
      </c>
      <c r="L10" s="133">
        <f>IF(SER_hh_tes!L10=0,0,11630*1000*SER_hh_tes!L10/SER_hh_num!L10)</f>
        <v>317030.36664465052</v>
      </c>
      <c r="M10" s="133">
        <f>IF(SER_hh_tes!M10=0,0,11630*1000*SER_hh_tes!M10/SER_hh_num!M10)</f>
        <v>164545.66113793751</v>
      </c>
      <c r="N10" s="133">
        <f>IF(SER_hh_tes!N10=0,0,11630*1000*SER_hh_tes!N10/SER_hh_num!N10)</f>
        <v>194992.76021306438</v>
      </c>
      <c r="O10" s="133">
        <f>IF(SER_hh_tes!O10=0,0,11630*1000*SER_hh_tes!O10/SER_hh_num!O10)</f>
        <v>106552.77086616297</v>
      </c>
      <c r="P10" s="133">
        <f>IF(SER_hh_tes!P10=0,0,11630*1000*SER_hh_tes!P10/SER_hh_num!P10)</f>
        <v>269043.18968267296</v>
      </c>
      <c r="Q10" s="133">
        <f>IF(SER_hh_tes!Q10=0,0,11630*1000*SER_hh_tes!Q10/SER_hh_num!Q10)</f>
        <v>152887.23599359221</v>
      </c>
      <c r="R10" s="133">
        <f>IF(SER_hh_tes!R10=0,0,11630*1000*SER_hh_tes!R10/SER_hh_num!R10)</f>
        <v>54572.419412369869</v>
      </c>
      <c r="S10" s="133">
        <f>IF(SER_hh_tes!S10=0,0,11630*1000*SER_hh_tes!S10/SER_hh_num!S10)</f>
        <v>181047.16752789886</v>
      </c>
      <c r="T10" s="133">
        <f>IF(SER_hh_tes!T10=0,0,11630*1000*SER_hh_tes!T10/SER_hh_num!T10)</f>
        <v>150393.70285385172</v>
      </c>
      <c r="U10" s="133">
        <f>IF(SER_hh_tes!U10=0,0,11630*1000*SER_hh_tes!U10/SER_hh_num!U10)</f>
        <v>138160.71043177004</v>
      </c>
      <c r="V10" s="133">
        <f>IF(SER_hh_tes!V10=0,0,11630*1000*SER_hh_tes!V10/SER_hh_num!V10)</f>
        <v>143595.05424905411</v>
      </c>
      <c r="W10" s="133">
        <f>IF(SER_hh_tes!W10=0,0,11630*1000*SER_hh_tes!W10/SER_hh_num!W10)</f>
        <v>155385.07617463774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388783.27872592269</v>
      </c>
      <c r="D11" s="133">
        <f>IF(SER_hh_tes!D11=0,0,11630*1000*SER_hh_tes!D11/SER_hh_num!D11)</f>
        <v>272634.36611090763</v>
      </c>
      <c r="E11" s="133">
        <f>IF(SER_hh_tes!E11=0,0,11630*1000*SER_hh_tes!E11/SER_hh_num!E11)</f>
        <v>241980.66371906298</v>
      </c>
      <c r="F11" s="133">
        <f>IF(SER_hh_tes!F11=0,0,11630*1000*SER_hh_tes!F11/SER_hh_num!F11)</f>
        <v>225524.64803335411</v>
      </c>
      <c r="G11" s="133">
        <f>IF(SER_hh_tes!G11=0,0,11630*1000*SER_hh_tes!G11/SER_hh_num!G11)</f>
        <v>254696.80813949689</v>
      </c>
      <c r="H11" s="133">
        <f>IF(SER_hh_tes!H11=0,0,11630*1000*SER_hh_tes!H11/SER_hh_num!H11)</f>
        <v>304246.81496856979</v>
      </c>
      <c r="I11" s="133">
        <f>IF(SER_hh_tes!I11=0,0,11630*1000*SER_hh_tes!I11/SER_hh_num!I11)</f>
        <v>284622.83180357487</v>
      </c>
      <c r="J11" s="133">
        <f>IF(SER_hh_tes!J11=0,0,11630*1000*SER_hh_tes!J11/SER_hh_num!J11)</f>
        <v>289561.95841125783</v>
      </c>
      <c r="K11" s="133">
        <f>IF(SER_hh_tes!K11=0,0,11630*1000*SER_hh_tes!K11/SER_hh_num!K11)</f>
        <v>285263.99371836928</v>
      </c>
      <c r="L11" s="133">
        <f>IF(SER_hh_tes!L11=0,0,11630*1000*SER_hh_tes!L11/SER_hh_num!L11)</f>
        <v>292718.08607714367</v>
      </c>
      <c r="M11" s="133">
        <f>IF(SER_hh_tes!M11=0,0,11630*1000*SER_hh_tes!M11/SER_hh_num!M11)</f>
        <v>237799.20682888871</v>
      </c>
      <c r="N11" s="133">
        <f>IF(SER_hh_tes!N11=0,0,11630*1000*SER_hh_tes!N11/SER_hh_num!N11)</f>
        <v>188778.38732821768</v>
      </c>
      <c r="O11" s="133">
        <f>IF(SER_hh_tes!O11=0,0,11630*1000*SER_hh_tes!O11/SER_hh_num!O11)</f>
        <v>215862.36775990887</v>
      </c>
      <c r="P11" s="133">
        <f>IF(SER_hh_tes!P11=0,0,11630*1000*SER_hh_tes!P11/SER_hh_num!P11)</f>
        <v>146869.75799709902</v>
      </c>
      <c r="Q11" s="133">
        <f>IF(SER_hh_tes!Q11=0,0,11630*1000*SER_hh_tes!Q11/SER_hh_num!Q11)</f>
        <v>151519.09023656213</v>
      </c>
      <c r="R11" s="133">
        <f>IF(SER_hh_tes!R11=0,0,11630*1000*SER_hh_tes!R11/SER_hh_num!R11)</f>
        <v>170807.00702114409</v>
      </c>
      <c r="S11" s="133">
        <f>IF(SER_hh_tes!S11=0,0,11630*1000*SER_hh_tes!S11/SER_hh_num!S11)</f>
        <v>170112.28896986414</v>
      </c>
      <c r="T11" s="133">
        <f>IF(SER_hh_tes!T11=0,0,11630*1000*SER_hh_tes!T11/SER_hh_num!T11)</f>
        <v>166315.17498376843</v>
      </c>
      <c r="U11" s="133">
        <f>IF(SER_hh_tes!U11=0,0,11630*1000*SER_hh_tes!U11/SER_hh_num!U11)</f>
        <v>202261.0474754945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378269.2453063408</v>
      </c>
      <c r="C12" s="133">
        <f>IF(SER_hh_tes!C12=0,0,11630*1000*SER_hh_tes!C12/SER_hh_num!C12)</f>
        <v>281420.59339709219</v>
      </c>
      <c r="D12" s="133">
        <f>IF(SER_hh_tes!D12=0,0,11630*1000*SER_hh_tes!D12/SER_hh_num!D12)</f>
        <v>276642.10862707102</v>
      </c>
      <c r="E12" s="133">
        <f>IF(SER_hh_tes!E12=0,0,11630*1000*SER_hh_tes!E12/SER_hh_num!E12)</f>
        <v>203547.72255524545</v>
      </c>
      <c r="F12" s="133">
        <f>IF(SER_hh_tes!F12=0,0,11630*1000*SER_hh_tes!F12/SER_hh_num!F12)</f>
        <v>306674.40683804348</v>
      </c>
      <c r="G12" s="133">
        <f>IF(SER_hh_tes!G12=0,0,11630*1000*SER_hh_tes!G12/SER_hh_num!G12)</f>
        <v>274064.67178352911</v>
      </c>
      <c r="H12" s="133">
        <f>IF(SER_hh_tes!H12=0,0,11630*1000*SER_hh_tes!H12/SER_hh_num!H12)</f>
        <v>272153.30038293236</v>
      </c>
      <c r="I12" s="133">
        <f>IF(SER_hh_tes!I12=0,0,11630*1000*SER_hh_tes!I12/SER_hh_num!I12)</f>
        <v>263319.91922492278</v>
      </c>
      <c r="J12" s="133">
        <f>IF(SER_hh_tes!J12=0,0,11630*1000*SER_hh_tes!J12/SER_hh_num!J12)</f>
        <v>267688.47616482625</v>
      </c>
      <c r="K12" s="133">
        <f>IF(SER_hh_tes!K12=0,0,11630*1000*SER_hh_tes!K12/SER_hh_num!K12)</f>
        <v>290223.20775720762</v>
      </c>
      <c r="L12" s="133">
        <f>IF(SER_hh_tes!L12=0,0,11630*1000*SER_hh_tes!L12/SER_hh_num!L12)</f>
        <v>320940.36495389807</v>
      </c>
      <c r="M12" s="133">
        <f>IF(SER_hh_tes!M12=0,0,11630*1000*SER_hh_tes!M12/SER_hh_num!M12)</f>
        <v>263423.82954568474</v>
      </c>
      <c r="N12" s="133">
        <f>IF(SER_hh_tes!N12=0,0,11630*1000*SER_hh_tes!N12/SER_hh_num!N12)</f>
        <v>187548.48961863396</v>
      </c>
      <c r="O12" s="133">
        <f>IF(SER_hh_tes!O12=0,0,11630*1000*SER_hh_tes!O12/SER_hh_num!O12)</f>
        <v>179215.99097876297</v>
      </c>
      <c r="P12" s="133">
        <f>IF(SER_hh_tes!P12=0,0,11630*1000*SER_hh_tes!P12/SER_hh_num!P12)</f>
        <v>107249.00818539088</v>
      </c>
      <c r="Q12" s="133">
        <f>IF(SER_hh_tes!Q12=0,0,11630*1000*SER_hh_tes!Q12/SER_hh_num!Q12)</f>
        <v>58117.771588819938</v>
      </c>
      <c r="R12" s="133">
        <f>IF(SER_hh_tes!R12=0,0,11630*1000*SER_hh_tes!R12/SER_hh_num!R12)</f>
        <v>199513.47045912431</v>
      </c>
      <c r="S12" s="133">
        <f>IF(SER_hh_tes!S12=0,0,11630*1000*SER_hh_tes!S12/SER_hh_num!S12)</f>
        <v>170128.44660479674</v>
      </c>
      <c r="T12" s="133">
        <f>IF(SER_hh_tes!T12=0,0,11630*1000*SER_hh_tes!T12/SER_hh_num!T12)</f>
        <v>150324.02611233515</v>
      </c>
      <c r="U12" s="133">
        <f>IF(SER_hh_tes!U12=0,0,11630*1000*SER_hh_tes!U12/SER_hh_num!U12)</f>
        <v>131012.69337531857</v>
      </c>
      <c r="V12" s="133">
        <f>IF(SER_hh_tes!V12=0,0,11630*1000*SER_hh_tes!V12/SER_hh_num!V12)</f>
        <v>123337.41551240526</v>
      </c>
      <c r="W12" s="133">
        <f>IF(SER_hh_tes!W12=0,0,11630*1000*SER_hh_tes!W12/SER_hh_num!W12)</f>
        <v>171697.08643362732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101922.69933846753</v>
      </c>
      <c r="C13" s="133">
        <f>IF(SER_hh_tes!C13=0,0,11630*1000*SER_hh_tes!C13/SER_hh_num!C13)</f>
        <v>295682.20870494522</v>
      </c>
      <c r="D13" s="133">
        <f>IF(SER_hh_tes!D13=0,0,11630*1000*SER_hh_tes!D13/SER_hh_num!D13)</f>
        <v>260906.5064701979</v>
      </c>
      <c r="E13" s="133">
        <f>IF(SER_hh_tes!E13=0,0,11630*1000*SER_hh_tes!E13/SER_hh_num!E13)</f>
        <v>215644.45689871779</v>
      </c>
      <c r="F13" s="133">
        <f>IF(SER_hh_tes!F13=0,0,11630*1000*SER_hh_tes!F13/SER_hh_num!F13)</f>
        <v>274141.32672115555</v>
      </c>
      <c r="G13" s="133">
        <f>IF(SER_hh_tes!G13=0,0,11630*1000*SER_hh_tes!G13/SER_hh_num!G13)</f>
        <v>260850.3298934242</v>
      </c>
      <c r="H13" s="133">
        <f>IF(SER_hh_tes!H13=0,0,11630*1000*SER_hh_tes!H13/SER_hh_num!H13)</f>
        <v>244736.14861789279</v>
      </c>
      <c r="I13" s="133">
        <f>IF(SER_hh_tes!I13=0,0,11630*1000*SER_hh_tes!I13/SER_hh_num!I13)</f>
        <v>282560.94609566673</v>
      </c>
      <c r="J13" s="133">
        <f>IF(SER_hh_tes!J13=0,0,11630*1000*SER_hh_tes!J13/SER_hh_num!J13)</f>
        <v>239133.04596772211</v>
      </c>
      <c r="K13" s="133">
        <f>IF(SER_hh_tes!K13=0,0,11630*1000*SER_hh_tes!K13/SER_hh_num!K13)</f>
        <v>228945.5347690116</v>
      </c>
      <c r="L13" s="133">
        <f>IF(SER_hh_tes!L13=0,0,11630*1000*SER_hh_tes!L13/SER_hh_num!L13)</f>
        <v>216448.52803303555</v>
      </c>
      <c r="M13" s="133">
        <f>IF(SER_hh_tes!M13=0,0,11630*1000*SER_hh_tes!M13/SER_hh_num!M13)</f>
        <v>235056.2388601868</v>
      </c>
      <c r="N13" s="133">
        <f>IF(SER_hh_tes!N13=0,0,11630*1000*SER_hh_tes!N13/SER_hh_num!N13)</f>
        <v>207515.8949257143</v>
      </c>
      <c r="O13" s="133">
        <f>IF(SER_hh_tes!O13=0,0,11630*1000*SER_hh_tes!O13/SER_hh_num!O13)</f>
        <v>163753.96066320833</v>
      </c>
      <c r="P13" s="133">
        <f>IF(SER_hh_tes!P13=0,0,11630*1000*SER_hh_tes!P13/SER_hh_num!P13)</f>
        <v>125079.52013533986</v>
      </c>
      <c r="Q13" s="133">
        <f>IF(SER_hh_tes!Q13=0,0,11630*1000*SER_hh_tes!Q13/SER_hh_num!Q13)</f>
        <v>187709.69512274369</v>
      </c>
      <c r="R13" s="133">
        <f>IF(SER_hh_tes!R13=0,0,11630*1000*SER_hh_tes!R13/SER_hh_num!R13)</f>
        <v>166398.63580394216</v>
      </c>
      <c r="S13" s="133">
        <f>IF(SER_hh_tes!S13=0,0,11630*1000*SER_hh_tes!S13/SER_hh_num!S13)</f>
        <v>163470.29862907386</v>
      </c>
      <c r="T13" s="133">
        <f>IF(SER_hh_tes!T13=0,0,11630*1000*SER_hh_tes!T13/SER_hh_num!T13)</f>
        <v>151009.26482435357</v>
      </c>
      <c r="U13" s="133">
        <f>IF(SER_hh_tes!U13=0,0,11630*1000*SER_hh_tes!U13/SER_hh_num!U13)</f>
        <v>126128.05342696873</v>
      </c>
      <c r="V13" s="133">
        <f>IF(SER_hh_tes!V13=0,0,11630*1000*SER_hh_tes!V13/SER_hh_num!V13)</f>
        <v>135973.21166943107</v>
      </c>
      <c r="W13" s="133">
        <f>IF(SER_hh_tes!W13=0,0,11630*1000*SER_hh_tes!W13/SER_hh_num!W13)</f>
        <v>151927.97420372503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243632.27305656552</v>
      </c>
      <c r="C14" s="65">
        <f>IF(SER_hh_tes!C14=0,0,11630*1000*SER_hh_tes!C14/SER_hh_num!C14)</f>
        <v>345415.30704785802</v>
      </c>
      <c r="D14" s="65">
        <f>IF(SER_hh_tes!D14=0,0,11630*1000*SER_hh_tes!D14/SER_hh_num!D14)</f>
        <v>298982.23854102794</v>
      </c>
      <c r="E14" s="65">
        <f>IF(SER_hh_tes!E14=0,0,11630*1000*SER_hh_tes!E14/SER_hh_num!E14)</f>
        <v>218866.58391968906</v>
      </c>
      <c r="F14" s="65">
        <f>IF(SER_hh_tes!F14=0,0,11630*1000*SER_hh_tes!F14/SER_hh_num!F14)</f>
        <v>287953.98137405328</v>
      </c>
      <c r="G14" s="65">
        <f>IF(SER_hh_tes!G14=0,0,11630*1000*SER_hh_tes!G14/SER_hh_num!G14)</f>
        <v>224333.42160480664</v>
      </c>
      <c r="H14" s="65">
        <f>IF(SER_hh_tes!H14=0,0,11630*1000*SER_hh_tes!H14/SER_hh_num!H14)</f>
        <v>250015.59798832826</v>
      </c>
      <c r="I14" s="65">
        <f>IF(SER_hh_tes!I14=0,0,11630*1000*SER_hh_tes!I14/SER_hh_num!I14)</f>
        <v>293736.06481734599</v>
      </c>
      <c r="J14" s="65">
        <f>IF(SER_hh_tes!J14=0,0,11630*1000*SER_hh_tes!J14/SER_hh_num!J14)</f>
        <v>265106.14483599807</v>
      </c>
      <c r="K14" s="65">
        <f>IF(SER_hh_tes!K14=0,0,11630*1000*SER_hh_tes!K14/SER_hh_num!K14)</f>
        <v>263235.13457147207</v>
      </c>
      <c r="L14" s="65">
        <f>IF(SER_hh_tes!L14=0,0,11630*1000*SER_hh_tes!L14/SER_hh_num!L14)</f>
        <v>308090.07585967105</v>
      </c>
      <c r="M14" s="65">
        <f>IF(SER_hh_tes!M14=0,0,11630*1000*SER_hh_tes!M14/SER_hh_num!M14)</f>
        <v>289355.6867242736</v>
      </c>
      <c r="N14" s="65">
        <f>IF(SER_hh_tes!N14=0,0,11630*1000*SER_hh_tes!N14/SER_hh_num!N14)</f>
        <v>162974.75614141044</v>
      </c>
      <c r="O14" s="65">
        <f>IF(SER_hh_tes!O14=0,0,11630*1000*SER_hh_tes!O14/SER_hh_num!O14)</f>
        <v>238893.67496655087</v>
      </c>
      <c r="P14" s="65">
        <f>IF(SER_hh_tes!P14=0,0,11630*1000*SER_hh_tes!P14/SER_hh_num!P14)</f>
        <v>135030.56945569327</v>
      </c>
      <c r="Q14" s="65">
        <f>IF(SER_hh_tes!Q14=0,0,11630*1000*SER_hh_tes!Q14/SER_hh_num!Q14)</f>
        <v>158712.66211531288</v>
      </c>
      <c r="R14" s="65">
        <f>IF(SER_hh_tes!R14=0,0,11630*1000*SER_hh_tes!R14/SER_hh_num!R14)</f>
        <v>160489.22211593713</v>
      </c>
      <c r="S14" s="65">
        <f>IF(SER_hh_tes!S14=0,0,11630*1000*SER_hh_tes!S14/SER_hh_num!S14)</f>
        <v>189371.11789031667</v>
      </c>
      <c r="T14" s="65">
        <f>IF(SER_hh_tes!T14=0,0,11630*1000*SER_hh_tes!T14/SER_hh_num!T14)</f>
        <v>159594.28929312876</v>
      </c>
      <c r="U14" s="65">
        <f>IF(SER_hh_tes!U14=0,0,11630*1000*SER_hh_tes!U14/SER_hh_num!U14)</f>
        <v>123682.03069241608</v>
      </c>
      <c r="V14" s="65">
        <f>IF(SER_hh_tes!V14=0,0,11630*1000*SER_hh_tes!V14/SER_hh_num!V14)</f>
        <v>127112.87100104506</v>
      </c>
      <c r="W14" s="65">
        <f>IF(SER_hh_tes!W14=0,0,11630*1000*SER_hh_tes!W14/SER_hh_num!W14)</f>
        <v>165439.12264454659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7014.2725339322833</v>
      </c>
      <c r="C15" s="135">
        <f>IF(SER_hh_tes!C15=0,0,11630*1000*SER_hh_tes!C15/SER_hh_num!C15)</f>
        <v>4209.625278957993</v>
      </c>
      <c r="D15" s="135">
        <f>IF(SER_hh_tes!D15=0,0,11630*1000*SER_hh_tes!D15/SER_hh_num!D15)</f>
        <v>3162.49187858493</v>
      </c>
      <c r="E15" s="135">
        <f>IF(SER_hh_tes!E15=0,0,11630*1000*SER_hh_tes!E15/SER_hh_num!E15)</f>
        <v>2610.249460185159</v>
      </c>
      <c r="F15" s="135">
        <f>IF(SER_hh_tes!F15=0,0,11630*1000*SER_hh_tes!F15/SER_hh_num!F15)</f>
        <v>2242.0681137949264</v>
      </c>
      <c r="G15" s="135">
        <f>IF(SER_hh_tes!G15=0,0,11630*1000*SER_hh_tes!G15/SER_hh_num!G15)</f>
        <v>4203.3828164178531</v>
      </c>
      <c r="H15" s="135">
        <f>IF(SER_hh_tes!H15=0,0,11630*1000*SER_hh_tes!H15/SER_hh_num!H15)</f>
        <v>4283.51463942381</v>
      </c>
      <c r="I15" s="135">
        <f>IF(SER_hh_tes!I15=0,0,11630*1000*SER_hh_tes!I15/SER_hh_num!I15)</f>
        <v>3737.8750629745705</v>
      </c>
      <c r="J15" s="135">
        <f>IF(SER_hh_tes!J15=0,0,11630*1000*SER_hh_tes!J15/SER_hh_num!J15)</f>
        <v>3731.1254140110309</v>
      </c>
      <c r="K15" s="135">
        <f>IF(SER_hh_tes!K15=0,0,11630*1000*SER_hh_tes!K15/SER_hh_num!K15)</f>
        <v>3204.2833500553597</v>
      </c>
      <c r="L15" s="135">
        <f>IF(SER_hh_tes!L15=0,0,11630*1000*SER_hh_tes!L15/SER_hh_num!L15)</f>
        <v>3808.6288613093752</v>
      </c>
      <c r="M15" s="135">
        <f>IF(SER_hh_tes!M15=0,0,11630*1000*SER_hh_tes!M15/SER_hh_num!M15)</f>
        <v>2007.2797553379817</v>
      </c>
      <c r="N15" s="135">
        <f>IF(SER_hh_tes!N15=0,0,11630*1000*SER_hh_tes!N15/SER_hh_num!N15)</f>
        <v>2606.4110493714788</v>
      </c>
      <c r="O15" s="135">
        <f>IF(SER_hh_tes!O15=0,0,11630*1000*SER_hh_tes!O15/SER_hh_num!O15)</f>
        <v>3221.9148734157243</v>
      </c>
      <c r="P15" s="135">
        <f>IF(SER_hh_tes!P15=0,0,11630*1000*SER_hh_tes!P15/SER_hh_num!P15)</f>
        <v>1914.2439786628831</v>
      </c>
      <c r="Q15" s="135">
        <f>IF(SER_hh_tes!Q15=0,0,11630*1000*SER_hh_tes!Q15/SER_hh_num!Q15)</f>
        <v>2071.2407607213354</v>
      </c>
      <c r="R15" s="135">
        <f>IF(SER_hh_tes!R15=0,0,11630*1000*SER_hh_tes!R15/SER_hh_num!R15)</f>
        <v>2051.3425496481022</v>
      </c>
      <c r="S15" s="135">
        <f>IF(SER_hh_tes!S15=0,0,11630*1000*SER_hh_tes!S15/SER_hh_num!S15)</f>
        <v>2292.0760004905078</v>
      </c>
      <c r="T15" s="135">
        <f>IF(SER_hh_tes!T15=0,0,11630*1000*SER_hh_tes!T15/SER_hh_num!T15)</f>
        <v>1976.8812428033855</v>
      </c>
      <c r="U15" s="135">
        <f>IF(SER_hh_tes!U15=0,0,11630*1000*SER_hh_tes!U15/SER_hh_num!U15)</f>
        <v>1695.8044981018304</v>
      </c>
      <c r="V15" s="135">
        <f>IF(SER_hh_tes!V15=0,0,11630*1000*SER_hh_tes!V15/SER_hh_num!V15)</f>
        <v>1448.2507911272437</v>
      </c>
      <c r="W15" s="135">
        <f>IF(SER_hh_tes!W15=0,0,11630*1000*SER_hh_tes!W15/SER_hh_num!W15)</f>
        <v>2179.7308075354567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27449.461461492287</v>
      </c>
      <c r="C16" s="131">
        <f>IF(SER_hh_tes!C16=0,0,11630*1000*SER_hh_tes!C16/SER_hh_num!C16)</f>
        <v>26962.179582692235</v>
      </c>
      <c r="D16" s="131">
        <f>IF(SER_hh_tes!D16=0,0,11630*1000*SER_hh_tes!D16/SER_hh_num!D16)</f>
        <v>27442.755164345093</v>
      </c>
      <c r="E16" s="131">
        <f>IF(SER_hh_tes!E16=0,0,11630*1000*SER_hh_tes!E16/SER_hh_num!E16)</f>
        <v>27748.22272529086</v>
      </c>
      <c r="F16" s="131">
        <f>IF(SER_hh_tes!F16=0,0,11630*1000*SER_hh_tes!F16/SER_hh_num!F16)</f>
        <v>26748.078704752937</v>
      </c>
      <c r="G16" s="131">
        <f>IF(SER_hh_tes!G16=0,0,11630*1000*SER_hh_tes!G16/SER_hh_num!G16)</f>
        <v>26979.000293385754</v>
      </c>
      <c r="H16" s="131">
        <f>IF(SER_hh_tes!H16=0,0,11630*1000*SER_hh_tes!H16/SER_hh_num!H16)</f>
        <v>27748.988495450147</v>
      </c>
      <c r="I16" s="131">
        <f>IF(SER_hh_tes!I16=0,0,11630*1000*SER_hh_tes!I16/SER_hh_num!I16)</f>
        <v>28799.795460038818</v>
      </c>
      <c r="J16" s="131">
        <f>IF(SER_hh_tes!J16=0,0,11630*1000*SER_hh_tes!J16/SER_hh_num!J16)</f>
        <v>27001.636044614901</v>
      </c>
      <c r="K16" s="131">
        <f>IF(SER_hh_tes!K16=0,0,11630*1000*SER_hh_tes!K16/SER_hh_num!K16)</f>
        <v>27230.835268643434</v>
      </c>
      <c r="L16" s="131">
        <f>IF(SER_hh_tes!L16=0,0,11630*1000*SER_hh_tes!L16/SER_hh_num!L16)</f>
        <v>28296.443917656841</v>
      </c>
      <c r="M16" s="131">
        <f>IF(SER_hh_tes!M16=0,0,11630*1000*SER_hh_tes!M16/SER_hh_num!M16)</f>
        <v>27703.041598610995</v>
      </c>
      <c r="N16" s="131">
        <f>IF(SER_hh_tes!N16=0,0,11630*1000*SER_hh_tes!N16/SER_hh_num!N16)</f>
        <v>30632.256805310029</v>
      </c>
      <c r="O16" s="131">
        <f>IF(SER_hh_tes!O16=0,0,11630*1000*SER_hh_tes!O16/SER_hh_num!O16)</f>
        <v>29607.254736602819</v>
      </c>
      <c r="P16" s="131">
        <f>IF(SER_hh_tes!P16=0,0,11630*1000*SER_hh_tes!P16/SER_hh_num!P16)</f>
        <v>27388.644563531427</v>
      </c>
      <c r="Q16" s="131">
        <f>IF(SER_hh_tes!Q16=0,0,11630*1000*SER_hh_tes!Q16/SER_hh_num!Q16)</f>
        <v>32460.580396806501</v>
      </c>
      <c r="R16" s="131">
        <f>IF(SER_hh_tes!R16=0,0,11630*1000*SER_hh_tes!R16/SER_hh_num!R16)</f>
        <v>27710.778668334471</v>
      </c>
      <c r="S16" s="131">
        <f>IF(SER_hh_tes!S16=0,0,11630*1000*SER_hh_tes!S16/SER_hh_num!S16)</f>
        <v>29650.047064512048</v>
      </c>
      <c r="T16" s="131">
        <f>IF(SER_hh_tes!T16=0,0,11630*1000*SER_hh_tes!T16/SER_hh_num!T16)</f>
        <v>29174.008409337112</v>
      </c>
      <c r="U16" s="131">
        <f>IF(SER_hh_tes!U16=0,0,11630*1000*SER_hh_tes!U16/SER_hh_num!U16)</f>
        <v>30155.591352822747</v>
      </c>
      <c r="V16" s="131">
        <f>IF(SER_hh_tes!V16=0,0,11630*1000*SER_hh_tes!V16/SER_hh_num!V16)</f>
        <v>27627.555132291844</v>
      </c>
      <c r="W16" s="131">
        <f>IF(SER_hh_tes!W16=0,0,11630*1000*SER_hh_tes!W16/SER_hh_num!W16)</f>
        <v>29978.881397811776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27449.461461492279</v>
      </c>
      <c r="C17" s="133">
        <f>IF(SER_hh_tes!C17=0,0,11630*1000*SER_hh_tes!C17/SER_hh_num!C17)</f>
        <v>26962.295715929169</v>
      </c>
      <c r="D17" s="133">
        <f>IF(SER_hh_tes!D17=0,0,11630*1000*SER_hh_tes!D17/SER_hh_num!D17)</f>
        <v>27442.769618972565</v>
      </c>
      <c r="E17" s="133">
        <f>IF(SER_hh_tes!E17=0,0,11630*1000*SER_hh_tes!E17/SER_hh_num!E17)</f>
        <v>27748.191344536332</v>
      </c>
      <c r="F17" s="133">
        <f>IF(SER_hh_tes!F17=0,0,11630*1000*SER_hh_tes!F17/SER_hh_num!F17)</f>
        <v>26748.032772083337</v>
      </c>
      <c r="G17" s="133">
        <f>IF(SER_hh_tes!G17=0,0,11630*1000*SER_hh_tes!G17/SER_hh_num!G17)</f>
        <v>26978.958359407443</v>
      </c>
      <c r="H17" s="133">
        <f>IF(SER_hh_tes!H17=0,0,11630*1000*SER_hh_tes!H17/SER_hh_num!H17)</f>
        <v>27748.963413957459</v>
      </c>
      <c r="I17" s="133">
        <f>IF(SER_hh_tes!I17=0,0,11630*1000*SER_hh_tes!I17/SER_hh_num!I17)</f>
        <v>28799.79268978921</v>
      </c>
      <c r="J17" s="133">
        <f>IF(SER_hh_tes!J17=0,0,11630*1000*SER_hh_tes!J17/SER_hh_num!J17)</f>
        <v>27001.649597415435</v>
      </c>
      <c r="K17" s="133">
        <f>IF(SER_hh_tes!K17=0,0,11630*1000*SER_hh_tes!K17/SER_hh_num!K17)</f>
        <v>27230.86211260693</v>
      </c>
      <c r="L17" s="133">
        <f>IF(SER_hh_tes!L17=0,0,11630*1000*SER_hh_tes!L17/SER_hh_num!L17)</f>
        <v>28296.485231622839</v>
      </c>
      <c r="M17" s="133">
        <f>IF(SER_hh_tes!M17=0,0,11630*1000*SER_hh_tes!M17/SER_hh_num!M17)</f>
        <v>27703.100844265467</v>
      </c>
      <c r="N17" s="133">
        <f>IF(SER_hh_tes!N17=0,0,11630*1000*SER_hh_tes!N17/SER_hh_num!N17)</f>
        <v>30632.235596118313</v>
      </c>
      <c r="O17" s="133">
        <f>IF(SER_hh_tes!O17=0,0,11630*1000*SER_hh_tes!O17/SER_hh_num!O17)</f>
        <v>29607.179885739533</v>
      </c>
      <c r="P17" s="133">
        <f>IF(SER_hh_tes!P17=0,0,11630*1000*SER_hh_tes!P17/SER_hh_num!P17)</f>
        <v>27388.555036677975</v>
      </c>
      <c r="Q17" s="133">
        <f>IF(SER_hh_tes!Q17=0,0,11630*1000*SER_hh_tes!Q17/SER_hh_num!Q17)</f>
        <v>32124.968921547803</v>
      </c>
      <c r="R17" s="133">
        <f>IF(SER_hh_tes!R17=0,0,11630*1000*SER_hh_tes!R17/SER_hh_num!R17)</f>
        <v>27709.510941181496</v>
      </c>
      <c r="S17" s="133">
        <f>IF(SER_hh_tes!S17=0,0,11630*1000*SER_hh_tes!S17/SER_hh_num!S17)</f>
        <v>29646.729036482844</v>
      </c>
      <c r="T17" s="133">
        <f>IF(SER_hh_tes!T17=0,0,11630*1000*SER_hh_tes!T17/SER_hh_num!T17)</f>
        <v>29168.763443106891</v>
      </c>
      <c r="U17" s="133">
        <f>IF(SER_hh_tes!U17=0,0,11630*1000*SER_hh_tes!U17/SER_hh_num!U17)</f>
        <v>30149.228622989078</v>
      </c>
      <c r="V17" s="133">
        <f>IF(SER_hh_tes!V17=0,0,11630*1000*SER_hh_tes!V17/SER_hh_num!V17)</f>
        <v>29131.315380950644</v>
      </c>
      <c r="W17" s="133">
        <f>IF(SER_hh_tes!W17=0,0,11630*1000*SER_hh_tes!W17/SER_hh_num!W17)</f>
        <v>28481.344237541663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27449.461461492287</v>
      </c>
      <c r="C18" s="133">
        <f>IF(SER_hh_tes!C18=0,0,11630*1000*SER_hh_tes!C18/SER_hh_num!C18)</f>
        <v>26962.179231631497</v>
      </c>
      <c r="D18" s="133">
        <f>IF(SER_hh_tes!D18=0,0,11630*1000*SER_hh_tes!D18/SER_hh_num!D18)</f>
        <v>27442.755129477813</v>
      </c>
      <c r="E18" s="133">
        <f>IF(SER_hh_tes!E18=0,0,11630*1000*SER_hh_tes!E18/SER_hh_num!E18)</f>
        <v>27748.222752448397</v>
      </c>
      <c r="F18" s="133">
        <f>IF(SER_hh_tes!F18=0,0,11630*1000*SER_hh_tes!F18/SER_hh_num!F18)</f>
        <v>26748.078818737569</v>
      </c>
      <c r="G18" s="133">
        <f>IF(SER_hh_tes!G18=0,0,11630*1000*SER_hh_tes!G18/SER_hh_num!G18)</f>
        <v>26979.000438150302</v>
      </c>
      <c r="H18" s="133">
        <f>IF(SER_hh_tes!H18=0,0,11630*1000*SER_hh_tes!H18/SER_hh_num!H18)</f>
        <v>27748.988590322657</v>
      </c>
      <c r="I18" s="133">
        <f>IF(SER_hh_tes!I18=0,0,11630*1000*SER_hh_tes!I18/SER_hh_num!I18)</f>
        <v>28799.795470018969</v>
      </c>
      <c r="J18" s="133">
        <f>IF(SER_hh_tes!J18=0,0,11630*1000*SER_hh_tes!J18/SER_hh_num!J18)</f>
        <v>27001.635992007741</v>
      </c>
      <c r="K18" s="133">
        <f>IF(SER_hh_tes!K18=0,0,11630*1000*SER_hh_tes!K18/SER_hh_num!K18)</f>
        <v>27230.835167515834</v>
      </c>
      <c r="L18" s="133">
        <f>IF(SER_hh_tes!L18=0,0,11630*1000*SER_hh_tes!L18/SER_hh_num!L18)</f>
        <v>28296.443758710495</v>
      </c>
      <c r="M18" s="133">
        <f>IF(SER_hh_tes!M18=0,0,11630*1000*SER_hh_tes!M18/SER_hh_num!M18)</f>
        <v>27703.041348114828</v>
      </c>
      <c r="N18" s="133">
        <f>IF(SER_hh_tes!N18=0,0,11630*1000*SER_hh_tes!N18/SER_hh_num!N18)</f>
        <v>30632.256896831183</v>
      </c>
      <c r="O18" s="133">
        <f>IF(SER_hh_tes!O18=0,0,11630*1000*SER_hh_tes!O18/SER_hh_num!O18)</f>
        <v>29607.255144309082</v>
      </c>
      <c r="P18" s="133">
        <f>IF(SER_hh_tes!P18=0,0,11630*1000*SER_hh_tes!P18/SER_hh_num!P18)</f>
        <v>27388.645257903667</v>
      </c>
      <c r="Q18" s="133">
        <f>IF(SER_hh_tes!Q18=0,0,11630*1000*SER_hh_tes!Q18/SER_hh_num!Q18)</f>
        <v>32463.624201581162</v>
      </c>
      <c r="R18" s="133">
        <f>IF(SER_hh_tes!R18=0,0,11630*1000*SER_hh_tes!R18/SER_hh_num!R18)</f>
        <v>27710.795811624343</v>
      </c>
      <c r="S18" s="133">
        <f>IF(SER_hh_tes!S18=0,0,11630*1000*SER_hh_tes!S18/SER_hh_num!S18)</f>
        <v>29650.096614384533</v>
      </c>
      <c r="T18" s="133">
        <f>IF(SER_hh_tes!T18=0,0,11630*1000*SER_hh_tes!T18/SER_hh_num!T18)</f>
        <v>29174.098649071762</v>
      </c>
      <c r="U18" s="133">
        <f>IF(SER_hh_tes!U18=0,0,11630*1000*SER_hh_tes!U18/SER_hh_num!U18)</f>
        <v>30155.706539124629</v>
      </c>
      <c r="V18" s="133">
        <f>IF(SER_hh_tes!V18=0,0,11630*1000*SER_hh_tes!V18/SER_hh_num!V18)</f>
        <v>27596.204849361115</v>
      </c>
      <c r="W18" s="133">
        <f>IF(SER_hh_tes!W18=0,0,11630*1000*SER_hh_tes!W18/SER_hh_num!W18)</f>
        <v>30012.323647509162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24876.977456266217</v>
      </c>
      <c r="C19" s="131">
        <f>IF(SER_hh_tes!C19=0,0,11630*1000*SER_hh_tes!C19/SER_hh_num!C19)</f>
        <v>24591.862183483394</v>
      </c>
      <c r="D19" s="131">
        <f>IF(SER_hh_tes!D19=0,0,11630*1000*SER_hh_tes!D19/SER_hh_num!D19)</f>
        <v>24911.996211525962</v>
      </c>
      <c r="E19" s="131">
        <f>IF(SER_hh_tes!E19=0,0,11630*1000*SER_hh_tes!E19/SER_hh_num!E19)</f>
        <v>25231.615808610612</v>
      </c>
      <c r="F19" s="131">
        <f>IF(SER_hh_tes!F19=0,0,11630*1000*SER_hh_tes!F19/SER_hh_num!F19)</f>
        <v>25303.004250960068</v>
      </c>
      <c r="G19" s="131">
        <f>IF(SER_hh_tes!G19=0,0,11630*1000*SER_hh_tes!G19/SER_hh_num!G19)</f>
        <v>25759.567879980495</v>
      </c>
      <c r="H19" s="131">
        <f>IF(SER_hh_tes!H19=0,0,11630*1000*SER_hh_tes!H19/SER_hh_num!H19)</f>
        <v>26009.022845145508</v>
      </c>
      <c r="I19" s="131">
        <f>IF(SER_hh_tes!I19=0,0,11630*1000*SER_hh_tes!I19/SER_hh_num!I19)</f>
        <v>25667.446449852177</v>
      </c>
      <c r="J19" s="131">
        <f>IF(SER_hh_tes!J19=0,0,11630*1000*SER_hh_tes!J19/SER_hh_num!J19)</f>
        <v>25568.506301628033</v>
      </c>
      <c r="K19" s="131">
        <f>IF(SER_hh_tes!K19=0,0,11630*1000*SER_hh_tes!K19/SER_hh_num!K19)</f>
        <v>26445.683740841399</v>
      </c>
      <c r="L19" s="131">
        <f>IF(SER_hh_tes!L19=0,0,11630*1000*SER_hh_tes!L19/SER_hh_num!L19)</f>
        <v>26617.955558777488</v>
      </c>
      <c r="M19" s="131">
        <f>IF(SER_hh_tes!M19=0,0,11630*1000*SER_hh_tes!M19/SER_hh_num!M19)</f>
        <v>26561.280404302684</v>
      </c>
      <c r="N19" s="131">
        <f>IF(SER_hh_tes!N19=0,0,11630*1000*SER_hh_tes!N19/SER_hh_num!N19)</f>
        <v>27112.015731358806</v>
      </c>
      <c r="O19" s="131">
        <f>IF(SER_hh_tes!O19=0,0,11630*1000*SER_hh_tes!O19/SER_hh_num!O19)</f>
        <v>27106.041115160901</v>
      </c>
      <c r="P19" s="131">
        <f>IF(SER_hh_tes!P19=0,0,11630*1000*SER_hh_tes!P19/SER_hh_num!P19)</f>
        <v>27525.496255463058</v>
      </c>
      <c r="Q19" s="131">
        <f>IF(SER_hh_tes!Q19=0,0,11630*1000*SER_hh_tes!Q19/SER_hh_num!Q19)</f>
        <v>27388.599899323995</v>
      </c>
      <c r="R19" s="131">
        <f>IF(SER_hh_tes!R19=0,0,11630*1000*SER_hh_tes!R19/SER_hh_num!R19)</f>
        <v>27698.526283088151</v>
      </c>
      <c r="S19" s="131">
        <f>IF(SER_hh_tes!S19=0,0,11630*1000*SER_hh_tes!S19/SER_hh_num!S19)</f>
        <v>27877.057694106221</v>
      </c>
      <c r="T19" s="131">
        <f>IF(SER_hh_tes!T19=0,0,11630*1000*SER_hh_tes!T19/SER_hh_num!T19)</f>
        <v>27590.697840769943</v>
      </c>
      <c r="U19" s="131">
        <f>IF(SER_hh_tes!U19=0,0,11630*1000*SER_hh_tes!U19/SER_hh_num!U19)</f>
        <v>27422.139161451931</v>
      </c>
      <c r="V19" s="131">
        <f>IF(SER_hh_tes!V19=0,0,11630*1000*SER_hh_tes!V19/SER_hh_num!V19)</f>
        <v>24836.421830594503</v>
      </c>
      <c r="W19" s="131">
        <f>IF(SER_hh_tes!W19=0,0,11630*1000*SER_hh_tes!W19/SER_hh_num!W19)</f>
        <v>27105.214565267575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26143.173516757051</v>
      </c>
      <c r="C20" s="133">
        <f>IF(SER_hh_tes!C20=0,0,11630*1000*SER_hh_tes!C20/SER_hh_num!C20)</f>
        <v>24070.970447199808</v>
      </c>
      <c r="D20" s="133">
        <f>IF(SER_hh_tes!D20=0,0,11630*1000*SER_hh_tes!D20/SER_hh_num!D20)</f>
        <v>27046.567379207507</v>
      </c>
      <c r="E20" s="133">
        <f>IF(SER_hh_tes!E20=0,0,11630*1000*SER_hh_tes!E20/SER_hh_num!E20)</f>
        <v>22531.625351483039</v>
      </c>
      <c r="F20" s="133">
        <f>IF(SER_hh_tes!F20=0,0,11630*1000*SER_hh_tes!F20/SER_hh_num!F20)</f>
        <v>24634.500262233567</v>
      </c>
      <c r="G20" s="133">
        <f>IF(SER_hh_tes!G20=0,0,11630*1000*SER_hh_tes!G20/SER_hh_num!G20)</f>
        <v>10866.323255627449</v>
      </c>
      <c r="H20" s="133">
        <f>IF(SER_hh_tes!H20=0,0,11630*1000*SER_hh_tes!H20/SER_hh_num!H20)</f>
        <v>20347.100728890819</v>
      </c>
      <c r="I20" s="133">
        <f>IF(SER_hh_tes!I20=0,0,11630*1000*SER_hh_tes!I20/SER_hh_num!I20)</f>
        <v>28215.981483996427</v>
      </c>
      <c r="J20" s="133">
        <f>IF(SER_hh_tes!J20=0,0,11630*1000*SER_hh_tes!J20/SER_hh_num!J20)</f>
        <v>27959.230866774167</v>
      </c>
      <c r="K20" s="133">
        <f>IF(SER_hh_tes!K20=0,0,11630*1000*SER_hh_tes!K20/SER_hh_num!K20)</f>
        <v>27851.016134292484</v>
      </c>
      <c r="L20" s="133">
        <f>IF(SER_hh_tes!L20=0,0,11630*1000*SER_hh_tes!L20/SER_hh_num!L20)</f>
        <v>26457.836723582535</v>
      </c>
      <c r="M20" s="133">
        <f>IF(SER_hh_tes!M20=0,0,11630*1000*SER_hh_tes!M20/SER_hh_num!M20)</f>
        <v>26417.822664158692</v>
      </c>
      <c r="N20" s="133">
        <f>IF(SER_hh_tes!N20=0,0,11630*1000*SER_hh_tes!N20/SER_hh_num!N20)</f>
        <v>27112.369081574601</v>
      </c>
      <c r="O20" s="133">
        <f>IF(SER_hh_tes!O20=0,0,11630*1000*SER_hh_tes!O20/SER_hh_num!O20)</f>
        <v>26982.756871758433</v>
      </c>
      <c r="P20" s="133">
        <f>IF(SER_hh_tes!P20=0,0,11630*1000*SER_hh_tes!P20/SER_hh_num!P20)</f>
        <v>28623.843218351987</v>
      </c>
      <c r="Q20" s="133">
        <f>IF(SER_hh_tes!Q20=0,0,11630*1000*SER_hh_tes!Q20/SER_hh_num!Q20)</f>
        <v>32475.214061881798</v>
      </c>
      <c r="R20" s="133">
        <f>IF(SER_hh_tes!R20=0,0,11630*1000*SER_hh_tes!R20/SER_hh_num!R20)</f>
        <v>19758.657996146881</v>
      </c>
      <c r="S20" s="133">
        <f>IF(SER_hh_tes!S20=0,0,11630*1000*SER_hh_tes!S20/SER_hh_num!S20)</f>
        <v>25547.050489936686</v>
      </c>
      <c r="T20" s="133">
        <f>IF(SER_hh_tes!T20=0,0,11630*1000*SER_hh_tes!T20/SER_hh_num!T20)</f>
        <v>27610.149580516096</v>
      </c>
      <c r="U20" s="133">
        <f>IF(SER_hh_tes!U20=0,0,11630*1000*SER_hh_tes!U20/SER_hh_num!U20)</f>
        <v>39904.95392586611</v>
      </c>
      <c r="V20" s="133">
        <f>IF(SER_hh_tes!V20=0,0,11630*1000*SER_hh_tes!V20/SER_hh_num!V20)</f>
        <v>17101.729911939306</v>
      </c>
      <c r="W20" s="133">
        <f>IF(SER_hh_tes!W20=0,0,11630*1000*SER_hh_tes!W20/SER_hh_num!W20)</f>
        <v>29375.389850187101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0</v>
      </c>
      <c r="C22" s="133">
        <f>IF(SER_hh_tes!C22=0,0,11630*1000*SER_hh_tes!C22/SER_hh_num!C22)</f>
        <v>0</v>
      </c>
      <c r="D22" s="133">
        <f>IF(SER_hh_tes!D22=0,0,11630*1000*SER_hh_tes!D22/SER_hh_num!D22)</f>
        <v>0</v>
      </c>
      <c r="E22" s="133">
        <f>IF(SER_hh_tes!E22=0,0,11630*1000*SER_hh_tes!E22/SER_hh_num!E22)</f>
        <v>0</v>
      </c>
      <c r="F22" s="133">
        <f>IF(SER_hh_tes!F22=0,0,11630*1000*SER_hh_tes!F22/SER_hh_num!F22)</f>
        <v>0</v>
      </c>
      <c r="G22" s="133">
        <f>IF(SER_hh_tes!G22=0,0,11630*1000*SER_hh_tes!G22/SER_hh_num!G22)</f>
        <v>0</v>
      </c>
      <c r="H22" s="133">
        <f>IF(SER_hh_tes!H22=0,0,11630*1000*SER_hh_tes!H22/SER_hh_num!H22)</f>
        <v>0</v>
      </c>
      <c r="I22" s="133">
        <f>IF(SER_hh_tes!I22=0,0,11630*1000*SER_hh_tes!I22/SER_hh_num!I22)</f>
        <v>0</v>
      </c>
      <c r="J22" s="133">
        <f>IF(SER_hh_tes!J22=0,0,11630*1000*SER_hh_tes!J22/SER_hh_num!J22)</f>
        <v>0</v>
      </c>
      <c r="K22" s="133">
        <f>IF(SER_hh_tes!K22=0,0,11630*1000*SER_hh_tes!K22/SER_hh_num!K22)</f>
        <v>0</v>
      </c>
      <c r="L22" s="133">
        <f>IF(SER_hh_tes!L22=0,0,11630*1000*SER_hh_tes!L22/SER_hh_num!L22)</f>
        <v>0</v>
      </c>
      <c r="M22" s="133">
        <f>IF(SER_hh_tes!M22=0,0,11630*1000*SER_hh_tes!M22/SER_hh_num!M22)</f>
        <v>0</v>
      </c>
      <c r="N22" s="133">
        <f>IF(SER_hh_tes!N22=0,0,11630*1000*SER_hh_tes!N22/SER_hh_num!N22)</f>
        <v>0</v>
      </c>
      <c r="O22" s="133">
        <f>IF(SER_hh_tes!O22=0,0,11630*1000*SER_hh_tes!O22/SER_hh_num!O22)</f>
        <v>0</v>
      </c>
      <c r="P22" s="133">
        <f>IF(SER_hh_tes!P22=0,0,11630*1000*SER_hh_tes!P22/SER_hh_num!P22)</f>
        <v>0</v>
      </c>
      <c r="Q22" s="133">
        <f>IF(SER_hh_tes!Q22=0,0,11630*1000*SER_hh_tes!Q22/SER_hh_num!Q22)</f>
        <v>0</v>
      </c>
      <c r="R22" s="133">
        <f>IF(SER_hh_tes!R22=0,0,11630*1000*SER_hh_tes!R22/SER_hh_num!R22)</f>
        <v>0</v>
      </c>
      <c r="S22" s="133">
        <f>IF(SER_hh_tes!S22=0,0,11630*1000*SER_hh_tes!S22/SER_hh_num!S22)</f>
        <v>0</v>
      </c>
      <c r="T22" s="133">
        <f>IF(SER_hh_tes!T22=0,0,11630*1000*SER_hh_tes!T22/SER_hh_num!T22)</f>
        <v>0</v>
      </c>
      <c r="U22" s="133">
        <f>IF(SER_hh_tes!U22=0,0,11630*1000*SER_hh_tes!U22/SER_hh_num!U22)</f>
        <v>0</v>
      </c>
      <c r="V22" s="133">
        <f>IF(SER_hh_tes!V22=0,0,11630*1000*SER_hh_tes!V22/SER_hh_num!V22)</f>
        <v>0</v>
      </c>
      <c r="W22" s="133">
        <f>IF(SER_hh_tes!W22=0,0,11630*1000*SER_hh_tes!W22/SER_hh_num!W22)</f>
        <v>0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16584.651637510808</v>
      </c>
      <c r="C23" s="133">
        <f>IF(SER_hh_tes!C23=0,0,11630*1000*SER_hh_tes!C23/SER_hh_num!C23)</f>
        <v>27339.773872363516</v>
      </c>
      <c r="D23" s="133">
        <f>IF(SER_hh_tes!D23=0,0,11630*1000*SER_hh_tes!D23/SER_hh_num!D23)</f>
        <v>27464.401258998671</v>
      </c>
      <c r="E23" s="133">
        <f>IF(SER_hh_tes!E23=0,0,11630*1000*SER_hh_tes!E23/SER_hh_num!E23)</f>
        <v>24792.612397703302</v>
      </c>
      <c r="F23" s="133">
        <f>IF(SER_hh_tes!F23=0,0,11630*1000*SER_hh_tes!F23/SER_hh_num!F23)</f>
        <v>25966.318689678847</v>
      </c>
      <c r="G23" s="133">
        <f>IF(SER_hh_tes!G23=0,0,11630*1000*SER_hh_tes!G23/SER_hh_num!G23)</f>
        <v>25075.080772549212</v>
      </c>
      <c r="H23" s="133">
        <f>IF(SER_hh_tes!H23=0,0,11630*1000*SER_hh_tes!H23/SER_hh_num!H23)</f>
        <v>25070.54416052275</v>
      </c>
      <c r="I23" s="133">
        <f>IF(SER_hh_tes!I23=0,0,11630*1000*SER_hh_tes!I23/SER_hh_num!I23)</f>
        <v>26803.583069182539</v>
      </c>
      <c r="J23" s="133">
        <f>IF(SER_hh_tes!J23=0,0,11630*1000*SER_hh_tes!J23/SER_hh_num!J23)</f>
        <v>26287.3599103489</v>
      </c>
      <c r="K23" s="133">
        <f>IF(SER_hh_tes!K23=0,0,11630*1000*SER_hh_tes!K23/SER_hh_num!K23)</f>
        <v>25424.677778943256</v>
      </c>
      <c r="L23" s="133">
        <f>IF(SER_hh_tes!L23=0,0,11630*1000*SER_hh_tes!L23/SER_hh_num!L23)</f>
        <v>26248.602153912008</v>
      </c>
      <c r="M23" s="133">
        <f>IF(SER_hh_tes!M23=0,0,11630*1000*SER_hh_tes!M23/SER_hh_num!M23)</f>
        <v>24271.70888273434</v>
      </c>
      <c r="N23" s="133">
        <f>IF(SER_hh_tes!N23=0,0,11630*1000*SER_hh_tes!N23/SER_hh_num!N23)</f>
        <v>27731.019117965297</v>
      </c>
      <c r="O23" s="133">
        <f>IF(SER_hh_tes!O23=0,0,11630*1000*SER_hh_tes!O23/SER_hh_num!O23)</f>
        <v>28302.59201034877</v>
      </c>
      <c r="P23" s="133">
        <f>IF(SER_hh_tes!P23=0,0,11630*1000*SER_hh_tes!P23/SER_hh_num!P23)</f>
        <v>28704.651458753218</v>
      </c>
      <c r="Q23" s="133">
        <f>IF(SER_hh_tes!Q23=0,0,11630*1000*SER_hh_tes!Q23/SER_hh_num!Q23)</f>
        <v>29389.724055404549</v>
      </c>
      <c r="R23" s="133">
        <f>IF(SER_hh_tes!R23=0,0,11630*1000*SER_hh_tes!R23/SER_hh_num!R23)</f>
        <v>29878.823337348134</v>
      </c>
      <c r="S23" s="133">
        <f>IF(SER_hh_tes!S23=0,0,11630*1000*SER_hh_tes!S23/SER_hh_num!S23)</f>
        <v>28751.272069538005</v>
      </c>
      <c r="T23" s="133">
        <f>IF(SER_hh_tes!T23=0,0,11630*1000*SER_hh_tes!T23/SER_hh_num!T23)</f>
        <v>27581.122193126113</v>
      </c>
      <c r="U23" s="133">
        <f>IF(SER_hh_tes!U23=0,0,11630*1000*SER_hh_tes!U23/SER_hh_num!U23)</f>
        <v>25196.96386262148</v>
      </c>
      <c r="V23" s="133">
        <f>IF(SER_hh_tes!V23=0,0,11630*1000*SER_hh_tes!V23/SER_hh_num!V23)</f>
        <v>18125.598347878604</v>
      </c>
      <c r="W23" s="133">
        <f>IF(SER_hh_tes!W23=0,0,11630*1000*SER_hh_tes!W23/SER_hh_num!W23)</f>
        <v>32204.314638626263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22768.506257313264</v>
      </c>
      <c r="C25" s="133">
        <f>IF(SER_hh_tes!C25=0,0,11630*1000*SER_hh_tes!C25/SER_hh_num!C25)</f>
        <v>23121.832922741778</v>
      </c>
      <c r="D25" s="133">
        <f>IF(SER_hh_tes!D25=0,0,11630*1000*SER_hh_tes!D25/SER_hh_num!D25)</f>
        <v>25673.058777660604</v>
      </c>
      <c r="E25" s="133">
        <f>IF(SER_hh_tes!E25=0,0,11630*1000*SER_hh_tes!E25/SER_hh_num!E25)</f>
        <v>27516.369661435558</v>
      </c>
      <c r="F25" s="133">
        <f>IF(SER_hh_tes!F25=0,0,11630*1000*SER_hh_tes!F25/SER_hh_num!F25)</f>
        <v>35744.54306887876</v>
      </c>
      <c r="G25" s="133">
        <f>IF(SER_hh_tes!G25=0,0,11630*1000*SER_hh_tes!G25/SER_hh_num!G25)</f>
        <v>26532.341806823137</v>
      </c>
      <c r="H25" s="133">
        <f>IF(SER_hh_tes!H25=0,0,11630*1000*SER_hh_tes!H25/SER_hh_num!H25)</f>
        <v>23814.986359961036</v>
      </c>
      <c r="I25" s="133">
        <f>IF(SER_hh_tes!I25=0,0,11630*1000*SER_hh_tes!I25/SER_hh_num!I25)</f>
        <v>25208.691198969609</v>
      </c>
      <c r="J25" s="133">
        <f>IF(SER_hh_tes!J25=0,0,11630*1000*SER_hh_tes!J25/SER_hh_num!J25)</f>
        <v>25798.493778200522</v>
      </c>
      <c r="K25" s="133">
        <f>IF(SER_hh_tes!K25=0,0,11630*1000*SER_hh_tes!K25/SER_hh_num!K25)</f>
        <v>26882.628353430926</v>
      </c>
      <c r="L25" s="133">
        <f>IF(SER_hh_tes!L25=0,0,11630*1000*SER_hh_tes!L25/SER_hh_num!L25)</f>
        <v>26283.459113228284</v>
      </c>
      <c r="M25" s="133">
        <f>IF(SER_hh_tes!M25=0,0,11630*1000*SER_hh_tes!M25/SER_hh_num!M25)</f>
        <v>27259.308501656193</v>
      </c>
      <c r="N25" s="133">
        <f>IF(SER_hh_tes!N25=0,0,11630*1000*SER_hh_tes!N25/SER_hh_num!N25)</f>
        <v>29834.935364616795</v>
      </c>
      <c r="O25" s="133">
        <f>IF(SER_hh_tes!O25=0,0,11630*1000*SER_hh_tes!O25/SER_hh_num!O25)</f>
        <v>22233.620342360096</v>
      </c>
      <c r="P25" s="133">
        <f>IF(SER_hh_tes!P25=0,0,11630*1000*SER_hh_tes!P25/SER_hh_num!P25)</f>
        <v>22996.512770204339</v>
      </c>
      <c r="Q25" s="133">
        <f>IF(SER_hh_tes!Q25=0,0,11630*1000*SER_hh_tes!Q25/SER_hh_num!Q25)</f>
        <v>10974.777400915849</v>
      </c>
      <c r="R25" s="133">
        <f>IF(SER_hh_tes!R25=0,0,11630*1000*SER_hh_tes!R25/SER_hh_num!R25)</f>
        <v>36679.014136167098</v>
      </c>
      <c r="S25" s="133">
        <f>IF(SER_hh_tes!S25=0,0,11630*1000*SER_hh_tes!S25/SER_hh_num!S25)</f>
        <v>34207.00615308564</v>
      </c>
      <c r="T25" s="133">
        <f>IF(SER_hh_tes!T25=0,0,11630*1000*SER_hh_tes!T25/SER_hh_num!T25)</f>
        <v>32643.327972110004</v>
      </c>
      <c r="U25" s="133">
        <f>IF(SER_hh_tes!U25=0,0,11630*1000*SER_hh_tes!U25/SER_hh_num!U25)</f>
        <v>30031.151925067898</v>
      </c>
      <c r="V25" s="133">
        <f>IF(SER_hh_tes!V25=0,0,11630*1000*SER_hh_tes!V25/SER_hh_num!V25)</f>
        <v>20800.593224522854</v>
      </c>
      <c r="W25" s="133">
        <f>IF(SER_hh_tes!W25=0,0,11630*1000*SER_hh_tes!W25/SER_hh_num!W25)</f>
        <v>27815.146496403642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25917.457252034841</v>
      </c>
      <c r="C26" s="65">
        <f>IF(SER_hh_tes!C26=0,0,11630*1000*SER_hh_tes!C26/SER_hh_num!C26)</f>
        <v>24421.801134552767</v>
      </c>
      <c r="D26" s="65">
        <f>IF(SER_hh_tes!D26=0,0,11630*1000*SER_hh_tes!D26/SER_hh_num!D26)</f>
        <v>23881.860082706873</v>
      </c>
      <c r="E26" s="65">
        <f>IF(SER_hh_tes!E26=0,0,11630*1000*SER_hh_tes!E26/SER_hh_num!E26)</f>
        <v>24749.397398209621</v>
      </c>
      <c r="F26" s="65">
        <f>IF(SER_hh_tes!F26=0,0,11630*1000*SER_hh_tes!F26/SER_hh_num!F26)</f>
        <v>21718.407517225522</v>
      </c>
      <c r="G26" s="65">
        <f>IF(SER_hh_tes!G26=0,0,11630*1000*SER_hh_tes!G26/SER_hh_num!G26)</f>
        <v>26272.547416515885</v>
      </c>
      <c r="H26" s="65">
        <f>IF(SER_hh_tes!H26=0,0,11630*1000*SER_hh_tes!H26/SER_hh_num!H26)</f>
        <v>27247.106417892352</v>
      </c>
      <c r="I26" s="65">
        <f>IF(SER_hh_tes!I26=0,0,11630*1000*SER_hh_tes!I26/SER_hh_num!I26)</f>
        <v>25158.152773036123</v>
      </c>
      <c r="J26" s="65">
        <f>IF(SER_hh_tes!J26=0,0,11630*1000*SER_hh_tes!J26/SER_hh_num!J26)</f>
        <v>24981.357626983601</v>
      </c>
      <c r="K26" s="65">
        <f>IF(SER_hh_tes!K26=0,0,11630*1000*SER_hh_tes!K26/SER_hh_num!K26)</f>
        <v>26558.846633342866</v>
      </c>
      <c r="L26" s="65">
        <f>IF(SER_hh_tes!L26=0,0,11630*1000*SER_hh_tes!L26/SER_hh_num!L26)</f>
        <v>26627.588283736455</v>
      </c>
      <c r="M26" s="65">
        <f>IF(SER_hh_tes!M26=0,0,11630*1000*SER_hh_tes!M26/SER_hh_num!M26)</f>
        <v>27221.294176800464</v>
      </c>
      <c r="N26" s="65">
        <f>IF(SER_hh_tes!N26=0,0,11630*1000*SER_hh_tes!N26/SER_hh_num!N26)</f>
        <v>25854.555039540755</v>
      </c>
      <c r="O26" s="65">
        <f>IF(SER_hh_tes!O26=0,0,11630*1000*SER_hh_tes!O26/SER_hh_num!O26)</f>
        <v>27133.412902640575</v>
      </c>
      <c r="P26" s="65">
        <f>IF(SER_hh_tes!P26=0,0,11630*1000*SER_hh_tes!P26/SER_hh_num!P26)</f>
        <v>26711.019112163442</v>
      </c>
      <c r="Q26" s="65">
        <f>IF(SER_hh_tes!Q26=0,0,11630*1000*SER_hh_tes!Q26/SER_hh_num!Q26)</f>
        <v>27831.381597946871</v>
      </c>
      <c r="R26" s="65">
        <f>IF(SER_hh_tes!R26=0,0,11630*1000*SER_hh_tes!R26/SER_hh_num!R26)</f>
        <v>25151.642782213643</v>
      </c>
      <c r="S26" s="65">
        <f>IF(SER_hh_tes!S26=0,0,11630*1000*SER_hh_tes!S26/SER_hh_num!S26)</f>
        <v>26277.480353371961</v>
      </c>
      <c r="T26" s="65">
        <f>IF(SER_hh_tes!T26=0,0,11630*1000*SER_hh_tes!T26/SER_hh_num!T26)</f>
        <v>26595.192692009037</v>
      </c>
      <c r="U26" s="65">
        <f>IF(SER_hh_tes!U26=0,0,11630*1000*SER_hh_tes!U26/SER_hh_num!U26)</f>
        <v>26733.630336280854</v>
      </c>
      <c r="V26" s="65">
        <f>IF(SER_hh_tes!V26=0,0,11630*1000*SER_hh_tes!V26/SER_hh_num!V26)</f>
        <v>27698.27528209308</v>
      </c>
      <c r="W26" s="65">
        <f>IF(SER_hh_tes!W26=0,0,11630*1000*SER_hh_tes!W26/SER_hh_num!W26)</f>
        <v>25009.18291292743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8.3997998972908583</v>
      </c>
      <c r="H27" s="146">
        <f>IF(SER_hh_tes!H27=0,0,11630*1000*SER_hh_tes!H27/SER_hh_num!H19)</f>
        <v>8.0332246370943814</v>
      </c>
      <c r="I27" s="146">
        <f>IF(SER_hh_tes!I27=0,0,11630*1000*SER_hh_tes!I27/SER_hh_num!I19)</f>
        <v>7.6105165634588783</v>
      </c>
      <c r="J27" s="146">
        <f>IF(SER_hh_tes!J27=0,0,11630*1000*SER_hh_tes!J27/SER_hh_num!J19)</f>
        <v>7.3673835818644688</v>
      </c>
      <c r="K27" s="146">
        <f>IF(SER_hh_tes!K27=0,0,11630*1000*SER_hh_tes!K27/SER_hh_num!K19)</f>
        <v>7.3795673763169409</v>
      </c>
      <c r="L27" s="146">
        <f>IF(SER_hh_tes!L27=0,0,11630*1000*SER_hh_tes!L27/SER_hh_num!L19)</f>
        <v>137.0971607774232</v>
      </c>
      <c r="M27" s="146">
        <f>IF(SER_hh_tes!M27=0,0,11630*1000*SER_hh_tes!M27/SER_hh_num!M19)</f>
        <v>164.33662935717439</v>
      </c>
      <c r="N27" s="146">
        <f>IF(SER_hh_tes!N27=0,0,11630*1000*SER_hh_tes!N27/SER_hh_num!N19)</f>
        <v>162.721485590713</v>
      </c>
      <c r="O27" s="146">
        <f>IF(SER_hh_tes!O27=0,0,11630*1000*SER_hh_tes!O27/SER_hh_num!O19)</f>
        <v>84.158216051013696</v>
      </c>
      <c r="P27" s="146">
        <f>IF(SER_hh_tes!P27=0,0,11630*1000*SER_hh_tes!P27/SER_hh_num!P19)</f>
        <v>333.50444713243206</v>
      </c>
      <c r="Q27" s="146">
        <f>IF(SER_hh_tes!Q27=0,0,11630*1000*SER_hh_tes!Q27/SER_hh_num!Q19)</f>
        <v>233.30634070394706</v>
      </c>
      <c r="R27" s="146">
        <f>IF(SER_hh_tes!R27=0,0,11630*1000*SER_hh_tes!R27/SER_hh_num!R19)</f>
        <v>244.10854717202952</v>
      </c>
      <c r="S27" s="146">
        <f>IF(SER_hh_tes!S27=0,0,11630*1000*SER_hh_tes!S27/SER_hh_num!S19)</f>
        <v>180.787172542603</v>
      </c>
      <c r="T27" s="146">
        <f>IF(SER_hh_tes!T27=0,0,11630*1000*SER_hh_tes!T27/SER_hh_num!T19)</f>
        <v>191.40670678780987</v>
      </c>
      <c r="U27" s="146">
        <f>IF(SER_hh_tes!U27=0,0,11630*1000*SER_hh_tes!U27/SER_hh_num!U19)</f>
        <v>195.08021948831475</v>
      </c>
      <c r="V27" s="146">
        <f>IF(SER_hh_tes!V27=0,0,11630*1000*SER_hh_tes!V27/SER_hh_num!V19)</f>
        <v>198.77702078236726</v>
      </c>
      <c r="W27" s="146">
        <f>IF(SER_hh_tes!W27=0,0,11630*1000*SER_hh_tes!W27/SER_hh_num!W19)</f>
        <v>202.55286499263062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17822.710440649313</v>
      </c>
      <c r="H28" s="147">
        <f>IF(SER_hh_tes!H27=0,0,11630*1000*SER_hh_tes!H27/SER_hh_num!H27)</f>
        <v>18002.518560258119</v>
      </c>
      <c r="I28" s="147">
        <f>IF(SER_hh_tes!I27=0,0,11630*1000*SER_hh_tes!I27/SER_hh_num!I27)</f>
        <v>17763.381865396223</v>
      </c>
      <c r="J28" s="147">
        <f>IF(SER_hh_tes!J27=0,0,11630*1000*SER_hh_tes!J27/SER_hh_num!J27)</f>
        <v>17693.28835596707</v>
      </c>
      <c r="K28" s="147">
        <f>IF(SER_hh_tes!K27=0,0,11630*1000*SER_hh_tes!K27/SER_hh_num!K27)</f>
        <v>18299.031196755779</v>
      </c>
      <c r="L28" s="147">
        <f>IF(SER_hh_tes!L27=0,0,11630*1000*SER_hh_tes!L27/SER_hh_num!L27)</f>
        <v>17142.086640188314</v>
      </c>
      <c r="M28" s="147">
        <f>IF(SER_hh_tes!M27=0,0,11630*1000*SER_hh_tes!M27/SER_hh_num!M27)</f>
        <v>18224.624795115724</v>
      </c>
      <c r="N28" s="147">
        <f>IF(SER_hh_tes!N27=0,0,11630*1000*SER_hh_tes!N27/SER_hh_num!N27)</f>
        <v>18155.524059780062</v>
      </c>
      <c r="O28" s="147">
        <f>IF(SER_hh_tes!O27=0,0,11630*1000*SER_hh_tes!O27/SER_hh_num!O27)</f>
        <v>17269.056843120426</v>
      </c>
      <c r="P28" s="147">
        <f>IF(SER_hh_tes!P27=0,0,11630*1000*SER_hh_tes!P27/SER_hh_num!P27)</f>
        <v>18643.233982354643</v>
      </c>
      <c r="Q28" s="147">
        <f>IF(SER_hh_tes!Q27=0,0,11630*1000*SER_hh_tes!Q27/SER_hh_num!Q27)</f>
        <v>18471.684833342686</v>
      </c>
      <c r="R28" s="147">
        <f>IF(SER_hh_tes!R27=0,0,11630*1000*SER_hh_tes!R27/SER_hh_num!R27)</f>
        <v>18545.704228589002</v>
      </c>
      <c r="S28" s="147">
        <f>IF(SER_hh_tes!S27=0,0,11630*1000*SER_hh_tes!S27/SER_hh_num!S27)</f>
        <v>19437.092465455924</v>
      </c>
      <c r="T28" s="147">
        <f>IF(SER_hh_tes!T27=0,0,11630*1000*SER_hh_tes!T27/SER_hh_num!T27)</f>
        <v>18814.67177752015</v>
      </c>
      <c r="U28" s="147">
        <f>IF(SER_hh_tes!U27=0,0,11630*1000*SER_hh_tes!U27/SER_hh_num!U27)</f>
        <v>19275.556022815126</v>
      </c>
      <c r="V28" s="147">
        <f>IF(SER_hh_tes!V27=0,0,11630*1000*SER_hh_tes!V27/SER_hh_num!V27)</f>
        <v>17423.317359140736</v>
      </c>
      <c r="W28" s="147">
        <f>IF(SER_hh_tes!W27=0,0,11630*1000*SER_hh_tes!W27/SER_hh_num!W27)</f>
        <v>19118.255778286384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25121.225185146439</v>
      </c>
      <c r="C29" s="131">
        <f>IF(SER_hh_tes!C29=0,0,11630*1000*SER_hh_tes!C29/SER_hh_num!C29)</f>
        <v>25286.111775762802</v>
      </c>
      <c r="D29" s="131">
        <f>IF(SER_hh_tes!D29=0,0,11630*1000*SER_hh_tes!D29/SER_hh_num!D29)</f>
        <v>26620.89467329828</v>
      </c>
      <c r="E29" s="131">
        <f>IF(SER_hh_tes!E29=0,0,11630*1000*SER_hh_tes!E29/SER_hh_num!E29)</f>
        <v>27053.723016593431</v>
      </c>
      <c r="F29" s="131">
        <f>IF(SER_hh_tes!F29=0,0,11630*1000*SER_hh_tes!F29/SER_hh_num!F29)</f>
        <v>27366.146775561137</v>
      </c>
      <c r="G29" s="131">
        <f>IF(SER_hh_tes!G29=0,0,11630*1000*SER_hh_tes!G29/SER_hh_num!G29)</f>
        <v>28130.988633843921</v>
      </c>
      <c r="H29" s="131">
        <f>IF(SER_hh_tes!H29=0,0,11630*1000*SER_hh_tes!H29/SER_hh_num!H29)</f>
        <v>27973.292686911533</v>
      </c>
      <c r="I29" s="131">
        <f>IF(SER_hh_tes!I29=0,0,11630*1000*SER_hh_tes!I29/SER_hh_num!I29)</f>
        <v>27066.339036883026</v>
      </c>
      <c r="J29" s="131">
        <f>IF(SER_hh_tes!J29=0,0,11630*1000*SER_hh_tes!J29/SER_hh_num!J29)</f>
        <v>26491.018459428462</v>
      </c>
      <c r="K29" s="131">
        <f>IF(SER_hh_tes!K29=0,0,11630*1000*SER_hh_tes!K29/SER_hh_num!K29)</f>
        <v>27220.659313301381</v>
      </c>
      <c r="L29" s="131">
        <f>IF(SER_hh_tes!L29=0,0,11630*1000*SER_hh_tes!L29/SER_hh_num!L29)</f>
        <v>26739.214388545646</v>
      </c>
      <c r="M29" s="131">
        <f>IF(SER_hh_tes!M29=0,0,11630*1000*SER_hh_tes!M29/SER_hh_num!M29)</f>
        <v>26349.760360289882</v>
      </c>
      <c r="N29" s="131">
        <f>IF(SER_hh_tes!N29=0,0,11630*1000*SER_hh_tes!N29/SER_hh_num!N29)</f>
        <v>26466.082801075976</v>
      </c>
      <c r="O29" s="131">
        <f>IF(SER_hh_tes!O29=0,0,11630*1000*SER_hh_tes!O29/SER_hh_num!O29)</f>
        <v>26321.305183757013</v>
      </c>
      <c r="P29" s="131">
        <f>IF(SER_hh_tes!P29=0,0,11630*1000*SER_hh_tes!P29/SER_hh_num!P29)</f>
        <v>26121.931884541496</v>
      </c>
      <c r="Q29" s="131">
        <f>IF(SER_hh_tes!Q29=0,0,11630*1000*SER_hh_tes!Q29/SER_hh_num!Q29)</f>
        <v>26039.814702727177</v>
      </c>
      <c r="R29" s="131">
        <f>IF(SER_hh_tes!R29=0,0,11630*1000*SER_hh_tes!R29/SER_hh_num!R29)</f>
        <v>25815.87608354359</v>
      </c>
      <c r="S29" s="131">
        <f>IF(SER_hh_tes!S29=0,0,11630*1000*SER_hh_tes!S29/SER_hh_num!S29)</f>
        <v>25573.634887015403</v>
      </c>
      <c r="T29" s="131">
        <f>IF(SER_hh_tes!T29=0,0,11630*1000*SER_hh_tes!T29/SER_hh_num!T29)</f>
        <v>25265.858446273607</v>
      </c>
      <c r="U29" s="131">
        <f>IF(SER_hh_tes!U29=0,0,11630*1000*SER_hh_tes!U29/SER_hh_num!U29)</f>
        <v>24729.519724051734</v>
      </c>
      <c r="V29" s="131">
        <f>IF(SER_hh_tes!V29=0,0,11630*1000*SER_hh_tes!V29/SER_hh_num!V29)</f>
        <v>22490.675808182474</v>
      </c>
      <c r="W29" s="131">
        <f>IF(SER_hh_tes!W29=0,0,11630*1000*SER_hh_tes!W29/SER_hh_num!W29)</f>
        <v>24982.228168935213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12102.735463092415</v>
      </c>
      <c r="C30" s="133">
        <f>IF(SER_hh_tes!C30=0,0,11630*1000*SER_hh_tes!C30/SER_hh_num!C30)</f>
        <v>19508.877507444769</v>
      </c>
      <c r="D30" s="133">
        <f>IF(SER_hh_tes!D30=0,0,11630*1000*SER_hh_tes!D30/SER_hh_num!D30)</f>
        <v>31315.624738768711</v>
      </c>
      <c r="E30" s="133">
        <f>IF(SER_hh_tes!E30=0,0,11630*1000*SER_hh_tes!E30/SER_hh_num!E30)</f>
        <v>32278.177355782471</v>
      </c>
      <c r="F30" s="133">
        <f>IF(SER_hh_tes!F30=0,0,11630*1000*SER_hh_tes!F30/SER_hh_num!F30)</f>
        <v>34931.900813235239</v>
      </c>
      <c r="G30" s="133">
        <f>IF(SER_hh_tes!G30=0,0,11630*1000*SER_hh_tes!G30/SER_hh_num!G30)</f>
        <v>27413.089829974862</v>
      </c>
      <c r="H30" s="133">
        <f>IF(SER_hh_tes!H30=0,0,11630*1000*SER_hh_tes!H30/SER_hh_num!H30)</f>
        <v>32028.55532634171</v>
      </c>
      <c r="I30" s="133">
        <f>IF(SER_hh_tes!I30=0,0,11630*1000*SER_hh_tes!I30/SER_hh_num!I30)</f>
        <v>17693.638710119092</v>
      </c>
      <c r="J30" s="133">
        <f>IF(SER_hh_tes!J30=0,0,11630*1000*SER_hh_tes!J30/SER_hh_num!J30)</f>
        <v>6253.4539065961426</v>
      </c>
      <c r="K30" s="133">
        <f>IF(SER_hh_tes!K30=0,0,11630*1000*SER_hh_tes!K30/SER_hh_num!K30)</f>
        <v>29937.683051504155</v>
      </c>
      <c r="L30" s="133">
        <f>IF(SER_hh_tes!L30=0,0,11630*1000*SER_hh_tes!L30/SER_hh_num!L30)</f>
        <v>52111.361727017866</v>
      </c>
      <c r="M30" s="133">
        <f>IF(SER_hh_tes!M30=0,0,11630*1000*SER_hh_tes!M30/SER_hh_num!M30)</f>
        <v>6193.990413971811</v>
      </c>
      <c r="N30" s="133">
        <f>IF(SER_hh_tes!N30=0,0,11630*1000*SER_hh_tes!N30/SER_hh_num!N30)</f>
        <v>30618.039371958039</v>
      </c>
      <c r="O30" s="133">
        <f>IF(SER_hh_tes!O30=0,0,11630*1000*SER_hh_tes!O30/SER_hh_num!O30)</f>
        <v>29546.271070590483</v>
      </c>
      <c r="P30" s="133">
        <f>IF(SER_hh_tes!P30=0,0,11630*1000*SER_hh_tes!P30/SER_hh_num!P30)</f>
        <v>27085.048118661896</v>
      </c>
      <c r="Q30" s="133">
        <f>IF(SER_hh_tes!Q30=0,0,11630*1000*SER_hh_tes!Q30/SER_hh_num!Q30)</f>
        <v>25677.059621422388</v>
      </c>
      <c r="R30" s="133">
        <f>IF(SER_hh_tes!R30=0,0,11630*1000*SER_hh_tes!R30/SER_hh_num!R30)</f>
        <v>27218.013840851851</v>
      </c>
      <c r="S30" s="133">
        <f>IF(SER_hh_tes!S30=0,0,11630*1000*SER_hh_tes!S30/SER_hh_num!S30)</f>
        <v>18289.322373271061</v>
      </c>
      <c r="T30" s="133">
        <f>IF(SER_hh_tes!T30=0,0,11630*1000*SER_hh_tes!T30/SER_hh_num!T30)</f>
        <v>27955.409760816354</v>
      </c>
      <c r="U30" s="133">
        <f>IF(SER_hh_tes!U30=0,0,11630*1000*SER_hh_tes!U30/SER_hh_num!U30)</f>
        <v>25508.117499217879</v>
      </c>
      <c r="V30" s="133">
        <f>IF(SER_hh_tes!V30=0,0,11630*1000*SER_hh_tes!V30/SER_hh_num!V30)</f>
        <v>21109.25088360982</v>
      </c>
      <c r="W30" s="133">
        <f>IF(SER_hh_tes!W30=0,0,11630*1000*SER_hh_tes!W30/SER_hh_num!W30)</f>
        <v>24081.876450835716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25759.020506819128</v>
      </c>
      <c r="C31" s="133">
        <f>IF(SER_hh_tes!C31=0,0,11630*1000*SER_hh_tes!C31/SER_hh_num!C31)</f>
        <v>25659.814677524559</v>
      </c>
      <c r="D31" s="133">
        <f>IF(SER_hh_tes!D31=0,0,11630*1000*SER_hh_tes!D31/SER_hh_num!D31)</f>
        <v>27145.697516027445</v>
      </c>
      <c r="E31" s="133">
        <f>IF(SER_hh_tes!E31=0,0,11630*1000*SER_hh_tes!E31/SER_hh_num!E31)</f>
        <v>27091.439862027131</v>
      </c>
      <c r="F31" s="133">
        <f>IF(SER_hh_tes!F31=0,0,11630*1000*SER_hh_tes!F31/SER_hh_num!F31)</f>
        <v>21218.151880565889</v>
      </c>
      <c r="G31" s="133">
        <f>IF(SER_hh_tes!G31=0,0,11630*1000*SER_hh_tes!G31/SER_hh_num!G31)</f>
        <v>28411.388265100741</v>
      </c>
      <c r="H31" s="133">
        <f>IF(SER_hh_tes!H31=0,0,11630*1000*SER_hh_tes!H31/SER_hh_num!H31)</f>
        <v>28346.911359060225</v>
      </c>
      <c r="I31" s="133">
        <f>IF(SER_hh_tes!I31=0,0,11630*1000*SER_hh_tes!I31/SER_hh_num!I31)</f>
        <v>28099.1224191238</v>
      </c>
      <c r="J31" s="133">
        <f>IF(SER_hh_tes!J31=0,0,11630*1000*SER_hh_tes!J31/SER_hh_num!J31)</f>
        <v>27487.920962785578</v>
      </c>
      <c r="K31" s="133">
        <f>IF(SER_hh_tes!K31=0,0,11630*1000*SER_hh_tes!K31/SER_hh_num!K31)</f>
        <v>27179.447789664762</v>
      </c>
      <c r="L31" s="133">
        <f>IF(SER_hh_tes!L31=0,0,11630*1000*SER_hh_tes!L31/SER_hh_num!L31)</f>
        <v>26900.444770227714</v>
      </c>
      <c r="M31" s="133">
        <f>IF(SER_hh_tes!M31=0,0,11630*1000*SER_hh_tes!M31/SER_hh_num!M31)</f>
        <v>24166.128369946182</v>
      </c>
      <c r="N31" s="133">
        <f>IF(SER_hh_tes!N31=0,0,11630*1000*SER_hh_tes!N31/SER_hh_num!N31)</f>
        <v>25283.821726724665</v>
      </c>
      <c r="O31" s="133">
        <f>IF(SER_hh_tes!O31=0,0,11630*1000*SER_hh_tes!O31/SER_hh_num!O31)</f>
        <v>27101.904035998741</v>
      </c>
      <c r="P31" s="133">
        <f>IF(SER_hh_tes!P31=0,0,11630*1000*SER_hh_tes!P31/SER_hh_num!P31)</f>
        <v>26067.704782333312</v>
      </c>
      <c r="Q31" s="133">
        <f>IF(SER_hh_tes!Q31=0,0,11630*1000*SER_hh_tes!Q31/SER_hh_num!Q31)</f>
        <v>27227.897234304692</v>
      </c>
      <c r="R31" s="133">
        <f>IF(SER_hh_tes!R31=0,0,11630*1000*SER_hh_tes!R31/SER_hh_num!R31)</f>
        <v>26905.861580452554</v>
      </c>
      <c r="S31" s="133">
        <f>IF(SER_hh_tes!S31=0,0,11630*1000*SER_hh_tes!S31/SER_hh_num!S31)</f>
        <v>26178.623431650107</v>
      </c>
      <c r="T31" s="133">
        <f>IF(SER_hh_tes!T31=0,0,11630*1000*SER_hh_tes!T31/SER_hh_num!T31)</f>
        <v>23868.618206605319</v>
      </c>
      <c r="U31" s="133">
        <f>IF(SER_hh_tes!U31=0,0,11630*1000*SER_hh_tes!U31/SER_hh_num!U31)</f>
        <v>19833.297037986042</v>
      </c>
      <c r="V31" s="133">
        <f>IF(SER_hh_tes!V31=0,0,11630*1000*SER_hh_tes!V31/SER_hh_num!V31)</f>
        <v>17980.564755605326</v>
      </c>
      <c r="W31" s="133">
        <f>IF(SER_hh_tes!W31=0,0,11630*1000*SER_hh_tes!W31/SER_hh_num!W31)</f>
        <v>29345.384967123598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29050.169304098024</v>
      </c>
      <c r="C33" s="68">
        <f>IF(SER_hh_tes!C33=0,0,11630*1000*SER_hh_tes!C33/SER_hh_num!C33)</f>
        <v>28888.294381889529</v>
      </c>
      <c r="D33" s="68">
        <f>IF(SER_hh_tes!D33=0,0,11630*1000*SER_hh_tes!D33/SER_hh_num!D33)</f>
        <v>21278.932625766854</v>
      </c>
      <c r="E33" s="68">
        <f>IF(SER_hh_tes!E33=0,0,11630*1000*SER_hh_tes!E33/SER_hh_num!E33)</f>
        <v>22270.930723425572</v>
      </c>
      <c r="F33" s="68">
        <f>IF(SER_hh_tes!F33=0,0,11630*1000*SER_hh_tes!F33/SER_hh_num!F33)</f>
        <v>27477.734028461618</v>
      </c>
      <c r="G33" s="68">
        <f>IF(SER_hh_tes!G33=0,0,11630*1000*SER_hh_tes!G33/SER_hh_num!G33)</f>
        <v>28353.224871195143</v>
      </c>
      <c r="H33" s="68">
        <f>IF(SER_hh_tes!H33=0,0,11630*1000*SER_hh_tes!H33/SER_hh_num!H33)</f>
        <v>25960.624694149701</v>
      </c>
      <c r="I33" s="68">
        <f>IF(SER_hh_tes!I33=0,0,11630*1000*SER_hh_tes!I33/SER_hh_num!I33)</f>
        <v>28119.46563152035</v>
      </c>
      <c r="J33" s="68">
        <f>IF(SER_hh_tes!J33=0,0,11630*1000*SER_hh_tes!J33/SER_hh_num!J33)</f>
        <v>28331.877084008396</v>
      </c>
      <c r="K33" s="68">
        <f>IF(SER_hh_tes!K33=0,0,11630*1000*SER_hh_tes!K33/SER_hh_num!K33)</f>
        <v>26894.378639938372</v>
      </c>
      <c r="L33" s="68">
        <f>IF(SER_hh_tes!L33=0,0,11630*1000*SER_hh_tes!L33/SER_hh_num!L33)</f>
        <v>23383.789673534204</v>
      </c>
      <c r="M33" s="68">
        <f>IF(SER_hh_tes!M33=0,0,11630*1000*SER_hh_tes!M33/SER_hh_num!M33)</f>
        <v>30023.335098621203</v>
      </c>
      <c r="N33" s="68">
        <f>IF(SER_hh_tes!N33=0,0,11630*1000*SER_hh_tes!N33/SER_hh_num!N33)</f>
        <v>26707.003544582083</v>
      </c>
      <c r="O33" s="68">
        <f>IF(SER_hh_tes!O33=0,0,11630*1000*SER_hh_tes!O33/SER_hh_num!O33)</f>
        <v>25265.094569293455</v>
      </c>
      <c r="P33" s="68">
        <f>IF(SER_hh_tes!P33=0,0,11630*1000*SER_hh_tes!P33/SER_hh_num!P33)</f>
        <v>26037.735296690968</v>
      </c>
      <c r="Q33" s="68">
        <f>IF(SER_hh_tes!Q33=0,0,11630*1000*SER_hh_tes!Q33/SER_hh_num!Q33)</f>
        <v>24902.667834010776</v>
      </c>
      <c r="R33" s="68">
        <f>IF(SER_hh_tes!R33=0,0,11630*1000*SER_hh_tes!R33/SER_hh_num!R33)</f>
        <v>24654.86121460225</v>
      </c>
      <c r="S33" s="68">
        <f>IF(SER_hh_tes!S33=0,0,11630*1000*SER_hh_tes!S33/SER_hh_num!S33)</f>
        <v>25517.800225137849</v>
      </c>
      <c r="T33" s="68">
        <f>IF(SER_hh_tes!T33=0,0,11630*1000*SER_hh_tes!T33/SER_hh_num!T33)</f>
        <v>26179.317782187016</v>
      </c>
      <c r="U33" s="68">
        <f>IF(SER_hh_tes!U33=0,0,11630*1000*SER_hh_tes!U33/SER_hh_num!U33)</f>
        <v>28269.079712275059</v>
      </c>
      <c r="V33" s="68">
        <f>IF(SER_hh_tes!V33=0,0,11630*1000*SER_hh_tes!V33/SER_hh_num!V33)</f>
        <v>25698.903618533663</v>
      </c>
      <c r="W33" s="68">
        <f>IF(SER_hh_tes!W33=0,0,11630*1000*SER_hh_tes!W33/SER_hh_num!W33)</f>
        <v>22160.264390864118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139495.83100318536</v>
      </c>
      <c r="C3" s="126">
        <f>IF(SER_hh_emi!C3=0,0,1000000*SER_hh_emi!C3/SER_hh_num!C3)</f>
        <v>83010.935009881941</v>
      </c>
      <c r="D3" s="126">
        <f>IF(SER_hh_emi!D3=0,0,1000000*SER_hh_emi!D3/SER_hh_num!D3)</f>
        <v>68742.926928330809</v>
      </c>
      <c r="E3" s="126">
        <f>IF(SER_hh_emi!E3=0,0,1000000*SER_hh_emi!E3/SER_hh_num!E3)</f>
        <v>45121.222146259475</v>
      </c>
      <c r="F3" s="126">
        <f>IF(SER_hh_emi!F3=0,0,1000000*SER_hh_emi!F3/SER_hh_num!F3)</f>
        <v>47500.633817512309</v>
      </c>
      <c r="G3" s="126">
        <f>IF(SER_hh_emi!G3=0,0,1000000*SER_hh_emi!G3/SER_hh_num!G3)</f>
        <v>73093.69456806028</v>
      </c>
      <c r="H3" s="126">
        <f>IF(SER_hh_emi!H3=0,0,1000000*SER_hh_emi!H3/SER_hh_num!H3)</f>
        <v>80843.214086688909</v>
      </c>
      <c r="I3" s="126">
        <f>IF(SER_hh_emi!I3=0,0,1000000*SER_hh_emi!I3/SER_hh_num!I3)</f>
        <v>77455.285469412745</v>
      </c>
      <c r="J3" s="126">
        <f>IF(SER_hh_emi!J3=0,0,1000000*SER_hh_emi!J3/SER_hh_num!J3)</f>
        <v>82078.41086934229</v>
      </c>
      <c r="K3" s="126">
        <f>IF(SER_hh_emi!K3=0,0,1000000*SER_hh_emi!K3/SER_hh_num!K3)</f>
        <v>93230.103663285889</v>
      </c>
      <c r="L3" s="126">
        <f>IF(SER_hh_emi!L3=0,0,1000000*SER_hh_emi!L3/SER_hh_num!L3)</f>
        <v>83333.911786809113</v>
      </c>
      <c r="M3" s="126">
        <f>IF(SER_hh_emi!M3=0,0,1000000*SER_hh_emi!M3/SER_hh_num!M3)</f>
        <v>56537.697791753402</v>
      </c>
      <c r="N3" s="126">
        <f>IF(SER_hh_emi!N3=0,0,1000000*SER_hh_emi!N3/SER_hh_num!N3)</f>
        <v>49686.417287716089</v>
      </c>
      <c r="O3" s="126">
        <f>IF(SER_hh_emi!O3=0,0,1000000*SER_hh_emi!O3/SER_hh_num!O3)</f>
        <v>64153.742900431222</v>
      </c>
      <c r="P3" s="126">
        <f>IF(SER_hh_emi!P3=0,0,1000000*SER_hh_emi!P3/SER_hh_num!P3)</f>
        <v>43062.954865674452</v>
      </c>
      <c r="Q3" s="126">
        <f>IF(SER_hh_emi!Q3=0,0,1000000*SER_hh_emi!Q3/SER_hh_num!Q3)</f>
        <v>44103.983041845488</v>
      </c>
      <c r="R3" s="126">
        <f>IF(SER_hh_emi!R3=0,0,1000000*SER_hh_emi!R3/SER_hh_num!R3)</f>
        <v>37178.582753115727</v>
      </c>
      <c r="S3" s="126">
        <f>IF(SER_hh_emi!S3=0,0,1000000*SER_hh_emi!S3/SER_hh_num!S3)</f>
        <v>40672.684563176153</v>
      </c>
      <c r="T3" s="126">
        <f>IF(SER_hh_emi!T3=0,0,1000000*SER_hh_emi!T3/SER_hh_num!T3)</f>
        <v>35715.564066640814</v>
      </c>
      <c r="U3" s="126">
        <f>IF(SER_hh_emi!U3=0,0,1000000*SER_hh_emi!U3/SER_hh_num!U3)</f>
        <v>35319.748466392659</v>
      </c>
      <c r="V3" s="126">
        <f>IF(SER_hh_emi!V3=0,0,1000000*SER_hh_emi!V3/SER_hh_num!V3)</f>
        <v>25432.065889691756</v>
      </c>
      <c r="W3" s="126">
        <f>IF(SER_hh_emi!W3=0,0,1000000*SER_hh_emi!W3/SER_hh_num!W3)</f>
        <v>37674.200026299033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133318.78971958233</v>
      </c>
      <c r="C4" s="131">
        <f>IF(SER_hh_emi!C4=0,0,1000000*SER_hh_emi!C4/SER_hh_num!C4)</f>
        <v>75461.363907738458</v>
      </c>
      <c r="D4" s="131">
        <f>IF(SER_hh_emi!D4=0,0,1000000*SER_hh_emi!D4/SER_hh_num!D4)</f>
        <v>59476.043313375943</v>
      </c>
      <c r="E4" s="131">
        <f>IF(SER_hh_emi!E4=0,0,1000000*SER_hh_emi!E4/SER_hh_num!E4)</f>
        <v>36333.03378497222</v>
      </c>
      <c r="F4" s="131">
        <f>IF(SER_hh_emi!F4=0,0,1000000*SER_hh_emi!F4/SER_hh_num!F4)</f>
        <v>39115.596335693925</v>
      </c>
      <c r="G4" s="131">
        <f>IF(SER_hh_emi!G4=0,0,1000000*SER_hh_emi!G4/SER_hh_num!G4)</f>
        <v>65327.389943234397</v>
      </c>
      <c r="H4" s="131">
        <f>IF(SER_hh_emi!H4=0,0,1000000*SER_hh_emi!H4/SER_hh_num!H4)</f>
        <v>73083.64888105815</v>
      </c>
      <c r="I4" s="131">
        <f>IF(SER_hh_emi!I4=0,0,1000000*SER_hh_emi!I4/SER_hh_num!I4)</f>
        <v>70516.591448555118</v>
      </c>
      <c r="J4" s="131">
        <f>IF(SER_hh_emi!J4=0,0,1000000*SER_hh_emi!J4/SER_hh_num!J4)</f>
        <v>75573.305773674161</v>
      </c>
      <c r="K4" s="131">
        <f>IF(SER_hh_emi!K4=0,0,1000000*SER_hh_emi!K4/SER_hh_num!K4)</f>
        <v>86137.053568738163</v>
      </c>
      <c r="L4" s="131">
        <f>IF(SER_hh_emi!L4=0,0,1000000*SER_hh_emi!L4/SER_hh_num!L4)</f>
        <v>75723.469830251823</v>
      </c>
      <c r="M4" s="131">
        <f>IF(SER_hh_emi!M4=0,0,1000000*SER_hh_emi!M4/SER_hh_num!M4)</f>
        <v>50547.587611455521</v>
      </c>
      <c r="N4" s="131">
        <f>IF(SER_hh_emi!N4=0,0,1000000*SER_hh_emi!N4/SER_hh_num!N4)</f>
        <v>42116.651026198058</v>
      </c>
      <c r="O4" s="131">
        <f>IF(SER_hh_emi!O4=0,0,1000000*SER_hh_emi!O4/SER_hh_num!O4)</f>
        <v>55715.87541234064</v>
      </c>
      <c r="P4" s="131">
        <f>IF(SER_hh_emi!P4=0,0,1000000*SER_hh_emi!P4/SER_hh_num!P4)</f>
        <v>34460.472039439133</v>
      </c>
      <c r="Q4" s="131">
        <f>IF(SER_hh_emi!Q4=0,0,1000000*SER_hh_emi!Q4/SER_hh_num!Q4)</f>
        <v>35298.66477570311</v>
      </c>
      <c r="R4" s="131">
        <f>IF(SER_hh_emi!R4=0,0,1000000*SER_hh_emi!R4/SER_hh_num!R4)</f>
        <v>29122.947205453114</v>
      </c>
      <c r="S4" s="131">
        <f>IF(SER_hh_emi!S4=0,0,1000000*SER_hh_emi!S4/SER_hh_num!S4)</f>
        <v>33367.567150811577</v>
      </c>
      <c r="T4" s="131">
        <f>IF(SER_hh_emi!T4=0,0,1000000*SER_hh_emi!T4/SER_hh_num!T4)</f>
        <v>29297.483170654032</v>
      </c>
      <c r="U4" s="131">
        <f>IF(SER_hh_emi!U4=0,0,1000000*SER_hh_emi!U4/SER_hh_num!U4)</f>
        <v>29625.152193291302</v>
      </c>
      <c r="V4" s="131">
        <f>IF(SER_hh_emi!V4=0,0,1000000*SER_hh_emi!V4/SER_hh_num!V4)</f>
        <v>21381.248239596192</v>
      </c>
      <c r="W4" s="131">
        <f>IF(SER_hh_emi!W4=0,0,1000000*SER_hh_emi!W4/SER_hh_num!W4)</f>
        <v>31338.679002635119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237248.6258243295</v>
      </c>
      <c r="C5" s="133">
        <f>IF(SER_hh_emi!C5=0,0,1000000*SER_hh_emi!C5/SER_hh_num!C5)</f>
        <v>191490.60580362176</v>
      </c>
      <c r="D5" s="133">
        <f>IF(SER_hh_emi!D5=0,0,1000000*SER_hh_emi!D5/SER_hh_num!D5)</f>
        <v>264641.90129289968</v>
      </c>
      <c r="E5" s="133">
        <f>IF(SER_hh_emi!E5=0,0,1000000*SER_hh_emi!E5/SER_hh_num!E5)</f>
        <v>64413.674079697572</v>
      </c>
      <c r="F5" s="133">
        <f>IF(SER_hh_emi!F5=0,0,1000000*SER_hh_emi!F5/SER_hh_num!F5)</f>
        <v>245635.93568463731</v>
      </c>
      <c r="G5" s="133">
        <f>IF(SER_hh_emi!G5=0,0,1000000*SER_hh_emi!G5/SER_hh_num!G5)</f>
        <v>56159.143221551181</v>
      </c>
      <c r="H5" s="133">
        <f>IF(SER_hh_emi!H5=0,0,1000000*SER_hh_emi!H5/SER_hh_num!H5)</f>
        <v>132185.71311194825</v>
      </c>
      <c r="I5" s="133">
        <f>IF(SER_hh_emi!I5=0,0,1000000*SER_hh_emi!I5/SER_hh_num!I5)</f>
        <v>146627.37390713039</v>
      </c>
      <c r="J5" s="133">
        <f>IF(SER_hh_emi!J5=0,0,1000000*SER_hh_emi!J5/SER_hh_num!J5)</f>
        <v>146625.28385015932</v>
      </c>
      <c r="K5" s="133">
        <f>IF(SER_hh_emi!K5=0,0,1000000*SER_hh_emi!K5/SER_hh_num!K5)</f>
        <v>272110.70050887932</v>
      </c>
      <c r="L5" s="133">
        <f>IF(SER_hh_emi!L5=0,0,1000000*SER_hh_emi!L5/SER_hh_num!L5)</f>
        <v>143422.04213301506</v>
      </c>
      <c r="M5" s="133">
        <f>IF(SER_hh_emi!M5=0,0,1000000*SER_hh_emi!M5/SER_hh_num!M5)</f>
        <v>172415.08260005587</v>
      </c>
      <c r="N5" s="133">
        <f>IF(SER_hh_emi!N5=0,0,1000000*SER_hh_emi!N5/SER_hh_num!N5)</f>
        <v>62009.957797553048</v>
      </c>
      <c r="O5" s="133">
        <f>IF(SER_hh_emi!O5=0,0,1000000*SER_hh_emi!O5/SER_hh_num!O5)</f>
        <v>128385.25853638863</v>
      </c>
      <c r="P5" s="133">
        <f>IF(SER_hh_emi!P5=0,0,1000000*SER_hh_emi!P5/SER_hh_num!P5)</f>
        <v>88605.308678200236</v>
      </c>
      <c r="Q5" s="133">
        <f>IF(SER_hh_emi!Q5=0,0,1000000*SER_hh_emi!Q5/SER_hh_num!Q5)</f>
        <v>100742.7343946973</v>
      </c>
      <c r="R5" s="133">
        <f>IF(SER_hh_emi!R5=0,0,1000000*SER_hh_emi!R5/SER_hh_num!R5)</f>
        <v>63976.726058642933</v>
      </c>
      <c r="S5" s="133">
        <f>IF(SER_hh_emi!S5=0,0,1000000*SER_hh_emi!S5/SER_hh_num!S5)</f>
        <v>77366.562824701818</v>
      </c>
      <c r="T5" s="133">
        <f>IF(SER_hh_emi!T5=0,0,1000000*SER_hh_emi!T5/SER_hh_num!T5)</f>
        <v>81228.579846052889</v>
      </c>
      <c r="U5" s="133">
        <f>IF(SER_hh_emi!U5=0,0,1000000*SER_hh_emi!U5/SER_hh_num!U5)</f>
        <v>119958.08800289276</v>
      </c>
      <c r="V5" s="133">
        <f>IF(SER_hh_emi!V5=0,0,1000000*SER_hh_emi!V5/SER_hh_num!V5)</f>
        <v>51267.609403798524</v>
      </c>
      <c r="W5" s="133">
        <f>IF(SER_hh_emi!W5=0,0,1000000*SER_hh_emi!W5/SER_hh_num!W5)</f>
        <v>74617.561543568605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28974.835327222605</v>
      </c>
      <c r="C7" s="133">
        <f>IF(SER_hh_emi!C7=0,0,1000000*SER_hh_emi!C7/SER_hh_num!C7)</f>
        <v>240762.15855372691</v>
      </c>
      <c r="D7" s="133">
        <f>IF(SER_hh_emi!D7=0,0,1000000*SER_hh_emi!D7/SER_hh_num!D7)</f>
        <v>169812.44411404349</v>
      </c>
      <c r="E7" s="133">
        <f>IF(SER_hh_emi!E7=0,0,1000000*SER_hh_emi!E7/SER_hh_num!E7)</f>
        <v>62030.760401030682</v>
      </c>
      <c r="F7" s="133">
        <f>IF(SER_hh_emi!F7=0,0,1000000*SER_hh_emi!F7/SER_hh_num!F7)</f>
        <v>168089.21404663348</v>
      </c>
      <c r="G7" s="133">
        <f>IF(SER_hh_emi!G7=0,0,1000000*SER_hh_emi!G7/SER_hh_num!G7)</f>
        <v>192938.42295926088</v>
      </c>
      <c r="H7" s="133">
        <f>IF(SER_hh_emi!H7=0,0,1000000*SER_hh_emi!H7/SER_hh_num!H7)</f>
        <v>167345.0043901187</v>
      </c>
      <c r="I7" s="133">
        <f>IF(SER_hh_emi!I7=0,0,1000000*SER_hh_emi!I7/SER_hh_num!I7)</f>
        <v>17732.518046772773</v>
      </c>
      <c r="J7" s="133">
        <f>IF(SER_hh_emi!J7=0,0,1000000*SER_hh_emi!J7/SER_hh_num!J7)</f>
        <v>109546.14839148789</v>
      </c>
      <c r="K7" s="133">
        <f>IF(SER_hh_emi!K7=0,0,1000000*SER_hh_emi!K7/SER_hh_num!K7)</f>
        <v>333086.31691763818</v>
      </c>
      <c r="L7" s="133">
        <f>IF(SER_hh_emi!L7=0,0,1000000*SER_hh_emi!L7/SER_hh_num!L7)</f>
        <v>0</v>
      </c>
      <c r="M7" s="133">
        <f>IF(SER_hh_emi!M7=0,0,1000000*SER_hh_emi!M7/SER_hh_num!M7)</f>
        <v>0</v>
      </c>
      <c r="N7" s="133">
        <f>IF(SER_hh_emi!N7=0,0,1000000*SER_hh_emi!N7/SER_hh_num!N7)</f>
        <v>0</v>
      </c>
      <c r="O7" s="133">
        <f>IF(SER_hh_emi!O7=0,0,1000000*SER_hh_emi!O7/SER_hh_num!O7)</f>
        <v>30230.348329647488</v>
      </c>
      <c r="P7" s="133">
        <f>IF(SER_hh_emi!P7=0,0,1000000*SER_hh_emi!P7/SER_hh_num!P7)</f>
        <v>74990.478149521747</v>
      </c>
      <c r="Q7" s="133">
        <f>IF(SER_hh_emi!Q7=0,0,1000000*SER_hh_emi!Q7/SER_hh_num!Q7)</f>
        <v>75972.985607673996</v>
      </c>
      <c r="R7" s="133">
        <f>IF(SER_hh_emi!R7=0,0,1000000*SER_hh_emi!R7/SER_hh_num!R7)</f>
        <v>50693.471005512765</v>
      </c>
      <c r="S7" s="133">
        <f>IF(SER_hh_emi!S7=0,0,1000000*SER_hh_emi!S7/SER_hh_num!S7)</f>
        <v>40203.679003045334</v>
      </c>
      <c r="T7" s="133">
        <f>IF(SER_hh_emi!T7=0,0,1000000*SER_hh_emi!T7/SER_hh_num!T7)</f>
        <v>27724.381535117685</v>
      </c>
      <c r="U7" s="133">
        <f>IF(SER_hh_emi!U7=0,0,1000000*SER_hh_emi!U7/SER_hh_num!U7)</f>
        <v>71670.65417266365</v>
      </c>
      <c r="V7" s="133">
        <f>IF(SER_hh_emi!V7=0,0,1000000*SER_hh_emi!V7/SER_hh_num!V7)</f>
        <v>42154.281640083631</v>
      </c>
      <c r="W7" s="133">
        <f>IF(SER_hh_emi!W7=0,0,1000000*SER_hh_emi!W7/SER_hh_num!W7)</f>
        <v>43073.30374691679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63288.597015710002</v>
      </c>
      <c r="C8" s="133">
        <f>IF(SER_hh_emi!C8=0,0,1000000*SER_hh_emi!C8/SER_hh_num!C8)</f>
        <v>56374.069820081553</v>
      </c>
      <c r="D8" s="133">
        <f>IF(SER_hh_emi!D8=0,0,1000000*SER_hh_emi!D8/SER_hh_num!D8)</f>
        <v>41741.747419248561</v>
      </c>
      <c r="E8" s="133">
        <f>IF(SER_hh_emi!E8=0,0,1000000*SER_hh_emi!E8/SER_hh_num!E8)</f>
        <v>41990.697935590593</v>
      </c>
      <c r="F8" s="133">
        <f>IF(SER_hh_emi!F8=0,0,1000000*SER_hh_emi!F8/SER_hh_num!F8)</f>
        <v>43898.773325131442</v>
      </c>
      <c r="G8" s="133">
        <f>IF(SER_hh_emi!G8=0,0,1000000*SER_hh_emi!G8/SER_hh_num!G8)</f>
        <v>45890.691596746612</v>
      </c>
      <c r="H8" s="133">
        <f>IF(SER_hh_emi!H8=0,0,1000000*SER_hh_emi!H8/SER_hh_num!H8)</f>
        <v>47734.426159399918</v>
      </c>
      <c r="I8" s="133">
        <f>IF(SER_hh_emi!I8=0,0,1000000*SER_hh_emi!I8/SER_hh_num!I8)</f>
        <v>45241.9702646941</v>
      </c>
      <c r="J8" s="133">
        <f>IF(SER_hh_emi!J8=0,0,1000000*SER_hh_emi!J8/SER_hh_num!J8)</f>
        <v>42222.071939913643</v>
      </c>
      <c r="K8" s="133">
        <f>IF(SER_hh_emi!K8=0,0,1000000*SER_hh_emi!K8/SER_hh_num!K8)</f>
        <v>37875.418260054648</v>
      </c>
      <c r="L8" s="133">
        <f>IF(SER_hh_emi!L8=0,0,1000000*SER_hh_emi!L8/SER_hh_num!L8)</f>
        <v>31631.856100936729</v>
      </c>
      <c r="M8" s="133">
        <f>IF(SER_hh_emi!M8=0,0,1000000*SER_hh_emi!M8/SER_hh_num!M8)</f>
        <v>27070.428839699376</v>
      </c>
      <c r="N8" s="133">
        <f>IF(SER_hh_emi!N8=0,0,1000000*SER_hh_emi!N8/SER_hh_num!N8)</f>
        <v>19650.397614950652</v>
      </c>
      <c r="O8" s="133">
        <f>IF(SER_hh_emi!O8=0,0,1000000*SER_hh_emi!O8/SER_hh_num!O8)</f>
        <v>20427.272432409442</v>
      </c>
      <c r="P8" s="133">
        <f>IF(SER_hh_emi!P8=0,0,1000000*SER_hh_emi!P8/SER_hh_num!P8)</f>
        <v>16526.053666186912</v>
      </c>
      <c r="Q8" s="133">
        <f>IF(SER_hh_emi!Q8=0,0,1000000*SER_hh_emi!Q8/SER_hh_num!Q8)</f>
        <v>16598.373398840722</v>
      </c>
      <c r="R8" s="133">
        <f>IF(SER_hh_emi!R8=0,0,1000000*SER_hh_emi!R8/SER_hh_num!R8)</f>
        <v>14825.601519337268</v>
      </c>
      <c r="S8" s="133">
        <f>IF(SER_hh_emi!S8=0,0,1000000*SER_hh_emi!S8/SER_hh_num!S8)</f>
        <v>14759.371876302948</v>
      </c>
      <c r="T8" s="133">
        <f>IF(SER_hh_emi!T8=0,0,1000000*SER_hh_emi!T8/SER_hh_num!T8)</f>
        <v>13642.686378676166</v>
      </c>
      <c r="U8" s="133">
        <f>IF(SER_hh_emi!U8=0,0,1000000*SER_hh_emi!U8/SER_hh_num!U8)</f>
        <v>11303.890784283025</v>
      </c>
      <c r="V8" s="133">
        <f>IF(SER_hh_emi!V8=0,0,1000000*SER_hh_emi!V8/SER_hh_num!V8)</f>
        <v>11926.68359452712</v>
      </c>
      <c r="W8" s="133">
        <f>IF(SER_hh_emi!W8=0,0,1000000*SER_hh_emi!W8/SER_hh_num!W8)</f>
        <v>12578.48956461347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197302.30710961658</v>
      </c>
      <c r="C9" s="133">
        <f>IF(SER_hh_emi!C9=0,0,1000000*SER_hh_emi!C9/SER_hh_num!C9)</f>
        <v>114410.09824806325</v>
      </c>
      <c r="D9" s="133">
        <f>IF(SER_hh_emi!D9=0,0,1000000*SER_hh_emi!D9/SER_hh_num!D9)</f>
        <v>86028.259212232544</v>
      </c>
      <c r="E9" s="133">
        <f>IF(SER_hh_emi!E9=0,0,1000000*SER_hh_emi!E9/SER_hh_num!E9)</f>
        <v>90796.840671064492</v>
      </c>
      <c r="F9" s="133">
        <f>IF(SER_hh_emi!F9=0,0,1000000*SER_hh_emi!F9/SER_hh_num!F9)</f>
        <v>53050.831495334736</v>
      </c>
      <c r="G9" s="133">
        <f>IF(SER_hh_emi!G9=0,0,1000000*SER_hh_emi!G9/SER_hh_num!G9)</f>
        <v>128458.69245922948</v>
      </c>
      <c r="H9" s="133">
        <f>IF(SER_hh_emi!H9=0,0,1000000*SER_hh_emi!H9/SER_hh_num!H9)</f>
        <v>117714.10454004088</v>
      </c>
      <c r="I9" s="133">
        <f>IF(SER_hh_emi!I9=0,0,1000000*SER_hh_emi!I9/SER_hh_num!I9)</f>
        <v>101594.81192275914</v>
      </c>
      <c r="J9" s="133">
        <f>IF(SER_hh_emi!J9=0,0,1000000*SER_hh_emi!J9/SER_hh_num!J9)</f>
        <v>105154.78400255395</v>
      </c>
      <c r="K9" s="133">
        <f>IF(SER_hh_emi!K9=0,0,1000000*SER_hh_emi!K9/SER_hh_num!K9)</f>
        <v>73817.3796724329</v>
      </c>
      <c r="L9" s="133">
        <f>IF(SER_hh_emi!L9=0,0,1000000*SER_hh_emi!L9/SER_hh_num!L9)</f>
        <v>118439.40983138105</v>
      </c>
      <c r="M9" s="133">
        <f>IF(SER_hh_emi!M9=0,0,1000000*SER_hh_emi!M9/SER_hh_num!M9)</f>
        <v>43373.933039409545</v>
      </c>
      <c r="N9" s="133">
        <f>IF(SER_hh_emi!N9=0,0,1000000*SER_hh_emi!N9/SER_hh_num!N9)</f>
        <v>69747.206569819056</v>
      </c>
      <c r="O9" s="133">
        <f>IF(SER_hh_emi!O9=0,0,1000000*SER_hh_emi!O9/SER_hh_num!O9)</f>
        <v>80368.633220569478</v>
      </c>
      <c r="P9" s="133">
        <f>IF(SER_hh_emi!P9=0,0,1000000*SER_hh_emi!P9/SER_hh_num!P9)</f>
        <v>44855.048626525095</v>
      </c>
      <c r="Q9" s="133">
        <f>IF(SER_hh_emi!Q9=0,0,1000000*SER_hh_emi!Q9/SER_hh_num!Q9)</f>
        <v>48568.615901163648</v>
      </c>
      <c r="R9" s="133">
        <f>IF(SER_hh_emi!R9=0,0,1000000*SER_hh_emi!R9/SER_hh_num!R9)</f>
        <v>47640.889434966659</v>
      </c>
      <c r="S9" s="133">
        <f>IF(SER_hh_emi!S9=0,0,1000000*SER_hh_emi!S9/SER_hh_num!S9)</f>
        <v>53772.938184372266</v>
      </c>
      <c r="T9" s="133">
        <f>IF(SER_hh_emi!T9=0,0,1000000*SER_hh_emi!T9/SER_hh_num!T9)</f>
        <v>46425.08068625447</v>
      </c>
      <c r="U9" s="133">
        <f>IF(SER_hh_emi!U9=0,0,1000000*SER_hh_emi!U9/SER_hh_num!U9)</f>
        <v>36654.956782552348</v>
      </c>
      <c r="V9" s="133">
        <f>IF(SER_hh_emi!V9=0,0,1000000*SER_hh_emi!V9/SER_hh_num!V9)</f>
        <v>33440.418049125008</v>
      </c>
      <c r="W9" s="133">
        <f>IF(SER_hh_emi!W9=0,0,1000000*SER_hh_emi!W9/SER_hh_num!W9)</f>
        <v>50479.872203031497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4477.7594568124487</v>
      </c>
      <c r="C10" s="133">
        <f>IF(SER_hh_emi!C10=0,0,1000000*SER_hh_emi!C10/SER_hh_num!C10)</f>
        <v>131646.88741593485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78260.057826115619</v>
      </c>
      <c r="K10" s="133">
        <f>IF(SER_hh_emi!K10=0,0,1000000*SER_hh_emi!K10/SER_hh_num!K10)</f>
        <v>96035.416660563802</v>
      </c>
      <c r="L10" s="133">
        <f>IF(SER_hh_emi!L10=0,0,1000000*SER_hh_emi!L10/SER_hh_num!L10)</f>
        <v>89804.017099608987</v>
      </c>
      <c r="M10" s="133">
        <f>IF(SER_hh_emi!M10=0,0,1000000*SER_hh_emi!M10/SER_hh_num!M10)</f>
        <v>53444.550229005363</v>
      </c>
      <c r="N10" s="133">
        <f>IF(SER_hh_emi!N10=0,0,1000000*SER_hh_emi!N10/SER_hh_num!N10)</f>
        <v>81689.210143449687</v>
      </c>
      <c r="O10" s="133">
        <f>IF(SER_hh_emi!O10=0,0,1000000*SER_hh_emi!O10/SER_hh_num!O10)</f>
        <v>17116.606821134439</v>
      </c>
      <c r="P10" s="133">
        <f>IF(SER_hh_emi!P10=0,0,1000000*SER_hh_emi!P10/SER_hh_num!P10)</f>
        <v>141916.41382717926</v>
      </c>
      <c r="Q10" s="133">
        <f>IF(SER_hh_emi!Q10=0,0,1000000*SER_hh_emi!Q10/SER_hh_num!Q10)</f>
        <v>77011.365474282604</v>
      </c>
      <c r="R10" s="133">
        <f>IF(SER_hh_emi!R10=0,0,1000000*SER_hh_emi!R10/SER_hh_num!R10)</f>
        <v>9620.7994553157096</v>
      </c>
      <c r="S10" s="133">
        <f>IF(SER_hh_emi!S10=0,0,1000000*SER_hh_emi!S10/SER_hh_num!S10)</f>
        <v>44610.052997896943</v>
      </c>
      <c r="T10" s="133">
        <f>IF(SER_hh_emi!T10=0,0,1000000*SER_hh_emi!T10/SER_hh_num!T10)</f>
        <v>760.66015418898871</v>
      </c>
      <c r="U10" s="133">
        <f>IF(SER_hh_emi!U10=0,0,1000000*SER_hh_emi!U10/SER_hh_num!U10)</f>
        <v>34238.050829085347</v>
      </c>
      <c r="V10" s="133">
        <f>IF(SER_hh_emi!V10=0,0,1000000*SER_hh_emi!V10/SER_hh_num!V10)</f>
        <v>32411.465561033736</v>
      </c>
      <c r="W10" s="133">
        <f>IF(SER_hh_emi!W10=0,0,1000000*SER_hh_emi!W10/SER_hh_num!W10)</f>
        <v>36214.753240333856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8.9181585952955107</v>
      </c>
      <c r="C16" s="131">
        <f>IF(SER_hh_emi!C16=0,0,1000000*SER_hh_emi!C16/SER_hh_num!C16)</f>
        <v>13.202477157546813</v>
      </c>
      <c r="D16" s="131">
        <f>IF(SER_hh_emi!D16=0,0,1000000*SER_hh_emi!D16/SER_hh_num!D16)</f>
        <v>10.735734976674593</v>
      </c>
      <c r="E16" s="131">
        <f>IF(SER_hh_emi!E16=0,0,1000000*SER_hh_emi!E16/SER_hh_num!E16)</f>
        <v>3.9045099496360871</v>
      </c>
      <c r="F16" s="131">
        <f>IF(SER_hh_emi!F16=0,0,1000000*SER_hh_emi!F16/SER_hh_num!F16)</f>
        <v>10.526527528535402</v>
      </c>
      <c r="G16" s="131">
        <f>IF(SER_hh_emi!G16=0,0,1000000*SER_hh_emi!G16/SER_hh_num!G16)</f>
        <v>14.927601838502181</v>
      </c>
      <c r="H16" s="131">
        <f>IF(SER_hh_emi!H16=0,0,1000000*SER_hh_emi!H16/SER_hh_num!H16)</f>
        <v>16.738459638731282</v>
      </c>
      <c r="I16" s="131">
        <f>IF(SER_hh_emi!I16=0,0,1000000*SER_hh_emi!I16/SER_hh_num!I16)</f>
        <v>16.558536508501426</v>
      </c>
      <c r="J16" s="131">
        <f>IF(SER_hh_emi!J16=0,0,1000000*SER_hh_emi!J16/SER_hh_num!J16)</f>
        <v>16.673207909726955</v>
      </c>
      <c r="K16" s="131">
        <f>IF(SER_hh_emi!K16=0,0,1000000*SER_hh_emi!K16/SER_hh_num!K16)</f>
        <v>16.141074147844552</v>
      </c>
      <c r="L16" s="131">
        <f>IF(SER_hh_emi!L16=0,0,1000000*SER_hh_emi!L16/SER_hh_num!L16)</f>
        <v>17.262945177581482</v>
      </c>
      <c r="M16" s="131">
        <f>IF(SER_hh_emi!M16=0,0,1000000*SER_hh_emi!M16/SER_hh_num!M16)</f>
        <v>18.176755650718594</v>
      </c>
      <c r="N16" s="131">
        <f>IF(SER_hh_emi!N16=0,0,1000000*SER_hh_emi!N16/SER_hh_num!N16)</f>
        <v>20.583807051734119</v>
      </c>
      <c r="O16" s="131">
        <f>IF(SER_hh_emi!O16=0,0,1000000*SER_hh_emi!O16/SER_hh_num!O16)</f>
        <v>25.193180716710216</v>
      </c>
      <c r="P16" s="131">
        <f>IF(SER_hh_emi!P16=0,0,1000000*SER_hh_emi!P16/SER_hh_num!P16)</f>
        <v>32.413253657746424</v>
      </c>
      <c r="Q16" s="131">
        <f>IF(SER_hh_emi!Q16=0,0,1000000*SER_hh_emi!Q16/SER_hh_num!Q16)</f>
        <v>43.007723233222443</v>
      </c>
      <c r="R16" s="131">
        <f>IF(SER_hh_emi!R16=0,0,1000000*SER_hh_emi!R16/SER_hh_num!R16)</f>
        <v>54.394855500986417</v>
      </c>
      <c r="S16" s="131">
        <f>IF(SER_hh_emi!S16=0,0,1000000*SER_hh_emi!S16/SER_hh_num!S16)</f>
        <v>63.749836784618701</v>
      </c>
      <c r="T16" s="131">
        <f>IF(SER_hh_emi!T16=0,0,1000000*SER_hh_emi!T16/SER_hh_num!T16)</f>
        <v>71.006386189202274</v>
      </c>
      <c r="U16" s="131">
        <f>IF(SER_hh_emi!U16=0,0,1000000*SER_hh_emi!U16/SER_hh_num!U16)</f>
        <v>76.382662677230101</v>
      </c>
      <c r="V16" s="131">
        <f>IF(SER_hh_emi!V16=0,0,1000000*SER_hh_emi!V16/SER_hh_num!V16)</f>
        <v>83.432005680880792</v>
      </c>
      <c r="W16" s="131">
        <f>IF(SER_hh_emi!W16=0,0,1000000*SER_hh_emi!W16/SER_hh_num!W16)</f>
        <v>86.422295381134461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4548.3407830553588</v>
      </c>
      <c r="C17" s="133">
        <f>IF(SER_hh_emi!C17=0,0,1000000*SER_hh_emi!C17/SER_hh_num!C17)</f>
        <v>4380.6701311184397</v>
      </c>
      <c r="D17" s="133">
        <f>IF(SER_hh_emi!D17=0,0,1000000*SER_hh_emi!D17/SER_hh_num!D17)</f>
        <v>4461.3560621956312</v>
      </c>
      <c r="E17" s="133">
        <f>IF(SER_hh_emi!E17=0,0,1000000*SER_hh_emi!E17/SER_hh_num!E17)</f>
        <v>4515.5969549305546</v>
      </c>
      <c r="F17" s="133">
        <f>IF(SER_hh_emi!F17=0,0,1000000*SER_hh_emi!F17/SER_hh_num!F17)</f>
        <v>4252.4275752168314</v>
      </c>
      <c r="G17" s="133">
        <f>IF(SER_hh_emi!G17=0,0,1000000*SER_hh_emi!G17/SER_hh_num!G17)</f>
        <v>4339.0093509659637</v>
      </c>
      <c r="H17" s="133">
        <f>IF(SER_hh_emi!H17=0,0,1000000*SER_hh_emi!H17/SER_hh_num!H17)</f>
        <v>4441.8932660681357</v>
      </c>
      <c r="I17" s="133">
        <f>IF(SER_hh_emi!I17=0,0,1000000*SER_hh_emi!I17/SER_hh_num!I17)</f>
        <v>4612.8097697894982</v>
      </c>
      <c r="J17" s="133">
        <f>IF(SER_hh_emi!J17=0,0,1000000*SER_hh_emi!J17/SER_hh_num!J17)</f>
        <v>4312.070487792631</v>
      </c>
      <c r="K17" s="133">
        <f>IF(SER_hh_emi!K17=0,0,1000000*SER_hh_emi!K17/SER_hh_num!K17)</f>
        <v>4300.7323115517747</v>
      </c>
      <c r="L17" s="133">
        <f>IF(SER_hh_emi!L17=0,0,1000000*SER_hh_emi!L17/SER_hh_num!L17)</f>
        <v>4504.3161485282099</v>
      </c>
      <c r="M17" s="133">
        <f>IF(SER_hh_emi!M17=0,0,1000000*SER_hh_emi!M17/SER_hh_num!M17)</f>
        <v>4317.2197418887499</v>
      </c>
      <c r="N17" s="133">
        <f>IF(SER_hh_emi!N17=0,0,1000000*SER_hh_emi!N17/SER_hh_num!N17)</f>
        <v>4790.6929624204686</v>
      </c>
      <c r="O17" s="133">
        <f>IF(SER_hh_emi!O17=0,0,1000000*SER_hh_emi!O17/SER_hh_num!O17)</f>
        <v>4650.4136427176045</v>
      </c>
      <c r="P17" s="133">
        <f>IF(SER_hh_emi!P17=0,0,1000000*SER_hh_emi!P17/SER_hh_num!P17)</f>
        <v>4211.5212890241619</v>
      </c>
      <c r="Q17" s="133">
        <f>IF(SER_hh_emi!Q17=0,0,1000000*SER_hh_emi!Q17/SER_hh_num!Q17)</f>
        <v>4785.0613404618416</v>
      </c>
      <c r="R17" s="133">
        <f>IF(SER_hh_emi!R17=0,0,1000000*SER_hh_emi!R17/SER_hh_num!R17)</f>
        <v>4076.8337109423951</v>
      </c>
      <c r="S17" s="133">
        <f>IF(SER_hh_emi!S17=0,0,1000000*SER_hh_emi!S17/SER_hh_num!S17)</f>
        <v>4332.6557831285418</v>
      </c>
      <c r="T17" s="133">
        <f>IF(SER_hh_emi!T17=0,0,1000000*SER_hh_emi!T17/SER_hh_num!T17)</f>
        <v>4198.0807746128967</v>
      </c>
      <c r="U17" s="133">
        <f>IF(SER_hh_emi!U17=0,0,1000000*SER_hh_emi!U17/SER_hh_num!U17)</f>
        <v>4295.6538665110893</v>
      </c>
      <c r="V17" s="133">
        <f>IF(SER_hh_emi!V17=0,0,1000000*SER_hh_emi!V17/SER_hh_num!V17)</f>
        <v>4085.3650627441802</v>
      </c>
      <c r="W17" s="133">
        <f>IF(SER_hh_emi!W17=0,0,1000000*SER_hh_emi!W17/SER_hh_num!W17)</f>
        <v>3956.3951584568163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1552.6534605380166</v>
      </c>
      <c r="C19" s="131">
        <f>IF(SER_hh_emi!C19=0,0,1000000*SER_hh_emi!C19/SER_hh_num!C19)</f>
        <v>2178.8433062183044</v>
      </c>
      <c r="D19" s="131">
        <f>IF(SER_hh_emi!D19=0,0,1000000*SER_hh_emi!D19/SER_hh_num!D19)</f>
        <v>2427.4042124059179</v>
      </c>
      <c r="E19" s="131">
        <f>IF(SER_hh_emi!E19=0,0,1000000*SER_hh_emi!E19/SER_hh_num!E19)</f>
        <v>2116.0413299740503</v>
      </c>
      <c r="F19" s="131">
        <f>IF(SER_hh_emi!F19=0,0,1000000*SER_hh_emi!F19/SER_hh_num!F19)</f>
        <v>2180.7404166601964</v>
      </c>
      <c r="G19" s="131">
        <f>IF(SER_hh_emi!G19=0,0,1000000*SER_hh_emi!G19/SER_hh_num!G19)</f>
        <v>1950.0680600347384</v>
      </c>
      <c r="H19" s="131">
        <f>IF(SER_hh_emi!H19=0,0,1000000*SER_hh_emi!H19/SER_hh_num!H19)</f>
        <v>2263.7406162648167</v>
      </c>
      <c r="I19" s="131">
        <f>IF(SER_hh_emi!I19=0,0,1000000*SER_hh_emi!I19/SER_hh_num!I19)</f>
        <v>2844.3221805189919</v>
      </c>
      <c r="J19" s="131">
        <f>IF(SER_hh_emi!J19=0,0,1000000*SER_hh_emi!J19/SER_hh_num!J19)</f>
        <v>3005.4980514224053</v>
      </c>
      <c r="K19" s="131">
        <f>IF(SER_hh_emi!K19=0,0,1000000*SER_hh_emi!K19/SER_hh_num!K19)</f>
        <v>3124.821593072757</v>
      </c>
      <c r="L19" s="131">
        <f>IF(SER_hh_emi!L19=0,0,1000000*SER_hh_emi!L19/SER_hh_num!L19)</f>
        <v>3214.8826570832075</v>
      </c>
      <c r="M19" s="131">
        <f>IF(SER_hh_emi!M19=0,0,1000000*SER_hh_emi!M19/SER_hh_num!M19)</f>
        <v>3208.8445368501921</v>
      </c>
      <c r="N19" s="131">
        <f>IF(SER_hh_emi!N19=0,0,1000000*SER_hh_emi!N19/SER_hh_num!N19)</f>
        <v>3825.1272519045815</v>
      </c>
      <c r="O19" s="131">
        <f>IF(SER_hh_emi!O19=0,0,1000000*SER_hh_emi!O19/SER_hh_num!O19)</f>
        <v>4180.6285335396988</v>
      </c>
      <c r="P19" s="131">
        <f>IF(SER_hh_emi!P19=0,0,1000000*SER_hh_emi!P19/SER_hh_num!P19)</f>
        <v>4288.7172394198733</v>
      </c>
      <c r="Q19" s="131">
        <f>IF(SER_hh_emi!Q19=0,0,1000000*SER_hh_emi!Q19/SER_hh_num!Q19)</f>
        <v>4358.3621009754434</v>
      </c>
      <c r="R19" s="131">
        <f>IF(SER_hh_emi!R19=0,0,1000000*SER_hh_emi!R19/SER_hh_num!R19)</f>
        <v>3736.3508548651698</v>
      </c>
      <c r="S19" s="131">
        <f>IF(SER_hh_emi!S19=0,0,1000000*SER_hh_emi!S19/SER_hh_num!S19)</f>
        <v>3535.0083263482543</v>
      </c>
      <c r="T19" s="131">
        <f>IF(SER_hh_emi!T19=0,0,1000000*SER_hh_emi!T19/SER_hh_num!T19)</f>
        <v>3046.7678560852355</v>
      </c>
      <c r="U19" s="131">
        <f>IF(SER_hh_emi!U19=0,0,1000000*SER_hh_emi!U19/SER_hh_num!U19)</f>
        <v>2943.768746733946</v>
      </c>
      <c r="V19" s="131">
        <f>IF(SER_hh_emi!V19=0,0,1000000*SER_hh_emi!V19/SER_hh_num!V19)</f>
        <v>1649.3844623812918</v>
      </c>
      <c r="W19" s="131">
        <f>IF(SER_hh_emi!W19=0,0,1000000*SER_hh_emi!W19/SER_hh_num!W19)</f>
        <v>2640.9179917152155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18365.768403923088</v>
      </c>
      <c r="C20" s="133">
        <f>IF(SER_hh_emi!C20=0,0,1000000*SER_hh_emi!C20/SER_hh_num!C20)</f>
        <v>16322.895553692548</v>
      </c>
      <c r="D20" s="133">
        <f>IF(SER_hh_emi!D20=0,0,1000000*SER_hh_emi!D20/SER_hh_num!D20)</f>
        <v>19111.875545151139</v>
      </c>
      <c r="E20" s="133">
        <f>IF(SER_hh_emi!E20=0,0,1000000*SER_hh_emi!E20/SER_hh_num!E20)</f>
        <v>16193.053020178624</v>
      </c>
      <c r="F20" s="133">
        <f>IF(SER_hh_emi!F20=0,0,1000000*SER_hh_emi!F20/SER_hh_num!F20)</f>
        <v>17225.392850813911</v>
      </c>
      <c r="G20" s="133">
        <f>IF(SER_hh_emi!G20=0,0,1000000*SER_hh_emi!G20/SER_hh_num!G20)</f>
        <v>7445.7263694372223</v>
      </c>
      <c r="H20" s="133">
        <f>IF(SER_hh_emi!H20=0,0,1000000*SER_hh_emi!H20/SER_hh_num!H20)</f>
        <v>12977.842005433155</v>
      </c>
      <c r="I20" s="133">
        <f>IF(SER_hh_emi!I20=0,0,1000000*SER_hh_emi!I20/SER_hh_num!I20)</f>
        <v>16906.033734199569</v>
      </c>
      <c r="J20" s="133">
        <f>IF(SER_hh_emi!J20=0,0,1000000*SER_hh_emi!J20/SER_hh_num!J20)</f>
        <v>15924.002837927781</v>
      </c>
      <c r="K20" s="133">
        <f>IF(SER_hh_emi!K20=0,0,1000000*SER_hh_emi!K20/SER_hh_num!K20)</f>
        <v>16094.588556702849</v>
      </c>
      <c r="L20" s="133">
        <f>IF(SER_hh_emi!L20=0,0,1000000*SER_hh_emi!L20/SER_hh_num!L20)</f>
        <v>14622.082024382547</v>
      </c>
      <c r="M20" s="133">
        <f>IF(SER_hh_emi!M20=0,0,1000000*SER_hh_emi!M20/SER_hh_num!M20)</f>
        <v>14943.895606377671</v>
      </c>
      <c r="N20" s="133">
        <f>IF(SER_hh_emi!N20=0,0,1000000*SER_hh_emi!N20/SER_hh_num!N20)</f>
        <v>14572.820308687278</v>
      </c>
      <c r="O20" s="133">
        <f>IF(SER_hh_emi!O20=0,0,1000000*SER_hh_emi!O20/SER_hh_num!O20)</f>
        <v>14281.994214423361</v>
      </c>
      <c r="P20" s="133">
        <f>IF(SER_hh_emi!P20=0,0,1000000*SER_hh_emi!P20/SER_hh_num!P20)</f>
        <v>15149.178947538387</v>
      </c>
      <c r="Q20" s="133">
        <f>IF(SER_hh_emi!Q20=0,0,1000000*SER_hh_emi!Q20/SER_hh_num!Q20)</f>
        <v>17816.324428479566</v>
      </c>
      <c r="R20" s="133">
        <f>IF(SER_hh_emi!R20=0,0,1000000*SER_hh_emi!R20/SER_hh_num!R20)</f>
        <v>10529.970716749835</v>
      </c>
      <c r="S20" s="133">
        <f>IF(SER_hh_emi!S20=0,0,1000000*SER_hh_emi!S20/SER_hh_num!S20)</f>
        <v>13390.848914273909</v>
      </c>
      <c r="T20" s="133">
        <f>IF(SER_hh_emi!T20=0,0,1000000*SER_hh_emi!T20/SER_hh_num!T20)</f>
        <v>14400.96550252865</v>
      </c>
      <c r="U20" s="133">
        <f>IF(SER_hh_emi!U20=0,0,1000000*SER_hh_emi!U20/SER_hh_num!U20)</f>
        <v>21187.405924198934</v>
      </c>
      <c r="V20" s="133">
        <f>IF(SER_hh_emi!V20=0,0,1000000*SER_hh_emi!V20/SER_hh_num!V20)</f>
        <v>9533.3806045089495</v>
      </c>
      <c r="W20" s="133">
        <f>IF(SER_hh_emi!W20=0,0,1000000*SER_hh_emi!W20/SER_hh_num!W20)</f>
        <v>15137.450114057741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0</v>
      </c>
      <c r="C22" s="133">
        <f>IF(SER_hh_emi!C22=0,0,1000000*SER_hh_emi!C22/SER_hh_num!C22)</f>
        <v>0</v>
      </c>
      <c r="D22" s="133">
        <f>IF(SER_hh_emi!D22=0,0,1000000*SER_hh_emi!D22/SER_hh_num!D22)</f>
        <v>0</v>
      </c>
      <c r="E22" s="133">
        <f>IF(SER_hh_emi!E22=0,0,1000000*SER_hh_emi!E22/SER_hh_num!E22)</f>
        <v>0</v>
      </c>
      <c r="F22" s="133">
        <f>IF(SER_hh_emi!F22=0,0,1000000*SER_hh_emi!F22/SER_hh_num!F22)</f>
        <v>0</v>
      </c>
      <c r="G22" s="133">
        <f>IF(SER_hh_emi!G22=0,0,1000000*SER_hh_emi!G22/SER_hh_num!G22)</f>
        <v>0</v>
      </c>
      <c r="H22" s="133">
        <f>IF(SER_hh_emi!H22=0,0,1000000*SER_hh_emi!H22/SER_hh_num!H22)</f>
        <v>0</v>
      </c>
      <c r="I22" s="133">
        <f>IF(SER_hh_emi!I22=0,0,1000000*SER_hh_emi!I22/SER_hh_num!I22)</f>
        <v>0</v>
      </c>
      <c r="J22" s="133">
        <f>IF(SER_hh_emi!J22=0,0,1000000*SER_hh_emi!J22/SER_hh_num!J22)</f>
        <v>0</v>
      </c>
      <c r="K22" s="133">
        <f>IF(SER_hh_emi!K22=0,0,1000000*SER_hh_emi!K22/SER_hh_num!K22)</f>
        <v>0</v>
      </c>
      <c r="L22" s="133">
        <f>IF(SER_hh_emi!L22=0,0,1000000*SER_hh_emi!L22/SER_hh_num!L22)</f>
        <v>0</v>
      </c>
      <c r="M22" s="133">
        <f>IF(SER_hh_emi!M22=0,0,1000000*SER_hh_emi!M22/SER_hh_num!M22)</f>
        <v>0</v>
      </c>
      <c r="N22" s="133">
        <f>IF(SER_hh_emi!N22=0,0,1000000*SER_hh_emi!N22/SER_hh_num!N22)</f>
        <v>0</v>
      </c>
      <c r="O22" s="133">
        <f>IF(SER_hh_emi!O22=0,0,1000000*SER_hh_emi!O22/SER_hh_num!O22)</f>
        <v>0</v>
      </c>
      <c r="P22" s="133">
        <f>IF(SER_hh_emi!P22=0,0,1000000*SER_hh_emi!P22/SER_hh_num!P22)</f>
        <v>0</v>
      </c>
      <c r="Q22" s="133">
        <f>IF(SER_hh_emi!Q22=0,0,1000000*SER_hh_emi!Q22/SER_hh_num!Q22)</f>
        <v>0</v>
      </c>
      <c r="R22" s="133">
        <f>IF(SER_hh_emi!R22=0,0,1000000*SER_hh_emi!R22/SER_hh_num!R22)</f>
        <v>0</v>
      </c>
      <c r="S22" s="133">
        <f>IF(SER_hh_emi!S22=0,0,1000000*SER_hh_emi!S22/SER_hh_num!S22)</f>
        <v>0</v>
      </c>
      <c r="T22" s="133">
        <f>IF(SER_hh_emi!T22=0,0,1000000*SER_hh_emi!T22/SER_hh_num!T22)</f>
        <v>0</v>
      </c>
      <c r="U22" s="133">
        <f>IF(SER_hh_emi!U22=0,0,1000000*SER_hh_emi!U22/SER_hh_num!U22)</f>
        <v>0</v>
      </c>
      <c r="V22" s="133">
        <f>IF(SER_hh_emi!V22=0,0,1000000*SER_hh_emi!V22/SER_hh_num!V22)</f>
        <v>0</v>
      </c>
      <c r="W22" s="133">
        <f>IF(SER_hh_emi!W22=0,0,1000000*SER_hh_emi!W22/SER_hh_num!W22)</f>
        <v>0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6683.6078572381111</v>
      </c>
      <c r="C23" s="133">
        <f>IF(SER_hh_emi!C23=0,0,1000000*SER_hh_emi!C23/SER_hh_num!C23)</f>
        <v>10432.12063711671</v>
      </c>
      <c r="D23" s="133">
        <f>IF(SER_hh_emi!D23=0,0,1000000*SER_hh_emi!D23/SER_hh_num!D23)</f>
        <v>10314.6700582051</v>
      </c>
      <c r="E23" s="133">
        <f>IF(SER_hh_emi!E23=0,0,1000000*SER_hh_emi!E23/SER_hh_num!E23)</f>
        <v>9224.6917993642601</v>
      </c>
      <c r="F23" s="133">
        <f>IF(SER_hh_emi!F23=0,0,1000000*SER_hh_emi!F23/SER_hh_num!F23)</f>
        <v>9473.017156854894</v>
      </c>
      <c r="G23" s="133">
        <f>IF(SER_hh_emi!G23=0,0,1000000*SER_hh_emi!G23/SER_hh_num!G23)</f>
        <v>9201.1979783170773</v>
      </c>
      <c r="H23" s="133">
        <f>IF(SER_hh_emi!H23=0,0,1000000*SER_hh_emi!H23/SER_hh_num!H23)</f>
        <v>9077.4576398207573</v>
      </c>
      <c r="I23" s="133">
        <f>IF(SER_hh_emi!I23=0,0,1000000*SER_hh_emi!I23/SER_hh_num!I23)</f>
        <v>9629.2040597851374</v>
      </c>
      <c r="J23" s="133">
        <f>IF(SER_hh_emi!J23=0,0,1000000*SER_hh_emi!J23/SER_hh_num!J23)</f>
        <v>9349.915543462288</v>
      </c>
      <c r="K23" s="133">
        <f>IF(SER_hh_emi!K23=0,0,1000000*SER_hh_emi!K23/SER_hh_num!K23)</f>
        <v>8870.8353887372541</v>
      </c>
      <c r="L23" s="133">
        <f>IF(SER_hh_emi!L23=0,0,1000000*SER_hh_emi!L23/SER_hh_num!L23)</f>
        <v>9126.7016245784853</v>
      </c>
      <c r="M23" s="133">
        <f>IF(SER_hh_emi!M23=0,0,1000000*SER_hh_emi!M23/SER_hh_num!M23)</f>
        <v>8148.2472746206486</v>
      </c>
      <c r="N23" s="133">
        <f>IF(SER_hh_emi!N23=0,0,1000000*SER_hh_emi!N23/SER_hh_num!N23)</f>
        <v>9151.106460857729</v>
      </c>
      <c r="O23" s="133">
        <f>IF(SER_hh_emi!O23=0,0,1000000*SER_hh_emi!O23/SER_hh_num!O23)</f>
        <v>9260.9555166525715</v>
      </c>
      <c r="P23" s="133">
        <f>IF(SER_hh_emi!P23=0,0,1000000*SER_hh_emi!P23/SER_hh_num!P23)</f>
        <v>9243.3738832813233</v>
      </c>
      <c r="Q23" s="133">
        <f>IF(SER_hh_emi!Q23=0,0,1000000*SER_hh_emi!Q23/SER_hh_num!Q23)</f>
        <v>9139.62883331173</v>
      </c>
      <c r="R23" s="133">
        <f>IF(SER_hh_emi!R23=0,0,1000000*SER_hh_emi!R23/SER_hh_num!R23)</f>
        <v>9224.2622497310367</v>
      </c>
      <c r="S23" s="133">
        <f>IF(SER_hh_emi!S23=0,0,1000000*SER_hh_emi!S23/SER_hh_num!S23)</f>
        <v>8761.2372226535044</v>
      </c>
      <c r="T23" s="133">
        <f>IF(SER_hh_emi!T23=0,0,1000000*SER_hh_emi!T23/SER_hh_num!T23)</f>
        <v>8322.6310197757466</v>
      </c>
      <c r="U23" s="133">
        <f>IF(SER_hh_emi!U23=0,0,1000000*SER_hh_emi!U23/SER_hh_num!U23)</f>
        <v>7561.2442526334507</v>
      </c>
      <c r="V23" s="133">
        <f>IF(SER_hh_emi!V23=0,0,1000000*SER_hh_emi!V23/SER_hh_num!V23)</f>
        <v>5400.7485328855564</v>
      </c>
      <c r="W23" s="133">
        <f>IF(SER_hh_emi!W23=0,0,1000000*SER_hh_emi!W23/SER_hh_num!W23)</f>
        <v>9539.595210856658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4623.2160169529025</v>
      </c>
      <c r="C29" s="131">
        <f>IF(SER_hh_emi!C29=0,0,1000000*SER_hh_emi!C29/SER_hh_num!C29)</f>
        <v>5368.8937859414154</v>
      </c>
      <c r="D29" s="131">
        <f>IF(SER_hh_emi!D29=0,0,1000000*SER_hh_emi!D29/SER_hh_num!D29)</f>
        <v>6837.8709763366896</v>
      </c>
      <c r="E29" s="131">
        <f>IF(SER_hh_emi!E29=0,0,1000000*SER_hh_emi!E29/SER_hh_num!E29)</f>
        <v>6671.5385050927734</v>
      </c>
      <c r="F29" s="131">
        <f>IF(SER_hh_emi!F29=0,0,1000000*SER_hh_emi!F29/SER_hh_num!F29)</f>
        <v>6202.5857149163057</v>
      </c>
      <c r="G29" s="131">
        <f>IF(SER_hh_emi!G29=0,0,1000000*SER_hh_emi!G29/SER_hh_num!G29)</f>
        <v>5813.7527012365708</v>
      </c>
      <c r="H29" s="131">
        <f>IF(SER_hh_emi!H29=0,0,1000000*SER_hh_emi!H29/SER_hh_num!H29)</f>
        <v>5492.9712576114862</v>
      </c>
      <c r="I29" s="131">
        <f>IF(SER_hh_emi!I29=0,0,1000000*SER_hh_emi!I29/SER_hh_num!I29)</f>
        <v>4091.4238360895811</v>
      </c>
      <c r="J29" s="131">
        <f>IF(SER_hh_emi!J29=0,0,1000000*SER_hh_emi!J29/SER_hh_num!J29)</f>
        <v>3496.5131387663655</v>
      </c>
      <c r="K29" s="131">
        <f>IF(SER_hh_emi!K29=0,0,1000000*SER_hh_emi!K29/SER_hh_num!K29)</f>
        <v>3965.1392535157647</v>
      </c>
      <c r="L29" s="131">
        <f>IF(SER_hh_emi!L29=0,0,1000000*SER_hh_emi!L29/SER_hh_num!L29)</f>
        <v>4392.1824627163751</v>
      </c>
      <c r="M29" s="131">
        <f>IF(SER_hh_emi!M29=0,0,1000000*SER_hh_emi!M29/SER_hh_num!M29)</f>
        <v>2777.7066757182324</v>
      </c>
      <c r="N29" s="131">
        <f>IF(SER_hh_emi!N29=0,0,1000000*SER_hh_emi!N29/SER_hh_num!N29)</f>
        <v>3740.5447193349496</v>
      </c>
      <c r="O29" s="131">
        <f>IF(SER_hh_emi!O29=0,0,1000000*SER_hh_emi!O29/SER_hh_num!O29)</f>
        <v>4252.177375954413</v>
      </c>
      <c r="P29" s="131">
        <f>IF(SER_hh_emi!P29=0,0,1000000*SER_hh_emi!P29/SER_hh_num!P29)</f>
        <v>4307.1770613800982</v>
      </c>
      <c r="Q29" s="131">
        <f>IF(SER_hh_emi!Q29=0,0,1000000*SER_hh_emi!Q29/SER_hh_num!Q29)</f>
        <v>4438.168572027811</v>
      </c>
      <c r="R29" s="131">
        <f>IF(SER_hh_emi!R29=0,0,1000000*SER_hh_emi!R29/SER_hh_num!R29)</f>
        <v>4308.1438052402345</v>
      </c>
      <c r="S29" s="131">
        <f>IF(SER_hh_emi!S29=0,0,1000000*SER_hh_emi!S29/SER_hh_num!S29)</f>
        <v>3756.8978745354002</v>
      </c>
      <c r="T29" s="131">
        <f>IF(SER_hh_emi!T29=0,0,1000000*SER_hh_emi!T29/SER_hh_num!T29)</f>
        <v>3356.4334415256503</v>
      </c>
      <c r="U29" s="131">
        <f>IF(SER_hh_emi!U29=0,0,1000000*SER_hh_emi!U29/SER_hh_num!U29)</f>
        <v>2734.6052009179607</v>
      </c>
      <c r="V29" s="131">
        <f>IF(SER_hh_emi!V29=0,0,1000000*SER_hh_emi!V29/SER_hh_num!V29)</f>
        <v>2384.1918547028699</v>
      </c>
      <c r="W29" s="131">
        <f>IF(SER_hh_emi!W29=0,0,1000000*SER_hh_emi!W29/SER_hh_num!W29)</f>
        <v>3676.4651081896418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4375.6372160602323</v>
      </c>
      <c r="C30" s="133">
        <f>IF(SER_hh_emi!C30=0,0,1000000*SER_hh_emi!C30/SER_hh_num!C30)</f>
        <v>7019.7300779532261</v>
      </c>
      <c r="D30" s="133">
        <f>IF(SER_hh_emi!D30=0,0,1000000*SER_hh_emi!D30/SER_hh_num!D30)</f>
        <v>11246.009989127862</v>
      </c>
      <c r="E30" s="133">
        <f>IF(SER_hh_emi!E30=0,0,1000000*SER_hh_emi!E30/SER_hh_num!E30)</f>
        <v>11583.316510160506</v>
      </c>
      <c r="F30" s="133">
        <f>IF(SER_hh_emi!F30=0,0,1000000*SER_hh_emi!F30/SER_hh_num!F30)</f>
        <v>12528.221985868404</v>
      </c>
      <c r="G30" s="133">
        <f>IF(SER_hh_emi!G30=0,0,1000000*SER_hh_emi!G30/SER_hh_num!G30)</f>
        <v>9828.2235679746045</v>
      </c>
      <c r="H30" s="133">
        <f>IF(SER_hh_emi!H30=0,0,1000000*SER_hh_emi!H30/SER_hh_num!H30)</f>
        <v>11479.15985382842</v>
      </c>
      <c r="I30" s="133">
        <f>IF(SER_hh_emi!I30=0,0,1000000*SER_hh_emi!I30/SER_hh_num!I30)</f>
        <v>6340.8734676191561</v>
      </c>
      <c r="J30" s="133">
        <f>IF(SER_hh_emi!J30=0,0,1000000*SER_hh_emi!J30/SER_hh_num!J30)</f>
        <v>2241.0517478599477</v>
      </c>
      <c r="K30" s="133">
        <f>IF(SER_hh_emi!K30=0,0,1000000*SER_hh_emi!K30/SER_hh_num!K30)</f>
        <v>10716.874012366605</v>
      </c>
      <c r="L30" s="133">
        <f>IF(SER_hh_emi!L30=0,0,1000000*SER_hh_emi!L30/SER_hh_num!L30)</f>
        <v>18630.761555005392</v>
      </c>
      <c r="M30" s="133">
        <f>IF(SER_hh_emi!M30=0,0,1000000*SER_hh_emi!M30/SER_hh_num!M30)</f>
        <v>2214.4663698230192</v>
      </c>
      <c r="N30" s="133">
        <f>IF(SER_hh_emi!N30=0,0,1000000*SER_hh_emi!N30/SER_hh_num!N30)</f>
        <v>10942.88722367706</v>
      </c>
      <c r="O30" s="133">
        <f>IF(SER_hh_emi!O30=0,0,1000000*SER_hh_emi!O30/SER_hh_num!O30)</f>
        <v>10552.071445022462</v>
      </c>
      <c r="P30" s="133">
        <f>IF(SER_hh_emi!P30=0,0,1000000*SER_hh_emi!P30/SER_hh_num!P30)</f>
        <v>9667.5239635072157</v>
      </c>
      <c r="Q30" s="133">
        <f>IF(SER_hh_emi!Q30=0,0,1000000*SER_hh_emi!Q30/SER_hh_num!Q30)</f>
        <v>9163.2947655510434</v>
      </c>
      <c r="R30" s="133">
        <f>IF(SER_hh_emi!R30=0,0,1000000*SER_hh_emi!R30/SER_hh_num!R30)</f>
        <v>9712.0584546630944</v>
      </c>
      <c r="S30" s="133">
        <f>IF(SER_hh_emi!S30=0,0,1000000*SER_hh_emi!S30/SER_hh_num!S30)</f>
        <v>6526.081183733676</v>
      </c>
      <c r="T30" s="133">
        <f>IF(SER_hh_emi!T30=0,0,1000000*SER_hh_emi!T30/SER_hh_num!T30)</f>
        <v>9975.1795009231319</v>
      </c>
      <c r="U30" s="133">
        <f>IF(SER_hh_emi!U30=0,0,1000000*SER_hh_emi!U30/SER_hh_num!U30)</f>
        <v>9101.9017939409005</v>
      </c>
      <c r="V30" s="133">
        <f>IF(SER_hh_emi!V30=0,0,1000000*SER_hh_emi!V30/SER_hh_num!V30)</f>
        <v>7532.1756686718936</v>
      </c>
      <c r="W30" s="133">
        <f>IF(SER_hh_emi!W30=0,0,1000000*SER_hh_emi!W30/SER_hh_num!W30)</f>
        <v>8592.4896210998832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8236.3748732953773</v>
      </c>
      <c r="C31" s="133">
        <f>IF(SER_hh_emi!C31=0,0,1000000*SER_hh_emi!C31/SER_hh_num!C31)</f>
        <v>8139.1172809224663</v>
      </c>
      <c r="D31" s="133">
        <f>IF(SER_hh_emi!D31=0,0,1000000*SER_hh_emi!D31/SER_hh_num!D31)</f>
        <v>8621.5827167856824</v>
      </c>
      <c r="E31" s="133">
        <f>IF(SER_hh_emi!E31=0,0,1000000*SER_hh_emi!E31/SER_hh_num!E31)</f>
        <v>8616.1000372605577</v>
      </c>
      <c r="F31" s="133">
        <f>IF(SER_hh_emi!F31=0,0,1000000*SER_hh_emi!F31/SER_hh_num!F31)</f>
        <v>6664.1571136667853</v>
      </c>
      <c r="G31" s="133">
        <f>IF(SER_hh_emi!G31=0,0,1000000*SER_hh_emi!G31/SER_hh_num!G31)</f>
        <v>9034.6016108881195</v>
      </c>
      <c r="H31" s="133">
        <f>IF(SER_hh_emi!H31=0,0,1000000*SER_hh_emi!H31/SER_hh_num!H31)</f>
        <v>8962.16516574054</v>
      </c>
      <c r="I31" s="133">
        <f>IF(SER_hh_emi!I31=0,0,1000000*SER_hh_emi!I31/SER_hh_num!I31)</f>
        <v>8889.4717535772706</v>
      </c>
      <c r="J31" s="133">
        <f>IF(SER_hh_emi!J31=0,0,1000000*SER_hh_emi!J31/SER_hh_num!J31)</f>
        <v>8675.5980183819374</v>
      </c>
      <c r="K31" s="133">
        <f>IF(SER_hh_emi!K31=0,0,1000000*SER_hh_emi!K31/SER_hh_num!K31)</f>
        <v>8473.239443040171</v>
      </c>
      <c r="L31" s="133">
        <f>IF(SER_hh_emi!L31=0,0,1000000*SER_hh_emi!L31/SER_hh_num!L31)</f>
        <v>8451.9231075953194</v>
      </c>
      <c r="M31" s="133">
        <f>IF(SER_hh_emi!M31=0,0,1000000*SER_hh_emi!M31/SER_hh_num!M31)</f>
        <v>7448.8968454595533</v>
      </c>
      <c r="N31" s="133">
        <f>IF(SER_hh_emi!N31=0,0,1000000*SER_hh_emi!N31/SER_hh_num!N31)</f>
        <v>7837.6113936715274</v>
      </c>
      <c r="O31" s="133">
        <f>IF(SER_hh_emi!O31=0,0,1000000*SER_hh_emi!O31/SER_hh_num!O31)</f>
        <v>8518.385001410621</v>
      </c>
      <c r="P31" s="133">
        <f>IF(SER_hh_emi!P31=0,0,1000000*SER_hh_emi!P31/SER_hh_num!P31)</f>
        <v>8166.9555386896836</v>
      </c>
      <c r="Q31" s="133">
        <f>IF(SER_hh_emi!Q31=0,0,1000000*SER_hh_emi!Q31/SER_hh_num!Q31)</f>
        <v>8360.64524931706</v>
      </c>
      <c r="R31" s="133">
        <f>IF(SER_hh_emi!R31=0,0,1000000*SER_hh_emi!R31/SER_hh_num!R31)</f>
        <v>8333.8333723381656</v>
      </c>
      <c r="S31" s="133">
        <f>IF(SER_hh_emi!S31=0,0,1000000*SER_hh_emi!S31/SER_hh_num!S31)</f>
        <v>8129.4956109845607</v>
      </c>
      <c r="T31" s="133">
        <f>IF(SER_hh_emi!T31=0,0,1000000*SER_hh_emi!T31/SER_hh_num!T31)</f>
        <v>7395.0388897507291</v>
      </c>
      <c r="U31" s="133">
        <f>IF(SER_hh_emi!U31=0,0,1000000*SER_hh_emi!U31/SER_hh_num!U31)</f>
        <v>6138.7507957150083</v>
      </c>
      <c r="V31" s="133">
        <f>IF(SER_hh_emi!V31=0,0,1000000*SER_hh_emi!V31/SER_hh_num!V31)</f>
        <v>5554.8619446118246</v>
      </c>
      <c r="W31" s="133">
        <f>IF(SER_hh_emi!W31=0,0,1000000*SER_hh_emi!W31/SER_hh_num!W31)</f>
        <v>9119.5912772177326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907.64970364643671</v>
      </c>
      <c r="C3" s="126">
        <f>IF(SER_hh_fech!C3=0,0,SER_hh_fech!C3/SER_summary!C$26)</f>
        <v>674.08982420835446</v>
      </c>
      <c r="D3" s="126">
        <f>IF(SER_hh_fech!D3=0,0,SER_hh_fech!D3/SER_summary!D$26)</f>
        <v>590.09294047279229</v>
      </c>
      <c r="E3" s="126">
        <f>IF(SER_hh_fech!E3=0,0,SER_hh_fech!E3/SER_summary!E$26)</f>
        <v>468.17526747788486</v>
      </c>
      <c r="F3" s="126">
        <f>IF(SER_hh_fech!F3=0,0,SER_hh_fech!F3/SER_summary!F$26)</f>
        <v>509.32695953891243</v>
      </c>
      <c r="G3" s="126">
        <f>IF(SER_hh_fech!G3=0,0,SER_hh_fech!G3/SER_summary!G$26)</f>
        <v>615.35028587127374</v>
      </c>
      <c r="H3" s="126">
        <f>IF(SER_hh_fech!H3=0,0,SER_hh_fech!H3/SER_summary!H$26)</f>
        <v>629.18582847045514</v>
      </c>
      <c r="I3" s="126">
        <f>IF(SER_hh_fech!I3=0,0,SER_hh_fech!I3/SER_summary!I$26)</f>
        <v>588.74873452139241</v>
      </c>
      <c r="J3" s="126">
        <f>IF(SER_hh_fech!J3=0,0,SER_hh_fech!J3/SER_summary!J$26)</f>
        <v>590.24563774287799</v>
      </c>
      <c r="K3" s="126">
        <f>IF(SER_hh_fech!K3=0,0,SER_hh_fech!K3/SER_summary!K$26)</f>
        <v>592.05524190059703</v>
      </c>
      <c r="L3" s="126">
        <f>IF(SER_hh_fech!L3=0,0,SER_hh_fech!L3/SER_summary!L$26)</f>
        <v>630.53209158396942</v>
      </c>
      <c r="M3" s="126">
        <f>IF(SER_hh_fech!M3=0,0,SER_hh_fech!M3/SER_summary!M$26)</f>
        <v>455.21936371656864</v>
      </c>
      <c r="N3" s="126">
        <f>IF(SER_hh_fech!N3=0,0,SER_hh_fech!N3/SER_summary!N$26)</f>
        <v>401.58473444727929</v>
      </c>
      <c r="O3" s="126">
        <f>IF(SER_hh_fech!O3=0,0,SER_hh_fech!O3/SER_summary!O$26)</f>
        <v>480.53247639865441</v>
      </c>
      <c r="P3" s="126">
        <f>IF(SER_hh_fech!P3=0,0,SER_hh_fech!P3/SER_summary!P$26)</f>
        <v>321.64252597483983</v>
      </c>
      <c r="Q3" s="126">
        <f>IF(SER_hh_fech!Q3=0,0,SER_hh_fech!Q3/SER_summary!Q$26)</f>
        <v>334.83130528624741</v>
      </c>
      <c r="R3" s="126">
        <f>IF(SER_hh_fech!R3=0,0,SER_hh_fech!R3/SER_summary!R$26)</f>
        <v>333.1869762701362</v>
      </c>
      <c r="S3" s="126">
        <f>IF(SER_hh_fech!S3=0,0,SER_hh_fech!S3/SER_summary!S$26)</f>
        <v>362.52171909240195</v>
      </c>
      <c r="T3" s="126">
        <f>IF(SER_hh_fech!T3=0,0,SER_hh_fech!T3/SER_summary!T$26)</f>
        <v>323.1288740106674</v>
      </c>
      <c r="U3" s="126">
        <f>IF(SER_hh_fech!U3=0,0,SER_hh_fech!U3/SER_summary!U$26)</f>
        <v>287.99855566180298</v>
      </c>
      <c r="V3" s="126">
        <f>IF(SER_hh_fech!V3=0,0,SER_hh_fech!V3/SER_summary!V$26)</f>
        <v>249.40068999275323</v>
      </c>
      <c r="W3" s="126">
        <f>IF(SER_hh_fech!W3=0,0,SER_hh_fech!W3/SER_summary!W$26)</f>
        <v>331.12799517055385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820.75485658121522</v>
      </c>
      <c r="C4" s="131">
        <f>IF(SER_hh_fech!C4=0,0,SER_hh_fech!C4/SER_summary!C$26)</f>
        <v>586.38193306757728</v>
      </c>
      <c r="D4" s="131">
        <f>IF(SER_hh_fech!D4=0,0,SER_hh_fech!D4/SER_summary!D$26)</f>
        <v>498.7828992257451</v>
      </c>
      <c r="E4" s="131">
        <f>IF(SER_hh_fech!E4=0,0,SER_hh_fech!E4/SER_summary!E$26)</f>
        <v>376.57497378392304</v>
      </c>
      <c r="F4" s="131">
        <f>IF(SER_hh_fech!F4=0,0,SER_hh_fech!F4/SER_summary!F$26)</f>
        <v>418.60714456161531</v>
      </c>
      <c r="G4" s="131">
        <f>IF(SER_hh_fech!G4=0,0,SER_hh_fech!G4/SER_summary!G$26)</f>
        <v>522.98318924438183</v>
      </c>
      <c r="H4" s="131">
        <f>IF(SER_hh_fech!H4=0,0,SER_hh_fech!H4/SER_summary!H$26)</f>
        <v>536.94845130567808</v>
      </c>
      <c r="I4" s="131">
        <f>IF(SER_hh_fech!I4=0,0,SER_hh_fech!I4/SER_summary!I$26)</f>
        <v>500.08280927253946</v>
      </c>
      <c r="J4" s="131">
        <f>IF(SER_hh_fech!J4=0,0,SER_hh_fech!J4/SER_summary!J$26)</f>
        <v>503.75594529802174</v>
      </c>
      <c r="K4" s="131">
        <f>IF(SER_hh_fech!K4=0,0,SER_hh_fech!K4/SER_summary!K$26)</f>
        <v>502.80703425359491</v>
      </c>
      <c r="L4" s="131">
        <f>IF(SER_hh_fech!L4=0,0,SER_hh_fech!L4/SER_summary!L$26)</f>
        <v>541.39577870656331</v>
      </c>
      <c r="M4" s="131">
        <f>IF(SER_hh_fech!M4=0,0,SER_hh_fech!M4/SER_summary!M$26)</f>
        <v>369.19174299922855</v>
      </c>
      <c r="N4" s="131">
        <f>IF(SER_hh_fech!N4=0,0,SER_hh_fech!N4/SER_summary!N$26)</f>
        <v>313.29020281483639</v>
      </c>
      <c r="O4" s="131">
        <f>IF(SER_hh_fech!O4=0,0,SER_hh_fech!O4/SER_summary!O$26)</f>
        <v>392.09945035835096</v>
      </c>
      <c r="P4" s="131">
        <f>IF(SER_hh_fech!P4=0,0,SER_hh_fech!P4/SER_summary!P$26)</f>
        <v>233.31538755140281</v>
      </c>
      <c r="Q4" s="131">
        <f>IF(SER_hh_fech!Q4=0,0,SER_hh_fech!Q4/SER_summary!Q$26)</f>
        <v>246.45805359391576</v>
      </c>
      <c r="R4" s="131">
        <f>IF(SER_hh_fech!R4=0,0,SER_hh_fech!R4/SER_summary!R$26)</f>
        <v>246.6175890605092</v>
      </c>
      <c r="S4" s="131">
        <f>IF(SER_hh_fech!S4=0,0,SER_hh_fech!S4/SER_summary!S$26)</f>
        <v>277.66373579132363</v>
      </c>
      <c r="T4" s="131">
        <f>IF(SER_hh_fech!T4=0,0,SER_hh_fech!T4/SER_summary!T$26)</f>
        <v>241.06092201020581</v>
      </c>
      <c r="U4" s="131">
        <f>IF(SER_hh_fech!U4=0,0,SER_hh_fech!U4/SER_summary!U$26)</f>
        <v>208.83788819961413</v>
      </c>
      <c r="V4" s="131">
        <f>IF(SER_hh_fech!V4=0,0,SER_hh_fech!V4/SER_summary!V$26)</f>
        <v>179.21649656044065</v>
      </c>
      <c r="W4" s="131">
        <f>IF(SER_hh_fech!W4=0,0,SER_hh_fech!W4/SER_summary!W$26)</f>
        <v>252.60963507299093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704.37380019177635</v>
      </c>
      <c r="C5" s="133">
        <f>IF(SER_hh_fech!C5=0,0,SER_hh_fech!C5/SER_summary!C$26)</f>
        <v>588.97133338532558</v>
      </c>
      <c r="D5" s="133">
        <f>IF(SER_hh_fech!D5=0,0,SER_hh_fech!D5/SER_summary!D$26)</f>
        <v>781.11996776416538</v>
      </c>
      <c r="E5" s="133">
        <f>IF(SER_hh_fech!E5=0,0,SER_hh_fech!E5/SER_summary!E$26)</f>
        <v>186.93565370797339</v>
      </c>
      <c r="F5" s="133">
        <f>IF(SER_hh_fech!F5=0,0,SER_hh_fech!F5/SER_summary!F$26)</f>
        <v>732.68417272760769</v>
      </c>
      <c r="G5" s="133">
        <f>IF(SER_hh_fech!G5=0,0,SER_hh_fech!G5/SER_summary!G$26)</f>
        <v>170.94102673081551</v>
      </c>
      <c r="H5" s="133">
        <f>IF(SER_hh_fech!H5=0,0,SER_hh_fech!H5/SER_summary!H$26)</f>
        <v>405.09117564060597</v>
      </c>
      <c r="I5" s="133">
        <f>IF(SER_hh_fech!I5=0,0,SER_hh_fech!I5/SER_summary!I$26)</f>
        <v>456.15518024693142</v>
      </c>
      <c r="J5" s="133">
        <f>IF(SER_hh_fech!J5=0,0,SER_hh_fech!J5/SER_summary!J$26)</f>
        <v>464.92350002804426</v>
      </c>
      <c r="K5" s="133">
        <f>IF(SER_hh_fech!K5=0,0,SER_hh_fech!K5/SER_summary!K$26)</f>
        <v>832.66346800785266</v>
      </c>
      <c r="L5" s="133">
        <f>IF(SER_hh_fech!L5=0,0,SER_hh_fech!L5/SER_summary!L$26)</f>
        <v>452.26787628909148</v>
      </c>
      <c r="M5" s="133">
        <f>IF(SER_hh_fech!M5=0,0,SER_hh_fech!M5/SER_summary!M$26)</f>
        <v>523.91079164672988</v>
      </c>
      <c r="N5" s="133">
        <f>IF(SER_hh_fech!N5=0,0,SER_hh_fech!N5/SER_summary!N$26)</f>
        <v>195.52465613343341</v>
      </c>
      <c r="O5" s="133">
        <f>IF(SER_hh_fech!O5=0,0,SER_hh_fech!O5/SER_summary!O$26)</f>
        <v>406.01777681432867</v>
      </c>
      <c r="P5" s="133">
        <f>IF(SER_hh_fech!P5=0,0,SER_hh_fech!P5/SER_summary!P$26)</f>
        <v>280.15934649273851</v>
      </c>
      <c r="Q5" s="133">
        <f>IF(SER_hh_fech!Q5=0,0,SER_hh_fech!Q5/SER_summary!Q$26)</f>
        <v>307.17710225572836</v>
      </c>
      <c r="R5" s="133">
        <f>IF(SER_hh_fech!R5=0,0,SER_hh_fech!R5/SER_summary!R$26)</f>
        <v>200.73986421285554</v>
      </c>
      <c r="S5" s="133">
        <f>IF(SER_hh_fech!S5=0,0,SER_hh_fech!S5/SER_summary!S$26)</f>
        <v>246.81258052342562</v>
      </c>
      <c r="T5" s="133">
        <f>IF(SER_hh_fech!T5=0,0,SER_hh_fech!T5/SER_summary!T$26)</f>
        <v>260.33189032141945</v>
      </c>
      <c r="U5" s="133">
        <f>IF(SER_hh_fech!U5=0,0,SER_hh_fech!U5/SER_summary!U$26)</f>
        <v>376.43902143199131</v>
      </c>
      <c r="V5" s="133">
        <f>IF(SER_hh_fech!V5=0,0,SER_hh_fech!V5/SER_summary!V$26)</f>
        <v>152.89098184582809</v>
      </c>
      <c r="W5" s="133">
        <f>IF(SER_hh_fech!W5=0,0,SER_hh_fech!W5/SER_summary!W$26)</f>
        <v>239.96409331184756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118.13762908893702</v>
      </c>
      <c r="C7" s="133">
        <f>IF(SER_hh_fech!C7=0,0,SER_hh_fech!C7/SER_summary!C$26)</f>
        <v>1003.4602672785074</v>
      </c>
      <c r="D7" s="133">
        <f>IF(SER_hh_fech!D7=0,0,SER_hh_fech!D7/SER_summary!D$26)</f>
        <v>709.18307020339569</v>
      </c>
      <c r="E7" s="133">
        <f>IF(SER_hh_fech!E7=0,0,SER_hh_fech!E7/SER_summary!E$26)</f>
        <v>260.11399403055151</v>
      </c>
      <c r="F7" s="133">
        <f>IF(SER_hh_fech!F7=0,0,SER_hh_fech!F7/SER_summary!F$26)</f>
        <v>683.95323568099309</v>
      </c>
      <c r="G7" s="133">
        <f>IF(SER_hh_fech!G7=0,0,SER_hh_fech!G7/SER_summary!G$26)</f>
        <v>815.87665646457333</v>
      </c>
      <c r="H7" s="133">
        <f>IF(SER_hh_fech!H7=0,0,SER_hh_fech!H7/SER_summary!H$26)</f>
        <v>695.72153409369366</v>
      </c>
      <c r="I7" s="133">
        <f>IF(SER_hh_fech!I7=0,0,SER_hh_fech!I7/SER_summary!I$26)</f>
        <v>73.859640987207698</v>
      </c>
      <c r="J7" s="133">
        <f>IF(SER_hh_fech!J7=0,0,SER_hh_fech!J7/SER_summary!J$26)</f>
        <v>456.28258605941204</v>
      </c>
      <c r="K7" s="133">
        <f>IF(SER_hh_fech!K7=0,0,SER_hh_fech!K7/SER_summary!K$26)</f>
        <v>1349.9647382502931</v>
      </c>
      <c r="L7" s="133">
        <f>IF(SER_hh_fech!L7=0,0,SER_hh_fech!L7/SER_summary!L$26)</f>
        <v>0</v>
      </c>
      <c r="M7" s="133">
        <f>IF(SER_hh_fech!M7=0,0,SER_hh_fech!M7/SER_summary!M$26)</f>
        <v>0</v>
      </c>
      <c r="N7" s="133">
        <f>IF(SER_hh_fech!N7=0,0,SER_hh_fech!N7/SER_summary!N$26)</f>
        <v>0</v>
      </c>
      <c r="O7" s="133">
        <f>IF(SER_hh_fech!O7=0,0,SER_hh_fech!O7/SER_summary!O$26)</f>
        <v>125.91571420689195</v>
      </c>
      <c r="P7" s="133">
        <f>IF(SER_hh_fech!P7=0,0,SER_hh_fech!P7/SER_summary!P$26)</f>
        <v>312.35100277203696</v>
      </c>
      <c r="Q7" s="133">
        <f>IF(SER_hh_fech!Q7=0,0,SER_hh_fech!Q7/SER_summary!Q$26)</f>
        <v>316.44335152560768</v>
      </c>
      <c r="R7" s="133">
        <f>IF(SER_hh_fech!R7=0,0,SER_hh_fech!R7/SER_summary!R$26)</f>
        <v>211.14889374349303</v>
      </c>
      <c r="S7" s="133">
        <f>IF(SER_hh_fech!S7=0,0,SER_hh_fech!S7/SER_summary!S$26)</f>
        <v>167.45671932759092</v>
      </c>
      <c r="T7" s="133">
        <f>IF(SER_hh_fech!T7=0,0,SER_hh_fech!T7/SER_summary!T$26)</f>
        <v>115.47783915262029</v>
      </c>
      <c r="U7" s="133">
        <f>IF(SER_hh_fech!U7=0,0,SER_hh_fech!U7/SER_summary!U$26)</f>
        <v>298.52324258452722</v>
      </c>
      <c r="V7" s="133">
        <f>IF(SER_hh_fech!V7=0,0,SER_hh_fech!V7/SER_summary!V$26)</f>
        <v>175.58138668167655</v>
      </c>
      <c r="W7" s="133">
        <f>IF(SER_hh_fech!W7=0,0,SER_hh_fech!W7/SER_summary!W$26)</f>
        <v>179.40930568849566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348.19104451767129</v>
      </c>
      <c r="C8" s="133">
        <f>IF(SER_hh_fech!C8=0,0,SER_hh_fech!C8/SER_summary!C$26)</f>
        <v>312.38575367054523</v>
      </c>
      <c r="D8" s="133">
        <f>IF(SER_hh_fech!D8=0,0,SER_hh_fech!D8/SER_summary!D$26)</f>
        <v>230.93164570421672</v>
      </c>
      <c r="E8" s="133">
        <f>IF(SER_hh_fech!E8=0,0,SER_hh_fech!E8/SER_summary!E$26)</f>
        <v>231.86208336573773</v>
      </c>
      <c r="F8" s="133">
        <f>IF(SER_hh_fech!F8=0,0,SER_hh_fech!F8/SER_summary!F$26)</f>
        <v>245.05599623428816</v>
      </c>
      <c r="G8" s="133">
        <f>IF(SER_hh_fech!G8=0,0,SER_hh_fech!G8/SER_summary!G$26)</f>
        <v>252.6347556528838</v>
      </c>
      <c r="H8" s="133">
        <f>IF(SER_hh_fech!H8=0,0,SER_hh_fech!H8/SER_summary!H$26)</f>
        <v>263.77617699712283</v>
      </c>
      <c r="I8" s="133">
        <f>IF(SER_hh_fech!I8=0,0,SER_hh_fech!I8/SER_summary!I$26)</f>
        <v>249.40703713091261</v>
      </c>
      <c r="J8" s="133">
        <f>IF(SER_hh_fech!J8=0,0,SER_hh_fech!J8/SER_summary!J$26)</f>
        <v>232.97511955719889</v>
      </c>
      <c r="K8" s="133">
        <f>IF(SER_hh_fech!K8=0,0,SER_hh_fech!K8/SER_summary!K$26)</f>
        <v>211.29598731272779</v>
      </c>
      <c r="L8" s="133">
        <f>IF(SER_hh_fech!L8=0,0,SER_hh_fech!L8/SER_summary!L$26)</f>
        <v>174.93927844227144</v>
      </c>
      <c r="M8" s="133">
        <f>IF(SER_hh_fech!M8=0,0,SER_hh_fech!M8/SER_summary!M$26)</f>
        <v>152.59066239546772</v>
      </c>
      <c r="N8" s="133">
        <f>IF(SER_hh_fech!N8=0,0,SER_hh_fech!N8/SER_summary!N$26)</f>
        <v>110.11744637465348</v>
      </c>
      <c r="O8" s="133">
        <f>IF(SER_hh_fech!O8=0,0,SER_hh_fech!O8/SER_summary!O$26)</f>
        <v>112.86682121676134</v>
      </c>
      <c r="P8" s="133">
        <f>IF(SER_hh_fech!P8=0,0,SER_hh_fech!P8/SER_summary!P$26)</f>
        <v>91.589380976340308</v>
      </c>
      <c r="Q8" s="133">
        <f>IF(SER_hh_fech!Q8=0,0,SER_hh_fech!Q8/SER_summary!Q$26)</f>
        <v>93.843074446715065</v>
      </c>
      <c r="R8" s="133">
        <f>IF(SER_hh_fech!R8=0,0,SER_hh_fech!R8/SER_summary!R$26)</f>
        <v>83.075089441134566</v>
      </c>
      <c r="S8" s="133">
        <f>IF(SER_hh_fech!S8=0,0,SER_hh_fech!S8/SER_summary!S$26)</f>
        <v>82.470057616624516</v>
      </c>
      <c r="T8" s="133">
        <f>IF(SER_hh_fech!T8=0,0,SER_hh_fech!T8/SER_summary!T$26)</f>
        <v>76.368306877488664</v>
      </c>
      <c r="U8" s="133">
        <f>IF(SER_hh_fech!U8=0,0,SER_hh_fech!U8/SER_summary!U$26)</f>
        <v>63.287804023099582</v>
      </c>
      <c r="V8" s="133">
        <f>IF(SER_hh_fech!V8=0,0,SER_hh_fech!V8/SER_summary!V$26)</f>
        <v>66.845886423139973</v>
      </c>
      <c r="W8" s="133">
        <f>IF(SER_hh_fech!W8=0,0,SER_hh_fech!W8/SER_summary!W$26)</f>
        <v>70.033298261243317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1085.4861639797573</v>
      </c>
      <c r="C9" s="133">
        <f>IF(SER_hh_fech!C9=0,0,SER_hh_fech!C9/SER_summary!C$26)</f>
        <v>633.98092212975268</v>
      </c>
      <c r="D9" s="133">
        <f>IF(SER_hh_fech!D9=0,0,SER_hh_fech!D9/SER_summary!D$26)</f>
        <v>475.9419215830099</v>
      </c>
      <c r="E9" s="133">
        <f>IF(SER_hh_fech!E9=0,0,SER_hh_fech!E9/SER_summary!E$26)</f>
        <v>501.35734045935811</v>
      </c>
      <c r="F9" s="133">
        <f>IF(SER_hh_fech!F9=0,0,SER_hh_fech!F9/SER_summary!F$26)</f>
        <v>296.14550426865901</v>
      </c>
      <c r="G9" s="133">
        <f>IF(SER_hh_fech!G9=0,0,SER_hh_fech!G9/SER_summary!G$26)</f>
        <v>707.18329255310539</v>
      </c>
      <c r="H9" s="133">
        <f>IF(SER_hh_fech!H9=0,0,SER_hh_fech!H9/SER_summary!H$26)</f>
        <v>650.47763160544901</v>
      </c>
      <c r="I9" s="133">
        <f>IF(SER_hh_fech!I9=0,0,SER_hh_fech!I9/SER_summary!I$26)</f>
        <v>560.06537472355137</v>
      </c>
      <c r="J9" s="133">
        <f>IF(SER_hh_fech!J9=0,0,SER_hh_fech!J9/SER_summary!J$26)</f>
        <v>580.22847409928738</v>
      </c>
      <c r="K9" s="133">
        <f>IF(SER_hh_fech!K9=0,0,SER_hh_fech!K9/SER_summary!K$26)</f>
        <v>411.80577892587706</v>
      </c>
      <c r="L9" s="133">
        <f>IF(SER_hh_fech!L9=0,0,SER_hh_fech!L9/SER_summary!L$26)</f>
        <v>655.0265286018639</v>
      </c>
      <c r="M9" s="133">
        <f>IF(SER_hh_fech!M9=0,0,SER_hh_fech!M9/SER_summary!M$26)</f>
        <v>244.49029649186986</v>
      </c>
      <c r="N9" s="133">
        <f>IF(SER_hh_fech!N9=0,0,SER_hh_fech!N9/SER_summary!N$26)</f>
        <v>390.85134203037438</v>
      </c>
      <c r="O9" s="133">
        <f>IF(SER_hh_fech!O9=0,0,SER_hh_fech!O9/SER_summary!O$26)</f>
        <v>444.06085967452589</v>
      </c>
      <c r="P9" s="133">
        <f>IF(SER_hh_fech!P9=0,0,SER_hh_fech!P9/SER_summary!P$26)</f>
        <v>248.59208497989709</v>
      </c>
      <c r="Q9" s="133">
        <f>IF(SER_hh_fech!Q9=0,0,SER_hh_fech!Q9/SER_summary!Q$26)</f>
        <v>274.59487314010789</v>
      </c>
      <c r="R9" s="133">
        <f>IF(SER_hh_fech!R9=0,0,SER_hh_fech!R9/SER_summary!R$26)</f>
        <v>266.95518193328434</v>
      </c>
      <c r="S9" s="133">
        <f>IF(SER_hh_fech!S9=0,0,SER_hh_fech!S9/SER_summary!S$26)</f>
        <v>300.46382376207197</v>
      </c>
      <c r="T9" s="133">
        <f>IF(SER_hh_fech!T9=0,0,SER_hh_fech!T9/SER_summary!T$26)</f>
        <v>259.87585657628267</v>
      </c>
      <c r="U9" s="133">
        <f>IF(SER_hh_fech!U9=0,0,SER_hh_fech!U9/SER_summary!U$26)</f>
        <v>205.22241107945177</v>
      </c>
      <c r="V9" s="133">
        <f>IF(SER_hh_fech!V9=0,0,SER_hh_fech!V9/SER_summary!V$26)</f>
        <v>187.42464065030478</v>
      </c>
      <c r="W9" s="133">
        <f>IF(SER_hh_fech!W9=0,0,SER_hh_fech!W9/SER_summary!W$26)</f>
        <v>281.05695266703412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9.6645071587940254</v>
      </c>
      <c r="C10" s="133">
        <f>IF(SER_hh_fech!C10=0,0,SER_hh_fech!C10/SER_summary!C$26)</f>
        <v>1235.2543761382778</v>
      </c>
      <c r="D10" s="133">
        <f>IF(SER_hh_fech!D10=0,0,SER_hh_fech!D10/SER_summary!D$26)</f>
        <v>422.60079764604171</v>
      </c>
      <c r="E10" s="133">
        <f>IF(SER_hh_fech!E10=0,0,SER_hh_fech!E10/SER_summary!E$26)</f>
        <v>469.6971650840598</v>
      </c>
      <c r="F10" s="133">
        <f>IF(SER_hh_fech!F10=0,0,SER_hh_fech!F10/SER_summary!F$26)</f>
        <v>657.93512987246527</v>
      </c>
      <c r="G10" s="133">
        <f>IF(SER_hh_fech!G10=0,0,SER_hh_fech!G10/SER_summary!G$26)</f>
        <v>312.63127668711013</v>
      </c>
      <c r="H10" s="133">
        <f>IF(SER_hh_fech!H10=0,0,SER_hh_fech!H10/SER_summary!H$26)</f>
        <v>233.79554879328356</v>
      </c>
      <c r="I10" s="133">
        <f>IF(SER_hh_fech!I10=0,0,SER_hh_fech!I10/SER_summary!I$26)</f>
        <v>96.890330199219434</v>
      </c>
      <c r="J10" s="133">
        <f>IF(SER_hh_fech!J10=0,0,SER_hh_fech!J10/SER_summary!J$26)</f>
        <v>712.9725675005368</v>
      </c>
      <c r="K10" s="133">
        <f>IF(SER_hh_fech!K10=0,0,SER_hh_fech!K10/SER_summary!K$26)</f>
        <v>738.06458931602515</v>
      </c>
      <c r="L10" s="133">
        <f>IF(SER_hh_fech!L10=0,0,SER_hh_fech!L10/SER_summary!L$26)</f>
        <v>674.73898539872607</v>
      </c>
      <c r="M10" s="133">
        <f>IF(SER_hh_fech!M10=0,0,SER_hh_fech!M10/SER_summary!M$26)</f>
        <v>347.40998156661277</v>
      </c>
      <c r="N10" s="133">
        <f>IF(SER_hh_fech!N10=0,0,SER_hh_fech!N10/SER_summary!N$26)</f>
        <v>407.55627873092374</v>
      </c>
      <c r="O10" s="133">
        <f>IF(SER_hh_fech!O10=0,0,SER_hh_fech!O10/SER_summary!O$26)</f>
        <v>221.17946107198614</v>
      </c>
      <c r="P10" s="133">
        <f>IF(SER_hh_fech!P10=0,0,SER_hh_fech!P10/SER_summary!P$26)</f>
        <v>558.31426250562015</v>
      </c>
      <c r="Q10" s="133">
        <f>IF(SER_hh_fech!Q10=0,0,SER_hh_fech!Q10/SER_summary!Q$26)</f>
        <v>317.2136790076363</v>
      </c>
      <c r="R10" s="133">
        <f>IF(SER_hh_fech!R10=0,0,SER_hh_fech!R10/SER_summary!R$26)</f>
        <v>113.19652466779912</v>
      </c>
      <c r="S10" s="133">
        <f>IF(SER_hh_fech!S10=0,0,SER_hh_fech!S10/SER_summary!S$26)</f>
        <v>375.3700372408191</v>
      </c>
      <c r="T10" s="133">
        <f>IF(SER_hh_fech!T10=0,0,SER_hh_fech!T10/SER_summary!T$26)</f>
        <v>311.64468090470183</v>
      </c>
      <c r="U10" s="133">
        <f>IF(SER_hh_fech!U10=0,0,SER_hh_fech!U10/SER_summary!U$26)</f>
        <v>286.12756345171374</v>
      </c>
      <c r="V10" s="133">
        <f>IF(SER_hh_fech!V10=0,0,SER_hh_fech!V10/SER_summary!V$26)</f>
        <v>297.28057641414051</v>
      </c>
      <c r="W10" s="133">
        <f>IF(SER_hh_fech!W10=0,0,SER_hh_fech!W10/SER_summary!W$26)</f>
        <v>321.61149080321337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560.18717247681957</v>
      </c>
      <c r="D11" s="133">
        <f>IF(SER_hh_fech!D11=0,0,SER_hh_fech!D11/SER_summary!D$26)</f>
        <v>392.14312644922006</v>
      </c>
      <c r="E11" s="133">
        <f>IF(SER_hh_fech!E11=0,0,SER_hh_fech!E11/SER_summary!E$26)</f>
        <v>347.35581927485583</v>
      </c>
      <c r="F11" s="133">
        <f>IF(SER_hh_fech!F11=0,0,SER_hh_fech!F11/SER_summary!F$26)</f>
        <v>323.56030055742252</v>
      </c>
      <c r="G11" s="133">
        <f>IF(SER_hh_fech!G11=0,0,SER_hh_fech!G11/SER_summary!G$26)</f>
        <v>364.92461153793795</v>
      </c>
      <c r="H11" s="133">
        <f>IF(SER_hh_fech!H11=0,0,SER_hh_fech!H11/SER_summary!H$26)</f>
        <v>434.89263621702395</v>
      </c>
      <c r="I11" s="133">
        <f>IF(SER_hh_fech!I11=0,0,SER_hh_fech!I11/SER_summary!I$26)</f>
        <v>405.98342144094244</v>
      </c>
      <c r="J11" s="133">
        <f>IF(SER_hh_fech!J11=0,0,SER_hh_fech!J11/SER_summary!J$26)</f>
        <v>412.4256377154021</v>
      </c>
      <c r="K11" s="133">
        <f>IF(SER_hh_fech!K11=0,0,SER_hh_fech!K11/SER_summary!K$26)</f>
        <v>405.90644356777858</v>
      </c>
      <c r="L11" s="133">
        <f>IF(SER_hh_fech!L11=0,0,SER_hh_fech!L11/SER_summary!L$26)</f>
        <v>415.87150729385877</v>
      </c>
      <c r="M11" s="133">
        <f>IF(SER_hh_fech!M11=0,0,SER_hh_fech!M11/SER_summary!M$26)</f>
        <v>336.65128414028544</v>
      </c>
      <c r="N11" s="133">
        <f>IF(SER_hh_fech!N11=0,0,SER_hh_fech!N11/SER_summary!N$26)</f>
        <v>266.2554445115552</v>
      </c>
      <c r="O11" s="133">
        <f>IF(SER_hh_fech!O11=0,0,SER_hh_fech!O11/SER_summary!O$26)</f>
        <v>302.93002523801511</v>
      </c>
      <c r="P11" s="133">
        <f>IF(SER_hh_fech!P11=0,0,SER_hh_fech!P11/SER_summary!P$26)</f>
        <v>204.36691664307861</v>
      </c>
      <c r="Q11" s="133">
        <f>IF(SER_hh_fech!Q11=0,0,SER_hh_fech!Q11/SER_summary!Q$26)</f>
        <v>209.07759522421972</v>
      </c>
      <c r="R11" s="133">
        <f>IF(SER_hh_fech!R11=0,0,SER_hh_fech!R11/SER_summary!R$26)</f>
        <v>233.4250693304856</v>
      </c>
      <c r="S11" s="133">
        <f>IF(SER_hh_fech!S11=0,0,SER_hh_fech!S11/SER_summary!S$26)</f>
        <v>230.30465081251813</v>
      </c>
      <c r="T11" s="133">
        <f>IF(SER_hh_fech!T11=0,0,SER_hh_fech!T11/SER_summary!T$26)</f>
        <v>224.3184647608679</v>
      </c>
      <c r="U11" s="133">
        <f>IF(SER_hh_fech!U11=0,0,SER_hh_fech!U11/SER_summary!U$26)</f>
        <v>272.06625204717039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554.80738536126444</v>
      </c>
      <c r="C12" s="133">
        <f>IF(SER_hh_fech!C12=0,0,SER_hh_fech!C12/SER_summary!C$26)</f>
        <v>409.98036871354077</v>
      </c>
      <c r="D12" s="133">
        <f>IF(SER_hh_fech!D12=0,0,SER_hh_fech!D12/SER_summary!D$26)</f>
        <v>399.65781486934014</v>
      </c>
      <c r="E12" s="133">
        <f>IF(SER_hh_fech!E12=0,0,SER_hh_fech!E12/SER_summary!E$26)</f>
        <v>292.59994597352704</v>
      </c>
      <c r="F12" s="133">
        <f>IF(SER_hh_fech!F12=0,0,SER_hh_fech!F12/SER_summary!F$26)</f>
        <v>439.73111325833707</v>
      </c>
      <c r="G12" s="133">
        <f>IF(SER_hh_fech!G12=0,0,SER_hh_fech!G12/SER_summary!G$26)</f>
        <v>392.29610800099391</v>
      </c>
      <c r="H12" s="133">
        <f>IF(SER_hh_fech!H12=0,0,SER_hh_fech!H12/SER_summary!H$26)</f>
        <v>389.13778168572094</v>
      </c>
      <c r="I12" s="133">
        <f>IF(SER_hh_fech!I12=0,0,SER_hh_fech!I12/SER_summary!I$26)</f>
        <v>376.16593848610682</v>
      </c>
      <c r="J12" s="133">
        <f>IF(SER_hh_fech!J12=0,0,SER_hh_fech!J12/SER_summary!J$26)</f>
        <v>381.58062280901413</v>
      </c>
      <c r="K12" s="133">
        <f>IF(SER_hh_fech!K12=0,0,SER_hh_fech!K12/SER_summary!K$26)</f>
        <v>411.81595566301246</v>
      </c>
      <c r="L12" s="133">
        <f>IF(SER_hh_fech!L12=0,0,SER_hh_fech!L12/SER_summary!L$26)</f>
        <v>453.57988032538651</v>
      </c>
      <c r="M12" s="133">
        <f>IF(SER_hh_fech!M12=0,0,SER_hh_fech!M12/SER_summary!M$26)</f>
        <v>371.08082995267046</v>
      </c>
      <c r="N12" s="133">
        <f>IF(SER_hh_fech!N12=0,0,SER_hh_fech!N12/SER_summary!N$26)</f>
        <v>263.54708423581474</v>
      </c>
      <c r="O12" s="133">
        <f>IF(SER_hh_fech!O12=0,0,SER_hh_fech!O12/SER_summary!O$26)</f>
        <v>251.29809868190952</v>
      </c>
      <c r="P12" s="133">
        <f>IF(SER_hh_fech!P12=0,0,SER_hh_fech!P12/SER_summary!P$26)</f>
        <v>150.35701397084512</v>
      </c>
      <c r="Q12" s="133">
        <f>IF(SER_hh_fech!Q12=0,0,SER_hh_fech!Q12/SER_summary!Q$26)</f>
        <v>81.404752354276638</v>
      </c>
      <c r="R12" s="133">
        <f>IF(SER_hh_fech!R12=0,0,SER_hh_fech!R12/SER_summary!R$26)</f>
        <v>277.3459080060282</v>
      </c>
      <c r="S12" s="133">
        <f>IF(SER_hh_fech!S12=0,0,SER_hh_fech!S12/SER_summary!S$26)</f>
        <v>232.48100539214275</v>
      </c>
      <c r="T12" s="133">
        <f>IF(SER_hh_fech!T12=0,0,SER_hh_fech!T12/SER_summary!T$26)</f>
        <v>201.94295304578696</v>
      </c>
      <c r="U12" s="133">
        <f>IF(SER_hh_fech!U12=0,0,SER_hh_fech!U12/SER_summary!U$26)</f>
        <v>174.25891928837848</v>
      </c>
      <c r="V12" s="133">
        <f>IF(SER_hh_fech!V12=0,0,SER_hh_fech!V12/SER_summary!V$26)</f>
        <v>162.80278258078926</v>
      </c>
      <c r="W12" s="133">
        <f>IF(SER_hh_fech!W12=0,0,SER_hh_fech!W12/SER_summary!W$26)</f>
        <v>225.54999512257356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85.982244553083945</v>
      </c>
      <c r="C13" s="133">
        <f>IF(SER_hh_fech!C13=0,0,SER_hh_fech!C13/SER_summary!C$26)</f>
        <v>240.44479242520981</v>
      </c>
      <c r="D13" s="133">
        <f>IF(SER_hh_fech!D13=0,0,SER_hh_fech!D13/SER_summary!D$26)</f>
        <v>201.84394746758608</v>
      </c>
      <c r="E13" s="133">
        <f>IF(SER_hh_fech!E13=0,0,SER_hh_fech!E13/SER_summary!E$26)</f>
        <v>160.60976009358635</v>
      </c>
      <c r="F13" s="133">
        <f>IF(SER_hh_fech!F13=0,0,SER_hh_fech!F13/SER_summary!F$26)</f>
        <v>198.08084555721157</v>
      </c>
      <c r="G13" s="133">
        <f>IF(SER_hh_fech!G13=0,0,SER_hh_fech!G13/SER_summary!G$26)</f>
        <v>183.99212380736876</v>
      </c>
      <c r="H13" s="133">
        <f>IF(SER_hh_fech!H13=0,0,SER_hh_fech!H13/SER_summary!H$26)</f>
        <v>166.9408008536027</v>
      </c>
      <c r="I13" s="133">
        <f>IF(SER_hh_fech!I13=0,0,SER_hh_fech!I13/SER_summary!I$26)</f>
        <v>181.89811106145208</v>
      </c>
      <c r="J13" s="133">
        <f>IF(SER_hh_fech!J13=0,0,SER_hh_fech!J13/SER_summary!J$26)</f>
        <v>144.73910280948792</v>
      </c>
      <c r="K13" s="133">
        <f>IF(SER_hh_fech!K13=0,0,SER_hh_fech!K13/SER_summary!K$26)</f>
        <v>125.91730584824528</v>
      </c>
      <c r="L13" s="133">
        <f>IF(SER_hh_fech!L13=0,0,SER_hh_fech!L13/SER_summary!L$26)</f>
        <v>109.44364639628155</v>
      </c>
      <c r="M13" s="133">
        <f>IF(SER_hh_fech!M13=0,0,SER_hh_fech!M13/SER_summary!M$26)</f>
        <v>110.95338982553687</v>
      </c>
      <c r="N13" s="133">
        <f>IF(SER_hh_fech!N13=0,0,SER_hh_fech!N13/SER_summary!N$26)</f>
        <v>92.732158044564258</v>
      </c>
      <c r="O13" s="133">
        <f>IF(SER_hh_fech!O13=0,0,SER_hh_fech!O13/SER_summary!O$26)</f>
        <v>69.327511788612483</v>
      </c>
      <c r="P13" s="133">
        <f>IF(SER_hh_fech!P13=0,0,SER_hh_fech!P13/SER_summary!P$26)</f>
        <v>49.912791113682225</v>
      </c>
      <c r="Q13" s="133">
        <f>IF(SER_hh_fech!Q13=0,0,SER_hh_fech!Q13/SER_summary!Q$26)</f>
        <v>71.497694052415881</v>
      </c>
      <c r="R13" s="133">
        <f>IF(SER_hh_fech!R13=0,0,SER_hh_fech!R13/SER_summary!R$26)</f>
        <v>62.11261357313407</v>
      </c>
      <c r="S13" s="133">
        <f>IF(SER_hh_fech!S13=0,0,SER_hh_fech!S13/SER_summary!S$26)</f>
        <v>60.2908263578408</v>
      </c>
      <c r="T13" s="133">
        <f>IF(SER_hh_fech!T13=0,0,SER_hh_fech!T13/SER_summary!T$26)</f>
        <v>54.749444046494695</v>
      </c>
      <c r="U13" s="133">
        <f>IF(SER_hh_fech!U13=0,0,SER_hh_fech!U13/SER_summary!U$26)</f>
        <v>44.998298553450503</v>
      </c>
      <c r="V13" s="133">
        <f>IF(SER_hh_fech!V13=0,0,SER_hh_fech!V13/SER_summary!V$26)</f>
        <v>47.574631494779439</v>
      </c>
      <c r="W13" s="133">
        <f>IF(SER_hh_fech!W13=0,0,SER_hh_fech!W13/SER_summary!W$26)</f>
        <v>52.562057766962162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402.18284077600396</v>
      </c>
      <c r="C14" s="65">
        <f>IF(SER_hh_fech!C14=0,0,SER_hh_fech!C14/SER_summary!C$26)</f>
        <v>558.28000618548356</v>
      </c>
      <c r="D14" s="65">
        <f>IF(SER_hh_fech!D14=0,0,SER_hh_fech!D14/SER_summary!D$26)</f>
        <v>478.99505264792305</v>
      </c>
      <c r="E14" s="65">
        <f>IF(SER_hh_fech!E14=0,0,SER_hh_fech!E14/SER_summary!E$26)</f>
        <v>349.20389427363892</v>
      </c>
      <c r="F14" s="65">
        <f>IF(SER_hh_fech!F14=0,0,SER_hh_fech!F14/SER_summary!F$26)</f>
        <v>458.80455380678256</v>
      </c>
      <c r="G14" s="65">
        <f>IF(SER_hh_fech!G14=0,0,SER_hh_fech!G14/SER_summary!G$26)</f>
        <v>356.97358728913554</v>
      </c>
      <c r="H14" s="65">
        <f>IF(SER_hh_fech!H14=0,0,SER_hh_fech!H14/SER_summary!H$26)</f>
        <v>397.84069735875534</v>
      </c>
      <c r="I14" s="65">
        <f>IF(SER_hh_fech!I14=0,0,SER_hh_fech!I14/SER_summary!I$26)</f>
        <v>467.41148075011307</v>
      </c>
      <c r="J14" s="65">
        <f>IF(SER_hh_fech!J14=0,0,SER_hh_fech!J14/SER_summary!J$26)</f>
        <v>420.15915288654156</v>
      </c>
      <c r="K14" s="65">
        <f>IF(SER_hh_fech!K14=0,0,SER_hh_fech!K14/SER_summary!K$26)</f>
        <v>412.5928000284415</v>
      </c>
      <c r="L14" s="65">
        <f>IF(SER_hh_fech!L14=0,0,SER_hh_fech!L14/SER_summary!L$26)</f>
        <v>478.07040340659779</v>
      </c>
      <c r="M14" s="65">
        <f>IF(SER_hh_fech!M14=0,0,SER_hh_fech!M14/SER_summary!M$26)</f>
        <v>445.30893455600665</v>
      </c>
      <c r="N14" s="65">
        <f>IF(SER_hh_fech!N14=0,0,SER_hh_fech!N14/SER_summary!N$26)</f>
        <v>249.28898523770835</v>
      </c>
      <c r="O14" s="65">
        <f>IF(SER_hh_fech!O14=0,0,SER_hh_fech!O14/SER_summary!O$26)</f>
        <v>362.04699537680386</v>
      </c>
      <c r="P14" s="65">
        <f>IF(SER_hh_fech!P14=0,0,SER_hh_fech!P14/SER_summary!P$26)</f>
        <v>203.17628737992553</v>
      </c>
      <c r="Q14" s="65">
        <f>IF(SER_hh_fech!Q14=0,0,SER_hh_fech!Q14/SER_summary!Q$26)</f>
        <v>235.36054304345876</v>
      </c>
      <c r="R14" s="65">
        <f>IF(SER_hh_fech!R14=0,0,SER_hh_fech!R14/SER_summary!R$26)</f>
        <v>234.57563918072219</v>
      </c>
      <c r="S14" s="65">
        <f>IF(SER_hh_fech!S14=0,0,SER_hh_fech!S14/SER_summary!S$26)</f>
        <v>272.39531427338505</v>
      </c>
      <c r="T14" s="65">
        <f>IF(SER_hh_fech!T14=0,0,SER_hh_fech!T14/SER_summary!T$26)</f>
        <v>227.93383960636035</v>
      </c>
      <c r="U14" s="65">
        <f>IF(SER_hh_fech!U14=0,0,SER_hh_fech!U14/SER_summary!U$26)</f>
        <v>176.21274692889315</v>
      </c>
      <c r="V14" s="65">
        <f>IF(SER_hh_fech!V14=0,0,SER_hh_fech!V14/SER_summary!V$26)</f>
        <v>180.82176951913033</v>
      </c>
      <c r="W14" s="65">
        <f>IF(SER_hh_fech!W14=0,0,SER_hh_fech!W14/SER_summary!W$26)</f>
        <v>234.06630120797521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7.7936361488136487</v>
      </c>
      <c r="C15" s="135">
        <f>IF(SER_hh_fech!C15=0,0,SER_hh_fech!C15/SER_summary!C$26)</f>
        <v>4.677361421064437</v>
      </c>
      <c r="D15" s="135">
        <f>IF(SER_hh_fech!D15=0,0,SER_hh_fech!D15/SER_summary!D$26)</f>
        <v>3.5138798650943666</v>
      </c>
      <c r="E15" s="135">
        <f>IF(SER_hh_fech!E15=0,0,SER_hh_fech!E15/SER_summary!E$26)</f>
        <v>2.9002771779835101</v>
      </c>
      <c r="F15" s="135">
        <f>IF(SER_hh_fech!F15=0,0,SER_hh_fech!F15/SER_summary!F$26)</f>
        <v>2.4911867931054736</v>
      </c>
      <c r="G15" s="135">
        <f>IF(SER_hh_fech!G15=0,0,SER_hh_fech!G15/SER_summary!G$26)</f>
        <v>4.6704253515753926</v>
      </c>
      <c r="H15" s="135">
        <f>IF(SER_hh_fech!H15=0,0,SER_hh_fech!H15/SER_summary!H$26)</f>
        <v>4.7594607104708997</v>
      </c>
      <c r="I15" s="135">
        <f>IF(SER_hh_fech!I15=0,0,SER_hh_fech!I15/SER_summary!I$26)</f>
        <v>4.1531945144161897</v>
      </c>
      <c r="J15" s="135">
        <f>IF(SER_hh_fech!J15=0,0,SER_hh_fech!J15/SER_summary!J$26)</f>
        <v>4.1456949044567013</v>
      </c>
      <c r="K15" s="135">
        <f>IF(SER_hh_fech!K15=0,0,SER_hh_fech!K15/SER_summary!K$26)</f>
        <v>3.5603148333948442</v>
      </c>
      <c r="L15" s="135">
        <f>IF(SER_hh_fech!L15=0,0,SER_hh_fech!L15/SER_summary!L$26)</f>
        <v>4.2318098458993063</v>
      </c>
      <c r="M15" s="135">
        <f>IF(SER_hh_fech!M15=0,0,SER_hh_fech!M15/SER_summary!M$26)</f>
        <v>2.230310839264424</v>
      </c>
      <c r="N15" s="135">
        <f>IF(SER_hh_fech!N15=0,0,SER_hh_fech!N15/SER_summary!N$26)</f>
        <v>2.8960122770794214</v>
      </c>
      <c r="O15" s="135">
        <f>IF(SER_hh_fech!O15=0,0,SER_hh_fech!O15/SER_summary!O$26)</f>
        <v>3.5799054149063605</v>
      </c>
      <c r="P15" s="135">
        <f>IF(SER_hh_fech!P15=0,0,SER_hh_fech!P15/SER_summary!P$26)</f>
        <v>2.12693775406987</v>
      </c>
      <c r="Q15" s="135">
        <f>IF(SER_hh_fech!Q15=0,0,SER_hh_fech!Q15/SER_summary!Q$26)</f>
        <v>2.3013786230237061</v>
      </c>
      <c r="R15" s="135">
        <f>IF(SER_hh_fech!R15=0,0,SER_hh_fech!R15/SER_summary!R$26)</f>
        <v>2.2792694996090024</v>
      </c>
      <c r="S15" s="135">
        <f>IF(SER_hh_fech!S15=0,0,SER_hh_fech!S15/SER_summary!S$26)</f>
        <v>2.5467511116561199</v>
      </c>
      <c r="T15" s="135">
        <f>IF(SER_hh_fech!T15=0,0,SER_hh_fech!T15/SER_summary!T$26)</f>
        <v>2.1965347142259839</v>
      </c>
      <c r="U15" s="135">
        <f>IF(SER_hh_fech!U15=0,0,SER_hh_fech!U15/SER_summary!U$26)</f>
        <v>1.8842272201131451</v>
      </c>
      <c r="V15" s="135">
        <f>IF(SER_hh_fech!V15=0,0,SER_hh_fech!V15/SER_summary!V$26)</f>
        <v>1.6091675456969374</v>
      </c>
      <c r="W15" s="135">
        <f>IF(SER_hh_fech!W15=0,0,SER_hh_fech!W15/SER_summary!W$26)</f>
        <v>2.4219231194838406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17.746566994794339</v>
      </c>
      <c r="C16" s="131">
        <f>IF(SER_hh_fech!C16=0,0,SER_hh_fech!C16/SER_summary!C$26)</f>
        <v>16.707673389605702</v>
      </c>
      <c r="D16" s="131">
        <f>IF(SER_hh_fech!D16=0,0,SER_hh_fech!D16/SER_summary!D$26)</f>
        <v>16.192541727951649</v>
      </c>
      <c r="E16" s="131">
        <f>IF(SER_hh_fech!E16=0,0,SER_hh_fech!E16/SER_summary!E$26)</f>
        <v>15.675934324321362</v>
      </c>
      <c r="F16" s="131">
        <f>IF(SER_hh_fech!F16=0,0,SER_hh_fech!F16/SER_summary!F$26)</f>
        <v>14.476304682950982</v>
      </c>
      <c r="G16" s="131">
        <f>IF(SER_hh_fech!G16=0,0,SER_hh_fech!G16/SER_summary!G$26)</f>
        <v>13.984516059799175</v>
      </c>
      <c r="H16" s="131">
        <f>IF(SER_hh_fech!H16=0,0,SER_hh_fech!H16/SER_summary!H$26)</f>
        <v>13.722787556797764</v>
      </c>
      <c r="I16" s="131">
        <f>IF(SER_hh_fech!I16=0,0,SER_hh_fech!I16/SER_summary!I$26)</f>
        <v>13.511075678386717</v>
      </c>
      <c r="J16" s="131">
        <f>IF(SER_hh_fech!J16=0,0,SER_hh_fech!J16/SER_summary!J$26)</f>
        <v>12.026771500770412</v>
      </c>
      <c r="K16" s="131">
        <f>IF(SER_hh_fech!K16=0,0,SER_hh_fech!K16/SER_summary!K$26)</f>
        <v>11.960132648683858</v>
      </c>
      <c r="L16" s="131">
        <f>IF(SER_hh_fech!L16=0,0,SER_hh_fech!L16/SER_summary!L$26)</f>
        <v>12.170083990583471</v>
      </c>
      <c r="M16" s="131">
        <f>IF(SER_hh_fech!M16=0,0,SER_hh_fech!M16/SER_summary!M$26)</f>
        <v>11.603217508450518</v>
      </c>
      <c r="N16" s="131">
        <f>IF(SER_hh_fech!N16=0,0,SER_hh_fech!N16/SER_summary!N$26)</f>
        <v>12.445858469141331</v>
      </c>
      <c r="O16" s="131">
        <f>IF(SER_hh_fech!O16=0,0,SER_hh_fech!O16/SER_summary!O$26)</f>
        <v>11.686633220708215</v>
      </c>
      <c r="P16" s="131">
        <f>IF(SER_hh_fech!P16=0,0,SER_hh_fech!P16/SER_summary!P$26)</f>
        <v>10.487636139493006</v>
      </c>
      <c r="Q16" s="131">
        <f>IF(SER_hh_fech!Q16=0,0,SER_hh_fech!Q16/SER_summary!Q$26)</f>
        <v>12.030615863361987</v>
      </c>
      <c r="R16" s="131">
        <f>IF(SER_hh_fech!R16=0,0,SER_hh_fech!R16/SER_summary!R$26)</f>
        <v>9.9785954276838318</v>
      </c>
      <c r="S16" s="131">
        <f>IF(SER_hh_fech!S16=0,0,SER_hh_fech!S16/SER_summary!S$26)</f>
        <v>10.327873168923482</v>
      </c>
      <c r="T16" s="131">
        <f>IF(SER_hh_fech!T16=0,0,SER_hh_fech!T16/SER_summary!T$26)</f>
        <v>9.8962370801107831</v>
      </c>
      <c r="U16" s="131">
        <f>IF(SER_hh_fech!U16=0,0,SER_hh_fech!U16/SER_summary!U$26)</f>
        <v>10.005497428897451</v>
      </c>
      <c r="V16" s="131">
        <f>IF(SER_hh_fech!V16=0,0,SER_hh_fech!V16/SER_summary!V$26)</f>
        <v>9.0258727239633281</v>
      </c>
      <c r="W16" s="131">
        <f>IF(SER_hh_fech!W16=0,0,SER_hh_fech!W16/SER_summary!W$26)</f>
        <v>9.5629162799479133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25.023331259519811</v>
      </c>
      <c r="C17" s="133">
        <f>IF(SER_hh_fech!C17=0,0,SER_hh_fech!C17/SER_summary!C$26)</f>
        <v>24.274616767228828</v>
      </c>
      <c r="D17" s="133">
        <f>IF(SER_hh_fech!D17=0,0,SER_hh_fech!D17/SER_summary!D$26)</f>
        <v>24.681963770405758</v>
      </c>
      <c r="E17" s="133">
        <f>IF(SER_hh_fech!E17=0,0,SER_hh_fech!E17/SER_summary!E$26)</f>
        <v>24.933991790661906</v>
      </c>
      <c r="F17" s="133">
        <f>IF(SER_hh_fech!F17=0,0,SER_hh_fech!F17/SER_summary!F$26)</f>
        <v>23.738314238096056</v>
      </c>
      <c r="G17" s="133">
        <f>IF(SER_hh_fech!G17=0,0,SER_hh_fech!G17/SER_summary!G$26)</f>
        <v>23.886860908293162</v>
      </c>
      <c r="H17" s="133">
        <f>IF(SER_hh_fech!H17=0,0,SER_hh_fech!H17/SER_summary!H$26)</f>
        <v>24.545505594644947</v>
      </c>
      <c r="I17" s="133">
        <f>IF(SER_hh_fech!I17=0,0,SER_hh_fech!I17/SER_summary!I$26)</f>
        <v>25.429202371178047</v>
      </c>
      <c r="J17" s="133">
        <f>IF(SER_hh_fech!J17=0,0,SER_hh_fech!J17/SER_summary!J$26)</f>
        <v>23.793364258916849</v>
      </c>
      <c r="K17" s="133">
        <f>IF(SER_hh_fech!K17=0,0,SER_hh_fech!K17/SER_summary!K$26)</f>
        <v>23.992539797124106</v>
      </c>
      <c r="L17" s="133">
        <f>IF(SER_hh_fech!L17=0,0,SER_hh_fech!L17/SER_summary!L$26)</f>
        <v>24.911020535278087</v>
      </c>
      <c r="M17" s="133">
        <f>IF(SER_hh_fech!M17=0,0,SER_hh_fech!M17/SER_summary!M$26)</f>
        <v>24.33531526310724</v>
      </c>
      <c r="N17" s="133">
        <f>IF(SER_hh_fech!N17=0,0,SER_hh_fech!N17/SER_summary!N$26)</f>
        <v>26.846218876782292</v>
      </c>
      <c r="O17" s="133">
        <f>IF(SER_hh_fech!O17=0,0,SER_hh_fech!O17/SER_summary!O$26)</f>
        <v>25.694933424583763</v>
      </c>
      <c r="P17" s="133">
        <f>IF(SER_hh_fech!P17=0,0,SER_hh_fech!P17/SER_summary!P$26)</f>
        <v>23.34075851512118</v>
      </c>
      <c r="Q17" s="133">
        <f>IF(SER_hh_fech!Q17=0,0,SER_hh_fech!Q17/SER_summary!Q$26)</f>
        <v>27.053546562365039</v>
      </c>
      <c r="R17" s="133">
        <f>IF(SER_hh_fech!R17=0,0,SER_hh_fech!R17/SER_summary!R$26)</f>
        <v>22.844491316687691</v>
      </c>
      <c r="S17" s="133">
        <f>IF(SER_hh_fech!S17=0,0,SER_hh_fech!S17/SER_summary!S$26)</f>
        <v>24.209321037658913</v>
      </c>
      <c r="T17" s="133">
        <f>IF(SER_hh_fech!T17=0,0,SER_hh_fech!T17/SER_summary!T$26)</f>
        <v>23.499794101638855</v>
      </c>
      <c r="U17" s="133">
        <f>IF(SER_hh_fech!U17=0,0,SER_hh_fech!U17/SER_summary!U$26)</f>
        <v>24.050347375332258</v>
      </c>
      <c r="V17" s="133">
        <f>IF(SER_hh_fech!V17=0,0,SER_hh_fech!V17/SER_summary!V$26)</f>
        <v>22.897383569945312</v>
      </c>
      <c r="W17" s="133">
        <f>IF(SER_hh_fech!W17=0,0,SER_hh_fech!W17/SER_summary!W$26)</f>
        <v>22.028034506705868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17.732271049441351</v>
      </c>
      <c r="C18" s="133">
        <f>IF(SER_hh_fech!C18=0,0,SER_hh_fech!C18/SER_summary!C$26)</f>
        <v>16.68479917392493</v>
      </c>
      <c r="D18" s="133">
        <f>IF(SER_hh_fech!D18=0,0,SER_hh_fech!D18/SER_summary!D$26)</f>
        <v>16.172063642100213</v>
      </c>
      <c r="E18" s="133">
        <f>IF(SER_hh_fech!E18=0,0,SER_hh_fech!E18/SER_summary!E$26)</f>
        <v>15.667922214025181</v>
      </c>
      <c r="F18" s="133">
        <f>IF(SER_hh_fech!F18=0,0,SER_hh_fech!F18/SER_summary!F$26)</f>
        <v>14.453320460203749</v>
      </c>
      <c r="G18" s="133">
        <f>IF(SER_hh_fech!G18=0,0,SER_hh_fech!G18/SER_summary!G$26)</f>
        <v>13.950331169285555</v>
      </c>
      <c r="H18" s="133">
        <f>IF(SER_hh_fech!H18=0,0,SER_hh_fech!H18/SER_summary!H$26)</f>
        <v>13.681849863771824</v>
      </c>
      <c r="I18" s="133">
        <f>IF(SER_hh_fech!I18=0,0,SER_hh_fech!I18/SER_summary!I$26)</f>
        <v>13.468139223014875</v>
      </c>
      <c r="J18" s="133">
        <f>IF(SER_hh_fech!J18=0,0,SER_hh_fech!J18/SER_summary!J$26)</f>
        <v>11.981097763357466</v>
      </c>
      <c r="K18" s="133">
        <f>IF(SER_hh_fech!K18=0,0,SER_hh_fech!K18/SER_summary!K$26)</f>
        <v>11.9148037094225</v>
      </c>
      <c r="L18" s="133">
        <f>IF(SER_hh_fech!L18=0,0,SER_hh_fech!L18/SER_summary!L$26)</f>
        <v>12.121066054063826</v>
      </c>
      <c r="M18" s="133">
        <f>IF(SER_hh_fech!M18=0,0,SER_hh_fech!M18/SER_summary!M$26)</f>
        <v>11.549385008857401</v>
      </c>
      <c r="N18" s="133">
        <f>IF(SER_hh_fech!N18=0,0,SER_hh_fech!N18/SER_summary!N$26)</f>
        <v>12.383718541007255</v>
      </c>
      <c r="O18" s="133">
        <f>IF(SER_hh_fech!O18=0,0,SER_hh_fech!O18/SER_summary!O$26)</f>
        <v>11.610331206248674</v>
      </c>
      <c r="P18" s="133">
        <f>IF(SER_hh_fech!P18=0,0,SER_hh_fech!P18/SER_summary!P$26)</f>
        <v>10.387947040209223</v>
      </c>
      <c r="Q18" s="133">
        <f>IF(SER_hh_fech!Q18=0,0,SER_hh_fech!Q18/SER_summary!Q$26)</f>
        <v>11.89436644532352</v>
      </c>
      <c r="R18" s="133">
        <f>IF(SER_hh_fech!R18=0,0,SER_hh_fech!R18/SER_summary!R$26)</f>
        <v>9.8046117891690088</v>
      </c>
      <c r="S18" s="133">
        <f>IF(SER_hh_fech!S18=0,0,SER_hh_fech!S18/SER_summary!S$26)</f>
        <v>10.12057414498411</v>
      </c>
      <c r="T18" s="133">
        <f>IF(SER_hh_fech!T18=0,0,SER_hh_fech!T18/SER_summary!T$26)</f>
        <v>9.6621876464182641</v>
      </c>
      <c r="U18" s="133">
        <f>IF(SER_hh_fech!U18=0,0,SER_hh_fech!U18/SER_summary!U$26)</f>
        <v>9.7512395288989762</v>
      </c>
      <c r="V18" s="133">
        <f>IF(SER_hh_fech!V18=0,0,SER_hh_fech!V18/SER_summary!V$26)</f>
        <v>8.7366804873111654</v>
      </c>
      <c r="W18" s="133">
        <f>IF(SER_hh_fech!W18=0,0,SER_hh_fech!W18/SER_summary!W$26)</f>
        <v>9.2845515038968784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44.824869508189146</v>
      </c>
      <c r="C19" s="131">
        <f>IF(SER_hh_fech!C19=0,0,SER_hh_fech!C19/SER_summary!C$26)</f>
        <v>44.593665425143868</v>
      </c>
      <c r="D19" s="131">
        <f>IF(SER_hh_fech!D19=0,0,SER_hh_fech!D19/SER_summary!D$26)</f>
        <v>44.684157778738438</v>
      </c>
      <c r="E19" s="131">
        <f>IF(SER_hh_fech!E19=0,0,SER_hh_fech!E19/SER_summary!E$26)</f>
        <v>44.692217517408572</v>
      </c>
      <c r="F19" s="131">
        <f>IF(SER_hh_fech!F19=0,0,SER_hh_fech!F19/SER_summary!F$26)</f>
        <v>44.163425566642793</v>
      </c>
      <c r="G19" s="131">
        <f>IF(SER_hh_fech!G19=0,0,SER_hh_fech!G19/SER_summary!G$26)</f>
        <v>45.291199557239445</v>
      </c>
      <c r="H19" s="131">
        <f>IF(SER_hh_fech!H19=0,0,SER_hh_fech!H19/SER_summary!H$26)</f>
        <v>45.797395270411869</v>
      </c>
      <c r="I19" s="131">
        <f>IF(SER_hh_fech!I19=0,0,SER_hh_fech!I19/SER_summary!I$26)</f>
        <v>45.133333049343115</v>
      </c>
      <c r="J19" s="131">
        <f>IF(SER_hh_fech!J19=0,0,SER_hh_fech!J19/SER_summary!J$26)</f>
        <v>44.690412950046017</v>
      </c>
      <c r="K19" s="131">
        <f>IF(SER_hh_fech!K19=0,0,SER_hh_fech!K19/SER_summary!K$26)</f>
        <v>45.890872011165023</v>
      </c>
      <c r="L19" s="131">
        <f>IF(SER_hh_fech!L19=0,0,SER_hh_fech!L19/SER_summary!L$26)</f>
        <v>45.904632046176744</v>
      </c>
      <c r="M19" s="131">
        <f>IF(SER_hh_fech!M19=0,0,SER_hh_fech!M19/SER_summary!M$26)</f>
        <v>45.390552263219881</v>
      </c>
      <c r="N19" s="131">
        <f>IF(SER_hh_fech!N19=0,0,SER_hh_fech!N19/SER_summary!N$26)</f>
        <v>46.109399120378221</v>
      </c>
      <c r="O19" s="131">
        <f>IF(SER_hh_fech!O19=0,0,SER_hh_fech!O19/SER_summary!O$26)</f>
        <v>45.933521970135033</v>
      </c>
      <c r="P19" s="131">
        <f>IF(SER_hh_fech!P19=0,0,SER_hh_fech!P19/SER_summary!P$26)</f>
        <v>46.235470355556849</v>
      </c>
      <c r="Q19" s="131">
        <f>IF(SER_hh_fech!Q19=0,0,SER_hh_fech!Q19/SER_summary!Q$26)</f>
        <v>45.823916395672377</v>
      </c>
      <c r="R19" s="131">
        <f>IF(SER_hh_fech!R19=0,0,SER_hh_fech!R19/SER_summary!R$26)</f>
        <v>45.06436126325562</v>
      </c>
      <c r="S19" s="131">
        <f>IF(SER_hh_fech!S19=0,0,SER_hh_fech!S19/SER_summary!S$26)</f>
        <v>44.536031582058001</v>
      </c>
      <c r="T19" s="131">
        <f>IF(SER_hh_fech!T19=0,0,SER_hh_fech!T19/SER_summary!T$26)</f>
        <v>43.006293890877139</v>
      </c>
      <c r="U19" s="131">
        <f>IF(SER_hh_fech!U19=0,0,SER_hh_fech!U19/SER_summary!U$26)</f>
        <v>41.863684583492628</v>
      </c>
      <c r="V19" s="131">
        <f>IF(SER_hh_fech!V19=0,0,SER_hh_fech!V19/SER_summary!V$26)</f>
        <v>36.638595896183439</v>
      </c>
      <c r="W19" s="131">
        <f>IF(SER_hh_fech!W19=0,0,SER_hh_fech!W19/SER_summary!W$26)</f>
        <v>39.855613466490738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54.526621762994232</v>
      </c>
      <c r="C20" s="133">
        <f>IF(SER_hh_fech!C20=0,0,SER_hh_fech!C20/SER_summary!C$26)</f>
        <v>50.20464329632339</v>
      </c>
      <c r="D20" s="133">
        <f>IF(SER_hh_fech!D20=0,0,SER_hh_fech!D20/SER_summary!D$26)</f>
        <v>56.410823595234405</v>
      </c>
      <c r="E20" s="133">
        <f>IF(SER_hh_fech!E20=0,0,SER_hh_fech!E20/SER_summary!E$26)</f>
        <v>46.99404272623314</v>
      </c>
      <c r="F20" s="133">
        <f>IF(SER_hh_fech!F20=0,0,SER_hh_fech!F20/SER_summary!F$26)</f>
        <v>51.37999322301917</v>
      </c>
      <c r="G20" s="133">
        <f>IF(SER_hh_fech!G20=0,0,SER_hh_fech!G20/SER_summary!G$26)</f>
        <v>22.663809263027968</v>
      </c>
      <c r="H20" s="133">
        <f>IF(SER_hh_fech!H20=0,0,SER_hh_fech!H20/SER_summary!H$26)</f>
        <v>39.771387932118039</v>
      </c>
      <c r="I20" s="133">
        <f>IF(SER_hh_fech!I20=0,0,SER_hh_fech!I20/SER_summary!I$26)</f>
        <v>52.594373477417143</v>
      </c>
      <c r="J20" s="133">
        <f>IF(SER_hh_fech!J20=0,0,SER_hh_fech!J20/SER_summary!J$26)</f>
        <v>50.492268041790716</v>
      </c>
      <c r="K20" s="133">
        <f>IF(SER_hh_fech!K20=0,0,SER_hh_fech!K20/SER_summary!K$26)</f>
        <v>49.249720421584058</v>
      </c>
      <c r="L20" s="133">
        <f>IF(SER_hh_fech!L20=0,0,SER_hh_fech!L20/SER_summary!L$26)</f>
        <v>46.109355896349292</v>
      </c>
      <c r="M20" s="133">
        <f>IF(SER_hh_fech!M20=0,0,SER_hh_fech!M20/SER_summary!M$26)</f>
        <v>45.409415808387507</v>
      </c>
      <c r="N20" s="133">
        <f>IF(SER_hh_fech!N20=0,0,SER_hh_fech!N20/SER_summary!N$26)</f>
        <v>45.94980840097962</v>
      </c>
      <c r="O20" s="133">
        <f>IF(SER_hh_fech!O20=0,0,SER_hh_fech!O20/SER_summary!O$26)</f>
        <v>45.166739589278642</v>
      </c>
      <c r="P20" s="133">
        <f>IF(SER_hh_fech!P20=0,0,SER_hh_fech!P20/SER_summary!P$26)</f>
        <v>47.899884749096458</v>
      </c>
      <c r="Q20" s="133">
        <f>IF(SER_hh_fech!Q20=0,0,SER_hh_fech!Q20/SER_summary!Q$26)</f>
        <v>54.324184703451564</v>
      </c>
      <c r="R20" s="133">
        <f>IF(SER_hh_fech!R20=0,0,SER_hh_fech!R20/SER_summary!R$26)</f>
        <v>33.039904072430183</v>
      </c>
      <c r="S20" s="133">
        <f>IF(SER_hh_fech!S20=0,0,SER_hh_fech!S20/SER_summary!S$26)</f>
        <v>42.719100542437651</v>
      </c>
      <c r="T20" s="133">
        <f>IF(SER_hh_fech!T20=0,0,SER_hh_fech!T20/SER_summary!T$26)</f>
        <v>46.15408245265548</v>
      </c>
      <c r="U20" s="133">
        <f>IF(SER_hh_fech!U20=0,0,SER_hh_fech!U20/SER_summary!U$26)</f>
        <v>66.487941626707894</v>
      </c>
      <c r="V20" s="133">
        <f>IF(SER_hh_fech!V20=0,0,SER_hh_fech!V20/SER_summary!V$26)</f>
        <v>28.430580982489762</v>
      </c>
      <c r="W20" s="133">
        <f>IF(SER_hh_fech!W20=0,0,SER_hh_fech!W20/SER_summary!W$26)</f>
        <v>48.680825485730118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0</v>
      </c>
      <c r="C22" s="133">
        <f>IF(SER_hh_fech!C22=0,0,SER_hh_fech!C22/SER_summary!C$26)</f>
        <v>0</v>
      </c>
      <c r="D22" s="133">
        <f>IF(SER_hh_fech!D22=0,0,SER_hh_fech!D22/SER_summary!D$26)</f>
        <v>0</v>
      </c>
      <c r="E22" s="133">
        <f>IF(SER_hh_fech!E22=0,0,SER_hh_fech!E22/SER_summary!E$26)</f>
        <v>0</v>
      </c>
      <c r="F22" s="133">
        <f>IF(SER_hh_fech!F22=0,0,SER_hh_fech!F22/SER_summary!F$26)</f>
        <v>0</v>
      </c>
      <c r="G22" s="133">
        <f>IF(SER_hh_fech!G22=0,0,SER_hh_fech!G22/SER_summary!G$26)</f>
        <v>0</v>
      </c>
      <c r="H22" s="133">
        <f>IF(SER_hh_fech!H22=0,0,SER_hh_fech!H22/SER_summary!H$26)</f>
        <v>0</v>
      </c>
      <c r="I22" s="133">
        <f>IF(SER_hh_fech!I22=0,0,SER_hh_fech!I22/SER_summary!I$26)</f>
        <v>0</v>
      </c>
      <c r="J22" s="133">
        <f>IF(SER_hh_fech!J22=0,0,SER_hh_fech!J22/SER_summary!J$26)</f>
        <v>0</v>
      </c>
      <c r="K22" s="133">
        <f>IF(SER_hh_fech!K22=0,0,SER_hh_fech!K22/SER_summary!K$26)</f>
        <v>0</v>
      </c>
      <c r="L22" s="133">
        <f>IF(SER_hh_fech!L22=0,0,SER_hh_fech!L22/SER_summary!L$26)</f>
        <v>0</v>
      </c>
      <c r="M22" s="133">
        <f>IF(SER_hh_fech!M22=0,0,SER_hh_fech!M22/SER_summary!M$26)</f>
        <v>0</v>
      </c>
      <c r="N22" s="133">
        <f>IF(SER_hh_fech!N22=0,0,SER_hh_fech!N22/SER_summary!N$26)</f>
        <v>0</v>
      </c>
      <c r="O22" s="133">
        <f>IF(SER_hh_fech!O22=0,0,SER_hh_fech!O22/SER_summary!O$26)</f>
        <v>0</v>
      </c>
      <c r="P22" s="133">
        <f>IF(SER_hh_fech!P22=0,0,SER_hh_fech!P22/SER_summary!P$26)</f>
        <v>0</v>
      </c>
      <c r="Q22" s="133">
        <f>IF(SER_hh_fech!Q22=0,0,SER_hh_fech!Q22/SER_summary!Q$26)</f>
        <v>0</v>
      </c>
      <c r="R22" s="133">
        <f>IF(SER_hh_fech!R22=0,0,SER_hh_fech!R22/SER_summary!R$26)</f>
        <v>0</v>
      </c>
      <c r="S22" s="133">
        <f>IF(SER_hh_fech!S22=0,0,SER_hh_fech!S22/SER_summary!S$26)</f>
        <v>0</v>
      </c>
      <c r="T22" s="133">
        <f>IF(SER_hh_fech!T22=0,0,SER_hh_fech!T22/SER_summary!T$26)</f>
        <v>0</v>
      </c>
      <c r="U22" s="133">
        <f>IF(SER_hh_fech!U22=0,0,SER_hh_fech!U22/SER_summary!U$26)</f>
        <v>0</v>
      </c>
      <c r="V22" s="133">
        <f>IF(SER_hh_fech!V22=0,0,SER_hh_fech!V22/SER_summary!V$26)</f>
        <v>0</v>
      </c>
      <c r="W22" s="133">
        <f>IF(SER_hh_fech!W22=0,0,SER_hh_fech!W22/SER_summary!W$26)</f>
        <v>0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36.770800913481828</v>
      </c>
      <c r="C23" s="133">
        <f>IF(SER_hh_fech!C23=0,0,SER_hh_fech!C23/SER_summary!C$26)</f>
        <v>57.807532399353001</v>
      </c>
      <c r="D23" s="133">
        <f>IF(SER_hh_fech!D23=0,0,SER_hh_fech!D23/SER_summary!D$26)</f>
        <v>57.06478235117914</v>
      </c>
      <c r="E23" s="133">
        <f>IF(SER_hh_fech!E23=0,0,SER_hh_fech!E23/SER_summary!E$26)</f>
        <v>50.936430308641647</v>
      </c>
      <c r="F23" s="133">
        <f>IF(SER_hh_fech!F23=0,0,SER_hh_fech!F23/SER_summary!F$26)</f>
        <v>52.881196463605953</v>
      </c>
      <c r="G23" s="133">
        <f>IF(SER_hh_fech!G23=0,0,SER_hh_fech!G23/SER_summary!G$26)</f>
        <v>50.653897818588113</v>
      </c>
      <c r="H23" s="133">
        <f>IF(SER_hh_fech!H23=0,0,SER_hh_fech!H23/SER_summary!H$26)</f>
        <v>50.161220438464078</v>
      </c>
      <c r="I23" s="133">
        <f>IF(SER_hh_fech!I23=0,0,SER_hh_fech!I23/SER_summary!I$26)</f>
        <v>53.083259646499492</v>
      </c>
      <c r="J23" s="133">
        <f>IF(SER_hh_fech!J23=0,0,SER_hh_fech!J23/SER_summary!J$26)</f>
        <v>51.591444746903498</v>
      </c>
      <c r="K23" s="133">
        <f>IF(SER_hh_fech!K23=0,0,SER_hh_fech!K23/SER_summary!K$26)</f>
        <v>49.487821068598784</v>
      </c>
      <c r="L23" s="133">
        <f>IF(SER_hh_fech!L23=0,0,SER_hh_fech!L23/SER_summary!L$26)</f>
        <v>50.475020867156317</v>
      </c>
      <c r="M23" s="133">
        <f>IF(SER_hh_fech!M23=0,0,SER_hh_fech!M23/SER_summary!M$26)</f>
        <v>45.930061040371648</v>
      </c>
      <c r="N23" s="133">
        <f>IF(SER_hh_fech!N23=0,0,SER_hh_fech!N23/SER_summary!N$26)</f>
        <v>51.281225689069935</v>
      </c>
      <c r="O23" s="133">
        <f>IF(SER_hh_fech!O23=0,0,SER_hh_fech!O23/SER_summary!O$26)</f>
        <v>51.169563340038906</v>
      </c>
      <c r="P23" s="133">
        <f>IF(SER_hh_fech!P23=0,0,SER_hh_fech!P23/SER_summary!P$26)</f>
        <v>51.227891982148179</v>
      </c>
      <c r="Q23" s="133">
        <f>IF(SER_hh_fech!Q23=0,0,SER_hh_fech!Q23/SER_summary!Q$26)</f>
        <v>51.673187993211421</v>
      </c>
      <c r="R23" s="133">
        <f>IF(SER_hh_fech!R23=0,0,SER_hh_fech!R23/SER_summary!R$26)</f>
        <v>51.688048570938676</v>
      </c>
      <c r="S23" s="133">
        <f>IF(SER_hh_fech!S23=0,0,SER_hh_fech!S23/SER_summary!S$26)</f>
        <v>48.954640116171248</v>
      </c>
      <c r="T23" s="133">
        <f>IF(SER_hh_fech!T23=0,0,SER_hh_fech!T23/SER_summary!T$26)</f>
        <v>46.587982901943349</v>
      </c>
      <c r="U23" s="133">
        <f>IF(SER_hh_fech!U23=0,0,SER_hh_fech!U23/SER_summary!U$26)</f>
        <v>42.333613581689079</v>
      </c>
      <c r="V23" s="133">
        <f>IF(SER_hh_fech!V23=0,0,SER_hh_fech!V23/SER_summary!V$26)</f>
        <v>30.269757738427014</v>
      </c>
      <c r="W23" s="133">
        <f>IF(SER_hh_fech!W23=0,0,SER_hh_fech!W23/SER_summary!W$26)</f>
        <v>53.113636042037989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33.724251018754813</v>
      </c>
      <c r="C25" s="133">
        <f>IF(SER_hh_fech!C25=0,0,SER_hh_fech!C25/SER_summary!C$26)</f>
        <v>33.960873128268837</v>
      </c>
      <c r="D25" s="133">
        <f>IF(SER_hh_fech!D25=0,0,SER_hh_fech!D25/SER_summary!D$26)</f>
        <v>37.381124618028267</v>
      </c>
      <c r="E25" s="133">
        <f>IF(SER_hh_fech!E25=0,0,SER_hh_fech!E25/SER_summary!E$26)</f>
        <v>39.929449473255332</v>
      </c>
      <c r="F25" s="133">
        <f>IF(SER_hh_fech!F25=0,0,SER_hh_fech!F25/SER_summary!F$26)</f>
        <v>51.755701623456908</v>
      </c>
      <c r="G25" s="133">
        <f>IF(SER_hh_fech!G25=0,0,SER_hh_fech!G25/SER_summary!G$26)</f>
        <v>38.367014703048092</v>
      </c>
      <c r="H25" s="133">
        <f>IF(SER_hh_fech!H25=0,0,SER_hh_fech!H25/SER_summary!H$26)</f>
        <v>34.380412654409149</v>
      </c>
      <c r="I25" s="133">
        <f>IF(SER_hh_fech!I25=0,0,SER_hh_fech!I25/SER_summary!I$26)</f>
        <v>36.350763587630126</v>
      </c>
      <c r="J25" s="133">
        <f>IF(SER_hh_fech!J25=0,0,SER_hh_fech!J25/SER_summary!J$26)</f>
        <v>37.138940162211256</v>
      </c>
      <c r="K25" s="133">
        <f>IF(SER_hh_fech!K25=0,0,SER_hh_fech!K25/SER_summary!K$26)</f>
        <v>38.586949960296018</v>
      </c>
      <c r="L25" s="133">
        <f>IF(SER_hh_fech!L25=0,0,SER_hh_fech!L25/SER_summary!L$26)</f>
        <v>37.608270347761135</v>
      </c>
      <c r="M25" s="133">
        <f>IF(SER_hh_fech!M25=0,0,SER_hh_fech!M25/SER_summary!M$26)</f>
        <v>38.874713878233472</v>
      </c>
      <c r="N25" s="133">
        <f>IF(SER_hh_fech!N25=0,0,SER_hh_fech!N25/SER_summary!N$26)</f>
        <v>42.395558051702302</v>
      </c>
      <c r="O25" s="133">
        <f>IF(SER_hh_fech!O25=0,0,SER_hh_fech!O25/SER_summary!O$26)</f>
        <v>31.435947337601441</v>
      </c>
      <c r="P25" s="133">
        <f>IF(SER_hh_fech!P25=0,0,SER_hh_fech!P25/SER_summary!P$26)</f>
        <v>32.435480026658546</v>
      </c>
      <c r="Q25" s="133">
        <f>IF(SER_hh_fech!Q25=0,0,SER_hh_fech!Q25/SER_summary!Q$26)</f>
        <v>15.361262407964876</v>
      </c>
      <c r="R25" s="133">
        <f>IF(SER_hh_fech!R25=0,0,SER_hh_fech!R25/SER_summary!R$26)</f>
        <v>50.829767390172478</v>
      </c>
      <c r="S25" s="133">
        <f>IF(SER_hh_fech!S25=0,0,SER_hh_fech!S25/SER_summary!S$26)</f>
        <v>46.759482065798579</v>
      </c>
      <c r="T25" s="133">
        <f>IF(SER_hh_fech!T25=0,0,SER_hh_fech!T25/SER_summary!T$26)</f>
        <v>44.083874137510477</v>
      </c>
      <c r="U25" s="133">
        <f>IF(SER_hh_fech!U25=0,0,SER_hh_fech!U25/SER_summary!U$26)</f>
        <v>40.38409613044093</v>
      </c>
      <c r="V25" s="133">
        <f>IF(SER_hh_fech!V25=0,0,SER_hh_fech!V25/SER_summary!V$26)</f>
        <v>27.898562311405776</v>
      </c>
      <c r="W25" s="133">
        <f>IF(SER_hh_fech!W25=0,0,SER_hh_fech!W25/SER_summary!W$26)</f>
        <v>37.277562354110877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46.588265166261678</v>
      </c>
      <c r="C26" s="65">
        <f>IF(SER_hh_fech!C26=0,0,SER_hh_fech!C26/SER_summary!C$26)</f>
        <v>43.899728898170579</v>
      </c>
      <c r="D26" s="65">
        <f>IF(SER_hh_fech!D26=0,0,SER_hh_fech!D26/SER_summary!D$26)</f>
        <v>42.907795389890211</v>
      </c>
      <c r="E26" s="65">
        <f>IF(SER_hh_fech!E26=0,0,SER_hh_fech!E26/SER_summary!E$26)</f>
        <v>44.289174987534018</v>
      </c>
      <c r="F26" s="65">
        <f>IF(SER_hh_fech!F26=0,0,SER_hh_fech!F26/SER_summary!F$26)</f>
        <v>38.655023247899827</v>
      </c>
      <c r="G26" s="65">
        <f>IF(SER_hh_fech!G26=0,0,SER_hh_fech!G26/SER_summary!G$26)</f>
        <v>46.446257463349625</v>
      </c>
      <c r="H26" s="65">
        <f>IF(SER_hh_fech!H26=0,0,SER_hh_fech!H26/SER_summary!H$26)</f>
        <v>47.864387946711226</v>
      </c>
      <c r="I26" s="65">
        <f>IF(SER_hh_fech!I26=0,0,SER_hh_fech!I26/SER_summary!I$26)</f>
        <v>43.876220569997969</v>
      </c>
      <c r="J26" s="65">
        <f>IF(SER_hh_fech!J26=0,0,SER_hh_fech!J26/SER_summary!J$26)</f>
        <v>43.299824022745426</v>
      </c>
      <c r="K26" s="65">
        <f>IF(SER_hh_fech!K26=0,0,SER_hh_fech!K26/SER_summary!K$26)</f>
        <v>45.79074278976308</v>
      </c>
      <c r="L26" s="65">
        <f>IF(SER_hh_fech!L26=0,0,SER_hh_fech!L26/SER_summary!L$26)</f>
        <v>45.579480557760505</v>
      </c>
      <c r="M26" s="65">
        <f>IF(SER_hh_fech!M26=0,0,SER_hh_fech!M26/SER_summary!M$26)</f>
        <v>46.239719224275021</v>
      </c>
      <c r="N26" s="65">
        <f>IF(SER_hh_fech!N26=0,0,SER_hh_fech!N26/SER_summary!N$26)</f>
        <v>43.54303703915928</v>
      </c>
      <c r="O26" s="65">
        <f>IF(SER_hh_fech!O26=0,0,SER_hh_fech!O26/SER_summary!O$26)</f>
        <v>45.241407448827019</v>
      </c>
      <c r="P26" s="65">
        <f>IF(SER_hh_fech!P26=0,0,SER_hh_fech!P26/SER_summary!P$26)</f>
        <v>44.332748326016564</v>
      </c>
      <c r="Q26" s="65">
        <f>IF(SER_hh_fech!Q26=0,0,SER_hh_fech!Q26/SER_summary!Q$26)</f>
        <v>45.637891605730339</v>
      </c>
      <c r="R26" s="65">
        <f>IF(SER_hh_fech!R26=0,0,SER_hh_fech!R26/SER_summary!R$26)</f>
        <v>40.534092552194643</v>
      </c>
      <c r="S26" s="65">
        <f>IF(SER_hh_fech!S26=0,0,SER_hh_fech!S26/SER_summary!S$26)</f>
        <v>41.375937218299555</v>
      </c>
      <c r="T26" s="65">
        <f>IF(SER_hh_fech!T26=0,0,SER_hh_fech!T26/SER_summary!T$26)</f>
        <v>40.560122042319485</v>
      </c>
      <c r="U26" s="65">
        <f>IF(SER_hh_fech!U26=0,0,SER_hh_fech!U26/SER_summary!U$26)</f>
        <v>39.576505702039235</v>
      </c>
      <c r="V26" s="65">
        <f>IF(SER_hh_fech!V26=0,0,SER_hh_fech!V26/SER_summary!V$26)</f>
        <v>39.787658808483492</v>
      </c>
      <c r="W26" s="65">
        <f>IF(SER_hh_fech!W26=0,0,SER_hh_fech!W26/SER_summary!W$26)</f>
        <v>35.031697049953685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9.3331109969898417E-3</v>
      </c>
      <c r="H27" s="146">
        <f>IF(SER_hh_fech!H27=0,0,SER_hh_fech!H27/SER_summary!H$26)</f>
        <v>8.9258051523270904E-3</v>
      </c>
      <c r="I27" s="146">
        <f>IF(SER_hh_fech!I27=0,0,SER_hh_fech!I27/SER_summary!I$26)</f>
        <v>8.4561295149543098E-3</v>
      </c>
      <c r="J27" s="146">
        <f>IF(SER_hh_fech!J27=0,0,SER_hh_fech!J27/SER_summary!J$26)</f>
        <v>8.1859817576271868E-3</v>
      </c>
      <c r="K27" s="146">
        <f>IF(SER_hh_fech!K27=0,0,SER_hh_fech!K27/SER_summary!K$26)</f>
        <v>8.1995193070188224E-3</v>
      </c>
      <c r="L27" s="146">
        <f>IF(SER_hh_fech!L27=0,0,SER_hh_fech!L27/SER_summary!L$26)</f>
        <v>0.15233017864158135</v>
      </c>
      <c r="M27" s="146">
        <f>IF(SER_hh_fech!M27=0,0,SER_hh_fech!M27/SER_summary!M$26)</f>
        <v>0.18259625484130484</v>
      </c>
      <c r="N27" s="146">
        <f>IF(SER_hh_fech!N27=0,0,SER_hh_fech!N27/SER_summary!N$26)</f>
        <v>0.18080165065634779</v>
      </c>
      <c r="O27" s="146">
        <f>IF(SER_hh_fech!O27=0,0,SER_hh_fech!O27/SER_summary!O$26)</f>
        <v>9.3509128945570771E-2</v>
      </c>
      <c r="P27" s="146">
        <f>IF(SER_hh_fech!P27=0,0,SER_hh_fech!P27/SER_summary!P$26)</f>
        <v>0.37056049681381342</v>
      </c>
      <c r="Q27" s="146">
        <f>IF(SER_hh_fech!Q27=0,0,SER_hh_fech!Q27/SER_summary!Q$26)</f>
        <v>0.25922926744883007</v>
      </c>
      <c r="R27" s="146">
        <f>IF(SER_hh_fech!R27=0,0,SER_hh_fech!R27/SER_summary!R$26)</f>
        <v>0.27123171908003274</v>
      </c>
      <c r="S27" s="146">
        <f>IF(SER_hh_fech!S27=0,0,SER_hh_fech!S27/SER_summary!S$26)</f>
        <v>0.20087463615844781</v>
      </c>
      <c r="T27" s="146">
        <f>IF(SER_hh_fech!T27=0,0,SER_hh_fech!T27/SER_summary!T$26)</f>
        <v>0.21267411865312208</v>
      </c>
      <c r="U27" s="146">
        <f>IF(SER_hh_fech!U27=0,0,SER_hh_fech!U27/SER_summary!U$26)</f>
        <v>0.21675579943146087</v>
      </c>
      <c r="V27" s="146">
        <f>IF(SER_hh_fech!V27=0,0,SER_hh_fech!V27/SER_summary!V$26)</f>
        <v>0.2208633564248525</v>
      </c>
      <c r="W27" s="146">
        <f>IF(SER_hh_fech!W27=0,0,SER_hh_fech!W27/SER_summary!W$26)</f>
        <v>0.22505873888070066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19.803011600721458</v>
      </c>
      <c r="H28" s="147">
        <f>IF(SER_hh_fech!H28=0,0,SER_hh_fech!H28/SER_summary!H$26)</f>
        <v>20.0027984002868</v>
      </c>
      <c r="I28" s="147">
        <f>IF(SER_hh_fech!I28=0,0,SER_hh_fech!I28/SER_summary!I$26)</f>
        <v>19.73709096155136</v>
      </c>
      <c r="J28" s="147">
        <f>IF(SER_hh_fech!J28=0,0,SER_hh_fech!J28/SER_summary!J$26)</f>
        <v>19.659209284407854</v>
      </c>
      <c r="K28" s="147">
        <f>IF(SER_hh_fech!K28=0,0,SER_hh_fech!K28/SER_summary!K$26)</f>
        <v>20.332256885284199</v>
      </c>
      <c r="L28" s="147">
        <f>IF(SER_hh_fech!L28=0,0,SER_hh_fech!L28/SER_summary!L$26)</f>
        <v>19.046762933542574</v>
      </c>
      <c r="M28" s="147">
        <f>IF(SER_hh_fech!M28=0,0,SER_hh_fech!M28/SER_summary!M$26)</f>
        <v>20.249583105684135</v>
      </c>
      <c r="N28" s="147">
        <f>IF(SER_hh_fech!N28=0,0,SER_hh_fech!N28/SER_summary!N$26)</f>
        <v>20.172804510866737</v>
      </c>
      <c r="O28" s="147">
        <f>IF(SER_hh_fech!O28=0,0,SER_hh_fech!O28/SER_summary!O$26)</f>
        <v>19.187840936800473</v>
      </c>
      <c r="P28" s="147">
        <f>IF(SER_hh_fech!P28=0,0,SER_hh_fech!P28/SER_summary!P$26)</f>
        <v>20.714704424838491</v>
      </c>
      <c r="Q28" s="147">
        <f>IF(SER_hh_fech!Q28=0,0,SER_hh_fech!Q28/SER_summary!Q$26)</f>
        <v>20.524094259269653</v>
      </c>
      <c r="R28" s="147">
        <f>IF(SER_hh_fech!R28=0,0,SER_hh_fech!R28/SER_summary!R$26)</f>
        <v>20.606338031765556</v>
      </c>
      <c r="S28" s="147">
        <f>IF(SER_hh_fech!S28=0,0,SER_hh_fech!S28/SER_summary!S$26)</f>
        <v>21.59676940606214</v>
      </c>
      <c r="T28" s="147">
        <f>IF(SER_hh_fech!T28=0,0,SER_hh_fech!T28/SER_summary!T$26)</f>
        <v>20.90519086391128</v>
      </c>
      <c r="U28" s="147">
        <f>IF(SER_hh_fech!U28=0,0,SER_hh_fech!U28/SER_summary!U$26)</f>
        <v>21.417284469794588</v>
      </c>
      <c r="V28" s="147">
        <f>IF(SER_hh_fech!V28=0,0,SER_hh_fech!V28/SER_summary!V$26)</f>
        <v>19.359241510156373</v>
      </c>
      <c r="W28" s="147">
        <f>IF(SER_hh_fech!W28=0,0,SER_hh_fech!W28/SER_summary!W$26)</f>
        <v>21.2425064203182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39.738158106711978</v>
      </c>
      <c r="C29" s="131">
        <f>IF(SER_hh_fech!C29=0,0,SER_hh_fech!C29/SER_summary!C$26)</f>
        <v>40.793294617920075</v>
      </c>
      <c r="D29" s="131">
        <f>IF(SER_hh_fech!D29=0,0,SER_hh_fech!D29/SER_summary!D$26)</f>
        <v>44.19991928284383</v>
      </c>
      <c r="E29" s="131">
        <f>IF(SER_hh_fech!E29=0,0,SER_hh_fech!E29/SER_summary!E$26)</f>
        <v>44.464948309263896</v>
      </c>
      <c r="F29" s="131">
        <f>IF(SER_hh_fech!F29=0,0,SER_hh_fech!F29/SER_summary!F$26)</f>
        <v>44.202904137028796</v>
      </c>
      <c r="G29" s="131">
        <f>IF(SER_hh_fech!G29=0,0,SER_hh_fech!G29/SER_summary!G$26)</f>
        <v>44.748957341148461</v>
      </c>
      <c r="H29" s="131">
        <f>IF(SER_hh_fech!H29=0,0,SER_hh_fech!H29/SER_summary!H$26)</f>
        <v>44.100718524813509</v>
      </c>
      <c r="I29" s="131">
        <f>IF(SER_hh_fech!I29=0,0,SER_hh_fech!I29/SER_summary!I$26)</f>
        <v>41.127143596691297</v>
      </c>
      <c r="J29" s="131">
        <f>IF(SER_hh_fech!J29=0,0,SER_hh_fech!J29/SER_summary!J$26)</f>
        <v>39.567573727908929</v>
      </c>
      <c r="K29" s="131">
        <f>IF(SER_hh_fech!K29=0,0,SER_hh_fech!K29/SER_summary!K$26)</f>
        <v>41.068280084882197</v>
      </c>
      <c r="L29" s="131">
        <f>IF(SER_hh_fech!L29=0,0,SER_hh_fech!L29/SER_summary!L$26)</f>
        <v>40.85106810605258</v>
      </c>
      <c r="M29" s="131">
        <f>IF(SER_hh_fech!M29=0,0,SER_hh_fech!M29/SER_summary!M$26)</f>
        <v>38.365184655719375</v>
      </c>
      <c r="N29" s="131">
        <f>IF(SER_hh_fech!N29=0,0,SER_hh_fech!N29/SER_summary!N$26)</f>
        <v>39.709547834758702</v>
      </c>
      <c r="O29" s="131">
        <f>IF(SER_hh_fech!O29=0,0,SER_hh_fech!O29/SER_summary!O$26)</f>
        <v>40.151534862150214</v>
      </c>
      <c r="P29" s="131">
        <f>IF(SER_hh_fech!P29=0,0,SER_hh_fech!P29/SER_summary!P$26)</f>
        <v>39.959884008455703</v>
      </c>
      <c r="Q29" s="131">
        <f>IF(SER_hh_fech!Q29=0,0,SER_hh_fech!Q29/SER_summary!Q$26)</f>
        <v>40.091168496081771</v>
      </c>
      <c r="R29" s="131">
        <f>IF(SER_hh_fech!R29=0,0,SER_hh_fech!R29/SER_summary!R$26)</f>
        <v>39.46125896482944</v>
      </c>
      <c r="S29" s="131">
        <f>IF(SER_hh_fech!S29=0,0,SER_hh_fech!S29/SER_summary!S$26)</f>
        <v>38.181652645882757</v>
      </c>
      <c r="T29" s="131">
        <f>IF(SER_hh_fech!T29=0,0,SER_hh_fech!T29/SER_summary!T$26)</f>
        <v>36.98787234062074</v>
      </c>
      <c r="U29" s="131">
        <f>IF(SER_hh_fech!U29=0,0,SER_hh_fech!U29/SER_summary!U$26)</f>
        <v>35.171992339139706</v>
      </c>
      <c r="V29" s="131">
        <f>IF(SER_hh_fech!V29=0,0,SER_hh_fech!V29/SER_summary!V$26)</f>
        <v>31.680389141791615</v>
      </c>
      <c r="W29" s="131">
        <f>IF(SER_hh_fech!W29=0,0,SER_hh_fech!W29/SER_summary!W$26)</f>
        <v>36.655724650980233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21.402619866859542</v>
      </c>
      <c r="C30" s="133">
        <f>IF(SER_hh_fech!C30=0,0,SER_hh_fech!C30/SER_summary!C$26)</f>
        <v>34.33571089370794</v>
      </c>
      <c r="D30" s="133">
        <f>IF(SER_hh_fech!D30=0,0,SER_hh_fech!D30/SER_summary!D$26)</f>
        <v>55.007777137640922</v>
      </c>
      <c r="E30" s="133">
        <f>IF(SER_hh_fech!E30=0,0,SER_hh_fech!E30/SER_summary!E$26)</f>
        <v>56.657649577197205</v>
      </c>
      <c r="F30" s="133">
        <f>IF(SER_hh_fech!F30=0,0,SER_hh_fech!F30/SER_summary!F$26)</f>
        <v>61.279479886269108</v>
      </c>
      <c r="G30" s="133">
        <f>IF(SER_hh_fech!G30=0,0,SER_hh_fech!G30/SER_summary!G$26)</f>
        <v>48.072937175826162</v>
      </c>
      <c r="H30" s="133">
        <f>IF(SER_hh_fech!H30=0,0,SER_hh_fech!H30/SER_summary!H$26)</f>
        <v>56.14818656369674</v>
      </c>
      <c r="I30" s="133">
        <f>IF(SER_hh_fech!I30=0,0,SER_hh_fech!I30/SER_summary!I$26)</f>
        <v>31.015209385548879</v>
      </c>
      <c r="J30" s="133">
        <f>IF(SER_hh_fech!J30=0,0,SER_hh_fech!J30/SER_summary!J$26)</f>
        <v>10.961689987771456</v>
      </c>
      <c r="K30" s="133">
        <f>IF(SER_hh_fech!K30=0,0,SER_hh_fech!K30/SER_summary!K$26)</f>
        <v>52.419606407459277</v>
      </c>
      <c r="L30" s="133">
        <f>IF(SER_hh_fech!L30=0,0,SER_hh_fech!L30/SER_summary!L$26)</f>
        <v>91.128923103663553</v>
      </c>
      <c r="M30" s="133">
        <f>IF(SER_hh_fech!M30=0,0,SER_hh_fech!M30/SER_summary!M$26)</f>
        <v>10.831652529900703</v>
      </c>
      <c r="N30" s="133">
        <f>IF(SER_hh_fech!N30=0,0,SER_hh_fech!N30/SER_summary!N$26)</f>
        <v>53.52510821387304</v>
      </c>
      <c r="O30" s="133">
        <f>IF(SER_hh_fech!O30=0,0,SER_hh_fech!O30/SER_summary!O$26)</f>
        <v>51.613505140881898</v>
      </c>
      <c r="P30" s="133">
        <f>IF(SER_hh_fech!P30=0,0,SER_hh_fech!P30/SER_summary!P$26)</f>
        <v>47.286904793034836</v>
      </c>
      <c r="Q30" s="133">
        <f>IF(SER_hh_fech!Q30=0,0,SER_hh_fech!Q30/SER_summary!Q$26)</f>
        <v>44.82056096315393</v>
      </c>
      <c r="R30" s="133">
        <f>IF(SER_hh_fech!R30=0,0,SER_hh_fech!R30/SER_summary!R$26)</f>
        <v>47.504737016802117</v>
      </c>
      <c r="S30" s="133">
        <f>IF(SER_hh_fech!S30=0,0,SER_hh_fech!S30/SER_summary!S$26)</f>
        <v>31.921118661998769</v>
      </c>
      <c r="T30" s="133">
        <f>IF(SER_hh_fech!T30=0,0,SER_hh_fech!T30/SER_summary!T$26)</f>
        <v>48.791744932221683</v>
      </c>
      <c r="U30" s="133">
        <f>IF(SER_hh_fech!U30=0,0,SER_hh_fech!U30/SER_summary!U$26)</f>
        <v>44.520268601381787</v>
      </c>
      <c r="V30" s="133">
        <f>IF(SER_hh_fech!V30=0,0,SER_hh_fech!V30/SER_summary!V$26)</f>
        <v>36.842243688598799</v>
      </c>
      <c r="W30" s="133">
        <f>IF(SER_hh_fech!W30=0,0,SER_hh_fech!W30/SER_summary!W$26)</f>
        <v>42.02857320879987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45.313565245567759</v>
      </c>
      <c r="C31" s="133">
        <f>IF(SER_hh_fech!C31=0,0,SER_hh_fech!C31/SER_summary!C$26)</f>
        <v>45.101307997249101</v>
      </c>
      <c r="D31" s="133">
        <f>IF(SER_hh_fech!D31=0,0,SER_hh_fech!D31/SER_summary!D$26)</f>
        <v>47.697962075354617</v>
      </c>
      <c r="E31" s="133">
        <f>IF(SER_hh_fech!E31=0,0,SER_hh_fech!E31/SER_summary!E$26)</f>
        <v>47.575939513822355</v>
      </c>
      <c r="F31" s="133">
        <f>IF(SER_hh_fech!F31=0,0,SER_hh_fech!F31/SER_summary!F$26)</f>
        <v>37.201305112926924</v>
      </c>
      <c r="G31" s="133">
        <f>IF(SER_hh_fech!G31=0,0,SER_hh_fech!G31/SER_summary!G$26)</f>
        <v>49.736761224790158</v>
      </c>
      <c r="H31" s="133">
        <f>IF(SER_hh_fech!H31=0,0,SER_hh_fech!H31/SER_summary!H$26)</f>
        <v>49.524124520564769</v>
      </c>
      <c r="I31" s="133">
        <f>IF(SER_hh_fech!I31=0,0,SER_hh_fech!I31/SER_summary!I$26)</f>
        <v>49.005310749006476</v>
      </c>
      <c r="J31" s="133">
        <f>IF(SER_hh_fech!J31=0,0,SER_hh_fech!J31/SER_summary!J$26)</f>
        <v>47.870660834435206</v>
      </c>
      <c r="K31" s="133">
        <f>IF(SER_hh_fech!K31=0,0,SER_hh_fech!K31/SER_summary!K$26)</f>
        <v>47.269748456943837</v>
      </c>
      <c r="L31" s="133">
        <f>IF(SER_hh_fech!L31=0,0,SER_hh_fech!L31/SER_summary!L$26)</f>
        <v>46.743173248328603</v>
      </c>
      <c r="M31" s="133">
        <f>IF(SER_hh_fech!M31=0,0,SER_hh_fech!M31/SER_summary!M$26)</f>
        <v>41.987960755807727</v>
      </c>
      <c r="N31" s="133">
        <f>IF(SER_hh_fech!N31=0,0,SER_hh_fech!N31/SER_summary!N$26)</f>
        <v>43.920625386804176</v>
      </c>
      <c r="O31" s="133">
        <f>IF(SER_hh_fech!O31=0,0,SER_hh_fech!O31/SER_summary!O$26)</f>
        <v>47.066638005196936</v>
      </c>
      <c r="P31" s="133">
        <f>IF(SER_hh_fech!P31=0,0,SER_hh_fech!P31/SER_summary!P$26)</f>
        <v>45.262251797011793</v>
      </c>
      <c r="Q31" s="133">
        <f>IF(SER_hh_fech!Q31=0,0,SER_hh_fech!Q31/SER_summary!Q$26)</f>
        <v>47.269008577011135</v>
      </c>
      <c r="R31" s="133">
        <f>IF(SER_hh_fech!R31=0,0,SER_hh_fech!R31/SER_summary!R$26)</f>
        <v>46.698540486973364</v>
      </c>
      <c r="S31" s="133">
        <f>IF(SER_hh_fech!S31=0,0,SER_hh_fech!S31/SER_summary!S$26)</f>
        <v>45.424695376666016</v>
      </c>
      <c r="T31" s="133">
        <f>IF(SER_hh_fech!T31=0,0,SER_hh_fech!T31/SER_summary!T$26)</f>
        <v>41.39555683007994</v>
      </c>
      <c r="U31" s="133">
        <f>IF(SER_hh_fech!U31=0,0,SER_hh_fech!U31/SER_summary!U$26)</f>
        <v>34.369410030574713</v>
      </c>
      <c r="V31" s="133">
        <f>IF(SER_hh_fech!V31=0,0,SER_hh_fech!V31/SER_summary!V$26)</f>
        <v>31.133522383048259</v>
      </c>
      <c r="W31" s="133">
        <f>IF(SER_hh_fech!W31=0,0,SER_hh_fech!W31/SER_summary!W$26)</f>
        <v>50.77517874123614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39.16995905948913</v>
      </c>
      <c r="C33" s="68">
        <f>IF(SER_hh_fech!C33=0,0,SER_hh_fech!C33/SER_summary!C$26)</f>
        <v>38.951694098301104</v>
      </c>
      <c r="D33" s="68">
        <f>IF(SER_hh_fech!D33=0,0,SER_hh_fech!D33/SER_summary!D$26)</f>
        <v>28.670168056023449</v>
      </c>
      <c r="E33" s="68">
        <f>IF(SER_hh_fech!E33=0,0,SER_hh_fech!E33/SER_summary!E$26)</f>
        <v>29.858998320889011</v>
      </c>
      <c r="F33" s="68">
        <f>IF(SER_hh_fech!F33=0,0,SER_hh_fech!F33/SER_summary!F$26)</f>
        <v>36.728014886192291</v>
      </c>
      <c r="G33" s="68">
        <f>IF(SER_hh_fech!G33=0,0,SER_hh_fech!G33/SER_summary!G$26)</f>
        <v>37.719799627765504</v>
      </c>
      <c r="H33" s="68">
        <f>IF(SER_hh_fech!H33=0,0,SER_hh_fech!H33/SER_summary!H$26)</f>
        <v>34.392999687444942</v>
      </c>
      <c r="I33" s="68">
        <f>IF(SER_hh_fech!I33=0,0,SER_hh_fech!I33/SER_summary!I$26)</f>
        <v>37.117683629459954</v>
      </c>
      <c r="J33" s="68">
        <f>IF(SER_hh_fech!J33=0,0,SER_hh_fech!J33/SER_summary!J$26)</f>
        <v>37.305272603645975</v>
      </c>
      <c r="K33" s="68">
        <f>IF(SER_hh_fech!K33=0,0,SER_hh_fech!K33/SER_summary!K$26)</f>
        <v>35.344516028802452</v>
      </c>
      <c r="L33" s="68">
        <f>IF(SER_hh_fech!L33=0,0,SER_hh_fech!L33/SER_summary!L$26)</f>
        <v>30.679199524844176</v>
      </c>
      <c r="M33" s="68">
        <f>IF(SER_hh_fech!M33=0,0,SER_hh_fech!M33/SER_summary!M$26)</f>
        <v>39.362722845381349</v>
      </c>
      <c r="N33" s="68">
        <f>IF(SER_hh_fech!N33=0,0,SER_hh_fech!N33/SER_summary!N$26)</f>
        <v>35.001890037978143</v>
      </c>
      <c r="O33" s="68">
        <f>IF(SER_hh_fech!O33=0,0,SER_hh_fech!O33/SER_summary!O$26)</f>
        <v>33.091312068212495</v>
      </c>
      <c r="P33" s="68">
        <f>IF(SER_hh_fech!P33=0,0,SER_hh_fech!P33/SER_summary!P$26)</f>
        <v>34.048024275701167</v>
      </c>
      <c r="Q33" s="68">
        <f>IF(SER_hh_fech!Q33=0,0,SER_hh_fech!Q33/SER_summary!Q$26)</f>
        <v>32.421944074778345</v>
      </c>
      <c r="R33" s="68">
        <f>IF(SER_hh_fech!R33=0,0,SER_hh_fech!R33/SER_summary!R$26)</f>
        <v>31.865424418734822</v>
      </c>
      <c r="S33" s="68">
        <f>IF(SER_hh_fech!S33=0,0,SER_hh_fech!S33/SER_summary!S$26)</f>
        <v>32.614892723611355</v>
      </c>
      <c r="T33" s="68">
        <f>IF(SER_hh_fech!T33=0,0,SER_hh_fech!T33/SER_summary!T$26)</f>
        <v>33.096795929413297</v>
      </c>
      <c r="U33" s="68">
        <f>IF(SER_hh_fech!U33=0,0,SER_hh_fech!U33/SER_summary!U$26)</f>
        <v>35.386906713037078</v>
      </c>
      <c r="V33" s="68">
        <f>IF(SER_hh_fech!V33=0,0,SER_hh_fech!V33/SER_summary!V$26)</f>
        <v>31.905103958105329</v>
      </c>
      <c r="W33" s="68">
        <f>IF(SER_hh_fech!W33=0,0,SER_hh_fech!W33/SER_summary!W$26)</f>
        <v>27.309610193718147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499.24104680101982</v>
      </c>
      <c r="C3" s="126">
        <f>IF(SER_hh_tesh!C3=0,0,SER_hh_tesh!C3/SER_summary!C$26)</f>
        <v>396.83376334416596</v>
      </c>
      <c r="D3" s="126">
        <f>IF(SER_hh_tesh!D3=0,0,SER_hh_tesh!D3/SER_summary!D$26)</f>
        <v>363.40093640747921</v>
      </c>
      <c r="E3" s="126">
        <f>IF(SER_hh_tesh!E3=0,0,SER_hh_tesh!E3/SER_summary!E$26)</f>
        <v>291.80820993988408</v>
      </c>
      <c r="F3" s="126">
        <f>IF(SER_hh_tesh!F3=0,0,SER_hh_tesh!F3/SER_summary!F$26)</f>
        <v>329.99203835078407</v>
      </c>
      <c r="G3" s="126">
        <f>IF(SER_hh_tesh!G3=0,0,SER_hh_tesh!G3/SER_summary!G$26)</f>
        <v>377.19493269275785</v>
      </c>
      <c r="H3" s="126">
        <f>IF(SER_hh_tesh!H3=0,0,SER_hh_tesh!H3/SER_summary!H$26)</f>
        <v>389.24381111223528</v>
      </c>
      <c r="I3" s="126">
        <f>IF(SER_hh_tesh!I3=0,0,SER_hh_tesh!I3/SER_summary!I$26)</f>
        <v>372.28509840962136</v>
      </c>
      <c r="J3" s="126">
        <f>IF(SER_hh_tesh!J3=0,0,SER_hh_tesh!J3/SER_summary!J$26)</f>
        <v>375.95264179204133</v>
      </c>
      <c r="K3" s="126">
        <f>IF(SER_hh_tesh!K3=0,0,SER_hh_tesh!K3/SER_summary!K$26)</f>
        <v>386.89429057522</v>
      </c>
      <c r="L3" s="126">
        <f>IF(SER_hh_tesh!L3=0,0,SER_hh_tesh!L3/SER_summary!L$26)</f>
        <v>415.24372451968713</v>
      </c>
      <c r="M3" s="126">
        <f>IF(SER_hh_tesh!M3=0,0,SER_hh_tesh!M3/SER_summary!M$26)</f>
        <v>314.13796254592847</v>
      </c>
      <c r="N3" s="126">
        <f>IF(SER_hh_tesh!N3=0,0,SER_hh_tesh!N3/SER_summary!N$26)</f>
        <v>275.54165468685875</v>
      </c>
      <c r="O3" s="126">
        <f>IF(SER_hh_tesh!O3=0,0,SER_hh_tesh!O3/SER_summary!O$26)</f>
        <v>331.08194389678869</v>
      </c>
      <c r="P3" s="126">
        <f>IF(SER_hh_tesh!P3=0,0,SER_hh_tesh!P3/SER_summary!P$26)</f>
        <v>224.20872497000872</v>
      </c>
      <c r="Q3" s="126">
        <f>IF(SER_hh_tesh!Q3=0,0,SER_hh_tesh!Q3/SER_summary!Q$26)</f>
        <v>237.06976844567862</v>
      </c>
      <c r="R3" s="126">
        <f>IF(SER_hh_tesh!R3=0,0,SER_hh_tesh!R3/SER_summary!R$26)</f>
        <v>241.42979803807782</v>
      </c>
      <c r="S3" s="126">
        <f>IF(SER_hh_tesh!S3=0,0,SER_hh_tesh!S3/SER_summary!S$26)</f>
        <v>264.55680186888441</v>
      </c>
      <c r="T3" s="126">
        <f>IF(SER_hh_tesh!T3=0,0,SER_hh_tesh!T3/SER_summary!T$26)</f>
        <v>239.48888329955702</v>
      </c>
      <c r="U3" s="126">
        <f>IF(SER_hh_tesh!U3=0,0,SER_hh_tesh!U3/SER_summary!U$26)</f>
        <v>216.05325902919762</v>
      </c>
      <c r="V3" s="126">
        <f>IF(SER_hh_tesh!V3=0,0,SER_hh_tesh!V3/SER_summary!V$26)</f>
        <v>192.76638828933235</v>
      </c>
      <c r="W3" s="126">
        <f>IF(SER_hh_tesh!W3=0,0,SER_hh_tesh!W3/SER_summary!W$26)</f>
        <v>255.03450556248154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439.68000348543666</v>
      </c>
      <c r="C4" s="131">
        <f>IF(SER_hh_tesh!C4=0,0,SER_hh_tesh!C4/SER_summary!C$26)</f>
        <v>337.25220738548501</v>
      </c>
      <c r="D4" s="131">
        <f>IF(SER_hh_tesh!D4=0,0,SER_hh_tesh!D4/SER_summary!D$26)</f>
        <v>301.57386933126077</v>
      </c>
      <c r="E4" s="131">
        <f>IF(SER_hh_tesh!E4=0,0,SER_hh_tesh!E4/SER_summary!E$26)</f>
        <v>228.90825589448204</v>
      </c>
      <c r="F4" s="131">
        <f>IF(SER_hh_tesh!F4=0,0,SER_hh_tesh!F4/SER_summary!F$26)</f>
        <v>266.63901613358883</v>
      </c>
      <c r="G4" s="131">
        <f>IF(SER_hh_tesh!G4=0,0,SER_hh_tesh!G4/SER_summary!G$26)</f>
        <v>312.32859868877495</v>
      </c>
      <c r="H4" s="131">
        <f>IF(SER_hh_tesh!H4=0,0,SER_hh_tesh!H4/SER_summary!H$26)</f>
        <v>324.00762909137575</v>
      </c>
      <c r="I4" s="131">
        <f>IF(SER_hh_tesh!I4=0,0,SER_hh_tesh!I4/SER_summary!I$26)</f>
        <v>307.9949138332521</v>
      </c>
      <c r="J4" s="131">
        <f>IF(SER_hh_tesh!J4=0,0,SER_hh_tesh!J4/SER_summary!J$26)</f>
        <v>312.54154305448287</v>
      </c>
      <c r="K4" s="131">
        <f>IF(SER_hh_tesh!K4=0,0,SER_hh_tesh!K4/SER_summary!K$26)</f>
        <v>321.47421753283601</v>
      </c>
      <c r="L4" s="131">
        <f>IF(SER_hh_tesh!L4=0,0,SER_hh_tesh!L4/SER_summary!L$26)</f>
        <v>349.80784687624759</v>
      </c>
      <c r="M4" s="131">
        <f>IF(SER_hh_tesh!M4=0,0,SER_hh_tesh!M4/SER_summary!M$26)</f>
        <v>249.32103612287165</v>
      </c>
      <c r="N4" s="131">
        <f>IF(SER_hh_tesh!N4=0,0,SER_hh_tesh!N4/SER_summary!N$26)</f>
        <v>209.24042249604247</v>
      </c>
      <c r="O4" s="131">
        <f>IF(SER_hh_tesh!O4=0,0,SER_hh_tesh!O4/SER_summary!O$26)</f>
        <v>265.1088778684661</v>
      </c>
      <c r="P4" s="131">
        <f>IF(SER_hh_tesh!P4=0,0,SER_hh_tesh!P4/SER_summary!P$26)</f>
        <v>158.41470345301923</v>
      </c>
      <c r="Q4" s="131">
        <f>IF(SER_hh_tesh!Q4=0,0,SER_hh_tesh!Q4/SER_summary!Q$26)</f>
        <v>170.33537627940768</v>
      </c>
      <c r="R4" s="131">
        <f>IF(SER_hh_tesh!R4=0,0,SER_hh_tesh!R4/SER_summary!R$26)</f>
        <v>175.66314452384611</v>
      </c>
      <c r="S4" s="131">
        <f>IF(SER_hh_tesh!S4=0,0,SER_hh_tesh!S4/SER_summary!S$26)</f>
        <v>198.3398834006048</v>
      </c>
      <c r="T4" s="131">
        <f>IF(SER_hh_tesh!T4=0,0,SER_hh_tesh!T4/SER_summary!T$26)</f>
        <v>173.96659875245786</v>
      </c>
      <c r="U4" s="131">
        <f>IF(SER_hh_tesh!U4=0,0,SER_hh_tesh!U4/SER_summary!U$26)</f>
        <v>150.99084493638779</v>
      </c>
      <c r="V4" s="131">
        <f>IF(SER_hh_tesh!V4=0,0,SER_hh_tesh!V4/SER_summary!V$26)</f>
        <v>133.83709049669852</v>
      </c>
      <c r="W4" s="131">
        <f>IF(SER_hh_tesh!W4=0,0,SER_hh_tesh!W4/SER_summary!W$26)</f>
        <v>190.16864344067415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360.66147591828695</v>
      </c>
      <c r="C5" s="133">
        <f>IF(SER_hh_tesh!C5=0,0,SER_hh_tesh!C5/SER_summary!C$26)</f>
        <v>303.4791764152298</v>
      </c>
      <c r="D5" s="133">
        <f>IF(SER_hh_tesh!D5=0,0,SER_hh_tesh!D5/SER_summary!D$26)</f>
        <v>404.36840432770134</v>
      </c>
      <c r="E5" s="133">
        <f>IF(SER_hh_tesh!E5=0,0,SER_hh_tesh!E5/SER_summary!E$26)</f>
        <v>96.870270507840857</v>
      </c>
      <c r="F5" s="133">
        <f>IF(SER_hh_tesh!F5=0,0,SER_hh_tesh!F5/SER_summary!F$26)</f>
        <v>379.67778003340641</v>
      </c>
      <c r="G5" s="133">
        <f>IF(SER_hh_tesh!G5=0,0,SER_hh_tesh!G5/SER_summary!G$26)</f>
        <v>88.581836433248853</v>
      </c>
      <c r="H5" s="133">
        <f>IF(SER_hh_tesh!H5=0,0,SER_hh_tesh!H5/SER_summary!H$26)</f>
        <v>215.85802341057428</v>
      </c>
      <c r="I5" s="133">
        <f>IF(SER_hh_tesh!I5=0,0,SER_hh_tesh!I5/SER_summary!I$26)</f>
        <v>262.22439428094896</v>
      </c>
      <c r="J5" s="133">
        <f>IF(SER_hh_tesh!J5=0,0,SER_hh_tesh!J5/SER_summary!J$26)</f>
        <v>277.80512405335469</v>
      </c>
      <c r="K5" s="133">
        <f>IF(SER_hh_tesh!K5=0,0,SER_hh_tesh!K5/SER_summary!K$26)</f>
        <v>507.84139645487335</v>
      </c>
      <c r="L5" s="133">
        <f>IF(SER_hh_tesh!L5=0,0,SER_hh_tesh!L5/SER_summary!L$26)</f>
        <v>278.67432981761937</v>
      </c>
      <c r="M5" s="133">
        <f>IF(SER_hh_tesh!M5=0,0,SER_hh_tesh!M5/SER_summary!M$26)</f>
        <v>325.38700425789222</v>
      </c>
      <c r="N5" s="133">
        <f>IF(SER_hh_tesh!N5=0,0,SER_hh_tesh!N5/SER_summary!N$26)</f>
        <v>122.42812228761414</v>
      </c>
      <c r="O5" s="133">
        <f>IF(SER_hh_tesh!O5=0,0,SER_hh_tesh!O5/SER_summary!O$26)</f>
        <v>256.01745329990399</v>
      </c>
      <c r="P5" s="133">
        <f>IF(SER_hh_tesh!P5=0,0,SER_hh_tesh!P5/SER_summary!P$26)</f>
        <v>176.66752326731466</v>
      </c>
      <c r="Q5" s="133">
        <f>IF(SER_hh_tesh!Q5=0,0,SER_hh_tesh!Q5/SER_summary!Q$26)</f>
        <v>193.75569362020082</v>
      </c>
      <c r="R5" s="133">
        <f>IF(SER_hh_tesh!R5=0,0,SER_hh_tesh!R5/SER_summary!R$26)</f>
        <v>126.68942812658494</v>
      </c>
      <c r="S5" s="133">
        <f>IF(SER_hh_tesh!S5=0,0,SER_hh_tesh!S5/SER_summary!S$26)</f>
        <v>156.27203858653286</v>
      </c>
      <c r="T5" s="133">
        <f>IF(SER_hh_tesh!T5=0,0,SER_hh_tesh!T5/SER_summary!T$26)</f>
        <v>166.4305600857688</v>
      </c>
      <c r="U5" s="133">
        <f>IF(SER_hh_tesh!U5=0,0,SER_hh_tesh!U5/SER_summary!U$26)</f>
        <v>241.14917492327822</v>
      </c>
      <c r="V5" s="133">
        <f>IF(SER_hh_tesh!V5=0,0,SER_hh_tesh!V5/SER_summary!V$26)</f>
        <v>97.986906697958446</v>
      </c>
      <c r="W5" s="133">
        <f>IF(SER_hh_tesh!W5=0,0,SER_hh_tesh!W5/SER_summary!W$26)</f>
        <v>155.13391006534354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52.356902297091999</v>
      </c>
      <c r="C7" s="133">
        <f>IF(SER_hh_tesh!C7=0,0,SER_hh_tesh!C7/SER_summary!C$26)</f>
        <v>447.39330005118416</v>
      </c>
      <c r="D7" s="133">
        <f>IF(SER_hh_tesh!D7=0,0,SER_hh_tesh!D7/SER_summary!D$26)</f>
        <v>316.3563325595365</v>
      </c>
      <c r="E7" s="133">
        <f>IF(SER_hh_tesh!E7=0,0,SER_hh_tesh!E7/SER_summary!E$26)</f>
        <v>116.36008729176073</v>
      </c>
      <c r="F7" s="133">
        <f>IF(SER_hh_tesh!F7=0,0,SER_hh_tesh!F7/SER_summary!F$26)</f>
        <v>309.43151864293725</v>
      </c>
      <c r="G7" s="133">
        <f>IF(SER_hh_tesh!G7=0,0,SER_hh_tesh!G7/SER_summary!G$26)</f>
        <v>370.86757431251209</v>
      </c>
      <c r="H7" s="133">
        <f>IF(SER_hh_tesh!H7=0,0,SER_hh_tesh!H7/SER_summary!H$26)</f>
        <v>317.19101635081444</v>
      </c>
      <c r="I7" s="133">
        <f>IF(SER_hh_tesh!I7=0,0,SER_hh_tesh!I7/SER_summary!I$26)</f>
        <v>33.673838517241641</v>
      </c>
      <c r="J7" s="133">
        <f>IF(SER_hh_tesh!J7=0,0,SER_hh_tesh!J7/SER_summary!J$26)</f>
        <v>208.02681837913613</v>
      </c>
      <c r="K7" s="133">
        <f>IF(SER_hh_tesh!K7=0,0,SER_hh_tesh!K7/SER_summary!K$26)</f>
        <v>615.47137235183777</v>
      </c>
      <c r="L7" s="133">
        <f>IF(SER_hh_tesh!L7=0,0,SER_hh_tesh!L7/SER_summary!L$26)</f>
        <v>0</v>
      </c>
      <c r="M7" s="133">
        <f>IF(SER_hh_tesh!M7=0,0,SER_hh_tesh!M7/SER_summary!M$26)</f>
        <v>0</v>
      </c>
      <c r="N7" s="133">
        <f>IF(SER_hh_tesh!N7=0,0,SER_hh_tesh!N7/SER_summary!N$26)</f>
        <v>0</v>
      </c>
      <c r="O7" s="133">
        <f>IF(SER_hh_tesh!O7=0,0,SER_hh_tesh!O7/SER_summary!O$26)</f>
        <v>84.471866576503075</v>
      </c>
      <c r="P7" s="133">
        <f>IF(SER_hh_tesh!P7=0,0,SER_hh_tesh!P7/SER_summary!P$26)</f>
        <v>215.6630553534271</v>
      </c>
      <c r="Q7" s="133">
        <f>IF(SER_hh_tesh!Q7=0,0,SER_hh_tesh!Q7/SER_summary!Q$26)</f>
        <v>221.07665497103969</v>
      </c>
      <c r="R7" s="133">
        <f>IF(SER_hh_tesh!R7=0,0,SER_hh_tesh!R7/SER_summary!R$26)</f>
        <v>147.5459024037757</v>
      </c>
      <c r="S7" s="133">
        <f>IF(SER_hh_tesh!S7=0,0,SER_hh_tesh!S7/SER_summary!S$26)</f>
        <v>117.02764831291653</v>
      </c>
      <c r="T7" s="133">
        <f>IF(SER_hh_tesh!T7=0,0,SER_hh_tesh!T7/SER_summary!T$26)</f>
        <v>80.70204649030029</v>
      </c>
      <c r="U7" s="133">
        <f>IF(SER_hh_tesh!U7=0,0,SER_hh_tesh!U7/SER_summary!U$26)</f>
        <v>208.62389509775508</v>
      </c>
      <c r="V7" s="133">
        <f>IF(SER_hh_tesh!V7=0,0,SER_hh_tesh!V7/SER_summary!V$26)</f>
        <v>122.96412753767514</v>
      </c>
      <c r="W7" s="133">
        <f>IF(SER_hh_tesh!W7=0,0,SER_hh_tesh!W7/SER_summary!W$26)</f>
        <v>125.64694889337567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351.32235859882383</v>
      </c>
      <c r="C8" s="133">
        <f>IF(SER_hh_tesh!C8=0,0,SER_hh_tesh!C8/SER_summary!C$26)</f>
        <v>322.97807512796817</v>
      </c>
      <c r="D8" s="133">
        <f>IF(SER_hh_tesh!D8=0,0,SER_hh_tesh!D8/SER_summary!D$26)</f>
        <v>251.87696646640541</v>
      </c>
      <c r="E8" s="133">
        <f>IF(SER_hh_tesh!E8=0,0,SER_hh_tesh!E8/SER_summary!E$26)</f>
        <v>263.7737019868502</v>
      </c>
      <c r="F8" s="133">
        <f>IF(SER_hh_tesh!F8=0,0,SER_hh_tesh!F8/SER_summary!F$26)</f>
        <v>286.58248974063292</v>
      </c>
      <c r="G8" s="133">
        <f>IF(SER_hh_tesh!G8=0,0,SER_hh_tesh!G8/SER_summary!G$26)</f>
        <v>301.43890402474966</v>
      </c>
      <c r="H8" s="133">
        <f>IF(SER_hh_tesh!H8=0,0,SER_hh_tesh!H8/SER_summary!H$26)</f>
        <v>320.65241291585926</v>
      </c>
      <c r="I8" s="133">
        <f>IF(SER_hh_tesh!I8=0,0,SER_hh_tesh!I8/SER_summary!I$26)</f>
        <v>310.10792951431154</v>
      </c>
      <c r="J8" s="133">
        <f>IF(SER_hh_tesh!J8=0,0,SER_hh_tesh!J8/SER_summary!J$26)</f>
        <v>297.57954365032538</v>
      </c>
      <c r="K8" s="133">
        <f>IF(SER_hh_tesh!K8=0,0,SER_hh_tesh!K8/SER_summary!K$26)</f>
        <v>286.87791435280803</v>
      </c>
      <c r="L8" s="133">
        <f>IF(SER_hh_tesh!L8=0,0,SER_hh_tesh!L8/SER_summary!L$26)</f>
        <v>257.60808360617699</v>
      </c>
      <c r="M8" s="133">
        <f>IF(SER_hh_tesh!M8=0,0,SER_hh_tesh!M8/SER_summary!M$26)</f>
        <v>247.01363354365617</v>
      </c>
      <c r="N8" s="133">
        <f>IF(SER_hh_tesh!N8=0,0,SER_hh_tesh!N8/SER_summary!N$26)</f>
        <v>193.92003537223545</v>
      </c>
      <c r="O8" s="133">
        <f>IF(SER_hh_tesh!O8=0,0,SER_hh_tesh!O8/SER_summary!O$26)</f>
        <v>212.73499361709054</v>
      </c>
      <c r="P8" s="133">
        <f>IF(SER_hh_tesh!P8=0,0,SER_hh_tesh!P8/SER_summary!P$26)</f>
        <v>182.72008858043969</v>
      </c>
      <c r="Q8" s="133">
        <f>IF(SER_hh_tesh!Q8=0,0,SER_hh_tesh!Q8/SER_summary!Q$26)</f>
        <v>192.7137946267049</v>
      </c>
      <c r="R8" s="133">
        <f>IF(SER_hh_tesh!R8=0,0,SER_hh_tesh!R8/SER_summary!R$26)</f>
        <v>172.93438601903608</v>
      </c>
      <c r="S8" s="133">
        <f>IF(SER_hh_tesh!S8=0,0,SER_hh_tesh!S8/SER_summary!S$26)</f>
        <v>174.38666356889397</v>
      </c>
      <c r="T8" s="133">
        <f>IF(SER_hh_tesh!T8=0,0,SER_hh_tesh!T8/SER_summary!T$26)</f>
        <v>164.95505543779853</v>
      </c>
      <c r="U8" s="133">
        <f>IF(SER_hh_tesh!U8=0,0,SER_hh_tesh!U8/SER_summary!U$26)</f>
        <v>140.00320679802036</v>
      </c>
      <c r="V8" s="133">
        <f>IF(SER_hh_tesh!V8=0,0,SER_hh_tesh!V8/SER_summary!V$26)</f>
        <v>151.69897903208994</v>
      </c>
      <c r="W8" s="133">
        <f>IF(SER_hh_tesh!W8=0,0,SER_hh_tesh!W8/SER_summary!W$26)</f>
        <v>161.6095989429158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528.80016570178441</v>
      </c>
      <c r="C9" s="133">
        <f>IF(SER_hh_tesh!C9=0,0,SER_hh_tesh!C9/SER_summary!C$26)</f>
        <v>308.84706576530374</v>
      </c>
      <c r="D9" s="133">
        <f>IF(SER_hh_tesh!D9=0,0,SER_hh_tesh!D9/SER_summary!D$26)</f>
        <v>231.85755410717036</v>
      </c>
      <c r="E9" s="133">
        <f>IF(SER_hh_tesh!E9=0,0,SER_hh_tesh!E9/SER_summary!E$26)</f>
        <v>244.64754578897563</v>
      </c>
      <c r="F9" s="133">
        <f>IF(SER_hh_tesh!F9=0,0,SER_hh_tesh!F9/SER_summary!F$26)</f>
        <v>147.48060300928498</v>
      </c>
      <c r="G9" s="133">
        <f>IF(SER_hh_tesh!G9=0,0,SER_hh_tesh!G9/SER_summary!G$26)</f>
        <v>371.93254914628432</v>
      </c>
      <c r="H9" s="133">
        <f>IF(SER_hh_tesh!H9=0,0,SER_hh_tesh!H9/SER_summary!H$26)</f>
        <v>356.48684407077212</v>
      </c>
      <c r="I9" s="133">
        <f>IF(SER_hh_tesh!I9=0,0,SER_hh_tesh!I9/SER_summary!I$26)</f>
        <v>313.83684657900341</v>
      </c>
      <c r="J9" s="133">
        <f>IF(SER_hh_tesh!J9=0,0,SER_hh_tesh!J9/SER_summary!J$26)</f>
        <v>328.85215922796539</v>
      </c>
      <c r="K9" s="133">
        <f>IF(SER_hh_tesh!K9=0,0,SER_hh_tesh!K9/SER_summary!K$26)</f>
        <v>236.11850112929579</v>
      </c>
      <c r="L9" s="133">
        <f>IF(SER_hh_tesh!L9=0,0,SER_hh_tesh!L9/SER_summary!L$26)</f>
        <v>380.05645783182581</v>
      </c>
      <c r="M9" s="133">
        <f>IF(SER_hh_tesh!M9=0,0,SER_hh_tesh!M9/SER_summary!M$26)</f>
        <v>145.60073738184713</v>
      </c>
      <c r="N9" s="133">
        <f>IF(SER_hh_tesh!N9=0,0,SER_hh_tesh!N9/SER_summary!N$26)</f>
        <v>243.56119468010166</v>
      </c>
      <c r="O9" s="133">
        <f>IF(SER_hh_tesh!O9=0,0,SER_hh_tesh!O9/SER_summary!O$26)</f>
        <v>283.71707872387486</v>
      </c>
      <c r="P9" s="133">
        <f>IF(SER_hh_tesh!P9=0,0,SER_hh_tesh!P9/SER_summary!P$26)</f>
        <v>159.70563167008652</v>
      </c>
      <c r="Q9" s="133">
        <f>IF(SER_hh_tesh!Q9=0,0,SER_hh_tesh!Q9/SER_summary!Q$26)</f>
        <v>177.26145675346498</v>
      </c>
      <c r="R9" s="133">
        <f>IF(SER_hh_tesh!R9=0,0,SER_hh_tesh!R9/SER_summary!R$26)</f>
        <v>174.42185656830509</v>
      </c>
      <c r="S9" s="133">
        <f>IF(SER_hh_tesh!S9=0,0,SER_hh_tesh!S9/SER_summary!S$26)</f>
        <v>198.16653274527897</v>
      </c>
      <c r="T9" s="133">
        <f>IF(SER_hh_tesh!T9=0,0,SER_hh_tesh!T9/SER_summary!T$26)</f>
        <v>173.509685278311</v>
      </c>
      <c r="U9" s="133">
        <f>IF(SER_hh_tesh!U9=0,0,SER_hh_tesh!U9/SER_summary!U$26)</f>
        <v>139.59325575123555</v>
      </c>
      <c r="V9" s="133">
        <f>IF(SER_hh_tesh!V9=0,0,SER_hh_tesh!V9/SER_summary!V$26)</f>
        <v>130.0495479039096</v>
      </c>
      <c r="W9" s="133">
        <f>IF(SER_hh_tesh!W9=0,0,SER_hh_tesh!W9/SER_summary!W$26)</f>
        <v>199.41257051728044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4.2282655288303159</v>
      </c>
      <c r="C10" s="133">
        <f>IF(SER_hh_tesh!C10=0,0,SER_hh_tesh!C10/SER_summary!C$26)</f>
        <v>540.42936821767762</v>
      </c>
      <c r="D10" s="133">
        <f>IF(SER_hh_tesh!D10=0,0,SER_hh_tesh!D10/SER_summary!D$26)</f>
        <v>184.8897575203334</v>
      </c>
      <c r="E10" s="133">
        <f>IF(SER_hh_tesh!E10=0,0,SER_hh_tesh!E10/SER_summary!E$26)</f>
        <v>205.49463097113315</v>
      </c>
      <c r="F10" s="133">
        <f>IF(SER_hh_tesh!F10=0,0,SER_hh_tesh!F10/SER_summary!F$26)</f>
        <v>287.84959068656548</v>
      </c>
      <c r="G10" s="133">
        <f>IF(SER_hh_tesh!G10=0,0,SER_hh_tesh!G10/SER_summary!G$26)</f>
        <v>136.77759545632856</v>
      </c>
      <c r="H10" s="133">
        <f>IF(SER_hh_tesh!H10=0,0,SER_hh_tesh!H10/SER_summary!H$26)</f>
        <v>106.64037436608331</v>
      </c>
      <c r="I10" s="133">
        <f>IF(SER_hh_tesh!I10=0,0,SER_hh_tesh!I10/SER_summary!I$26)</f>
        <v>47.851143799211862</v>
      </c>
      <c r="J10" s="133">
        <f>IF(SER_hh_tesh!J10=0,0,SER_hh_tesh!J10/SER_summary!J$26)</f>
        <v>367.0686065474124</v>
      </c>
      <c r="K10" s="133">
        <f>IF(SER_hh_tesh!K10=0,0,SER_hh_tesh!K10/SER_summary!K$26)</f>
        <v>383.98017673471355</v>
      </c>
      <c r="L10" s="133">
        <f>IF(SER_hh_tesh!L10=0,0,SER_hh_tesh!L10/SER_summary!L$26)</f>
        <v>352.2559629385006</v>
      </c>
      <c r="M10" s="133">
        <f>IF(SER_hh_tesh!M10=0,0,SER_hh_tesh!M10/SER_summary!M$26)</f>
        <v>182.8285123754861</v>
      </c>
      <c r="N10" s="133">
        <f>IF(SER_hh_tesh!N10=0,0,SER_hh_tesh!N10/SER_summary!N$26)</f>
        <v>216.65862245896045</v>
      </c>
      <c r="O10" s="133">
        <f>IF(SER_hh_tesh!O10=0,0,SER_hh_tesh!O10/SER_summary!O$26)</f>
        <v>118.39196762906997</v>
      </c>
      <c r="P10" s="133">
        <f>IF(SER_hh_tesh!P10=0,0,SER_hh_tesh!P10/SER_summary!P$26)</f>
        <v>298.93687742519216</v>
      </c>
      <c r="Q10" s="133">
        <f>IF(SER_hh_tesh!Q10=0,0,SER_hh_tesh!Q10/SER_summary!Q$26)</f>
        <v>169.87470665954692</v>
      </c>
      <c r="R10" s="133">
        <f>IF(SER_hh_tesh!R10=0,0,SER_hh_tesh!R10/SER_summary!R$26)</f>
        <v>60.636021569299849</v>
      </c>
      <c r="S10" s="133">
        <f>IF(SER_hh_tesh!S10=0,0,SER_hh_tesh!S10/SER_summary!S$26)</f>
        <v>201.1635194754432</v>
      </c>
      <c r="T10" s="133">
        <f>IF(SER_hh_tesh!T10=0,0,SER_hh_tesh!T10/SER_summary!T$26)</f>
        <v>167.10411428205745</v>
      </c>
      <c r="U10" s="133">
        <f>IF(SER_hh_tesh!U10=0,0,SER_hh_tesh!U10/SER_summary!U$26)</f>
        <v>153.51190047974453</v>
      </c>
      <c r="V10" s="133">
        <f>IF(SER_hh_tesh!V10=0,0,SER_hh_tesh!V10/SER_summary!V$26)</f>
        <v>159.55006027672678</v>
      </c>
      <c r="W10" s="133">
        <f>IF(SER_hh_tesh!W10=0,0,SER_hh_tesh!W10/SER_summary!W$26)</f>
        <v>172.65008463848636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431.98142080658084</v>
      </c>
      <c r="D11" s="133">
        <f>IF(SER_hh_tesh!D11=0,0,SER_hh_tesh!D11/SER_summary!D$26)</f>
        <v>302.92707345656402</v>
      </c>
      <c r="E11" s="133">
        <f>IF(SER_hh_tesh!E11=0,0,SER_hh_tesh!E11/SER_summary!E$26)</f>
        <v>268.86740413229222</v>
      </c>
      <c r="F11" s="133">
        <f>IF(SER_hh_tesh!F11=0,0,SER_hh_tesh!F11/SER_summary!F$26)</f>
        <v>250.58294225928231</v>
      </c>
      <c r="G11" s="133">
        <f>IF(SER_hh_tesh!G11=0,0,SER_hh_tesh!G11/SER_summary!G$26)</f>
        <v>282.99645348832991</v>
      </c>
      <c r="H11" s="133">
        <f>IF(SER_hh_tesh!H11=0,0,SER_hh_tesh!H11/SER_summary!H$26)</f>
        <v>338.05201663174421</v>
      </c>
      <c r="I11" s="133">
        <f>IF(SER_hh_tesh!I11=0,0,SER_hh_tesh!I11/SER_summary!I$26)</f>
        <v>316.24759089286096</v>
      </c>
      <c r="J11" s="133">
        <f>IF(SER_hh_tesh!J11=0,0,SER_hh_tesh!J11/SER_summary!J$26)</f>
        <v>321.73550934584205</v>
      </c>
      <c r="K11" s="133">
        <f>IF(SER_hh_tesh!K11=0,0,SER_hh_tesh!K11/SER_summary!K$26)</f>
        <v>316.95999302041031</v>
      </c>
      <c r="L11" s="133">
        <f>IF(SER_hh_tesh!L11=0,0,SER_hh_tesh!L11/SER_summary!L$26)</f>
        <v>325.24231786349299</v>
      </c>
      <c r="M11" s="133">
        <f>IF(SER_hh_tesh!M11=0,0,SER_hh_tesh!M11/SER_summary!M$26)</f>
        <v>264.22134092098742</v>
      </c>
      <c r="N11" s="133">
        <f>IF(SER_hh_tesh!N11=0,0,SER_hh_tesh!N11/SER_summary!N$26)</f>
        <v>209.75376369801967</v>
      </c>
      <c r="O11" s="133">
        <f>IF(SER_hh_tesh!O11=0,0,SER_hh_tesh!O11/SER_summary!O$26)</f>
        <v>239.84707528878764</v>
      </c>
      <c r="P11" s="133">
        <f>IF(SER_hh_tesh!P11=0,0,SER_hh_tesh!P11/SER_summary!P$26)</f>
        <v>163.18861999677668</v>
      </c>
      <c r="Q11" s="133">
        <f>IF(SER_hh_tesh!Q11=0,0,SER_hh_tesh!Q11/SER_summary!Q$26)</f>
        <v>168.35454470729127</v>
      </c>
      <c r="R11" s="133">
        <f>IF(SER_hh_tesh!R11=0,0,SER_hh_tesh!R11/SER_summary!R$26)</f>
        <v>189.78556335682674</v>
      </c>
      <c r="S11" s="133">
        <f>IF(SER_hh_tesh!S11=0,0,SER_hh_tesh!S11/SER_summary!S$26)</f>
        <v>189.01365441096019</v>
      </c>
      <c r="T11" s="133">
        <f>IF(SER_hh_tesh!T11=0,0,SER_hh_tesh!T11/SER_summary!T$26)</f>
        <v>184.79463887085382</v>
      </c>
      <c r="U11" s="133">
        <f>IF(SER_hh_tesh!U11=0,0,SER_hh_tesh!U11/SER_summary!U$26)</f>
        <v>224.73449719499391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420.29916145148985</v>
      </c>
      <c r="C12" s="133">
        <f>IF(SER_hh_tesh!C12=0,0,SER_hh_tesh!C12/SER_summary!C$26)</f>
        <v>312.68954821899138</v>
      </c>
      <c r="D12" s="133">
        <f>IF(SER_hh_tesh!D12=0,0,SER_hh_tesh!D12/SER_summary!D$26)</f>
        <v>307.38012069674556</v>
      </c>
      <c r="E12" s="133">
        <f>IF(SER_hh_tesh!E12=0,0,SER_hh_tesh!E12/SER_summary!E$26)</f>
        <v>226.16413617249495</v>
      </c>
      <c r="F12" s="133">
        <f>IF(SER_hh_tesh!F12=0,0,SER_hh_tesh!F12/SER_summary!F$26)</f>
        <v>340.7493409311594</v>
      </c>
      <c r="G12" s="133">
        <f>IF(SER_hh_tesh!G12=0,0,SER_hh_tesh!G12/SER_summary!G$26)</f>
        <v>304.51630198169903</v>
      </c>
      <c r="H12" s="133">
        <f>IF(SER_hh_tesh!H12=0,0,SER_hh_tesh!H12/SER_summary!H$26)</f>
        <v>302.39255598103597</v>
      </c>
      <c r="I12" s="133">
        <f>IF(SER_hh_tesh!I12=0,0,SER_hh_tesh!I12/SER_summary!I$26)</f>
        <v>292.57768802769198</v>
      </c>
      <c r="J12" s="133">
        <f>IF(SER_hh_tesh!J12=0,0,SER_hh_tesh!J12/SER_summary!J$26)</f>
        <v>297.4316401831403</v>
      </c>
      <c r="K12" s="133">
        <f>IF(SER_hh_tesh!K12=0,0,SER_hh_tesh!K12/SER_summary!K$26)</f>
        <v>322.47023084134179</v>
      </c>
      <c r="L12" s="133">
        <f>IF(SER_hh_tesh!L12=0,0,SER_hh_tesh!L12/SER_summary!L$26)</f>
        <v>356.60040550433121</v>
      </c>
      <c r="M12" s="133">
        <f>IF(SER_hh_tesh!M12=0,0,SER_hh_tesh!M12/SER_summary!M$26)</f>
        <v>292.6931439396497</v>
      </c>
      <c r="N12" s="133">
        <f>IF(SER_hh_tesh!N12=0,0,SER_hh_tesh!N12/SER_summary!N$26)</f>
        <v>208.38721068737109</v>
      </c>
      <c r="O12" s="133">
        <f>IF(SER_hh_tesh!O12=0,0,SER_hh_tesh!O12/SER_summary!O$26)</f>
        <v>199.12887886529219</v>
      </c>
      <c r="P12" s="133">
        <f>IF(SER_hh_tesh!P12=0,0,SER_hh_tesh!P12/SER_summary!P$26)</f>
        <v>119.16556465043431</v>
      </c>
      <c r="Q12" s="133">
        <f>IF(SER_hh_tesh!Q12=0,0,SER_hh_tesh!Q12/SER_summary!Q$26)</f>
        <v>64.575301765355491</v>
      </c>
      <c r="R12" s="133">
        <f>IF(SER_hh_tesh!R12=0,0,SER_hh_tesh!R12/SER_summary!R$26)</f>
        <v>221.68163384347142</v>
      </c>
      <c r="S12" s="133">
        <f>IF(SER_hh_tesh!S12=0,0,SER_hh_tesh!S12/SER_summary!S$26)</f>
        <v>189.03160733866306</v>
      </c>
      <c r="T12" s="133">
        <f>IF(SER_hh_tesh!T12=0,0,SER_hh_tesh!T12/SER_summary!T$26)</f>
        <v>167.0266956803724</v>
      </c>
      <c r="U12" s="133">
        <f>IF(SER_hh_tesh!U12=0,0,SER_hh_tesh!U12/SER_summary!U$26)</f>
        <v>145.56965930590954</v>
      </c>
      <c r="V12" s="133">
        <f>IF(SER_hh_tesh!V12=0,0,SER_hh_tesh!V12/SER_summary!V$26)</f>
        <v>137.04157279156141</v>
      </c>
      <c r="W12" s="133">
        <f>IF(SER_hh_tesh!W12=0,0,SER_hh_tesh!W12/SER_summary!W$26)</f>
        <v>190.77454048180812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113.24744370940839</v>
      </c>
      <c r="C13" s="133">
        <f>IF(SER_hh_tesh!C13=0,0,SER_hh_tesh!C13/SER_summary!C$26)</f>
        <v>328.53578744993916</v>
      </c>
      <c r="D13" s="133">
        <f>IF(SER_hh_tesh!D13=0,0,SER_hh_tesh!D13/SER_summary!D$26)</f>
        <v>289.89611830021988</v>
      </c>
      <c r="E13" s="133">
        <f>IF(SER_hh_tesh!E13=0,0,SER_hh_tesh!E13/SER_summary!E$26)</f>
        <v>239.60495210968642</v>
      </c>
      <c r="F13" s="133">
        <f>IF(SER_hh_tesh!F13=0,0,SER_hh_tesh!F13/SER_summary!F$26)</f>
        <v>304.60147413461726</v>
      </c>
      <c r="G13" s="133">
        <f>IF(SER_hh_tesh!G13=0,0,SER_hh_tesh!G13/SER_summary!G$26)</f>
        <v>289.83369988158245</v>
      </c>
      <c r="H13" s="133">
        <f>IF(SER_hh_tesh!H13=0,0,SER_hh_tesh!H13/SER_summary!H$26)</f>
        <v>271.92905401988088</v>
      </c>
      <c r="I13" s="133">
        <f>IF(SER_hh_tesh!I13=0,0,SER_hh_tesh!I13/SER_summary!I$26)</f>
        <v>313.95660677296303</v>
      </c>
      <c r="J13" s="133">
        <f>IF(SER_hh_tesh!J13=0,0,SER_hh_tesh!J13/SER_summary!J$26)</f>
        <v>265.70338440858012</v>
      </c>
      <c r="K13" s="133">
        <f>IF(SER_hh_tesh!K13=0,0,SER_hh_tesh!K13/SER_summary!K$26)</f>
        <v>254.38392752112401</v>
      </c>
      <c r="L13" s="133">
        <f>IF(SER_hh_tesh!L13=0,0,SER_hh_tesh!L13/SER_summary!L$26)</f>
        <v>240.49836448115065</v>
      </c>
      <c r="M13" s="133">
        <f>IF(SER_hh_tesh!M13=0,0,SER_hh_tesh!M13/SER_summary!M$26)</f>
        <v>261.17359873354087</v>
      </c>
      <c r="N13" s="133">
        <f>IF(SER_hh_tesh!N13=0,0,SER_hh_tesh!N13/SER_summary!N$26)</f>
        <v>230.57321658412704</v>
      </c>
      <c r="O13" s="133">
        <f>IF(SER_hh_tesh!O13=0,0,SER_hh_tesh!O13/SER_summary!O$26)</f>
        <v>181.94884518134259</v>
      </c>
      <c r="P13" s="133">
        <f>IF(SER_hh_tesh!P13=0,0,SER_hh_tesh!P13/SER_summary!P$26)</f>
        <v>138.97724459482205</v>
      </c>
      <c r="Q13" s="133">
        <f>IF(SER_hh_tesh!Q13=0,0,SER_hh_tesh!Q13/SER_summary!Q$26)</f>
        <v>208.56632791415967</v>
      </c>
      <c r="R13" s="133">
        <f>IF(SER_hh_tesh!R13=0,0,SER_hh_tesh!R13/SER_summary!R$26)</f>
        <v>184.88737311549127</v>
      </c>
      <c r="S13" s="133">
        <f>IF(SER_hh_tesh!S13=0,0,SER_hh_tesh!S13/SER_summary!S$26)</f>
        <v>181.63366514341541</v>
      </c>
      <c r="T13" s="133">
        <f>IF(SER_hh_tesh!T13=0,0,SER_hh_tesh!T13/SER_summary!T$26)</f>
        <v>167.78807202705951</v>
      </c>
      <c r="U13" s="133">
        <f>IF(SER_hh_tesh!U13=0,0,SER_hh_tesh!U13/SER_summary!U$26)</f>
        <v>140.14228158552083</v>
      </c>
      <c r="V13" s="133">
        <f>IF(SER_hh_tesh!V13=0,0,SER_hh_tesh!V13/SER_summary!V$26)</f>
        <v>151.08134629936785</v>
      </c>
      <c r="W13" s="133">
        <f>IF(SER_hh_tesh!W13=0,0,SER_hh_tesh!W13/SER_summary!W$26)</f>
        <v>168.80886022636111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270.70252561840618</v>
      </c>
      <c r="C14" s="65">
        <f>IF(SER_hh_tesh!C14=0,0,SER_hh_tesh!C14/SER_summary!C$26)</f>
        <v>383.79478560873116</v>
      </c>
      <c r="D14" s="65">
        <f>IF(SER_hh_tesh!D14=0,0,SER_hh_tesh!D14/SER_summary!D$26)</f>
        <v>332.20248726780881</v>
      </c>
      <c r="E14" s="65">
        <f>IF(SER_hh_tesh!E14=0,0,SER_hh_tesh!E14/SER_summary!E$26)</f>
        <v>243.18509324409897</v>
      </c>
      <c r="F14" s="65">
        <f>IF(SER_hh_tesh!F14=0,0,SER_hh_tesh!F14/SER_summary!F$26)</f>
        <v>319.94886819339251</v>
      </c>
      <c r="G14" s="65">
        <f>IF(SER_hh_tesh!G14=0,0,SER_hh_tesh!G14/SER_summary!G$26)</f>
        <v>249.25935733867405</v>
      </c>
      <c r="H14" s="65">
        <f>IF(SER_hh_tesh!H14=0,0,SER_hh_tesh!H14/SER_summary!H$26)</f>
        <v>277.79510887592028</v>
      </c>
      <c r="I14" s="65">
        <f>IF(SER_hh_tesh!I14=0,0,SER_hh_tesh!I14/SER_summary!I$26)</f>
        <v>326.37340535260665</v>
      </c>
      <c r="J14" s="65">
        <f>IF(SER_hh_tesh!J14=0,0,SER_hh_tesh!J14/SER_summary!J$26)</f>
        <v>294.56238315110897</v>
      </c>
      <c r="K14" s="65">
        <f>IF(SER_hh_tesh!K14=0,0,SER_hh_tesh!K14/SER_summary!K$26)</f>
        <v>292.48348285719118</v>
      </c>
      <c r="L14" s="65">
        <f>IF(SER_hh_tesh!L14=0,0,SER_hh_tesh!L14/SER_summary!L$26)</f>
        <v>342.32230651074565</v>
      </c>
      <c r="M14" s="65">
        <f>IF(SER_hh_tesh!M14=0,0,SER_hh_tesh!M14/SER_summary!M$26)</f>
        <v>321.50631858252621</v>
      </c>
      <c r="N14" s="65">
        <f>IF(SER_hh_tesh!N14=0,0,SER_hh_tesh!N14/SER_summary!N$26)</f>
        <v>181.08306237934497</v>
      </c>
      <c r="O14" s="65">
        <f>IF(SER_hh_tesh!O14=0,0,SER_hh_tesh!O14/SER_summary!O$26)</f>
        <v>265.43741662950094</v>
      </c>
      <c r="P14" s="65">
        <f>IF(SER_hh_tesh!P14=0,0,SER_hh_tesh!P14/SER_summary!P$26)</f>
        <v>150.03396606188142</v>
      </c>
      <c r="Q14" s="65">
        <f>IF(SER_hh_tesh!Q14=0,0,SER_hh_tesh!Q14/SER_summary!Q$26)</f>
        <v>176.34740235034764</v>
      </c>
      <c r="R14" s="65">
        <f>IF(SER_hh_tesh!R14=0,0,SER_hh_tesh!R14/SER_summary!R$26)</f>
        <v>178.32135790659677</v>
      </c>
      <c r="S14" s="65">
        <f>IF(SER_hh_tesh!S14=0,0,SER_hh_tesh!S14/SER_summary!S$26)</f>
        <v>210.412353211463</v>
      </c>
      <c r="T14" s="65">
        <f>IF(SER_hh_tesh!T14=0,0,SER_hh_tesh!T14/SER_summary!T$26)</f>
        <v>177.3269881034764</v>
      </c>
      <c r="U14" s="65">
        <f>IF(SER_hh_tesh!U14=0,0,SER_hh_tesh!U14/SER_summary!U$26)</f>
        <v>137.42447854712898</v>
      </c>
      <c r="V14" s="65">
        <f>IF(SER_hh_tesh!V14=0,0,SER_hh_tesh!V14/SER_summary!V$26)</f>
        <v>141.23652333449451</v>
      </c>
      <c r="W14" s="65">
        <f>IF(SER_hh_tesh!W14=0,0,SER_hh_tesh!W14/SER_summary!W$26)</f>
        <v>183.82124738282951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7.7936361488136487</v>
      </c>
      <c r="C15" s="135">
        <f>IF(SER_hh_tesh!C15=0,0,SER_hh_tesh!C15/SER_summary!C$26)</f>
        <v>4.677361421064437</v>
      </c>
      <c r="D15" s="135">
        <f>IF(SER_hh_tesh!D15=0,0,SER_hh_tesh!D15/SER_summary!D$26)</f>
        <v>3.5138798650943666</v>
      </c>
      <c r="E15" s="135">
        <f>IF(SER_hh_tesh!E15=0,0,SER_hh_tesh!E15/SER_summary!E$26)</f>
        <v>2.9002771779835101</v>
      </c>
      <c r="F15" s="135">
        <f>IF(SER_hh_tesh!F15=0,0,SER_hh_tesh!F15/SER_summary!F$26)</f>
        <v>2.4911867931054736</v>
      </c>
      <c r="G15" s="135">
        <f>IF(SER_hh_tesh!G15=0,0,SER_hh_tesh!G15/SER_summary!G$26)</f>
        <v>4.6704253515753926</v>
      </c>
      <c r="H15" s="135">
        <f>IF(SER_hh_tesh!H15=0,0,SER_hh_tesh!H15/SER_summary!H$26)</f>
        <v>4.7594607104708997</v>
      </c>
      <c r="I15" s="135">
        <f>IF(SER_hh_tesh!I15=0,0,SER_hh_tesh!I15/SER_summary!I$26)</f>
        <v>4.1531945144161897</v>
      </c>
      <c r="J15" s="135">
        <f>IF(SER_hh_tesh!J15=0,0,SER_hh_tesh!J15/SER_summary!J$26)</f>
        <v>4.1456949044567013</v>
      </c>
      <c r="K15" s="135">
        <f>IF(SER_hh_tesh!K15=0,0,SER_hh_tesh!K15/SER_summary!K$26)</f>
        <v>3.5603148333948442</v>
      </c>
      <c r="L15" s="135">
        <f>IF(SER_hh_tesh!L15=0,0,SER_hh_tesh!L15/SER_summary!L$26)</f>
        <v>4.2318098458993063</v>
      </c>
      <c r="M15" s="135">
        <f>IF(SER_hh_tesh!M15=0,0,SER_hh_tesh!M15/SER_summary!M$26)</f>
        <v>2.230310839264424</v>
      </c>
      <c r="N15" s="135">
        <f>IF(SER_hh_tesh!N15=0,0,SER_hh_tesh!N15/SER_summary!N$26)</f>
        <v>2.8960122770794214</v>
      </c>
      <c r="O15" s="135">
        <f>IF(SER_hh_tesh!O15=0,0,SER_hh_tesh!O15/SER_summary!O$26)</f>
        <v>3.5799054149063605</v>
      </c>
      <c r="P15" s="135">
        <f>IF(SER_hh_tesh!P15=0,0,SER_hh_tesh!P15/SER_summary!P$26)</f>
        <v>2.12693775406987</v>
      </c>
      <c r="Q15" s="135">
        <f>IF(SER_hh_tesh!Q15=0,0,SER_hh_tesh!Q15/SER_summary!Q$26)</f>
        <v>2.3013786230237061</v>
      </c>
      <c r="R15" s="135">
        <f>IF(SER_hh_tesh!R15=0,0,SER_hh_tesh!R15/SER_summary!R$26)</f>
        <v>2.2792694996090024</v>
      </c>
      <c r="S15" s="135">
        <f>IF(SER_hh_tesh!S15=0,0,SER_hh_tesh!S15/SER_summary!S$26)</f>
        <v>2.5467511116561199</v>
      </c>
      <c r="T15" s="135">
        <f>IF(SER_hh_tesh!T15=0,0,SER_hh_tesh!T15/SER_summary!T$26)</f>
        <v>2.1965347142259839</v>
      </c>
      <c r="U15" s="135">
        <f>IF(SER_hh_tesh!U15=0,0,SER_hh_tesh!U15/SER_summary!U$26)</f>
        <v>1.8842272201131451</v>
      </c>
      <c r="V15" s="135">
        <f>IF(SER_hh_tesh!V15=0,0,SER_hh_tesh!V15/SER_summary!V$26)</f>
        <v>1.6091675456969374</v>
      </c>
      <c r="W15" s="135">
        <f>IF(SER_hh_tesh!W15=0,0,SER_hh_tesh!W15/SER_summary!W$26)</f>
        <v>2.4219231194838406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30.499401623880324</v>
      </c>
      <c r="C16" s="131">
        <f>IF(SER_hh_tesh!C16=0,0,SER_hh_tesh!C16/SER_summary!C$26)</f>
        <v>29.957977314102486</v>
      </c>
      <c r="D16" s="131">
        <f>IF(SER_hh_tesh!D16=0,0,SER_hh_tesh!D16/SER_summary!D$26)</f>
        <v>30.49195018260566</v>
      </c>
      <c r="E16" s="131">
        <f>IF(SER_hh_tesh!E16=0,0,SER_hh_tesh!E16/SER_summary!E$26)</f>
        <v>30.83135858365651</v>
      </c>
      <c r="F16" s="131">
        <f>IF(SER_hh_tesh!F16=0,0,SER_hh_tesh!F16/SER_summary!F$26)</f>
        <v>29.720087449725483</v>
      </c>
      <c r="G16" s="131">
        <f>IF(SER_hh_tesh!G16=0,0,SER_hh_tesh!G16/SER_summary!G$26)</f>
        <v>29.976666992650838</v>
      </c>
      <c r="H16" s="131">
        <f>IF(SER_hh_tesh!H16=0,0,SER_hh_tesh!H16/SER_summary!H$26)</f>
        <v>30.83220943938905</v>
      </c>
      <c r="I16" s="131">
        <f>IF(SER_hh_tesh!I16=0,0,SER_hh_tesh!I16/SER_summary!I$26)</f>
        <v>31.999772733376464</v>
      </c>
      <c r="J16" s="131">
        <f>IF(SER_hh_tesh!J16=0,0,SER_hh_tesh!J16/SER_summary!J$26)</f>
        <v>30.001817827349889</v>
      </c>
      <c r="K16" s="131">
        <f>IF(SER_hh_tesh!K16=0,0,SER_hh_tesh!K16/SER_summary!K$26)</f>
        <v>30.256483631826036</v>
      </c>
      <c r="L16" s="131">
        <f>IF(SER_hh_tesh!L16=0,0,SER_hh_tesh!L16/SER_summary!L$26)</f>
        <v>31.44049324184094</v>
      </c>
      <c r="M16" s="131">
        <f>IF(SER_hh_tesh!M16=0,0,SER_hh_tesh!M16/SER_summary!M$26)</f>
        <v>30.781157331789991</v>
      </c>
      <c r="N16" s="131">
        <f>IF(SER_hh_tesh!N16=0,0,SER_hh_tesh!N16/SER_summary!N$26)</f>
        <v>34.035840894788926</v>
      </c>
      <c r="O16" s="131">
        <f>IF(SER_hh_tesh!O16=0,0,SER_hh_tesh!O16/SER_summary!O$26)</f>
        <v>32.896949707336468</v>
      </c>
      <c r="P16" s="131">
        <f>IF(SER_hh_tesh!P16=0,0,SER_hh_tesh!P16/SER_summary!P$26)</f>
        <v>30.431827292812695</v>
      </c>
      <c r="Q16" s="131">
        <f>IF(SER_hh_tesh!Q16=0,0,SER_hh_tesh!Q16/SER_summary!Q$26)</f>
        <v>36.067311552007226</v>
      </c>
      <c r="R16" s="131">
        <f>IF(SER_hh_tesh!R16=0,0,SER_hh_tesh!R16/SER_summary!R$26)</f>
        <v>30.789754075927185</v>
      </c>
      <c r="S16" s="131">
        <f>IF(SER_hh_tesh!S16=0,0,SER_hh_tesh!S16/SER_summary!S$26)</f>
        <v>32.944496738346722</v>
      </c>
      <c r="T16" s="131">
        <f>IF(SER_hh_tesh!T16=0,0,SER_hh_tesh!T16/SER_summary!T$26)</f>
        <v>32.415564899263458</v>
      </c>
      <c r="U16" s="131">
        <f>IF(SER_hh_tesh!U16=0,0,SER_hh_tesh!U16/SER_summary!U$26)</f>
        <v>33.506212614247502</v>
      </c>
      <c r="V16" s="131">
        <f>IF(SER_hh_tesh!V16=0,0,SER_hh_tesh!V16/SER_summary!V$26)</f>
        <v>30.69728348032427</v>
      </c>
      <c r="W16" s="131">
        <f>IF(SER_hh_tesh!W16=0,0,SER_hh_tesh!W16/SER_summary!W$26)</f>
        <v>33.309868219790857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30.499401623880313</v>
      </c>
      <c r="C17" s="133">
        <f>IF(SER_hh_tesh!C17=0,0,SER_hh_tesh!C17/SER_summary!C$26)</f>
        <v>29.958106351032413</v>
      </c>
      <c r="D17" s="133">
        <f>IF(SER_hh_tesh!D17=0,0,SER_hh_tesh!D17/SER_summary!D$26)</f>
        <v>30.491966243302851</v>
      </c>
      <c r="E17" s="133">
        <f>IF(SER_hh_tesh!E17=0,0,SER_hh_tesh!E17/SER_summary!E$26)</f>
        <v>30.831323716151481</v>
      </c>
      <c r="F17" s="133">
        <f>IF(SER_hh_tesh!F17=0,0,SER_hh_tesh!F17/SER_summary!F$26)</f>
        <v>29.720036413425927</v>
      </c>
      <c r="G17" s="133">
        <f>IF(SER_hh_tesh!G17=0,0,SER_hh_tesh!G17/SER_summary!G$26)</f>
        <v>29.976620399341602</v>
      </c>
      <c r="H17" s="133">
        <f>IF(SER_hh_tesh!H17=0,0,SER_hh_tesh!H17/SER_summary!H$26)</f>
        <v>30.832181571063842</v>
      </c>
      <c r="I17" s="133">
        <f>IF(SER_hh_tesh!I17=0,0,SER_hh_tesh!I17/SER_summary!I$26)</f>
        <v>31.999769655321344</v>
      </c>
      <c r="J17" s="133">
        <f>IF(SER_hh_tesh!J17=0,0,SER_hh_tesh!J17/SER_summary!J$26)</f>
        <v>30.001832886017151</v>
      </c>
      <c r="K17" s="133">
        <f>IF(SER_hh_tesh!K17=0,0,SER_hh_tesh!K17/SER_summary!K$26)</f>
        <v>30.256513458452144</v>
      </c>
      <c r="L17" s="133">
        <f>IF(SER_hh_tesh!L17=0,0,SER_hh_tesh!L17/SER_summary!L$26)</f>
        <v>31.440539146247602</v>
      </c>
      <c r="M17" s="133">
        <f>IF(SER_hh_tesh!M17=0,0,SER_hh_tesh!M17/SER_summary!M$26)</f>
        <v>30.78122316029496</v>
      </c>
      <c r="N17" s="133">
        <f>IF(SER_hh_tesh!N17=0,0,SER_hh_tesh!N17/SER_summary!N$26)</f>
        <v>34.035817329020354</v>
      </c>
      <c r="O17" s="133">
        <f>IF(SER_hh_tesh!O17=0,0,SER_hh_tesh!O17/SER_summary!O$26)</f>
        <v>32.896866539710594</v>
      </c>
      <c r="P17" s="133">
        <f>IF(SER_hh_tesh!P17=0,0,SER_hh_tesh!P17/SER_summary!P$26)</f>
        <v>30.431727818531083</v>
      </c>
      <c r="Q17" s="133">
        <f>IF(SER_hh_tesh!Q17=0,0,SER_hh_tesh!Q17/SER_summary!Q$26)</f>
        <v>35.694409912830892</v>
      </c>
      <c r="R17" s="133">
        <f>IF(SER_hh_tesh!R17=0,0,SER_hh_tesh!R17/SER_summary!R$26)</f>
        <v>30.788345490201657</v>
      </c>
      <c r="S17" s="133">
        <f>IF(SER_hh_tesh!S17=0,0,SER_hh_tesh!S17/SER_summary!S$26)</f>
        <v>32.940810040536498</v>
      </c>
      <c r="T17" s="133">
        <f>IF(SER_hh_tesh!T17=0,0,SER_hh_tesh!T17/SER_summary!T$26)</f>
        <v>32.409737159007655</v>
      </c>
      <c r="U17" s="133">
        <f>IF(SER_hh_tesh!U17=0,0,SER_hh_tesh!U17/SER_summary!U$26)</f>
        <v>33.499142914432312</v>
      </c>
      <c r="V17" s="133">
        <f>IF(SER_hh_tesh!V17=0,0,SER_hh_tesh!V17/SER_summary!V$26)</f>
        <v>32.368128201056273</v>
      </c>
      <c r="W17" s="133">
        <f>IF(SER_hh_tesh!W17=0,0,SER_hh_tesh!W17/SER_summary!W$26)</f>
        <v>31.645938041712956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30.499401623880324</v>
      </c>
      <c r="C18" s="133">
        <f>IF(SER_hh_tesh!C18=0,0,SER_hh_tesh!C18/SER_summary!C$26)</f>
        <v>29.957976924035002</v>
      </c>
      <c r="D18" s="133">
        <f>IF(SER_hh_tesh!D18=0,0,SER_hh_tesh!D18/SER_summary!D$26)</f>
        <v>30.491950143864237</v>
      </c>
      <c r="E18" s="133">
        <f>IF(SER_hh_tesh!E18=0,0,SER_hh_tesh!E18/SER_summary!E$26)</f>
        <v>30.831358613831551</v>
      </c>
      <c r="F18" s="133">
        <f>IF(SER_hh_tesh!F18=0,0,SER_hh_tesh!F18/SER_summary!F$26)</f>
        <v>29.720087576375072</v>
      </c>
      <c r="G18" s="133">
        <f>IF(SER_hh_tesh!G18=0,0,SER_hh_tesh!G18/SER_summary!G$26)</f>
        <v>29.976667153500337</v>
      </c>
      <c r="H18" s="133">
        <f>IF(SER_hh_tesh!H18=0,0,SER_hh_tesh!H18/SER_summary!H$26)</f>
        <v>30.832209544802954</v>
      </c>
      <c r="I18" s="133">
        <f>IF(SER_hh_tesh!I18=0,0,SER_hh_tesh!I18/SER_summary!I$26)</f>
        <v>31.99977274446552</v>
      </c>
      <c r="J18" s="133">
        <f>IF(SER_hh_tesh!J18=0,0,SER_hh_tesh!J18/SER_summary!J$26)</f>
        <v>30.001817768897489</v>
      </c>
      <c r="K18" s="133">
        <f>IF(SER_hh_tesh!K18=0,0,SER_hh_tesh!K18/SER_summary!K$26)</f>
        <v>30.256483519462037</v>
      </c>
      <c r="L18" s="133">
        <f>IF(SER_hh_tesh!L18=0,0,SER_hh_tesh!L18/SER_summary!L$26)</f>
        <v>31.440493065233888</v>
      </c>
      <c r="M18" s="133">
        <f>IF(SER_hh_tesh!M18=0,0,SER_hh_tesh!M18/SER_summary!M$26)</f>
        <v>30.781157053460916</v>
      </c>
      <c r="N18" s="133">
        <f>IF(SER_hh_tesh!N18=0,0,SER_hh_tesh!N18/SER_summary!N$26)</f>
        <v>34.035840996479095</v>
      </c>
      <c r="O18" s="133">
        <f>IF(SER_hh_tesh!O18=0,0,SER_hh_tesh!O18/SER_summary!O$26)</f>
        <v>32.896950160343422</v>
      </c>
      <c r="P18" s="133">
        <f>IF(SER_hh_tesh!P18=0,0,SER_hh_tesh!P18/SER_summary!P$26)</f>
        <v>30.431828064337406</v>
      </c>
      <c r="Q18" s="133">
        <f>IF(SER_hh_tesh!Q18=0,0,SER_hh_tesh!Q18/SER_summary!Q$26)</f>
        <v>36.070693557312403</v>
      </c>
      <c r="R18" s="133">
        <f>IF(SER_hh_tesh!R18=0,0,SER_hh_tesh!R18/SER_summary!R$26)</f>
        <v>30.789773124027043</v>
      </c>
      <c r="S18" s="133">
        <f>IF(SER_hh_tesh!S18=0,0,SER_hh_tesh!S18/SER_summary!S$26)</f>
        <v>32.944551793760596</v>
      </c>
      <c r="T18" s="133">
        <f>IF(SER_hh_tesh!T18=0,0,SER_hh_tesh!T18/SER_summary!T$26)</f>
        <v>32.415665165635289</v>
      </c>
      <c r="U18" s="133">
        <f>IF(SER_hh_tesh!U18=0,0,SER_hh_tesh!U18/SER_summary!U$26)</f>
        <v>33.506340599027368</v>
      </c>
      <c r="V18" s="133">
        <f>IF(SER_hh_tesh!V18=0,0,SER_hh_tesh!V18/SER_summary!V$26)</f>
        <v>30.662449832623462</v>
      </c>
      <c r="W18" s="133">
        <f>IF(SER_hh_tesh!W18=0,0,SER_hh_tesh!W18/SER_summary!W$26)</f>
        <v>33.347026275010172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27.641086062518021</v>
      </c>
      <c r="C19" s="131">
        <f>IF(SER_hh_tesh!C19=0,0,SER_hh_tesh!C19/SER_summary!C$26)</f>
        <v>27.324291314981551</v>
      </c>
      <c r="D19" s="131">
        <f>IF(SER_hh_tesh!D19=0,0,SER_hh_tesh!D19/SER_summary!D$26)</f>
        <v>27.679995790584403</v>
      </c>
      <c r="E19" s="131">
        <f>IF(SER_hh_tesh!E19=0,0,SER_hh_tesh!E19/SER_summary!E$26)</f>
        <v>28.035128676234013</v>
      </c>
      <c r="F19" s="131">
        <f>IF(SER_hh_tesh!F19=0,0,SER_hh_tesh!F19/SER_summary!F$26)</f>
        <v>28.114449167733405</v>
      </c>
      <c r="G19" s="131">
        <f>IF(SER_hh_tesh!G19=0,0,SER_hh_tesh!G19/SER_summary!G$26)</f>
        <v>28.621742088867219</v>
      </c>
      <c r="H19" s="131">
        <f>IF(SER_hh_tesh!H19=0,0,SER_hh_tesh!H19/SER_summary!H$26)</f>
        <v>28.898914272383898</v>
      </c>
      <c r="I19" s="131">
        <f>IF(SER_hh_tesh!I19=0,0,SER_hh_tesh!I19/SER_summary!I$26)</f>
        <v>28.519384944280198</v>
      </c>
      <c r="J19" s="131">
        <f>IF(SER_hh_tesh!J19=0,0,SER_hh_tesh!J19/SER_summary!J$26)</f>
        <v>28.409451446253371</v>
      </c>
      <c r="K19" s="131">
        <f>IF(SER_hh_tesh!K19=0,0,SER_hh_tesh!K19/SER_summary!K$26)</f>
        <v>29.384093045379334</v>
      </c>
      <c r="L19" s="131">
        <f>IF(SER_hh_tesh!L19=0,0,SER_hh_tesh!L19/SER_summary!L$26)</f>
        <v>29.575506176419434</v>
      </c>
      <c r="M19" s="131">
        <f>IF(SER_hh_tesh!M19=0,0,SER_hh_tesh!M19/SER_summary!M$26)</f>
        <v>29.512533782558535</v>
      </c>
      <c r="N19" s="131">
        <f>IF(SER_hh_tesh!N19=0,0,SER_hh_tesh!N19/SER_summary!N$26)</f>
        <v>30.12446192373201</v>
      </c>
      <c r="O19" s="131">
        <f>IF(SER_hh_tesh!O19=0,0,SER_hh_tesh!O19/SER_summary!O$26)</f>
        <v>30.117823461289891</v>
      </c>
      <c r="P19" s="131">
        <f>IF(SER_hh_tesh!P19=0,0,SER_hh_tesh!P19/SER_summary!P$26)</f>
        <v>30.583884728292286</v>
      </c>
      <c r="Q19" s="131">
        <f>IF(SER_hh_tesh!Q19=0,0,SER_hh_tesh!Q19/SER_summary!Q$26)</f>
        <v>30.431777665915551</v>
      </c>
      <c r="R19" s="131">
        <f>IF(SER_hh_tesh!R19=0,0,SER_hh_tesh!R19/SER_summary!R$26)</f>
        <v>30.776140314542385</v>
      </c>
      <c r="S19" s="131">
        <f>IF(SER_hh_tesh!S19=0,0,SER_hh_tesh!S19/SER_summary!S$26)</f>
        <v>30.974508549006917</v>
      </c>
      <c r="T19" s="131">
        <f>IF(SER_hh_tesh!T19=0,0,SER_hh_tesh!T19/SER_summary!T$26)</f>
        <v>30.656330934188826</v>
      </c>
      <c r="U19" s="131">
        <f>IF(SER_hh_tesh!U19=0,0,SER_hh_tesh!U19/SER_summary!U$26)</f>
        <v>30.469043512724372</v>
      </c>
      <c r="V19" s="131">
        <f>IF(SER_hh_tesh!V19=0,0,SER_hh_tesh!V19/SER_summary!V$26)</f>
        <v>27.596024256216115</v>
      </c>
      <c r="W19" s="131">
        <f>IF(SER_hh_tesh!W19=0,0,SER_hh_tesh!W19/SER_summary!W$26)</f>
        <v>30.116905072519526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29.047970574174506</v>
      </c>
      <c r="C20" s="133">
        <f>IF(SER_hh_tesh!C20=0,0,SER_hh_tesh!C20/SER_summary!C$26)</f>
        <v>26.745522719110902</v>
      </c>
      <c r="D20" s="133">
        <f>IF(SER_hh_tesh!D20=0,0,SER_hh_tesh!D20/SER_summary!D$26)</f>
        <v>30.051741532452784</v>
      </c>
      <c r="E20" s="133">
        <f>IF(SER_hh_tesh!E20=0,0,SER_hh_tesh!E20/SER_summary!E$26)</f>
        <v>25.0351392794256</v>
      </c>
      <c r="F20" s="133">
        <f>IF(SER_hh_tesh!F20=0,0,SER_hh_tesh!F20/SER_summary!F$26)</f>
        <v>27.371666958037292</v>
      </c>
      <c r="G20" s="133">
        <f>IF(SER_hh_tesh!G20=0,0,SER_hh_tesh!G20/SER_summary!G$26)</f>
        <v>12.073692506252721</v>
      </c>
      <c r="H20" s="133">
        <f>IF(SER_hh_tesh!H20=0,0,SER_hh_tesh!H20/SER_summary!H$26)</f>
        <v>22.607889698767575</v>
      </c>
      <c r="I20" s="133">
        <f>IF(SER_hh_tesh!I20=0,0,SER_hh_tesh!I20/SER_summary!I$26)</f>
        <v>31.351090537773807</v>
      </c>
      <c r="J20" s="133">
        <f>IF(SER_hh_tesh!J20=0,0,SER_hh_tesh!J20/SER_summary!J$26)</f>
        <v>31.06581207419352</v>
      </c>
      <c r="K20" s="133">
        <f>IF(SER_hh_tesh!K20=0,0,SER_hh_tesh!K20/SER_summary!K$26)</f>
        <v>30.945573482547204</v>
      </c>
      <c r="L20" s="133">
        <f>IF(SER_hh_tesh!L20=0,0,SER_hh_tesh!L20/SER_summary!L$26)</f>
        <v>29.397596359536156</v>
      </c>
      <c r="M20" s="133">
        <f>IF(SER_hh_tesh!M20=0,0,SER_hh_tesh!M20/SER_summary!M$26)</f>
        <v>29.353136293509653</v>
      </c>
      <c r="N20" s="133">
        <f>IF(SER_hh_tesh!N20=0,0,SER_hh_tesh!N20/SER_summary!N$26)</f>
        <v>30.124854535082893</v>
      </c>
      <c r="O20" s="133">
        <f>IF(SER_hh_tesh!O20=0,0,SER_hh_tesh!O20/SER_summary!O$26)</f>
        <v>29.98084096862048</v>
      </c>
      <c r="P20" s="133">
        <f>IF(SER_hh_tesh!P20=0,0,SER_hh_tesh!P20/SER_summary!P$26)</f>
        <v>31.80427024261332</v>
      </c>
      <c r="Q20" s="133">
        <f>IF(SER_hh_tesh!Q20=0,0,SER_hh_tesh!Q20/SER_summary!Q$26)</f>
        <v>36.083571179868663</v>
      </c>
      <c r="R20" s="133">
        <f>IF(SER_hh_tesh!R20=0,0,SER_hh_tesh!R20/SER_summary!R$26)</f>
        <v>21.954064440163197</v>
      </c>
      <c r="S20" s="133">
        <f>IF(SER_hh_tesh!S20=0,0,SER_hh_tesh!S20/SER_summary!S$26)</f>
        <v>28.38561165548521</v>
      </c>
      <c r="T20" s="133">
        <f>IF(SER_hh_tesh!T20=0,0,SER_hh_tesh!T20/SER_summary!T$26)</f>
        <v>30.677943978351216</v>
      </c>
      <c r="U20" s="133">
        <f>IF(SER_hh_tesh!U20=0,0,SER_hh_tesh!U20/SER_summary!U$26)</f>
        <v>44.338837695406795</v>
      </c>
      <c r="V20" s="133">
        <f>IF(SER_hh_tesh!V20=0,0,SER_hh_tesh!V20/SER_summary!V$26)</f>
        <v>19.001922124377007</v>
      </c>
      <c r="W20" s="133">
        <f>IF(SER_hh_tesh!W20=0,0,SER_hh_tesh!W20/SER_summary!W$26)</f>
        <v>32.639322055763444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0</v>
      </c>
      <c r="C22" s="133">
        <f>IF(SER_hh_tesh!C22=0,0,SER_hh_tesh!C22/SER_summary!C$26)</f>
        <v>0</v>
      </c>
      <c r="D22" s="133">
        <f>IF(SER_hh_tesh!D22=0,0,SER_hh_tesh!D22/SER_summary!D$26)</f>
        <v>0</v>
      </c>
      <c r="E22" s="133">
        <f>IF(SER_hh_tesh!E22=0,0,SER_hh_tesh!E22/SER_summary!E$26)</f>
        <v>0</v>
      </c>
      <c r="F22" s="133">
        <f>IF(SER_hh_tesh!F22=0,0,SER_hh_tesh!F22/SER_summary!F$26)</f>
        <v>0</v>
      </c>
      <c r="G22" s="133">
        <f>IF(SER_hh_tesh!G22=0,0,SER_hh_tesh!G22/SER_summary!G$26)</f>
        <v>0</v>
      </c>
      <c r="H22" s="133">
        <f>IF(SER_hh_tesh!H22=0,0,SER_hh_tesh!H22/SER_summary!H$26)</f>
        <v>0</v>
      </c>
      <c r="I22" s="133">
        <f>IF(SER_hh_tesh!I22=0,0,SER_hh_tesh!I22/SER_summary!I$26)</f>
        <v>0</v>
      </c>
      <c r="J22" s="133">
        <f>IF(SER_hh_tesh!J22=0,0,SER_hh_tesh!J22/SER_summary!J$26)</f>
        <v>0</v>
      </c>
      <c r="K22" s="133">
        <f>IF(SER_hh_tesh!K22=0,0,SER_hh_tesh!K22/SER_summary!K$26)</f>
        <v>0</v>
      </c>
      <c r="L22" s="133">
        <f>IF(SER_hh_tesh!L22=0,0,SER_hh_tesh!L22/SER_summary!L$26)</f>
        <v>0</v>
      </c>
      <c r="M22" s="133">
        <f>IF(SER_hh_tesh!M22=0,0,SER_hh_tesh!M22/SER_summary!M$26)</f>
        <v>0</v>
      </c>
      <c r="N22" s="133">
        <f>IF(SER_hh_tesh!N22=0,0,SER_hh_tesh!N22/SER_summary!N$26)</f>
        <v>0</v>
      </c>
      <c r="O22" s="133">
        <f>IF(SER_hh_tesh!O22=0,0,SER_hh_tesh!O22/SER_summary!O$26)</f>
        <v>0</v>
      </c>
      <c r="P22" s="133">
        <f>IF(SER_hh_tesh!P22=0,0,SER_hh_tesh!P22/SER_summary!P$26)</f>
        <v>0</v>
      </c>
      <c r="Q22" s="133">
        <f>IF(SER_hh_tesh!Q22=0,0,SER_hh_tesh!Q22/SER_summary!Q$26)</f>
        <v>0</v>
      </c>
      <c r="R22" s="133">
        <f>IF(SER_hh_tesh!R22=0,0,SER_hh_tesh!R22/SER_summary!R$26)</f>
        <v>0</v>
      </c>
      <c r="S22" s="133">
        <f>IF(SER_hh_tesh!S22=0,0,SER_hh_tesh!S22/SER_summary!S$26)</f>
        <v>0</v>
      </c>
      <c r="T22" s="133">
        <f>IF(SER_hh_tesh!T22=0,0,SER_hh_tesh!T22/SER_summary!T$26)</f>
        <v>0</v>
      </c>
      <c r="U22" s="133">
        <f>IF(SER_hh_tesh!U22=0,0,SER_hh_tesh!U22/SER_summary!U$26)</f>
        <v>0</v>
      </c>
      <c r="V22" s="133">
        <f>IF(SER_hh_tesh!V22=0,0,SER_hh_tesh!V22/SER_summary!V$26)</f>
        <v>0</v>
      </c>
      <c r="W22" s="133">
        <f>IF(SER_hh_tesh!W22=0,0,SER_hh_tesh!W22/SER_summary!W$26)</f>
        <v>0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18.427390708345346</v>
      </c>
      <c r="C23" s="133">
        <f>IF(SER_hh_tesh!C23=0,0,SER_hh_tesh!C23/SER_summary!C$26)</f>
        <v>30.377526524848356</v>
      </c>
      <c r="D23" s="133">
        <f>IF(SER_hh_tesh!D23=0,0,SER_hh_tesh!D23/SER_summary!D$26)</f>
        <v>30.516001398887411</v>
      </c>
      <c r="E23" s="133">
        <f>IF(SER_hh_tesh!E23=0,0,SER_hh_tesh!E23/SER_summary!E$26)</f>
        <v>27.547347108559226</v>
      </c>
      <c r="F23" s="133">
        <f>IF(SER_hh_tesh!F23=0,0,SER_hh_tesh!F23/SER_summary!F$26)</f>
        <v>28.85146521075427</v>
      </c>
      <c r="G23" s="133">
        <f>IF(SER_hh_tesh!G23=0,0,SER_hh_tesh!G23/SER_summary!G$26)</f>
        <v>27.861200858388013</v>
      </c>
      <c r="H23" s="133">
        <f>IF(SER_hh_tesh!H23=0,0,SER_hh_tesh!H23/SER_summary!H$26)</f>
        <v>27.856160178358611</v>
      </c>
      <c r="I23" s="133">
        <f>IF(SER_hh_tesh!I23=0,0,SER_hh_tesh!I23/SER_summary!I$26)</f>
        <v>29.781758965758378</v>
      </c>
      <c r="J23" s="133">
        <f>IF(SER_hh_tesh!J23=0,0,SER_hh_tesh!J23/SER_summary!J$26)</f>
        <v>29.208177678165445</v>
      </c>
      <c r="K23" s="133">
        <f>IF(SER_hh_tesh!K23=0,0,SER_hh_tesh!K23/SER_summary!K$26)</f>
        <v>28.24964197660362</v>
      </c>
      <c r="L23" s="133">
        <f>IF(SER_hh_tesh!L23=0,0,SER_hh_tesh!L23/SER_summary!L$26)</f>
        <v>29.165113504346678</v>
      </c>
      <c r="M23" s="133">
        <f>IF(SER_hh_tesh!M23=0,0,SER_hh_tesh!M23/SER_summary!M$26)</f>
        <v>26.968565425260373</v>
      </c>
      <c r="N23" s="133">
        <f>IF(SER_hh_tesh!N23=0,0,SER_hh_tesh!N23/SER_summary!N$26)</f>
        <v>30.812243464405888</v>
      </c>
      <c r="O23" s="133">
        <f>IF(SER_hh_tesh!O23=0,0,SER_hh_tesh!O23/SER_summary!O$26)</f>
        <v>31.447324455943079</v>
      </c>
      <c r="P23" s="133">
        <f>IF(SER_hh_tesh!P23=0,0,SER_hh_tesh!P23/SER_summary!P$26)</f>
        <v>31.894057176392465</v>
      </c>
      <c r="Q23" s="133">
        <f>IF(SER_hh_tesh!Q23=0,0,SER_hh_tesh!Q23/SER_summary!Q$26)</f>
        <v>32.655248950449497</v>
      </c>
      <c r="R23" s="133">
        <f>IF(SER_hh_tesh!R23=0,0,SER_hh_tesh!R23/SER_summary!R$26)</f>
        <v>33.19869259705348</v>
      </c>
      <c r="S23" s="133">
        <f>IF(SER_hh_tesh!S23=0,0,SER_hh_tesh!S23/SER_summary!S$26)</f>
        <v>31.945857855042231</v>
      </c>
      <c r="T23" s="133">
        <f>IF(SER_hh_tesh!T23=0,0,SER_hh_tesh!T23/SER_summary!T$26)</f>
        <v>30.645691325695683</v>
      </c>
      <c r="U23" s="133">
        <f>IF(SER_hh_tesh!U23=0,0,SER_hh_tesh!U23/SER_summary!U$26)</f>
        <v>27.99662651402387</v>
      </c>
      <c r="V23" s="133">
        <f>IF(SER_hh_tesh!V23=0,0,SER_hh_tesh!V23/SER_summary!V$26)</f>
        <v>20.139553719865116</v>
      </c>
      <c r="W23" s="133">
        <f>IF(SER_hh_tesh!W23=0,0,SER_hh_tesh!W23/SER_summary!W$26)</f>
        <v>35.782571820695843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25.298340285903631</v>
      </c>
      <c r="C25" s="133">
        <f>IF(SER_hh_tesh!C25=0,0,SER_hh_tesh!C25/SER_summary!C$26)</f>
        <v>25.69092546971309</v>
      </c>
      <c r="D25" s="133">
        <f>IF(SER_hh_tesh!D25=0,0,SER_hh_tesh!D25/SER_summary!D$26)</f>
        <v>28.525620864067339</v>
      </c>
      <c r="E25" s="133">
        <f>IF(SER_hh_tesh!E25=0,0,SER_hh_tesh!E25/SER_summary!E$26)</f>
        <v>30.573744068261732</v>
      </c>
      <c r="F25" s="133">
        <f>IF(SER_hh_tesh!F25=0,0,SER_hh_tesh!F25/SER_summary!F$26)</f>
        <v>39.716158965420838</v>
      </c>
      <c r="G25" s="133">
        <f>IF(SER_hh_tesh!G25=0,0,SER_hh_tesh!G25/SER_summary!G$26)</f>
        <v>29.480379785359041</v>
      </c>
      <c r="H25" s="133">
        <f>IF(SER_hh_tesh!H25=0,0,SER_hh_tesh!H25/SER_summary!H$26)</f>
        <v>26.461095955512263</v>
      </c>
      <c r="I25" s="133">
        <f>IF(SER_hh_tesh!I25=0,0,SER_hh_tesh!I25/SER_summary!I$26)</f>
        <v>28.009656887744011</v>
      </c>
      <c r="J25" s="133">
        <f>IF(SER_hh_tesh!J25=0,0,SER_hh_tesh!J25/SER_summary!J$26)</f>
        <v>28.664993086889467</v>
      </c>
      <c r="K25" s="133">
        <f>IF(SER_hh_tesh!K25=0,0,SER_hh_tesh!K25/SER_summary!K$26)</f>
        <v>29.869587059367696</v>
      </c>
      <c r="L25" s="133">
        <f>IF(SER_hh_tesh!L25=0,0,SER_hh_tesh!L25/SER_summary!L$26)</f>
        <v>29.20384345914254</v>
      </c>
      <c r="M25" s="133">
        <f>IF(SER_hh_tesh!M25=0,0,SER_hh_tesh!M25/SER_summary!M$26)</f>
        <v>30.288120557395764</v>
      </c>
      <c r="N25" s="133">
        <f>IF(SER_hh_tesh!N25=0,0,SER_hh_tesh!N25/SER_summary!N$26)</f>
        <v>33.149928182907551</v>
      </c>
      <c r="O25" s="133">
        <f>IF(SER_hh_tesh!O25=0,0,SER_hh_tesh!O25/SER_summary!O$26)</f>
        <v>24.704022602622331</v>
      </c>
      <c r="P25" s="133">
        <f>IF(SER_hh_tesh!P25=0,0,SER_hh_tesh!P25/SER_summary!P$26)</f>
        <v>25.5516808557826</v>
      </c>
      <c r="Q25" s="133">
        <f>IF(SER_hh_tesh!Q25=0,0,SER_hh_tesh!Q25/SER_summary!Q$26)</f>
        <v>12.194197112128721</v>
      </c>
      <c r="R25" s="133">
        <f>IF(SER_hh_tesh!R25=0,0,SER_hh_tesh!R25/SER_summary!R$26)</f>
        <v>40.754460151296769</v>
      </c>
      <c r="S25" s="133">
        <f>IF(SER_hh_tesh!S25=0,0,SER_hh_tesh!S25/SER_summary!S$26)</f>
        <v>38.007784614539602</v>
      </c>
      <c r="T25" s="133">
        <f>IF(SER_hh_tesh!T25=0,0,SER_hh_tesh!T25/SER_summary!T$26)</f>
        <v>36.27036441345556</v>
      </c>
      <c r="U25" s="133">
        <f>IF(SER_hh_tesh!U25=0,0,SER_hh_tesh!U25/SER_summary!U$26)</f>
        <v>33.367946583408781</v>
      </c>
      <c r="V25" s="133">
        <f>IF(SER_hh_tesh!V25=0,0,SER_hh_tesh!V25/SER_summary!V$26)</f>
        <v>23.111770249469838</v>
      </c>
      <c r="W25" s="133">
        <f>IF(SER_hh_tesh!W25=0,0,SER_hh_tesh!W25/SER_summary!W$26)</f>
        <v>30.905718329337375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28.79717472448316</v>
      </c>
      <c r="C26" s="65">
        <f>IF(SER_hh_tesh!C26=0,0,SER_hh_tesh!C26/SER_summary!C$26)</f>
        <v>27.135334593947523</v>
      </c>
      <c r="D26" s="65">
        <f>IF(SER_hh_tesh!D26=0,0,SER_hh_tesh!D26/SER_summary!D$26)</f>
        <v>26.535400091896527</v>
      </c>
      <c r="E26" s="65">
        <f>IF(SER_hh_tesh!E26=0,0,SER_hh_tesh!E26/SER_summary!E$26)</f>
        <v>27.499330442455136</v>
      </c>
      <c r="F26" s="65">
        <f>IF(SER_hh_tesh!F26=0,0,SER_hh_tesh!F26/SER_summary!F$26)</f>
        <v>24.131563908028355</v>
      </c>
      <c r="G26" s="65">
        <f>IF(SER_hh_tesh!G26=0,0,SER_hh_tesh!G26/SER_summary!G$26)</f>
        <v>29.191719351684316</v>
      </c>
      <c r="H26" s="65">
        <f>IF(SER_hh_tesh!H26=0,0,SER_hh_tesh!H26/SER_summary!H$26)</f>
        <v>30.274562686547057</v>
      </c>
      <c r="I26" s="65">
        <f>IF(SER_hh_tesh!I26=0,0,SER_hh_tesh!I26/SER_summary!I$26)</f>
        <v>27.953503081151247</v>
      </c>
      <c r="J26" s="65">
        <f>IF(SER_hh_tesh!J26=0,0,SER_hh_tesh!J26/SER_summary!J$26)</f>
        <v>27.75706402998178</v>
      </c>
      <c r="K26" s="65">
        <f>IF(SER_hh_tesh!K26=0,0,SER_hh_tesh!K26/SER_summary!K$26)</f>
        <v>29.509829592603186</v>
      </c>
      <c r="L26" s="65">
        <f>IF(SER_hh_tesh!L26=0,0,SER_hh_tesh!L26/SER_summary!L$26)</f>
        <v>29.586209204151622</v>
      </c>
      <c r="M26" s="65">
        <f>IF(SER_hh_tesh!M26=0,0,SER_hh_tesh!M26/SER_summary!M$26)</f>
        <v>30.245882418667179</v>
      </c>
      <c r="N26" s="65">
        <f>IF(SER_hh_tesh!N26=0,0,SER_hh_tesh!N26/SER_summary!N$26)</f>
        <v>28.727283377267511</v>
      </c>
      <c r="O26" s="65">
        <f>IF(SER_hh_tesh!O26=0,0,SER_hh_tesh!O26/SER_summary!O$26)</f>
        <v>30.148236558489529</v>
      </c>
      <c r="P26" s="65">
        <f>IF(SER_hh_tesh!P26=0,0,SER_hh_tesh!P26/SER_summary!P$26)</f>
        <v>29.678910124626046</v>
      </c>
      <c r="Q26" s="65">
        <f>IF(SER_hh_tesh!Q26=0,0,SER_hh_tesh!Q26/SER_summary!Q$26)</f>
        <v>30.92375733105208</v>
      </c>
      <c r="R26" s="65">
        <f>IF(SER_hh_tesh!R26=0,0,SER_hh_tesh!R26/SER_summary!R$26)</f>
        <v>27.946269758015156</v>
      </c>
      <c r="S26" s="65">
        <f>IF(SER_hh_tesh!S26=0,0,SER_hh_tesh!S26/SER_summary!S$26)</f>
        <v>29.197200392635516</v>
      </c>
      <c r="T26" s="65">
        <f>IF(SER_hh_tesh!T26=0,0,SER_hh_tesh!T26/SER_summary!T$26)</f>
        <v>29.550214102232264</v>
      </c>
      <c r="U26" s="65">
        <f>IF(SER_hh_tesh!U26=0,0,SER_hh_tesh!U26/SER_summary!U$26)</f>
        <v>29.704033706978731</v>
      </c>
      <c r="V26" s="65">
        <f>IF(SER_hh_tesh!V26=0,0,SER_hh_tesh!V26/SER_summary!V$26)</f>
        <v>30.775861424547866</v>
      </c>
      <c r="W26" s="65">
        <f>IF(SER_hh_tesh!W26=0,0,SER_hh_tesh!W26/SER_summary!W$26)</f>
        <v>27.787981014363808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9.3331109969898417E-3</v>
      </c>
      <c r="H27" s="146">
        <f>IF(SER_hh_tesh!H27=0,0,SER_hh_tesh!H27/SER_summary!H$26)</f>
        <v>8.9258051523270904E-3</v>
      </c>
      <c r="I27" s="146">
        <f>IF(SER_hh_tesh!I27=0,0,SER_hh_tesh!I27/SER_summary!I$26)</f>
        <v>8.4561295149543098E-3</v>
      </c>
      <c r="J27" s="146">
        <f>IF(SER_hh_tesh!J27=0,0,SER_hh_tesh!J27/SER_summary!J$26)</f>
        <v>8.1859817576271868E-3</v>
      </c>
      <c r="K27" s="146">
        <f>IF(SER_hh_tesh!K27=0,0,SER_hh_tesh!K27/SER_summary!K$26)</f>
        <v>8.1995193070188224E-3</v>
      </c>
      <c r="L27" s="146">
        <f>IF(SER_hh_tesh!L27=0,0,SER_hh_tesh!L27/SER_summary!L$26)</f>
        <v>0.15233017864158135</v>
      </c>
      <c r="M27" s="146">
        <f>IF(SER_hh_tesh!M27=0,0,SER_hh_tesh!M27/SER_summary!M$26)</f>
        <v>0.18259625484130484</v>
      </c>
      <c r="N27" s="146">
        <f>IF(SER_hh_tesh!N27=0,0,SER_hh_tesh!N27/SER_summary!N$26)</f>
        <v>0.18080165065634779</v>
      </c>
      <c r="O27" s="146">
        <f>IF(SER_hh_tesh!O27=0,0,SER_hh_tesh!O27/SER_summary!O$26)</f>
        <v>9.3509128945570771E-2</v>
      </c>
      <c r="P27" s="146">
        <f>IF(SER_hh_tesh!P27=0,0,SER_hh_tesh!P27/SER_summary!P$26)</f>
        <v>0.37056049681381342</v>
      </c>
      <c r="Q27" s="146">
        <f>IF(SER_hh_tesh!Q27=0,0,SER_hh_tesh!Q27/SER_summary!Q$26)</f>
        <v>0.25922926744883007</v>
      </c>
      <c r="R27" s="146">
        <f>IF(SER_hh_tesh!R27=0,0,SER_hh_tesh!R27/SER_summary!R$26)</f>
        <v>0.27123171908003274</v>
      </c>
      <c r="S27" s="146">
        <f>IF(SER_hh_tesh!S27=0,0,SER_hh_tesh!S27/SER_summary!S$26)</f>
        <v>0.20087463615844781</v>
      </c>
      <c r="T27" s="146">
        <f>IF(SER_hh_tesh!T27=0,0,SER_hh_tesh!T27/SER_summary!T$26)</f>
        <v>0.21267411865312208</v>
      </c>
      <c r="U27" s="146">
        <f>IF(SER_hh_tesh!U27=0,0,SER_hh_tesh!U27/SER_summary!U$26)</f>
        <v>0.21675579943146087</v>
      </c>
      <c r="V27" s="146">
        <f>IF(SER_hh_tesh!V27=0,0,SER_hh_tesh!V27/SER_summary!V$26)</f>
        <v>0.2208633564248525</v>
      </c>
      <c r="W27" s="146">
        <f>IF(SER_hh_tesh!W27=0,0,SER_hh_tesh!W27/SER_summary!W$26)</f>
        <v>0.22505873888070066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19.803011600721458</v>
      </c>
      <c r="H28" s="147">
        <f>IF(SER_hh_tesh!H28=0,0,SER_hh_tesh!H28/SER_summary!H$26)</f>
        <v>20.0027984002868</v>
      </c>
      <c r="I28" s="147">
        <f>IF(SER_hh_tesh!I28=0,0,SER_hh_tesh!I28/SER_summary!I$26)</f>
        <v>19.73709096155136</v>
      </c>
      <c r="J28" s="147">
        <f>IF(SER_hh_tesh!J28=0,0,SER_hh_tesh!J28/SER_summary!J$26)</f>
        <v>19.659209284407854</v>
      </c>
      <c r="K28" s="147">
        <f>IF(SER_hh_tesh!K28=0,0,SER_hh_tesh!K28/SER_summary!K$26)</f>
        <v>20.332256885284199</v>
      </c>
      <c r="L28" s="147">
        <f>IF(SER_hh_tesh!L28=0,0,SER_hh_tesh!L28/SER_summary!L$26)</f>
        <v>19.046762933542574</v>
      </c>
      <c r="M28" s="147">
        <f>IF(SER_hh_tesh!M28=0,0,SER_hh_tesh!M28/SER_summary!M$26)</f>
        <v>20.249583105684135</v>
      </c>
      <c r="N28" s="147">
        <f>IF(SER_hh_tesh!N28=0,0,SER_hh_tesh!N28/SER_summary!N$26)</f>
        <v>20.172804510866737</v>
      </c>
      <c r="O28" s="147">
        <f>IF(SER_hh_tesh!O28=0,0,SER_hh_tesh!O28/SER_summary!O$26)</f>
        <v>19.187840936800473</v>
      </c>
      <c r="P28" s="147">
        <f>IF(SER_hh_tesh!P28=0,0,SER_hh_tesh!P28/SER_summary!P$26)</f>
        <v>20.714704424838491</v>
      </c>
      <c r="Q28" s="147">
        <f>IF(SER_hh_tesh!Q28=0,0,SER_hh_tesh!Q28/SER_summary!Q$26)</f>
        <v>20.524094259269653</v>
      </c>
      <c r="R28" s="147">
        <f>IF(SER_hh_tesh!R28=0,0,SER_hh_tesh!R28/SER_summary!R$26)</f>
        <v>20.606338031765556</v>
      </c>
      <c r="S28" s="147">
        <f>IF(SER_hh_tesh!S28=0,0,SER_hh_tesh!S28/SER_summary!S$26)</f>
        <v>21.59676940606214</v>
      </c>
      <c r="T28" s="147">
        <f>IF(SER_hh_tesh!T28=0,0,SER_hh_tesh!T28/SER_summary!T$26)</f>
        <v>20.90519086391128</v>
      </c>
      <c r="U28" s="147">
        <f>IF(SER_hh_tesh!U28=0,0,SER_hh_tesh!U28/SER_summary!U$26)</f>
        <v>21.417284469794588</v>
      </c>
      <c r="V28" s="147">
        <f>IF(SER_hh_tesh!V28=0,0,SER_hh_tesh!V28/SER_summary!V$26)</f>
        <v>19.359241510156373</v>
      </c>
      <c r="W28" s="147">
        <f>IF(SER_hh_tesh!W28=0,0,SER_hh_tesh!W28/SER_summary!W$26)</f>
        <v>21.2425064203182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27.912472427940489</v>
      </c>
      <c r="C29" s="131">
        <f>IF(SER_hh_tesh!C29=0,0,SER_hh_tesh!C29/SER_summary!C$26)</f>
        <v>28.095679750847562</v>
      </c>
      <c r="D29" s="131">
        <f>IF(SER_hh_tesh!D29=0,0,SER_hh_tesh!D29/SER_summary!D$26)</f>
        <v>29.578771859220311</v>
      </c>
      <c r="E29" s="131">
        <f>IF(SER_hh_tesh!E29=0,0,SER_hh_tesh!E29/SER_summary!E$26)</f>
        <v>30.059692240659366</v>
      </c>
      <c r="F29" s="131">
        <f>IF(SER_hh_tesh!F29=0,0,SER_hh_tesh!F29/SER_summary!F$26)</f>
        <v>30.406829750623483</v>
      </c>
      <c r="G29" s="131">
        <f>IF(SER_hh_tesh!G29=0,0,SER_hh_tesh!G29/SER_summary!G$26)</f>
        <v>31.256654037604356</v>
      </c>
      <c r="H29" s="131">
        <f>IF(SER_hh_tesh!H29=0,0,SER_hh_tesh!H29/SER_summary!H$26)</f>
        <v>31.08143631879059</v>
      </c>
      <c r="I29" s="131">
        <f>IF(SER_hh_tesh!I29=0,0,SER_hh_tesh!I29/SER_summary!I$26)</f>
        <v>30.07371004098114</v>
      </c>
      <c r="J29" s="131">
        <f>IF(SER_hh_tesh!J29=0,0,SER_hh_tesh!J29/SER_summary!J$26)</f>
        <v>29.434464954920514</v>
      </c>
      <c r="K29" s="131">
        <f>IF(SER_hh_tesh!K29=0,0,SER_hh_tesh!K29/SER_summary!K$26)</f>
        <v>30.245177014779312</v>
      </c>
      <c r="L29" s="131">
        <f>IF(SER_hh_tesh!L29=0,0,SER_hh_tesh!L29/SER_summary!L$26)</f>
        <v>29.710238209495166</v>
      </c>
      <c r="M29" s="131">
        <f>IF(SER_hh_tesh!M29=0,0,SER_hh_tesh!M29/SER_summary!M$26)</f>
        <v>29.277511511433197</v>
      </c>
      <c r="N29" s="131">
        <f>IF(SER_hh_tesh!N29=0,0,SER_hh_tesh!N29/SER_summary!N$26)</f>
        <v>29.406758667862199</v>
      </c>
      <c r="O29" s="131">
        <f>IF(SER_hh_tesh!O29=0,0,SER_hh_tesh!O29/SER_summary!O$26)</f>
        <v>29.245894648618904</v>
      </c>
      <c r="P29" s="131">
        <f>IF(SER_hh_tesh!P29=0,0,SER_hh_tesh!P29/SER_summary!P$26)</f>
        <v>29.024368760601664</v>
      </c>
      <c r="Q29" s="131">
        <f>IF(SER_hh_tesh!Q29=0,0,SER_hh_tesh!Q29/SER_summary!Q$26)</f>
        <v>28.933127447474643</v>
      </c>
      <c r="R29" s="131">
        <f>IF(SER_hh_tesh!R29=0,0,SER_hh_tesh!R29/SER_summary!R$26)</f>
        <v>28.684306759492873</v>
      </c>
      <c r="S29" s="131">
        <f>IF(SER_hh_tesh!S29=0,0,SER_hh_tesh!S29/SER_summary!S$26)</f>
        <v>28.415149874461562</v>
      </c>
      <c r="T29" s="131">
        <f>IF(SER_hh_tesh!T29=0,0,SER_hh_tesh!T29/SER_summary!T$26)</f>
        <v>28.073176051415118</v>
      </c>
      <c r="U29" s="131">
        <f>IF(SER_hh_tesh!U29=0,0,SER_hh_tesh!U29/SER_summary!U$26)</f>
        <v>27.477244137835264</v>
      </c>
      <c r="V29" s="131">
        <f>IF(SER_hh_tesh!V29=0,0,SER_hh_tesh!V29/SER_summary!V$26)</f>
        <v>24.989639786869414</v>
      </c>
      <c r="W29" s="131">
        <f>IF(SER_hh_tesh!W29=0,0,SER_hh_tesh!W29/SER_summary!W$26)</f>
        <v>27.758031298816899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13.447483847880463</v>
      </c>
      <c r="C30" s="133">
        <f>IF(SER_hh_tesh!C30=0,0,SER_hh_tesh!C30/SER_summary!C$26)</f>
        <v>21.676530563827523</v>
      </c>
      <c r="D30" s="133">
        <f>IF(SER_hh_tesh!D30=0,0,SER_hh_tesh!D30/SER_summary!D$26)</f>
        <v>34.795138598631901</v>
      </c>
      <c r="E30" s="133">
        <f>IF(SER_hh_tesh!E30=0,0,SER_hh_tesh!E30/SER_summary!E$26)</f>
        <v>35.864641506424967</v>
      </c>
      <c r="F30" s="133">
        <f>IF(SER_hh_tesh!F30=0,0,SER_hh_tesh!F30/SER_summary!F$26)</f>
        <v>38.813223125816926</v>
      </c>
      <c r="G30" s="133">
        <f>IF(SER_hh_tesh!G30=0,0,SER_hh_tesh!G30/SER_summary!G$26)</f>
        <v>30.458988699972068</v>
      </c>
      <c r="H30" s="133">
        <f>IF(SER_hh_tesh!H30=0,0,SER_hh_tesh!H30/SER_summary!H$26)</f>
        <v>35.587283695935234</v>
      </c>
      <c r="I30" s="133">
        <f>IF(SER_hh_tesh!I30=0,0,SER_hh_tesh!I30/SER_summary!I$26)</f>
        <v>19.659598566798991</v>
      </c>
      <c r="J30" s="133">
        <f>IF(SER_hh_tesh!J30=0,0,SER_hh_tesh!J30/SER_summary!J$26)</f>
        <v>6.9482821184401589</v>
      </c>
      <c r="K30" s="133">
        <f>IF(SER_hh_tesh!K30=0,0,SER_hh_tesh!K30/SER_summary!K$26)</f>
        <v>33.264092279449059</v>
      </c>
      <c r="L30" s="133">
        <f>IF(SER_hh_tesh!L30=0,0,SER_hh_tesh!L30/SER_summary!L$26)</f>
        <v>57.901513030019856</v>
      </c>
      <c r="M30" s="133">
        <f>IF(SER_hh_tesh!M30=0,0,SER_hh_tesh!M30/SER_summary!M$26)</f>
        <v>6.8822115710797895</v>
      </c>
      <c r="N30" s="133">
        <f>IF(SER_hh_tesh!N30=0,0,SER_hh_tesh!N30/SER_summary!N$26)</f>
        <v>34.020043746620047</v>
      </c>
      <c r="O30" s="133">
        <f>IF(SER_hh_tesh!O30=0,0,SER_hh_tesh!O30/SER_summary!O$26)</f>
        <v>32.829190078433868</v>
      </c>
      <c r="P30" s="133">
        <f>IF(SER_hh_tesh!P30=0,0,SER_hh_tesh!P30/SER_summary!P$26)</f>
        <v>30.09449790962433</v>
      </c>
      <c r="Q30" s="133">
        <f>IF(SER_hh_tesh!Q30=0,0,SER_hh_tesh!Q30/SER_summary!Q$26)</f>
        <v>28.530066246024877</v>
      </c>
      <c r="R30" s="133">
        <f>IF(SER_hh_tesh!R30=0,0,SER_hh_tesh!R30/SER_summary!R$26)</f>
        <v>30.242237600946495</v>
      </c>
      <c r="S30" s="133">
        <f>IF(SER_hh_tesh!S30=0,0,SER_hh_tesh!S30/SER_summary!S$26)</f>
        <v>20.321469303634515</v>
      </c>
      <c r="T30" s="133">
        <f>IF(SER_hh_tesh!T30=0,0,SER_hh_tesh!T30/SER_summary!T$26)</f>
        <v>31.061566400907061</v>
      </c>
      <c r="U30" s="133">
        <f>IF(SER_hh_tesh!U30=0,0,SER_hh_tesh!U30/SER_summary!U$26)</f>
        <v>28.342352776908758</v>
      </c>
      <c r="V30" s="133">
        <f>IF(SER_hh_tesh!V30=0,0,SER_hh_tesh!V30/SER_summary!V$26)</f>
        <v>23.454723204010911</v>
      </c>
      <c r="W30" s="133">
        <f>IF(SER_hh_tesh!W30=0,0,SER_hh_tesh!W30/SER_summary!W$26)</f>
        <v>26.75764050092857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28.6211338964657</v>
      </c>
      <c r="C31" s="133">
        <f>IF(SER_hh_tesh!C31=0,0,SER_hh_tesh!C31/SER_summary!C$26)</f>
        <v>28.510905197249514</v>
      </c>
      <c r="D31" s="133">
        <f>IF(SER_hh_tesh!D31=0,0,SER_hh_tesh!D31/SER_summary!D$26)</f>
        <v>30.161886128919384</v>
      </c>
      <c r="E31" s="133">
        <f>IF(SER_hh_tesh!E31=0,0,SER_hh_tesh!E31/SER_summary!E$26)</f>
        <v>30.101599846696814</v>
      </c>
      <c r="F31" s="133">
        <f>IF(SER_hh_tesh!F31=0,0,SER_hh_tesh!F31/SER_summary!F$26)</f>
        <v>23.575724311739872</v>
      </c>
      <c r="G31" s="133">
        <f>IF(SER_hh_tesh!G31=0,0,SER_hh_tesh!G31/SER_summary!G$26)</f>
        <v>31.568209183445269</v>
      </c>
      <c r="H31" s="133">
        <f>IF(SER_hh_tesh!H31=0,0,SER_hh_tesh!H31/SER_summary!H$26)</f>
        <v>31.496568176733582</v>
      </c>
      <c r="I31" s="133">
        <f>IF(SER_hh_tesh!I31=0,0,SER_hh_tesh!I31/SER_summary!I$26)</f>
        <v>31.221247132359778</v>
      </c>
      <c r="J31" s="133">
        <f>IF(SER_hh_tesh!J31=0,0,SER_hh_tesh!J31/SER_summary!J$26)</f>
        <v>30.542134403095087</v>
      </c>
      <c r="K31" s="133">
        <f>IF(SER_hh_tesh!K31=0,0,SER_hh_tesh!K31/SER_summary!K$26)</f>
        <v>30.199386432960846</v>
      </c>
      <c r="L31" s="133">
        <f>IF(SER_hh_tesh!L31=0,0,SER_hh_tesh!L31/SER_summary!L$26)</f>
        <v>29.889383078030797</v>
      </c>
      <c r="M31" s="133">
        <f>IF(SER_hh_tesh!M31=0,0,SER_hh_tesh!M31/SER_summary!M$26)</f>
        <v>26.851253744384643</v>
      </c>
      <c r="N31" s="133">
        <f>IF(SER_hh_tesh!N31=0,0,SER_hh_tesh!N31/SER_summary!N$26)</f>
        <v>28.093135251916298</v>
      </c>
      <c r="O31" s="133">
        <f>IF(SER_hh_tesh!O31=0,0,SER_hh_tesh!O31/SER_summary!O$26)</f>
        <v>30.113226706665269</v>
      </c>
      <c r="P31" s="133">
        <f>IF(SER_hh_tesh!P31=0,0,SER_hh_tesh!P31/SER_summary!P$26)</f>
        <v>28.96411642481479</v>
      </c>
      <c r="Q31" s="133">
        <f>IF(SER_hh_tesh!Q31=0,0,SER_hh_tesh!Q31/SER_summary!Q$26)</f>
        <v>30.253219149227434</v>
      </c>
      <c r="R31" s="133">
        <f>IF(SER_hh_tesh!R31=0,0,SER_hh_tesh!R31/SER_summary!R$26)</f>
        <v>29.895401756058391</v>
      </c>
      <c r="S31" s="133">
        <f>IF(SER_hh_tesh!S31=0,0,SER_hh_tesh!S31/SER_summary!S$26)</f>
        <v>29.087359368500124</v>
      </c>
      <c r="T31" s="133">
        <f>IF(SER_hh_tesh!T31=0,0,SER_hh_tesh!T31/SER_summary!T$26)</f>
        <v>26.520686896228131</v>
      </c>
      <c r="U31" s="133">
        <f>IF(SER_hh_tesh!U31=0,0,SER_hh_tesh!U31/SER_summary!U$26)</f>
        <v>22.036996708873382</v>
      </c>
      <c r="V31" s="133">
        <f>IF(SER_hh_tesh!V31=0,0,SER_hh_tesh!V31/SER_summary!V$26)</f>
        <v>19.97840528400592</v>
      </c>
      <c r="W31" s="133">
        <f>IF(SER_hh_tesh!W31=0,0,SER_hh_tesh!W31/SER_summary!W$26)</f>
        <v>32.605983296803991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32.27796589344225</v>
      </c>
      <c r="C33" s="68">
        <f>IF(SER_hh_tesh!C33=0,0,SER_hh_tesh!C33/SER_summary!C$26)</f>
        <v>32.09810486876615</v>
      </c>
      <c r="D33" s="68">
        <f>IF(SER_hh_tesh!D33=0,0,SER_hh_tesh!D33/SER_summary!D$26)</f>
        <v>23.643258473074283</v>
      </c>
      <c r="E33" s="68">
        <f>IF(SER_hh_tesh!E33=0,0,SER_hh_tesh!E33/SER_summary!E$26)</f>
        <v>24.745478581583971</v>
      </c>
      <c r="F33" s="68">
        <f>IF(SER_hh_tesh!F33=0,0,SER_hh_tesh!F33/SER_summary!F$26)</f>
        <v>30.530815587179571</v>
      </c>
      <c r="G33" s="68">
        <f>IF(SER_hh_tesh!G33=0,0,SER_hh_tesh!G33/SER_summary!G$26)</f>
        <v>31.503583190216826</v>
      </c>
      <c r="H33" s="68">
        <f>IF(SER_hh_tesh!H33=0,0,SER_hh_tesh!H33/SER_summary!H$26)</f>
        <v>28.845138549055225</v>
      </c>
      <c r="I33" s="68">
        <f>IF(SER_hh_tesh!I33=0,0,SER_hh_tesh!I33/SER_summary!I$26)</f>
        <v>31.243850701689279</v>
      </c>
      <c r="J33" s="68">
        <f>IF(SER_hh_tesh!J33=0,0,SER_hh_tesh!J33/SER_summary!J$26)</f>
        <v>31.479863426675994</v>
      </c>
      <c r="K33" s="68">
        <f>IF(SER_hh_tesh!K33=0,0,SER_hh_tesh!K33/SER_summary!K$26)</f>
        <v>29.882642933264858</v>
      </c>
      <c r="L33" s="68">
        <f>IF(SER_hh_tesh!L33=0,0,SER_hh_tesh!L33/SER_summary!L$26)</f>
        <v>25.98198852614912</v>
      </c>
      <c r="M33" s="68">
        <f>IF(SER_hh_tesh!M33=0,0,SER_hh_tesh!M33/SER_summary!M$26)</f>
        <v>33.359261220690222</v>
      </c>
      <c r="N33" s="68">
        <f>IF(SER_hh_tesh!N33=0,0,SER_hh_tesh!N33/SER_summary!N$26)</f>
        <v>29.674448382868984</v>
      </c>
      <c r="O33" s="68">
        <f>IF(SER_hh_tesh!O33=0,0,SER_hh_tesh!O33/SER_summary!O$26)</f>
        <v>28.072327299214951</v>
      </c>
      <c r="P33" s="68">
        <f>IF(SER_hh_tesh!P33=0,0,SER_hh_tesh!P33/SER_summary!P$26)</f>
        <v>28.930816996323298</v>
      </c>
      <c r="Q33" s="68">
        <f>IF(SER_hh_tesh!Q33=0,0,SER_hh_tesh!Q33/SER_summary!Q$26)</f>
        <v>27.669630926678639</v>
      </c>
      <c r="R33" s="68">
        <f>IF(SER_hh_tesh!R33=0,0,SER_hh_tesh!R33/SER_summary!R$26)</f>
        <v>27.394290238446942</v>
      </c>
      <c r="S33" s="68">
        <f>IF(SER_hh_tesh!S33=0,0,SER_hh_tesh!S33/SER_summary!S$26)</f>
        <v>28.353111361264279</v>
      </c>
      <c r="T33" s="68">
        <f>IF(SER_hh_tesh!T33=0,0,SER_hh_tesh!T33/SER_summary!T$26)</f>
        <v>29.088130869096684</v>
      </c>
      <c r="U33" s="68">
        <f>IF(SER_hh_tesh!U33=0,0,SER_hh_tesh!U33/SER_summary!U$26)</f>
        <v>31.410088569194514</v>
      </c>
      <c r="V33" s="68">
        <f>IF(SER_hh_tesh!V33=0,0,SER_hh_tesh!V33/SER_summary!V$26)</f>
        <v>28.554337353926293</v>
      </c>
      <c r="W33" s="68">
        <f>IF(SER_hh_tesh!W33=0,0,SER_hh_tesh!W33/SER_summary!W$26)</f>
        <v>24.622515989849017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154.9953677813171</v>
      </c>
      <c r="C3" s="126">
        <f>IF(SER_hh_emih!C3=0,0,SER_hh_emih!C3/SER_summary!C$26)</f>
        <v>92.234372233202166</v>
      </c>
      <c r="D3" s="126">
        <f>IF(SER_hh_emih!D3=0,0,SER_hh_emih!D3/SER_summary!D$26)</f>
        <v>76.381029920367567</v>
      </c>
      <c r="E3" s="126">
        <f>IF(SER_hh_emih!E3=0,0,SER_hh_emih!E3/SER_summary!E$26)</f>
        <v>50.134691273621641</v>
      </c>
      <c r="F3" s="126">
        <f>IF(SER_hh_emih!F3=0,0,SER_hh_emih!F3/SER_summary!F$26)</f>
        <v>52.778482019458117</v>
      </c>
      <c r="G3" s="126">
        <f>IF(SER_hh_emih!G3=0,0,SER_hh_emih!G3/SER_summary!G$26)</f>
        <v>81.215216186733642</v>
      </c>
      <c r="H3" s="126">
        <f>IF(SER_hh_emih!H3=0,0,SER_hh_emih!H3/SER_summary!H$26)</f>
        <v>89.82579342965434</v>
      </c>
      <c r="I3" s="126">
        <f>IF(SER_hh_emih!I3=0,0,SER_hh_emih!I3/SER_summary!I$26)</f>
        <v>86.061428299347497</v>
      </c>
      <c r="J3" s="126">
        <f>IF(SER_hh_emih!J3=0,0,SER_hh_emih!J3/SER_summary!J$26)</f>
        <v>91.198234299269217</v>
      </c>
      <c r="K3" s="126">
        <f>IF(SER_hh_emih!K3=0,0,SER_hh_emih!K3/SER_summary!K$26)</f>
        <v>103.58900407031766</v>
      </c>
      <c r="L3" s="126">
        <f>IF(SER_hh_emih!L3=0,0,SER_hh_emih!L3/SER_summary!L$26)</f>
        <v>92.593235318676804</v>
      </c>
      <c r="M3" s="126">
        <f>IF(SER_hh_emih!M3=0,0,SER_hh_emih!M3/SER_summary!M$26)</f>
        <v>62.819664213059326</v>
      </c>
      <c r="N3" s="126">
        <f>IF(SER_hh_emih!N3=0,0,SER_hh_emih!N3/SER_summary!N$26)</f>
        <v>55.207130319684552</v>
      </c>
      <c r="O3" s="126">
        <f>IF(SER_hh_emih!O3=0,0,SER_hh_emih!O3/SER_summary!O$26)</f>
        <v>71.281936556034694</v>
      </c>
      <c r="P3" s="126">
        <f>IF(SER_hh_emih!P3=0,0,SER_hh_emih!P3/SER_summary!P$26)</f>
        <v>47.847727628527167</v>
      </c>
      <c r="Q3" s="126">
        <f>IF(SER_hh_emih!Q3=0,0,SER_hh_emih!Q3/SER_summary!Q$26)</f>
        <v>49.004425602050539</v>
      </c>
      <c r="R3" s="126">
        <f>IF(SER_hh_emih!R3=0,0,SER_hh_emih!R3/SER_summary!R$26)</f>
        <v>41.3095363923508</v>
      </c>
      <c r="S3" s="126">
        <f>IF(SER_hh_emih!S3=0,0,SER_hh_emih!S3/SER_summary!S$26)</f>
        <v>45.191871736862396</v>
      </c>
      <c r="T3" s="126">
        <f>IF(SER_hh_emih!T3=0,0,SER_hh_emih!T3/SER_summary!T$26)</f>
        <v>39.683960074045352</v>
      </c>
      <c r="U3" s="126">
        <f>IF(SER_hh_emih!U3=0,0,SER_hh_emih!U3/SER_summary!U$26)</f>
        <v>39.244164962658516</v>
      </c>
      <c r="V3" s="126">
        <f>IF(SER_hh_emih!V3=0,0,SER_hh_emih!V3/SER_summary!V$26)</f>
        <v>28.257850988546394</v>
      </c>
      <c r="W3" s="126">
        <f>IF(SER_hh_emih!W3=0,0,SER_hh_emih!W3/SER_summary!W$26)</f>
        <v>41.860222251443368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148.13198857731373</v>
      </c>
      <c r="C4" s="131">
        <f>IF(SER_hh_emih!C4=0,0,SER_hh_emih!C4/SER_summary!C$26)</f>
        <v>83.845959897487191</v>
      </c>
      <c r="D4" s="131">
        <f>IF(SER_hh_emih!D4=0,0,SER_hh_emih!D4/SER_summary!D$26)</f>
        <v>66.084492570417709</v>
      </c>
      <c r="E4" s="131">
        <f>IF(SER_hh_emih!E4=0,0,SER_hh_emih!E4/SER_summary!E$26)</f>
        <v>40.370037538858021</v>
      </c>
      <c r="F4" s="131">
        <f>IF(SER_hh_emih!F4=0,0,SER_hh_emih!F4/SER_summary!F$26)</f>
        <v>43.461773706326575</v>
      </c>
      <c r="G4" s="131">
        <f>IF(SER_hh_emih!G4=0,0,SER_hh_emih!G4/SER_summary!G$26)</f>
        <v>72.585988825816003</v>
      </c>
      <c r="H4" s="131">
        <f>IF(SER_hh_emih!H4=0,0,SER_hh_emih!H4/SER_summary!H$26)</f>
        <v>81.204054312286829</v>
      </c>
      <c r="I4" s="131">
        <f>IF(SER_hh_emih!I4=0,0,SER_hh_emih!I4/SER_summary!I$26)</f>
        <v>78.351768276172351</v>
      </c>
      <c r="J4" s="131">
        <f>IF(SER_hh_emih!J4=0,0,SER_hh_emih!J4/SER_summary!J$26)</f>
        <v>83.97033974852684</v>
      </c>
      <c r="K4" s="131">
        <f>IF(SER_hh_emih!K4=0,0,SER_hh_emih!K4/SER_summary!K$26)</f>
        <v>95.707837298597966</v>
      </c>
      <c r="L4" s="131">
        <f>IF(SER_hh_emih!L4=0,0,SER_hh_emih!L4/SER_summary!L$26)</f>
        <v>84.137188700279808</v>
      </c>
      <c r="M4" s="131">
        <f>IF(SER_hh_emih!M4=0,0,SER_hh_emih!M4/SER_summary!M$26)</f>
        <v>56.163986234950571</v>
      </c>
      <c r="N4" s="131">
        <f>IF(SER_hh_emih!N4=0,0,SER_hh_emih!N4/SER_summary!N$26)</f>
        <v>46.796278917997846</v>
      </c>
      <c r="O4" s="131">
        <f>IF(SER_hh_emih!O4=0,0,SER_hh_emih!O4/SER_summary!O$26)</f>
        <v>61.906528235934047</v>
      </c>
      <c r="P4" s="131">
        <f>IF(SER_hh_emih!P4=0,0,SER_hh_emih!P4/SER_summary!P$26)</f>
        <v>38.289413377154595</v>
      </c>
      <c r="Q4" s="131">
        <f>IF(SER_hh_emih!Q4=0,0,SER_hh_emih!Q4/SER_summary!Q$26)</f>
        <v>39.220738639670124</v>
      </c>
      <c r="R4" s="131">
        <f>IF(SER_hh_emih!R4=0,0,SER_hh_emih!R4/SER_summary!R$26)</f>
        <v>32.358830228281235</v>
      </c>
      <c r="S4" s="131">
        <f>IF(SER_hh_emih!S4=0,0,SER_hh_emih!S4/SER_summary!S$26)</f>
        <v>37.07507461201287</v>
      </c>
      <c r="T4" s="131">
        <f>IF(SER_hh_emih!T4=0,0,SER_hh_emih!T4/SER_summary!T$26)</f>
        <v>32.552759078504479</v>
      </c>
      <c r="U4" s="131">
        <f>IF(SER_hh_emih!U4=0,0,SER_hh_emih!U4/SER_summary!U$26)</f>
        <v>32.916835770323672</v>
      </c>
      <c r="V4" s="131">
        <f>IF(SER_hh_emih!V4=0,0,SER_hh_emih!V4/SER_summary!V$26)</f>
        <v>23.756942488440213</v>
      </c>
      <c r="W4" s="131">
        <f>IF(SER_hh_emih!W4=0,0,SER_hh_emih!W4/SER_summary!W$26)</f>
        <v>34.820754447372352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263.60958424925502</v>
      </c>
      <c r="C5" s="133">
        <f>IF(SER_hh_emih!C5=0,0,SER_hh_emih!C5/SER_summary!C$26)</f>
        <v>212.76733978180198</v>
      </c>
      <c r="D5" s="133">
        <f>IF(SER_hh_emih!D5=0,0,SER_hh_emih!D5/SER_summary!D$26)</f>
        <v>294.04655699211077</v>
      </c>
      <c r="E5" s="133">
        <f>IF(SER_hh_emih!E5=0,0,SER_hh_emih!E5/SER_summary!E$26)</f>
        <v>71.570748977441752</v>
      </c>
      <c r="F5" s="133">
        <f>IF(SER_hh_emih!F5=0,0,SER_hh_emih!F5/SER_summary!F$26)</f>
        <v>272.92881742737478</v>
      </c>
      <c r="G5" s="133">
        <f>IF(SER_hh_emih!G5=0,0,SER_hh_emih!G5/SER_summary!G$26)</f>
        <v>62.39904802394576</v>
      </c>
      <c r="H5" s="133">
        <f>IF(SER_hh_emih!H5=0,0,SER_hh_emih!H5/SER_summary!H$26)</f>
        <v>146.87301456883139</v>
      </c>
      <c r="I5" s="133">
        <f>IF(SER_hh_emih!I5=0,0,SER_hh_emih!I5/SER_summary!I$26)</f>
        <v>162.91930434125598</v>
      </c>
      <c r="J5" s="133">
        <f>IF(SER_hh_emih!J5=0,0,SER_hh_emih!J5/SER_summary!J$26)</f>
        <v>162.91698205573257</v>
      </c>
      <c r="K5" s="133">
        <f>IF(SER_hh_emih!K5=0,0,SER_hh_emih!K5/SER_summary!K$26)</f>
        <v>302.34522278764371</v>
      </c>
      <c r="L5" s="133">
        <f>IF(SER_hh_emih!L5=0,0,SER_hh_emih!L5/SER_summary!L$26)</f>
        <v>159.35782459223898</v>
      </c>
      <c r="M5" s="133">
        <f>IF(SER_hh_emih!M5=0,0,SER_hh_emih!M5/SER_summary!M$26)</f>
        <v>191.57231400006205</v>
      </c>
      <c r="N5" s="133">
        <f>IF(SER_hh_emih!N5=0,0,SER_hh_emih!N5/SER_summary!N$26)</f>
        <v>68.899953108392282</v>
      </c>
      <c r="O5" s="133">
        <f>IF(SER_hh_emih!O5=0,0,SER_hh_emih!O5/SER_summary!O$26)</f>
        <v>142.65028726265405</v>
      </c>
      <c r="P5" s="133">
        <f>IF(SER_hh_emih!P5=0,0,SER_hh_emih!P5/SER_summary!P$26)</f>
        <v>98.450342975778042</v>
      </c>
      <c r="Q5" s="133">
        <f>IF(SER_hh_emih!Q5=0,0,SER_hh_emih!Q5/SER_summary!Q$26)</f>
        <v>111.93637154966366</v>
      </c>
      <c r="R5" s="133">
        <f>IF(SER_hh_emih!R5=0,0,SER_hh_emih!R5/SER_summary!R$26)</f>
        <v>71.085251176269921</v>
      </c>
      <c r="S5" s="133">
        <f>IF(SER_hh_emih!S5=0,0,SER_hh_emih!S5/SER_summary!S$26)</f>
        <v>85.962847583002031</v>
      </c>
      <c r="T5" s="133">
        <f>IF(SER_hh_emih!T5=0,0,SER_hh_emih!T5/SER_summary!T$26)</f>
        <v>90.253977606725428</v>
      </c>
      <c r="U5" s="133">
        <f>IF(SER_hh_emih!U5=0,0,SER_hh_emih!U5/SER_summary!U$26)</f>
        <v>133.28676444765864</v>
      </c>
      <c r="V5" s="133">
        <f>IF(SER_hh_emih!V5=0,0,SER_hh_emih!V5/SER_summary!V$26)</f>
        <v>56.964010448665029</v>
      </c>
      <c r="W5" s="133">
        <f>IF(SER_hh_emih!W5=0,0,SER_hh_emih!W5/SER_summary!W$26)</f>
        <v>82.908401715076224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32.194261474691785</v>
      </c>
      <c r="C7" s="133">
        <f>IF(SER_hh_emih!C7=0,0,SER_hh_emih!C7/SER_summary!C$26)</f>
        <v>267.51350950414104</v>
      </c>
      <c r="D7" s="133">
        <f>IF(SER_hh_emih!D7=0,0,SER_hh_emih!D7/SER_summary!D$26)</f>
        <v>188.68049346004833</v>
      </c>
      <c r="E7" s="133">
        <f>IF(SER_hh_emih!E7=0,0,SER_hh_emih!E7/SER_summary!E$26)</f>
        <v>68.923067112256319</v>
      </c>
      <c r="F7" s="133">
        <f>IF(SER_hh_emih!F7=0,0,SER_hh_emih!F7/SER_summary!F$26)</f>
        <v>186.7657933851483</v>
      </c>
      <c r="G7" s="133">
        <f>IF(SER_hh_emih!G7=0,0,SER_hh_emih!G7/SER_summary!G$26)</f>
        <v>214.37602551028985</v>
      </c>
      <c r="H7" s="133">
        <f>IF(SER_hh_emih!H7=0,0,SER_hh_emih!H7/SER_summary!H$26)</f>
        <v>185.93889376679857</v>
      </c>
      <c r="I7" s="133">
        <f>IF(SER_hh_emih!I7=0,0,SER_hh_emih!I7/SER_summary!I$26)</f>
        <v>19.702797829747524</v>
      </c>
      <c r="J7" s="133">
        <f>IF(SER_hh_emih!J7=0,0,SER_hh_emih!J7/SER_summary!J$26)</f>
        <v>121.71794265720877</v>
      </c>
      <c r="K7" s="133">
        <f>IF(SER_hh_emih!K7=0,0,SER_hh_emih!K7/SER_summary!K$26)</f>
        <v>370.09590768626464</v>
      </c>
      <c r="L7" s="133">
        <f>IF(SER_hh_emih!L7=0,0,SER_hh_emih!L7/SER_summary!L$26)</f>
        <v>0</v>
      </c>
      <c r="M7" s="133">
        <f>IF(SER_hh_emih!M7=0,0,SER_hh_emih!M7/SER_summary!M$26)</f>
        <v>0</v>
      </c>
      <c r="N7" s="133">
        <f>IF(SER_hh_emih!N7=0,0,SER_hh_emih!N7/SER_summary!N$26)</f>
        <v>0</v>
      </c>
      <c r="O7" s="133">
        <f>IF(SER_hh_emih!O7=0,0,SER_hh_emih!O7/SER_summary!O$26)</f>
        <v>33.589275921830541</v>
      </c>
      <c r="P7" s="133">
        <f>IF(SER_hh_emih!P7=0,0,SER_hh_emih!P7/SER_summary!P$26)</f>
        <v>83.322753499468604</v>
      </c>
      <c r="Q7" s="133">
        <f>IF(SER_hh_emih!Q7=0,0,SER_hh_emih!Q7/SER_summary!Q$26)</f>
        <v>84.414428452971109</v>
      </c>
      <c r="R7" s="133">
        <f>IF(SER_hh_emih!R7=0,0,SER_hh_emih!R7/SER_summary!R$26)</f>
        <v>56.326078895014177</v>
      </c>
      <c r="S7" s="133">
        <f>IF(SER_hh_emih!S7=0,0,SER_hh_emih!S7/SER_summary!S$26)</f>
        <v>44.670754447828152</v>
      </c>
      <c r="T7" s="133">
        <f>IF(SER_hh_emih!T7=0,0,SER_hh_emih!T7/SER_summary!T$26)</f>
        <v>30.804868372352985</v>
      </c>
      <c r="U7" s="133">
        <f>IF(SER_hh_emih!U7=0,0,SER_hh_emih!U7/SER_summary!U$26)</f>
        <v>79.634060191848505</v>
      </c>
      <c r="V7" s="133">
        <f>IF(SER_hh_emih!V7=0,0,SER_hh_emih!V7/SER_summary!V$26)</f>
        <v>46.838090711204032</v>
      </c>
      <c r="W7" s="133">
        <f>IF(SER_hh_emih!W7=0,0,SER_hh_emih!W7/SER_summary!W$26)</f>
        <v>47.859226385463096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70.320663350788905</v>
      </c>
      <c r="C8" s="133">
        <f>IF(SER_hh_emih!C8=0,0,SER_hh_emih!C8/SER_summary!C$26)</f>
        <v>62.637855355646181</v>
      </c>
      <c r="D8" s="133">
        <f>IF(SER_hh_emih!D8=0,0,SER_hh_emih!D8/SER_summary!D$26)</f>
        <v>46.379719354720621</v>
      </c>
      <c r="E8" s="133">
        <f>IF(SER_hh_emih!E8=0,0,SER_hh_emih!E8/SER_summary!E$26)</f>
        <v>46.656331039545101</v>
      </c>
      <c r="F8" s="133">
        <f>IF(SER_hh_emih!F8=0,0,SER_hh_emih!F8/SER_summary!F$26)</f>
        <v>48.776414805701599</v>
      </c>
      <c r="G8" s="133">
        <f>IF(SER_hh_emih!G8=0,0,SER_hh_emih!G8/SER_summary!G$26)</f>
        <v>50.989657329718455</v>
      </c>
      <c r="H8" s="133">
        <f>IF(SER_hh_emih!H8=0,0,SER_hh_emih!H8/SER_summary!H$26)</f>
        <v>53.038251288222128</v>
      </c>
      <c r="I8" s="133">
        <f>IF(SER_hh_emih!I8=0,0,SER_hh_emih!I8/SER_summary!I$26)</f>
        <v>50.268855849660113</v>
      </c>
      <c r="J8" s="133">
        <f>IF(SER_hh_emih!J8=0,0,SER_hh_emih!J8/SER_summary!J$26)</f>
        <v>46.913413266570714</v>
      </c>
      <c r="K8" s="133">
        <f>IF(SER_hh_emih!K8=0,0,SER_hh_emih!K8/SER_summary!K$26)</f>
        <v>42.08379806672739</v>
      </c>
      <c r="L8" s="133">
        <f>IF(SER_hh_emih!L8=0,0,SER_hh_emih!L8/SER_summary!L$26)</f>
        <v>35.146506778818591</v>
      </c>
      <c r="M8" s="133">
        <f>IF(SER_hh_emih!M8=0,0,SER_hh_emih!M8/SER_summary!M$26)</f>
        <v>30.078254266332635</v>
      </c>
      <c r="N8" s="133">
        <f>IF(SER_hh_emih!N8=0,0,SER_hh_emih!N8/SER_summary!N$26)</f>
        <v>21.833775127722951</v>
      </c>
      <c r="O8" s="133">
        <f>IF(SER_hh_emih!O8=0,0,SER_hh_emih!O8/SER_summary!O$26)</f>
        <v>22.696969369343822</v>
      </c>
      <c r="P8" s="133">
        <f>IF(SER_hh_emih!P8=0,0,SER_hh_emih!P8/SER_summary!P$26)</f>
        <v>18.362281851318791</v>
      </c>
      <c r="Q8" s="133">
        <f>IF(SER_hh_emih!Q8=0,0,SER_hh_emih!Q8/SER_summary!Q$26)</f>
        <v>18.442637109823025</v>
      </c>
      <c r="R8" s="133">
        <f>IF(SER_hh_emih!R8=0,0,SER_hh_emih!R8/SER_summary!R$26)</f>
        <v>16.472890577041408</v>
      </c>
      <c r="S8" s="133">
        <f>IF(SER_hh_emih!S8=0,0,SER_hh_emih!S8/SER_summary!S$26)</f>
        <v>16.399302084781056</v>
      </c>
      <c r="T8" s="133">
        <f>IF(SER_hh_emih!T8=0,0,SER_hh_emih!T8/SER_summary!T$26)</f>
        <v>15.158540420751295</v>
      </c>
      <c r="U8" s="133">
        <f>IF(SER_hh_emih!U8=0,0,SER_hh_emih!U8/SER_summary!U$26)</f>
        <v>12.559878649203362</v>
      </c>
      <c r="V8" s="133">
        <f>IF(SER_hh_emih!V8=0,0,SER_hh_emih!V8/SER_summary!V$26)</f>
        <v>13.251870660585688</v>
      </c>
      <c r="W8" s="133">
        <f>IF(SER_hh_emih!W8=0,0,SER_hh_emih!W8/SER_summary!W$26)</f>
        <v>13.976099516237188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219.22478567735178</v>
      </c>
      <c r="C9" s="133">
        <f>IF(SER_hh_emih!C9=0,0,SER_hh_emih!C9/SER_summary!C$26)</f>
        <v>127.12233138673696</v>
      </c>
      <c r="D9" s="133">
        <f>IF(SER_hh_emih!D9=0,0,SER_hh_emih!D9/SER_summary!D$26)</f>
        <v>95.586954680258387</v>
      </c>
      <c r="E9" s="133">
        <f>IF(SER_hh_emih!E9=0,0,SER_hh_emih!E9/SER_summary!E$26)</f>
        <v>100.885378523405</v>
      </c>
      <c r="F9" s="133">
        <f>IF(SER_hh_emih!F9=0,0,SER_hh_emih!F9/SER_summary!F$26)</f>
        <v>58.945368328149698</v>
      </c>
      <c r="G9" s="133">
        <f>IF(SER_hh_emih!G9=0,0,SER_hh_emih!G9/SER_summary!G$26)</f>
        <v>142.73188051025497</v>
      </c>
      <c r="H9" s="133">
        <f>IF(SER_hh_emih!H9=0,0,SER_hh_emih!H9/SER_summary!H$26)</f>
        <v>130.7934494889343</v>
      </c>
      <c r="I9" s="133">
        <f>IF(SER_hh_emih!I9=0,0,SER_hh_emih!I9/SER_summary!I$26)</f>
        <v>112.88312435862126</v>
      </c>
      <c r="J9" s="133">
        <f>IF(SER_hh_emih!J9=0,0,SER_hh_emih!J9/SER_summary!J$26)</f>
        <v>116.83864889172661</v>
      </c>
      <c r="K9" s="133">
        <f>IF(SER_hh_emih!K9=0,0,SER_hh_emih!K9/SER_summary!K$26)</f>
        <v>82.019310747147671</v>
      </c>
      <c r="L9" s="133">
        <f>IF(SER_hh_emih!L9=0,0,SER_hh_emih!L9/SER_summary!L$26)</f>
        <v>131.59934425709008</v>
      </c>
      <c r="M9" s="133">
        <f>IF(SER_hh_emih!M9=0,0,SER_hh_emih!M9/SER_summary!M$26)</f>
        <v>48.193258932677267</v>
      </c>
      <c r="N9" s="133">
        <f>IF(SER_hh_emih!N9=0,0,SER_hh_emih!N9/SER_summary!N$26)</f>
        <v>77.496896188687856</v>
      </c>
      <c r="O9" s="133">
        <f>IF(SER_hh_emih!O9=0,0,SER_hh_emih!O9/SER_summary!O$26)</f>
        <v>89.298481356188304</v>
      </c>
      <c r="P9" s="133">
        <f>IF(SER_hh_emih!P9=0,0,SER_hh_emih!P9/SER_summary!P$26)</f>
        <v>49.838942918361219</v>
      </c>
      <c r="Q9" s="133">
        <f>IF(SER_hh_emih!Q9=0,0,SER_hh_emih!Q9/SER_summary!Q$26)</f>
        <v>53.965128779070717</v>
      </c>
      <c r="R9" s="133">
        <f>IF(SER_hh_emih!R9=0,0,SER_hh_emih!R9/SER_summary!R$26)</f>
        <v>52.934321594407393</v>
      </c>
      <c r="S9" s="133">
        <f>IF(SER_hh_emih!S9=0,0,SER_hh_emih!S9/SER_summary!S$26)</f>
        <v>59.74770909374697</v>
      </c>
      <c r="T9" s="133">
        <f>IF(SER_hh_emih!T9=0,0,SER_hh_emih!T9/SER_summary!T$26)</f>
        <v>51.583422984727193</v>
      </c>
      <c r="U9" s="133">
        <f>IF(SER_hh_emih!U9=0,0,SER_hh_emih!U9/SER_summary!U$26)</f>
        <v>40.727729758391504</v>
      </c>
      <c r="V9" s="133">
        <f>IF(SER_hh_emih!V9=0,0,SER_hh_emih!V9/SER_summary!V$26)</f>
        <v>37.156020054583344</v>
      </c>
      <c r="W9" s="133">
        <f>IF(SER_hh_emih!W9=0,0,SER_hh_emih!W9/SER_summary!W$26)</f>
        <v>56.088746892257213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4.9752882853471654</v>
      </c>
      <c r="C10" s="133">
        <f>IF(SER_hh_emih!C10=0,0,SER_hh_emih!C10/SER_summary!C$26)</f>
        <v>146.27431935103874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86.955619806795127</v>
      </c>
      <c r="K10" s="133">
        <f>IF(SER_hh_emih!K10=0,0,SER_hh_emih!K10/SER_summary!K$26)</f>
        <v>106.70601851173755</v>
      </c>
      <c r="L10" s="133">
        <f>IF(SER_hh_emih!L10=0,0,SER_hh_emih!L10/SER_summary!L$26)</f>
        <v>99.782241221787771</v>
      </c>
      <c r="M10" s="133">
        <f>IF(SER_hh_emih!M10=0,0,SER_hh_emih!M10/SER_summary!M$26)</f>
        <v>59.382833587783729</v>
      </c>
      <c r="N10" s="133">
        <f>IF(SER_hh_emih!N10=0,0,SER_hh_emih!N10/SER_summary!N$26)</f>
        <v>90.765789048277441</v>
      </c>
      <c r="O10" s="133">
        <f>IF(SER_hh_emih!O10=0,0,SER_hh_emih!O10/SER_summary!O$26)</f>
        <v>19.018452023482709</v>
      </c>
      <c r="P10" s="133">
        <f>IF(SER_hh_emih!P10=0,0,SER_hh_emih!P10/SER_summary!P$26)</f>
        <v>157.6849042524214</v>
      </c>
      <c r="Q10" s="133">
        <f>IF(SER_hh_emih!Q10=0,0,SER_hh_emih!Q10/SER_summary!Q$26)</f>
        <v>85.568183860314008</v>
      </c>
      <c r="R10" s="133">
        <f>IF(SER_hh_emih!R10=0,0,SER_hh_emih!R10/SER_summary!R$26)</f>
        <v>10.68977717257301</v>
      </c>
      <c r="S10" s="133">
        <f>IF(SER_hh_emih!S10=0,0,SER_hh_emih!S10/SER_summary!S$26)</f>
        <v>49.566725553218831</v>
      </c>
      <c r="T10" s="133">
        <f>IF(SER_hh_emih!T10=0,0,SER_hh_emih!T10/SER_summary!T$26)</f>
        <v>0.84517794909887634</v>
      </c>
      <c r="U10" s="133">
        <f>IF(SER_hh_emih!U10=0,0,SER_hh_emih!U10/SER_summary!U$26)</f>
        <v>38.042278698983722</v>
      </c>
      <c r="V10" s="133">
        <f>IF(SER_hh_emih!V10=0,0,SER_hh_emih!V10/SER_summary!V$26)</f>
        <v>36.012739512259706</v>
      </c>
      <c r="W10" s="133">
        <f>IF(SER_hh_emih!W10=0,0,SER_hh_emih!W10/SER_summary!W$26)</f>
        <v>40.238614711482057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9.9090651058839022E-3</v>
      </c>
      <c r="C16" s="131">
        <f>IF(SER_hh_emih!C16=0,0,SER_hh_emih!C16/SER_summary!C$26)</f>
        <v>1.4669419063940906E-2</v>
      </c>
      <c r="D16" s="131">
        <f>IF(SER_hh_emih!D16=0,0,SER_hh_emih!D16/SER_summary!D$26)</f>
        <v>1.1928594418527325E-2</v>
      </c>
      <c r="E16" s="131">
        <f>IF(SER_hh_emih!E16=0,0,SER_hh_emih!E16/SER_summary!E$26)</f>
        <v>4.3383443884845415E-3</v>
      </c>
      <c r="F16" s="131">
        <f>IF(SER_hh_emih!F16=0,0,SER_hh_emih!F16/SER_summary!F$26)</f>
        <v>1.1696141698372667E-2</v>
      </c>
      <c r="G16" s="131">
        <f>IF(SER_hh_emih!G16=0,0,SER_hh_emih!G16/SER_summary!G$26)</f>
        <v>1.6586224265002423E-2</v>
      </c>
      <c r="H16" s="131">
        <f>IF(SER_hh_emih!H16=0,0,SER_hh_emih!H16/SER_summary!H$26)</f>
        <v>1.85982884874792E-2</v>
      </c>
      <c r="I16" s="131">
        <f>IF(SER_hh_emih!I16=0,0,SER_hh_emih!I16/SER_summary!I$26)</f>
        <v>1.8398373898334919E-2</v>
      </c>
      <c r="J16" s="131">
        <f>IF(SER_hh_emih!J16=0,0,SER_hh_emih!J16/SER_summary!J$26)</f>
        <v>1.8525786566363282E-2</v>
      </c>
      <c r="K16" s="131">
        <f>IF(SER_hh_emih!K16=0,0,SER_hh_emih!K16/SER_summary!K$26)</f>
        <v>1.793452683093839E-2</v>
      </c>
      <c r="L16" s="131">
        <f>IF(SER_hh_emih!L16=0,0,SER_hh_emih!L16/SER_summary!L$26)</f>
        <v>1.9181050197312761E-2</v>
      </c>
      <c r="M16" s="131">
        <f>IF(SER_hh_emih!M16=0,0,SER_hh_emih!M16/SER_summary!M$26)</f>
        <v>2.0196395167465103E-2</v>
      </c>
      <c r="N16" s="131">
        <f>IF(SER_hh_emih!N16=0,0,SER_hh_emih!N16/SER_summary!N$26)</f>
        <v>2.2870896724149024E-2</v>
      </c>
      <c r="O16" s="131">
        <f>IF(SER_hh_emih!O16=0,0,SER_hh_emih!O16/SER_summary!O$26)</f>
        <v>2.7992423018566907E-2</v>
      </c>
      <c r="P16" s="131">
        <f>IF(SER_hh_emih!P16=0,0,SER_hh_emih!P16/SER_summary!P$26)</f>
        <v>3.6014726286384913E-2</v>
      </c>
      <c r="Q16" s="131">
        <f>IF(SER_hh_emih!Q16=0,0,SER_hh_emih!Q16/SER_summary!Q$26)</f>
        <v>4.7786359148024933E-2</v>
      </c>
      <c r="R16" s="131">
        <f>IF(SER_hh_emih!R16=0,0,SER_hh_emih!R16/SER_summary!R$26)</f>
        <v>6.0438728334429342E-2</v>
      </c>
      <c r="S16" s="131">
        <f>IF(SER_hh_emih!S16=0,0,SER_hh_emih!S16/SER_summary!S$26)</f>
        <v>7.0833151982909681E-2</v>
      </c>
      <c r="T16" s="131">
        <f>IF(SER_hh_emih!T16=0,0,SER_hh_emih!T16/SER_summary!T$26)</f>
        <v>7.8895984654669196E-2</v>
      </c>
      <c r="U16" s="131">
        <f>IF(SER_hh_emih!U16=0,0,SER_hh_emih!U16/SER_summary!U$26)</f>
        <v>8.4869625196922344E-2</v>
      </c>
      <c r="V16" s="131">
        <f>IF(SER_hh_emih!V16=0,0,SER_hh_emih!V16/SER_summary!V$26)</f>
        <v>9.2702228534311995E-2</v>
      </c>
      <c r="W16" s="131">
        <f>IF(SER_hh_emih!W16=0,0,SER_hh_emih!W16/SER_summary!W$26)</f>
        <v>9.6024772645704942E-2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5.0537119811726212</v>
      </c>
      <c r="C17" s="133">
        <f>IF(SER_hh_emih!C17=0,0,SER_hh_emih!C17/SER_summary!C$26)</f>
        <v>4.8674112567982668</v>
      </c>
      <c r="D17" s="133">
        <f>IF(SER_hh_emih!D17=0,0,SER_hh_emih!D17/SER_summary!D$26)</f>
        <v>4.9570622913284792</v>
      </c>
      <c r="E17" s="133">
        <f>IF(SER_hh_emih!E17=0,0,SER_hh_emih!E17/SER_summary!E$26)</f>
        <v>5.0173299499228383</v>
      </c>
      <c r="F17" s="133">
        <f>IF(SER_hh_emih!F17=0,0,SER_hh_emih!F17/SER_summary!F$26)</f>
        <v>4.7249195280187006</v>
      </c>
      <c r="G17" s="133">
        <f>IF(SER_hh_emih!G17=0,0,SER_hh_emih!G17/SER_summary!G$26)</f>
        <v>4.8211215010732928</v>
      </c>
      <c r="H17" s="133">
        <f>IF(SER_hh_emih!H17=0,0,SER_hh_emih!H17/SER_summary!H$26)</f>
        <v>4.9354369622979286</v>
      </c>
      <c r="I17" s="133">
        <f>IF(SER_hh_emih!I17=0,0,SER_hh_emih!I17/SER_summary!I$26)</f>
        <v>5.1253441886549984</v>
      </c>
      <c r="J17" s="133">
        <f>IF(SER_hh_emih!J17=0,0,SER_hh_emih!J17/SER_summary!J$26)</f>
        <v>4.791189430880701</v>
      </c>
      <c r="K17" s="133">
        <f>IF(SER_hh_emih!K17=0,0,SER_hh_emih!K17/SER_summary!K$26)</f>
        <v>4.7785914572797497</v>
      </c>
      <c r="L17" s="133">
        <f>IF(SER_hh_emih!L17=0,0,SER_hh_emih!L17/SER_summary!L$26)</f>
        <v>5.0047957205869</v>
      </c>
      <c r="M17" s="133">
        <f>IF(SER_hh_emih!M17=0,0,SER_hh_emih!M17/SER_summary!M$26)</f>
        <v>4.7969108243208325</v>
      </c>
      <c r="N17" s="133">
        <f>IF(SER_hh_emih!N17=0,0,SER_hh_emih!N17/SER_summary!N$26)</f>
        <v>5.322992180467188</v>
      </c>
      <c r="O17" s="133">
        <f>IF(SER_hh_emih!O17=0,0,SER_hh_emih!O17/SER_summary!O$26)</f>
        <v>5.1671262696862268</v>
      </c>
      <c r="P17" s="133">
        <f>IF(SER_hh_emih!P17=0,0,SER_hh_emih!P17/SER_summary!P$26)</f>
        <v>4.6794680989157351</v>
      </c>
      <c r="Q17" s="133">
        <f>IF(SER_hh_emih!Q17=0,0,SER_hh_emih!Q17/SER_summary!Q$26)</f>
        <v>5.3167348227353797</v>
      </c>
      <c r="R17" s="133">
        <f>IF(SER_hh_emih!R17=0,0,SER_hh_emih!R17/SER_summary!R$26)</f>
        <v>4.5298152343804388</v>
      </c>
      <c r="S17" s="133">
        <f>IF(SER_hh_emih!S17=0,0,SER_hh_emih!S17/SER_summary!S$26)</f>
        <v>4.8140619812539356</v>
      </c>
      <c r="T17" s="133">
        <f>IF(SER_hh_emih!T17=0,0,SER_hh_emih!T17/SER_summary!T$26)</f>
        <v>4.6645341940143297</v>
      </c>
      <c r="U17" s="133">
        <f>IF(SER_hh_emih!U17=0,0,SER_hh_emih!U17/SER_summary!U$26)</f>
        <v>4.7729487405678777</v>
      </c>
      <c r="V17" s="133">
        <f>IF(SER_hh_emih!V17=0,0,SER_hh_emih!V17/SER_summary!V$26)</f>
        <v>4.5392945141602006</v>
      </c>
      <c r="W17" s="133">
        <f>IF(SER_hh_emih!W17=0,0,SER_hh_emih!W17/SER_summary!W$26)</f>
        <v>4.3959946205075733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1.7251705117089076</v>
      </c>
      <c r="C19" s="131">
        <f>IF(SER_hh_emih!C19=0,0,SER_hh_emih!C19/SER_summary!C$26)</f>
        <v>2.4209370069092273</v>
      </c>
      <c r="D19" s="131">
        <f>IF(SER_hh_emih!D19=0,0,SER_hh_emih!D19/SER_summary!D$26)</f>
        <v>2.6971157915621311</v>
      </c>
      <c r="E19" s="131">
        <f>IF(SER_hh_emih!E19=0,0,SER_hh_emih!E19/SER_summary!E$26)</f>
        <v>2.3511570333045002</v>
      </c>
      <c r="F19" s="131">
        <f>IF(SER_hh_emih!F19=0,0,SER_hh_emih!F19/SER_summary!F$26)</f>
        <v>2.4230449074002181</v>
      </c>
      <c r="G19" s="131">
        <f>IF(SER_hh_emih!G19=0,0,SER_hh_emih!G19/SER_summary!G$26)</f>
        <v>2.166742288927487</v>
      </c>
      <c r="H19" s="131">
        <f>IF(SER_hh_emih!H19=0,0,SER_hh_emih!H19/SER_summary!H$26)</f>
        <v>2.5152673514053521</v>
      </c>
      <c r="I19" s="131">
        <f>IF(SER_hh_emih!I19=0,0,SER_hh_emih!I19/SER_summary!I$26)</f>
        <v>3.1603579783544355</v>
      </c>
      <c r="J19" s="131">
        <f>IF(SER_hh_emih!J19=0,0,SER_hh_emih!J19/SER_summary!J$26)</f>
        <v>3.3394422793582281</v>
      </c>
      <c r="K19" s="131">
        <f>IF(SER_hh_emih!K19=0,0,SER_hh_emih!K19/SER_summary!K$26)</f>
        <v>3.4720239923030634</v>
      </c>
      <c r="L19" s="131">
        <f>IF(SER_hh_emih!L19=0,0,SER_hh_emih!L19/SER_summary!L$26)</f>
        <v>3.5720918412035645</v>
      </c>
      <c r="M19" s="131">
        <f>IF(SER_hh_emih!M19=0,0,SER_hh_emih!M19/SER_summary!M$26)</f>
        <v>3.5653828187224352</v>
      </c>
      <c r="N19" s="131">
        <f>IF(SER_hh_emih!N19=0,0,SER_hh_emih!N19/SER_summary!N$26)</f>
        <v>4.2501413910050907</v>
      </c>
      <c r="O19" s="131">
        <f>IF(SER_hh_emih!O19=0,0,SER_hh_emih!O19/SER_summary!O$26)</f>
        <v>4.6451428150441094</v>
      </c>
      <c r="P19" s="131">
        <f>IF(SER_hh_emih!P19=0,0,SER_hh_emih!P19/SER_summary!P$26)</f>
        <v>4.7652413771331927</v>
      </c>
      <c r="Q19" s="131">
        <f>IF(SER_hh_emih!Q19=0,0,SER_hh_emih!Q19/SER_summary!Q$26)</f>
        <v>4.8426245566393815</v>
      </c>
      <c r="R19" s="131">
        <f>IF(SER_hh_emih!R19=0,0,SER_hh_emih!R19/SER_summary!R$26)</f>
        <v>4.1515009498501882</v>
      </c>
      <c r="S19" s="131">
        <f>IF(SER_hh_emih!S19=0,0,SER_hh_emih!S19/SER_summary!S$26)</f>
        <v>3.9277870292758386</v>
      </c>
      <c r="T19" s="131">
        <f>IF(SER_hh_emih!T19=0,0,SER_hh_emih!T19/SER_summary!T$26)</f>
        <v>3.3852976178724838</v>
      </c>
      <c r="U19" s="131">
        <f>IF(SER_hh_emih!U19=0,0,SER_hh_emih!U19/SER_summary!U$26)</f>
        <v>3.2708541630377184</v>
      </c>
      <c r="V19" s="131">
        <f>IF(SER_hh_emih!V19=0,0,SER_hh_emih!V19/SER_summary!V$26)</f>
        <v>1.8326494026458797</v>
      </c>
      <c r="W19" s="131">
        <f>IF(SER_hh_emih!W19=0,0,SER_hh_emih!W19/SER_summary!W$26)</f>
        <v>2.9343533241280171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20.406409337692324</v>
      </c>
      <c r="C20" s="133">
        <f>IF(SER_hh_emih!C20=0,0,SER_hh_emih!C20/SER_summary!C$26)</f>
        <v>18.136550615213945</v>
      </c>
      <c r="D20" s="133">
        <f>IF(SER_hh_emih!D20=0,0,SER_hh_emih!D20/SER_summary!D$26)</f>
        <v>21.235417272390155</v>
      </c>
      <c r="E20" s="133">
        <f>IF(SER_hh_emih!E20=0,0,SER_hh_emih!E20/SER_summary!E$26)</f>
        <v>17.992281133531804</v>
      </c>
      <c r="F20" s="133">
        <f>IF(SER_hh_emih!F20=0,0,SER_hh_emih!F20/SER_summary!F$26)</f>
        <v>19.139325389793232</v>
      </c>
      <c r="G20" s="133">
        <f>IF(SER_hh_emih!G20=0,0,SER_hh_emih!G20/SER_summary!G$26)</f>
        <v>8.2730292993746914</v>
      </c>
      <c r="H20" s="133">
        <f>IF(SER_hh_emih!H20=0,0,SER_hh_emih!H20/SER_summary!H$26)</f>
        <v>14.419824450481283</v>
      </c>
      <c r="I20" s="133">
        <f>IF(SER_hh_emih!I20=0,0,SER_hh_emih!I20/SER_summary!I$26)</f>
        <v>18.784481926888411</v>
      </c>
      <c r="J20" s="133">
        <f>IF(SER_hh_emih!J20=0,0,SER_hh_emih!J20/SER_summary!J$26)</f>
        <v>17.693336486586425</v>
      </c>
      <c r="K20" s="133">
        <f>IF(SER_hh_emih!K20=0,0,SER_hh_emih!K20/SER_summary!K$26)</f>
        <v>17.882876174114276</v>
      </c>
      <c r="L20" s="133">
        <f>IF(SER_hh_emih!L20=0,0,SER_hh_emih!L20/SER_summary!L$26)</f>
        <v>16.2467578048695</v>
      </c>
      <c r="M20" s="133">
        <f>IF(SER_hh_emih!M20=0,0,SER_hh_emih!M20/SER_summary!M$26)</f>
        <v>16.604328451530744</v>
      </c>
      <c r="N20" s="133">
        <f>IF(SER_hh_emih!N20=0,0,SER_hh_emih!N20/SER_summary!N$26)</f>
        <v>16.192022565208088</v>
      </c>
      <c r="O20" s="133">
        <f>IF(SER_hh_emih!O20=0,0,SER_hh_emih!O20/SER_summary!O$26)</f>
        <v>15.868882460470401</v>
      </c>
      <c r="P20" s="133">
        <f>IF(SER_hh_emih!P20=0,0,SER_hh_emih!P20/SER_summary!P$26)</f>
        <v>16.832421052820429</v>
      </c>
      <c r="Q20" s="133">
        <f>IF(SER_hh_emih!Q20=0,0,SER_hh_emih!Q20/SER_summary!Q$26)</f>
        <v>19.795916031643962</v>
      </c>
      <c r="R20" s="133">
        <f>IF(SER_hh_emih!R20=0,0,SER_hh_emih!R20/SER_summary!R$26)</f>
        <v>11.699967463055371</v>
      </c>
      <c r="S20" s="133">
        <f>IF(SER_hh_emih!S20=0,0,SER_hh_emih!S20/SER_summary!S$26)</f>
        <v>14.878721015859901</v>
      </c>
      <c r="T20" s="133">
        <f>IF(SER_hh_emih!T20=0,0,SER_hh_emih!T20/SER_summary!T$26)</f>
        <v>16.001072780587389</v>
      </c>
      <c r="U20" s="133">
        <f>IF(SER_hh_emih!U20=0,0,SER_hh_emih!U20/SER_summary!U$26)</f>
        <v>23.54156213799882</v>
      </c>
      <c r="V20" s="133">
        <f>IF(SER_hh_emih!V20=0,0,SER_hh_emih!V20/SER_summary!V$26)</f>
        <v>10.592645116121055</v>
      </c>
      <c r="W20" s="133">
        <f>IF(SER_hh_emih!W20=0,0,SER_hh_emih!W20/SER_summary!W$26)</f>
        <v>16.819389015619709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0</v>
      </c>
      <c r="C22" s="133">
        <f>IF(SER_hh_emih!C22=0,0,SER_hh_emih!C22/SER_summary!C$26)</f>
        <v>0</v>
      </c>
      <c r="D22" s="133">
        <f>IF(SER_hh_emih!D22=0,0,SER_hh_emih!D22/SER_summary!D$26)</f>
        <v>0</v>
      </c>
      <c r="E22" s="133">
        <f>IF(SER_hh_emih!E22=0,0,SER_hh_emih!E22/SER_summary!E$26)</f>
        <v>0</v>
      </c>
      <c r="F22" s="133">
        <f>IF(SER_hh_emih!F22=0,0,SER_hh_emih!F22/SER_summary!F$26)</f>
        <v>0</v>
      </c>
      <c r="G22" s="133">
        <f>IF(SER_hh_emih!G22=0,0,SER_hh_emih!G22/SER_summary!G$26)</f>
        <v>0</v>
      </c>
      <c r="H22" s="133">
        <f>IF(SER_hh_emih!H22=0,0,SER_hh_emih!H22/SER_summary!H$26)</f>
        <v>0</v>
      </c>
      <c r="I22" s="133">
        <f>IF(SER_hh_emih!I22=0,0,SER_hh_emih!I22/SER_summary!I$26)</f>
        <v>0</v>
      </c>
      <c r="J22" s="133">
        <f>IF(SER_hh_emih!J22=0,0,SER_hh_emih!J22/SER_summary!J$26)</f>
        <v>0</v>
      </c>
      <c r="K22" s="133">
        <f>IF(SER_hh_emih!K22=0,0,SER_hh_emih!K22/SER_summary!K$26)</f>
        <v>0</v>
      </c>
      <c r="L22" s="133">
        <f>IF(SER_hh_emih!L22=0,0,SER_hh_emih!L22/SER_summary!L$26)</f>
        <v>0</v>
      </c>
      <c r="M22" s="133">
        <f>IF(SER_hh_emih!M22=0,0,SER_hh_emih!M22/SER_summary!M$26)</f>
        <v>0</v>
      </c>
      <c r="N22" s="133">
        <f>IF(SER_hh_emih!N22=0,0,SER_hh_emih!N22/SER_summary!N$26)</f>
        <v>0</v>
      </c>
      <c r="O22" s="133">
        <f>IF(SER_hh_emih!O22=0,0,SER_hh_emih!O22/SER_summary!O$26)</f>
        <v>0</v>
      </c>
      <c r="P22" s="133">
        <f>IF(SER_hh_emih!P22=0,0,SER_hh_emih!P22/SER_summary!P$26)</f>
        <v>0</v>
      </c>
      <c r="Q22" s="133">
        <f>IF(SER_hh_emih!Q22=0,0,SER_hh_emih!Q22/SER_summary!Q$26)</f>
        <v>0</v>
      </c>
      <c r="R22" s="133">
        <f>IF(SER_hh_emih!R22=0,0,SER_hh_emih!R22/SER_summary!R$26)</f>
        <v>0</v>
      </c>
      <c r="S22" s="133">
        <f>IF(SER_hh_emih!S22=0,0,SER_hh_emih!S22/SER_summary!S$26)</f>
        <v>0</v>
      </c>
      <c r="T22" s="133">
        <f>IF(SER_hh_emih!T22=0,0,SER_hh_emih!T22/SER_summary!T$26)</f>
        <v>0</v>
      </c>
      <c r="U22" s="133">
        <f>IF(SER_hh_emih!U22=0,0,SER_hh_emih!U22/SER_summary!U$26)</f>
        <v>0</v>
      </c>
      <c r="V22" s="133">
        <f>IF(SER_hh_emih!V22=0,0,SER_hh_emih!V22/SER_summary!V$26)</f>
        <v>0</v>
      </c>
      <c r="W22" s="133">
        <f>IF(SER_hh_emih!W22=0,0,SER_hh_emih!W22/SER_summary!W$26)</f>
        <v>0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7.4262309524867911</v>
      </c>
      <c r="C23" s="133">
        <f>IF(SER_hh_emih!C23=0,0,SER_hh_emih!C23/SER_summary!C$26)</f>
        <v>11.591245152351901</v>
      </c>
      <c r="D23" s="133">
        <f>IF(SER_hh_emih!D23=0,0,SER_hh_emih!D23/SER_summary!D$26)</f>
        <v>11.460744509116777</v>
      </c>
      <c r="E23" s="133">
        <f>IF(SER_hh_emih!E23=0,0,SER_hh_emih!E23/SER_summary!E$26)</f>
        <v>10.249657554849177</v>
      </c>
      <c r="F23" s="133">
        <f>IF(SER_hh_emih!F23=0,0,SER_hh_emih!F23/SER_summary!F$26)</f>
        <v>10.525574618727658</v>
      </c>
      <c r="G23" s="133">
        <f>IF(SER_hh_emih!G23=0,0,SER_hh_emih!G23/SER_summary!G$26)</f>
        <v>10.223553309241197</v>
      </c>
      <c r="H23" s="133">
        <f>IF(SER_hh_emih!H23=0,0,SER_hh_emih!H23/SER_summary!H$26)</f>
        <v>10.086064044245285</v>
      </c>
      <c r="I23" s="133">
        <f>IF(SER_hh_emih!I23=0,0,SER_hh_emih!I23/SER_summary!I$26)</f>
        <v>10.699115621983486</v>
      </c>
      <c r="J23" s="133">
        <f>IF(SER_hh_emih!J23=0,0,SER_hh_emih!J23/SER_summary!J$26)</f>
        <v>10.388795048291431</v>
      </c>
      <c r="K23" s="133">
        <f>IF(SER_hh_emih!K23=0,0,SER_hh_emih!K23/SER_summary!K$26)</f>
        <v>9.856483765263615</v>
      </c>
      <c r="L23" s="133">
        <f>IF(SER_hh_emih!L23=0,0,SER_hh_emih!L23/SER_summary!L$26)</f>
        <v>10.140779582864985</v>
      </c>
      <c r="M23" s="133">
        <f>IF(SER_hh_emih!M23=0,0,SER_hh_emih!M23/SER_summary!M$26)</f>
        <v>9.0536080829118308</v>
      </c>
      <c r="N23" s="133">
        <f>IF(SER_hh_emih!N23=0,0,SER_hh_emih!N23/SER_summary!N$26)</f>
        <v>10.167896067619701</v>
      </c>
      <c r="O23" s="133">
        <f>IF(SER_hh_emih!O23=0,0,SER_hh_emih!O23/SER_summary!O$26)</f>
        <v>10.289950574058413</v>
      </c>
      <c r="P23" s="133">
        <f>IF(SER_hh_emih!P23=0,0,SER_hh_emih!P23/SER_summary!P$26)</f>
        <v>10.270415425868137</v>
      </c>
      <c r="Q23" s="133">
        <f>IF(SER_hh_emih!Q23=0,0,SER_hh_emih!Q23/SER_summary!Q$26)</f>
        <v>10.155143148124145</v>
      </c>
      <c r="R23" s="133">
        <f>IF(SER_hh_emih!R23=0,0,SER_hh_emih!R23/SER_summary!R$26)</f>
        <v>10.249180277478928</v>
      </c>
      <c r="S23" s="133">
        <f>IF(SER_hh_emih!S23=0,0,SER_hh_emih!S23/SER_summary!S$26)</f>
        <v>9.734708025170562</v>
      </c>
      <c r="T23" s="133">
        <f>IF(SER_hh_emih!T23=0,0,SER_hh_emih!T23/SER_summary!T$26)</f>
        <v>9.2473677997508297</v>
      </c>
      <c r="U23" s="133">
        <f>IF(SER_hh_emih!U23=0,0,SER_hh_emih!U23/SER_summary!U$26)</f>
        <v>8.401382502926058</v>
      </c>
      <c r="V23" s="133">
        <f>IF(SER_hh_emih!V23=0,0,SER_hh_emih!V23/SER_summary!V$26)</f>
        <v>6.000831703206174</v>
      </c>
      <c r="W23" s="133">
        <f>IF(SER_hh_emih!W23=0,0,SER_hh_emih!W23/SER_summary!W$26)</f>
        <v>10.599550234285175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5.1369066855032255</v>
      </c>
      <c r="C29" s="131">
        <f>IF(SER_hh_emih!C29=0,0,SER_hh_emih!C29/SER_summary!C$26)</f>
        <v>5.9654375399349071</v>
      </c>
      <c r="D29" s="131">
        <f>IF(SER_hh_emih!D29=0,0,SER_hh_emih!D29/SER_summary!D$26)</f>
        <v>7.5976344181518778</v>
      </c>
      <c r="E29" s="131">
        <f>IF(SER_hh_emih!E29=0,0,SER_hh_emih!E29/SER_summary!E$26)</f>
        <v>7.4128205612141924</v>
      </c>
      <c r="F29" s="131">
        <f>IF(SER_hh_emih!F29=0,0,SER_hh_emih!F29/SER_summary!F$26)</f>
        <v>6.8917619054625607</v>
      </c>
      <c r="G29" s="131">
        <f>IF(SER_hh_emih!G29=0,0,SER_hh_emih!G29/SER_summary!G$26)</f>
        <v>6.4597252235961902</v>
      </c>
      <c r="H29" s="131">
        <f>IF(SER_hh_emih!H29=0,0,SER_hh_emih!H29/SER_summary!H$26)</f>
        <v>6.1033013973460957</v>
      </c>
      <c r="I29" s="131">
        <f>IF(SER_hh_emih!I29=0,0,SER_hh_emih!I29/SER_summary!I$26)</f>
        <v>4.5460264845439786</v>
      </c>
      <c r="J29" s="131">
        <f>IF(SER_hh_emih!J29=0,0,SER_hh_emih!J29/SER_summary!J$26)</f>
        <v>3.885014598629295</v>
      </c>
      <c r="K29" s="131">
        <f>IF(SER_hh_emih!K29=0,0,SER_hh_emih!K29/SER_summary!K$26)</f>
        <v>4.4057102816841827</v>
      </c>
      <c r="L29" s="131">
        <f>IF(SER_hh_emih!L29=0,0,SER_hh_emih!L29/SER_summary!L$26)</f>
        <v>4.8802027363515288</v>
      </c>
      <c r="M29" s="131">
        <f>IF(SER_hh_emih!M29=0,0,SER_hh_emih!M29/SER_summary!M$26)</f>
        <v>3.0863407507980356</v>
      </c>
      <c r="N29" s="131">
        <f>IF(SER_hh_emih!N29=0,0,SER_hh_emih!N29/SER_summary!N$26)</f>
        <v>4.1561607992610554</v>
      </c>
      <c r="O29" s="131">
        <f>IF(SER_hh_emih!O29=0,0,SER_hh_emih!O29/SER_summary!O$26)</f>
        <v>4.7246415288382364</v>
      </c>
      <c r="P29" s="131">
        <f>IF(SER_hh_emih!P29=0,0,SER_hh_emih!P29/SER_summary!P$26)</f>
        <v>4.7857522904223311</v>
      </c>
      <c r="Q29" s="131">
        <f>IF(SER_hh_emih!Q29=0,0,SER_hh_emih!Q29/SER_summary!Q$26)</f>
        <v>4.9312984133642344</v>
      </c>
      <c r="R29" s="131">
        <f>IF(SER_hh_emih!R29=0,0,SER_hh_emih!R29/SER_summary!R$26)</f>
        <v>4.7868264502669264</v>
      </c>
      <c r="S29" s="131">
        <f>IF(SER_hh_emih!S29=0,0,SER_hh_emih!S29/SER_summary!S$26)</f>
        <v>4.1743309717060004</v>
      </c>
      <c r="T29" s="131">
        <f>IF(SER_hh_emih!T29=0,0,SER_hh_emih!T29/SER_summary!T$26)</f>
        <v>3.7293704905840559</v>
      </c>
      <c r="U29" s="131">
        <f>IF(SER_hh_emih!U29=0,0,SER_hh_emih!U29/SER_summary!U$26)</f>
        <v>3.0384502232421791</v>
      </c>
      <c r="V29" s="131">
        <f>IF(SER_hh_emih!V29=0,0,SER_hh_emih!V29/SER_summary!V$26)</f>
        <v>2.6491020607809665</v>
      </c>
      <c r="W29" s="131">
        <f>IF(SER_hh_emih!W29=0,0,SER_hh_emih!W29/SER_summary!W$26)</f>
        <v>4.0849612313218238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4.8618191289558146</v>
      </c>
      <c r="C30" s="133">
        <f>IF(SER_hh_emih!C30=0,0,SER_hh_emih!C30/SER_summary!C$26)</f>
        <v>7.7997000866146964</v>
      </c>
      <c r="D30" s="133">
        <f>IF(SER_hh_emih!D30=0,0,SER_hh_emih!D30/SER_summary!D$26)</f>
        <v>12.495566654586513</v>
      </c>
      <c r="E30" s="133">
        <f>IF(SER_hh_emih!E30=0,0,SER_hh_emih!E30/SER_summary!E$26)</f>
        <v>12.870351677956117</v>
      </c>
      <c r="F30" s="133">
        <f>IF(SER_hh_emih!F30=0,0,SER_hh_emih!F30/SER_summary!F$26)</f>
        <v>13.920246650964891</v>
      </c>
      <c r="G30" s="133">
        <f>IF(SER_hh_emih!G30=0,0,SER_hh_emih!G30/SER_summary!G$26)</f>
        <v>10.920248408860672</v>
      </c>
      <c r="H30" s="133">
        <f>IF(SER_hh_emih!H30=0,0,SER_hh_emih!H30/SER_summary!H$26)</f>
        <v>12.754622059809355</v>
      </c>
      <c r="I30" s="133">
        <f>IF(SER_hh_emih!I30=0,0,SER_hh_emih!I30/SER_summary!I$26)</f>
        <v>7.0454149640212842</v>
      </c>
      <c r="J30" s="133">
        <f>IF(SER_hh_emih!J30=0,0,SER_hh_emih!J30/SER_summary!J$26)</f>
        <v>2.4900574976221641</v>
      </c>
      <c r="K30" s="133">
        <f>IF(SER_hh_emih!K30=0,0,SER_hh_emih!K30/SER_summary!K$26)</f>
        <v>11.90763779151845</v>
      </c>
      <c r="L30" s="133">
        <f>IF(SER_hh_emih!L30=0,0,SER_hh_emih!L30/SER_summary!L$26)</f>
        <v>20.700846172228218</v>
      </c>
      <c r="M30" s="133">
        <f>IF(SER_hh_emih!M30=0,0,SER_hh_emih!M30/SER_summary!M$26)</f>
        <v>2.4605181886922431</v>
      </c>
      <c r="N30" s="133">
        <f>IF(SER_hh_emih!N30=0,0,SER_hh_emih!N30/SER_summary!N$26)</f>
        <v>12.158763581863402</v>
      </c>
      <c r="O30" s="133">
        <f>IF(SER_hh_emih!O30=0,0,SER_hh_emih!O30/SER_summary!O$26)</f>
        <v>11.724523827802736</v>
      </c>
      <c r="P30" s="133">
        <f>IF(SER_hh_emih!P30=0,0,SER_hh_emih!P30/SER_summary!P$26)</f>
        <v>10.741693292785795</v>
      </c>
      <c r="Q30" s="133">
        <f>IF(SER_hh_emih!Q30=0,0,SER_hh_emih!Q30/SER_summary!Q$26)</f>
        <v>10.181438628390048</v>
      </c>
      <c r="R30" s="133">
        <f>IF(SER_hh_emih!R30=0,0,SER_hh_emih!R30/SER_summary!R$26)</f>
        <v>10.79117606073677</v>
      </c>
      <c r="S30" s="133">
        <f>IF(SER_hh_emih!S30=0,0,SER_hh_emih!S30/SER_summary!S$26)</f>
        <v>7.2512013152596406</v>
      </c>
      <c r="T30" s="133">
        <f>IF(SER_hh_emih!T30=0,0,SER_hh_emih!T30/SER_summary!T$26)</f>
        <v>11.08353277880348</v>
      </c>
      <c r="U30" s="133">
        <f>IF(SER_hh_emih!U30=0,0,SER_hh_emih!U30/SER_summary!U$26)</f>
        <v>10.113224215489891</v>
      </c>
      <c r="V30" s="133">
        <f>IF(SER_hh_emih!V30=0,0,SER_hh_emih!V30/SER_summary!V$26)</f>
        <v>8.3690840763021033</v>
      </c>
      <c r="W30" s="133">
        <f>IF(SER_hh_emih!W30=0,0,SER_hh_emih!W30/SER_summary!W$26)</f>
        <v>9.5472106901109797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9.1515276369948655</v>
      </c>
      <c r="C31" s="133">
        <f>IF(SER_hh_emih!C31=0,0,SER_hh_emih!C31/SER_summary!C$26)</f>
        <v>9.0434636454694086</v>
      </c>
      <c r="D31" s="133">
        <f>IF(SER_hh_emih!D31=0,0,SER_hh_emih!D31/SER_summary!D$26)</f>
        <v>9.5795363519840908</v>
      </c>
      <c r="E31" s="133">
        <f>IF(SER_hh_emih!E31=0,0,SER_hh_emih!E31/SER_summary!E$26)</f>
        <v>9.573444485845064</v>
      </c>
      <c r="F31" s="133">
        <f>IF(SER_hh_emih!F31=0,0,SER_hh_emih!F31/SER_summary!F$26)</f>
        <v>7.4046190151853164</v>
      </c>
      <c r="G31" s="133">
        <f>IF(SER_hh_emih!G31=0,0,SER_hh_emih!G31/SER_summary!G$26)</f>
        <v>10.038446234320133</v>
      </c>
      <c r="H31" s="133">
        <f>IF(SER_hh_emih!H31=0,0,SER_hh_emih!H31/SER_summary!H$26)</f>
        <v>9.9579612952672676</v>
      </c>
      <c r="I31" s="133">
        <f>IF(SER_hh_emih!I31=0,0,SER_hh_emih!I31/SER_summary!I$26)</f>
        <v>9.8771908373080777</v>
      </c>
      <c r="J31" s="133">
        <f>IF(SER_hh_emih!J31=0,0,SER_hh_emih!J31/SER_summary!J$26)</f>
        <v>9.6395533537577087</v>
      </c>
      <c r="K31" s="133">
        <f>IF(SER_hh_emih!K31=0,0,SER_hh_emih!K31/SER_summary!K$26)</f>
        <v>9.4147104922668561</v>
      </c>
      <c r="L31" s="133">
        <f>IF(SER_hh_emih!L31=0,0,SER_hh_emih!L31/SER_summary!L$26)</f>
        <v>9.3910256751059116</v>
      </c>
      <c r="M31" s="133">
        <f>IF(SER_hh_emih!M31=0,0,SER_hh_emih!M31/SER_summary!M$26)</f>
        <v>8.2765520505106132</v>
      </c>
      <c r="N31" s="133">
        <f>IF(SER_hh_emih!N31=0,0,SER_hh_emih!N31/SER_summary!N$26)</f>
        <v>8.7084571040794767</v>
      </c>
      <c r="O31" s="133">
        <f>IF(SER_hh_emih!O31=0,0,SER_hh_emih!O31/SER_summary!O$26)</f>
        <v>9.4648722237895786</v>
      </c>
      <c r="P31" s="133">
        <f>IF(SER_hh_emih!P31=0,0,SER_hh_emih!P31/SER_summary!P$26)</f>
        <v>9.0743950429885381</v>
      </c>
      <c r="Q31" s="133">
        <f>IF(SER_hh_emih!Q31=0,0,SER_hh_emih!Q31/SER_summary!Q$26)</f>
        <v>9.2896058325745106</v>
      </c>
      <c r="R31" s="133">
        <f>IF(SER_hh_emih!R31=0,0,SER_hh_emih!R31/SER_summary!R$26)</f>
        <v>9.2598148581535167</v>
      </c>
      <c r="S31" s="133">
        <f>IF(SER_hh_emih!S31=0,0,SER_hh_emih!S31/SER_summary!S$26)</f>
        <v>9.0327729010939581</v>
      </c>
      <c r="T31" s="133">
        <f>IF(SER_hh_emih!T31=0,0,SER_hh_emih!T31/SER_summary!T$26)</f>
        <v>8.2167098775008096</v>
      </c>
      <c r="U31" s="133">
        <f>IF(SER_hh_emih!U31=0,0,SER_hh_emih!U31/SER_summary!U$26)</f>
        <v>6.8208342174611207</v>
      </c>
      <c r="V31" s="133">
        <f>IF(SER_hh_emih!V31=0,0,SER_hh_emih!V31/SER_summary!V$26)</f>
        <v>6.1720688273464717</v>
      </c>
      <c r="W31" s="133">
        <f>IF(SER_hh_emih!W31=0,0,SER_hh_emih!W31/SER_summary!W$26)</f>
        <v>10.13287919690859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678.12843798219774</v>
      </c>
      <c r="D3" s="125">
        <f t="shared" si="0"/>
        <v>854.70043997311996</v>
      </c>
      <c r="E3" s="125">
        <f t="shared" si="0"/>
        <v>889.6507893060882</v>
      </c>
      <c r="F3" s="125">
        <f t="shared" si="0"/>
        <v>942.52225520335037</v>
      </c>
      <c r="G3" s="125">
        <f t="shared" si="0"/>
        <v>1271.5688106982511</v>
      </c>
      <c r="H3" s="125">
        <f t="shared" si="0"/>
        <v>1642.6719472730092</v>
      </c>
      <c r="I3" s="125">
        <f t="shared" si="0"/>
        <v>2060.5856956128423</v>
      </c>
      <c r="J3" s="125">
        <f t="shared" si="0"/>
        <v>1351.6782543658487</v>
      </c>
      <c r="K3" s="125">
        <f t="shared" si="0"/>
        <v>151.02768440270458</v>
      </c>
      <c r="L3" s="125">
        <f t="shared" si="0"/>
        <v>977.44538104387766</v>
      </c>
      <c r="M3" s="125">
        <f t="shared" si="0"/>
        <v>533.19941368751074</v>
      </c>
      <c r="N3" s="125">
        <f t="shared" si="0"/>
        <v>541.51005779102286</v>
      </c>
      <c r="O3" s="125">
        <f t="shared" si="0"/>
        <v>497.63765004436414</v>
      </c>
      <c r="P3" s="125">
        <f t="shared" si="0"/>
        <v>533.01967803150171</v>
      </c>
      <c r="Q3" s="125">
        <f t="shared" si="0"/>
        <v>660.45956130633795</v>
      </c>
      <c r="R3" s="125">
        <f t="shared" si="0"/>
        <v>696.14963087665615</v>
      </c>
      <c r="S3" s="125">
        <f t="shared" si="0"/>
        <v>732.11758764308956</v>
      </c>
      <c r="T3" s="125">
        <f t="shared" si="0"/>
        <v>818.09461086450426</v>
      </c>
      <c r="U3" s="125">
        <f t="shared" si="0"/>
        <v>845.44604212665695</v>
      </c>
      <c r="V3" s="125">
        <f t="shared" si="0"/>
        <v>825.46101378154538</v>
      </c>
      <c r="W3" s="125">
        <f t="shared" si="0"/>
        <v>789.39840228173591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678.12843798219774</v>
      </c>
      <c r="D4" s="140">
        <f t="shared" si="1"/>
        <v>854.70043997311996</v>
      </c>
      <c r="E4" s="140">
        <f t="shared" si="1"/>
        <v>889.6507893060882</v>
      </c>
      <c r="F4" s="140">
        <f t="shared" si="1"/>
        <v>942.52225520335037</v>
      </c>
      <c r="G4" s="140">
        <f t="shared" si="1"/>
        <v>1271.5688106982511</v>
      </c>
      <c r="H4" s="140">
        <f t="shared" si="1"/>
        <v>1642.6719472730092</v>
      </c>
      <c r="I4" s="140">
        <f t="shared" si="1"/>
        <v>2060.5856956128423</v>
      </c>
      <c r="J4" s="140">
        <f t="shared" si="1"/>
        <v>1351.6782543658487</v>
      </c>
      <c r="K4" s="140">
        <f t="shared" si="1"/>
        <v>151.02768440270458</v>
      </c>
      <c r="L4" s="140">
        <f t="shared" si="1"/>
        <v>977.44538104387766</v>
      </c>
      <c r="M4" s="140">
        <f t="shared" si="1"/>
        <v>533.19941368751074</v>
      </c>
      <c r="N4" s="140">
        <f t="shared" si="1"/>
        <v>541.51005779102286</v>
      </c>
      <c r="O4" s="140">
        <f t="shared" si="1"/>
        <v>497.63765004436414</v>
      </c>
      <c r="P4" s="140">
        <f t="shared" si="1"/>
        <v>533.01967803150171</v>
      </c>
      <c r="Q4" s="140">
        <f t="shared" si="1"/>
        <v>660.45956130633795</v>
      </c>
      <c r="R4" s="140">
        <f t="shared" ref="R4:W4" si="2">SUM(R5:R14)</f>
        <v>696.14963087665615</v>
      </c>
      <c r="S4" s="140">
        <f t="shared" si="2"/>
        <v>732.11758764308956</v>
      </c>
      <c r="T4" s="140">
        <f t="shared" si="2"/>
        <v>818.09461086450426</v>
      </c>
      <c r="U4" s="140">
        <f t="shared" si="2"/>
        <v>845.44604212665695</v>
      </c>
      <c r="V4" s="140">
        <f t="shared" si="2"/>
        <v>825.46101378154538</v>
      </c>
      <c r="W4" s="140">
        <f t="shared" si="2"/>
        <v>789.39840228173591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23.917869622390089</v>
      </c>
      <c r="D5" s="141">
        <v>20.525685924655395</v>
      </c>
      <c r="E5" s="141">
        <v>0</v>
      </c>
      <c r="F5" s="141">
        <v>0</v>
      </c>
      <c r="G5" s="141">
        <v>0</v>
      </c>
      <c r="H5" s="141">
        <v>135.21765514642993</v>
      </c>
      <c r="I5" s="141">
        <v>951.88058783500378</v>
      </c>
      <c r="J5" s="141">
        <v>933.77158896892479</v>
      </c>
      <c r="K5" s="141">
        <v>66.587052792102398</v>
      </c>
      <c r="L5" s="141">
        <v>177.62739611481314</v>
      </c>
      <c r="M5" s="141">
        <v>15.972626026748177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20.432472851044359</v>
      </c>
      <c r="T5" s="141">
        <v>90.268727472177872</v>
      </c>
      <c r="U5" s="141">
        <v>20.481504337570318</v>
      </c>
      <c r="V5" s="141">
        <v>0</v>
      </c>
      <c r="W5" s="141">
        <v>44.256570374771812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4.4161009858746363</v>
      </c>
      <c r="D7" s="141">
        <v>0</v>
      </c>
      <c r="E7" s="141">
        <v>3.1174280591431267</v>
      </c>
      <c r="F7" s="141">
        <v>16.97540406865717</v>
      </c>
      <c r="G7" s="141">
        <v>2.0432869656536861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15.41240488937823</v>
      </c>
      <c r="P7" s="141">
        <v>24.380540479036465</v>
      </c>
      <c r="Q7" s="141">
        <v>9.136125399394766</v>
      </c>
      <c r="R7" s="141">
        <v>7.5581155435556269E-2</v>
      </c>
      <c r="S7" s="141">
        <v>0</v>
      </c>
      <c r="T7" s="141">
        <v>0</v>
      </c>
      <c r="U7" s="141">
        <v>0</v>
      </c>
      <c r="V7" s="141">
        <v>0.99803342079873303</v>
      </c>
      <c r="W7" s="141">
        <v>8.4712898409966958E-3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4.3887947987775705E-2</v>
      </c>
      <c r="D8" s="141">
        <v>0.15075651368117146</v>
      </c>
      <c r="E8" s="141">
        <v>0.27257998672118405</v>
      </c>
      <c r="F8" s="141">
        <v>0.24375030692037672</v>
      </c>
      <c r="G8" s="141">
        <v>8.5523190178823497E-2</v>
      </c>
      <c r="H8" s="141">
        <v>8.6042765722691844E-2</v>
      </c>
      <c r="I8" s="141">
        <v>0.13882610336464568</v>
      </c>
      <c r="J8" s="141">
        <v>0.14213678313592129</v>
      </c>
      <c r="K8" s="141">
        <v>3.6181744932828205E-2</v>
      </c>
      <c r="L8" s="141">
        <v>0.59011771585639694</v>
      </c>
      <c r="M8" s="141">
        <v>0.6011535660163897</v>
      </c>
      <c r="N8" s="141">
        <v>0.49449669767409482</v>
      </c>
      <c r="O8" s="141">
        <v>0.94983040637287719</v>
      </c>
      <c r="P8" s="141">
        <v>1.9053472582233739</v>
      </c>
      <c r="Q8" s="141">
        <v>1.026654245875066</v>
      </c>
      <c r="R8" s="141">
        <v>0.22260649689214032</v>
      </c>
      <c r="S8" s="141">
        <v>0.28277116681634806</v>
      </c>
      <c r="T8" s="141">
        <v>0.73069868632067869</v>
      </c>
      <c r="U8" s="141">
        <v>1.3034064964538157</v>
      </c>
      <c r="V8" s="141">
        <v>2.1282805461367134</v>
      </c>
      <c r="W8" s="141">
        <v>1.3807928252948951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0</v>
      </c>
      <c r="D9" s="141">
        <v>0</v>
      </c>
      <c r="E9" s="141">
        <v>36.482858608414134</v>
      </c>
      <c r="F9" s="141">
        <v>635.70582445610398</v>
      </c>
      <c r="G9" s="141">
        <v>1198.8187898436993</v>
      </c>
      <c r="H9" s="141">
        <v>1501.2710997570032</v>
      </c>
      <c r="I9" s="141">
        <v>1078.5245627074646</v>
      </c>
      <c r="J9" s="141">
        <v>92.092950614652466</v>
      </c>
      <c r="K9" s="141">
        <v>0</v>
      </c>
      <c r="L9" s="141">
        <v>89.294629128353179</v>
      </c>
      <c r="M9" s="141">
        <v>231.95910101357185</v>
      </c>
      <c r="N9" s="141">
        <v>468.7653450535006</v>
      </c>
      <c r="O9" s="141">
        <v>291.66552276815241</v>
      </c>
      <c r="P9" s="141">
        <v>214.01216724822325</v>
      </c>
      <c r="Q9" s="141">
        <v>127.37476486035872</v>
      </c>
      <c r="R9" s="141">
        <v>297.49132450346531</v>
      </c>
      <c r="S9" s="141">
        <v>202.26168391078929</v>
      </c>
      <c r="T9" s="141">
        <v>307.01405900580113</v>
      </c>
      <c r="U9" s="141">
        <v>544.31473828158539</v>
      </c>
      <c r="V9" s="141">
        <v>512.06469655737249</v>
      </c>
      <c r="W9" s="141">
        <v>512.63026794205621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3.6457671712182957</v>
      </c>
      <c r="I10" s="141">
        <v>24.914337264124349</v>
      </c>
      <c r="J10" s="141">
        <v>48.110196083883636</v>
      </c>
      <c r="K10" s="141">
        <v>3.1947831434016107</v>
      </c>
      <c r="L10" s="141">
        <v>14.595227514146009</v>
      </c>
      <c r="M10" s="141">
        <v>9.6932203872938292</v>
      </c>
      <c r="N10" s="141">
        <v>6.2091381397818193</v>
      </c>
      <c r="O10" s="141">
        <v>12.499374132349274</v>
      </c>
      <c r="P10" s="141">
        <v>23.353319559804763</v>
      </c>
      <c r="Q10" s="141">
        <v>13.949909376803987</v>
      </c>
      <c r="R10" s="141">
        <v>15.887205702759022</v>
      </c>
      <c r="S10" s="141">
        <v>29.345250236352562</v>
      </c>
      <c r="T10" s="141">
        <v>50.352021910745506</v>
      </c>
      <c r="U10" s="141">
        <v>68.342785090212331</v>
      </c>
      <c r="V10" s="141">
        <v>39.903840191581807</v>
      </c>
      <c r="W10" s="141">
        <v>18.517742740047765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2.2148298666624999</v>
      </c>
      <c r="D11" s="141">
        <v>1.3490284700168977</v>
      </c>
      <c r="E11" s="141">
        <v>2.0092991060225924</v>
      </c>
      <c r="F11" s="141">
        <v>0.54139788258059407</v>
      </c>
      <c r="G11" s="141">
        <v>0.58533852873085979</v>
      </c>
      <c r="H11" s="141">
        <v>1.1461069250660805</v>
      </c>
      <c r="I11" s="141">
        <v>1.331705254139127</v>
      </c>
      <c r="J11" s="141">
        <v>0.69318241564755922</v>
      </c>
      <c r="K11" s="141">
        <v>3.2615036274641469E-2</v>
      </c>
      <c r="L11" s="141">
        <v>0.41233358962412237</v>
      </c>
      <c r="M11" s="141">
        <v>0.51708698885767912</v>
      </c>
      <c r="N11" s="141">
        <v>0.25928557024993637</v>
      </c>
      <c r="O11" s="141">
        <v>0.48987315367471534</v>
      </c>
      <c r="P11" s="141">
        <v>1.4814654191452628</v>
      </c>
      <c r="Q11" s="141">
        <v>1.3679050596640701</v>
      </c>
      <c r="R11" s="141">
        <v>1.1940783063988807</v>
      </c>
      <c r="S11" s="141">
        <v>0.91822938955950073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146.78164284978465</v>
      </c>
      <c r="D12" s="141">
        <v>361.70991544291974</v>
      </c>
      <c r="E12" s="141">
        <v>485.11041422769472</v>
      </c>
      <c r="F12" s="141">
        <v>287.1917774731894</v>
      </c>
      <c r="G12" s="141">
        <v>69.276498554213674</v>
      </c>
      <c r="H12" s="141">
        <v>0</v>
      </c>
      <c r="I12" s="141">
        <v>0</v>
      </c>
      <c r="J12" s="141">
        <v>106.15980874112044</v>
      </c>
      <c r="K12" s="141">
        <v>28.785851737782718</v>
      </c>
      <c r="L12" s="141">
        <v>205.65820303992564</v>
      </c>
      <c r="M12" s="141">
        <v>56.725915462661661</v>
      </c>
      <c r="N12" s="141">
        <v>0</v>
      </c>
      <c r="O12" s="141">
        <v>0</v>
      </c>
      <c r="P12" s="141">
        <v>0</v>
      </c>
      <c r="Q12" s="141">
        <v>0</v>
      </c>
      <c r="R12" s="141">
        <v>67.558132523905272</v>
      </c>
      <c r="S12" s="141">
        <v>182.89843921204326</v>
      </c>
      <c r="T12" s="141">
        <v>254.60814291847845</v>
      </c>
      <c r="U12" s="141">
        <v>169.81957186882164</v>
      </c>
      <c r="V12" s="141">
        <v>191.05813098681017</v>
      </c>
      <c r="W12" s="141">
        <v>99.405759658396505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0.44730992080732274</v>
      </c>
      <c r="D13" s="141">
        <v>1.0686437544014031</v>
      </c>
      <c r="E13" s="141">
        <v>1.7207135839337411</v>
      </c>
      <c r="F13" s="141">
        <v>1.8641010158988844</v>
      </c>
      <c r="G13" s="141">
        <v>0.75937361577469986</v>
      </c>
      <c r="H13" s="141">
        <v>1.3052755075692613</v>
      </c>
      <c r="I13" s="141">
        <v>3.795676448745616</v>
      </c>
      <c r="J13" s="141">
        <v>4.7059699347816926</v>
      </c>
      <c r="K13" s="141">
        <v>1.1490548895533741</v>
      </c>
      <c r="L13" s="141">
        <v>17.976475793291758</v>
      </c>
      <c r="M13" s="141">
        <v>14.548748090915016</v>
      </c>
      <c r="N13" s="141">
        <v>9.5229752223665631</v>
      </c>
      <c r="O13" s="141">
        <v>19.568641863286345</v>
      </c>
      <c r="P13" s="141">
        <v>51.491788523015522</v>
      </c>
      <c r="Q13" s="141">
        <v>58.939377780438683</v>
      </c>
      <c r="R13" s="141">
        <v>24.036904225690058</v>
      </c>
      <c r="S13" s="141">
        <v>14.703144878146437</v>
      </c>
      <c r="T13" s="141">
        <v>33.933116269126494</v>
      </c>
      <c r="U13" s="141">
        <v>41.184036052013454</v>
      </c>
      <c r="V13" s="141">
        <v>68.573037958381988</v>
      </c>
      <c r="W13" s="141">
        <v>33.08888357488393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500.30679678869075</v>
      </c>
      <c r="D14" s="142">
        <v>469.8964098674453</v>
      </c>
      <c r="E14" s="142">
        <v>360.93749573415869</v>
      </c>
      <c r="F14" s="142">
        <v>0</v>
      </c>
      <c r="G14" s="142">
        <v>0</v>
      </c>
      <c r="H14" s="142">
        <v>0</v>
      </c>
      <c r="I14" s="142">
        <v>0</v>
      </c>
      <c r="J14" s="142">
        <v>166.00242082370212</v>
      </c>
      <c r="K14" s="142">
        <v>51.242145058657016</v>
      </c>
      <c r="L14" s="142">
        <v>471.29099814786753</v>
      </c>
      <c r="M14" s="142">
        <v>203.18156215144617</v>
      </c>
      <c r="N14" s="142">
        <v>56.258817107449872</v>
      </c>
      <c r="O14" s="142">
        <v>157.05200283115028</v>
      </c>
      <c r="P14" s="142">
        <v>216.39504954405302</v>
      </c>
      <c r="Q14" s="142">
        <v>448.66482458380267</v>
      </c>
      <c r="R14" s="142">
        <v>289.68379796210985</v>
      </c>
      <c r="S14" s="142">
        <v>281.27559599833779</v>
      </c>
      <c r="T14" s="142">
        <v>81.187844601854223</v>
      </c>
      <c r="U14" s="142">
        <v>0</v>
      </c>
      <c r="V14" s="142">
        <v>10.734994120463501</v>
      </c>
      <c r="W14" s="142">
        <v>80.109913876443912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177.37433127269964</v>
      </c>
      <c r="D15" s="144">
        <f t="shared" si="3"/>
        <v>383.73538635127318</v>
      </c>
      <c r="E15" s="144">
        <f t="shared" si="3"/>
        <v>526.99257998799578</v>
      </c>
      <c r="F15" s="144">
        <f t="shared" si="3"/>
        <v>940.65815418745149</v>
      </c>
      <c r="G15" s="144">
        <f t="shared" si="3"/>
        <v>1270.8094370824765</v>
      </c>
      <c r="H15" s="144">
        <f t="shared" si="3"/>
        <v>1641.3666717654401</v>
      </c>
      <c r="I15" s="144">
        <f t="shared" si="3"/>
        <v>2056.7900191640965</v>
      </c>
      <c r="J15" s="144">
        <f t="shared" si="3"/>
        <v>1180.9698636073649</v>
      </c>
      <c r="K15" s="144">
        <f t="shared" si="3"/>
        <v>98.636484454494195</v>
      </c>
      <c r="L15" s="144">
        <f t="shared" si="3"/>
        <v>488.17790710271845</v>
      </c>
      <c r="M15" s="144">
        <f t="shared" si="3"/>
        <v>315.46910344514959</v>
      </c>
      <c r="N15" s="144">
        <f t="shared" si="3"/>
        <v>475.72826546120643</v>
      </c>
      <c r="O15" s="144">
        <f t="shared" si="3"/>
        <v>321.0170053499275</v>
      </c>
      <c r="P15" s="144">
        <f t="shared" si="3"/>
        <v>265.13283996443312</v>
      </c>
      <c r="Q15" s="144">
        <f t="shared" si="3"/>
        <v>152.85535894209661</v>
      </c>
      <c r="R15" s="144">
        <f t="shared" ref="R15:W15" si="4">SUM(R5:R12)</f>
        <v>382.42892868885616</v>
      </c>
      <c r="S15" s="144">
        <f t="shared" si="4"/>
        <v>436.1388467666053</v>
      </c>
      <c r="T15" s="144">
        <f t="shared" si="4"/>
        <v>702.97364999352362</v>
      </c>
      <c r="U15" s="144">
        <f t="shared" si="4"/>
        <v>804.26200607464352</v>
      </c>
      <c r="V15" s="144">
        <f t="shared" si="4"/>
        <v>746.15298170269989</v>
      </c>
      <c r="W15" s="144">
        <f t="shared" si="4"/>
        <v>676.19960483040813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678.12843798219774</v>
      </c>
      <c r="D16" s="140">
        <f t="shared" si="5"/>
        <v>854.70043997311984</v>
      </c>
      <c r="E16" s="140">
        <f t="shared" si="5"/>
        <v>792.41724585961572</v>
      </c>
      <c r="F16" s="140">
        <f t="shared" si="5"/>
        <v>840.57078109029987</v>
      </c>
      <c r="G16" s="140">
        <f t="shared" si="5"/>
        <v>840.96661287381517</v>
      </c>
      <c r="H16" s="140">
        <f t="shared" si="5"/>
        <v>971.11843691850913</v>
      </c>
      <c r="I16" s="140">
        <f t="shared" si="5"/>
        <v>1259.2834002705058</v>
      </c>
      <c r="J16" s="140">
        <f t="shared" si="5"/>
        <v>1260.0742376938308</v>
      </c>
      <c r="K16" s="140">
        <f t="shared" si="5"/>
        <v>151.02768440270455</v>
      </c>
      <c r="L16" s="140">
        <f t="shared" si="5"/>
        <v>940.01912527018862</v>
      </c>
      <c r="M16" s="140">
        <f t="shared" si="5"/>
        <v>533.19941368751086</v>
      </c>
      <c r="N16" s="140">
        <f t="shared" si="5"/>
        <v>541.51005779102297</v>
      </c>
      <c r="O16" s="140">
        <f t="shared" si="5"/>
        <v>497.63765004436408</v>
      </c>
      <c r="P16" s="140">
        <f t="shared" si="5"/>
        <v>533.01967803150171</v>
      </c>
      <c r="Q16" s="140">
        <f t="shared" si="5"/>
        <v>660.45956130633817</v>
      </c>
      <c r="R16" s="140">
        <f t="shared" ref="R16:W16" si="6">SUM(R17:R18)</f>
        <v>696.14963087665603</v>
      </c>
      <c r="S16" s="140">
        <f t="shared" si="6"/>
        <v>732.11758764308956</v>
      </c>
      <c r="T16" s="140">
        <f t="shared" si="6"/>
        <v>818.09461086450426</v>
      </c>
      <c r="U16" s="140">
        <f t="shared" si="6"/>
        <v>845.44604212665695</v>
      </c>
      <c r="V16" s="140">
        <f t="shared" si="6"/>
        <v>825.46101378154549</v>
      </c>
      <c r="W16" s="140">
        <f t="shared" si="6"/>
        <v>789.39840228173614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5.1269889911484263</v>
      </c>
      <c r="D17" s="141">
        <v>0</v>
      </c>
      <c r="E17" s="141">
        <v>0</v>
      </c>
      <c r="F17" s="141">
        <v>8.6632267168591959</v>
      </c>
      <c r="G17" s="141">
        <v>6.0955623846159313</v>
      </c>
      <c r="H17" s="141">
        <v>3.3919877974196053</v>
      </c>
      <c r="I17" s="141">
        <v>2.2617583062747895</v>
      </c>
      <c r="J17" s="141">
        <v>5.1275230638254294</v>
      </c>
      <c r="K17" s="141">
        <v>0.19572555493443972</v>
      </c>
      <c r="L17" s="141">
        <v>3.8637931373604504</v>
      </c>
      <c r="M17" s="141">
        <v>3.8658572168010576</v>
      </c>
      <c r="N17" s="141">
        <v>2.1868599078439073</v>
      </c>
      <c r="O17" s="141">
        <v>6.4278439466515973</v>
      </c>
      <c r="P17" s="141">
        <v>11.817744288465823</v>
      </c>
      <c r="Q17" s="141">
        <v>9.2969098368888581</v>
      </c>
      <c r="R17" s="141">
        <v>24.780966012718523</v>
      </c>
      <c r="S17" s="141">
        <v>10.905692595813134</v>
      </c>
      <c r="T17" s="141">
        <v>19.179354631461127</v>
      </c>
      <c r="U17" s="141">
        <v>13.930327040115706</v>
      </c>
      <c r="V17" s="141">
        <v>29.024916778778643</v>
      </c>
      <c r="W17" s="141">
        <v>19.077073606488742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673.0014489910493</v>
      </c>
      <c r="D18" s="141">
        <v>854.70043997311984</v>
      </c>
      <c r="E18" s="141">
        <v>792.41724585961572</v>
      </c>
      <c r="F18" s="141">
        <v>831.90755437344069</v>
      </c>
      <c r="G18" s="141">
        <v>834.87105048919921</v>
      </c>
      <c r="H18" s="141">
        <v>967.72644912108956</v>
      </c>
      <c r="I18" s="141">
        <v>1257.0216419642311</v>
      </c>
      <c r="J18" s="141">
        <v>1254.9467146300053</v>
      </c>
      <c r="K18" s="141">
        <v>150.83195884777012</v>
      </c>
      <c r="L18" s="141">
        <v>936.15533213282822</v>
      </c>
      <c r="M18" s="141">
        <v>529.33355647070982</v>
      </c>
      <c r="N18" s="141">
        <v>539.32319788317909</v>
      </c>
      <c r="O18" s="141">
        <v>491.20980609771249</v>
      </c>
      <c r="P18" s="141">
        <v>521.20193374303585</v>
      </c>
      <c r="Q18" s="141">
        <v>651.16265146944932</v>
      </c>
      <c r="R18" s="141">
        <v>671.36866486393751</v>
      </c>
      <c r="S18" s="141">
        <v>721.21189504727647</v>
      </c>
      <c r="T18" s="141">
        <v>798.91525623304312</v>
      </c>
      <c r="U18" s="141">
        <v>831.51571508654126</v>
      </c>
      <c r="V18" s="141">
        <v>796.43609700276681</v>
      </c>
      <c r="W18" s="141">
        <v>770.3213286752474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678.12843798219785</v>
      </c>
      <c r="D19" s="140">
        <f t="shared" si="7"/>
        <v>854.70043997311984</v>
      </c>
      <c r="E19" s="140">
        <f t="shared" si="7"/>
        <v>889.6507893060882</v>
      </c>
      <c r="F19" s="140">
        <f t="shared" si="7"/>
        <v>942.52225520335037</v>
      </c>
      <c r="G19" s="140">
        <f t="shared" si="7"/>
        <v>1271.5688106982511</v>
      </c>
      <c r="H19" s="140">
        <f t="shared" si="7"/>
        <v>1642.6719472730094</v>
      </c>
      <c r="I19" s="140">
        <f t="shared" si="7"/>
        <v>2060.5856956128418</v>
      </c>
      <c r="J19" s="140">
        <f t="shared" si="7"/>
        <v>1351.6782543658487</v>
      </c>
      <c r="K19" s="140">
        <f t="shared" si="7"/>
        <v>151.02768440270455</v>
      </c>
      <c r="L19" s="140">
        <f t="shared" si="7"/>
        <v>977.44538104387766</v>
      </c>
      <c r="M19" s="140">
        <f t="shared" si="7"/>
        <v>533.19941368751074</v>
      </c>
      <c r="N19" s="140">
        <f t="shared" si="7"/>
        <v>541.51005779102297</v>
      </c>
      <c r="O19" s="140">
        <f t="shared" si="7"/>
        <v>497.63765004436414</v>
      </c>
      <c r="P19" s="140">
        <f t="shared" si="7"/>
        <v>533.0196780315016</v>
      </c>
      <c r="Q19" s="140">
        <f t="shared" si="7"/>
        <v>660.45956130633806</v>
      </c>
      <c r="R19" s="140">
        <f t="shared" ref="R19:W19" si="8">SUM(R20:R26)</f>
        <v>696.14963087665615</v>
      </c>
      <c r="S19" s="140">
        <f t="shared" si="8"/>
        <v>732.11758764308956</v>
      </c>
      <c r="T19" s="140">
        <f t="shared" si="8"/>
        <v>818.09461086450426</v>
      </c>
      <c r="U19" s="140">
        <f t="shared" si="8"/>
        <v>845.44604212665695</v>
      </c>
      <c r="V19" s="140">
        <f t="shared" si="8"/>
        <v>825.46101378154549</v>
      </c>
      <c r="W19" s="140">
        <f t="shared" si="8"/>
        <v>789.39840228173603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179.37859939267364</v>
      </c>
      <c r="I20" s="141">
        <v>303.5795038774379</v>
      </c>
      <c r="J20" s="141">
        <v>242.92297475204316</v>
      </c>
      <c r="K20" s="141">
        <v>26.421555481662367</v>
      </c>
      <c r="L20" s="141">
        <v>65.799685103911244</v>
      </c>
      <c r="M20" s="141">
        <v>32.154680837895782</v>
      </c>
      <c r="N20" s="141">
        <v>31.304633244043</v>
      </c>
      <c r="O20" s="141">
        <v>31.148457598650918</v>
      </c>
      <c r="P20" s="141">
        <v>0</v>
      </c>
      <c r="Q20" s="141">
        <v>0</v>
      </c>
      <c r="R20" s="141">
        <v>0</v>
      </c>
      <c r="S20" s="141">
        <v>0</v>
      </c>
      <c r="T20" s="141">
        <v>5.3448735317699572E-2</v>
      </c>
      <c r="U20" s="141">
        <v>8.3102554476913078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425.62716918796264</v>
      </c>
      <c r="D23" s="141">
        <v>325.88625732508797</v>
      </c>
      <c r="E23" s="141">
        <v>239.22854877678034</v>
      </c>
      <c r="F23" s="141">
        <v>202.46836010068009</v>
      </c>
      <c r="G23" s="141">
        <v>233.99814747023416</v>
      </c>
      <c r="H23" s="141">
        <v>348.55386145003399</v>
      </c>
      <c r="I23" s="141">
        <v>426.20062514977104</v>
      </c>
      <c r="J23" s="141">
        <v>289.69949300660983</v>
      </c>
      <c r="K23" s="141">
        <v>36.552153126892982</v>
      </c>
      <c r="L23" s="141">
        <v>282.09378049733334</v>
      </c>
      <c r="M23" s="141">
        <v>225.19736191537376</v>
      </c>
      <c r="N23" s="141">
        <v>324.65703069889855</v>
      </c>
      <c r="O23" s="141">
        <v>281.75921662966334</v>
      </c>
      <c r="P23" s="141">
        <v>268.6547002627031</v>
      </c>
      <c r="Q23" s="141">
        <v>206.57629988521211</v>
      </c>
      <c r="R23" s="141">
        <v>164.95028302877827</v>
      </c>
      <c r="S23" s="141">
        <v>98.414354692611766</v>
      </c>
      <c r="T23" s="141">
        <v>0</v>
      </c>
      <c r="U23" s="141">
        <v>0</v>
      </c>
      <c r="V23" s="141">
        <v>0</v>
      </c>
      <c r="W23" s="141">
        <v>65.77135934382153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252.50126879423524</v>
      </c>
      <c r="D25" s="141">
        <v>466.1481223123933</v>
      </c>
      <c r="E25" s="141">
        <v>199.7270722635468</v>
      </c>
      <c r="F25" s="141">
        <v>112.03725933609596</v>
      </c>
      <c r="G25" s="141">
        <v>32.727953427068464</v>
      </c>
      <c r="H25" s="141">
        <v>65.429243310458432</v>
      </c>
      <c r="I25" s="141">
        <v>0</v>
      </c>
      <c r="J25" s="141">
        <v>35.390421441870295</v>
      </c>
      <c r="K25" s="141">
        <v>15.34871958763487</v>
      </c>
      <c r="L25" s="141">
        <v>68.703245120770077</v>
      </c>
      <c r="M25" s="141">
        <v>31.23059449589535</v>
      </c>
      <c r="N25" s="141">
        <v>19.04783358393799</v>
      </c>
      <c r="O25" s="141">
        <v>30.316996989508358</v>
      </c>
      <c r="P25" s="141">
        <v>31.704054381088039</v>
      </c>
      <c r="Q25" s="141">
        <v>92.741119674471392</v>
      </c>
      <c r="R25" s="141">
        <v>91.571363686862071</v>
      </c>
      <c r="S25" s="141">
        <v>101.26511982201487</v>
      </c>
      <c r="T25" s="141">
        <v>71.221406706032937</v>
      </c>
      <c r="U25" s="141">
        <v>0.59888709511301008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0</v>
      </c>
      <c r="D26" s="142">
        <v>62.666060335638569</v>
      </c>
      <c r="E26" s="142">
        <v>450.69516826576108</v>
      </c>
      <c r="F26" s="142">
        <v>628.01663576657438</v>
      </c>
      <c r="G26" s="142">
        <v>1004.8427098009485</v>
      </c>
      <c r="H26" s="142">
        <v>1049.3102431198433</v>
      </c>
      <c r="I26" s="142">
        <v>1330.805566585633</v>
      </c>
      <c r="J26" s="142">
        <v>783.66536516532528</v>
      </c>
      <c r="K26" s="142">
        <v>72.705256206514349</v>
      </c>
      <c r="L26" s="142">
        <v>560.84867032186298</v>
      </c>
      <c r="M26" s="142">
        <v>244.61677643834591</v>
      </c>
      <c r="N26" s="142">
        <v>166.50056026414345</v>
      </c>
      <c r="O26" s="142">
        <v>154.41297882654152</v>
      </c>
      <c r="P26" s="142">
        <v>232.66092338771051</v>
      </c>
      <c r="Q26" s="142">
        <v>361.14214174665454</v>
      </c>
      <c r="R26" s="142">
        <v>439.62798416101572</v>
      </c>
      <c r="S26" s="142">
        <v>532.43811312846287</v>
      </c>
      <c r="T26" s="142">
        <v>746.81975542315365</v>
      </c>
      <c r="U26" s="142">
        <v>836.53689958385269</v>
      </c>
      <c r="V26" s="142">
        <v>825.46101378154549</v>
      </c>
      <c r="W26" s="142">
        <v>723.62704293791455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15.103814443912203</v>
      </c>
      <c r="H27" s="151">
        <v>1.6914801884429799E-15</v>
      </c>
      <c r="I27" s="151">
        <v>0.20335513227101293</v>
      </c>
      <c r="J27" s="151">
        <v>6.0069779261973981E-2</v>
      </c>
      <c r="K27" s="151">
        <v>0</v>
      </c>
      <c r="L27" s="151">
        <v>277.48731491613279</v>
      </c>
      <c r="M27" s="151">
        <v>38.696932720456878</v>
      </c>
      <c r="N27" s="151">
        <v>2.085424391769684</v>
      </c>
      <c r="O27" s="151">
        <v>2.4609127938415814E-14</v>
      </c>
      <c r="P27" s="151">
        <v>311.82885437003949</v>
      </c>
      <c r="Q27" s="151">
        <v>0</v>
      </c>
      <c r="R27" s="151">
        <v>25.888279898155933</v>
      </c>
      <c r="S27" s="151">
        <v>1.0212113141613309E-13</v>
      </c>
      <c r="T27" s="151">
        <v>38.759500811103663</v>
      </c>
      <c r="U27" s="151">
        <v>3.8870117935637292</v>
      </c>
      <c r="V27" s="151">
        <v>58.285627246442687</v>
      </c>
      <c r="W27" s="151">
        <v>9.2052274524236435E-4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678.12843798219774</v>
      </c>
      <c r="D29" s="140">
        <f t="shared" si="9"/>
        <v>854.70043997311984</v>
      </c>
      <c r="E29" s="140">
        <f t="shared" si="9"/>
        <v>889.6507893060882</v>
      </c>
      <c r="F29" s="140">
        <f t="shared" si="9"/>
        <v>942.52225520335037</v>
      </c>
      <c r="G29" s="140">
        <f t="shared" si="9"/>
        <v>1271.5688106982509</v>
      </c>
      <c r="H29" s="140">
        <f t="shared" si="9"/>
        <v>1642.6719472730094</v>
      </c>
      <c r="I29" s="140">
        <f t="shared" si="9"/>
        <v>2060.5856956128418</v>
      </c>
      <c r="J29" s="140">
        <f t="shared" si="9"/>
        <v>1351.6782543658485</v>
      </c>
      <c r="K29" s="140">
        <f t="shared" si="9"/>
        <v>151.02768440270455</v>
      </c>
      <c r="L29" s="140">
        <f t="shared" si="9"/>
        <v>977.44538104387789</v>
      </c>
      <c r="M29" s="140">
        <f t="shared" si="9"/>
        <v>533.19941368751074</v>
      </c>
      <c r="N29" s="140">
        <f t="shared" si="9"/>
        <v>541.51005779102297</v>
      </c>
      <c r="O29" s="140">
        <f t="shared" si="9"/>
        <v>497.63765004436419</v>
      </c>
      <c r="P29" s="140">
        <f t="shared" si="9"/>
        <v>533.0196780315016</v>
      </c>
      <c r="Q29" s="140">
        <f t="shared" si="9"/>
        <v>660.45956130633806</v>
      </c>
      <c r="R29" s="140">
        <f t="shared" ref="R29:W29" si="10">SUM(R30:R33)</f>
        <v>696.14963087665603</v>
      </c>
      <c r="S29" s="140">
        <f t="shared" si="10"/>
        <v>732.11758764308956</v>
      </c>
      <c r="T29" s="140">
        <f t="shared" si="10"/>
        <v>818.09461086450426</v>
      </c>
      <c r="U29" s="140">
        <f t="shared" si="10"/>
        <v>845.44604212665695</v>
      </c>
      <c r="V29" s="140">
        <f t="shared" si="10"/>
        <v>825.46101378154549</v>
      </c>
      <c r="W29" s="140">
        <f t="shared" si="10"/>
        <v>789.39840228173603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496.33168019407782</v>
      </c>
      <c r="D30" s="141">
        <v>690.22654687556769</v>
      </c>
      <c r="E30" s="141">
        <v>215.66156183950031</v>
      </c>
      <c r="F30" s="141">
        <v>165.64720968102313</v>
      </c>
      <c r="G30" s="141">
        <v>0</v>
      </c>
      <c r="H30" s="141">
        <v>0</v>
      </c>
      <c r="I30" s="141">
        <v>0</v>
      </c>
      <c r="J30" s="141">
        <v>0</v>
      </c>
      <c r="K30" s="141">
        <v>14.13254341895334</v>
      </c>
      <c r="L30" s="141">
        <v>92.714491017688331</v>
      </c>
      <c r="M30" s="141">
        <v>0</v>
      </c>
      <c r="N30" s="141">
        <v>88.487850518763778</v>
      </c>
      <c r="O30" s="141">
        <v>81.648018615324474</v>
      </c>
      <c r="P30" s="141">
        <v>70.807706822553797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0.10021333140853939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181.79675778811998</v>
      </c>
      <c r="D31" s="141">
        <v>74.459609881937979</v>
      </c>
      <c r="E31" s="141">
        <v>114.26144465965855</v>
      </c>
      <c r="F31" s="141">
        <v>417.72567589859358</v>
      </c>
      <c r="G31" s="141">
        <v>431.76799966467394</v>
      </c>
      <c r="H31" s="141">
        <v>678.57754204771925</v>
      </c>
      <c r="I31" s="141">
        <v>744.53612980922412</v>
      </c>
      <c r="J31" s="141">
        <v>513.83648025298055</v>
      </c>
      <c r="K31" s="141">
        <v>64.279686153404185</v>
      </c>
      <c r="L31" s="141">
        <v>256.98171901514138</v>
      </c>
      <c r="M31" s="141">
        <v>141.88946491014349</v>
      </c>
      <c r="N31" s="141">
        <v>383.24816941760827</v>
      </c>
      <c r="O31" s="141">
        <v>359.90230783361511</v>
      </c>
      <c r="P31" s="141">
        <v>333.87391836653705</v>
      </c>
      <c r="Q31" s="141">
        <v>345.35649161135393</v>
      </c>
      <c r="R31" s="141">
        <v>242.32903144129571</v>
      </c>
      <c r="S31" s="141">
        <v>119.12424314806901</v>
      </c>
      <c r="T31" s="141">
        <v>210.90387517987509</v>
      </c>
      <c r="U31" s="141">
        <v>309.78670124769263</v>
      </c>
      <c r="V31" s="141">
        <v>296.97613598505387</v>
      </c>
      <c r="W31" s="141">
        <v>220.69692839171873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0</v>
      </c>
      <c r="D33" s="153">
        <v>90.014283215614199</v>
      </c>
      <c r="E33" s="153">
        <v>559.72778280692933</v>
      </c>
      <c r="F33" s="153">
        <v>359.14936962373378</v>
      </c>
      <c r="G33" s="153">
        <v>839.80081103357702</v>
      </c>
      <c r="H33" s="153">
        <v>964.09440522529019</v>
      </c>
      <c r="I33" s="153">
        <v>1316.0495658036175</v>
      </c>
      <c r="J33" s="153">
        <v>837.84177411286794</v>
      </c>
      <c r="K33" s="153">
        <v>72.615454830347034</v>
      </c>
      <c r="L33" s="153">
        <v>627.74917101104813</v>
      </c>
      <c r="M33" s="153">
        <v>391.30994877736731</v>
      </c>
      <c r="N33" s="153">
        <v>69.77403785465097</v>
      </c>
      <c r="O33" s="153">
        <v>56.087323595424586</v>
      </c>
      <c r="P33" s="153">
        <v>128.33805284241075</v>
      </c>
      <c r="Q33" s="153">
        <v>315.10306969498413</v>
      </c>
      <c r="R33" s="153">
        <v>453.82059943536029</v>
      </c>
      <c r="S33" s="153">
        <v>612.99334449502055</v>
      </c>
      <c r="T33" s="153">
        <v>607.1907356846292</v>
      </c>
      <c r="U33" s="153">
        <v>535.65934087896426</v>
      </c>
      <c r="V33" s="153">
        <v>528.48487779649167</v>
      </c>
      <c r="W33" s="153">
        <v>568.60126055860883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31.712485823424416</v>
      </c>
      <c r="D3" s="126">
        <f t="shared" si="0"/>
        <v>35.652305464958928</v>
      </c>
      <c r="E3" s="126">
        <f t="shared" si="0"/>
        <v>27.303622367349156</v>
      </c>
      <c r="F3" s="126">
        <f t="shared" si="0"/>
        <v>28.353596386715918</v>
      </c>
      <c r="G3" s="126">
        <f t="shared" si="0"/>
        <v>65.131920207946706</v>
      </c>
      <c r="H3" s="126">
        <f t="shared" si="0"/>
        <v>78.022488919899416</v>
      </c>
      <c r="I3" s="126">
        <f t="shared" si="0"/>
        <v>82.23463645801543</v>
      </c>
      <c r="J3" s="126">
        <f t="shared" si="0"/>
        <v>51.852481070079335</v>
      </c>
      <c r="K3" s="126">
        <f t="shared" si="0"/>
        <v>7.0266000786320646</v>
      </c>
      <c r="L3" s="126">
        <f t="shared" si="0"/>
        <v>36.201895051416372</v>
      </c>
      <c r="M3" s="126">
        <f t="shared" si="0"/>
        <v>14.606848585663316</v>
      </c>
      <c r="N3" s="126">
        <f t="shared" si="0"/>
        <v>15.585533817456248</v>
      </c>
      <c r="O3" s="126">
        <f t="shared" si="0"/>
        <v>14.372431224298245</v>
      </c>
      <c r="P3" s="126">
        <f t="shared" si="0"/>
        <v>9.9678170212178436</v>
      </c>
      <c r="Q3" s="126">
        <f t="shared" si="0"/>
        <v>11.912250357862465</v>
      </c>
      <c r="R3" s="126">
        <f t="shared" ref="R3:W3" si="1">SUM(R4,R16,R19,R29)</f>
        <v>12.171897073248676</v>
      </c>
      <c r="S3" s="126">
        <f t="shared" si="1"/>
        <v>12.952637438497549</v>
      </c>
      <c r="T3" s="126">
        <f t="shared" si="1"/>
        <v>12.427851159295843</v>
      </c>
      <c r="U3" s="126">
        <f t="shared" si="1"/>
        <v>11.068019316045081</v>
      </c>
      <c r="V3" s="126">
        <f t="shared" si="1"/>
        <v>9.2152382020262813</v>
      </c>
      <c r="W3" s="126">
        <f t="shared" si="1"/>
        <v>9.2105495168698504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26.619461165148433</v>
      </c>
      <c r="D4" s="131">
        <f t="shared" si="2"/>
        <v>28.506660403439746</v>
      </c>
      <c r="E4" s="131">
        <f t="shared" si="2"/>
        <v>20.921435655858946</v>
      </c>
      <c r="F4" s="131">
        <f t="shared" si="2"/>
        <v>21.587990031339483</v>
      </c>
      <c r="G4" s="131">
        <f t="shared" si="2"/>
        <v>55.924955342838373</v>
      </c>
      <c r="H4" s="131">
        <f t="shared" si="2"/>
        <v>66.429368898695941</v>
      </c>
      <c r="I4" s="131">
        <f t="shared" si="2"/>
        <v>67.521796477055844</v>
      </c>
      <c r="J4" s="131">
        <f t="shared" si="2"/>
        <v>42.012085733891283</v>
      </c>
      <c r="K4" s="131">
        <f t="shared" si="2"/>
        <v>5.9134843626211335</v>
      </c>
      <c r="L4" s="131">
        <f t="shared" si="2"/>
        <v>29.316617042991034</v>
      </c>
      <c r="M4" s="131">
        <f t="shared" si="2"/>
        <v>10.871564648252765</v>
      </c>
      <c r="N4" s="131">
        <f t="shared" si="2"/>
        <v>11.50533010977596</v>
      </c>
      <c r="O4" s="131">
        <f t="shared" si="2"/>
        <v>10.63557669794257</v>
      </c>
      <c r="P4" s="131">
        <f t="shared" si="2"/>
        <v>6.3778446960636508</v>
      </c>
      <c r="Q4" s="131">
        <f t="shared" si="2"/>
        <v>7.601271954687645</v>
      </c>
      <c r="R4" s="131">
        <f t="shared" ref="R4:W4" si="3">SUM(R5:R15)</f>
        <v>7.8425911755596749</v>
      </c>
      <c r="S4" s="131">
        <f t="shared" si="3"/>
        <v>8.624230035998302</v>
      </c>
      <c r="T4" s="131">
        <f t="shared" si="3"/>
        <v>7.7111685445313105</v>
      </c>
      <c r="U4" s="131">
        <f t="shared" si="3"/>
        <v>6.2900692128979889</v>
      </c>
      <c r="V4" s="131">
        <f t="shared" si="3"/>
        <v>4.8188806789669121</v>
      </c>
      <c r="W4" s="131">
        <f t="shared" si="3"/>
        <v>5.0892092124008528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0.94830354669562067</v>
      </c>
      <c r="D5" s="133">
        <v>1.0601710974558745</v>
      </c>
      <c r="E5" s="133">
        <v>0</v>
      </c>
      <c r="F5" s="133">
        <v>0</v>
      </c>
      <c r="G5" s="133">
        <v>0</v>
      </c>
      <c r="H5" s="133">
        <v>3.3618811811452631</v>
      </c>
      <c r="I5" s="133">
        <v>28.46872106389695</v>
      </c>
      <c r="J5" s="133">
        <v>28.8845192984456</v>
      </c>
      <c r="K5" s="133">
        <v>3.6121470666419166</v>
      </c>
      <c r="L5" s="133">
        <v>5.0909079295238966</v>
      </c>
      <c r="M5" s="133">
        <v>0.51215720055287817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0.21414468659444966</v>
      </c>
      <c r="T5" s="133">
        <v>0.91798443674988983</v>
      </c>
      <c r="U5" s="133">
        <v>0.2687853990856589</v>
      </c>
      <c r="V5" s="133">
        <v>0</v>
      </c>
      <c r="W5" s="133">
        <v>0.24181245152487793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0.29798332376794234</v>
      </c>
      <c r="D7" s="133">
        <v>0</v>
      </c>
      <c r="E7" s="133">
        <v>5.1678893308349058E-2</v>
      </c>
      <c r="F7" s="133">
        <v>0.72655330557104769</v>
      </c>
      <c r="G7" s="133">
        <v>0.1014199109443699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0.11546153739545603</v>
      </c>
      <c r="P7" s="133">
        <v>0.42746509676734529</v>
      </c>
      <c r="Q7" s="133">
        <v>0.14870902577022971</v>
      </c>
      <c r="R7" s="133">
        <v>7.5245993426011027E-4</v>
      </c>
      <c r="S7" s="133">
        <v>0</v>
      </c>
      <c r="T7" s="133">
        <v>0</v>
      </c>
      <c r="U7" s="133">
        <v>0</v>
      </c>
      <c r="V7" s="133">
        <v>5.3597047039638029E-3</v>
      </c>
      <c r="W7" s="133">
        <v>3.4387669760921109E-5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1.0059486617461433E-3</v>
      </c>
      <c r="D8" s="133">
        <v>2.491250830548374E-3</v>
      </c>
      <c r="E8" s="133">
        <v>4.3733729846212321E-3</v>
      </c>
      <c r="F8" s="133">
        <v>3.9438477871644225E-3</v>
      </c>
      <c r="G8" s="133">
        <v>1.348258421540145E-3</v>
      </c>
      <c r="H8" s="133">
        <v>1.3374581345977749E-3</v>
      </c>
      <c r="I8" s="133">
        <v>1.9373289845575608E-3</v>
      </c>
      <c r="J8" s="133">
        <v>1.7658332044511028E-3</v>
      </c>
      <c r="K8" s="133">
        <v>3.9962888647300022E-4</v>
      </c>
      <c r="L8" s="133">
        <v>5.4590437428420225E-3</v>
      </c>
      <c r="M8" s="133">
        <v>4.8976366575237788E-3</v>
      </c>
      <c r="N8" s="133">
        <v>2.8819703089036706E-3</v>
      </c>
      <c r="O8" s="133">
        <v>5.5035945972602921E-3</v>
      </c>
      <c r="P8" s="133">
        <v>8.6682674992725525E-3</v>
      </c>
      <c r="Q8" s="133">
        <v>4.4857579308629682E-3</v>
      </c>
      <c r="R8" s="133">
        <v>8.0547246897127956E-4</v>
      </c>
      <c r="S8" s="133">
        <v>9.4900931959504434E-4</v>
      </c>
      <c r="T8" s="133">
        <v>2.1241054329558182E-3</v>
      </c>
      <c r="U8" s="133">
        <v>2.9184419120564568E-3</v>
      </c>
      <c r="V8" s="133">
        <v>4.6056261301008492E-3</v>
      </c>
      <c r="W8" s="133">
        <v>2.3773483525458541E-3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1.1221669859416907</v>
      </c>
      <c r="F9" s="133">
        <v>11.487596870754498</v>
      </c>
      <c r="G9" s="133">
        <v>53.262835612678927</v>
      </c>
      <c r="H9" s="133">
        <v>62.261150950441341</v>
      </c>
      <c r="I9" s="133">
        <v>38.236593131487645</v>
      </c>
      <c r="J9" s="133">
        <v>3.3014171728861283</v>
      </c>
      <c r="K9" s="133">
        <v>0</v>
      </c>
      <c r="L9" s="133">
        <v>3.4117478964437051</v>
      </c>
      <c r="M9" s="133">
        <v>3.2368631134936505</v>
      </c>
      <c r="N9" s="133">
        <v>10.363921420904674</v>
      </c>
      <c r="O9" s="133">
        <v>7.0329719071697259</v>
      </c>
      <c r="P9" s="133">
        <v>2.6971442898170315</v>
      </c>
      <c r="Q9" s="133">
        <v>1.6492557852490648</v>
      </c>
      <c r="R9" s="133">
        <v>3.5229436116633921</v>
      </c>
      <c r="S9" s="133">
        <v>2.5092800225484222</v>
      </c>
      <c r="T9" s="133">
        <v>3.0522834712067426</v>
      </c>
      <c r="U9" s="133">
        <v>3.9523223390991742</v>
      </c>
      <c r="V9" s="133">
        <v>3.0839305360545435</v>
      </c>
      <c r="W9" s="133">
        <v>3.5689044709239868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5.1955792782653387E-2</v>
      </c>
      <c r="I10" s="133">
        <v>0.1594488572658489</v>
      </c>
      <c r="J10" s="133">
        <v>2.332952531582964</v>
      </c>
      <c r="K10" s="133">
        <v>0.15636573176396837</v>
      </c>
      <c r="L10" s="133">
        <v>0.63713162316921623</v>
      </c>
      <c r="M10" s="133">
        <v>0.21222594747778217</v>
      </c>
      <c r="N10" s="133">
        <v>0.1550936831064427</v>
      </c>
      <c r="O10" s="133">
        <v>0.16353108762273499</v>
      </c>
      <c r="P10" s="133">
        <v>0.7397682270292647</v>
      </c>
      <c r="Q10" s="133">
        <v>0.23820091263490903</v>
      </c>
      <c r="R10" s="133">
        <v>9.107765802481628E-2</v>
      </c>
      <c r="S10" s="133">
        <v>0.52130995501108623</v>
      </c>
      <c r="T10" s="133">
        <v>0.69005251089909392</v>
      </c>
      <c r="U10" s="133">
        <v>0.78913657191868625</v>
      </c>
      <c r="V10" s="133">
        <v>0.42643541940372076</v>
      </c>
      <c r="W10" s="133">
        <v>0.16017417878985094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9.5195979609893747E-2</v>
      </c>
      <c r="D11" s="133">
        <v>3.9989290468388387E-2</v>
      </c>
      <c r="E11" s="133">
        <v>5.1966054981056581E-2</v>
      </c>
      <c r="F11" s="133">
        <v>1.2787269316854087E-2</v>
      </c>
      <c r="G11" s="133">
        <v>1.5271859029578448E-2</v>
      </c>
      <c r="H11" s="133">
        <v>3.4912798114708356E-2</v>
      </c>
      <c r="I11" s="133">
        <v>3.703902445772108E-2</v>
      </c>
      <c r="J11" s="133">
        <v>1.9067003557484516E-2</v>
      </c>
      <c r="K11" s="133">
        <v>8.5509669239703008E-4</v>
      </c>
      <c r="L11" s="133">
        <v>1.0714513640928324E-2</v>
      </c>
      <c r="M11" s="133">
        <v>1.0506283840338722E-2</v>
      </c>
      <c r="N11" s="133">
        <v>4.0077246745152187E-3</v>
      </c>
      <c r="O11" s="133">
        <v>8.2640944555628509E-3</v>
      </c>
      <c r="P11" s="133">
        <v>1.627378195120514E-2</v>
      </c>
      <c r="Q11" s="133">
        <v>1.4729146551056517E-2</v>
      </c>
      <c r="R11" s="133">
        <v>1.3658581441383301E-2</v>
      </c>
      <c r="S11" s="133">
        <v>9.7645305480859434E-3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4.4918323383029346</v>
      </c>
      <c r="D12" s="133">
        <v>10.736318613863638</v>
      </c>
      <c r="E12" s="133">
        <v>10.444553081007102</v>
      </c>
      <c r="F12" s="133">
        <v>9.1637673014808776</v>
      </c>
      <c r="G12" s="133">
        <v>1.9369448313235833</v>
      </c>
      <c r="H12" s="133">
        <v>0</v>
      </c>
      <c r="I12" s="133">
        <v>0</v>
      </c>
      <c r="J12" s="133">
        <v>2.6947987207785569</v>
      </c>
      <c r="K12" s="133">
        <v>0.76882702488381316</v>
      </c>
      <c r="L12" s="133">
        <v>5.8975507609734432</v>
      </c>
      <c r="M12" s="133">
        <v>1.2858398829002129</v>
      </c>
      <c r="N12" s="133">
        <v>0</v>
      </c>
      <c r="O12" s="133">
        <v>0</v>
      </c>
      <c r="P12" s="133">
        <v>0</v>
      </c>
      <c r="Q12" s="133">
        <v>0</v>
      </c>
      <c r="R12" s="133">
        <v>0.8725967403451802</v>
      </c>
      <c r="S12" s="133">
        <v>1.8946836798596189</v>
      </c>
      <c r="T12" s="133">
        <v>2.1774251182012425</v>
      </c>
      <c r="U12" s="133">
        <v>1.1531633587162387</v>
      </c>
      <c r="V12" s="133">
        <v>1.087118825260994</v>
      </c>
      <c r="W12" s="133">
        <v>0.58748407840178807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8.0740461762245311E-3</v>
      </c>
      <c r="D13" s="133">
        <v>1.5641192409132806E-2</v>
      </c>
      <c r="E13" s="133">
        <v>1.9185630970204832E-2</v>
      </c>
      <c r="F13" s="133">
        <v>2.4402818459096896E-2</v>
      </c>
      <c r="G13" s="133">
        <v>8.7183906492567503E-3</v>
      </c>
      <c r="H13" s="133">
        <v>1.2985928115468569E-2</v>
      </c>
      <c r="I13" s="133">
        <v>4.0513909928572178E-2</v>
      </c>
      <c r="J13" s="133">
        <v>3.9430088400442903E-2</v>
      </c>
      <c r="K13" s="133">
        <v>8.4130541812275517E-3</v>
      </c>
      <c r="L13" s="133">
        <v>0.11596041847216132</v>
      </c>
      <c r="M13" s="133">
        <v>9.2891150659507635E-2</v>
      </c>
      <c r="N13" s="133">
        <v>4.8612572677484131E-2</v>
      </c>
      <c r="O13" s="133">
        <v>7.108758914358547E-2</v>
      </c>
      <c r="P13" s="133">
        <v>0.13044665724845955</v>
      </c>
      <c r="Q13" s="133">
        <v>0.20456894367658524</v>
      </c>
      <c r="R13" s="133">
        <v>6.8297378116247559E-2</v>
      </c>
      <c r="S13" s="133">
        <v>3.7743559318506856E-2</v>
      </c>
      <c r="T13" s="133">
        <v>7.3742414863118735E-2</v>
      </c>
      <c r="U13" s="133">
        <v>6.7682865764692166E-2</v>
      </c>
      <c r="V13" s="133">
        <v>0.10808465994085373</v>
      </c>
      <c r="W13" s="133">
        <v>4.3349211191009047E-2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20.750918970184209</v>
      </c>
      <c r="D14" s="65">
        <v>16.605098876967887</v>
      </c>
      <c r="E14" s="65">
        <v>9.1753751478430861</v>
      </c>
      <c r="F14" s="65">
        <v>0</v>
      </c>
      <c r="G14" s="65">
        <v>0</v>
      </c>
      <c r="H14" s="65">
        <v>0</v>
      </c>
      <c r="I14" s="65">
        <v>0</v>
      </c>
      <c r="J14" s="65">
        <v>4.5234510648898718</v>
      </c>
      <c r="K14" s="65">
        <v>1.3433161214562523</v>
      </c>
      <c r="L14" s="65">
        <v>14.058617478184262</v>
      </c>
      <c r="M14" s="65">
        <v>5.4721864786122838</v>
      </c>
      <c r="N14" s="65">
        <v>0.81378404300236162</v>
      </c>
      <c r="O14" s="65">
        <v>3.1563673066158899</v>
      </c>
      <c r="P14" s="65">
        <v>2.3183403521370365</v>
      </c>
      <c r="Q14" s="65">
        <v>5.3189261452714867</v>
      </c>
      <c r="R14" s="65">
        <v>3.2273795726507819</v>
      </c>
      <c r="S14" s="65">
        <v>3.3966576331700642</v>
      </c>
      <c r="T14" s="65">
        <v>0.74569933445550418</v>
      </c>
      <c r="U14" s="65">
        <v>0</v>
      </c>
      <c r="V14" s="65">
        <v>6.0713938976469026E-2</v>
      </c>
      <c r="W14" s="65">
        <v>0.43793494007123596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2.6147011749862212E-2</v>
      </c>
      <c r="D15" s="135">
        <v>4.6950081444278202E-2</v>
      </c>
      <c r="E15" s="135">
        <v>5.2136488822835378E-2</v>
      </c>
      <c r="F15" s="135">
        <v>0.16893861796994358</v>
      </c>
      <c r="G15" s="135">
        <v>0.59841647979111079</v>
      </c>
      <c r="H15" s="135">
        <v>0.70514478996192387</v>
      </c>
      <c r="I15" s="135">
        <v>0.57754316103454706</v>
      </c>
      <c r="J15" s="135">
        <v>0.21468402014578794</v>
      </c>
      <c r="K15" s="135">
        <v>2.3160638115084786E-2</v>
      </c>
      <c r="L15" s="135">
        <v>8.8527378840581122E-2</v>
      </c>
      <c r="M15" s="135">
        <v>4.3996954058586217E-2</v>
      </c>
      <c r="N15" s="135">
        <v>0.11702869510157814</v>
      </c>
      <c r="O15" s="135">
        <v>8.2389580942355378E-2</v>
      </c>
      <c r="P15" s="135">
        <v>3.9738023614037138E-2</v>
      </c>
      <c r="Q15" s="135">
        <v>2.2396237603450338E-2</v>
      </c>
      <c r="R15" s="135">
        <v>4.5079700914641224E-2</v>
      </c>
      <c r="S15" s="135">
        <v>3.9696959628472257E-2</v>
      </c>
      <c r="T15" s="135">
        <v>5.1857152722762048E-2</v>
      </c>
      <c r="U15" s="135">
        <v>5.6060236401481972E-2</v>
      </c>
      <c r="V15" s="135">
        <v>4.2631968496266812E-2</v>
      </c>
      <c r="W15" s="135">
        <v>4.7138145475797179E-2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0.70685216690793773</v>
      </c>
      <c r="D16" s="131">
        <f t="shared" si="4"/>
        <v>0.86816890660252632</v>
      </c>
      <c r="E16" s="131">
        <f t="shared" si="4"/>
        <v>0.78410945296820933</v>
      </c>
      <c r="F16" s="131">
        <f t="shared" si="4"/>
        <v>0.7808692872217049</v>
      </c>
      <c r="G16" s="131">
        <f t="shared" si="4"/>
        <v>0.75833977168988098</v>
      </c>
      <c r="H16" s="131">
        <f t="shared" si="4"/>
        <v>0.86696594633677626</v>
      </c>
      <c r="I16" s="131">
        <f t="shared" si="4"/>
        <v>1.1278572177090183</v>
      </c>
      <c r="J16" s="131">
        <f t="shared" si="4"/>
        <v>1.027285051622483</v>
      </c>
      <c r="K16" s="131">
        <f t="shared" si="4"/>
        <v>0.11848540752676874</v>
      </c>
      <c r="L16" s="131">
        <f t="shared" si="4"/>
        <v>0.74030012497837938</v>
      </c>
      <c r="M16" s="131">
        <f t="shared" si="4"/>
        <v>0.39443524586742273</v>
      </c>
      <c r="N16" s="131">
        <f t="shared" si="4"/>
        <v>0.41765291868377341</v>
      </c>
      <c r="O16" s="131">
        <f t="shared" si="4"/>
        <v>0.35251363924035678</v>
      </c>
      <c r="P16" s="131">
        <f t="shared" si="4"/>
        <v>0.3311542422224002</v>
      </c>
      <c r="Q16" s="131">
        <f t="shared" si="4"/>
        <v>0.4522659161384871</v>
      </c>
      <c r="R16" s="131">
        <f t="shared" ref="R16:W16" si="5">SUM(R17:R18)</f>
        <v>0.40173475622377169</v>
      </c>
      <c r="S16" s="131">
        <f t="shared" si="5"/>
        <v>0.41746319794098352</v>
      </c>
      <c r="T16" s="131">
        <f t="shared" si="5"/>
        <v>0.44474048289916113</v>
      </c>
      <c r="U16" s="131">
        <f t="shared" si="5"/>
        <v>0.44758030466415932</v>
      </c>
      <c r="V16" s="131">
        <f t="shared" si="5"/>
        <v>0.39233887230687969</v>
      </c>
      <c r="W16" s="131">
        <f t="shared" si="5"/>
        <v>0.34659720872796401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9.4501430869429921E-3</v>
      </c>
      <c r="D17" s="133">
        <v>0</v>
      </c>
      <c r="E17" s="133">
        <v>0</v>
      </c>
      <c r="F17" s="133">
        <v>1.5625470979868116E-2</v>
      </c>
      <c r="G17" s="133">
        <v>1.1015120001883483E-2</v>
      </c>
      <c r="H17" s="133">
        <v>6.2335010948072478E-3</v>
      </c>
      <c r="I17" s="133">
        <v>4.2624385274586465E-3</v>
      </c>
      <c r="J17" s="133">
        <v>8.9929555629156225E-3</v>
      </c>
      <c r="K17" s="133">
        <v>3.3904274436811018E-4</v>
      </c>
      <c r="L17" s="133">
        <v>6.8732772757095668E-3</v>
      </c>
      <c r="M17" s="133">
        <v>6.6519692043215074E-3</v>
      </c>
      <c r="N17" s="133">
        <v>4.0377773862915502E-3</v>
      </c>
      <c r="O17" s="133">
        <v>1.1134295437240321E-2</v>
      </c>
      <c r="P17" s="133">
        <v>1.8299576601157039E-2</v>
      </c>
      <c r="Q17" s="133">
        <v>1.6128051900355475E-2</v>
      </c>
      <c r="R17" s="133">
        <v>3.5949950229444562E-2</v>
      </c>
      <c r="S17" s="133">
        <v>1.5985209974013089E-2</v>
      </c>
      <c r="T17" s="133">
        <v>2.6246023845973958E-2</v>
      </c>
      <c r="U17" s="133">
        <v>1.8422471151948831E-2</v>
      </c>
      <c r="V17" s="133">
        <v>3.5390981143128691E-2</v>
      </c>
      <c r="W17" s="133">
        <v>1.9585514233379134E-2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0.6974020238209947</v>
      </c>
      <c r="D18" s="133">
        <v>0.86816890660252632</v>
      </c>
      <c r="E18" s="133">
        <v>0.78410945296820933</v>
      </c>
      <c r="F18" s="133">
        <v>0.76524381624183679</v>
      </c>
      <c r="G18" s="133">
        <v>0.74732465168799755</v>
      </c>
      <c r="H18" s="133">
        <v>0.86073244524196901</v>
      </c>
      <c r="I18" s="133">
        <v>1.1235947791815597</v>
      </c>
      <c r="J18" s="133">
        <v>1.0182920960595674</v>
      </c>
      <c r="K18" s="133">
        <v>0.11814636478240063</v>
      </c>
      <c r="L18" s="133">
        <v>0.73342684770266986</v>
      </c>
      <c r="M18" s="133">
        <v>0.38778327666310125</v>
      </c>
      <c r="N18" s="133">
        <v>0.41361514129748184</v>
      </c>
      <c r="O18" s="133">
        <v>0.34137934380311646</v>
      </c>
      <c r="P18" s="133">
        <v>0.31285466562124314</v>
      </c>
      <c r="Q18" s="133">
        <v>0.43613786423813161</v>
      </c>
      <c r="R18" s="133">
        <v>0.36578480599432711</v>
      </c>
      <c r="S18" s="133">
        <v>0.40147798796697043</v>
      </c>
      <c r="T18" s="133">
        <v>0.41849445905318716</v>
      </c>
      <c r="U18" s="133">
        <v>0.42915783351221048</v>
      </c>
      <c r="V18" s="133">
        <v>0.35694789116375097</v>
      </c>
      <c r="W18" s="133">
        <v>0.32701169449458489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2.4462719607817358</v>
      </c>
      <c r="D19" s="131">
        <f t="shared" si="6"/>
        <v>2.8828096699056482</v>
      </c>
      <c r="E19" s="131">
        <f t="shared" si="6"/>
        <v>2.9661708117461627</v>
      </c>
      <c r="F19" s="131">
        <f t="shared" si="6"/>
        <v>3.0027256875465644</v>
      </c>
      <c r="G19" s="131">
        <f t="shared" si="6"/>
        <v>4.3742181377672757</v>
      </c>
      <c r="H19" s="131">
        <f t="shared" si="6"/>
        <v>5.5952830172049275</v>
      </c>
      <c r="I19" s="131">
        <f t="shared" si="6"/>
        <v>7.0170935258983844</v>
      </c>
      <c r="J19" s="131">
        <f t="shared" si="6"/>
        <v>4.5102368373795629</v>
      </c>
      <c r="K19" s="131">
        <f t="shared" si="6"/>
        <v>0.50527504306855386</v>
      </c>
      <c r="L19" s="131">
        <f t="shared" si="6"/>
        <v>3.0825997357941874</v>
      </c>
      <c r="M19" s="131">
        <f t="shared" si="6"/>
        <v>1.6980461837332883</v>
      </c>
      <c r="N19" s="131">
        <f t="shared" si="6"/>
        <v>1.8085440677593525</v>
      </c>
      <c r="O19" s="131">
        <f t="shared" si="6"/>
        <v>1.6072848847150927</v>
      </c>
      <c r="P19" s="131">
        <f t="shared" si="6"/>
        <v>1.4996794238751348</v>
      </c>
      <c r="Q19" s="131">
        <f t="shared" si="6"/>
        <v>1.8240373757819062</v>
      </c>
      <c r="R19" s="131">
        <f t="shared" ref="R19:W19" si="7">SUM(R20:R27)</f>
        <v>1.9640903016186044</v>
      </c>
      <c r="S19" s="131">
        <f t="shared" si="7"/>
        <v>1.9913191459270352</v>
      </c>
      <c r="T19" s="131">
        <f t="shared" si="7"/>
        <v>2.0942612755289374</v>
      </c>
      <c r="U19" s="131">
        <f t="shared" si="7"/>
        <v>2.0963160452980247</v>
      </c>
      <c r="V19" s="131">
        <f t="shared" si="7"/>
        <v>2.0382784018300653</v>
      </c>
      <c r="W19" s="131">
        <f t="shared" si="7"/>
        <v>1.7589538743339028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0.47940019120703387</v>
      </c>
      <c r="I20" s="133">
        <v>1.1115075960091247</v>
      </c>
      <c r="J20" s="133">
        <v>0.86939283922546118</v>
      </c>
      <c r="K20" s="133">
        <v>9.2719145503415687E-2</v>
      </c>
      <c r="L20" s="133">
        <v>0.21608963975916948</v>
      </c>
      <c r="M20" s="133">
        <v>0.10385437098982986</v>
      </c>
      <c r="N20" s="133">
        <v>0.10223982539653943</v>
      </c>
      <c r="O20" s="133">
        <v>9.9780947381346699E-2</v>
      </c>
      <c r="P20" s="133">
        <v>0</v>
      </c>
      <c r="Q20" s="133">
        <v>0</v>
      </c>
      <c r="R20" s="133">
        <v>0</v>
      </c>
      <c r="S20" s="133">
        <v>0</v>
      </c>
      <c r="T20" s="133">
        <v>1.5777812255789083E-4</v>
      </c>
      <c r="U20" s="133">
        <v>3.4565458001727493E-2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1.8001827608470828</v>
      </c>
      <c r="D23" s="133">
        <v>1.3662820909891451</v>
      </c>
      <c r="E23" s="133">
        <v>0.89280661358003377</v>
      </c>
      <c r="F23" s="133">
        <v>0.78017926399018778</v>
      </c>
      <c r="G23" s="133">
        <v>0.85690954814839426</v>
      </c>
      <c r="H23" s="133">
        <v>1.2586942462146813</v>
      </c>
      <c r="I23" s="133">
        <v>1.6199734004490649</v>
      </c>
      <c r="J23" s="133">
        <v>1.0620248287718612</v>
      </c>
      <c r="K23" s="133">
        <v>0.12719552235639339</v>
      </c>
      <c r="L23" s="133">
        <v>0.97014965389666019</v>
      </c>
      <c r="M23" s="133">
        <v>0.71086529047187208</v>
      </c>
      <c r="N23" s="133">
        <v>1.1307752763812333</v>
      </c>
      <c r="O23" s="133">
        <v>0.96026881798101926</v>
      </c>
      <c r="P23" s="133">
        <v>0.74711559718078724</v>
      </c>
      <c r="Q23" s="133">
        <v>0.66771305845805617</v>
      </c>
      <c r="R23" s="133">
        <v>0.52508849501333599</v>
      </c>
      <c r="S23" s="133">
        <v>0.29210724525867632</v>
      </c>
      <c r="T23" s="133">
        <v>0</v>
      </c>
      <c r="U23" s="133">
        <v>0</v>
      </c>
      <c r="V23" s="133">
        <v>0</v>
      </c>
      <c r="W23" s="133">
        <v>0.19663383955339697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0.64608919993465308</v>
      </c>
      <c r="D25" s="133">
        <v>1.3177079633140063</v>
      </c>
      <c r="E25" s="133">
        <v>0.60176707835432452</v>
      </c>
      <c r="F25" s="133">
        <v>0.43591182174552545</v>
      </c>
      <c r="G25" s="133">
        <v>9.3078835797099177E-2</v>
      </c>
      <c r="H25" s="133">
        <v>0.16740356823795854</v>
      </c>
      <c r="I25" s="133">
        <v>0</v>
      </c>
      <c r="J25" s="133">
        <v>9.6623537087121944E-2</v>
      </c>
      <c r="K25" s="133">
        <v>4.329916757474192E-2</v>
      </c>
      <c r="L25" s="133">
        <v>0.17780938266878218</v>
      </c>
      <c r="M25" s="133">
        <v>8.6432147463268771E-2</v>
      </c>
      <c r="N25" s="133">
        <v>5.7371509818813921E-2</v>
      </c>
      <c r="O25" s="133">
        <v>6.7440421790922925E-2</v>
      </c>
      <c r="P25" s="133">
        <v>5.7737877791372731E-2</v>
      </c>
      <c r="Q25" s="133">
        <v>9.8698949457930452E-2</v>
      </c>
      <c r="R25" s="133">
        <v>0.32119122212327972</v>
      </c>
      <c r="S25" s="133">
        <v>0.326451983805643</v>
      </c>
      <c r="T25" s="133">
        <v>0.21588794665634503</v>
      </c>
      <c r="U25" s="133">
        <v>1.642090380766752E-3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0.19881961560249675</v>
      </c>
      <c r="E26" s="65">
        <v>1.4715971198118043</v>
      </c>
      <c r="F26" s="65">
        <v>1.7866346018108512</v>
      </c>
      <c r="G26" s="65">
        <v>3.401093240769173</v>
      </c>
      <c r="H26" s="65">
        <v>3.6897850115452537</v>
      </c>
      <c r="I26" s="65">
        <v>4.2852974108941462</v>
      </c>
      <c r="J26" s="65">
        <v>2.4821038810741864</v>
      </c>
      <c r="K26" s="65">
        <v>0.24206120763400288</v>
      </c>
      <c r="L26" s="65">
        <v>1.3107319316516874</v>
      </c>
      <c r="M26" s="65">
        <v>0.7367880223459049</v>
      </c>
      <c r="N26" s="65">
        <v>0.51468855400949931</v>
      </c>
      <c r="O26" s="65">
        <v>0.47979469756180376</v>
      </c>
      <c r="P26" s="65">
        <v>0.20632243115888269</v>
      </c>
      <c r="Q26" s="65">
        <v>1.0576253678659195</v>
      </c>
      <c r="R26" s="65">
        <v>1.078945781983393</v>
      </c>
      <c r="S26" s="65">
        <v>1.3727599168627156</v>
      </c>
      <c r="T26" s="65">
        <v>1.8181060617339362</v>
      </c>
      <c r="U26" s="65">
        <v>2.0538691592147815</v>
      </c>
      <c r="V26" s="65">
        <v>1.9494110115738954</v>
      </c>
      <c r="W26" s="65">
        <v>1.5623186873560964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2.3136513052609182E-2</v>
      </c>
      <c r="H27" s="148">
        <v>2.5976771177319297E-18</v>
      </c>
      <c r="I27" s="148">
        <v>3.1511854604872943E-4</v>
      </c>
      <c r="J27" s="148">
        <v>9.1751220931913412E-5</v>
      </c>
      <c r="K27" s="148">
        <v>0</v>
      </c>
      <c r="L27" s="148">
        <v>0.40781912781788809</v>
      </c>
      <c r="M27" s="148">
        <v>6.0106352462412901E-2</v>
      </c>
      <c r="N27" s="148">
        <v>3.4689021532662979E-3</v>
      </c>
      <c r="O27" s="148">
        <v>3.8450837910808652E-17</v>
      </c>
      <c r="P27" s="148">
        <v>0.48850351774409217</v>
      </c>
      <c r="Q27" s="148">
        <v>0</v>
      </c>
      <c r="R27" s="148">
        <v>3.8864802498595814E-2</v>
      </c>
      <c r="S27" s="148">
        <v>1.6237797568071279E-16</v>
      </c>
      <c r="T27" s="148">
        <v>6.0109489016098583E-2</v>
      </c>
      <c r="U27" s="148">
        <v>6.2393377007489131E-3</v>
      </c>
      <c r="V27" s="148">
        <v>8.8867390256169729E-2</v>
      </c>
      <c r="W27" s="148">
        <v>1.3474244096996616E-6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1.9399005305863075</v>
      </c>
      <c r="D29" s="131">
        <f t="shared" si="8"/>
        <v>3.3946664850110078</v>
      </c>
      <c r="E29" s="131">
        <f t="shared" si="8"/>
        <v>2.6319064467758366</v>
      </c>
      <c r="F29" s="131">
        <f t="shared" si="8"/>
        <v>2.9820113806081641</v>
      </c>
      <c r="G29" s="131">
        <f t="shared" si="8"/>
        <v>4.0744069556511766</v>
      </c>
      <c r="H29" s="131">
        <f t="shared" si="8"/>
        <v>5.1308710576617722</v>
      </c>
      <c r="I29" s="131">
        <f t="shared" si="8"/>
        <v>6.5678892373521798</v>
      </c>
      <c r="J29" s="131">
        <f t="shared" si="8"/>
        <v>4.302873447186002</v>
      </c>
      <c r="K29" s="131">
        <f t="shared" si="8"/>
        <v>0.48935526541560814</v>
      </c>
      <c r="L29" s="131">
        <f t="shared" si="8"/>
        <v>3.0623781476527698</v>
      </c>
      <c r="M29" s="131">
        <f t="shared" si="8"/>
        <v>1.6428025078098414</v>
      </c>
      <c r="N29" s="131">
        <f t="shared" si="8"/>
        <v>1.8540067212371631</v>
      </c>
      <c r="O29" s="131">
        <f t="shared" si="8"/>
        <v>1.7770560024002264</v>
      </c>
      <c r="P29" s="131">
        <f t="shared" si="8"/>
        <v>1.7591386590566587</v>
      </c>
      <c r="Q29" s="131">
        <f t="shared" si="8"/>
        <v>2.0346751112544279</v>
      </c>
      <c r="R29" s="131">
        <f t="shared" ref="R29:W29" si="9">SUM(R30:R33)</f>
        <v>1.9634808398466252</v>
      </c>
      <c r="S29" s="131">
        <f t="shared" si="9"/>
        <v>1.9196250586312282</v>
      </c>
      <c r="T29" s="131">
        <f t="shared" si="9"/>
        <v>2.1776808563364329</v>
      </c>
      <c r="U29" s="131">
        <f t="shared" si="9"/>
        <v>2.2340537531849085</v>
      </c>
      <c r="V29" s="131">
        <f t="shared" si="9"/>
        <v>1.965740248922424</v>
      </c>
      <c r="W29" s="131">
        <f t="shared" si="9"/>
        <v>2.0157892214071316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1.3114385118195098</v>
      </c>
      <c r="D30" s="133">
        <v>2.9265685775001535</v>
      </c>
      <c r="E30" s="133">
        <v>0.94221933550947301</v>
      </c>
      <c r="F30" s="133">
        <v>0.78296294496410179</v>
      </c>
      <c r="G30" s="133">
        <v>0</v>
      </c>
      <c r="H30" s="133">
        <v>0</v>
      </c>
      <c r="I30" s="133">
        <v>0</v>
      </c>
      <c r="J30" s="133">
        <v>0</v>
      </c>
      <c r="K30" s="133">
        <v>5.7164984030945047E-2</v>
      </c>
      <c r="L30" s="133">
        <v>0.65261234917189659</v>
      </c>
      <c r="M30" s="133">
        <v>0</v>
      </c>
      <c r="N30" s="133">
        <v>0.36590949976193637</v>
      </c>
      <c r="O30" s="133">
        <v>0.32580743432441261</v>
      </c>
      <c r="P30" s="133">
        <v>0.25901374007397221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3.2297467487203034E-4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0.62846201876679775</v>
      </c>
      <c r="D31" s="133">
        <v>0.27220977407243629</v>
      </c>
      <c r="E31" s="133">
        <v>0.41673367297787872</v>
      </c>
      <c r="F31" s="133">
        <v>1.1928084849948664</v>
      </c>
      <c r="G31" s="133">
        <v>1.6502973409657382</v>
      </c>
      <c r="H31" s="133">
        <v>2.5868646191790861</v>
      </c>
      <c r="I31" s="133">
        <v>2.8125386255169715</v>
      </c>
      <c r="J31" s="133">
        <v>1.8982016152936703</v>
      </c>
      <c r="K31" s="133">
        <v>0.23472048023784495</v>
      </c>
      <c r="L31" s="133">
        <v>0.9284645750780699</v>
      </c>
      <c r="M31" s="133">
        <v>0.46045727914572721</v>
      </c>
      <c r="N31" s="133">
        <v>1.3012325620001572</v>
      </c>
      <c r="O31" s="133">
        <v>1.3098348720771789</v>
      </c>
      <c r="P31" s="133">
        <v>1.1687386381020837</v>
      </c>
      <c r="Q31" s="133">
        <v>1.2627397166807106</v>
      </c>
      <c r="R31" s="133">
        <v>0.8746469931356472</v>
      </c>
      <c r="S31" s="133">
        <v>0.41762824924854924</v>
      </c>
      <c r="T31" s="133">
        <v>0.6728152853242152</v>
      </c>
      <c r="U31" s="133">
        <v>0.81950935503824462</v>
      </c>
      <c r="V31" s="133">
        <v>0.71087981310982262</v>
      </c>
      <c r="W31" s="133">
        <v>0.86068646449383035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0.19588813343841815</v>
      </c>
      <c r="E33" s="68">
        <v>1.2729534382884846</v>
      </c>
      <c r="F33" s="68">
        <v>1.0062399506491959</v>
      </c>
      <c r="G33" s="68">
        <v>2.4241096146854382</v>
      </c>
      <c r="H33" s="68">
        <v>2.5440064384826861</v>
      </c>
      <c r="I33" s="68">
        <v>3.7553506118352087</v>
      </c>
      <c r="J33" s="68">
        <v>2.4046718318923319</v>
      </c>
      <c r="K33" s="68">
        <v>0.19746980114681817</v>
      </c>
      <c r="L33" s="68">
        <v>1.4813012234028033</v>
      </c>
      <c r="M33" s="68">
        <v>1.1823452286641143</v>
      </c>
      <c r="N33" s="68">
        <v>0.18686465947506967</v>
      </c>
      <c r="O33" s="68">
        <v>0.14141369599863496</v>
      </c>
      <c r="P33" s="68">
        <v>0.33138628088060273</v>
      </c>
      <c r="Q33" s="68">
        <v>0.77193539457371718</v>
      </c>
      <c r="R33" s="68">
        <v>1.0888338467109779</v>
      </c>
      <c r="S33" s="68">
        <v>1.501996809382679</v>
      </c>
      <c r="T33" s="68">
        <v>1.5048655710122176</v>
      </c>
      <c r="U33" s="68">
        <v>1.4145443981466641</v>
      </c>
      <c r="V33" s="68">
        <v>1.2548604358126014</v>
      </c>
      <c r="W33" s="68">
        <v>1.1547797822384289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23.351612860506016</v>
      </c>
      <c r="D3" s="126">
        <f t="shared" si="0"/>
        <v>27.110278845990099</v>
      </c>
      <c r="E3" s="126">
        <f t="shared" si="0"/>
        <v>21.3446290202026</v>
      </c>
      <c r="F3" s="126">
        <f t="shared" si="0"/>
        <v>20.713750023489517</v>
      </c>
      <c r="G3" s="126">
        <f t="shared" si="0"/>
        <v>42.514975981978523</v>
      </c>
      <c r="H3" s="126">
        <f t="shared" si="0"/>
        <v>50.974626195186524</v>
      </c>
      <c r="I3" s="126">
        <f t="shared" si="0"/>
        <v>54.991768783078228</v>
      </c>
      <c r="J3" s="126">
        <f t="shared" si="0"/>
        <v>36.376022027004744</v>
      </c>
      <c r="K3" s="126">
        <f t="shared" si="0"/>
        <v>5.0666488120734376</v>
      </c>
      <c r="L3" s="126">
        <f t="shared" si="0"/>
        <v>28.033771309871334</v>
      </c>
      <c r="M3" s="126">
        <f t="shared" si="0"/>
        <v>11.664662949689061</v>
      </c>
      <c r="N3" s="126">
        <f t="shared" si="0"/>
        <v>11.681854929164349</v>
      </c>
      <c r="O3" s="126">
        <f t="shared" si="0"/>
        <v>11.175805913165675</v>
      </c>
      <c r="P3" s="126">
        <f t="shared" si="0"/>
        <v>8.4160967978984793</v>
      </c>
      <c r="Q3" s="126">
        <f t="shared" si="0"/>
        <v>10.812559085919737</v>
      </c>
      <c r="R3" s="126">
        <f t="shared" ref="R3:W3" si="1">SUM(R4,R16,R19,R29)</f>
        <v>10.725785146614475</v>
      </c>
      <c r="S3" s="126">
        <f t="shared" si="1"/>
        <v>11.608755208400485</v>
      </c>
      <c r="T3" s="126">
        <f t="shared" si="1"/>
        <v>11.252401011097188</v>
      </c>
      <c r="U3" s="126">
        <f t="shared" si="1"/>
        <v>10.138718143168713</v>
      </c>
      <c r="V3" s="126">
        <f t="shared" si="1"/>
        <v>8.8165049728952187</v>
      </c>
      <c r="W3" s="126">
        <f t="shared" si="1"/>
        <v>8.5429006646997792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19.056461857870076</v>
      </c>
      <c r="D4" s="131">
        <f t="shared" si="2"/>
        <v>21.002532352445403</v>
      </c>
      <c r="E4" s="131">
        <f t="shared" si="2"/>
        <v>15.624634526412114</v>
      </c>
      <c r="F4" s="131">
        <f t="shared" si="2"/>
        <v>14.770074790547866</v>
      </c>
      <c r="G4" s="131">
        <f t="shared" si="2"/>
        <v>34.707217008708405</v>
      </c>
      <c r="H4" s="131">
        <f t="shared" si="2"/>
        <v>41.333319885568365</v>
      </c>
      <c r="I4" s="131">
        <f t="shared" si="2"/>
        <v>42.50172155739326</v>
      </c>
      <c r="J4" s="131">
        <f t="shared" si="2"/>
        <v>27.388731611991098</v>
      </c>
      <c r="K4" s="131">
        <f t="shared" si="2"/>
        <v>4.0440085610926744</v>
      </c>
      <c r="L4" s="131">
        <f t="shared" si="2"/>
        <v>21.454743464310368</v>
      </c>
      <c r="M4" s="131">
        <f t="shared" si="2"/>
        <v>8.0406403052185613</v>
      </c>
      <c r="N4" s="131">
        <f t="shared" si="2"/>
        <v>7.9510351475027576</v>
      </c>
      <c r="O4" s="131">
        <f t="shared" si="2"/>
        <v>7.7669163752412125</v>
      </c>
      <c r="P4" s="131">
        <f t="shared" si="2"/>
        <v>4.9114278757940415</v>
      </c>
      <c r="Q4" s="131">
        <f t="shared" si="2"/>
        <v>6.3801690241451672</v>
      </c>
      <c r="R4" s="131">
        <f t="shared" ref="R4:W4" si="3">SUM(R5:R15)</f>
        <v>6.2743306764281073</v>
      </c>
      <c r="S4" s="131">
        <f t="shared" si="3"/>
        <v>6.8827281162420242</v>
      </c>
      <c r="T4" s="131">
        <f t="shared" si="3"/>
        <v>6.0982314752937992</v>
      </c>
      <c r="U4" s="131">
        <f t="shared" si="3"/>
        <v>4.8801520674923315</v>
      </c>
      <c r="V4" s="131">
        <f t="shared" si="3"/>
        <v>3.9902565042995106</v>
      </c>
      <c r="W4" s="131">
        <f t="shared" si="3"/>
        <v>4.0711476678890266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0.5561365660157499</v>
      </c>
      <c r="D5" s="133">
        <v>0.62862038129976039</v>
      </c>
      <c r="E5" s="133">
        <v>0</v>
      </c>
      <c r="F5" s="133">
        <v>0</v>
      </c>
      <c r="G5" s="133">
        <v>0</v>
      </c>
      <c r="H5" s="133">
        <v>2.0803362110318666</v>
      </c>
      <c r="I5" s="133">
        <v>17.799715211798947</v>
      </c>
      <c r="J5" s="133">
        <v>18.244904837316938</v>
      </c>
      <c r="K5" s="133">
        <v>2.3046555072843886</v>
      </c>
      <c r="L5" s="133">
        <v>3.2804444965712127</v>
      </c>
      <c r="M5" s="133">
        <v>0.33309393383421593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0.1477908878770878</v>
      </c>
      <c r="T5" s="133">
        <v>0.64284196875686983</v>
      </c>
      <c r="U5" s="133">
        <v>0.19082748014189699</v>
      </c>
      <c r="V5" s="133">
        <v>0</v>
      </c>
      <c r="W5" s="133">
        <v>0.17531031047760542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0.15137592031890157</v>
      </c>
      <c r="D7" s="133">
        <v>0</v>
      </c>
      <c r="E7" s="133">
        <v>2.7108021999348603E-2</v>
      </c>
      <c r="F7" s="133">
        <v>0.38719798114327186</v>
      </c>
      <c r="G7" s="133">
        <v>5.4923698593017573E-2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7.7458573324385258E-2</v>
      </c>
      <c r="P7" s="133">
        <v>0.30434465610924949</v>
      </c>
      <c r="Q7" s="133">
        <v>0.11093729391994139</v>
      </c>
      <c r="R7" s="133">
        <v>5.7386055390127666E-4</v>
      </c>
      <c r="S7" s="133">
        <v>0</v>
      </c>
      <c r="T7" s="133">
        <v>0</v>
      </c>
      <c r="U7" s="133">
        <v>0</v>
      </c>
      <c r="V7" s="133">
        <v>4.2661613121157283E-3</v>
      </c>
      <c r="W7" s="133">
        <v>2.7502560631141282E-5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1.0865586503912114E-3</v>
      </c>
      <c r="D8" s="133">
        <v>2.8824915266553934E-3</v>
      </c>
      <c r="E8" s="133">
        <v>5.4043673167027935E-3</v>
      </c>
      <c r="F8" s="133">
        <v>5.1896579653920106E-3</v>
      </c>
      <c r="G8" s="133">
        <v>1.8845442164265981E-3</v>
      </c>
      <c r="H8" s="133">
        <v>1.9811983990381679E-3</v>
      </c>
      <c r="I8" s="133">
        <v>3.035022992046534E-3</v>
      </c>
      <c r="J8" s="133">
        <v>2.9204594485410518E-3</v>
      </c>
      <c r="K8" s="133">
        <v>6.9667763733946889E-4</v>
      </c>
      <c r="L8" s="133">
        <v>1.0016966859243281E-2</v>
      </c>
      <c r="M8" s="133">
        <v>9.4807562680794977E-3</v>
      </c>
      <c r="N8" s="133">
        <v>5.9013931473681303E-3</v>
      </c>
      <c r="O8" s="133">
        <v>1.1941166266971927E-2</v>
      </c>
      <c r="P8" s="133">
        <v>1.9871977872866053E-2</v>
      </c>
      <c r="Q8" s="133">
        <v>1.0735200808953894E-2</v>
      </c>
      <c r="R8" s="133">
        <v>1.9601535137693327E-3</v>
      </c>
      <c r="S8" s="133">
        <v>2.3341031612391584E-3</v>
      </c>
      <c r="T8" s="133">
        <v>5.2604225576861558E-3</v>
      </c>
      <c r="U8" s="133">
        <v>7.2673566021498846E-3</v>
      </c>
      <c r="V8" s="133">
        <v>1.1541965929013095E-2</v>
      </c>
      <c r="W8" s="133">
        <v>5.9995635156627211E-3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0.66689432903307033</v>
      </c>
      <c r="F9" s="133">
        <v>6.9170943947642192</v>
      </c>
      <c r="G9" s="133">
        <v>32.488999506692778</v>
      </c>
      <c r="H9" s="133">
        <v>38.464847577142038</v>
      </c>
      <c r="I9" s="133">
        <v>23.921968990258812</v>
      </c>
      <c r="J9" s="133">
        <v>2.0916642399683805</v>
      </c>
      <c r="K9" s="133">
        <v>0</v>
      </c>
      <c r="L9" s="133">
        <v>2.2176982888544576</v>
      </c>
      <c r="M9" s="133">
        <v>2.1384910553346601</v>
      </c>
      <c r="N9" s="133">
        <v>6.98873843009667</v>
      </c>
      <c r="O9" s="133">
        <v>4.8627281548034613</v>
      </c>
      <c r="P9" s="133">
        <v>1.9160346139819144</v>
      </c>
      <c r="Q9" s="133">
        <v>1.1981572434443197</v>
      </c>
      <c r="R9" s="133">
        <v>2.5915778543603127</v>
      </c>
      <c r="S9" s="133">
        <v>1.8636119806807869</v>
      </c>
      <c r="T9" s="133">
        <v>2.2840648548761746</v>
      </c>
      <c r="U9" s="133">
        <v>2.9760889502587018</v>
      </c>
      <c r="V9" s="133">
        <v>2.3347324789383572</v>
      </c>
      <c r="W9" s="133">
        <v>2.7119289643199807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2.7757219342891572E-2</v>
      </c>
      <c r="I10" s="133">
        <v>8.5229232463458773E-2</v>
      </c>
      <c r="J10" s="133">
        <v>1.2476664456268671</v>
      </c>
      <c r="K10" s="133">
        <v>8.3667907592485602E-2</v>
      </c>
      <c r="L10" s="133">
        <v>0.34109055934328231</v>
      </c>
      <c r="M10" s="133">
        <v>0.11366964055984462</v>
      </c>
      <c r="N10" s="133">
        <v>8.3103469889607193E-2</v>
      </c>
      <c r="O10" s="133">
        <v>8.7654318015564156E-2</v>
      </c>
      <c r="P10" s="133">
        <v>0.39664154995237949</v>
      </c>
      <c r="Q10" s="133">
        <v>0.12776153631579723</v>
      </c>
      <c r="R10" s="133">
        <v>4.887601411018367E-2</v>
      </c>
      <c r="S10" s="133">
        <v>0.27992034739811333</v>
      </c>
      <c r="T10" s="133">
        <v>0.37074576448543112</v>
      </c>
      <c r="U10" s="133">
        <v>0.42421062761802308</v>
      </c>
      <c r="V10" s="133">
        <v>0.22933999212443032</v>
      </c>
      <c r="W10" s="133">
        <v>8.6174256387184872E-2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7.3409204186405855E-2</v>
      </c>
      <c r="D11" s="133">
        <v>3.101870172938485E-2</v>
      </c>
      <c r="E11" s="133">
        <v>4.0544616668367145E-2</v>
      </c>
      <c r="F11" s="133">
        <v>1.0034833069975707E-2</v>
      </c>
      <c r="G11" s="133">
        <v>1.2053938232471535E-2</v>
      </c>
      <c r="H11" s="133">
        <v>2.7714840031116125E-2</v>
      </c>
      <c r="I11" s="133">
        <v>2.9570870058753584E-2</v>
      </c>
      <c r="J11" s="133">
        <v>1.5309129111439416E-2</v>
      </c>
      <c r="K11" s="133">
        <v>6.9045243802646821E-4</v>
      </c>
      <c r="L11" s="133">
        <v>8.7001900711946439E-3</v>
      </c>
      <c r="M11" s="133">
        <v>8.5793694633256624E-3</v>
      </c>
      <c r="N11" s="133">
        <v>3.2913590880789003E-3</v>
      </c>
      <c r="O11" s="133">
        <v>6.825797466853605E-3</v>
      </c>
      <c r="P11" s="133">
        <v>1.3517154853520919E-2</v>
      </c>
      <c r="Q11" s="133">
        <v>1.2297854104383882E-2</v>
      </c>
      <c r="R11" s="133">
        <v>1.1455528651443826E-2</v>
      </c>
      <c r="S11" s="133">
        <v>8.223487118500919E-3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3.5173612691559106</v>
      </c>
      <c r="D12" s="133">
        <v>8.4315436268524433</v>
      </c>
      <c r="E12" s="133">
        <v>8.2267823696278128</v>
      </c>
      <c r="F12" s="133">
        <v>7.239414341169689</v>
      </c>
      <c r="G12" s="133">
        <v>1.5348396564884883</v>
      </c>
      <c r="H12" s="133">
        <v>0</v>
      </c>
      <c r="I12" s="133">
        <v>0</v>
      </c>
      <c r="J12" s="133">
        <v>2.1557977202867753</v>
      </c>
      <c r="K12" s="133">
        <v>0.61718305497893333</v>
      </c>
      <c r="L12" s="133">
        <v>4.7516408781764818</v>
      </c>
      <c r="M12" s="133">
        <v>1.041228609342232</v>
      </c>
      <c r="N12" s="133">
        <v>0</v>
      </c>
      <c r="O12" s="133">
        <v>0</v>
      </c>
      <c r="P12" s="133">
        <v>0</v>
      </c>
      <c r="Q12" s="133">
        <v>0</v>
      </c>
      <c r="R12" s="133">
        <v>0.73723727029476327</v>
      </c>
      <c r="S12" s="133">
        <v>1.6119704271038726</v>
      </c>
      <c r="T12" s="133">
        <v>1.8649432615579329</v>
      </c>
      <c r="U12" s="133">
        <v>0.99396960111110866</v>
      </c>
      <c r="V12" s="133">
        <v>0.9426702332870982</v>
      </c>
      <c r="W12" s="133">
        <v>0.51222497167908976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1.126946480828156E-2</v>
      </c>
      <c r="D13" s="133">
        <v>2.3525386095338368E-2</v>
      </c>
      <c r="E13" s="133">
        <v>3.0993803710499038E-2</v>
      </c>
      <c r="F13" s="133">
        <v>4.2204964465374188E-2</v>
      </c>
      <c r="G13" s="133">
        <v>1.6099184694114262E-2</v>
      </c>
      <c r="H13" s="133">
        <v>2.5538049659494182E-2</v>
      </c>
      <c r="I13" s="133">
        <v>8.4659068786682154E-2</v>
      </c>
      <c r="J13" s="133">
        <v>8.7377982758537434E-2</v>
      </c>
      <c r="K13" s="133">
        <v>1.9737232907804072E-2</v>
      </c>
      <c r="L13" s="133">
        <v>0.28753942521658826</v>
      </c>
      <c r="M13" s="133">
        <v>0.24398311021958788</v>
      </c>
      <c r="N13" s="133">
        <v>0.13559167917782466</v>
      </c>
      <c r="O13" s="133">
        <v>0.2108484211533295</v>
      </c>
      <c r="P13" s="133">
        <v>0.41005990034772133</v>
      </c>
      <c r="Q13" s="133">
        <v>0.67282411578490986</v>
      </c>
      <c r="R13" s="133">
        <v>0.22852516662190386</v>
      </c>
      <c r="S13" s="133">
        <v>0.12765398780338463</v>
      </c>
      <c r="T13" s="133">
        <v>0.25111491775844463</v>
      </c>
      <c r="U13" s="133">
        <v>0.23172781535896952</v>
      </c>
      <c r="V13" s="133">
        <v>0.37245736329752765</v>
      </c>
      <c r="W13" s="133">
        <v>0.15048300633619296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14.719675862984573</v>
      </c>
      <c r="D14" s="65">
        <v>11.837991683497542</v>
      </c>
      <c r="E14" s="65">
        <v>6.5747705292334775</v>
      </c>
      <c r="F14" s="65">
        <v>0</v>
      </c>
      <c r="G14" s="65">
        <v>0</v>
      </c>
      <c r="H14" s="65">
        <v>0</v>
      </c>
      <c r="I14" s="65">
        <v>0</v>
      </c>
      <c r="J14" s="65">
        <v>3.3284067773278325</v>
      </c>
      <c r="K14" s="65">
        <v>0.99421709013861159</v>
      </c>
      <c r="L14" s="65">
        <v>10.469085280377326</v>
      </c>
      <c r="M14" s="65">
        <v>4.1081168761380287</v>
      </c>
      <c r="N14" s="65">
        <v>0.6173801210016302</v>
      </c>
      <c r="O14" s="65">
        <v>2.4270703632682915</v>
      </c>
      <c r="P14" s="65">
        <v>1.8112199990623536</v>
      </c>
      <c r="Q14" s="65">
        <v>4.225059542163411</v>
      </c>
      <c r="R14" s="65">
        <v>2.609045127407188</v>
      </c>
      <c r="S14" s="65">
        <v>2.8015259354705662</v>
      </c>
      <c r="T14" s="65">
        <v>0.62740313257849722</v>
      </c>
      <c r="U14" s="65">
        <v>0</v>
      </c>
      <c r="V14" s="65">
        <v>5.2616340914701187E-2</v>
      </c>
      <c r="W14" s="65">
        <v>0.38186094713688168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2.6147011749862212E-2</v>
      </c>
      <c r="D15" s="135">
        <v>4.6950081444278202E-2</v>
      </c>
      <c r="E15" s="135">
        <v>5.2136488822835378E-2</v>
      </c>
      <c r="F15" s="135">
        <v>0.16893861796994358</v>
      </c>
      <c r="G15" s="135">
        <v>0.59841647979111079</v>
      </c>
      <c r="H15" s="135">
        <v>0.70514478996192387</v>
      </c>
      <c r="I15" s="135">
        <v>0.57754316103454706</v>
      </c>
      <c r="J15" s="135">
        <v>0.21468402014578794</v>
      </c>
      <c r="K15" s="135">
        <v>2.3160638115084786E-2</v>
      </c>
      <c r="L15" s="135">
        <v>8.8527378840581122E-2</v>
      </c>
      <c r="M15" s="135">
        <v>4.3996954058586217E-2</v>
      </c>
      <c r="N15" s="135">
        <v>0.11702869510157814</v>
      </c>
      <c r="O15" s="135">
        <v>8.2389580942355378E-2</v>
      </c>
      <c r="P15" s="135">
        <v>3.9738023614037138E-2</v>
      </c>
      <c r="Q15" s="135">
        <v>2.2396237603450338E-2</v>
      </c>
      <c r="R15" s="135">
        <v>4.5079700914641224E-2</v>
      </c>
      <c r="S15" s="135">
        <v>3.9696959628472257E-2</v>
      </c>
      <c r="T15" s="135">
        <v>5.1857152722762048E-2</v>
      </c>
      <c r="U15" s="135">
        <v>5.6060236401481972E-2</v>
      </c>
      <c r="V15" s="135">
        <v>4.2631968496266812E-2</v>
      </c>
      <c r="W15" s="135">
        <v>4.7138145475797179E-2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1.5616211036930427</v>
      </c>
      <c r="D16" s="131">
        <f t="shared" si="4"/>
        <v>1.9908999379895016</v>
      </c>
      <c r="E16" s="131">
        <f t="shared" si="4"/>
        <v>1.8543791362789435</v>
      </c>
      <c r="F16" s="131">
        <f t="shared" si="4"/>
        <v>1.8844008952536979</v>
      </c>
      <c r="G16" s="131">
        <f t="shared" si="4"/>
        <v>1.8891187368336058</v>
      </c>
      <c r="H16" s="131">
        <f t="shared" si="4"/>
        <v>2.2305789398974905</v>
      </c>
      <c r="I16" s="131">
        <f t="shared" si="4"/>
        <v>2.9898677681300243</v>
      </c>
      <c r="J16" s="131">
        <f t="shared" si="4"/>
        <v>2.7927222311926654</v>
      </c>
      <c r="K16" s="131">
        <f t="shared" si="4"/>
        <v>0.33223691479172951</v>
      </c>
      <c r="L16" s="131">
        <f t="shared" si="4"/>
        <v>2.1264744289454094</v>
      </c>
      <c r="M16" s="131">
        <f t="shared" si="4"/>
        <v>1.1647970399363685</v>
      </c>
      <c r="N16" s="131">
        <f t="shared" si="4"/>
        <v>1.2857666913762917</v>
      </c>
      <c r="O16" s="131">
        <f t="shared" si="4"/>
        <v>1.118024773966307</v>
      </c>
      <c r="P16" s="131">
        <f t="shared" si="4"/>
        <v>1.0820022754891725</v>
      </c>
      <c r="Q16" s="131">
        <f t="shared" si="4"/>
        <v>1.5517624563349897</v>
      </c>
      <c r="R16" s="131">
        <f t="shared" ref="R16:W16" si="5">SUM(R17:R18)</f>
        <v>1.3623248399776371</v>
      </c>
      <c r="S16" s="131">
        <f t="shared" si="5"/>
        <v>1.4883452019551997</v>
      </c>
      <c r="T16" s="131">
        <f t="shared" si="5"/>
        <v>1.5881048363348773</v>
      </c>
      <c r="U16" s="131">
        <f t="shared" si="5"/>
        <v>1.6375276806827241</v>
      </c>
      <c r="V16" s="131">
        <f t="shared" si="5"/>
        <v>1.4106325200456027</v>
      </c>
      <c r="W16" s="131">
        <f t="shared" si="5"/>
        <v>1.2890440278818358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1.1830131260303488E-2</v>
      </c>
      <c r="D17" s="133">
        <v>0</v>
      </c>
      <c r="E17" s="133">
        <v>0</v>
      </c>
      <c r="F17" s="133">
        <v>1.96865623995745E-2</v>
      </c>
      <c r="G17" s="133">
        <v>1.389441934103146E-2</v>
      </c>
      <c r="H17" s="133">
        <v>7.8701884218411733E-3</v>
      </c>
      <c r="I17" s="133">
        <v>5.3854854936792665E-3</v>
      </c>
      <c r="J17" s="133">
        <v>1.1370422352464641E-2</v>
      </c>
      <c r="K17" s="133">
        <v>4.2909124093195293E-4</v>
      </c>
      <c r="L17" s="133">
        <v>8.7110410486015213E-3</v>
      </c>
      <c r="M17" s="133">
        <v>8.4655801495433346E-3</v>
      </c>
      <c r="N17" s="133">
        <v>5.1905191600429938E-3</v>
      </c>
      <c r="O17" s="133">
        <v>1.4557064051625027E-2</v>
      </c>
      <c r="P17" s="133">
        <v>2.4485077891878048E-2</v>
      </c>
      <c r="Q17" s="133">
        <v>2.2109634396444561E-2</v>
      </c>
      <c r="R17" s="133">
        <v>5.0263857131497412E-2</v>
      </c>
      <c r="S17" s="133">
        <v>2.2783056594512168E-2</v>
      </c>
      <c r="T17" s="133">
        <v>3.8241795599832776E-2</v>
      </c>
      <c r="U17" s="133">
        <v>2.746365030844428E-2</v>
      </c>
      <c r="V17" s="133">
        <v>5.3914181079783435E-2</v>
      </c>
      <c r="W17" s="133">
        <v>3.0357301049827867E-2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1.5497909724327392</v>
      </c>
      <c r="D18" s="133">
        <v>1.9908999379895016</v>
      </c>
      <c r="E18" s="133">
        <v>1.8543791362789435</v>
      </c>
      <c r="F18" s="133">
        <v>1.8647143328541234</v>
      </c>
      <c r="G18" s="133">
        <v>1.8752243174925742</v>
      </c>
      <c r="H18" s="133">
        <v>2.2227087514756492</v>
      </c>
      <c r="I18" s="133">
        <v>2.9844822826363449</v>
      </c>
      <c r="J18" s="133">
        <v>2.7813518088402009</v>
      </c>
      <c r="K18" s="133">
        <v>0.33180782355079758</v>
      </c>
      <c r="L18" s="133">
        <v>2.1177633878968081</v>
      </c>
      <c r="M18" s="133">
        <v>1.1563314597868253</v>
      </c>
      <c r="N18" s="133">
        <v>1.2805761722162488</v>
      </c>
      <c r="O18" s="133">
        <v>1.1034677099146819</v>
      </c>
      <c r="P18" s="133">
        <v>1.0575171975972943</v>
      </c>
      <c r="Q18" s="133">
        <v>1.529652821938545</v>
      </c>
      <c r="R18" s="133">
        <v>1.3120609828461396</v>
      </c>
      <c r="S18" s="133">
        <v>1.4655621453606875</v>
      </c>
      <c r="T18" s="133">
        <v>1.5498630407350444</v>
      </c>
      <c r="U18" s="133">
        <v>1.6100640303742799</v>
      </c>
      <c r="V18" s="133">
        <v>1.3567183389658193</v>
      </c>
      <c r="W18" s="133">
        <v>1.2586867268320079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1.499845886407343</v>
      </c>
      <c r="D19" s="131">
        <f t="shared" si="6"/>
        <v>1.9198094582542762</v>
      </c>
      <c r="E19" s="131">
        <f t="shared" si="6"/>
        <v>1.9290437432986738</v>
      </c>
      <c r="F19" s="131">
        <f t="shared" si="6"/>
        <v>1.951075748762269</v>
      </c>
      <c r="G19" s="131">
        <f t="shared" si="6"/>
        <v>2.8164743274798489</v>
      </c>
      <c r="H19" s="131">
        <f t="shared" si="6"/>
        <v>3.6047023947886885</v>
      </c>
      <c r="I19" s="131">
        <f t="shared" si="6"/>
        <v>4.5193176869649063</v>
      </c>
      <c r="J19" s="131">
        <f t="shared" si="6"/>
        <v>2.9390284833047966</v>
      </c>
      <c r="K19" s="131">
        <f t="shared" si="6"/>
        <v>0.33587801231548065</v>
      </c>
      <c r="L19" s="131">
        <f t="shared" si="6"/>
        <v>2.1805366065775562</v>
      </c>
      <c r="M19" s="131">
        <f t="shared" si="6"/>
        <v>1.1542085157182511</v>
      </c>
      <c r="N19" s="131">
        <f t="shared" si="6"/>
        <v>1.2186766190835956</v>
      </c>
      <c r="O19" s="131">
        <f t="shared" si="6"/>
        <v>1.122895388687039</v>
      </c>
      <c r="P19" s="131">
        <f t="shared" si="6"/>
        <v>1.2220828862228204</v>
      </c>
      <c r="Q19" s="131">
        <f t="shared" si="6"/>
        <v>1.397374110952454</v>
      </c>
      <c r="R19" s="131">
        <f t="shared" ref="R19:W19" si="7">SUM(R20:R27)</f>
        <v>1.5664335620839642</v>
      </c>
      <c r="S19" s="131">
        <f t="shared" si="7"/>
        <v>1.6245477193419833</v>
      </c>
      <c r="T19" s="131">
        <f t="shared" si="7"/>
        <v>1.7664238311237308</v>
      </c>
      <c r="U19" s="131">
        <f t="shared" si="7"/>
        <v>1.7907126623887157</v>
      </c>
      <c r="V19" s="131">
        <f t="shared" si="7"/>
        <v>1.788678667183526</v>
      </c>
      <c r="W19" s="131">
        <f t="shared" si="7"/>
        <v>1.5421927250132001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0.30939759665641026</v>
      </c>
      <c r="I20" s="133">
        <v>0.72508238414413961</v>
      </c>
      <c r="J20" s="133">
        <v>0.57316629565412403</v>
      </c>
      <c r="K20" s="133">
        <v>6.1766418321807244E-2</v>
      </c>
      <c r="L20" s="133">
        <v>0.14543339420133669</v>
      </c>
      <c r="M20" s="133">
        <v>7.0570051645360315E-2</v>
      </c>
      <c r="N20" s="133">
        <v>7.0086686482523211E-2</v>
      </c>
      <c r="O20" s="133">
        <v>6.8952714654638009E-2</v>
      </c>
      <c r="P20" s="133">
        <v>0</v>
      </c>
      <c r="Q20" s="133">
        <v>0</v>
      </c>
      <c r="R20" s="133">
        <v>0</v>
      </c>
      <c r="S20" s="133">
        <v>0</v>
      </c>
      <c r="T20" s="133">
        <v>1.157213709177551E-4</v>
      </c>
      <c r="U20" s="133">
        <v>2.5713705792448131E-2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0.99878688037435859</v>
      </c>
      <c r="D23" s="133">
        <v>0.76663340333274554</v>
      </c>
      <c r="E23" s="133">
        <v>0.50681485052013509</v>
      </c>
      <c r="F23" s="133">
        <v>0.44803615178525952</v>
      </c>
      <c r="G23" s="133">
        <v>0.49797577496733292</v>
      </c>
      <c r="H23" s="133">
        <v>0.74037413738351421</v>
      </c>
      <c r="I23" s="133">
        <v>0.96478057985849619</v>
      </c>
      <c r="J23" s="133">
        <v>0.64078109016437612</v>
      </c>
      <c r="K23" s="133">
        <v>7.7815943183888722E-2</v>
      </c>
      <c r="L23" s="133">
        <v>0.6023302678151965</v>
      </c>
      <c r="M23" s="133">
        <v>0.45111247551309447</v>
      </c>
      <c r="N23" s="133">
        <v>0.73976549033495742</v>
      </c>
      <c r="O23" s="133">
        <v>0.65357335124354665</v>
      </c>
      <c r="P23" s="133">
        <v>0.53145349656886087</v>
      </c>
      <c r="Q23" s="133">
        <v>0.49320208043571862</v>
      </c>
      <c r="R23" s="133">
        <v>0.39728007052369441</v>
      </c>
      <c r="S23" s="133">
        <v>0.22579219758466193</v>
      </c>
      <c r="T23" s="133">
        <v>0</v>
      </c>
      <c r="U23" s="133">
        <v>0</v>
      </c>
      <c r="V23" s="133">
        <v>0</v>
      </c>
      <c r="W23" s="133">
        <v>0.15982371634184878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0.50105900603298437</v>
      </c>
      <c r="D25" s="133">
        <v>1.0250450049089623</v>
      </c>
      <c r="E25" s="133">
        <v>0.46958172362663064</v>
      </c>
      <c r="F25" s="133">
        <v>0.34122513597364934</v>
      </c>
      <c r="G25" s="133">
        <v>7.3093930931161469E-2</v>
      </c>
      <c r="H25" s="133">
        <v>0.13188876961757068</v>
      </c>
      <c r="I25" s="133">
        <v>0</v>
      </c>
      <c r="J25" s="133">
        <v>7.664305136868832E-2</v>
      </c>
      <c r="K25" s="133">
        <v>3.4470993883046676E-2</v>
      </c>
      <c r="L25" s="133">
        <v>0.14210205506526513</v>
      </c>
      <c r="M25" s="133">
        <v>6.9442399313816155E-2</v>
      </c>
      <c r="N25" s="133">
        <v>4.64240593801485E-2</v>
      </c>
      <c r="O25" s="133">
        <v>5.5079522315209108E-2</v>
      </c>
      <c r="P25" s="133">
        <v>4.7662145947099138E-2</v>
      </c>
      <c r="Q25" s="133">
        <v>8.2292587925650931E-2</v>
      </c>
      <c r="R25" s="133">
        <v>0.26983911180934911</v>
      </c>
      <c r="S25" s="133">
        <v>0.27627420433403505</v>
      </c>
      <c r="T25" s="133">
        <v>0.1839912795593962</v>
      </c>
      <c r="U25" s="133">
        <v>1.4088458170073081E-3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0.1281310500125683</v>
      </c>
      <c r="E26" s="65">
        <v>0.95264716915190806</v>
      </c>
      <c r="F26" s="65">
        <v>1.1618144610033601</v>
      </c>
      <c r="G26" s="65">
        <v>2.2222681085287452</v>
      </c>
      <c r="H26" s="65">
        <v>2.4230418911311933</v>
      </c>
      <c r="I26" s="65">
        <v>2.8291396044162216</v>
      </c>
      <c r="J26" s="65">
        <v>1.6483462948966761</v>
      </c>
      <c r="K26" s="65">
        <v>0.16182465692673803</v>
      </c>
      <c r="L26" s="65">
        <v>0.88285176167786972</v>
      </c>
      <c r="M26" s="65">
        <v>0.50297723678356743</v>
      </c>
      <c r="N26" s="65">
        <v>0.35893148073270004</v>
      </c>
      <c r="O26" s="65">
        <v>0.34528980047364527</v>
      </c>
      <c r="P26" s="65">
        <v>0.154463725962768</v>
      </c>
      <c r="Q26" s="65">
        <v>0.82187944259108436</v>
      </c>
      <c r="R26" s="65">
        <v>0.86044957725232485</v>
      </c>
      <c r="S26" s="65">
        <v>1.1224813174232859</v>
      </c>
      <c r="T26" s="65">
        <v>1.5222073411773183</v>
      </c>
      <c r="U26" s="65">
        <v>1.7573507730785114</v>
      </c>
      <c r="V26" s="65">
        <v>1.6998112769273563</v>
      </c>
      <c r="W26" s="65">
        <v>1.3823676612469418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2.3136513052609182E-2</v>
      </c>
      <c r="H27" s="148">
        <v>2.5976771177319297E-18</v>
      </c>
      <c r="I27" s="148">
        <v>3.1511854604872943E-4</v>
      </c>
      <c r="J27" s="148">
        <v>9.1751220931913412E-5</v>
      </c>
      <c r="K27" s="148">
        <v>0</v>
      </c>
      <c r="L27" s="148">
        <v>0.40781912781788809</v>
      </c>
      <c r="M27" s="148">
        <v>6.0106352462412901E-2</v>
      </c>
      <c r="N27" s="148">
        <v>3.4689021532662979E-3</v>
      </c>
      <c r="O27" s="148">
        <v>3.8450837910808652E-17</v>
      </c>
      <c r="P27" s="148">
        <v>0.48850351774409217</v>
      </c>
      <c r="Q27" s="148">
        <v>0</v>
      </c>
      <c r="R27" s="148">
        <v>3.8864802498595814E-2</v>
      </c>
      <c r="S27" s="148">
        <v>1.6237797568071279E-16</v>
      </c>
      <c r="T27" s="148">
        <v>6.0109489016098583E-2</v>
      </c>
      <c r="U27" s="148">
        <v>6.2393377007489131E-3</v>
      </c>
      <c r="V27" s="148">
        <v>8.8867390256169729E-2</v>
      </c>
      <c r="W27" s="148">
        <v>1.3474244096996616E-6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1.2336840125355542</v>
      </c>
      <c r="D29" s="131">
        <f t="shared" si="8"/>
        <v>2.1970370973009183</v>
      </c>
      <c r="E29" s="131">
        <f t="shared" si="8"/>
        <v>1.9365716142128666</v>
      </c>
      <c r="F29" s="131">
        <f t="shared" si="8"/>
        <v>2.1081985889256831</v>
      </c>
      <c r="G29" s="131">
        <f t="shared" si="8"/>
        <v>3.102165908956664</v>
      </c>
      <c r="H29" s="131">
        <f t="shared" si="8"/>
        <v>3.8060249749319768</v>
      </c>
      <c r="I29" s="131">
        <f t="shared" si="8"/>
        <v>4.980861770590038</v>
      </c>
      <c r="J29" s="131">
        <f t="shared" si="8"/>
        <v>3.2555397005161804</v>
      </c>
      <c r="K29" s="131">
        <f t="shared" si="8"/>
        <v>0.35452532387355334</v>
      </c>
      <c r="L29" s="131">
        <f t="shared" si="8"/>
        <v>2.2720168100379965</v>
      </c>
      <c r="M29" s="131">
        <f t="shared" si="8"/>
        <v>1.3050170888158807</v>
      </c>
      <c r="N29" s="131">
        <f t="shared" si="8"/>
        <v>1.2263764712017027</v>
      </c>
      <c r="O29" s="131">
        <f t="shared" si="8"/>
        <v>1.1679693752711164</v>
      </c>
      <c r="P29" s="131">
        <f t="shared" si="8"/>
        <v>1.2005837603924459</v>
      </c>
      <c r="Q29" s="131">
        <f t="shared" si="8"/>
        <v>1.4832534944871265</v>
      </c>
      <c r="R29" s="131">
        <f t="shared" ref="R29:W29" si="9">SUM(R30:R33)</f>
        <v>1.5226960681247674</v>
      </c>
      <c r="S29" s="131">
        <f t="shared" si="9"/>
        <v>1.6131341708612774</v>
      </c>
      <c r="T29" s="131">
        <f t="shared" si="9"/>
        <v>1.7996408683447815</v>
      </c>
      <c r="U29" s="131">
        <f t="shared" si="9"/>
        <v>1.8303257326049431</v>
      </c>
      <c r="V29" s="131">
        <f t="shared" si="9"/>
        <v>1.6269372813665788</v>
      </c>
      <c r="W29" s="131">
        <f t="shared" si="9"/>
        <v>1.6405162439157159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0.83257729595619223</v>
      </c>
      <c r="D30" s="133">
        <v>1.8585447572391605</v>
      </c>
      <c r="E30" s="133">
        <v>0.59855220480485283</v>
      </c>
      <c r="F30" s="133">
        <v>0.49753842635998968</v>
      </c>
      <c r="G30" s="133">
        <v>0</v>
      </c>
      <c r="H30" s="133">
        <v>0</v>
      </c>
      <c r="I30" s="133">
        <v>0</v>
      </c>
      <c r="J30" s="133">
        <v>0</v>
      </c>
      <c r="K30" s="133">
        <v>3.6379673739316089E-2</v>
      </c>
      <c r="L30" s="133">
        <v>0.41543236274798856</v>
      </c>
      <c r="M30" s="133">
        <v>0</v>
      </c>
      <c r="N30" s="133">
        <v>0.23295997344139707</v>
      </c>
      <c r="O30" s="133">
        <v>0.2074285890270848</v>
      </c>
      <c r="P30" s="133">
        <v>0.16490370992785666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2.0750860410207212E-4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0.40110671657936192</v>
      </c>
      <c r="D31" s="133">
        <v>0.17379690859987068</v>
      </c>
      <c r="E31" s="133">
        <v>0.26616569703744453</v>
      </c>
      <c r="F31" s="133">
        <v>0.76211236763786794</v>
      </c>
      <c r="G31" s="133">
        <v>1.0547831710162454</v>
      </c>
      <c r="H31" s="133">
        <v>1.6539619462317849</v>
      </c>
      <c r="I31" s="133">
        <v>1.7988660238151373</v>
      </c>
      <c r="J31" s="133">
        <v>1.214470899139283</v>
      </c>
      <c r="K31" s="133">
        <v>0.15022238811199354</v>
      </c>
      <c r="L31" s="133">
        <v>0.59440434559974109</v>
      </c>
      <c r="M31" s="133">
        <v>0.29483396589522798</v>
      </c>
      <c r="N31" s="133">
        <v>0.83318816789753969</v>
      </c>
      <c r="O31" s="133">
        <v>0.83869628626320913</v>
      </c>
      <c r="P31" s="133">
        <v>0.74835139625965119</v>
      </c>
      <c r="Q31" s="133">
        <v>0.80854093403215377</v>
      </c>
      <c r="R31" s="133">
        <v>0.56062522587142216</v>
      </c>
      <c r="S31" s="133">
        <v>0.26814348262713877</v>
      </c>
      <c r="T31" s="133">
        <v>0.43284471839741884</v>
      </c>
      <c r="U31" s="133">
        <v>0.52829678970449956</v>
      </c>
      <c r="V31" s="133">
        <v>0.45914003817271815</v>
      </c>
      <c r="W31" s="133">
        <v>0.55687328673402281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0.16469543146188736</v>
      </c>
      <c r="E33" s="68">
        <v>1.0718537123705691</v>
      </c>
      <c r="F33" s="68">
        <v>0.84854779492782573</v>
      </c>
      <c r="G33" s="68">
        <v>2.0473827379404188</v>
      </c>
      <c r="H33" s="68">
        <v>2.1520630287001921</v>
      </c>
      <c r="I33" s="68">
        <v>3.1819957467749007</v>
      </c>
      <c r="J33" s="68">
        <v>2.0410688013768974</v>
      </c>
      <c r="K33" s="68">
        <v>0.16792326202224372</v>
      </c>
      <c r="L33" s="68">
        <v>1.2621801016902665</v>
      </c>
      <c r="M33" s="68">
        <v>1.0101831229206528</v>
      </c>
      <c r="N33" s="68">
        <v>0.160228329862766</v>
      </c>
      <c r="O33" s="68">
        <v>0.12184449998082264</v>
      </c>
      <c r="P33" s="68">
        <v>0.28732865420493814</v>
      </c>
      <c r="Q33" s="68">
        <v>0.67471256045497274</v>
      </c>
      <c r="R33" s="68">
        <v>0.96207084225334527</v>
      </c>
      <c r="S33" s="68">
        <v>1.3449906882341387</v>
      </c>
      <c r="T33" s="68">
        <v>1.3667961499473626</v>
      </c>
      <c r="U33" s="68">
        <v>1.3020289429004437</v>
      </c>
      <c r="V33" s="68">
        <v>1.1677972431938606</v>
      </c>
      <c r="W33" s="68">
        <v>1.083435448577591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0.7363539077487693</v>
      </c>
      <c r="D3" s="127">
        <f>IF(SER_hh_tes_in!D3=0,"",SER_hh_tes_in!D3/SER_hh_fec_in!D3)</f>
        <v>0.76040745450909453</v>
      </c>
      <c r="E3" s="127">
        <f>IF(SER_hh_tes_in!E3=0,"",SER_hh_tes_in!E3/SER_hh_fec_in!E3)</f>
        <v>0.7817508143434998</v>
      </c>
      <c r="F3" s="127">
        <f>IF(SER_hh_tes_in!F3=0,"",SER_hh_tes_in!F3/SER_hh_fec_in!F3)</f>
        <v>0.73055106452718699</v>
      </c>
      <c r="G3" s="127">
        <f>IF(SER_hh_tes_in!G3=0,"",SER_hh_tes_in!G3/SER_hh_fec_in!G3)</f>
        <v>0.65275176666434742</v>
      </c>
      <c r="H3" s="127">
        <f>IF(SER_hh_tes_in!H3=0,"",SER_hh_tes_in!H3/SER_hh_fec_in!H3)</f>
        <v>0.6533324801714393</v>
      </c>
      <c r="I3" s="127">
        <f>IF(SER_hh_tes_in!I3=0,"",SER_hh_tes_in!I3/SER_hh_fec_in!I3)</f>
        <v>0.66871784386320066</v>
      </c>
      <c r="J3" s="127">
        <f>IF(SER_hh_tes_in!J3=0,"",SER_hh_tes_in!J3/SER_hh_fec_in!J3)</f>
        <v>0.70152905466263138</v>
      </c>
      <c r="K3" s="127">
        <f>IF(SER_hh_tes_in!K3=0,"",SER_hh_tes_in!K3/SER_hh_fec_in!K3)</f>
        <v>0.72106691079248253</v>
      </c>
      <c r="L3" s="127">
        <f>IF(SER_hh_tes_in!L3=0,"",SER_hh_tes_in!L3/SER_hh_fec_in!L3)</f>
        <v>0.77437303406509195</v>
      </c>
      <c r="M3" s="127">
        <f>IF(SER_hh_tes_in!M3=0,"",SER_hh_tes_in!M3/SER_hh_fec_in!M3)</f>
        <v>0.79857492061210089</v>
      </c>
      <c r="N3" s="127">
        <f>IF(SER_hh_tes_in!N3=0,"",SER_hh_tes_in!N3/SER_hh_fec_in!N3)</f>
        <v>0.74953190990996621</v>
      </c>
      <c r="O3" s="127">
        <f>IF(SER_hh_tes_in!O3=0,"",SER_hh_tes_in!O3/SER_hh_fec_in!O3)</f>
        <v>0.77758632055735233</v>
      </c>
      <c r="P3" s="127">
        <f>IF(SER_hh_tes_in!P3=0,"",SER_hh_tes_in!P3/SER_hh_fec_in!P3)</f>
        <v>0.84432697550363145</v>
      </c>
      <c r="Q3" s="127">
        <f>IF(SER_hh_tes_in!Q3=0,"",SER_hh_tes_in!Q3/SER_hh_fec_in!Q3)</f>
        <v>0.90768400269417637</v>
      </c>
      <c r="R3" s="127">
        <f>IF(SER_hh_tes_in!R3=0,"",SER_hh_tes_in!R3/SER_hh_fec_in!R3)</f>
        <v>0.88119256037643823</v>
      </c>
      <c r="S3" s="127">
        <f>IF(SER_hh_tes_in!S3=0,"",SER_hh_tes_in!S3/SER_hh_fec_in!S3)</f>
        <v>0.89624644119947294</v>
      </c>
      <c r="T3" s="127">
        <f>IF(SER_hh_tes_in!T3=0,"",SER_hh_tes_in!T3/SER_hh_fec_in!T3)</f>
        <v>0.90541807001611574</v>
      </c>
      <c r="U3" s="127">
        <f>IF(SER_hh_tes_in!U3=0,"",SER_hh_tes_in!U3/SER_hh_fec_in!U3)</f>
        <v>0.91603726499382065</v>
      </c>
      <c r="V3" s="127">
        <f>IF(SER_hh_tes_in!V3=0,"",SER_hh_tes_in!V3/SER_hh_fec_in!V3)</f>
        <v>0.95673109903514075</v>
      </c>
      <c r="W3" s="127">
        <f>IF(SER_hh_tes_in!W3=0,"",SER_hh_tes_in!W3/SER_hh_fec_in!W3)</f>
        <v>0.92751259292974653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0.71588458307412228</v>
      </c>
      <c r="D4" s="136">
        <f>IF(SER_hh_tes_in!D4=0,"",SER_hh_tes_in!D4/SER_hh_fec_in!D4)</f>
        <v>0.73675878041158205</v>
      </c>
      <c r="E4" s="136">
        <f>IF(SER_hh_tes_in!E4=0,"",SER_hh_tes_in!E4/SER_hh_fec_in!E4)</f>
        <v>0.74682420381779635</v>
      </c>
      <c r="F4" s="136">
        <f>IF(SER_hh_tes_in!F4=0,"",SER_hh_tes_in!F4/SER_hh_fec_in!F4)</f>
        <v>0.68418017467610526</v>
      </c>
      <c r="G4" s="136">
        <f>IF(SER_hh_tes_in!G4=0,"",SER_hh_tes_in!G4/SER_hh_fec_in!G4)</f>
        <v>0.62060339245586782</v>
      </c>
      <c r="H4" s="136">
        <f>IF(SER_hh_tes_in!H4=0,"",SER_hh_tes_in!H4/SER_hh_fec_in!H4)</f>
        <v>0.62221455014274218</v>
      </c>
      <c r="I4" s="136">
        <f>IF(SER_hh_tes_in!I4=0,"",SER_hh_tes_in!I4/SER_hh_fec_in!I4)</f>
        <v>0.62945187739244324</v>
      </c>
      <c r="J4" s="136">
        <f>IF(SER_hh_tes_in!J4=0,"",SER_hh_tes_in!J4/SER_hh_fec_in!J4)</f>
        <v>0.65192506236119863</v>
      </c>
      <c r="K4" s="136">
        <f>IF(SER_hh_tes_in!K4=0,"",SER_hh_tes_in!K4/SER_hh_fec_in!K4)</f>
        <v>0.68386222286384468</v>
      </c>
      <c r="L4" s="136">
        <f>IF(SER_hh_tes_in!L4=0,"",SER_hh_tes_in!L4/SER_hh_fec_in!L4)</f>
        <v>0.73182875885196075</v>
      </c>
      <c r="M4" s="136">
        <f>IF(SER_hh_tes_in!M4=0,"",SER_hh_tes_in!M4/SER_hh_fec_in!M4)</f>
        <v>0.73960285988004693</v>
      </c>
      <c r="N4" s="136">
        <f>IF(SER_hh_tes_in!N4=0,"",SER_hh_tes_in!N4/SER_hh_fec_in!N4)</f>
        <v>0.69107405625387885</v>
      </c>
      <c r="O4" s="136">
        <f>IF(SER_hh_tes_in!O4=0,"",SER_hh_tes_in!O4/SER_hh_fec_in!O4)</f>
        <v>0.73027693709770403</v>
      </c>
      <c r="P4" s="136">
        <f>IF(SER_hh_tes_in!P4=0,"",SER_hh_tes_in!P4/SER_hh_fec_in!P4)</f>
        <v>0.77007643018108163</v>
      </c>
      <c r="Q4" s="136">
        <f>IF(SER_hh_tes_in!Q4=0,"",SER_hh_tes_in!Q4/SER_hh_fec_in!Q4)</f>
        <v>0.83935544763801895</v>
      </c>
      <c r="R4" s="136">
        <f>IF(SER_hh_tes_in!R4=0,"",SER_hh_tes_in!R4/SER_hh_fec_in!R4)</f>
        <v>0.80003286362563064</v>
      </c>
      <c r="S4" s="136">
        <f>IF(SER_hh_tes_in!S4=0,"",SER_hh_tes_in!S4/SER_hh_fec_in!S4)</f>
        <v>0.7980687072947853</v>
      </c>
      <c r="T4" s="136">
        <f>IF(SER_hh_tes_in!T4=0,"",SER_hh_tes_in!T4/SER_hh_fec_in!T4)</f>
        <v>0.79083104461756426</v>
      </c>
      <c r="U4" s="136">
        <f>IF(SER_hh_tes_in!U4=0,"",SER_hh_tes_in!U4/SER_hh_fec_in!U4)</f>
        <v>0.77585029708185449</v>
      </c>
      <c r="V4" s="136">
        <f>IF(SER_hh_tes_in!V4=0,"",SER_hh_tes_in!V4/SER_hh_fec_in!V4)</f>
        <v>0.82804633900064839</v>
      </c>
      <c r="W4" s="136">
        <f>IF(SER_hh_tes_in!W4=0,"",SER_hh_tes_in!W4/SER_hh_fec_in!W4)</f>
        <v>0.79995682982905869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0.58645416644661608</v>
      </c>
      <c r="D5" s="137">
        <f>IF(SER_hh_tes_in!D5=0,"",SER_hh_tes_in!D5/SER_hh_fec_in!D5)</f>
        <v>0.59294238713758585</v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>
        <f>IF(SER_hh_tes_in!H5=0,"",SER_hh_tes_in!H5/SER_hh_fec_in!H5)</f>
        <v>0.61880123030498546</v>
      </c>
      <c r="I5" s="137">
        <f>IF(SER_hh_tes_in!I5=0,"",SER_hh_tes_in!I5/SER_hh_fec_in!I5)</f>
        <v>0.62523761330367356</v>
      </c>
      <c r="J5" s="137">
        <f>IF(SER_hh_tes_in!J5=0,"",SER_hh_tes_in!J5/SER_hh_fec_in!J5)</f>
        <v>0.63164993846024553</v>
      </c>
      <c r="K5" s="137">
        <f>IF(SER_hh_tes_in!K5=0,"",SER_hh_tes_in!K5/SER_hh_fec_in!K5)</f>
        <v>0.63802925649617692</v>
      </c>
      <c r="L5" s="137">
        <f>IF(SER_hh_tes_in!L5=0,"",SER_hh_tes_in!L5/SER_hh_fec_in!L5)</f>
        <v>0.64437317311256126</v>
      </c>
      <c r="M5" s="137">
        <f>IF(SER_hh_tes_in!M5=0,"",SER_hh_tes_in!M5/SER_hh_fec_in!M5)</f>
        <v>0.65037440355156217</v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>
        <f>IF(SER_hh_tes_in!S5=0,"",SER_hh_tes_in!S5/SER_hh_fec_in!S5)</f>
        <v>0.690145014697359</v>
      </c>
      <c r="T5" s="137">
        <f>IF(SER_hh_tes_in!T5=0,"",SER_hh_tes_in!T5/SER_hh_fec_in!T5)</f>
        <v>0.70027545459576879</v>
      </c>
      <c r="U5" s="137">
        <f>IF(SER_hh_tes_in!U5=0,"",SER_hh_tes_in!U5/SER_hh_fec_in!U5)</f>
        <v>0.7099622255935204</v>
      </c>
      <c r="V5" s="137" t="str">
        <f>IF(SER_hh_tes_in!V5=0,"",SER_hh_tes_in!V5/SER_hh_fec_in!V5)</f>
        <v/>
      </c>
      <c r="W5" s="137">
        <f>IF(SER_hh_tes_in!W5=0,"",SER_hh_tes_in!W5/SER_hh_fec_in!W5)</f>
        <v>0.72498462908792483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0.5080013149889796</v>
      </c>
      <c r="D7" s="137" t="str">
        <f>IF(SER_hh_tes_in!D7=0,"",SER_hh_tes_in!D7/SER_hh_fec_in!D7)</f>
        <v/>
      </c>
      <c r="E7" s="137">
        <f>IF(SER_hh_tes_in!E7=0,"",SER_hh_tes_in!E7/SER_hh_fec_in!E7)</f>
        <v>0.524547262217961</v>
      </c>
      <c r="F7" s="137">
        <f>IF(SER_hh_tes_in!F7=0,"",SER_hh_tes_in!F7/SER_hh_fec_in!F7)</f>
        <v>0.53292439546324355</v>
      </c>
      <c r="G7" s="137">
        <f>IF(SER_hh_tes_in!G7=0,"",SER_hh_tes_in!G7/SER_hh_fec_in!G7)</f>
        <v>0.54154749379679412</v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 t="str">
        <f>IF(SER_hh_tes_in!M7=0,"",SER_hh_tes_in!M7/SER_hh_fec_in!M7)</f>
        <v/>
      </c>
      <c r="N7" s="137" t="str">
        <f>IF(SER_hh_tes_in!N7=0,"",SER_hh_tes_in!N7/SER_hh_fec_in!N7)</f>
        <v/>
      </c>
      <c r="O7" s="137">
        <f>IF(SER_hh_tes_in!O7=0,"",SER_hh_tes_in!O7/SER_hh_fec_in!O7)</f>
        <v>0.6708604014087346</v>
      </c>
      <c r="P7" s="137">
        <f>IF(SER_hh_tes_in!P7=0,"",SER_hh_tes_in!P7/SER_hh_fec_in!P7)</f>
        <v>0.7119754534599908</v>
      </c>
      <c r="Q7" s="137">
        <f>IF(SER_hh_tes_in!Q7=0,"",SER_hh_tes_in!Q7/SER_hh_fec_in!Q7)</f>
        <v>0.74600242551081319</v>
      </c>
      <c r="R7" s="137">
        <f>IF(SER_hh_tes_in!R7=0,"",SER_hh_tes_in!R7/SER_hh_fec_in!R7)</f>
        <v>0.76264599319238258</v>
      </c>
      <c r="S7" s="137" t="str">
        <f>IF(SER_hh_tes_in!S7=0,"",SER_hh_tes_in!S7/SER_hh_fec_in!S7)</f>
        <v/>
      </c>
      <c r="T7" s="137" t="str">
        <f>IF(SER_hh_tes_in!T7=0,"",SER_hh_tes_in!T7/SER_hh_fec_in!T7)</f>
        <v/>
      </c>
      <c r="U7" s="137" t="str">
        <f>IF(SER_hh_tes_in!U7=0,"",SER_hh_tes_in!U7/SER_hh_fec_in!U7)</f>
        <v/>
      </c>
      <c r="V7" s="137">
        <f>IF(SER_hh_tes_in!V7=0,"",SER_hh_tes_in!V7/SER_hh_fec_in!V7)</f>
        <v>0.79596946991513584</v>
      </c>
      <c r="W7" s="137">
        <f>IF(SER_hh_tes_in!W7=0,"",SER_hh_tes_in!W7/SER_hh_fec_in!W7)</f>
        <v>0.79977971238969459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1.0801333027325111</v>
      </c>
      <c r="D8" s="137">
        <f>IF(SER_hh_tes_in!D8=0,"",SER_hh_tes_in!D8/SER_hh_fec_in!D8)</f>
        <v>1.1570458868731814</v>
      </c>
      <c r="E8" s="137">
        <f>IF(SER_hh_tes_in!E8=0,"",SER_hh_tes_in!E8/SER_hh_fec_in!E8)</f>
        <v>1.2357435178081098</v>
      </c>
      <c r="F8" s="137">
        <f>IF(SER_hh_tes_in!F8=0,"",SER_hh_tes_in!F8/SER_hh_fec_in!F8)</f>
        <v>1.3158869828298596</v>
      </c>
      <c r="G8" s="137">
        <f>IF(SER_hh_tes_in!G8=0,"",SER_hh_tes_in!G8/SER_hh_fec_in!G8)</f>
        <v>1.3977618728862395</v>
      </c>
      <c r="H8" s="137">
        <f>IF(SER_hh_tes_in!H8=0,"",SER_hh_tes_in!H8/SER_hh_fec_in!H8)</f>
        <v>1.4813161980834566</v>
      </c>
      <c r="I8" s="137">
        <f>IF(SER_hh_tes_in!I8=0,"",SER_hh_tes_in!I8/SER_hh_fec_in!I8)</f>
        <v>1.566601757491209</v>
      </c>
      <c r="J8" s="137">
        <f>IF(SER_hh_tes_in!J8=0,"",SER_hh_tes_in!J8/SER_hh_fec_in!J8)</f>
        <v>1.653870502140012</v>
      </c>
      <c r="K8" s="137">
        <f>IF(SER_hh_tes_in!K8=0,"",SER_hh_tes_in!K8/SER_hh_fec_in!K8)</f>
        <v>1.7433115095560989</v>
      </c>
      <c r="L8" s="137">
        <f>IF(SER_hh_tes_in!L8=0,"",SER_hh_tes_in!L8/SER_hh_fec_in!L8)</f>
        <v>1.834930682205592</v>
      </c>
      <c r="M8" s="137">
        <f>IF(SER_hh_tes_in!M8=0,"",SER_hh_tes_in!M8/SER_hh_fec_in!M8)</f>
        <v>1.9357818742056137</v>
      </c>
      <c r="N8" s="137">
        <f>IF(SER_hh_tes_in!N8=0,"",SER_hh_tes_in!N8/SER_hh_fec_in!N8)</f>
        <v>2.047693943666296</v>
      </c>
      <c r="O8" s="137">
        <f>IF(SER_hh_tes_in!O8=0,"",SER_hh_tes_in!O8/SER_hh_fec_in!O8)</f>
        <v>2.169703101481399</v>
      </c>
      <c r="P8" s="137">
        <f>IF(SER_hh_tes_in!P8=0,"",SER_hh_tes_in!P8/SER_hh_fec_in!P8)</f>
        <v>2.2924970733233283</v>
      </c>
      <c r="Q8" s="137">
        <f>IF(SER_hh_tes_in!Q8=0,"",SER_hh_tes_in!Q8/SER_hh_fec_in!Q8)</f>
        <v>2.3931743474371254</v>
      </c>
      <c r="R8" s="137">
        <f>IF(SER_hh_tes_in!R8=0,"",SER_hh_tes_in!R8/SER_hh_fec_in!R8)</f>
        <v>2.4335450177121141</v>
      </c>
      <c r="S8" s="137">
        <f>IF(SER_hh_tes_in!S8=0,"",SER_hh_tes_in!S8/SER_hh_fec_in!S8)</f>
        <v>2.4595155316653301</v>
      </c>
      <c r="T8" s="137">
        <f>IF(SER_hh_tes_in!T8=0,"",SER_hh_tes_in!T8/SER_hh_fec_in!T8)</f>
        <v>2.4765355222343963</v>
      </c>
      <c r="U8" s="137">
        <f>IF(SER_hh_tes_in!U8=0,"",SER_hh_tes_in!U8/SER_hh_fec_in!U8)</f>
        <v>2.4901494774069359</v>
      </c>
      <c r="V8" s="137">
        <f>IF(SER_hh_tes_in!V8=0,"",SER_hh_tes_in!V8/SER_hh_fec_in!V8)</f>
        <v>2.5060579393491413</v>
      </c>
      <c r="W8" s="137">
        <f>IF(SER_hh_tes_in!W8=0,"",SER_hh_tes_in!W8/SER_hh_fec_in!W8)</f>
        <v>2.5236366850646479</v>
      </c>
      <c r="DA8" s="164" t="s">
        <v>666</v>
      </c>
    </row>
    <row r="9" spans="1:105" ht="12" customHeight="1" x14ac:dyDescent="0.25">
      <c r="A9" s="132" t="s">
        <v>78</v>
      </c>
      <c r="B9" s="137"/>
      <c r="C9" s="137" t="str">
        <f>IF(SER_hh_tes_in!C9=0,"",SER_hh_tes_in!C9/SER_hh_fec_in!C9)</f>
        <v/>
      </c>
      <c r="D9" s="137" t="str">
        <f>IF(SER_hh_tes_in!D9=0,"",SER_hh_tes_in!D9/SER_hh_fec_in!D9)</f>
        <v/>
      </c>
      <c r="E9" s="137">
        <f>IF(SER_hh_tes_in!E9=0,"",SER_hh_tes_in!E9/SER_hh_fec_in!E9)</f>
        <v>0.59429152469089219</v>
      </c>
      <c r="F9" s="137">
        <f>IF(SER_hh_tes_in!F9=0,"",SER_hh_tes_in!F9/SER_hh_fec_in!F9)</f>
        <v>0.60213589252718169</v>
      </c>
      <c r="G9" s="137">
        <f>IF(SER_hh_tes_in!G9=0,"",SER_hh_tes_in!G9/SER_hh_fec_in!G9)</f>
        <v>0.60997502541826654</v>
      </c>
      <c r="H9" s="137">
        <f>IF(SER_hh_tes_in!H9=0,"",SER_hh_tes_in!H9/SER_hh_fec_in!H9)</f>
        <v>0.61779853070431201</v>
      </c>
      <c r="I9" s="137">
        <f>IF(SER_hh_tes_in!I9=0,"",SER_hh_tes_in!I9/SER_hh_fec_in!I9)</f>
        <v>0.62563024137626921</v>
      </c>
      <c r="J9" s="137">
        <f>IF(SER_hh_tes_in!J9=0,"",SER_hh_tes_in!J9/SER_hh_fec_in!J9)</f>
        <v>0.63356556606865555</v>
      </c>
      <c r="K9" s="137" t="str">
        <f>IF(SER_hh_tes_in!K9=0,"",SER_hh_tes_in!K9/SER_hh_fec_in!K9)</f>
        <v/>
      </c>
      <c r="L9" s="137">
        <f>IF(SER_hh_tes_in!L9=0,"",SER_hh_tes_in!L9/SER_hh_fec_in!L9)</f>
        <v>0.65001821827636042</v>
      </c>
      <c r="M9" s="137">
        <f>IF(SER_hh_tes_in!M9=0,"",SER_hh_tes_in!M9/SER_hh_fec_in!M9)</f>
        <v>0.66066774539208672</v>
      </c>
      <c r="N9" s="137">
        <f>IF(SER_hh_tes_in!N9=0,"",SER_hh_tes_in!N9/SER_hh_fec_in!N9)</f>
        <v>0.67433340588630375</v>
      </c>
      <c r="O9" s="137">
        <f>IF(SER_hh_tes_in!O9=0,"",SER_hh_tes_in!O9/SER_hh_fec_in!O9)</f>
        <v>0.69141868032291998</v>
      </c>
      <c r="P9" s="137">
        <f>IF(SER_hh_tes_in!P9=0,"",SER_hh_tes_in!P9/SER_hh_fec_in!P9)</f>
        <v>0.71039381215748532</v>
      </c>
      <c r="Q9" s="137">
        <f>IF(SER_hh_tes_in!Q9=0,"",SER_hh_tes_in!Q9/SER_hh_fec_in!Q9)</f>
        <v>0.72648357772071015</v>
      </c>
      <c r="R9" s="137">
        <f>IF(SER_hh_tes_in!R9=0,"",SER_hh_tes_in!R9/SER_hh_fec_in!R9)</f>
        <v>0.73562853682369156</v>
      </c>
      <c r="S9" s="137">
        <f>IF(SER_hh_tes_in!S9=0,"",SER_hh_tes_in!S9/SER_hh_fec_in!S9)</f>
        <v>0.74268792798505789</v>
      </c>
      <c r="T9" s="137">
        <f>IF(SER_hh_tes_in!T9=0,"",SER_hh_tes_in!T9/SER_hh_fec_in!T9)</f>
        <v>0.74831347626213529</v>
      </c>
      <c r="U9" s="137">
        <f>IF(SER_hh_tes_in!U9=0,"",SER_hh_tes_in!U9/SER_hh_fec_in!U9)</f>
        <v>0.7529975277616201</v>
      </c>
      <c r="V9" s="137">
        <f>IF(SER_hh_tes_in!V9=0,"",SER_hh_tes_in!V9/SER_hh_fec_in!V9)</f>
        <v>0.75706389999475143</v>
      </c>
      <c r="W9" s="137">
        <f>IF(SER_hh_tes_in!W9=0,"",SER_hh_tes_in!W9/SER_hh_fec_in!W9)</f>
        <v>0.759877151774215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>
        <f>IF(SER_hh_tes_in!H10=0,"",SER_hh_tes_in!H10/SER_hh_fec_in!H10)</f>
        <v>0.53424686365596075</v>
      </c>
      <c r="I10" s="137">
        <f>IF(SER_hh_tes_in!I10=0,"",SER_hh_tes_in!I10/SER_hh_fec_in!I10)</f>
        <v>0.53452394658028923</v>
      </c>
      <c r="J10" s="137">
        <f>IF(SER_hh_tes_in!J10=0,"",SER_hh_tes_in!J10/SER_hh_fec_in!J10)</f>
        <v>0.53480147098419339</v>
      </c>
      <c r="K10" s="137">
        <f>IF(SER_hh_tes_in!K10=0,"",SER_hh_tes_in!K10/SER_hh_fec_in!K10)</f>
        <v>0.53507828504765353</v>
      </c>
      <c r="L10" s="137">
        <f>IF(SER_hh_tes_in!L10=0,"",SER_hh_tes_in!L10/SER_hh_fec_in!L10)</f>
        <v>0.53535336646238296</v>
      </c>
      <c r="M10" s="137">
        <f>IF(SER_hh_tes_in!M10=0,"",SER_hh_tes_in!M10/SER_hh_fec_in!M10)</f>
        <v>0.53560670554548773</v>
      </c>
      <c r="N10" s="137">
        <f>IF(SER_hh_tes_in!N10=0,"",SER_hh_tes_in!N10/SER_hh_fec_in!N10)</f>
        <v>0.53582756064005688</v>
      </c>
      <c r="O10" s="137">
        <f>IF(SER_hh_tes_in!O10=0,"",SER_hh_tes_in!O10/SER_hh_fec_in!O10)</f>
        <v>0.53601012070427867</v>
      </c>
      <c r="P10" s="137">
        <f>IF(SER_hh_tes_in!P10=0,"",SER_hh_tes_in!P10/SER_hh_fec_in!P10)</f>
        <v>0.53617002658413526</v>
      </c>
      <c r="Q10" s="137">
        <f>IF(SER_hh_tes_in!Q10=0,"",SER_hh_tes_in!Q10/SER_hh_fec_in!Q10)</f>
        <v>0.53636039804607116</v>
      </c>
      <c r="R10" s="137">
        <f>IF(SER_hh_tes_in!R10=0,"",SER_hh_tes_in!R10/SER_hh_fec_in!R10)</f>
        <v>0.53664109475527177</v>
      </c>
      <c r="S10" s="137">
        <f>IF(SER_hh_tes_in!S10=0,"",SER_hh_tes_in!S10/SER_hh_fec_in!S10)</f>
        <v>0.53695569153702527</v>
      </c>
      <c r="T10" s="137">
        <f>IF(SER_hh_tes_in!T10=0,"",SER_hh_tes_in!T10/SER_hh_fec_in!T10)</f>
        <v>0.53727181428899273</v>
      </c>
      <c r="U10" s="137">
        <f>IF(SER_hh_tes_in!U10=0,"",SER_hh_tes_in!U10/SER_hh_fec_in!U10)</f>
        <v>0.53756300583891115</v>
      </c>
      <c r="V10" s="137">
        <f>IF(SER_hh_tes_in!V10=0,"",SER_hh_tes_in!V10/SER_hh_fec_in!V10)</f>
        <v>0.53780709033295948</v>
      </c>
      <c r="W10" s="137">
        <f>IF(SER_hh_tes_in!W10=0,"",SER_hh_tes_in!W10/SER_hh_fec_in!W10)</f>
        <v>0.53800342251322408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0.77113765189697581</v>
      </c>
      <c r="D11" s="137">
        <f>IF(SER_hh_tes_in!D11=0,"",SER_hh_tes_in!D11/SER_hh_fec_in!D11)</f>
        <v>0.77567522119216381</v>
      </c>
      <c r="E11" s="137">
        <f>IF(SER_hh_tes_in!E11=0,"",SER_hh_tes_in!E11/SER_hh_fec_in!E11)</f>
        <v>0.78021348134175383</v>
      </c>
      <c r="F11" s="137">
        <f>IF(SER_hh_tes_in!F11=0,"",SER_hh_tes_in!F11/SER_hh_fec_in!F11)</f>
        <v>0.78475183569876272</v>
      </c>
      <c r="G11" s="137">
        <f>IF(SER_hh_tes_in!G11=0,"",SER_hh_tes_in!G11/SER_hh_fec_in!G11)</f>
        <v>0.78929082629204061</v>
      </c>
      <c r="H11" s="137">
        <f>IF(SER_hh_tes_in!H11=0,"",SER_hh_tes_in!H11/SER_hh_fec_in!H11)</f>
        <v>0.79383038678415707</v>
      </c>
      <c r="I11" s="137">
        <f>IF(SER_hh_tes_in!I11=0,"",SER_hh_tes_in!I11/SER_hh_fec_in!I11)</f>
        <v>0.7983706507310373</v>
      </c>
      <c r="J11" s="137">
        <f>IF(SER_hh_tes_in!J11=0,"",SER_hh_tes_in!J11/SER_hh_fec_in!J11)</f>
        <v>0.80291216526416431</v>
      </c>
      <c r="K11" s="137">
        <f>IF(SER_hh_tes_in!K11=0,"",SER_hh_tes_in!K11/SER_hh_fec_in!K11)</f>
        <v>0.8074553955892092</v>
      </c>
      <c r="L11" s="137">
        <f>IF(SER_hh_tes_in!L11=0,"",SER_hh_tes_in!L11/SER_hh_fec_in!L11)</f>
        <v>0.812000466167762</v>
      </c>
      <c r="M11" s="137">
        <f>IF(SER_hh_tes_in!M11=0,"",SER_hh_tes_in!M11/SER_hh_fec_in!M11)</f>
        <v>0.81659410631809692</v>
      </c>
      <c r="N11" s="137">
        <f>IF(SER_hh_tes_in!N11=0,"",SER_hh_tes_in!N11/SER_hh_fec_in!N11)</f>
        <v>0.82125379245944052</v>
      </c>
      <c r="O11" s="137">
        <f>IF(SER_hh_tes_in!O11=0,"",SER_hh_tes_in!O11/SER_hh_fec_in!O11)</f>
        <v>0.82595830717531571</v>
      </c>
      <c r="P11" s="137">
        <f>IF(SER_hh_tes_in!P11=0,"",SER_hh_tes_in!P11/SER_hh_fec_in!P11)</f>
        <v>0.83060931343742861</v>
      </c>
      <c r="Q11" s="137">
        <f>IF(SER_hh_tes_in!Q11=0,"",SER_hh_tes_in!Q11/SER_hh_fec_in!Q11)</f>
        <v>0.83493324353553677</v>
      </c>
      <c r="R11" s="137">
        <f>IF(SER_hh_tes_in!R11=0,"",SER_hh_tes_in!R11/SER_hh_fec_in!R11)</f>
        <v>0.83870559330088401</v>
      </c>
      <c r="S11" s="137">
        <f>IF(SER_hh_tes_in!S11=0,"",SER_hh_tes_in!S11/SER_hh_fec_in!S11)</f>
        <v>0.84217946556712842</v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0.78305711439016212</v>
      </c>
      <c r="D12" s="137">
        <f>IF(SER_hh_tes_in!D12=0,"",SER_hh_tes_in!D12/SER_hh_fec_in!D12)</f>
        <v>0.78532911793106852</v>
      </c>
      <c r="E12" s="137">
        <f>IF(SER_hh_tes_in!E12=0,"",SER_hh_tes_in!E12/SER_hh_fec_in!E12)</f>
        <v>0.78766245964011661</v>
      </c>
      <c r="F12" s="137">
        <f>IF(SER_hh_tes_in!F12=0,"",SER_hh_tes_in!F12/SER_hh_fec_in!F12)</f>
        <v>0.79000416564482046</v>
      </c>
      <c r="G12" s="137">
        <f>IF(SER_hh_tes_in!G12=0,"",SER_hh_tes_in!G12/SER_hh_fec_in!G12)</f>
        <v>0.79240236049453083</v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>
        <f>IF(SER_hh_tes_in!J12=0,"",SER_hh_tes_in!J12/SER_hh_fec_in!J12)</f>
        <v>0.79998469038308795</v>
      </c>
      <c r="K12" s="137">
        <f>IF(SER_hh_tes_in!K12=0,"",SER_hh_tes_in!K12/SER_hh_fec_in!K12)</f>
        <v>0.80275931386803601</v>
      </c>
      <c r="L12" s="137">
        <f>IF(SER_hh_tes_in!L12=0,"",SER_hh_tes_in!L12/SER_hh_fec_in!L12)</f>
        <v>0.80569732601880673</v>
      </c>
      <c r="M12" s="137">
        <f>IF(SER_hh_tes_in!M12=0,"",SER_hh_tes_in!M12/SER_hh_fec_in!M12)</f>
        <v>0.80976537062588239</v>
      </c>
      <c r="N12" s="137" t="str">
        <f>IF(SER_hh_tes_in!N12=0,"",SER_hh_tes_in!N12/SER_hh_fec_in!N12)</f>
        <v/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 t="str">
        <f>IF(SER_hh_tes_in!Q12=0,"",SER_hh_tes_in!Q12/SER_hh_fec_in!Q12)</f>
        <v/>
      </c>
      <c r="R12" s="137">
        <f>IF(SER_hh_tes_in!R12=0,"",SER_hh_tes_in!R12/SER_hh_fec_in!R12)</f>
        <v>0.8448774058027404</v>
      </c>
      <c r="S12" s="137">
        <f>IF(SER_hh_tes_in!S12=0,"",SER_hh_tes_in!S12/SER_hh_fec_in!S12)</f>
        <v>0.85078604108908928</v>
      </c>
      <c r="T12" s="137">
        <f>IF(SER_hh_tes_in!T12=0,"",SER_hh_tes_in!T12/SER_hh_fec_in!T12)</f>
        <v>0.85649019383892799</v>
      </c>
      <c r="U12" s="137">
        <f>IF(SER_hh_tes_in!U12=0,"",SER_hh_tes_in!U12/SER_hh_fec_in!U12)</f>
        <v>0.86195038508476995</v>
      </c>
      <c r="V12" s="137">
        <f>IF(SER_hh_tes_in!V12=0,"",SER_hh_tes_in!V12/SER_hh_fec_in!V12)</f>
        <v>0.86712713585912116</v>
      </c>
      <c r="W12" s="137">
        <f>IF(SER_hh_tes_in!W12=0,"",SER_hh_tes_in!W12/SER_hh_fec_in!W12)</f>
        <v>0.87189592111596326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1.3957642255584948</v>
      </c>
      <c r="D13" s="137">
        <f>IF(SER_hh_tes_in!D13=0,"",SER_hh_tes_in!D13/SER_hh_fec_in!D13)</f>
        <v>1.5040660251453735</v>
      </c>
      <c r="E13" s="137">
        <f>IF(SER_hh_tes_in!E13=0,"",SER_hh_tes_in!E13/SER_hh_fec_in!E13)</f>
        <v>1.6154696063232024</v>
      </c>
      <c r="F13" s="137">
        <f>IF(SER_hh_tes_in!F13=0,"",SER_hh_tes_in!F13/SER_hh_fec_in!F13)</f>
        <v>1.7295118814294583</v>
      </c>
      <c r="G13" s="137">
        <f>IF(SER_hh_tes_in!G13=0,"",SER_hh_tes_in!G13/SER_hh_fec_in!G13)</f>
        <v>1.8465775785679814</v>
      </c>
      <c r="H13" s="137">
        <f>IF(SER_hh_tes_in!H13=0,"",SER_hh_tes_in!H13/SER_hh_fec_in!H13)</f>
        <v>1.966594103433684</v>
      </c>
      <c r="I13" s="137">
        <f>IF(SER_hh_tes_in!I13=0,"",SER_hh_tes_in!I13/SER_hh_fec_in!I13)</f>
        <v>2.0896296836306307</v>
      </c>
      <c r="J13" s="137">
        <f>IF(SER_hh_tes_in!J13=0,"",SER_hh_tes_in!J13/SER_hh_fec_in!J13)</f>
        <v>2.2160229992676341</v>
      </c>
      <c r="K13" s="137">
        <f>IF(SER_hh_tes_in!K13=0,"",SER_hh_tes_in!K13/SER_hh_fec_in!K13)</f>
        <v>2.3460246995490293</v>
      </c>
      <c r="L13" s="137">
        <f>IF(SER_hh_tes_in!L13=0,"",SER_hh_tes_in!L13/SER_hh_fec_in!L13)</f>
        <v>2.4796342493850005</v>
      </c>
      <c r="M13" s="137">
        <f>IF(SER_hh_tes_in!M13=0,"",SER_hh_tes_in!M13/SER_hh_fec_in!M13)</f>
        <v>2.6265484762257665</v>
      </c>
      <c r="N13" s="137">
        <f>IF(SER_hh_tes_in!N13=0,"",SER_hh_tes_in!N13/SER_hh_fec_in!N13)</f>
        <v>2.7892306806594216</v>
      </c>
      <c r="O13" s="137">
        <f>IF(SER_hh_tes_in!O13=0,"",SER_hh_tes_in!O13/SER_hh_fec_in!O13)</f>
        <v>2.966037021278773</v>
      </c>
      <c r="P13" s="137">
        <f>IF(SER_hh_tes_in!P13=0,"",SER_hh_tes_in!P13/SER_hh_fec_in!P13)</f>
        <v>3.1435063879535612</v>
      </c>
      <c r="Q13" s="137">
        <f>IF(SER_hh_tes_in!Q13=0,"",SER_hh_tes_in!Q13/SER_hh_fec_in!Q13)</f>
        <v>3.2889846508110052</v>
      </c>
      <c r="R13" s="137">
        <f>IF(SER_hh_tes_in!R13=0,"",SER_hh_tes_in!R13/SER_hh_fec_in!R13)</f>
        <v>3.3460313254329601</v>
      </c>
      <c r="S13" s="137">
        <f>IF(SER_hh_tes_in!S13=0,"",SER_hh_tes_in!S13/SER_hh_fec_in!S13)</f>
        <v>3.3821396314573824</v>
      </c>
      <c r="T13" s="137">
        <f>IF(SER_hh_tes_in!T13=0,"",SER_hh_tes_in!T13/SER_hh_fec_in!T13)</f>
        <v>3.4052982699924619</v>
      </c>
      <c r="U13" s="137">
        <f>IF(SER_hh_tes_in!U13=0,"",SER_hh_tes_in!U13/SER_hh_fec_in!U13)</f>
        <v>3.4237293699205922</v>
      </c>
      <c r="V13" s="137">
        <f>IF(SER_hh_tes_in!V13=0,"",SER_hh_tes_in!V13/SER_hh_fec_in!V13)</f>
        <v>3.4459780277917735</v>
      </c>
      <c r="W13" s="137">
        <f>IF(SER_hh_tes_in!W13=0,"",SER_hh_tes_in!W13/SER_hh_fec_in!W13)</f>
        <v>3.4714127939519295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0.70935055378195155</v>
      </c>
      <c r="D14" s="138">
        <f>IF(SER_hh_tes_in!D14=0,"",SER_hh_tes_in!D14/SER_hh_fec_in!D14)</f>
        <v>0.71291304985346615</v>
      </c>
      <c r="E14" s="138">
        <f>IF(SER_hh_tes_in!E14=0,"",SER_hh_tes_in!E14/SER_hh_fec_in!E14)</f>
        <v>0.71656694394441744</v>
      </c>
      <c r="F14" s="138" t="str">
        <f>IF(SER_hh_tes_in!F14=0,"",SER_hh_tes_in!F14/SER_hh_fec_in!F14)</f>
        <v/>
      </c>
      <c r="G14" s="138" t="str">
        <f>IF(SER_hh_tes_in!G14=0,"",SER_hh_tes_in!G14/SER_hh_fec_in!G14)</f>
        <v/>
      </c>
      <c r="H14" s="138" t="str">
        <f>IF(SER_hh_tes_in!H14=0,"",SER_hh_tes_in!H14/SER_hh_fec_in!H14)</f>
        <v/>
      </c>
      <c r="I14" s="138" t="str">
        <f>IF(SER_hh_tes_in!I14=0,"",SER_hh_tes_in!I14/SER_hh_fec_in!I14)</f>
        <v/>
      </c>
      <c r="J14" s="138">
        <f>IF(SER_hh_tes_in!J14=0,"",SER_hh_tes_in!J14/SER_hh_fec_in!J14)</f>
        <v>0.73581138152731762</v>
      </c>
      <c r="K14" s="138">
        <f>IF(SER_hh_tes_in!K14=0,"",SER_hh_tes_in!K14/SER_hh_fec_in!K14)</f>
        <v>0.74012146080760799</v>
      </c>
      <c r="L14" s="138">
        <f>IF(SER_hh_tes_in!L14=0,"",SER_hh_tes_in!L14/SER_hh_fec_in!L14)</f>
        <v>0.74467388394505629</v>
      </c>
      <c r="M14" s="138">
        <f>IF(SER_hh_tes_in!M14=0,"",SER_hh_tes_in!M14/SER_hh_fec_in!M14)</f>
        <v>0.7507267693077273</v>
      </c>
      <c r="N14" s="138">
        <f>IF(SER_hh_tes_in!N14=0,"",SER_hh_tes_in!N14/SER_hh_fec_in!N14)</f>
        <v>0.75865351048648977</v>
      </c>
      <c r="O14" s="138">
        <f>IF(SER_hh_tes_in!O14=0,"",SER_hh_tes_in!O14/SER_hh_fec_in!O14)</f>
        <v>0.76894420943375041</v>
      </c>
      <c r="P14" s="138">
        <f>IF(SER_hh_tes_in!P14=0,"",SER_hh_tes_in!P14/SER_hh_fec_in!P14)</f>
        <v>0.78125715984401456</v>
      </c>
      <c r="Q14" s="138">
        <f>IF(SER_hh_tes_in!Q14=0,"",SER_hh_tes_in!Q14/SER_hh_fec_in!Q14)</f>
        <v>0.79434446479755683</v>
      </c>
      <c r="R14" s="138">
        <f>IF(SER_hh_tes_in!R14=0,"",SER_hh_tes_in!R14/SER_hh_fec_in!R14)</f>
        <v>0.80840975431478923</v>
      </c>
      <c r="S14" s="138">
        <f>IF(SER_hh_tes_in!S14=0,"",SER_hh_tes_in!S14/SER_hh_fec_in!S14)</f>
        <v>0.82478902439629509</v>
      </c>
      <c r="T14" s="138">
        <f>IF(SER_hh_tes_in!T14=0,"",SER_hh_tes_in!T14/SER_hh_fec_in!T14)</f>
        <v>0.84136206590101803</v>
      </c>
      <c r="U14" s="138" t="str">
        <f>IF(SER_hh_tes_in!U14=0,"",SER_hh_tes_in!U14/SER_hh_fec_in!U14)</f>
        <v/>
      </c>
      <c r="V14" s="138">
        <f>IF(SER_hh_tes_in!V14=0,"",SER_hh_tes_in!V14/SER_hh_fec_in!V14)</f>
        <v>0.86662703493992976</v>
      </c>
      <c r="W14" s="138">
        <f>IF(SER_hh_tes_in!W14=0,"",SER_hh_tes_in!W14/SER_hh_fec_in!W14)</f>
        <v>0.87195816592018649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2.2092612526381803</v>
      </c>
      <c r="D16" s="136">
        <f>IF(SER_hh_tes_in!D16=0,"",SER_hh_tes_in!D16/SER_hh_fec_in!D16)</f>
        <v>2.293217279320273</v>
      </c>
      <c r="E16" s="136">
        <f>IF(SER_hh_tes_in!E16=0,"",SER_hh_tes_in!E16/SER_hh_fec_in!E16)</f>
        <v>2.3649493438183646</v>
      </c>
      <c r="F16" s="136">
        <f>IF(SER_hh_tes_in!F16=0,"",SER_hh_tes_in!F16/SER_hh_fec_in!F16)</f>
        <v>2.4132091325531642</v>
      </c>
      <c r="G16" s="136">
        <f>IF(SER_hh_tes_in!G16=0,"",SER_hh_tes_in!G16/SER_hh_fec_in!G16)</f>
        <v>2.4911244370368468</v>
      </c>
      <c r="H16" s="136">
        <f>IF(SER_hh_tes_in!H16=0,"",SER_hh_tes_in!H16/SER_hh_fec_in!H16)</f>
        <v>2.5728564649193424</v>
      </c>
      <c r="I16" s="136">
        <f>IF(SER_hh_tes_in!I16=0,"",SER_hh_tes_in!I16/SER_hh_fec_in!I16)</f>
        <v>2.650927547551853</v>
      </c>
      <c r="J16" s="136">
        <f>IF(SER_hh_tes_in!J16=0,"",SER_hh_tes_in!J16/SER_hh_fec_in!J16)</f>
        <v>2.7185465482845972</v>
      </c>
      <c r="K16" s="136">
        <f>IF(SER_hh_tes_in!K16=0,"",SER_hh_tes_in!K16/SER_hh_fec_in!K16)</f>
        <v>2.8040323422668658</v>
      </c>
      <c r="L16" s="136">
        <f>IF(SER_hh_tes_in!L16=0,"",SER_hh_tes_in!L16/SER_hh_fec_in!L16)</f>
        <v>2.8724491016498388</v>
      </c>
      <c r="M16" s="136">
        <f>IF(SER_hh_tes_in!M16=0,"",SER_hh_tes_in!M16/SER_hh_fec_in!M16)</f>
        <v>2.9530754468323535</v>
      </c>
      <c r="N16" s="136">
        <f>IF(SER_hh_tes_in!N16=0,"",SER_hh_tes_in!N16/SER_hh_fec_in!N16)</f>
        <v>3.0785531091901985</v>
      </c>
      <c r="O16" s="136">
        <f>IF(SER_hh_tes_in!O16=0,"",SER_hh_tes_in!O16/SER_hh_fec_in!O16)</f>
        <v>3.1715787689111128</v>
      </c>
      <c r="P16" s="136">
        <f>IF(SER_hh_tes_in!P16=0,"",SER_hh_tes_in!P16/SER_hh_fec_in!P16)</f>
        <v>3.2673664943193135</v>
      </c>
      <c r="Q16" s="136">
        <f>IF(SER_hh_tes_in!Q16=0,"",SER_hh_tes_in!Q16/SER_hh_fec_in!Q16)</f>
        <v>3.4310842381936841</v>
      </c>
      <c r="R16" s="136">
        <f>IF(SER_hh_tes_in!R16=0,"",SER_hh_tes_in!R16/SER_hh_fec_in!R16)</f>
        <v>3.3911052476097034</v>
      </c>
      <c r="S16" s="136">
        <f>IF(SER_hh_tes_in!S16=0,"",SER_hh_tes_in!S16/SER_hh_fec_in!S16)</f>
        <v>3.5652129560067376</v>
      </c>
      <c r="T16" s="136">
        <f>IF(SER_hh_tes_in!T16=0,"",SER_hh_tes_in!T16/SER_hh_fec_in!T16)</f>
        <v>3.5708573817755163</v>
      </c>
      <c r="U16" s="136">
        <f>IF(SER_hh_tes_in!U16=0,"",SER_hh_tes_in!U16/SER_hh_fec_in!U16)</f>
        <v>3.6586231869863859</v>
      </c>
      <c r="V16" s="136">
        <f>IF(SER_hh_tes_in!V16=0,"",SER_hh_tes_in!V16/SER_hh_fec_in!V16)</f>
        <v>3.5954441928003349</v>
      </c>
      <c r="W16" s="136">
        <f>IF(SER_hh_tes_in!W16=0,"",SER_hh_tes_in!W16/SER_hh_fec_in!W16)</f>
        <v>3.7191413993572469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1.2518467870236654</v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>
        <f>IF(SER_hh_tes_in!F17=0,"",SER_hh_tes_in!F17/SER_hh_fec_in!F17)</f>
        <v>1.259902016709685</v>
      </c>
      <c r="G17" s="137">
        <f>IF(SER_hh_tes_in!G17=0,"",SER_hh_tes_in!G17/SER_hh_fec_in!G17)</f>
        <v>1.261395185767894</v>
      </c>
      <c r="H17" s="137">
        <f>IF(SER_hh_tes_in!H17=0,"",SER_hh_tes_in!H17/SER_hh_fec_in!H17)</f>
        <v>1.2625630928977216</v>
      </c>
      <c r="I17" s="137">
        <f>IF(SER_hh_tes_in!I17=0,"",SER_hh_tes_in!I17/SER_hh_fec_in!I17)</f>
        <v>1.2634752287888604</v>
      </c>
      <c r="J17" s="137">
        <f>IF(SER_hh_tes_in!J17=0,"",SER_hh_tes_in!J17/SER_hh_fec_in!J17)</f>
        <v>1.2643699029663853</v>
      </c>
      <c r="K17" s="137">
        <f>IF(SER_hh_tes_in!K17=0,"",SER_hh_tes_in!K17/SER_hh_fec_in!K17)</f>
        <v>1.2655962944485668</v>
      </c>
      <c r="L17" s="137">
        <f>IF(SER_hh_tes_in!L17=0,"",SER_hh_tes_in!L17/SER_hh_fec_in!L17)</f>
        <v>1.2673780933277179</v>
      </c>
      <c r="M17" s="137">
        <f>IF(SER_hh_tes_in!M17=0,"",SER_hh_tes_in!M17/SER_hh_fec_in!M17)</f>
        <v>1.2726427151893005</v>
      </c>
      <c r="N17" s="137">
        <f>IF(SER_hh_tes_in!N17=0,"",SER_hh_tes_in!N17/SER_hh_fec_in!N17)</f>
        <v>1.2854891846353536</v>
      </c>
      <c r="O17" s="137">
        <f>IF(SER_hh_tes_in!O17=0,"",SER_hh_tes_in!O17/SER_hh_fec_in!O17)</f>
        <v>1.3074077415744461</v>
      </c>
      <c r="P17" s="137">
        <f>IF(SER_hh_tes_in!P17=0,"",SER_hh_tes_in!P17/SER_hh_fec_in!P17)</f>
        <v>1.3380133554745695</v>
      </c>
      <c r="Q17" s="137">
        <f>IF(SER_hh_tes_in!Q17=0,"",SER_hh_tes_in!Q17/SER_hh_fec_in!Q17)</f>
        <v>1.3708806576916612</v>
      </c>
      <c r="R17" s="137">
        <f>IF(SER_hh_tes_in!R17=0,"",SER_hh_tes_in!R17/SER_hh_fec_in!R17)</f>
        <v>1.3981620784089193</v>
      </c>
      <c r="S17" s="137">
        <f>IF(SER_hh_tes_in!S17=0,"",SER_hh_tes_in!S17/SER_hh_fec_in!S17)</f>
        <v>1.425258512809668</v>
      </c>
      <c r="T17" s="137">
        <f>IF(SER_hh_tes_in!T17=0,"",SER_hh_tes_in!T17/SER_hh_fec_in!T17)</f>
        <v>1.4570510117744531</v>
      </c>
      <c r="U17" s="137">
        <f>IF(SER_hh_tes_in!U17=0,"",SER_hh_tes_in!U17/SER_hh_fec_in!U17)</f>
        <v>1.4907690766305812</v>
      </c>
      <c r="V17" s="137">
        <f>IF(SER_hh_tes_in!V17=0,"",SER_hh_tes_in!V17/SER_hh_fec_in!V17)</f>
        <v>1.5233875789355193</v>
      </c>
      <c r="W17" s="137">
        <f>IF(SER_hh_tes_in!W17=0,"",SER_hh_tes_in!W17/SER_hh_fec_in!W17)</f>
        <v>1.5499874390885602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2.22223469318542</v>
      </c>
      <c r="D18" s="137">
        <f>IF(SER_hh_tes_in!D18=0,"",SER_hh_tes_in!D18/SER_hh_fec_in!D18)</f>
        <v>2.293217279320273</v>
      </c>
      <c r="E18" s="137">
        <f>IF(SER_hh_tes_in!E18=0,"",SER_hh_tes_in!E18/SER_hh_fec_in!E18)</f>
        <v>2.3649493438183646</v>
      </c>
      <c r="F18" s="137">
        <f>IF(SER_hh_tes_in!F18=0,"",SER_hh_tes_in!F18/SER_hh_fec_in!F18)</f>
        <v>2.4367584464933794</v>
      </c>
      <c r="G18" s="137">
        <f>IF(SER_hh_tes_in!G18=0,"",SER_hh_tes_in!G18/SER_hh_fec_in!G18)</f>
        <v>2.5092499133501973</v>
      </c>
      <c r="H18" s="137">
        <f>IF(SER_hh_tes_in!H18=0,"",SER_hh_tes_in!H18/SER_hh_fec_in!H18)</f>
        <v>2.5823457263201011</v>
      </c>
      <c r="I18" s="137">
        <f>IF(SER_hh_tes_in!I18=0,"",SER_hh_tes_in!I18/SER_hh_fec_in!I18)</f>
        <v>2.6561909488492628</v>
      </c>
      <c r="J18" s="137">
        <f>IF(SER_hh_tes_in!J18=0,"",SER_hh_tes_in!J18/SER_hh_fec_in!J18)</f>
        <v>2.7313889792556134</v>
      </c>
      <c r="K18" s="137">
        <f>IF(SER_hh_tes_in!K18=0,"",SER_hh_tes_in!K18/SER_hh_fec_in!K18)</f>
        <v>2.8084471677305847</v>
      </c>
      <c r="L18" s="137">
        <f>IF(SER_hh_tes_in!L18=0,"",SER_hh_tes_in!L18/SER_hh_fec_in!L18)</f>
        <v>2.8874909536381552</v>
      </c>
      <c r="M18" s="137">
        <f>IF(SER_hh_tes_in!M18=0,"",SER_hh_tes_in!M18/SER_hh_fec_in!M18)</f>
        <v>2.9819013077024055</v>
      </c>
      <c r="N18" s="137">
        <f>IF(SER_hh_tes_in!N18=0,"",SER_hh_tes_in!N18/SER_hh_fec_in!N18)</f>
        <v>3.096057286972548</v>
      </c>
      <c r="O18" s="137">
        <f>IF(SER_hh_tes_in!O18=0,"",SER_hh_tes_in!O18/SER_hh_fec_in!O18)</f>
        <v>3.2323798435534057</v>
      </c>
      <c r="P18" s="137">
        <f>IF(SER_hh_tes_in!P18=0,"",SER_hh_tes_in!P18/SER_hh_fec_in!P18)</f>
        <v>3.3802187207192729</v>
      </c>
      <c r="Q18" s="137">
        <f>IF(SER_hh_tes_in!Q18=0,"",SER_hh_tes_in!Q18/SER_hh_fec_in!Q18)</f>
        <v>3.5072690251524534</v>
      </c>
      <c r="R18" s="137">
        <f>IF(SER_hh_tes_in!R18=0,"",SER_hh_tes_in!R18/SER_hh_fec_in!R18)</f>
        <v>3.5869750775446043</v>
      </c>
      <c r="S18" s="137">
        <f>IF(SER_hh_tes_in!S18=0,"",SER_hh_tes_in!S18/SER_hh_fec_in!S18)</f>
        <v>3.6504171817291744</v>
      </c>
      <c r="T18" s="137">
        <f>IF(SER_hh_tes_in!T18=0,"",SER_hh_tes_in!T18/SER_hh_fec_in!T18)</f>
        <v>3.7034254748354263</v>
      </c>
      <c r="U18" s="137">
        <f>IF(SER_hh_tes_in!U18=0,"",SER_hh_tes_in!U18/SER_hh_fec_in!U18)</f>
        <v>3.7516827252052711</v>
      </c>
      <c r="V18" s="137">
        <f>IF(SER_hh_tes_in!V18=0,"",SER_hh_tes_in!V18/SER_hh_fec_in!V18)</f>
        <v>3.800886270941493</v>
      </c>
      <c r="W18" s="137">
        <f>IF(SER_hh_tes_in!W18=0,"",SER_hh_tes_in!W18/SER_hh_fec_in!W18)</f>
        <v>3.8490572295201235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0.61311493997913835</v>
      </c>
      <c r="D19" s="136">
        <f>IF(SER_hh_tes_in!D19=0,"",SER_hh_tes_in!D19/SER_hh_fec_in!D19)</f>
        <v>0.6659508181534266</v>
      </c>
      <c r="E19" s="136">
        <f>IF(SER_hh_tes_in!E19=0,"",SER_hh_tes_in!E19/SER_hh_fec_in!E19)</f>
        <v>0.65034816459644817</v>
      </c>
      <c r="F19" s="136">
        <f>IF(SER_hh_tes_in!F19=0,"",SER_hh_tes_in!F19/SER_hh_fec_in!F19)</f>
        <v>0.64976822786514121</v>
      </c>
      <c r="G19" s="136">
        <f>IF(SER_hh_tes_in!G19=0,"",SER_hh_tes_in!G19/SER_hh_fec_in!G19)</f>
        <v>0.64388062935458834</v>
      </c>
      <c r="H19" s="136">
        <f>IF(SER_hh_tes_in!H19=0,"",SER_hh_tes_in!H19/SER_hh_fec_in!H19)</f>
        <v>0.64423951097819254</v>
      </c>
      <c r="I19" s="136">
        <f>IF(SER_hh_tes_in!I19=0,"",SER_hh_tes_in!I19/SER_hh_fec_in!I19)</f>
        <v>0.64404410035083681</v>
      </c>
      <c r="J19" s="136">
        <f>IF(SER_hh_tes_in!J19=0,"",SER_hh_tes_in!J19/SER_hh_fec_in!J19)</f>
        <v>0.65163506690978235</v>
      </c>
      <c r="K19" s="136">
        <f>IF(SER_hh_tes_in!K19=0,"",SER_hh_tes_in!K19/SER_hh_fec_in!K19)</f>
        <v>0.66474292946606106</v>
      </c>
      <c r="L19" s="136">
        <f>IF(SER_hh_tes_in!L19=0,"",SER_hh_tes_in!L19/SER_hh_fec_in!L19)</f>
        <v>0.70736936140551909</v>
      </c>
      <c r="M19" s="136">
        <f>IF(SER_hh_tes_in!M19=0,"",SER_hh_tes_in!M19/SER_hh_fec_in!M19)</f>
        <v>0.67972739892187906</v>
      </c>
      <c r="N19" s="136">
        <f>IF(SER_hh_tes_in!N19=0,"",SER_hh_tes_in!N19/SER_hh_fec_in!N19)</f>
        <v>0.67384402780599228</v>
      </c>
      <c r="O19" s="136">
        <f>IF(SER_hh_tes_in!O19=0,"",SER_hh_tes_in!O19/SER_hh_fec_in!O19)</f>
        <v>0.69862872435715306</v>
      </c>
      <c r="P19" s="136">
        <f>IF(SER_hh_tes_in!P19=0,"",SER_hh_tes_in!P19/SER_hh_fec_in!P19)</f>
        <v>0.81489608163389227</v>
      </c>
      <c r="Q19" s="136">
        <f>IF(SER_hh_tes_in!Q19=0,"",SER_hh_tes_in!Q19/SER_hh_fec_in!Q19)</f>
        <v>0.76608852949268358</v>
      </c>
      <c r="R19" s="136">
        <f>IF(SER_hh_tes_in!R19=0,"",SER_hh_tes_in!R19/SER_hh_fec_in!R19)</f>
        <v>0.79753642731857499</v>
      </c>
      <c r="S19" s="136">
        <f>IF(SER_hh_tes_in!S19=0,"",SER_hh_tes_in!S19/SER_hh_fec_in!S19)</f>
        <v>0.81581484447873076</v>
      </c>
      <c r="T19" s="136">
        <f>IF(SER_hh_tes_in!T19=0,"",SER_hh_tes_in!T19/SER_hh_fec_in!T19)</f>
        <v>0.84345914798887434</v>
      </c>
      <c r="U19" s="136">
        <f>IF(SER_hh_tes_in!U19=0,"",SER_hh_tes_in!U19/SER_hh_fec_in!U19)</f>
        <v>0.85421884090675715</v>
      </c>
      <c r="V19" s="136">
        <f>IF(SER_hh_tes_in!V19=0,"",SER_hh_tes_in!V19/SER_hh_fec_in!V19)</f>
        <v>0.87754384561871601</v>
      </c>
      <c r="W19" s="136">
        <f>IF(SER_hh_tes_in!W19=0,"",SER_hh_tes_in!W19/SER_hh_fec_in!W19)</f>
        <v>0.87676700766085303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>
        <f>IF(SER_hh_tes_in!H20=0,"",SER_hh_tes_in!H20/SER_hh_fec_in!H20)</f>
        <v>0.64538480028013534</v>
      </c>
      <c r="I20" s="137">
        <f>IF(SER_hh_tes_in!I20=0,"",SER_hh_tes_in!I20/SER_hh_fec_in!I20)</f>
        <v>0.65234136657954711</v>
      </c>
      <c r="J20" s="137">
        <f>IF(SER_hh_tes_in!J20=0,"",SER_hh_tes_in!J20/SER_hh_fec_in!J20)</f>
        <v>0.65927193070137979</v>
      </c>
      <c r="K20" s="137">
        <f>IF(SER_hh_tes_in!K20=0,"",SER_hh_tes_in!K20/SER_hh_fec_in!K20)</f>
        <v>0.66616682009361083</v>
      </c>
      <c r="L20" s="137">
        <f>IF(SER_hh_tes_in!L20=0,"",SER_hh_tes_in!L20/SER_hh_fec_in!L20)</f>
        <v>0.67302344695202088</v>
      </c>
      <c r="M20" s="137">
        <f>IF(SER_hh_tes_in!M20=0,"",SER_hh_tes_in!M20/SER_hh_fec_in!M20)</f>
        <v>0.67950969201162492</v>
      </c>
      <c r="N20" s="137">
        <f>IF(SER_hh_tes_in!N20=0,"",SER_hh_tes_in!N20/SER_hh_fec_in!N20)</f>
        <v>0.68551257996275372</v>
      </c>
      <c r="O20" s="137">
        <f>IF(SER_hh_tes_in!O20=0,"",SER_hh_tes_in!O20/SER_hh_fec_in!O20)</f>
        <v>0.69104088971125766</v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>
        <f>IF(SER_hh_tes_in!T20=0,"",SER_hh_tes_in!T20/SER_hh_fec_in!T20)</f>
        <v>0.73344370589335306</v>
      </c>
      <c r="U20" s="137">
        <f>IF(SER_hh_tes_in!U20=0,"",SER_hh_tes_in!U20/SER_hh_fec_in!U20)</f>
        <v>0.74391335393741997</v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 t="str">
        <f>IF(SER_hh_tes_in!C22=0,"",SER_hh_tes_in!C22/SER_hh_fec_in!C22)</f>
        <v/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 t="str">
        <f>IF(SER_hh_tes_in!K22=0,"",SER_hh_tes_in!K22/SER_hh_fec_in!K22)</f>
        <v/>
      </c>
      <c r="L22" s="137" t="str">
        <f>IF(SER_hh_tes_in!L22=0,"",SER_hh_tes_in!L22/SER_hh_fec_in!L22)</f>
        <v/>
      </c>
      <c r="M22" s="137" t="str">
        <f>IF(SER_hh_tes_in!M22=0,"",SER_hh_tes_in!M22/SER_hh_fec_in!M22)</f>
        <v/>
      </c>
      <c r="N22" s="137" t="str">
        <f>IF(SER_hh_tes_in!N22=0,"",SER_hh_tes_in!N22/SER_hh_fec_in!N22)</f>
        <v/>
      </c>
      <c r="O22" s="137" t="str">
        <f>IF(SER_hh_tes_in!O22=0,"",SER_hh_tes_in!O22/SER_hh_fec_in!O22)</f>
        <v/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0.55482526668813092</v>
      </c>
      <c r="D23" s="137">
        <f>IF(SER_hh_tes_in!D23=0,"",SER_hh_tes_in!D23/SER_hh_fec_in!D23)</f>
        <v>0.56110916507565956</v>
      </c>
      <c r="E23" s="137">
        <f>IF(SER_hh_tes_in!E23=0,"",SER_hh_tes_in!E23/SER_hh_fec_in!E23)</f>
        <v>0.56766475831521468</v>
      </c>
      <c r="F23" s="137">
        <f>IF(SER_hh_tes_in!F23=0,"",SER_hh_tes_in!F23/SER_hh_fec_in!F23)</f>
        <v>0.57427334007033337</v>
      </c>
      <c r="G23" s="137">
        <f>IF(SER_hh_tes_in!G23=0,"",SER_hh_tes_in!G23/SER_hh_fec_in!G23)</f>
        <v>0.58112991743802644</v>
      </c>
      <c r="H23" s="137">
        <f>IF(SER_hh_tes_in!H23=0,"",SER_hh_tes_in!H23/SER_hh_fec_in!H23)</f>
        <v>0.58820808914481759</v>
      </c>
      <c r="I23" s="137">
        <f>IF(SER_hh_tes_in!I23=0,"",SER_hh_tes_in!I23/SER_hh_fec_in!I23)</f>
        <v>0.59555334648769798</v>
      </c>
      <c r="J23" s="137">
        <f>IF(SER_hh_tes_in!J23=0,"",SER_hh_tes_in!J23/SER_hh_fec_in!J23)</f>
        <v>0.60335791857652088</v>
      </c>
      <c r="K23" s="137">
        <f>IF(SER_hh_tes_in!K23=0,"",SER_hh_tes_in!K23/SER_hh_fec_in!K23)</f>
        <v>0.6117820953307902</v>
      </c>
      <c r="L23" s="137">
        <f>IF(SER_hh_tes_in!L23=0,"",SER_hh_tes_in!L23/SER_hh_fec_in!L23)</f>
        <v>0.62086325073240334</v>
      </c>
      <c r="M23" s="137">
        <f>IF(SER_hh_tes_in!M23=0,"",SER_hh_tes_in!M23/SER_hh_fec_in!M23)</f>
        <v>0.63459628928238454</v>
      </c>
      <c r="N23" s="137">
        <f>IF(SER_hh_tes_in!N23=0,"",SER_hh_tes_in!N23/SER_hh_fec_in!N23)</f>
        <v>0.65421088149574158</v>
      </c>
      <c r="O23" s="137">
        <f>IF(SER_hh_tes_in!O23=0,"",SER_hh_tes_in!O23/SER_hh_fec_in!O23)</f>
        <v>0.68061498926695885</v>
      </c>
      <c r="P23" s="137">
        <f>IF(SER_hh_tes_in!P23=0,"",SER_hh_tes_in!P23/SER_hh_fec_in!P23)</f>
        <v>0.71134038504119146</v>
      </c>
      <c r="Q23" s="137">
        <f>IF(SER_hh_tes_in!Q23=0,"",SER_hh_tes_in!Q23/SER_hh_fec_in!Q23)</f>
        <v>0.73864375451135522</v>
      </c>
      <c r="R23" s="137">
        <f>IF(SER_hh_tes_in!R23=0,"",SER_hh_tes_in!R23/SER_hh_fec_in!R23)</f>
        <v>0.75659641050334658</v>
      </c>
      <c r="S23" s="137">
        <f>IF(SER_hh_tes_in!S23=0,"",SER_hh_tes_in!S23/SER_hh_fec_in!S23)</f>
        <v>0.77297705294749219</v>
      </c>
      <c r="T23" s="137" t="str">
        <f>IF(SER_hh_tes_in!T23=0,"",SER_hh_tes_in!T23/SER_hh_fec_in!T23)</f>
        <v/>
      </c>
      <c r="U23" s="137" t="str">
        <f>IF(SER_hh_tes_in!U23=0,"",SER_hh_tes_in!U23/SER_hh_fec_in!U23)</f>
        <v/>
      </c>
      <c r="V23" s="137" t="str">
        <f>IF(SER_hh_tes_in!V23=0,"",SER_hh_tes_in!V23/SER_hh_fec_in!V23)</f>
        <v/>
      </c>
      <c r="W23" s="137">
        <f>IF(SER_hh_tes_in!W23=0,"",SER_hh_tes_in!W23/SER_hh_fec_in!W23)</f>
        <v>0.81279863478660186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0.77552605133108954</v>
      </c>
      <c r="D25" s="137">
        <f>IF(SER_hh_tes_in!D25=0,"",SER_hh_tes_in!D25/SER_hh_fec_in!D25)</f>
        <v>0.77789998500957436</v>
      </c>
      <c r="E25" s="137">
        <f>IF(SER_hh_tes_in!E25=0,"",SER_hh_tes_in!E25/SER_hh_fec_in!E25)</f>
        <v>0.78033800870398851</v>
      </c>
      <c r="F25" s="137">
        <f>IF(SER_hh_tes_in!F25=0,"",SER_hh_tes_in!F25/SER_hh_fec_in!F25)</f>
        <v>0.78278477194602936</v>
      </c>
      <c r="G25" s="137">
        <f>IF(SER_hh_tes_in!G25=0,"",SER_hh_tes_in!G25/SER_hh_fec_in!G25)</f>
        <v>0.78529055832302808</v>
      </c>
      <c r="H25" s="137">
        <f>IF(SER_hh_tes_in!H25=0,"",SER_hh_tes_in!H25/SER_hh_fec_in!H25)</f>
        <v>0.78784921376404127</v>
      </c>
      <c r="I25" s="137" t="str">
        <f>IF(SER_hh_tes_in!I25=0,"",SER_hh_tes_in!I25/SER_hh_fec_in!I25)</f>
        <v/>
      </c>
      <c r="J25" s="137">
        <f>IF(SER_hh_tes_in!J25=0,"",SER_hh_tes_in!J25/SER_hh_fec_in!J25)</f>
        <v>0.79321305842469891</v>
      </c>
      <c r="K25" s="137">
        <f>IF(SER_hh_tes_in!K25=0,"",SER_hh_tes_in!K25/SER_hh_fec_in!K25)</f>
        <v>0.79611216136069418</v>
      </c>
      <c r="L25" s="137">
        <f>IF(SER_hh_tes_in!L25=0,"",SER_hh_tes_in!L25/SER_hh_fec_in!L25)</f>
        <v>0.79918198315759548</v>
      </c>
      <c r="M25" s="137">
        <f>IF(SER_hh_tes_in!M25=0,"",SER_hh_tes_in!M25/SER_hh_fec_in!M25)</f>
        <v>0.80343253467498554</v>
      </c>
      <c r="N25" s="137">
        <f>IF(SER_hh_tes_in!N25=0,"",SER_hh_tes_in!N25/SER_hh_fec_in!N25)</f>
        <v>0.80918315600829094</v>
      </c>
      <c r="O25" s="137">
        <f>IF(SER_hh_tes_in!O25=0,"",SER_hh_tes_in!O25/SER_hh_fec_in!O25)</f>
        <v>0.8167137875555589</v>
      </c>
      <c r="P25" s="137">
        <f>IF(SER_hh_tes_in!P25=0,"",SER_hh_tes_in!P25/SER_hh_fec_in!P25)</f>
        <v>0.82549182218506956</v>
      </c>
      <c r="Q25" s="137">
        <f>IF(SER_hh_tes_in!Q25=0,"",SER_hh_tes_in!Q25/SER_hh_fec_in!Q25)</f>
        <v>0.83377369645385546</v>
      </c>
      <c r="R25" s="137">
        <f>IF(SER_hh_tes_in!R25=0,"",SER_hh_tes_in!R25/SER_hh_fec_in!R25)</f>
        <v>0.84011982029128862</v>
      </c>
      <c r="S25" s="137">
        <f>IF(SER_hh_tes_in!S25=0,"",SER_hh_tes_in!S25/SER_hh_fec_in!S25)</f>
        <v>0.84629353791434803</v>
      </c>
      <c r="T25" s="137">
        <f>IF(SER_hh_tes_in!T25=0,"",SER_hh_tes_in!T25/SER_hh_fec_in!T25)</f>
        <v>0.85225359918901533</v>
      </c>
      <c r="U25" s="137">
        <f>IF(SER_hh_tes_in!U25=0,"",SER_hh_tes_in!U25/SER_hh_fec_in!U25)</f>
        <v>0.85795875398129207</v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 t="str">
        <f>IF(SER_hh_tes_in!C26=0,"",SER_hh_tes_in!C26/SER_hh_fec_in!C26)</f>
        <v/>
      </c>
      <c r="D26" s="138">
        <f>IF(SER_hh_tes_in!D26=0,"",SER_hh_tes_in!D26/SER_hh_fec_in!D26)</f>
        <v>0.64445879559863328</v>
      </c>
      <c r="E26" s="138">
        <f>IF(SER_hh_tes_in!E26=0,"",SER_hh_tes_in!E26/SER_hh_fec_in!E26)</f>
        <v>0.64735596198621104</v>
      </c>
      <c r="F26" s="138">
        <f>IF(SER_hh_tes_in!F26=0,"",SER_hh_tes_in!F26/SER_hh_fec_in!F26)</f>
        <v>0.65028095830328037</v>
      </c>
      <c r="G26" s="138">
        <f>IF(SER_hh_tes_in!G26=0,"",SER_hh_tes_in!G26/SER_hh_fec_in!G26)</f>
        <v>0.65339817264938294</v>
      </c>
      <c r="H26" s="138">
        <f>IF(SER_hh_tes_in!H26=0,"",SER_hh_tes_in!H26/SER_hh_fec_in!H26)</f>
        <v>0.65668917932875492</v>
      </c>
      <c r="I26" s="138">
        <f>IF(SER_hh_tes_in!I26=0,"",SER_hh_tes_in!I26/SER_hh_fec_in!I26)</f>
        <v>0.66019679222822225</v>
      </c>
      <c r="J26" s="138">
        <f>IF(SER_hh_tes_in!J26=0,"",SER_hh_tes_in!J26/SER_hh_fec_in!J26)</f>
        <v>0.66409238850362584</v>
      </c>
      <c r="K26" s="138">
        <f>IF(SER_hh_tes_in!K26=0,"",SER_hh_tes_in!K26/SER_hh_fec_in!K26)</f>
        <v>0.66852784264142517</v>
      </c>
      <c r="L26" s="138">
        <f>IF(SER_hh_tes_in!L26=0,"",SER_hh_tes_in!L26/SER_hh_fec_in!L26)</f>
        <v>0.67355630877578854</v>
      </c>
      <c r="M26" s="138">
        <f>IF(SER_hh_tes_in!M26=0,"",SER_hh_tes_in!M26/SER_hh_fec_in!M26)</f>
        <v>0.68266207040405891</v>
      </c>
      <c r="N26" s="138">
        <f>IF(SER_hh_tes_in!N26=0,"",SER_hh_tes_in!N26/SER_hh_fec_in!N26)</f>
        <v>0.69737606934634777</v>
      </c>
      <c r="O26" s="138">
        <f>IF(SER_hh_tes_in!O26=0,"",SER_hh_tes_in!O26/SER_hh_fec_in!O26)</f>
        <v>0.7196615598886803</v>
      </c>
      <c r="P26" s="138">
        <f>IF(SER_hh_tes_in!P26=0,"",SER_hh_tes_in!P26/SER_hh_fec_in!P26)</f>
        <v>0.74865212228824574</v>
      </c>
      <c r="Q26" s="138">
        <f>IF(SER_hh_tes_in!Q26=0,"",SER_hh_tes_in!Q26/SER_hh_fec_in!Q26)</f>
        <v>0.7770988362821476</v>
      </c>
      <c r="R26" s="138">
        <f>IF(SER_hh_tes_in!R26=0,"",SER_hh_tes_in!R26/SER_hh_fec_in!R26)</f>
        <v>0.79749102468391575</v>
      </c>
      <c r="S26" s="138">
        <f>IF(SER_hh_tes_in!S26=0,"",SER_hh_tes_in!S26/SER_hh_fec_in!S26)</f>
        <v>0.81768217707622715</v>
      </c>
      <c r="T26" s="138">
        <f>IF(SER_hh_tes_in!T26=0,"",SER_hh_tes_in!T26/SER_hh_fec_in!T26)</f>
        <v>0.83724892249992389</v>
      </c>
      <c r="U26" s="138">
        <f>IF(SER_hh_tes_in!U26=0,"",SER_hh_tes_in!U26/SER_hh_fec_in!U26)</f>
        <v>0.85562936918063826</v>
      </c>
      <c r="V26" s="138">
        <f>IF(SER_hh_tes_in!V26=0,"",SER_hh_tes_in!V26/SER_hh_fec_in!V26)</f>
        <v>0.87196146263428576</v>
      </c>
      <c r="W26" s="138">
        <f>IF(SER_hh_tes_in!W26=0,"",SER_hh_tes_in!W26/SER_hh_fec_in!W26)</f>
        <v>0.88481797755764879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 t="str">
        <f>IF(SER_hh_tes_in!K27=0,"",SER_hh_tes_in!K27/SER_hh_fec_in!K27)</f>
        <v/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 t="str">
        <f>IF(SER_hh_tes_in!Q27=0,"",SER_hh_tes_in!Q27/SER_hh_fec_in!Q27)</f>
        <v/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0.63595220120007423</v>
      </c>
      <c r="D29" s="136">
        <f>IF(SER_hh_tes_in!D29=0,"",SER_hh_tes_in!D29/SER_hh_fec_in!D29)</f>
        <v>0.6472026359590356</v>
      </c>
      <c r="E29" s="136">
        <f>IF(SER_hh_tes_in!E29=0,"",SER_hh_tes_in!E29/SER_hh_fec_in!E29)</f>
        <v>0.73580564255436365</v>
      </c>
      <c r="F29" s="136">
        <f>IF(SER_hh_tes_in!F29=0,"",SER_hh_tes_in!F29/SER_hh_fec_in!F29)</f>
        <v>0.70697201313018732</v>
      </c>
      <c r="G29" s="136">
        <f>IF(SER_hh_tes_in!G29=0,"",SER_hh_tes_in!G29/SER_hh_fec_in!G29)</f>
        <v>0.76137851292787029</v>
      </c>
      <c r="H29" s="136">
        <f>IF(SER_hh_tes_in!H29=0,"",SER_hh_tes_in!H29/SER_hh_fec_in!H29)</f>
        <v>0.74178924634025967</v>
      </c>
      <c r="I29" s="136">
        <f>IF(SER_hh_tes_in!I29=0,"",SER_hh_tes_in!I29/SER_hh_fec_in!I29)</f>
        <v>0.75836567740263139</v>
      </c>
      <c r="J29" s="136">
        <f>IF(SER_hh_tes_in!J29=0,"",SER_hh_tes_in!J29/SER_hh_fec_in!J29)</f>
        <v>0.75659666510648649</v>
      </c>
      <c r="K29" s="136">
        <f>IF(SER_hh_tes_in!K29=0,"",SER_hh_tes_in!K29/SER_hh_fec_in!K29)</f>
        <v>0.72447432147778346</v>
      </c>
      <c r="L29" s="136">
        <f>IF(SER_hh_tes_in!L29=0,"",SER_hh_tes_in!L29/SER_hh_fec_in!L29)</f>
        <v>0.74191255961626945</v>
      </c>
      <c r="M29" s="136">
        <f>IF(SER_hh_tes_in!M29=0,"",SER_hh_tes_in!M29/SER_hh_fec_in!M29)</f>
        <v>0.79438464612262438</v>
      </c>
      <c r="N29" s="136">
        <f>IF(SER_hh_tes_in!N29=0,"",SER_hh_tes_in!N29/SER_hh_fec_in!N29)</f>
        <v>0.66147358429388647</v>
      </c>
      <c r="O29" s="136">
        <f>IF(SER_hh_tes_in!O29=0,"",SER_hh_tes_in!O29/SER_hh_fec_in!O29)</f>
        <v>0.65724961604674725</v>
      </c>
      <c r="P29" s="136">
        <f>IF(SER_hh_tes_in!P29=0,"",SER_hh_tes_in!P29/SER_hh_fec_in!P29)</f>
        <v>0.68248387028016377</v>
      </c>
      <c r="Q29" s="136">
        <f>IF(SER_hh_tes_in!Q29=0,"",SER_hh_tes_in!Q29/SER_hh_fec_in!Q29)</f>
        <v>0.72898787933404452</v>
      </c>
      <c r="R29" s="136">
        <f>IF(SER_hh_tes_in!R29=0,"",SER_hh_tes_in!R29/SER_hh_fec_in!R29)</f>
        <v>0.77550849349959072</v>
      </c>
      <c r="S29" s="136">
        <f>IF(SER_hh_tes_in!S29=0,"",SER_hh_tes_in!S29/SER_hh_fec_in!S29)</f>
        <v>0.84033815020705582</v>
      </c>
      <c r="T29" s="136">
        <f>IF(SER_hh_tes_in!T29=0,"",SER_hh_tes_in!T29/SER_hh_fec_in!T29)</f>
        <v>0.82640248368273872</v>
      </c>
      <c r="U29" s="136">
        <f>IF(SER_hh_tes_in!U29=0,"",SER_hh_tes_in!U29/SER_hh_fec_in!U29)</f>
        <v>0.81928455391710997</v>
      </c>
      <c r="V29" s="136">
        <f>IF(SER_hh_tes_in!V29=0,"",SER_hh_tes_in!V29/SER_hh_fec_in!V29)</f>
        <v>0.82764611563426571</v>
      </c>
      <c r="W29" s="136">
        <f>IF(SER_hh_tes_in!W29=0,"",SER_hh_tes_in!W29/SER_hh_fec_in!W29)</f>
        <v>0.81383322546518311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0.63485804973125415</v>
      </c>
      <c r="D30" s="137">
        <f>IF(SER_hh_tes_in!D30=0,"",SER_hh_tes_in!D30/SER_hh_fec_in!D30)</f>
        <v>0.63505935638341038</v>
      </c>
      <c r="E30" s="137">
        <f>IF(SER_hh_tes_in!E30=0,"",SER_hh_tes_in!E30/SER_hh_fec_in!E30)</f>
        <v>0.63525782399827968</v>
      </c>
      <c r="F30" s="137">
        <f>IF(SER_hh_tes_in!F30=0,"",SER_hh_tes_in!F30/SER_hh_fec_in!F30)</f>
        <v>0.63545590447170064</v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>
        <f>IF(SER_hh_tes_in!K30=0,"",SER_hh_tes_in!K30/SER_hh_fec_in!K30)</f>
        <v>0.63639786411245614</v>
      </c>
      <c r="L30" s="137">
        <f>IF(SER_hh_tes_in!L30=0,"",SER_hh_tes_in!L30/SER_hh_fec_in!L30)</f>
        <v>0.63656834455421041</v>
      </c>
      <c r="M30" s="137" t="str">
        <f>IF(SER_hh_tes_in!M30=0,"",SER_hh_tes_in!M30/SER_hh_fec_in!M30)</f>
        <v/>
      </c>
      <c r="N30" s="137">
        <f>IF(SER_hh_tes_in!N30=0,"",SER_hh_tes_in!N30/SER_hh_fec_in!N30)</f>
        <v>0.63666008560303211</v>
      </c>
      <c r="O30" s="137">
        <f>IF(SER_hh_tes_in!O30=0,"",SER_hh_tes_in!O30/SER_hh_fec_in!O30)</f>
        <v>0.63666008560303211</v>
      </c>
      <c r="P30" s="137">
        <f>IF(SER_hh_tes_in!P30=0,"",SER_hh_tes_in!P30/SER_hh_fec_in!P30)</f>
        <v>0.63666008560303211</v>
      </c>
      <c r="Q30" s="137" t="str">
        <f>IF(SER_hh_tes_in!Q30=0,"",SER_hh_tes_in!Q30/SER_hh_fec_in!Q30)</f>
        <v/>
      </c>
      <c r="R30" s="137" t="str">
        <f>IF(SER_hh_tes_in!R30=0,"",SER_hh_tes_in!R30/SER_hh_fec_in!R30)</f>
        <v/>
      </c>
      <c r="S30" s="137" t="str">
        <f>IF(SER_hh_tes_in!S30=0,"",SER_hh_tes_in!S30/SER_hh_fec_in!S30)</f>
        <v/>
      </c>
      <c r="T30" s="137" t="str">
        <f>IF(SER_hh_tes_in!T30=0,"",SER_hh_tes_in!T30/SER_hh_fec_in!T30)</f>
        <v/>
      </c>
      <c r="U30" s="137" t="str">
        <f>IF(SER_hh_tes_in!U30=0,"",SER_hh_tes_in!U30/SER_hh_fec_in!U30)</f>
        <v/>
      </c>
      <c r="V30" s="137" t="str">
        <f>IF(SER_hh_tes_in!V30=0,"",SER_hh_tes_in!V30/SER_hh_fec_in!V30)</f>
        <v/>
      </c>
      <c r="W30" s="137">
        <f>IF(SER_hh_tes_in!W30=0,"",SER_hh_tes_in!W30/SER_hh_fec_in!W30)</f>
        <v>0.64249187396594354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0.63823541375887005</v>
      </c>
      <c r="D31" s="137">
        <f>IF(SER_hh_tes_in!D31=0,"",SER_hh_tes_in!D31/SER_hh_fec_in!D31)</f>
        <v>0.63846681917315173</v>
      </c>
      <c r="E31" s="137">
        <f>IF(SER_hh_tes_in!E31=0,"",SER_hh_tes_in!E31/SER_hh_fec_in!E31)</f>
        <v>0.63869496106587309</v>
      </c>
      <c r="F31" s="137">
        <f>IF(SER_hh_tes_in!F31=0,"",SER_hh_tes_in!F31/SER_hh_fec_in!F31)</f>
        <v>0.63892265793292702</v>
      </c>
      <c r="G31" s="137">
        <f>IF(SER_hh_tes_in!G31=0,"",SER_hh_tes_in!G31/SER_hh_fec_in!G31)</f>
        <v>0.63914734928858119</v>
      </c>
      <c r="H31" s="137">
        <f>IF(SER_hh_tes_in!H31=0,"",SER_hh_tes_in!H31/SER_hh_fec_in!H31)</f>
        <v>0.63936934850369254</v>
      </c>
      <c r="I31" s="137">
        <f>IF(SER_hh_tes_in!I31=0,"",SER_hh_tes_in!I31/SER_hh_fec_in!I31)</f>
        <v>0.63958802467450149</v>
      </c>
      <c r="J31" s="137">
        <f>IF(SER_hh_tes_in!J31=0,"",SER_hh_tes_in!J31/SER_hh_fec_in!J31)</f>
        <v>0.63980079321099537</v>
      </c>
      <c r="K31" s="137">
        <f>IF(SER_hh_tes_in!K31=0,"",SER_hh_tes_in!K31/SER_hh_fec_in!K31)</f>
        <v>0.64000545653183516</v>
      </c>
      <c r="L31" s="137">
        <f>IF(SER_hh_tes_in!L31=0,"",SER_hh_tes_in!L31/SER_hh_fec_in!L31)</f>
        <v>0.64020142669391633</v>
      </c>
      <c r="M31" s="137">
        <f>IF(SER_hh_tes_in!M31=0,"",SER_hh_tes_in!M31/SER_hh_fec_in!M31)</f>
        <v>0.6403068845870451</v>
      </c>
      <c r="N31" s="137">
        <f>IF(SER_hh_tes_in!N31=0,"",SER_hh_tes_in!N31/SER_hh_fec_in!N31)</f>
        <v>0.6403068845870451</v>
      </c>
      <c r="O31" s="137">
        <f>IF(SER_hh_tes_in!O31=0,"",SER_hh_tes_in!O31/SER_hh_fec_in!O31)</f>
        <v>0.6403068845870451</v>
      </c>
      <c r="P31" s="137">
        <f>IF(SER_hh_tes_in!P31=0,"",SER_hh_tes_in!P31/SER_hh_fec_in!P31)</f>
        <v>0.6403068845870451</v>
      </c>
      <c r="Q31" s="137">
        <f>IF(SER_hh_tes_in!Q31=0,"",SER_hh_tes_in!Q31/SER_hh_fec_in!Q31)</f>
        <v>0.6403068845870451</v>
      </c>
      <c r="R31" s="137">
        <f>IF(SER_hh_tes_in!R31=0,"",SER_hh_tes_in!R31/SER_hh_fec_in!R31)</f>
        <v>0.64097313575795478</v>
      </c>
      <c r="S31" s="137">
        <f>IF(SER_hh_tes_in!S31=0,"",SER_hh_tes_in!S31/SER_hh_fec_in!S31)</f>
        <v>0.64206260737777487</v>
      </c>
      <c r="T31" s="137">
        <f>IF(SER_hh_tes_in!T31=0,"",SER_hh_tes_in!T31/SER_hh_fec_in!T31)</f>
        <v>0.64333365760089756</v>
      </c>
      <c r="U31" s="137">
        <f>IF(SER_hh_tes_in!U31=0,"",SER_hh_tes_in!U31/SER_hh_fec_in!U31)</f>
        <v>0.64465010247484622</v>
      </c>
      <c r="V31" s="137">
        <f>IF(SER_hh_tes_in!V31=0,"",SER_hh_tes_in!V31/SER_hh_fec_in!V31)</f>
        <v>0.64587575804714314</v>
      </c>
      <c r="W31" s="137">
        <f>IF(SER_hh_tes_in!W31=0,"",SER_hh_tes_in!W31/SER_hh_fec_in!W31)</f>
        <v>0.647010624317788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 t="str">
        <f>IF(SER_hh_tes_in!C33=0,"",SER_hh_tes_in!C33/SER_hh_fec_in!C33)</f>
        <v/>
      </c>
      <c r="D33" s="150">
        <f>IF(SER_hh_tes_in!D33=0,"",SER_hh_tes_in!D33/SER_hh_fec_in!D33)</f>
        <v>0.84076267699831386</v>
      </c>
      <c r="E33" s="150">
        <f>IF(SER_hh_tes_in!E33=0,"",SER_hh_tes_in!E33/SER_hh_fec_in!E33)</f>
        <v>0.84202114557442198</v>
      </c>
      <c r="F33" s="150">
        <f>IF(SER_hh_tes_in!F33=0,"",SER_hh_tes_in!F33/SER_hh_fec_in!F33)</f>
        <v>0.84328573356719549</v>
      </c>
      <c r="G33" s="150">
        <f>IF(SER_hh_tes_in!G33=0,"",SER_hh_tes_in!G33/SER_hh_fec_in!G33)</f>
        <v>0.8445916494605773</v>
      </c>
      <c r="H33" s="150">
        <f>IF(SER_hh_tes_in!H33=0,"",SER_hh_tes_in!H33/SER_hh_fec_in!H33)</f>
        <v>0.84593458418436251</v>
      </c>
      <c r="I33" s="150">
        <f>IF(SER_hh_tes_in!I33=0,"",SER_hh_tes_in!I33/SER_hh_fec_in!I33)</f>
        <v>0.84732321311002323</v>
      </c>
      <c r="J33" s="150">
        <f>IF(SER_hh_tes_in!J33=0,"",SER_hh_tes_in!J33/SER_hh_fec_in!J33)</f>
        <v>0.848793076172352</v>
      </c>
      <c r="K33" s="150">
        <f>IF(SER_hh_tes_in!K33=0,"",SER_hh_tes_in!K33/SER_hh_fec_in!K33)</f>
        <v>0.85037439166403628</v>
      </c>
      <c r="L33" s="150">
        <f>IF(SER_hh_tes_in!L33=0,"",SER_hh_tes_in!L33/SER_hh_fec_in!L33)</f>
        <v>0.85207524421725789</v>
      </c>
      <c r="M33" s="150">
        <f>IF(SER_hh_tes_in!M33=0,"",SER_hh_tes_in!M33/SER_hh_fec_in!M33)</f>
        <v>0.85438930900243015</v>
      </c>
      <c r="N33" s="150">
        <f>IF(SER_hh_tes_in!N33=0,"",SER_hh_tes_in!N33/SER_hh_fec_in!N33)</f>
        <v>0.8574565694383891</v>
      </c>
      <c r="O33" s="150">
        <f>IF(SER_hh_tes_in!O33=0,"",SER_hh_tes_in!O33/SER_hh_fec_in!O33)</f>
        <v>0.86161739229274359</v>
      </c>
      <c r="P33" s="150">
        <f>IF(SER_hh_tes_in!P33=0,"",SER_hh_tes_in!P33/SER_hh_fec_in!P33)</f>
        <v>0.86705054126384185</v>
      </c>
      <c r="Q33" s="150">
        <f>IF(SER_hh_tes_in!Q33=0,"",SER_hh_tes_in!Q33/SER_hh_fec_in!Q33)</f>
        <v>0.87405314641332976</v>
      </c>
      <c r="R33" s="150">
        <f>IF(SER_hh_tes_in!R33=0,"",SER_hh_tes_in!R33/SER_hh_fec_in!R33)</f>
        <v>0.88357911095384889</v>
      </c>
      <c r="S33" s="150">
        <f>IF(SER_hh_tes_in!S33=0,"",SER_hh_tes_in!S33/SER_hh_fec_in!S33)</f>
        <v>0.89546840567985642</v>
      </c>
      <c r="T33" s="150">
        <f>IF(SER_hh_tes_in!T33=0,"",SER_hh_tes_in!T33/SER_hh_fec_in!T33)</f>
        <v>0.90825132574999012</v>
      </c>
      <c r="U33" s="150">
        <f>IF(SER_hh_tes_in!U33=0,"",SER_hh_tes_in!U33/SER_hh_fec_in!U33)</f>
        <v>0.92045816632292476</v>
      </c>
      <c r="V33" s="150">
        <f>IF(SER_hh_tes_in!V33=0,"",SER_hh_tes_in!V33/SER_hh_fec_in!V33)</f>
        <v>0.9306192225573181</v>
      </c>
      <c r="W33" s="150">
        <f>IF(SER_hh_tes_in!W33=0,"",SER_hh_tes_in!W33/SER_hh_fec_in!W33)</f>
        <v>0.93821823454291531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14.060646631093803</v>
      </c>
      <c r="D3" s="126">
        <f t="shared" si="0"/>
        <v>16.205978753826503</v>
      </c>
      <c r="E3" s="126">
        <f t="shared" si="0"/>
        <v>8.3494925693471753</v>
      </c>
      <c r="F3" s="126">
        <f t="shared" si="0"/>
        <v>35.580496723654299</v>
      </c>
      <c r="G3" s="126">
        <f t="shared" si="0"/>
        <v>131.24799866068932</v>
      </c>
      <c r="H3" s="126">
        <f t="shared" si="0"/>
        <v>170.80420085288912</v>
      </c>
      <c r="I3" s="126">
        <f t="shared" si="0"/>
        <v>222.90244766108762</v>
      </c>
      <c r="J3" s="126">
        <f t="shared" si="0"/>
        <v>139.25591562042254</v>
      </c>
      <c r="K3" s="126">
        <f t="shared" si="0"/>
        <v>16.899341635962173</v>
      </c>
      <c r="L3" s="126">
        <f t="shared" si="0"/>
        <v>37.00397705427455</v>
      </c>
      <c r="M3" s="126">
        <f t="shared" si="0"/>
        <v>13.173669365288911</v>
      </c>
      <c r="N3" s="126">
        <f t="shared" si="0"/>
        <v>31.310296449556837</v>
      </c>
      <c r="O3" s="126">
        <f t="shared" si="0"/>
        <v>23.586553481676599</v>
      </c>
      <c r="P3" s="126">
        <f t="shared" si="0"/>
        <v>15.259072336095757</v>
      </c>
      <c r="Q3" s="126">
        <f t="shared" si="0"/>
        <v>9.437540122437662</v>
      </c>
      <c r="R3" s="126">
        <f t="shared" ref="R3:W3" si="1">SUM(R4,R16,R19,R29)</f>
        <v>11.539330817380987</v>
      </c>
      <c r="S3" s="126">
        <f t="shared" si="1"/>
        <v>9.151604878244223</v>
      </c>
      <c r="T3" s="126">
        <f t="shared" si="1"/>
        <v>12.388462801128771</v>
      </c>
      <c r="U3" s="126">
        <f t="shared" si="1"/>
        <v>13.532259448419648</v>
      </c>
      <c r="V3" s="126">
        <f t="shared" si="1"/>
        <v>9.4589132834727803</v>
      </c>
      <c r="W3" s="126">
        <f t="shared" si="1"/>
        <v>11.993775488824133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4.9103996805243169</v>
      </c>
      <c r="D4" s="131">
        <f t="shared" si="2"/>
        <v>4.6472727320188376</v>
      </c>
      <c r="E4" s="131">
        <f t="shared" si="2"/>
        <v>2.7956310846065442</v>
      </c>
      <c r="F4" s="131">
        <f t="shared" si="2"/>
        <v>28.908653608697527</v>
      </c>
      <c r="G4" s="131">
        <f t="shared" si="2"/>
        <v>125.33697461559974</v>
      </c>
      <c r="H4" s="131">
        <f t="shared" si="2"/>
        <v>159.77539876827342</v>
      </c>
      <c r="I4" s="131">
        <f t="shared" si="2"/>
        <v>207.88543406672409</v>
      </c>
      <c r="J4" s="131">
        <f t="shared" si="2"/>
        <v>128.75924168120338</v>
      </c>
      <c r="K4" s="131">
        <f t="shared" si="2"/>
        <v>15.517665234087708</v>
      </c>
      <c r="L4" s="131">
        <f t="shared" si="2"/>
        <v>29.942092530391491</v>
      </c>
      <c r="M4" s="131">
        <f t="shared" si="2"/>
        <v>10.031541898121427</v>
      </c>
      <c r="N4" s="131">
        <f t="shared" si="2"/>
        <v>24.307175640027562</v>
      </c>
      <c r="O4" s="131">
        <f t="shared" si="2"/>
        <v>16.982884448843357</v>
      </c>
      <c r="P4" s="131">
        <f t="shared" si="2"/>
        <v>10.065043773224241</v>
      </c>
      <c r="Q4" s="131">
        <f t="shared" si="2"/>
        <v>4.9884321085259593</v>
      </c>
      <c r="R4" s="131">
        <f t="shared" ref="R4:W4" si="3">SUM(R5:R15)</f>
        <v>8.2284922443992681</v>
      </c>
      <c r="S4" s="131">
        <f t="shared" si="3"/>
        <v>7.4732712513402699</v>
      </c>
      <c r="T4" s="131">
        <f t="shared" si="3"/>
        <v>10.774065683097344</v>
      </c>
      <c r="U4" s="131">
        <f t="shared" si="3"/>
        <v>11.45593536989125</v>
      </c>
      <c r="V4" s="131">
        <f t="shared" si="3"/>
        <v>7.7383182614468815</v>
      </c>
      <c r="W4" s="131">
        <f t="shared" si="3"/>
        <v>9.4935045243285625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3.9841703215992506</v>
      </c>
      <c r="D5" s="133">
        <v>4.6414538193793664</v>
      </c>
      <c r="E5" s="133">
        <v>0</v>
      </c>
      <c r="F5" s="133">
        <v>0</v>
      </c>
      <c r="G5" s="133">
        <v>0</v>
      </c>
      <c r="H5" s="133">
        <v>14.1759215428854</v>
      </c>
      <c r="I5" s="133">
        <v>118.25175849112244</v>
      </c>
      <c r="J5" s="133">
        <v>117.71443349276244</v>
      </c>
      <c r="K5" s="133">
        <v>15.253824266003654</v>
      </c>
      <c r="L5" s="133">
        <v>20.86183990523978</v>
      </c>
      <c r="M5" s="133">
        <v>2.1780026234971999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0.86742217106182951</v>
      </c>
      <c r="T5" s="133">
        <v>3.7012976553434496</v>
      </c>
      <c r="U5" s="133">
        <v>1.1068219870754343</v>
      </c>
      <c r="V5" s="133">
        <v>0</v>
      </c>
      <c r="W5" s="133">
        <v>0.97165179256050438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0.92388350377667838</v>
      </c>
      <c r="D7" s="133">
        <v>0</v>
      </c>
      <c r="E7" s="133">
        <v>0.15925526436197118</v>
      </c>
      <c r="F7" s="133">
        <v>2.3073746999143223</v>
      </c>
      <c r="G7" s="133">
        <v>0.30992359928789015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0.35821004429256631</v>
      </c>
      <c r="P7" s="133">
        <v>1.3261757525548317</v>
      </c>
      <c r="Q7" s="133">
        <v>0.46135767727924515</v>
      </c>
      <c r="R7" s="133">
        <v>2.3344458462953295E-3</v>
      </c>
      <c r="S7" s="133">
        <v>0</v>
      </c>
      <c r="T7" s="133">
        <v>0</v>
      </c>
      <c r="U7" s="133">
        <v>0</v>
      </c>
      <c r="V7" s="133">
        <v>1.6628048636025738E-2</v>
      </c>
      <c r="W7" s="133">
        <v>1.0668495315447317E-4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2.3458551483881299E-3</v>
      </c>
      <c r="D8" s="133">
        <v>5.81891263947163E-3</v>
      </c>
      <c r="E8" s="133">
        <v>1.0234746317082844E-2</v>
      </c>
      <c r="F8" s="133">
        <v>9.1294455225549662E-3</v>
      </c>
      <c r="G8" s="133">
        <v>3.1647678083458271E-3</v>
      </c>
      <c r="H8" s="133">
        <v>3.1276168072565569E-3</v>
      </c>
      <c r="I8" s="133">
        <v>4.5412288493813053E-3</v>
      </c>
      <c r="J8" s="133">
        <v>4.1353938958307423E-3</v>
      </c>
      <c r="K8" s="133">
        <v>9.256786903712441E-4</v>
      </c>
      <c r="L8" s="133">
        <v>1.275531314182402E-2</v>
      </c>
      <c r="M8" s="133">
        <v>1.1227703765871169E-2</v>
      </c>
      <c r="N8" s="133">
        <v>6.6457181488972488E-3</v>
      </c>
      <c r="O8" s="133">
        <v>1.2871457533966865E-2</v>
      </c>
      <c r="P8" s="133">
        <v>2.021126727590003E-2</v>
      </c>
      <c r="Q8" s="133">
        <v>1.0252654953468984E-2</v>
      </c>
      <c r="R8" s="133">
        <v>1.8575025200206867E-3</v>
      </c>
      <c r="S8" s="133">
        <v>2.1947207010720995E-3</v>
      </c>
      <c r="T8" s="133">
        <v>4.903430323236666E-3</v>
      </c>
      <c r="U8" s="133">
        <v>6.7359085922822507E-3</v>
      </c>
      <c r="V8" s="133">
        <v>1.0618688891204171E-2</v>
      </c>
      <c r="W8" s="133">
        <v>5.5176473815169045E-3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2.62614107392749</v>
      </c>
      <c r="F9" s="133">
        <v>26.59214946326065</v>
      </c>
      <c r="G9" s="133">
        <v>125.0238862485035</v>
      </c>
      <c r="H9" s="133">
        <v>145.59634960858077</v>
      </c>
      <c r="I9" s="133">
        <v>89.629134346752267</v>
      </c>
      <c r="J9" s="133">
        <v>7.7315685252322108</v>
      </c>
      <c r="K9" s="133">
        <v>0</v>
      </c>
      <c r="L9" s="133">
        <v>7.9717098506785495</v>
      </c>
      <c r="M9" s="133">
        <v>7.4204239126543836</v>
      </c>
      <c r="N9" s="133">
        <v>23.898823824750693</v>
      </c>
      <c r="O9" s="133">
        <v>16.448268062073563</v>
      </c>
      <c r="P9" s="133">
        <v>6.2887657917495439</v>
      </c>
      <c r="Q9" s="133">
        <v>3.7695414591661232</v>
      </c>
      <c r="R9" s="133">
        <v>8.1242710193597727</v>
      </c>
      <c r="S9" s="133">
        <v>5.8030713677539794</v>
      </c>
      <c r="T9" s="133">
        <v>7.0461000172680786</v>
      </c>
      <c r="U9" s="133">
        <v>9.1221558645475636</v>
      </c>
      <c r="V9" s="133">
        <v>7.1102816423639315</v>
      </c>
      <c r="W9" s="133">
        <v>8.283159843945457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3.3091042693128894</v>
      </c>
      <c r="K10" s="133">
        <v>0.26291528939368231</v>
      </c>
      <c r="L10" s="133">
        <v>1.095787461331337</v>
      </c>
      <c r="M10" s="133">
        <v>0.42188765820397317</v>
      </c>
      <c r="N10" s="133">
        <v>0.40170609712797412</v>
      </c>
      <c r="O10" s="133">
        <v>0.16353488494326152</v>
      </c>
      <c r="P10" s="133">
        <v>2.4298909616439661</v>
      </c>
      <c r="Q10" s="133">
        <v>0.74728031712712217</v>
      </c>
      <c r="R10" s="133">
        <v>0.10002927667317907</v>
      </c>
      <c r="S10" s="133">
        <v>0.80058299182338954</v>
      </c>
      <c r="T10" s="133">
        <v>2.1764580162579178E-2</v>
      </c>
      <c r="U10" s="133">
        <v>1.2202216096759708</v>
      </c>
      <c r="V10" s="133">
        <v>0.60078988155571988</v>
      </c>
      <c r="W10" s="133">
        <v>0.23306855548793015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2.2037572747528638E-2</v>
      </c>
      <c r="D16" s="131">
        <f t="shared" si="4"/>
        <v>0</v>
      </c>
      <c r="E16" s="131">
        <f t="shared" si="4"/>
        <v>0</v>
      </c>
      <c r="F16" s="131">
        <f t="shared" si="4"/>
        <v>3.6170738267141511E-2</v>
      </c>
      <c r="G16" s="131">
        <f t="shared" si="4"/>
        <v>2.5855797842675738E-2</v>
      </c>
      <c r="H16" s="131">
        <f t="shared" si="4"/>
        <v>1.4576906960930404E-2</v>
      </c>
      <c r="I16" s="131">
        <f t="shared" si="4"/>
        <v>9.9914412905096669E-3</v>
      </c>
      <c r="J16" s="131">
        <f t="shared" si="4"/>
        <v>2.1060547194726956E-2</v>
      </c>
      <c r="K16" s="131">
        <f t="shared" si="4"/>
        <v>7.8534023492755889E-4</v>
      </c>
      <c r="L16" s="131">
        <f t="shared" si="4"/>
        <v>1.6059736483557924E-2</v>
      </c>
      <c r="M16" s="131">
        <f t="shared" si="4"/>
        <v>1.5249465182576586E-2</v>
      </c>
      <c r="N16" s="131">
        <f t="shared" si="4"/>
        <v>9.3109670055874175E-3</v>
      </c>
      <c r="O16" s="131">
        <f t="shared" si="4"/>
        <v>2.6040183076424691E-2</v>
      </c>
      <c r="P16" s="131">
        <f t="shared" si="4"/>
        <v>4.2667999545795039E-2</v>
      </c>
      <c r="Q16" s="131">
        <f t="shared" si="4"/>
        <v>3.6862299248986319E-2</v>
      </c>
      <c r="R16" s="131">
        <f t="shared" ref="R16:W16" si="5">SUM(R17:R18)</f>
        <v>8.2904289989075453E-2</v>
      </c>
      <c r="S16" s="131">
        <f t="shared" si="5"/>
        <v>3.6968099803193891E-2</v>
      </c>
      <c r="T16" s="131">
        <f t="shared" si="5"/>
        <v>6.0588117328834221E-2</v>
      </c>
      <c r="U16" s="131">
        <f t="shared" si="5"/>
        <v>4.2519976570663871E-2</v>
      </c>
      <c r="V16" s="131">
        <f t="shared" si="5"/>
        <v>8.1597117893963289E-2</v>
      </c>
      <c r="W16" s="131">
        <f t="shared" si="5"/>
        <v>4.5456510910460719E-2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2.2037572747528638E-2</v>
      </c>
      <c r="D17" s="133">
        <v>0</v>
      </c>
      <c r="E17" s="133">
        <v>0</v>
      </c>
      <c r="F17" s="133">
        <v>3.6170738267141511E-2</v>
      </c>
      <c r="G17" s="133">
        <v>2.5855797842675738E-2</v>
      </c>
      <c r="H17" s="133">
        <v>1.4576906960930404E-2</v>
      </c>
      <c r="I17" s="133">
        <v>9.9914412905096669E-3</v>
      </c>
      <c r="J17" s="133">
        <v>2.1060547194726956E-2</v>
      </c>
      <c r="K17" s="133">
        <v>7.8534023492755889E-4</v>
      </c>
      <c r="L17" s="133">
        <v>1.6059736483557924E-2</v>
      </c>
      <c r="M17" s="133">
        <v>1.5249465182576586E-2</v>
      </c>
      <c r="N17" s="133">
        <v>9.3109670055874175E-3</v>
      </c>
      <c r="O17" s="133">
        <v>2.6040183076424691E-2</v>
      </c>
      <c r="P17" s="133">
        <v>4.2667999545795039E-2</v>
      </c>
      <c r="Q17" s="133">
        <v>3.6862299248986319E-2</v>
      </c>
      <c r="R17" s="133">
        <v>8.2904289989075453E-2</v>
      </c>
      <c r="S17" s="133">
        <v>3.6968099803193891E-2</v>
      </c>
      <c r="T17" s="133">
        <v>6.0588117328834221E-2</v>
      </c>
      <c r="U17" s="133">
        <v>4.2519976570663871E-2</v>
      </c>
      <c r="V17" s="133">
        <v>8.1597117893963289E-2</v>
      </c>
      <c r="W17" s="133">
        <v>4.5456510910460719E-2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4.1979955420810295</v>
      </c>
      <c r="D19" s="131">
        <f t="shared" si="6"/>
        <v>3.1912788671666794</v>
      </c>
      <c r="E19" s="131">
        <f t="shared" si="6"/>
        <v>2.0893825503421697</v>
      </c>
      <c r="F19" s="131">
        <f t="shared" si="6"/>
        <v>1.8060037995397671</v>
      </c>
      <c r="G19" s="131">
        <f t="shared" si="6"/>
        <v>2.0114243006517416</v>
      </c>
      <c r="H19" s="131">
        <f t="shared" si="6"/>
        <v>4.9648984348217766</v>
      </c>
      <c r="I19" s="131">
        <f t="shared" si="6"/>
        <v>8.4142433075565979</v>
      </c>
      <c r="J19" s="131">
        <f t="shared" si="6"/>
        <v>6.0302267308411119</v>
      </c>
      <c r="K19" s="131">
        <f t="shared" si="6"/>
        <v>0.68617476236432506</v>
      </c>
      <c r="L19" s="131">
        <f t="shared" si="6"/>
        <v>3.152306014355494</v>
      </c>
      <c r="M19" s="131">
        <f t="shared" si="6"/>
        <v>2.0712917491449234</v>
      </c>
      <c r="N19" s="131">
        <f t="shared" si="6"/>
        <v>3.026529513148231</v>
      </c>
      <c r="O19" s="131">
        <f t="shared" si="6"/>
        <v>2.653529085872345</v>
      </c>
      <c r="P19" s="131">
        <f t="shared" si="6"/>
        <v>1.7420035805173031</v>
      </c>
      <c r="Q19" s="131">
        <f t="shared" si="6"/>
        <v>1.5261259528061331</v>
      </c>
      <c r="R19" s="131">
        <f t="shared" ref="R19:W19" si="7">SUM(R20:R27)</f>
        <v>1.2109081815879164</v>
      </c>
      <c r="S19" s="131">
        <f t="shared" si="7"/>
        <v>0.67554006569284863</v>
      </c>
      <c r="T19" s="131">
        <f t="shared" si="7"/>
        <v>6.3615871000558422E-4</v>
      </c>
      <c r="U19" s="131">
        <f t="shared" si="7"/>
        <v>0.14233588967179039</v>
      </c>
      <c r="V19" s="131">
        <f t="shared" si="7"/>
        <v>0</v>
      </c>
      <c r="W19" s="131">
        <f t="shared" si="7"/>
        <v>0.4563724070002439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2.0214692703327657</v>
      </c>
      <c r="I20" s="133">
        <v>4.6169171951670105</v>
      </c>
      <c r="J20" s="133">
        <v>3.5430773313093291</v>
      </c>
      <c r="K20" s="133">
        <v>0.39154594912935525</v>
      </c>
      <c r="L20" s="133">
        <v>0.88550559787050065</v>
      </c>
      <c r="M20" s="133">
        <v>0.4416516886481755</v>
      </c>
      <c r="N20" s="133">
        <v>0.41900307425519062</v>
      </c>
      <c r="O20" s="133">
        <v>0.40771335700522854</v>
      </c>
      <c r="P20" s="133">
        <v>0</v>
      </c>
      <c r="Q20" s="133">
        <v>0</v>
      </c>
      <c r="R20" s="133">
        <v>0</v>
      </c>
      <c r="S20" s="133">
        <v>0</v>
      </c>
      <c r="T20" s="133">
        <v>6.3615871000558422E-4</v>
      </c>
      <c r="U20" s="133">
        <v>0.14233588967179039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4.1979955420810295</v>
      </c>
      <c r="D23" s="133">
        <v>3.1912788671666794</v>
      </c>
      <c r="E23" s="133">
        <v>2.0893825503421697</v>
      </c>
      <c r="F23" s="133">
        <v>1.8060037995397671</v>
      </c>
      <c r="G23" s="133">
        <v>2.0114243006517416</v>
      </c>
      <c r="H23" s="133">
        <v>2.9434291644890114</v>
      </c>
      <c r="I23" s="133">
        <v>3.7973261123895869</v>
      </c>
      <c r="J23" s="133">
        <v>2.4871493995317828</v>
      </c>
      <c r="K23" s="133">
        <v>0.29462881323496981</v>
      </c>
      <c r="L23" s="133">
        <v>2.2668004164849935</v>
      </c>
      <c r="M23" s="133">
        <v>1.6296400604967478</v>
      </c>
      <c r="N23" s="133">
        <v>2.6075264388930406</v>
      </c>
      <c r="O23" s="133">
        <v>2.2458157288671163</v>
      </c>
      <c r="P23" s="133">
        <v>1.7420035805173031</v>
      </c>
      <c r="Q23" s="133">
        <v>1.5261259528061331</v>
      </c>
      <c r="R23" s="133">
        <v>1.2109081815879164</v>
      </c>
      <c r="S23" s="133">
        <v>0.67554006569284863</v>
      </c>
      <c r="T23" s="133">
        <v>0</v>
      </c>
      <c r="U23" s="133">
        <v>0</v>
      </c>
      <c r="V23" s="133">
        <v>0</v>
      </c>
      <c r="W23" s="133">
        <v>0.4563724070002439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4.9302138357409291</v>
      </c>
      <c r="D29" s="131">
        <f t="shared" si="8"/>
        <v>8.3674271546409855</v>
      </c>
      <c r="E29" s="131">
        <f t="shared" si="8"/>
        <v>3.4644789343984619</v>
      </c>
      <c r="F29" s="131">
        <f t="shared" si="8"/>
        <v>4.8296685771498638</v>
      </c>
      <c r="G29" s="131">
        <f t="shared" si="8"/>
        <v>3.8737439465951629</v>
      </c>
      <c r="H29" s="131">
        <f t="shared" si="8"/>
        <v>6.0493267428329887</v>
      </c>
      <c r="I29" s="131">
        <f t="shared" si="8"/>
        <v>6.5927788455164311</v>
      </c>
      <c r="J29" s="131">
        <f t="shared" si="8"/>
        <v>4.4453866611833019</v>
      </c>
      <c r="K29" s="131">
        <f t="shared" si="8"/>
        <v>0.69471629927521428</v>
      </c>
      <c r="L29" s="131">
        <f t="shared" si="8"/>
        <v>3.893518773044006</v>
      </c>
      <c r="M29" s="131">
        <f t="shared" si="8"/>
        <v>1.0555862528399846</v>
      </c>
      <c r="N29" s="131">
        <f t="shared" si="8"/>
        <v>3.9672803293754595</v>
      </c>
      <c r="O29" s="131">
        <f t="shared" si="8"/>
        <v>3.9240997638844699</v>
      </c>
      <c r="P29" s="131">
        <f t="shared" si="8"/>
        <v>3.4093569828084167</v>
      </c>
      <c r="Q29" s="131">
        <f t="shared" si="8"/>
        <v>2.886119761856583</v>
      </c>
      <c r="R29" s="131">
        <f t="shared" ref="R29:W29" si="9">SUM(R30:R33)</f>
        <v>2.0170261014047282</v>
      </c>
      <c r="S29" s="131">
        <f t="shared" si="9"/>
        <v>0.96582546140790904</v>
      </c>
      <c r="T29" s="131">
        <f t="shared" si="9"/>
        <v>1.5531728419925885</v>
      </c>
      <c r="U29" s="131">
        <f t="shared" si="9"/>
        <v>1.8914682122859436</v>
      </c>
      <c r="V29" s="131">
        <f t="shared" si="9"/>
        <v>1.6389979041319358</v>
      </c>
      <c r="W29" s="131">
        <f t="shared" si="9"/>
        <v>1.9984420465848671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3.4646511103714182</v>
      </c>
      <c r="D30" s="133">
        <v>7.7316160690951934</v>
      </c>
      <c r="E30" s="133">
        <v>2.4892217496778803</v>
      </c>
      <c r="F30" s="133">
        <v>2.0684869417826679</v>
      </c>
      <c r="G30" s="133">
        <v>0</v>
      </c>
      <c r="H30" s="133">
        <v>0</v>
      </c>
      <c r="I30" s="133">
        <v>0</v>
      </c>
      <c r="J30" s="133">
        <v>0</v>
      </c>
      <c r="K30" s="133">
        <v>0.15102250209382004</v>
      </c>
      <c r="L30" s="133">
        <v>1.7241175089966381</v>
      </c>
      <c r="M30" s="133">
        <v>0</v>
      </c>
      <c r="N30" s="133">
        <v>0.96668562286366677</v>
      </c>
      <c r="O30" s="133">
        <v>0.8607411471645835</v>
      </c>
      <c r="P30" s="133">
        <v>0.68428083670021711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8.5325736268391085E-4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1.4655627253695109</v>
      </c>
      <c r="D31" s="133">
        <v>0.63581108554579158</v>
      </c>
      <c r="E31" s="133">
        <v>0.97525718472058165</v>
      </c>
      <c r="F31" s="133">
        <v>2.7611816353671959</v>
      </c>
      <c r="G31" s="133">
        <v>3.8737439465951629</v>
      </c>
      <c r="H31" s="133">
        <v>6.0493267428329887</v>
      </c>
      <c r="I31" s="133">
        <v>6.5927788455164311</v>
      </c>
      <c r="J31" s="133">
        <v>4.4453866611833019</v>
      </c>
      <c r="K31" s="133">
        <v>0.54369379718139421</v>
      </c>
      <c r="L31" s="133">
        <v>2.1694012640473681</v>
      </c>
      <c r="M31" s="133">
        <v>1.0555862528399846</v>
      </c>
      <c r="N31" s="133">
        <v>3.0005947065117926</v>
      </c>
      <c r="O31" s="133">
        <v>3.0633586167198863</v>
      </c>
      <c r="P31" s="133">
        <v>2.7250761461081998</v>
      </c>
      <c r="Q31" s="133">
        <v>2.886119761856583</v>
      </c>
      <c r="R31" s="133">
        <v>2.0170261014047282</v>
      </c>
      <c r="S31" s="133">
        <v>0.96582546140790904</v>
      </c>
      <c r="T31" s="133">
        <v>1.5531728419925885</v>
      </c>
      <c r="U31" s="133">
        <v>1.8914682122859436</v>
      </c>
      <c r="V31" s="133">
        <v>1.6389979041319358</v>
      </c>
      <c r="W31" s="133">
        <v>1.9975887892221833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543873.68154601438</v>
      </c>
      <c r="D3" s="126">
        <f>IF(SER_hh_fec_in!D3=0,0,11630*1000*SER_hh_fec_in!D3/SER_hh_num_in!D3)</f>
        <v>485124.72109001433</v>
      </c>
      <c r="E3" s="126">
        <f>IF(SER_hh_fec_in!E3=0,0,11630*1000*SER_hh_fec_in!E3/SER_hh_num_in!E3)</f>
        <v>356927.8327510361</v>
      </c>
      <c r="F3" s="126">
        <f>IF(SER_hh_fec_in!F3=0,0,11630*1000*SER_hh_fec_in!F3/SER_hh_num_in!F3)</f>
        <v>349861.58062268951</v>
      </c>
      <c r="G3" s="126">
        <f>IF(SER_hh_fec_in!G3=0,0,11630*1000*SER_hh_fec_in!G3/SER_hh_num_in!G3)</f>
        <v>595708.40810609865</v>
      </c>
      <c r="H3" s="126">
        <f>IF(SER_hh_fec_in!H3=0,0,11630*1000*SER_hh_fec_in!H3/SER_hh_num_in!H3)</f>
        <v>552393.64600144455</v>
      </c>
      <c r="I3" s="126">
        <f>IF(SER_hh_fec_in!I3=0,0,11630*1000*SER_hh_fec_in!I3/SER_hh_num_in!I3)</f>
        <v>464134.45654939295</v>
      </c>
      <c r="J3" s="126">
        <f>IF(SER_hh_fec_in!J3=0,0,11630*1000*SER_hh_fec_in!J3/SER_hh_num_in!J3)</f>
        <v>446144.89646276511</v>
      </c>
      <c r="K3" s="126">
        <f>IF(SER_hh_fec_in!K3=0,0,11630*1000*SER_hh_fec_in!K3/SER_hh_num_in!K3)</f>
        <v>541088.60397138877</v>
      </c>
      <c r="L3" s="126">
        <f>IF(SER_hh_fec_in!L3=0,0,11630*1000*SER_hh_fec_in!L3/SER_hh_num_in!L3)</f>
        <v>430743.29022694763</v>
      </c>
      <c r="M3" s="126">
        <f>IF(SER_hh_fec_in!M3=0,0,11630*1000*SER_hh_fec_in!M3/SER_hh_num_in!M3)</f>
        <v>318600.59236828727</v>
      </c>
      <c r="N3" s="126">
        <f>IF(SER_hh_fec_in!N3=0,0,11630*1000*SER_hh_fec_in!N3/SER_hh_num_in!N3)</f>
        <v>334730.17848722421</v>
      </c>
      <c r="O3" s="126">
        <f>IF(SER_hh_fec_in!O3=0,0,11630*1000*SER_hh_fec_in!O3/SER_hh_num_in!O3)</f>
        <v>335889.72844736953</v>
      </c>
      <c r="P3" s="126">
        <f>IF(SER_hh_fec_in!P3=0,0,11630*1000*SER_hh_fec_in!P3/SER_hh_num_in!P3)</f>
        <v>217488.61577660602</v>
      </c>
      <c r="Q3" s="126">
        <f>IF(SER_hh_fec_in!Q3=0,0,11630*1000*SER_hh_fec_in!Q3/SER_hh_num_in!Q3)</f>
        <v>209762.23190397929</v>
      </c>
      <c r="R3" s="126">
        <f>IF(SER_hh_fec_in!R3=0,0,11630*1000*SER_hh_fec_in!R3/SER_hh_num_in!R3)</f>
        <v>203345.88525690619</v>
      </c>
      <c r="S3" s="126">
        <f>IF(SER_hh_fec_in!S3=0,0,11630*1000*SER_hh_fec_in!S3/SER_hh_num_in!S3)</f>
        <v>205758.16774827125</v>
      </c>
      <c r="T3" s="126">
        <f>IF(SER_hh_fec_in!T3=0,0,11630*1000*SER_hh_fec_in!T3/SER_hh_num_in!T3)</f>
        <v>176673.83095199143</v>
      </c>
      <c r="U3" s="126">
        <f>IF(SER_hh_fec_in!U3=0,0,11630*1000*SER_hh_fec_in!U3/SER_hh_num_in!U3)</f>
        <v>152252.25293126452</v>
      </c>
      <c r="V3" s="126">
        <f>IF(SER_hh_fec_in!V3=0,0,11630*1000*SER_hh_fec_in!V3/SER_hh_num_in!V3)</f>
        <v>129834.38163674266</v>
      </c>
      <c r="W3" s="126">
        <f>IF(SER_hh_fec_in!W3=0,0,11630*1000*SER_hh_fec_in!W3/SER_hh_num_in!W3)</f>
        <v>135696.61475317474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456527.57797897205</v>
      </c>
      <c r="D4" s="131">
        <f>IF(SER_hh_fec_in!D4=0,0,11630*1000*SER_hh_fec_in!D4/SER_hh_num_in!D4)</f>
        <v>387893.16699360864</v>
      </c>
      <c r="E4" s="131">
        <f>IF(SER_hh_fec_in!E4=0,0,11630*1000*SER_hh_fec_in!E4/SER_hh_num_in!E4)</f>
        <v>273496.40960519121</v>
      </c>
      <c r="F4" s="131">
        <f>IF(SER_hh_fec_in!F4=0,0,11630*1000*SER_hh_fec_in!F4/SER_hh_num_in!F4)</f>
        <v>266379.19972543238</v>
      </c>
      <c r="G4" s="131">
        <f>IF(SER_hh_fec_in!G4=0,0,11630*1000*SER_hh_fec_in!G4/SER_hh_num_in!G4)</f>
        <v>511499.83010361425</v>
      </c>
      <c r="H4" s="131">
        <f>IF(SER_hh_fec_in!H4=0,0,11630*1000*SER_hh_fec_in!H4/SER_hh_num_in!H4)</f>
        <v>470315.1847052474</v>
      </c>
      <c r="I4" s="131">
        <f>IF(SER_hh_fec_in!I4=0,0,11630*1000*SER_hh_fec_in!I4/SER_hh_num_in!I4)</f>
        <v>381094.79974556871</v>
      </c>
      <c r="J4" s="131">
        <f>IF(SER_hh_fec_in!J4=0,0,11630*1000*SER_hh_fec_in!J4/SER_hh_num_in!J4)</f>
        <v>361476.96798923996</v>
      </c>
      <c r="K4" s="131">
        <f>IF(SER_hh_fec_in!K4=0,0,11630*1000*SER_hh_fec_in!K4/SER_hh_num_in!K4)</f>
        <v>455372.29422059655</v>
      </c>
      <c r="L4" s="131">
        <f>IF(SER_hh_fec_in!L4=0,0,11630*1000*SER_hh_fec_in!L4/SER_hh_num_in!L4)</f>
        <v>348819.75281919137</v>
      </c>
      <c r="M4" s="131">
        <f>IF(SER_hh_fec_in!M4=0,0,11630*1000*SER_hh_fec_in!M4/SER_hh_num_in!M4)</f>
        <v>237127.59919364704</v>
      </c>
      <c r="N4" s="131">
        <f>IF(SER_hh_fec_in!N4=0,0,11630*1000*SER_hh_fec_in!N4/SER_hh_num_in!N4)</f>
        <v>247099.73019251399</v>
      </c>
      <c r="O4" s="131">
        <f>IF(SER_hh_fec_in!O4=0,0,11630*1000*SER_hh_fec_in!O4/SER_hh_num_in!O4)</f>
        <v>248557.87536583102</v>
      </c>
      <c r="P4" s="131">
        <f>IF(SER_hh_fec_in!P4=0,0,11630*1000*SER_hh_fec_in!P4/SER_hh_num_in!P4)</f>
        <v>139158.71565784203</v>
      </c>
      <c r="Q4" s="131">
        <f>IF(SER_hh_fec_in!Q4=0,0,11630*1000*SER_hh_fec_in!Q4/SER_hh_num_in!Q4)</f>
        <v>133850.42478325762</v>
      </c>
      <c r="R4" s="131">
        <f>IF(SER_hh_fec_in!R4=0,0,11630*1000*SER_hh_fec_in!R4/SER_hh_num_in!R4)</f>
        <v>131019.72812497187</v>
      </c>
      <c r="S4" s="131">
        <f>IF(SER_hh_fec_in!S4=0,0,11630*1000*SER_hh_fec_in!S4/SER_hh_num_in!S4)</f>
        <v>136999.57084975374</v>
      </c>
      <c r="T4" s="131">
        <f>IF(SER_hh_fec_in!T4=0,0,11630*1000*SER_hh_fec_in!T4/SER_hh_num_in!T4)</f>
        <v>109621.66109141185</v>
      </c>
      <c r="U4" s="131">
        <f>IF(SER_hh_fec_in!U4=0,0,11630*1000*SER_hh_fec_in!U4/SER_hh_num_in!U4)</f>
        <v>86526.521269165081</v>
      </c>
      <c r="V4" s="131">
        <f>IF(SER_hh_fec_in!V4=0,0,11630*1000*SER_hh_fec_in!V4/SER_hh_num_in!V4)</f>
        <v>67893.675607576151</v>
      </c>
      <c r="W4" s="131">
        <f>IF(SER_hh_fec_in!W4=0,0,11630*1000*SER_hh_fec_in!W4/SER_hh_num_in!W4)</f>
        <v>74977.986995086321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461110.0579687822</v>
      </c>
      <c r="D5" s="133">
        <f>IF(SER_hh_fec_in!D5=0,0,11630*1000*SER_hh_fec_in!D5/SER_hh_num_in!D5)</f>
        <v>600700.50319737731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289153.64709126676</v>
      </c>
      <c r="I5" s="133">
        <f>IF(SER_hh_fec_in!I5=0,0,11630*1000*SER_hh_fec_in!I5/SER_hh_num_in!I5)</f>
        <v>347828.5303896878</v>
      </c>
      <c r="J5" s="133">
        <f>IF(SER_hh_fec_in!J5=0,0,11630*1000*SER_hh_fec_in!J5/SER_hh_num_in!J5)</f>
        <v>359752.81686590455</v>
      </c>
      <c r="K5" s="133">
        <f>IF(SER_hh_fec_in!K5=0,0,11630*1000*SER_hh_fec_in!K5/SER_hh_num_in!K5)</f>
        <v>630892.47268844477</v>
      </c>
      <c r="L5" s="133">
        <f>IF(SER_hh_fec_in!L5=0,0,11630*1000*SER_hh_fec_in!L5/SER_hh_num_in!L5)</f>
        <v>333322.78981387016</v>
      </c>
      <c r="M5" s="133">
        <f>IF(SER_hh_fec_in!M5=0,0,11630*1000*SER_hh_fec_in!M5/SER_hh_num_in!M5)</f>
        <v>372912.27080977475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121889.44153992369</v>
      </c>
      <c r="T5" s="133">
        <f>IF(SER_hh_fec_in!T5=0,0,11630*1000*SER_hh_fec_in!T5/SER_hh_num_in!T5)</f>
        <v>118270.84859141019</v>
      </c>
      <c r="U5" s="133">
        <f>IF(SER_hh_fec_in!U5=0,0,11630*1000*SER_hh_fec_in!U5/SER_hh_num_in!U5)</f>
        <v>152624.24770391849</v>
      </c>
      <c r="V5" s="133">
        <f>IF(SER_hh_fec_in!V5=0,0,11630*1000*SER_hh_fec_in!V5/SER_hh_num_in!V5)</f>
        <v>0</v>
      </c>
      <c r="W5" s="133">
        <f>IF(SER_hh_fec_in!W5=0,0,11630*1000*SER_hh_fec_in!W5/SER_hh_num_in!W5)</f>
        <v>63544.888079204909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784752.44712611486</v>
      </c>
      <c r="D7" s="133">
        <f>IF(SER_hh_fec_in!D7=0,0,11630*1000*SER_hh_fec_in!D7/SER_hh_num_in!D7)</f>
        <v>0</v>
      </c>
      <c r="E7" s="133">
        <f>IF(SER_hh_fec_in!E7=0,0,11630*1000*SER_hh_fec_in!E7/SER_hh_num_in!E7)</f>
        <v>192795.31645111987</v>
      </c>
      <c r="F7" s="133">
        <f>IF(SER_hh_fec_in!F7=0,0,11630*1000*SER_hh_fec_in!F7/SER_hh_num_in!F7)</f>
        <v>497768.11848577711</v>
      </c>
      <c r="G7" s="133">
        <f>IF(SER_hh_fec_in!G7=0,0,11630*1000*SER_hh_fec_in!G7/SER_hh_num_in!G7)</f>
        <v>577262.80454477097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0</v>
      </c>
      <c r="N7" s="133">
        <f>IF(SER_hh_fec_in!N7=0,0,11630*1000*SER_hh_fec_in!N7/SER_hh_num_in!N7)</f>
        <v>0</v>
      </c>
      <c r="O7" s="133">
        <f>IF(SER_hh_fec_in!O7=0,0,11630*1000*SER_hh_fec_in!O7/SER_hh_num_in!O7)</f>
        <v>87125.772359807612</v>
      </c>
      <c r="P7" s="133">
        <f>IF(SER_hh_fec_in!P7=0,0,11630*1000*SER_hh_fec_in!P7/SER_hh_num_in!P7)</f>
        <v>203909.30544295709</v>
      </c>
      <c r="Q7" s="133">
        <f>IF(SER_hh_fec_in!Q7=0,0,11630*1000*SER_hh_fec_in!Q7/SER_hh_num_in!Q7)</f>
        <v>189301.90798632684</v>
      </c>
      <c r="R7" s="133">
        <f>IF(SER_hh_fec_in!R7=0,0,11630*1000*SER_hh_fec_in!R7/SER_hh_num_in!R7)</f>
        <v>115784.2716880222</v>
      </c>
      <c r="S7" s="133">
        <f>IF(SER_hh_fec_in!S7=0,0,11630*1000*SER_hh_fec_in!S7/SER_hh_num_in!S7)</f>
        <v>0</v>
      </c>
      <c r="T7" s="133">
        <f>IF(SER_hh_fec_in!T7=0,0,11630*1000*SER_hh_fec_in!T7/SER_hh_num_in!T7)</f>
        <v>0</v>
      </c>
      <c r="U7" s="133">
        <f>IF(SER_hh_fec_in!U7=0,0,11630*1000*SER_hh_fec_in!U7/SER_hh_num_in!U7)</f>
        <v>0</v>
      </c>
      <c r="V7" s="133">
        <f>IF(SER_hh_fec_in!V7=0,0,11630*1000*SER_hh_fec_in!V7/SER_hh_num_in!V7)</f>
        <v>62456.190752823895</v>
      </c>
      <c r="W7" s="133">
        <f>IF(SER_hh_fec_in!W7=0,0,11630*1000*SER_hh_fec_in!W7/SER_hh_num_in!W7)</f>
        <v>47209.882653768182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266569.37661715853</v>
      </c>
      <c r="D8" s="133">
        <f>IF(SER_hh_fec_in!D8=0,0,11630*1000*SER_hh_fec_in!D8/SER_hh_num_in!D8)</f>
        <v>192185.70695095722</v>
      </c>
      <c r="E8" s="133">
        <f>IF(SER_hh_fec_in!E8=0,0,11630*1000*SER_hh_fec_in!E8/SER_hh_num_in!E8)</f>
        <v>186595.97288472563</v>
      </c>
      <c r="F8" s="133">
        <f>IF(SER_hh_fec_in!F8=0,0,11630*1000*SER_hh_fec_in!F8/SER_hh_num_in!F8)</f>
        <v>188171.8646602775</v>
      </c>
      <c r="G8" s="133">
        <f>IF(SER_hh_fec_in!G8=0,0,11630*1000*SER_hh_fec_in!G8/SER_hh_num_in!G8)</f>
        <v>183344.95485640212</v>
      </c>
      <c r="H8" s="133">
        <f>IF(SER_hh_fec_in!H8=0,0,11630*1000*SER_hh_fec_in!H8/SER_hh_num_in!H8)</f>
        <v>180777.98841919299</v>
      </c>
      <c r="I8" s="133">
        <f>IF(SER_hh_fec_in!I8=0,0,11630*1000*SER_hh_fec_in!I8/SER_hh_num_in!I8)</f>
        <v>162297.54739440701</v>
      </c>
      <c r="J8" s="133">
        <f>IF(SER_hh_fec_in!J8=0,0,11630*1000*SER_hh_fec_in!J8/SER_hh_num_in!J8)</f>
        <v>144485.04964494469</v>
      </c>
      <c r="K8" s="133">
        <f>IF(SER_hh_fec_in!K8=0,0,11630*1000*SER_hh_fec_in!K8/SER_hh_num_in!K8)</f>
        <v>128453.83654960443</v>
      </c>
      <c r="L8" s="133">
        <f>IF(SER_hh_fec_in!L8=0,0,11630*1000*SER_hh_fec_in!L8/SER_hh_num_in!L8)</f>
        <v>107586.4645702358</v>
      </c>
      <c r="M8" s="133">
        <f>IF(SER_hh_fec_in!M8=0,0,11630*1000*SER_hh_fec_in!M8/SER_hh_num_in!M8)</f>
        <v>94750.355894002321</v>
      </c>
      <c r="N8" s="133">
        <f>IF(SER_hh_fec_in!N8=0,0,11630*1000*SER_hh_fec_in!N8/SER_hh_num_in!N8)</f>
        <v>67780.664360755269</v>
      </c>
      <c r="O8" s="133">
        <f>IF(SER_hh_fec_in!O8=0,0,11630*1000*SER_hh_fec_in!O8/SER_hh_num_in!O8)</f>
        <v>67387.614395879733</v>
      </c>
      <c r="P8" s="133">
        <f>IF(SER_hh_fec_in!P8=0,0,11630*1000*SER_hh_fec_in!P8/SER_hh_num_in!P8)</f>
        <v>52910.014477120087</v>
      </c>
      <c r="Q8" s="133">
        <f>IF(SER_hh_fec_in!Q8=0,0,11630*1000*SER_hh_fec_in!Q8/SER_hh_num_in!Q8)</f>
        <v>50814.931069096107</v>
      </c>
      <c r="R8" s="133">
        <f>IF(SER_hh_fec_in!R8=0,0,11630*1000*SER_hh_fec_in!R8/SER_hh_num_in!R8)</f>
        <v>42081.632588984554</v>
      </c>
      <c r="S8" s="133">
        <f>IF(SER_hh_fec_in!S8=0,0,11630*1000*SER_hh_fec_in!S8/SER_hh_num_in!S8)</f>
        <v>39031.48440186822</v>
      </c>
      <c r="T8" s="133">
        <f>IF(SER_hh_fec_in!T8=0,0,11630*1000*SER_hh_fec_in!T8/SER_hh_num_in!T8)</f>
        <v>33807.8426138496</v>
      </c>
      <c r="U8" s="133">
        <f>IF(SER_hh_fec_in!U8=0,0,11630*1000*SER_hh_fec_in!U8/SER_hh_num_in!U8)</f>
        <v>26040.594035369119</v>
      </c>
      <c r="V8" s="133">
        <f>IF(SER_hh_fec_in!V8=0,0,11630*1000*SER_hh_fec_in!V8/SER_hh_num_in!V8)</f>
        <v>25167.467696071373</v>
      </c>
      <c r="W8" s="133">
        <f>IF(SER_hh_fec_in!W8=0,0,11630*1000*SER_hh_fec_in!W8/SER_hh_num_in!W8)</f>
        <v>20023.685547615296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0</v>
      </c>
      <c r="D9" s="133">
        <f>IF(SER_hh_fec_in!D9=0,0,11630*1000*SER_hh_fec_in!D9/SER_hh_num_in!D9)</f>
        <v>0</v>
      </c>
      <c r="E9" s="133">
        <f>IF(SER_hh_fec_in!E9=0,0,11630*1000*SER_hh_fec_in!E9/SER_hh_num_in!E9)</f>
        <v>357724.21746282582</v>
      </c>
      <c r="F9" s="133">
        <f>IF(SER_hh_fec_in!F9=0,0,11630*1000*SER_hh_fec_in!F9/SER_hh_num_in!F9)</f>
        <v>210161.28288769524</v>
      </c>
      <c r="G9" s="133">
        <f>IF(SER_hh_fec_in!G9=0,0,11630*1000*SER_hh_fec_in!G9/SER_hh_num_in!G9)</f>
        <v>516714.2719344754</v>
      </c>
      <c r="H9" s="133">
        <f>IF(SER_hh_fec_in!H9=0,0,11630*1000*SER_hh_fec_in!H9/SER_hh_num_in!H9)</f>
        <v>482322.73682670348</v>
      </c>
      <c r="I9" s="133">
        <f>IF(SER_hh_fec_in!I9=0,0,11630*1000*SER_hh_fec_in!I9/SER_hh_num_in!I9)</f>
        <v>412314.74321073759</v>
      </c>
      <c r="J9" s="133">
        <f>IF(SER_hh_fec_in!J9=0,0,11630*1000*SER_hh_fec_in!J9/SER_hh_num_in!J9)</f>
        <v>416920.96370465029</v>
      </c>
      <c r="K9" s="133">
        <f>IF(SER_hh_fec_in!K9=0,0,11630*1000*SER_hh_fec_in!K9/SER_hh_num_in!K9)</f>
        <v>0</v>
      </c>
      <c r="L9" s="133">
        <f>IF(SER_hh_fec_in!L9=0,0,11630*1000*SER_hh_fec_in!L9/SER_hh_num_in!L9)</f>
        <v>444356.26669780724</v>
      </c>
      <c r="M9" s="133">
        <f>IF(SER_hh_fec_in!M9=0,0,11630*1000*SER_hh_fec_in!M9/SER_hh_num_in!M9)</f>
        <v>162290.32551617181</v>
      </c>
      <c r="N9" s="133">
        <f>IF(SER_hh_fec_in!N9=0,0,11630*1000*SER_hh_fec_in!N9/SER_hh_num_in!N9)</f>
        <v>257127.38238225543</v>
      </c>
      <c r="O9" s="133">
        <f>IF(SER_hh_fec_in!O9=0,0,11630*1000*SER_hh_fec_in!O9/SER_hh_num_in!O9)</f>
        <v>280435.8310989067</v>
      </c>
      <c r="P9" s="133">
        <f>IF(SER_hh_fec_in!P9=0,0,11630*1000*SER_hh_fec_in!P9/SER_hh_num_in!P9)</f>
        <v>146570.1155868861</v>
      </c>
      <c r="Q9" s="133">
        <f>IF(SER_hh_fec_in!Q9=0,0,11630*1000*SER_hh_fec_in!Q9/SER_hh_num_in!Q9)</f>
        <v>150585.90925349013</v>
      </c>
      <c r="R9" s="133">
        <f>IF(SER_hh_fec_in!R9=0,0,11630*1000*SER_hh_fec_in!R9/SER_hh_num_in!R9)</f>
        <v>137724.46733372891</v>
      </c>
      <c r="S9" s="133">
        <f>IF(SER_hh_fec_in!S9=0,0,11630*1000*SER_hh_fec_in!S9/SER_hh_num_in!S9)</f>
        <v>144283.02038219824</v>
      </c>
      <c r="T9" s="133">
        <f>IF(SER_hh_fec_in!T9=0,0,11630*1000*SER_hh_fec_in!T9/SER_hh_num_in!T9)</f>
        <v>115623.55445573803</v>
      </c>
      <c r="U9" s="133">
        <f>IF(SER_hh_fec_in!U9=0,0,11630*1000*SER_hh_fec_in!U9/SER_hh_num_in!U9)</f>
        <v>84446.562936799397</v>
      </c>
      <c r="V9" s="133">
        <f>IF(SER_hh_fec_in!V9=0,0,11630*1000*SER_hh_fec_in!V9/SER_hh_num_in!V9)</f>
        <v>70042.149703823321</v>
      </c>
      <c r="W9" s="133">
        <f>IF(SER_hh_fec_in!W9=0,0,11630*1000*SER_hh_fec_in!W9/SER_hh_num_in!W9)</f>
        <v>80967.437142313895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165739.01779370615</v>
      </c>
      <c r="I10" s="133">
        <f>IF(SER_hh_fec_in!I10=0,0,11630*1000*SER_hh_fec_in!I10/SER_hh_num_in!I10)</f>
        <v>74430.645709852804</v>
      </c>
      <c r="J10" s="133">
        <f>IF(SER_hh_fec_in!J10=0,0,11630*1000*SER_hh_fec_in!J10/SER_hh_num_in!J10)</f>
        <v>563960.24441477715</v>
      </c>
      <c r="K10" s="133">
        <f>IF(SER_hh_fec_in!K10=0,0,11630*1000*SER_hh_fec_in!K10/SER_hh_num_in!K10)</f>
        <v>569219.68684193329</v>
      </c>
      <c r="L10" s="133">
        <f>IF(SER_hh_fec_in!L10=0,0,11630*1000*SER_hh_fec_in!L10/SER_hh_num_in!L10)</f>
        <v>507689.29571506905</v>
      </c>
      <c r="M10" s="133">
        <f>IF(SER_hh_fec_in!M10=0,0,11630*1000*SER_hh_fec_in!M10/SER_hh_num_in!M10)</f>
        <v>254630.31588572799</v>
      </c>
      <c r="N10" s="133">
        <f>IF(SER_hh_fec_in!N10=0,0,11630*1000*SER_hh_fec_in!N10/SER_hh_num_in!N10)</f>
        <v>290497.56889308145</v>
      </c>
      <c r="O10" s="133">
        <f>IF(SER_hh_fec_in!O10=0,0,11630*1000*SER_hh_fec_in!O10/SER_hh_num_in!O10)</f>
        <v>152156.94233283578</v>
      </c>
      <c r="P10" s="133">
        <f>IF(SER_hh_fec_in!P10=0,0,11630*1000*SER_hh_fec_in!P10/SER_hh_num_in!P10)</f>
        <v>368406.06143027812</v>
      </c>
      <c r="Q10" s="133">
        <f>IF(SER_hh_fec_in!Q10=0,0,11630*1000*SER_hh_fec_in!Q10/SER_hh_num_in!Q10)</f>
        <v>198587.42728109966</v>
      </c>
      <c r="R10" s="133">
        <f>IF(SER_hh_fec_in!R10=0,0,11630*1000*SER_hh_fec_in!R10/SER_hh_num_in!R10)</f>
        <v>66672.087127610081</v>
      </c>
      <c r="S10" s="133">
        <f>IF(SER_hh_fec_in!S10=0,0,11630*1000*SER_hh_fec_in!S10/SER_hh_num_in!S10)</f>
        <v>206603.6148251468</v>
      </c>
      <c r="T10" s="133">
        <f>IF(SER_hh_fec_in!T10=0,0,11630*1000*SER_hh_fec_in!T10/SER_hh_num_in!T10)</f>
        <v>159384.08026557916</v>
      </c>
      <c r="U10" s="133">
        <f>IF(SER_hh_fec_in!U10=0,0,11630*1000*SER_hh_fec_in!U10/SER_hh_num_in!U10)</f>
        <v>134288.62050763416</v>
      </c>
      <c r="V10" s="133">
        <f>IF(SER_hh_fec_in!V10=0,0,11630*1000*SER_hh_fec_in!V10/SER_hh_num_in!V10)</f>
        <v>124284.8784441435</v>
      </c>
      <c r="W10" s="133">
        <f>IF(SER_hh_fec_in!W10=0,0,11630*1000*SER_hh_fec_in!W10/SER_hh_num_in!W10)</f>
        <v>100596.80196859465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499871.01019699709</v>
      </c>
      <c r="D11" s="133">
        <f>IF(SER_hh_fec_in!D11=0,0,11630*1000*SER_hh_fec_in!D11/SER_hh_num_in!D11)</f>
        <v>344748.43080334063</v>
      </c>
      <c r="E11" s="133">
        <f>IF(SER_hh_fec_in!E11=0,0,11630*1000*SER_hh_fec_in!E11/SER_hh_num_in!E11)</f>
        <v>300784.09810574644</v>
      </c>
      <c r="F11" s="133">
        <f>IF(SER_hh_fec_in!F11=0,0,11630*1000*SER_hh_fec_in!F11/SER_hh_num_in!F11)</f>
        <v>274688.81379098253</v>
      </c>
      <c r="G11" s="133">
        <f>IF(SER_hh_fec_in!G11=0,0,11630*1000*SER_hh_fec_in!G11/SER_hh_num_in!G11)</f>
        <v>303434.18687831442</v>
      </c>
      <c r="H11" s="133">
        <f>IF(SER_hh_fec_in!H11=0,0,11630*1000*SER_hh_fec_in!H11/SER_hh_num_in!H11)</f>
        <v>354273.96274623118</v>
      </c>
      <c r="I11" s="133">
        <f>IF(SER_hh_fec_in!I11=0,0,11630*1000*SER_hh_fec_in!I11/SER_hh_num_in!I11)</f>
        <v>323467.86430737702</v>
      </c>
      <c r="J11" s="133">
        <f>IF(SER_hh_fec_in!J11=0,0,11630*1000*SER_hh_fec_in!J11/SER_hh_num_in!J11)</f>
        <v>319900.28363081103</v>
      </c>
      <c r="K11" s="133">
        <f>IF(SER_hh_fec_in!K11=0,0,11630*1000*SER_hh_fec_in!K11/SER_hh_num_in!K11)</f>
        <v>304913.79647213902</v>
      </c>
      <c r="L11" s="133">
        <f>IF(SER_hh_fec_in!L11=0,0,11630*1000*SER_hh_fec_in!L11/SER_hh_num_in!L11)</f>
        <v>302206.26400480489</v>
      </c>
      <c r="M11" s="133">
        <f>IF(SER_hh_fec_in!M11=0,0,11630*1000*SER_hh_fec_in!M11/SER_hh_num_in!M11)</f>
        <v>236300.82306474334</v>
      </c>
      <c r="N11" s="133">
        <f>IF(SER_hh_fec_in!N11=0,0,11630*1000*SER_hh_fec_in!N11/SER_hh_num_in!N11)</f>
        <v>179762.56032945757</v>
      </c>
      <c r="O11" s="133">
        <f>IF(SER_hh_fec_in!O11=0,0,11630*1000*SER_hh_fec_in!O11/SER_hh_num_in!O11)</f>
        <v>196196.54148676962</v>
      </c>
      <c r="P11" s="133">
        <f>IF(SER_hh_fec_in!P11=0,0,11630*1000*SER_hh_fec_in!P11/SER_hh_num_in!P11)</f>
        <v>127754.64188810592</v>
      </c>
      <c r="Q11" s="133">
        <f>IF(SER_hh_fec_in!Q11=0,0,11630*1000*SER_hh_fec_in!Q11/SER_hh_num_in!Q11)</f>
        <v>125227.97044910055</v>
      </c>
      <c r="R11" s="133">
        <f>IF(SER_hh_fec_in!R11=0,0,11630*1000*SER_hh_fec_in!R11/SER_hh_num_in!R11)</f>
        <v>133030.89195410299</v>
      </c>
      <c r="S11" s="133">
        <f>IF(SER_hh_fec_in!S11=0,0,11630*1000*SER_hh_fec_in!S11/SER_hh_num_in!S11)</f>
        <v>123674.42336899934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355902.88458567811</v>
      </c>
      <c r="D12" s="133">
        <f>IF(SER_hh_fec_in!D12=0,0,11630*1000*SER_hh_fec_in!D12/SER_hh_num_in!D12)</f>
        <v>345203.10378093133</v>
      </c>
      <c r="E12" s="133">
        <f>IF(SER_hh_fec_in!E12=0,0,11630*1000*SER_hh_fec_in!E12/SER_hh_num_in!E12)</f>
        <v>250396.91742238819</v>
      </c>
      <c r="F12" s="133">
        <f>IF(SER_hh_fec_in!F12=0,0,11630*1000*SER_hh_fec_in!F12/SER_hh_num_in!F12)</f>
        <v>371092.1484378911</v>
      </c>
      <c r="G12" s="133">
        <f>IF(SER_hh_fec_in!G12=0,0,11630*1000*SER_hh_fec_in!G12/SER_hh_num_in!G12)</f>
        <v>325170.42371396109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295220.09783458698</v>
      </c>
      <c r="K12" s="133">
        <f>IF(SER_hh_fec_in!K12=0,0,11630*1000*SER_hh_fec_in!K12/SER_hh_num_in!K12)</f>
        <v>310619.89691493765</v>
      </c>
      <c r="L12" s="133">
        <f>IF(SER_hh_fec_in!L12=0,0,11630*1000*SER_hh_fec_in!L12/SER_hh_num_in!L12)</f>
        <v>333507.31619883719</v>
      </c>
      <c r="M12" s="133">
        <f>IF(SER_hh_fec_in!M12=0,0,11630*1000*SER_hh_fec_in!M12/SER_hh_num_in!M12)</f>
        <v>263624.08990953636</v>
      </c>
      <c r="N12" s="133">
        <f>IF(SER_hh_fec_in!N12=0,0,11630*1000*SER_hh_fec_in!N12/SER_hh_num_in!N12)</f>
        <v>0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0</v>
      </c>
      <c r="R12" s="133">
        <f>IF(SER_hh_fec_in!R12=0,0,11630*1000*SER_hh_fec_in!R12/SER_hh_num_in!R12)</f>
        <v>150215.81726853532</v>
      </c>
      <c r="S12" s="133">
        <f>IF(SER_hh_fec_in!S12=0,0,11630*1000*SER_hh_fec_in!S12/SER_hh_num_in!S12)</f>
        <v>120477.63388084956</v>
      </c>
      <c r="T12" s="133">
        <f>IF(SER_hh_fec_in!T12=0,0,11630*1000*SER_hh_fec_in!T12/SER_hh_num_in!T12)</f>
        <v>99460.503636714508</v>
      </c>
      <c r="U12" s="133">
        <f>IF(SER_hh_fec_in!U12=0,0,11630*1000*SER_hh_fec_in!U12/SER_hh_num_in!U12)</f>
        <v>78973.758526664416</v>
      </c>
      <c r="V12" s="133">
        <f>IF(SER_hh_fec_in!V12=0,0,11630*1000*SER_hh_fec_in!V12/SER_hh_num_in!V12)</f>
        <v>66174.58190595507</v>
      </c>
      <c r="W12" s="133">
        <f>IF(SER_hh_fec_in!W12=0,0,11630*1000*SER_hh_fec_in!W12/SER_hh_num_in!W12)</f>
        <v>68732.836560901225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209924.15473373528</v>
      </c>
      <c r="D13" s="133">
        <f>IF(SER_hh_fec_in!D13=0,0,11630*1000*SER_hh_fec_in!D13/SER_hh_num_in!D13)</f>
        <v>170222.36546931311</v>
      </c>
      <c r="E13" s="133">
        <f>IF(SER_hh_fec_in!E13=0,0,11630*1000*SER_hh_fec_in!E13/SER_hh_num_in!E13)</f>
        <v>129672.30006599061</v>
      </c>
      <c r="F13" s="133">
        <f>IF(SER_hh_fec_in!F13=0,0,11630*1000*SER_hh_fec_in!F13/SER_hh_num_in!F13)</f>
        <v>152247.53179078334</v>
      </c>
      <c r="G13" s="133">
        <f>IF(SER_hh_fec_in!G13=0,0,11630*1000*SER_hh_fec_in!G13/SER_hh_num_in!G13)</f>
        <v>133524.3694863097</v>
      </c>
      <c r="H13" s="133">
        <f>IF(SER_hh_fec_in!H13=0,0,11630*1000*SER_hh_fec_in!H13/SER_hh_num_in!H13)</f>
        <v>115704.57202874131</v>
      </c>
      <c r="I13" s="133">
        <f>IF(SER_hh_fec_in!I13=0,0,11630*1000*SER_hh_fec_in!I13/SER_hh_num_in!I13)</f>
        <v>124135.1255386922</v>
      </c>
      <c r="J13" s="133">
        <f>IF(SER_hh_fec_in!J13=0,0,11630*1000*SER_hh_fec_in!J13/SER_hh_num_in!J13)</f>
        <v>97444.721163188631</v>
      </c>
      <c r="K13" s="133">
        <f>IF(SER_hh_fec_in!K13=0,0,11630*1000*SER_hh_fec_in!K13/SER_hh_num_in!K13)</f>
        <v>85151.563269277176</v>
      </c>
      <c r="L13" s="133">
        <f>IF(SER_hh_fec_in!L13=0,0,11630*1000*SER_hh_fec_in!L13/SER_hh_num_in!L13)</f>
        <v>75021.360267650321</v>
      </c>
      <c r="M13" s="133">
        <f>IF(SER_hh_fec_in!M13=0,0,11630*1000*SER_hh_fec_in!M13/SER_hh_num_in!M13)</f>
        <v>74255.466890974873</v>
      </c>
      <c r="N13" s="133">
        <f>IF(SER_hh_fec_in!N13=0,0,11630*1000*SER_hh_fec_in!N13/SER_hh_num_in!N13)</f>
        <v>59368.443898842917</v>
      </c>
      <c r="O13" s="133">
        <f>IF(SER_hh_fec_in!O13=0,0,11630*1000*SER_hh_fec_in!O13/SER_hh_num_in!O13)</f>
        <v>42248.64799079395</v>
      </c>
      <c r="P13" s="133">
        <f>IF(SER_hh_fec_in!P13=0,0,11630*1000*SER_hh_fec_in!P13/SER_hh_num_in!P13)</f>
        <v>29462.845772418292</v>
      </c>
      <c r="Q13" s="133">
        <f>IF(SER_hh_fec_in!Q13=0,0,11630*1000*SER_hh_fec_in!Q13/SER_hh_num_in!Q13)</f>
        <v>40365.828492819535</v>
      </c>
      <c r="R13" s="133">
        <f>IF(SER_hh_fec_in!R13=0,0,11630*1000*SER_hh_fec_in!R13/SER_hh_num_in!R13)</f>
        <v>33044.95870325232</v>
      </c>
      <c r="S13" s="133">
        <f>IF(SER_hh_fec_in!S13=0,0,11630*1000*SER_hh_fec_in!S13/SER_hh_num_in!S13)</f>
        <v>29854.673847815084</v>
      </c>
      <c r="T13" s="133">
        <f>IF(SER_hh_fec_in!T13=0,0,11630*1000*SER_hh_fec_in!T13/SER_hh_num_in!T13)</f>
        <v>25273.961815242023</v>
      </c>
      <c r="U13" s="133">
        <f>IF(SER_hh_fec_in!U13=0,0,11630*1000*SER_hh_fec_in!U13/SER_hh_num_in!U13)</f>
        <v>19113.03029769193</v>
      </c>
      <c r="V13" s="133">
        <f>IF(SER_hh_fec_in!V13=0,0,11630*1000*SER_hh_fec_in!V13/SER_hh_num_in!V13)</f>
        <v>18331.178441810265</v>
      </c>
      <c r="W13" s="133">
        <f>IF(SER_hh_fec_in!W13=0,0,11630*1000*SER_hh_fec_in!W13/SER_hh_num_in!W13)</f>
        <v>15236.274896083547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482370.39586966013</v>
      </c>
      <c r="D14" s="65">
        <f>IF(SER_hh_fec_in!D14=0,0,11630*1000*SER_hh_fec_in!D14/SER_hh_num_in!D14)</f>
        <v>410978.45372688345</v>
      </c>
      <c r="E14" s="65">
        <f>IF(SER_hh_fec_in!E14=0,0,11630*1000*SER_hh_fec_in!E14/SER_hh_num_in!E14)</f>
        <v>295645.68444839522</v>
      </c>
      <c r="F14" s="65">
        <f>IF(SER_hh_fec_in!F14=0,0,11630*1000*SER_hh_fec_in!F14/SER_hh_num_in!F14)</f>
        <v>0</v>
      </c>
      <c r="G14" s="65">
        <f>IF(SER_hh_fec_in!G14=0,0,11630*1000*SER_hh_fec_in!G14/SER_hh_num_in!G14)</f>
        <v>0</v>
      </c>
      <c r="H14" s="65">
        <f>IF(SER_hh_fec_in!H14=0,0,11630*1000*SER_hh_fec_in!H14/SER_hh_num_in!H14)</f>
        <v>0</v>
      </c>
      <c r="I14" s="65">
        <f>IF(SER_hh_fec_in!I14=0,0,11630*1000*SER_hh_fec_in!I14/SER_hh_num_in!I14)</f>
        <v>0</v>
      </c>
      <c r="J14" s="65">
        <f>IF(SER_hh_fec_in!J14=0,0,11630*1000*SER_hh_fec_in!J14/SER_hh_num_in!J14)</f>
        <v>316909.45001663361</v>
      </c>
      <c r="K14" s="65">
        <f>IF(SER_hh_fec_in!K14=0,0,11630*1000*SER_hh_fec_in!K14/SER_hh_num_in!K14)</f>
        <v>304881.19641854952</v>
      </c>
      <c r="L14" s="65">
        <f>IF(SER_hh_fec_in!L14=0,0,11630*1000*SER_hh_fec_in!L14/SER_hh_num_in!L14)</f>
        <v>346923.07282301266</v>
      </c>
      <c r="M14" s="65">
        <f>IF(SER_hh_fec_in!M14=0,0,11630*1000*SER_hh_fec_in!M14/SER_hh_num_in!M14)</f>
        <v>313224.92096415785</v>
      </c>
      <c r="N14" s="65">
        <f>IF(SER_hh_fec_in!N14=0,0,11630*1000*SER_hh_fec_in!N14/SER_hh_num_in!N14)</f>
        <v>168228.00241322865</v>
      </c>
      <c r="O14" s="65">
        <f>IF(SER_hh_fec_in!O14=0,0,11630*1000*SER_hh_fec_in!O14/SER_hh_num_in!O14)</f>
        <v>233735.01206099801</v>
      </c>
      <c r="P14" s="65">
        <f>IF(SER_hh_fec_in!P14=0,0,11630*1000*SER_hh_fec_in!P14/SER_hh_num_in!P14)</f>
        <v>124597.57444619745</v>
      </c>
      <c r="Q14" s="65">
        <f>IF(SER_hh_fec_in!Q14=0,0,11630*1000*SER_hh_fec_in!Q14/SER_hh_num_in!Q14)</f>
        <v>137873.77052990522</v>
      </c>
      <c r="R14" s="65">
        <f>IF(SER_hh_fec_in!R14=0,0,11630*1000*SER_hh_fec_in!R14/SER_hh_num_in!R14)</f>
        <v>129570.3270047503</v>
      </c>
      <c r="S14" s="65">
        <f>IF(SER_hh_fec_in!S14=0,0,11630*1000*SER_hh_fec_in!S14/SER_hh_num_in!S14)</f>
        <v>140442.78577940082</v>
      </c>
      <c r="T14" s="65">
        <f>IF(SER_hh_fec_in!T14=0,0,11630*1000*SER_hh_fec_in!T14/SER_hh_num_in!T14)</f>
        <v>106819.97166259843</v>
      </c>
      <c r="U14" s="65">
        <f>IF(SER_hh_fec_in!U14=0,0,11630*1000*SER_hh_fec_in!U14/SER_hh_num_in!U14)</f>
        <v>0</v>
      </c>
      <c r="V14" s="65">
        <f>IF(SER_hh_fec_in!V14=0,0,11630*1000*SER_hh_fec_in!V14/SER_hh_num_in!V14)</f>
        <v>65775.826458100346</v>
      </c>
      <c r="W14" s="65">
        <f>IF(SER_hh_fec_in!W14=0,0,11630*1000*SER_hh_fec_in!W14/SER_hh_num_in!W14)</f>
        <v>63577.441374907161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1714.3954509594882</v>
      </c>
      <c r="D15" s="135">
        <f>IF(SER_hh_fec_in!D15=0,0,11630*1000*SER_hh_fec_in!D15/SER_hh_num_in!D15)</f>
        <v>1422.9322252212557</v>
      </c>
      <c r="E15" s="135">
        <f>IF(SER_hh_fec_in!E15=0,0,11630*1000*SER_hh_fec_in!E15/SER_hh_num_in!E15)</f>
        <v>1150.5804598299796</v>
      </c>
      <c r="F15" s="135">
        <f>IF(SER_hh_fec_in!F15=0,0,11630*1000*SER_hh_fec_in!F15/SER_hh_num_in!F15)</f>
        <v>2088.7036573744654</v>
      </c>
      <c r="G15" s="135">
        <f>IF(SER_hh_fec_in!G15=0,0,11630*1000*SER_hh_fec_in!G15/SER_hh_num_in!G15)</f>
        <v>5476.4966775415414</v>
      </c>
      <c r="H15" s="135">
        <f>IF(SER_hh_fec_in!H15=0,0,11630*1000*SER_hh_fec_in!H15/SER_hh_num_in!H15)</f>
        <v>4996.3448437980205</v>
      </c>
      <c r="I15" s="135">
        <f>IF(SER_hh_fec_in!I15=0,0,11630*1000*SER_hh_fec_in!I15/SER_hh_num_in!I15)</f>
        <v>3265.6843431988159</v>
      </c>
      <c r="J15" s="135">
        <f>IF(SER_hh_fec_in!J15=0,0,11630*1000*SER_hh_fec_in!J15/SER_hh_num_in!J15)</f>
        <v>2114.1734698198975</v>
      </c>
      <c r="K15" s="135">
        <f>IF(SER_hh_fec_in!K15=0,0,11630*1000*SER_hh_fec_in!K15/SER_hh_num_in!K15)</f>
        <v>2730.8173316203715</v>
      </c>
      <c r="L15" s="135">
        <f>IF(SER_hh_fec_in!L15=0,0,11630*1000*SER_hh_fec_in!L15/SER_hh_num_in!L15)</f>
        <v>2109.0127204370269</v>
      </c>
      <c r="M15" s="135">
        <f>IF(SER_hh_fec_in!M15=0,0,11630*1000*SER_hh_fec_in!M15/SER_hh_num_in!M15)</f>
        <v>1621.9799977664816</v>
      </c>
      <c r="N15" s="135">
        <f>IF(SER_hh_fec_in!N15=0,0,11630*1000*SER_hh_fec_in!N15/SER_hh_num_in!N15)</f>
        <v>2860.9687984628295</v>
      </c>
      <c r="O15" s="135">
        <f>IF(SER_hh_fec_in!O15=0,0,11630*1000*SER_hh_fec_in!O15/SER_hh_num_in!O15)</f>
        <v>2984.8600242068437</v>
      </c>
      <c r="P15" s="135">
        <f>IF(SER_hh_fec_in!P15=0,0,11630*1000*SER_hh_fec_in!P15/SER_hh_num_in!P15)</f>
        <v>1743.1006083337265</v>
      </c>
      <c r="Q15" s="135">
        <f>IF(SER_hh_fec_in!Q15=0,0,11630*1000*SER_hh_fec_in!Q15/SER_hh_num_in!Q15)</f>
        <v>1704.017740240274</v>
      </c>
      <c r="R15" s="135">
        <f>IF(SER_hh_fec_in!R15=0,0,11630*1000*SER_hh_fec_in!R15/SER_hh_num_in!R15)</f>
        <v>1370.9133444343292</v>
      </c>
      <c r="S15" s="135">
        <f>IF(SER_hh_fec_in!S15=0,0,11630*1000*SER_hh_fec_in!S15/SER_hh_num_in!S15)</f>
        <v>1058.5519815578198</v>
      </c>
      <c r="T15" s="135">
        <f>IF(SER_hh_fec_in!T15=0,0,11630*1000*SER_hh_fec_in!T15/SER_hh_num_in!T15)</f>
        <v>857.92502488717594</v>
      </c>
      <c r="U15" s="135">
        <f>IF(SER_hh_fec_in!U15=0,0,11630*1000*SER_hh_fec_in!U15/SER_hh_num_in!U15)</f>
        <v>810.65690586498386</v>
      </c>
      <c r="V15" s="135">
        <f>IF(SER_hh_fec_in!V15=0,0,11630*1000*SER_hh_fec_in!V15/SER_hh_num_in!V15)</f>
        <v>664.48812210085816</v>
      </c>
      <c r="W15" s="135">
        <f>IF(SER_hh_fec_in!W15=0,0,11630*1000*SER_hh_fec_in!W15/SER_hh_num_in!W15)</f>
        <v>810.73196134300429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12122.616071964712</v>
      </c>
      <c r="D16" s="131">
        <f>IF(SER_hh_fec_in!D16=0,0,11630*1000*SER_hh_fec_in!D16/SER_hh_num_in!D16)</f>
        <v>11813.266861199842</v>
      </c>
      <c r="E16" s="131">
        <f>IF(SER_hh_fec_in!E16=0,0,11630*1000*SER_hh_fec_in!E16/SER_hh_num_in!E16)</f>
        <v>11508.069751974866</v>
      </c>
      <c r="F16" s="131">
        <f>IF(SER_hh_fec_in!F16=0,0,11630*1000*SER_hh_fec_in!F16/SER_hh_num_in!F16)</f>
        <v>10803.979884488548</v>
      </c>
      <c r="G16" s="131">
        <f>IF(SER_hh_fec_in!G16=0,0,11630*1000*SER_hh_fec_in!G16/SER_hh_num_in!G16)</f>
        <v>10487.326618847183</v>
      </c>
      <c r="H16" s="131">
        <f>IF(SER_hh_fec_in!H16=0,0,11630*1000*SER_hh_fec_in!H16/SER_hh_num_in!H16)</f>
        <v>10382.682042255163</v>
      </c>
      <c r="I16" s="131">
        <f>IF(SER_hh_fec_in!I16=0,0,11630*1000*SER_hh_fec_in!I16/SER_hh_num_in!I16)</f>
        <v>10416.225163563844</v>
      </c>
      <c r="J16" s="131">
        <f>IF(SER_hh_fec_in!J16=0,0,11630*1000*SER_hh_fec_in!J16/SER_hh_num_in!J16)</f>
        <v>9481.4454521626394</v>
      </c>
      <c r="K16" s="131">
        <f>IF(SER_hh_fec_in!K16=0,0,11630*1000*SER_hh_fec_in!K16/SER_hh_num_in!K16)</f>
        <v>9124.0575857736185</v>
      </c>
      <c r="L16" s="131">
        <f>IF(SER_hh_fec_in!L16=0,0,11630*1000*SER_hh_fec_in!L16/SER_hh_num_in!L16)</f>
        <v>9159.058812791578</v>
      </c>
      <c r="M16" s="131">
        <f>IF(SER_hh_fec_in!M16=0,0,11630*1000*SER_hh_fec_in!M16/SER_hh_num_in!M16)</f>
        <v>8603.3138665950755</v>
      </c>
      <c r="N16" s="131">
        <f>IF(SER_hh_fec_in!N16=0,0,11630*1000*SER_hh_fec_in!N16/SER_hh_num_in!N16)</f>
        <v>8969.9228562930821</v>
      </c>
      <c r="O16" s="131">
        <f>IF(SER_hh_fec_in!O16=0,0,11630*1000*SER_hh_fec_in!O16/SER_hh_num_in!O16)</f>
        <v>8238.391174783219</v>
      </c>
      <c r="P16" s="131">
        <f>IF(SER_hh_fec_in!P16=0,0,11630*1000*SER_hh_fec_in!P16/SER_hh_num_in!P16)</f>
        <v>7225.4815268169132</v>
      </c>
      <c r="Q16" s="131">
        <f>IF(SER_hh_fec_in!Q16=0,0,11630*1000*SER_hh_fec_in!Q16/SER_hh_num_in!Q16)</f>
        <v>7963.9283202850775</v>
      </c>
      <c r="R16" s="131">
        <f>IF(SER_hh_fec_in!R16=0,0,11630*1000*SER_hh_fec_in!R16/SER_hh_num_in!R16)</f>
        <v>6711.4525493590072</v>
      </c>
      <c r="S16" s="131">
        <f>IF(SER_hh_fec_in!S16=0,0,11630*1000*SER_hh_fec_in!S16/SER_hh_num_in!S16)</f>
        <v>6631.5808744380538</v>
      </c>
      <c r="T16" s="131">
        <f>IF(SER_hh_fec_in!T16=0,0,11630*1000*SER_hh_fec_in!T16/SER_hh_num_in!T16)</f>
        <v>6322.4127716126759</v>
      </c>
      <c r="U16" s="131">
        <f>IF(SER_hh_fec_in!U16=0,0,11630*1000*SER_hh_fec_in!U16/SER_hh_num_in!U16)</f>
        <v>6156.9380940627243</v>
      </c>
      <c r="V16" s="131">
        <f>IF(SER_hh_fec_in!V16=0,0,11630*1000*SER_hh_fec_in!V16/SER_hh_num_in!V16)</f>
        <v>5527.7002895942487</v>
      </c>
      <c r="W16" s="131">
        <f>IF(SER_hh_fec_in!W16=0,0,11630*1000*SER_hh_fec_in!W16/SER_hh_num_in!W16)</f>
        <v>5106.3259386577583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21436.59061700631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20976.50603351049</v>
      </c>
      <c r="G17" s="133">
        <f>IF(SER_hh_fec_in!G17=0,0,11630*1000*SER_hh_fec_in!G17/SER_hh_num_in!G17)</f>
        <v>21016.247154687531</v>
      </c>
      <c r="H17" s="133">
        <f>IF(SER_hh_fec_in!H17=0,0,11630*1000*SER_hh_fec_in!H17/SER_hh_num_in!H17)</f>
        <v>21372.605699748699</v>
      </c>
      <c r="I17" s="133">
        <f>IF(SER_hh_fec_in!I17=0,0,11630*1000*SER_hh_fec_in!I17/SER_hh_num_in!I17)</f>
        <v>21917.532008975566</v>
      </c>
      <c r="J17" s="133">
        <f>IF(SER_hh_fec_in!J17=0,0,11630*1000*SER_hh_fec_in!J17/SER_hh_num_in!J17)</f>
        <v>20397.387177948629</v>
      </c>
      <c r="K17" s="133">
        <f>IF(SER_hh_fec_in!K17=0,0,11630*1000*SER_hh_fec_in!K17/SER_hh_num_in!K17)</f>
        <v>20145.898262094044</v>
      </c>
      <c r="L17" s="133">
        <f>IF(SER_hh_fec_in!L17=0,0,11630*1000*SER_hh_fec_in!L17/SER_hh_num_in!L17)</f>
        <v>20688.533747723013</v>
      </c>
      <c r="M17" s="133">
        <f>IF(SER_hh_fec_in!M17=0,0,11630*1000*SER_hh_fec_in!M17/SER_hh_num_in!M17)</f>
        <v>20011.706979254508</v>
      </c>
      <c r="N17" s="133">
        <f>IF(SER_hh_fec_in!N17=0,0,11630*1000*SER_hh_fec_in!N17/SER_hh_num_in!N17)</f>
        <v>21473.415299322674</v>
      </c>
      <c r="O17" s="133">
        <f>IF(SER_hh_fec_in!O17=0,0,11630*1000*SER_hh_fec_in!O17/SER_hh_num_in!O17)</f>
        <v>20145.457327500932</v>
      </c>
      <c r="P17" s="133">
        <f>IF(SER_hh_fec_in!P17=0,0,11630*1000*SER_hh_fec_in!P17/SER_hh_num_in!P17)</f>
        <v>18008.857754620203</v>
      </c>
      <c r="Q17" s="133">
        <f>IF(SER_hh_fec_in!Q17=0,0,11630*1000*SER_hh_fec_in!Q17/SER_hh_num_in!Q17)</f>
        <v>20175.439677481354</v>
      </c>
      <c r="R17" s="133">
        <f>IF(SER_hh_fec_in!R17=0,0,11630*1000*SER_hh_fec_in!R17/SER_hh_num_in!R17)</f>
        <v>16871.736192764103</v>
      </c>
      <c r="S17" s="133">
        <f>IF(SER_hh_fec_in!S17=0,0,11630*1000*SER_hh_fec_in!S17/SER_hh_num_in!S17)</f>
        <v>17046.876240500784</v>
      </c>
      <c r="T17" s="133">
        <f>IF(SER_hh_fec_in!T17=0,0,11630*1000*SER_hh_fec_in!T17/SER_hh_num_in!T17)</f>
        <v>15915.095330057158</v>
      </c>
      <c r="U17" s="133">
        <f>IF(SER_hh_fec_in!U17=0,0,11630*1000*SER_hh_fec_in!U17/SER_hh_num_in!U17)</f>
        <v>15380.352441128713</v>
      </c>
      <c r="V17" s="133">
        <f>IF(SER_hh_fec_in!V17=0,0,11630*1000*SER_hh_fec_in!V17/SER_hh_num_in!V17)</f>
        <v>14180.81966717379</v>
      </c>
      <c r="W17" s="133">
        <f>IF(SER_hh_fec_in!W17=0,0,11630*1000*SER_hh_fec_in!W17/SER_hh_num_in!W17)</f>
        <v>11939.961821855319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12051.66132880947</v>
      </c>
      <c r="D18" s="133">
        <f>IF(SER_hh_fec_in!D18=0,0,11630*1000*SER_hh_fec_in!D18/SER_hh_num_in!D18)</f>
        <v>11813.266861199842</v>
      </c>
      <c r="E18" s="133">
        <f>IF(SER_hh_fec_in!E18=0,0,11630*1000*SER_hh_fec_in!E18/SER_hh_num_in!E18)</f>
        <v>11508.069751974866</v>
      </c>
      <c r="F18" s="133">
        <f>IF(SER_hh_fec_in!F18=0,0,11630*1000*SER_hh_fec_in!F18/SER_hh_num_in!F18)</f>
        <v>10698.046358763411</v>
      </c>
      <c r="G18" s="133">
        <f>IF(SER_hh_fec_in!G18=0,0,11630*1000*SER_hh_fec_in!G18/SER_hh_num_in!G18)</f>
        <v>10410.452840637638</v>
      </c>
      <c r="H18" s="133">
        <f>IF(SER_hh_fec_in!H18=0,0,11630*1000*SER_hh_fec_in!H18/SER_hh_num_in!H18)</f>
        <v>10344.161149316205</v>
      </c>
      <c r="I18" s="133">
        <f>IF(SER_hh_fec_in!I18=0,0,11630*1000*SER_hh_fec_in!I18/SER_hh_num_in!I18)</f>
        <v>10395.530868873757</v>
      </c>
      <c r="J18" s="133">
        <f>IF(SER_hh_fec_in!J18=0,0,11630*1000*SER_hh_fec_in!J18/SER_hh_num_in!J18)</f>
        <v>9436.8445601009844</v>
      </c>
      <c r="K18" s="133">
        <f>IF(SER_hh_fec_in!K18=0,0,11630*1000*SER_hh_fec_in!K18/SER_hh_num_in!K18)</f>
        <v>9109.7552064950396</v>
      </c>
      <c r="L18" s="133">
        <f>IF(SER_hh_fec_in!L18=0,0,11630*1000*SER_hh_fec_in!L18/SER_hh_num_in!L18)</f>
        <v>9111.4732203136027</v>
      </c>
      <c r="M18" s="133">
        <f>IF(SER_hh_fec_in!M18=0,0,11630*1000*SER_hh_fec_in!M18/SER_hh_num_in!M18)</f>
        <v>8519.995478203582</v>
      </c>
      <c r="N18" s="133">
        <f>IF(SER_hh_fec_in!N18=0,0,11630*1000*SER_hh_fec_in!N18/SER_hh_num_in!N18)</f>
        <v>8919.2234121768015</v>
      </c>
      <c r="O18" s="133">
        <f>IF(SER_hh_fec_in!O18=0,0,11630*1000*SER_hh_fec_in!O18/SER_hh_num_in!O18)</f>
        <v>8082.5783995860938</v>
      </c>
      <c r="P18" s="133">
        <f>IF(SER_hh_fec_in!P18=0,0,11630*1000*SER_hh_fec_in!P18/SER_hh_num_in!P18)</f>
        <v>6980.9790133451788</v>
      </c>
      <c r="Q18" s="133">
        <f>IF(SER_hh_fec_in!Q18=0,0,11630*1000*SER_hh_fec_in!Q18/SER_hh_num_in!Q18)</f>
        <v>7789.5796843431945</v>
      </c>
      <c r="R18" s="133">
        <f>IF(SER_hh_fec_in!R18=0,0,11630*1000*SER_hh_fec_in!R18/SER_hh_num_in!R18)</f>
        <v>6336.425151114513</v>
      </c>
      <c r="S18" s="133">
        <f>IF(SER_hh_fec_in!S18=0,0,11630*1000*SER_hh_fec_in!S18/SER_hh_num_in!S18)</f>
        <v>6474.0876185213147</v>
      </c>
      <c r="T18" s="133">
        <f>IF(SER_hh_fec_in!T18=0,0,11630*1000*SER_hh_fec_in!T18/SER_hh_num_in!T18)</f>
        <v>6092.1236899860123</v>
      </c>
      <c r="U18" s="133">
        <f>IF(SER_hh_fec_in!U18=0,0,11630*1000*SER_hh_fec_in!U18/SER_hh_num_in!U18)</f>
        <v>6002.4188517321663</v>
      </c>
      <c r="V18" s="133">
        <f>IF(SER_hh_fec_in!V18=0,0,11630*1000*SER_hh_fec_in!V18/SER_hh_num_in!V18)</f>
        <v>5212.3503566162472</v>
      </c>
      <c r="W18" s="133">
        <f>IF(SER_hh_fec_in!W18=0,0,11630*1000*SER_hh_fec_in!W18/SER_hh_num_in!W18)</f>
        <v>4937.0903613852233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41953.915085092558</v>
      </c>
      <c r="D19" s="131">
        <f>IF(SER_hh_fec_in!D19=0,0,11630*1000*SER_hh_fec_in!D19/SER_hh_num_in!D19)</f>
        <v>39226.698493400923</v>
      </c>
      <c r="E19" s="131">
        <f>IF(SER_hh_fec_in!E19=0,0,11630*1000*SER_hh_fec_in!E19/SER_hh_num_in!E19)</f>
        <v>38775.40148929062</v>
      </c>
      <c r="F19" s="131">
        <f>IF(SER_hh_fec_in!F19=0,0,11630*1000*SER_hh_fec_in!F19/SER_hh_num_in!F19)</f>
        <v>37051.326431153757</v>
      </c>
      <c r="G19" s="131">
        <f>IF(SER_hh_fec_in!G19=0,0,11630*1000*SER_hh_fec_in!G19/SER_hh_num_in!G19)</f>
        <v>40007.395993220533</v>
      </c>
      <c r="H19" s="131">
        <f>IF(SER_hh_fec_in!H19=0,0,11630*1000*SER_hh_fec_in!H19/SER_hh_num_in!H19)</f>
        <v>39614.203918269173</v>
      </c>
      <c r="I19" s="131">
        <f>IF(SER_hh_fec_in!I19=0,0,11630*1000*SER_hh_fec_in!I19/SER_hh_num_in!I19)</f>
        <v>39604.66088838243</v>
      </c>
      <c r="J19" s="131">
        <f>IF(SER_hh_fec_in!J19=0,0,11630*1000*SER_hh_fec_in!J19/SER_hh_num_in!J19)</f>
        <v>38806.61263085391</v>
      </c>
      <c r="K19" s="131">
        <f>IF(SER_hh_fec_in!K19=0,0,11630*1000*SER_hh_fec_in!K19/SER_hh_num_in!K19)</f>
        <v>38909.083285806169</v>
      </c>
      <c r="L19" s="131">
        <f>IF(SER_hh_fec_in!L19=0,0,11630*1000*SER_hh_fec_in!L19/SER_hh_num_in!L19)</f>
        <v>36677.890777896122</v>
      </c>
      <c r="M19" s="131">
        <f>IF(SER_hh_fec_in!M19=0,0,11630*1000*SER_hh_fec_in!M19/SER_hh_num_in!M19)</f>
        <v>37037.319640399881</v>
      </c>
      <c r="N19" s="131">
        <f>IF(SER_hh_fec_in!N19=0,0,11630*1000*SER_hh_fec_in!N19/SER_hh_num_in!N19)</f>
        <v>38842.062498049425</v>
      </c>
      <c r="O19" s="131">
        <f>IF(SER_hh_fec_in!O19=0,0,11630*1000*SER_hh_fec_in!O19/SER_hh_num_in!O19)</f>
        <v>37562.919942994835</v>
      </c>
      <c r="P19" s="131">
        <f>IF(SER_hh_fec_in!P19=0,0,11630*1000*SER_hh_fec_in!P19/SER_hh_num_in!P19)</f>
        <v>32721.628147163894</v>
      </c>
      <c r="Q19" s="131">
        <f>IF(SER_hh_fec_in!Q19=0,0,11630*1000*SER_hh_fec_in!Q19/SER_hh_num_in!Q19)</f>
        <v>32119.384627250751</v>
      </c>
      <c r="R19" s="131">
        <f>IF(SER_hh_fec_in!R19=0,0,11630*1000*SER_hh_fec_in!R19/SER_hh_num_in!R19)</f>
        <v>32812.443179865135</v>
      </c>
      <c r="S19" s="131">
        <f>IF(SER_hh_fec_in!S19=0,0,11630*1000*SER_hh_fec_in!S19/SER_hh_num_in!S19)</f>
        <v>31632.953582890226</v>
      </c>
      <c r="T19" s="131">
        <f>IF(SER_hh_fec_in!T19=0,0,11630*1000*SER_hh_fec_in!T19/SER_hh_num_in!T19)</f>
        <v>29771.933845968717</v>
      </c>
      <c r="U19" s="131">
        <f>IF(SER_hh_fec_in!U19=0,0,11630*1000*SER_hh_fec_in!U19/SER_hh_num_in!U19)</f>
        <v>28837.033225076731</v>
      </c>
      <c r="V19" s="131">
        <f>IF(SER_hh_fec_in!V19=0,0,11630*1000*SER_hh_fec_in!V19/SER_hh_num_in!V19)</f>
        <v>28717.501393175582</v>
      </c>
      <c r="W19" s="131">
        <f>IF(SER_hh_fec_in!W19=0,0,11630*1000*SER_hh_fec_in!W19/SER_hh_num_in!W19)</f>
        <v>25914.20694464786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31081.880684845626</v>
      </c>
      <c r="I20" s="133">
        <f>IF(SER_hh_fec_in!I20=0,0,11630*1000*SER_hh_fec_in!I20/SER_hh_num_in!I20)</f>
        <v>42581.377123552396</v>
      </c>
      <c r="J20" s="133">
        <f>IF(SER_hh_fec_in!J20=0,0,11630*1000*SER_hh_fec_in!J20/SER_hh_num_in!J20)</f>
        <v>41622.406157806501</v>
      </c>
      <c r="K20" s="133">
        <f>IF(SER_hh_fec_in!K20=0,0,11630*1000*SER_hh_fec_in!K20/SER_hh_num_in!K20)</f>
        <v>40812.270229628419</v>
      </c>
      <c r="L20" s="133">
        <f>IF(SER_hh_fec_in!L20=0,0,11630*1000*SER_hh_fec_in!L20/SER_hh_num_in!L20)</f>
        <v>38193.534002942462</v>
      </c>
      <c r="M20" s="133">
        <f>IF(SER_hh_fec_in!M20=0,0,11630*1000*SER_hh_fec_in!M20/SER_hh_num_in!M20)</f>
        <v>37563.001813043717</v>
      </c>
      <c r="N20" s="133">
        <f>IF(SER_hh_fec_in!N20=0,0,11630*1000*SER_hh_fec_in!N20/SER_hh_num_in!N20)</f>
        <v>37983.168820162406</v>
      </c>
      <c r="O20" s="133">
        <f>IF(SER_hh_fec_in!O20=0,0,11630*1000*SER_hh_fec_in!O20/SER_hh_num_in!O20)</f>
        <v>37255.533901470706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34331.206425021301</v>
      </c>
      <c r="U20" s="133">
        <f>IF(SER_hh_fec_in!U20=0,0,11630*1000*SER_hh_fec_in!U20/SER_hh_num_in!U20)</f>
        <v>48373.516204218526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0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0</v>
      </c>
      <c r="L22" s="133">
        <f>IF(SER_hh_fec_in!L22=0,0,11630*1000*SER_hh_fec_in!L22/SER_hh_num_in!L22)</f>
        <v>0</v>
      </c>
      <c r="M22" s="133">
        <f>IF(SER_hh_fec_in!M22=0,0,11630*1000*SER_hh_fec_in!M22/SER_hh_num_in!M22)</f>
        <v>0</v>
      </c>
      <c r="N22" s="133">
        <f>IF(SER_hh_fec_in!N22=0,0,11630*1000*SER_hh_fec_in!N22/SER_hh_num_in!N22)</f>
        <v>0</v>
      </c>
      <c r="O22" s="133">
        <f>IF(SER_hh_fec_in!O22=0,0,11630*1000*SER_hh_fec_in!O22/SER_hh_num_in!O22)</f>
        <v>0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49188.88413207922</v>
      </c>
      <c r="D23" s="133">
        <f>IF(SER_hh_fec_in!D23=0,0,11630*1000*SER_hh_fec_in!D23/SER_hh_num_in!D23)</f>
        <v>48758.916220124069</v>
      </c>
      <c r="E23" s="133">
        <f>IF(SER_hh_fec_in!E23=0,0,11630*1000*SER_hh_fec_in!E23/SER_hh_num_in!E23)</f>
        <v>43403.435622661789</v>
      </c>
      <c r="F23" s="133">
        <f>IF(SER_hh_fec_in!F23=0,0,11630*1000*SER_hh_fec_in!F23/SER_hh_num_in!F23)</f>
        <v>44814.334623414601</v>
      </c>
      <c r="G23" s="133">
        <f>IF(SER_hh_fec_in!G23=0,0,11630*1000*SER_hh_fec_in!G23/SER_hh_num_in!G23)</f>
        <v>42589.47411638606</v>
      </c>
      <c r="H23" s="133">
        <f>IF(SER_hh_fec_in!H23=0,0,11630*1000*SER_hh_fec_in!H23/SER_hh_num_in!H23)</f>
        <v>41998.140610400958</v>
      </c>
      <c r="I23" s="133">
        <f>IF(SER_hh_fec_in!I23=0,0,11630*1000*SER_hh_fec_in!I23/SER_hh_num_in!I23)</f>
        <v>44205.215890056381</v>
      </c>
      <c r="J23" s="133">
        <f>IF(SER_hh_fec_in!J23=0,0,11630*1000*SER_hh_fec_in!J23/SER_hh_num_in!J23)</f>
        <v>42635.037536413416</v>
      </c>
      <c r="K23" s="133">
        <f>IF(SER_hh_fec_in!K23=0,0,11630*1000*SER_hh_fec_in!K23/SER_hh_num_in!K23)</f>
        <v>40470.500325095287</v>
      </c>
      <c r="L23" s="133">
        <f>IF(SER_hh_fec_in!L23=0,0,11630*1000*SER_hh_fec_in!L23/SER_hh_num_in!L23)</f>
        <v>39996.771481194766</v>
      </c>
      <c r="M23" s="133">
        <f>IF(SER_hh_fec_in!M23=0,0,11630*1000*SER_hh_fec_in!M23/SER_hh_num_in!M23)</f>
        <v>36711.634887155742</v>
      </c>
      <c r="N23" s="133">
        <f>IF(SER_hh_fec_in!N23=0,0,11630*1000*SER_hh_fec_in!N23/SER_hh_num_in!N23)</f>
        <v>40507.105101045825</v>
      </c>
      <c r="O23" s="133">
        <f>IF(SER_hh_fec_in!O23=0,0,11630*1000*SER_hh_fec_in!O23/SER_hh_num_in!O23)</f>
        <v>39636.418949155697</v>
      </c>
      <c r="P23" s="133">
        <f>IF(SER_hh_fec_in!P23=0,0,11630*1000*SER_hh_fec_in!P23/SER_hh_num_in!P23)</f>
        <v>32342.461854254143</v>
      </c>
      <c r="Q23" s="133">
        <f>IF(SER_hh_fec_in!Q23=0,0,11630*1000*SER_hh_fec_in!Q23/SER_hh_num_in!Q23)</f>
        <v>37591.451072471704</v>
      </c>
      <c r="R23" s="133">
        <f>IF(SER_hh_fec_in!R23=0,0,11630*1000*SER_hh_fec_in!R23/SER_hh_num_in!R23)</f>
        <v>37021.938276636181</v>
      </c>
      <c r="S23" s="133">
        <f>IF(SER_hh_fec_in!S23=0,0,11630*1000*SER_hh_fec_in!S23/SER_hh_num_in!S23)</f>
        <v>34519.428318859296</v>
      </c>
      <c r="T23" s="133">
        <f>IF(SER_hh_fec_in!T23=0,0,11630*1000*SER_hh_fec_in!T23/SER_hh_num_in!T23)</f>
        <v>0</v>
      </c>
      <c r="U23" s="133">
        <f>IF(SER_hh_fec_in!U23=0,0,11630*1000*SER_hh_fec_in!U23/SER_hh_num_in!U23)</f>
        <v>0</v>
      </c>
      <c r="V23" s="133">
        <f>IF(SER_hh_fec_in!V23=0,0,11630*1000*SER_hh_fec_in!V23/SER_hh_num_in!V23)</f>
        <v>0</v>
      </c>
      <c r="W23" s="133">
        <f>IF(SER_hh_fec_in!W23=0,0,11630*1000*SER_hh_fec_in!W23/SER_hh_num_in!W23)</f>
        <v>34769.717044335805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29758.335200142032</v>
      </c>
      <c r="D25" s="133">
        <f>IF(SER_hh_fec_in!D25=0,0,11630*1000*SER_hh_fec_in!D25/SER_hh_num_in!D25)</f>
        <v>32875.695256092324</v>
      </c>
      <c r="E25" s="133">
        <f>IF(SER_hh_fec_in!E25=0,0,11630*1000*SER_hh_fec_in!E25/SER_hh_num_in!E25)</f>
        <v>35040.573328116297</v>
      </c>
      <c r="F25" s="133">
        <f>IF(SER_hh_fec_in!F25=0,0,11630*1000*SER_hh_fec_in!F25/SER_hh_num_in!F25)</f>
        <v>45249.718860867644</v>
      </c>
      <c r="G25" s="133">
        <f>IF(SER_hh_fec_in!G25=0,0,11630*1000*SER_hh_fec_in!G25/SER_hh_num_in!G25)</f>
        <v>33075.910558615913</v>
      </c>
      <c r="H25" s="133">
        <f>IF(SER_hh_fec_in!H25=0,0,11630*1000*SER_hh_fec_in!H25/SER_hh_num_in!H25)</f>
        <v>29755.861448213604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31752.425954265258</v>
      </c>
      <c r="K25" s="133">
        <f>IF(SER_hh_fec_in!K25=0,0,11630*1000*SER_hh_fec_in!K25/SER_hh_num_in!K25)</f>
        <v>32808.555529278841</v>
      </c>
      <c r="L25" s="133">
        <f>IF(SER_hh_fec_in!L25=0,0,11630*1000*SER_hh_fec_in!L25/SER_hh_num_in!L25)</f>
        <v>30099.351446978028</v>
      </c>
      <c r="M25" s="133">
        <f>IF(SER_hh_fec_in!M25=0,0,11630*1000*SER_hh_fec_in!M25/SER_hh_num_in!M25)</f>
        <v>32186.575094813852</v>
      </c>
      <c r="N25" s="133">
        <f>IF(SER_hh_fec_in!N25=0,0,11630*1000*SER_hh_fec_in!N25/SER_hh_num_in!N25)</f>
        <v>35029.215068082362</v>
      </c>
      <c r="O25" s="133">
        <f>IF(SER_hh_fec_in!O25=0,0,11630*1000*SER_hh_fec_in!O25/SER_hh_num_in!O25)</f>
        <v>25871.0355019616</v>
      </c>
      <c r="P25" s="133">
        <f>IF(SER_hh_fec_in!P25=0,0,11630*1000*SER_hh_fec_in!P25/SER_hh_num_in!P25)</f>
        <v>21179.988863324055</v>
      </c>
      <c r="Q25" s="133">
        <f>IF(SER_hh_fec_in!Q25=0,0,11630*1000*SER_hh_fec_in!Q25/SER_hh_num_in!Q25)</f>
        <v>12377.128788447246</v>
      </c>
      <c r="R25" s="133">
        <f>IF(SER_hh_fec_in!R25=0,0,11630*1000*SER_hh_fec_in!R25/SER_hh_num_in!R25)</f>
        <v>40792.817349182667</v>
      </c>
      <c r="S25" s="133">
        <f>IF(SER_hh_fec_in!S25=0,0,11630*1000*SER_hh_fec_in!S25/SER_hh_num_in!S25)</f>
        <v>37492.04640583702</v>
      </c>
      <c r="T25" s="133">
        <f>IF(SER_hh_fec_in!T25=0,0,11630*1000*SER_hh_fec_in!T25/SER_hh_num_in!T25)</f>
        <v>35253.120315027605</v>
      </c>
      <c r="U25" s="133">
        <f>IF(SER_hh_fec_in!U25=0,0,11630*1000*SER_hh_fec_in!U25/SER_hh_num_in!U25)</f>
        <v>31888.333016615798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0</v>
      </c>
      <c r="D26" s="65">
        <f>IF(SER_hh_fec_in!D26=0,0,11630*1000*SER_hh_fec_in!D26/SER_hh_num_in!D26)</f>
        <v>36898.316522094086</v>
      </c>
      <c r="E26" s="65">
        <f>IF(SER_hh_fec_in!E26=0,0,11630*1000*SER_hh_fec_in!E26/SER_hh_num_in!E26)</f>
        <v>37973.947156494229</v>
      </c>
      <c r="F26" s="65">
        <f>IF(SER_hh_fec_in!F26=0,0,11630*1000*SER_hh_fec_in!F26/SER_hh_num_in!F26)</f>
        <v>33086.003197506572</v>
      </c>
      <c r="G26" s="65">
        <f>IF(SER_hh_fec_in!G26=0,0,11630*1000*SER_hh_fec_in!G26/SER_hh_num_in!G26)</f>
        <v>39364.085547260387</v>
      </c>
      <c r="H26" s="65">
        <f>IF(SER_hh_fec_in!H26=0,0,11630*1000*SER_hh_fec_in!H26/SER_hh_num_in!H26)</f>
        <v>40895.626403763439</v>
      </c>
      <c r="I26" s="65">
        <f>IF(SER_hh_fec_in!I26=0,0,11630*1000*SER_hh_fec_in!I26/SER_hh_num_in!I26)</f>
        <v>37449.504375432749</v>
      </c>
      <c r="J26" s="65">
        <f>IF(SER_hh_fec_in!J26=0,0,11630*1000*SER_hh_fec_in!J26/SER_hh_num_in!J26)</f>
        <v>36835.70745888829</v>
      </c>
      <c r="K26" s="65">
        <f>IF(SER_hh_fec_in!K26=0,0,11630*1000*SER_hh_fec_in!K26/SER_hh_num_in!K26)</f>
        <v>38720.334562705459</v>
      </c>
      <c r="L26" s="65">
        <f>IF(SER_hh_fec_in!L26=0,0,11630*1000*SER_hh_fec_in!L26/SER_hh_num_in!L26)</f>
        <v>27179.902836108929</v>
      </c>
      <c r="M26" s="65">
        <f>IF(SER_hh_fec_in!M26=0,0,11630*1000*SER_hh_fec_in!M26/SER_hh_num_in!M26)</f>
        <v>35029.66895666944</v>
      </c>
      <c r="N26" s="65">
        <f>IF(SER_hh_fec_in!N26=0,0,11630*1000*SER_hh_fec_in!N26/SER_hh_num_in!N26)</f>
        <v>35950.79724437149</v>
      </c>
      <c r="O26" s="65">
        <f>IF(SER_hh_fec_in!O26=0,0,11630*1000*SER_hh_fec_in!O26/SER_hh_num_in!O26)</f>
        <v>36136.938585402437</v>
      </c>
      <c r="P26" s="65">
        <f>IF(SER_hh_fec_in!P26=0,0,11630*1000*SER_hh_fec_in!P26/SER_hh_num_in!P26)</f>
        <v>10313.420231635479</v>
      </c>
      <c r="Q26" s="65">
        <f>IF(SER_hh_fec_in!Q26=0,0,11630*1000*SER_hh_fec_in!Q26/SER_hh_num_in!Q26)</f>
        <v>34059.118575282104</v>
      </c>
      <c r="R26" s="65">
        <f>IF(SER_hh_fec_in!R26=0,0,11630*1000*SER_hh_fec_in!R26/SER_hh_num_in!R26)</f>
        <v>28542.631262233408</v>
      </c>
      <c r="S26" s="65">
        <f>IF(SER_hh_fec_in!S26=0,0,11630*1000*SER_hh_fec_in!S26/SER_hh_num_in!S26)</f>
        <v>29985.07702483239</v>
      </c>
      <c r="T26" s="65">
        <f>IF(SER_hh_fec_in!T26=0,0,11630*1000*SER_hh_fec_in!T26/SER_hh_num_in!T26)</f>
        <v>28312.820254714614</v>
      </c>
      <c r="U26" s="65">
        <f>IF(SER_hh_fec_in!U26=0,0,11630*1000*SER_hh_fec_in!U26/SER_hh_num_in!U26)</f>
        <v>28554.028320269663</v>
      </c>
      <c r="V26" s="65">
        <f>IF(SER_hh_fec_in!V26=0,0,11630*1000*SER_hh_fec_in!V26/SER_hh_num_in!V26)</f>
        <v>27465.440143251097</v>
      </c>
      <c r="W26" s="65">
        <f>IF(SER_hh_fec_in!W26=0,0,11630*1000*SER_hh_fec_in!W26/SER_hh_num_in!W26)</f>
        <v>25109.296993907847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211.61076344274858</v>
      </c>
      <c r="H27" s="146">
        <f>IF(SER_hh_fec_in!H27=0,0,11630*1000*SER_hh_fec_in!H27/SER_hh_num_in!H19)</f>
        <v>1.8391368361391592E-14</v>
      </c>
      <c r="I27" s="146">
        <f>IF(SER_hh_fec_in!I27=0,0,11630*1000*SER_hh_fec_in!I27/SER_hh_num_in!I19)</f>
        <v>1.7785373830117561</v>
      </c>
      <c r="J27" s="146">
        <f>IF(SER_hh_fec_in!J27=0,0,11630*1000*SER_hh_fec_in!J27/SER_hh_num_in!J19)</f>
        <v>0.78943838594102134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4852.3800393396377</v>
      </c>
      <c r="M27" s="146">
        <f>IF(SER_hh_fec_in!M27=0,0,11630*1000*SER_hh_fec_in!M27/SER_hh_num_in!M19)</f>
        <v>1311.0233454749123</v>
      </c>
      <c r="N27" s="146">
        <f>IF(SER_hh_fec_in!N27=0,0,11630*1000*SER_hh_fec_in!N27/SER_hh_num_in!N19)</f>
        <v>74.501537805335019</v>
      </c>
      <c r="O27" s="146">
        <f>IF(SER_hh_fec_in!O27=0,0,11630*1000*SER_hh_fec_in!O27/SER_hh_num_in!O19)</f>
        <v>8.9861216261036215E-13</v>
      </c>
      <c r="P27" s="146">
        <f>IF(SER_hh_fec_in!P27=0,0,11630*1000*SER_hh_fec_in!P27/SER_hh_num_in!P19)</f>
        <v>10658.698253590603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649.28232812459009</v>
      </c>
      <c r="S27" s="146">
        <f>IF(SER_hh_fec_in!S27=0,0,11630*1000*SER_hh_fec_in!S27/SER_hh_num_in!S19)</f>
        <v>2.5794433695360424E-12</v>
      </c>
      <c r="T27" s="146">
        <f>IF(SER_hh_fec_in!T27=0,0,11630*1000*SER_hh_fec_in!T27/SER_hh_num_in!T19)</f>
        <v>854.51407205640362</v>
      </c>
      <c r="U27" s="146">
        <f>IF(SER_hh_fec_in!U27=0,0,11630*1000*SER_hh_fec_in!U27/SER_hh_num_in!U19)</f>
        <v>85.828655933123486</v>
      </c>
      <c r="V27" s="146">
        <f>IF(SER_hh_fec_in!V27=0,0,11630*1000*SER_hh_fec_in!V27/SER_hh_num_in!V19)</f>
        <v>1252.0612499244844</v>
      </c>
      <c r="W27" s="146">
        <f>IF(SER_hh_fec_in!W27=0,0,11630*1000*SER_hh_fec_in!W27/SER_hh_num_in!W19)</f>
        <v>1.9851251078684413E-2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17815.211369357108</v>
      </c>
      <c r="H28" s="147">
        <f>IF(SER_hh_fec_in!H27=0,0,11630*1000*SER_hh_fec_in!H27/SER_hh_num_in!H27)</f>
        <v>17860.679117401771</v>
      </c>
      <c r="I28" s="147">
        <f>IF(SER_hh_fec_in!I27=0,0,11630*1000*SER_hh_fec_in!I27/SER_hh_num_in!I27)</f>
        <v>18021.815577600362</v>
      </c>
      <c r="J28" s="147">
        <f>IF(SER_hh_fec_in!J27=0,0,11630*1000*SER_hh_fec_in!J27/SER_hh_num_in!J27)</f>
        <v>17763.785926106091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17092.444236434858</v>
      </c>
      <c r="M28" s="147">
        <f>IF(SER_hh_fec_in!M27=0,0,11630*1000*SER_hh_fec_in!M27/SER_hh_num_in!M27)</f>
        <v>18064.400199045253</v>
      </c>
      <c r="N28" s="147">
        <f>IF(SER_hh_fec_in!N27=0,0,11630*1000*SER_hh_fec_in!N27/SER_hh_num_in!N27)</f>
        <v>19345.382264495252</v>
      </c>
      <c r="O28" s="147">
        <f>IF(SER_hh_fec_in!O27=0,0,11630*1000*SER_hh_fec_in!O27/SER_hh_num_in!O27)</f>
        <v>18171.438094912501</v>
      </c>
      <c r="P28" s="147">
        <f>IF(SER_hh_fec_in!P27=0,0,11630*1000*SER_hh_fec_in!P27/SER_hh_num_in!P27)</f>
        <v>18219.275835910747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17459.547518677202</v>
      </c>
      <c r="S28" s="147">
        <f>IF(SER_hh_fec_in!S27=0,0,11630*1000*SER_hh_fec_in!S27/SER_hh_num_in!S27)</f>
        <v>18492.312325364146</v>
      </c>
      <c r="T28" s="147">
        <f>IF(SER_hh_fec_in!T27=0,0,11630*1000*SER_hh_fec_in!T27/SER_hh_num_in!T27)</f>
        <v>18036.180617087794</v>
      </c>
      <c r="U28" s="147">
        <f>IF(SER_hh_fec_in!U27=0,0,11630*1000*SER_hh_fec_in!U27/SER_hh_num_in!U27)</f>
        <v>18668.195856741015</v>
      </c>
      <c r="V28" s="147">
        <f>IF(SER_hh_fec_in!V27=0,0,11630*1000*SER_hh_fec_in!V27/SER_hh_num_in!V27)</f>
        <v>17732.120207084718</v>
      </c>
      <c r="W28" s="147">
        <f>IF(SER_hh_fec_in!W27=0,0,11630*1000*SER_hh_fec_in!W27/SER_hh_num_in!W27)</f>
        <v>17023.529256391343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33269.572409985005</v>
      </c>
      <c r="D29" s="131">
        <f>IF(SER_hh_fec_in!D29=0,0,11630*1000*SER_hh_fec_in!D29/SER_hh_num_in!D29)</f>
        <v>46191.588741804851</v>
      </c>
      <c r="E29" s="131">
        <f>IF(SER_hh_fec_in!E29=0,0,11630*1000*SER_hh_fec_in!E29/SER_hh_num_in!E29)</f>
        <v>34405.715527861794</v>
      </c>
      <c r="F29" s="131">
        <f>IF(SER_hh_fec_in!F29=0,0,11630*1000*SER_hh_fec_in!F29/SER_hh_num_in!F29)</f>
        <v>36795.727809090851</v>
      </c>
      <c r="G29" s="131">
        <f>IF(SER_hh_fec_in!G29=0,0,11630*1000*SER_hh_fec_in!G29/SER_hh_num_in!G29)</f>
        <v>37265.268301290496</v>
      </c>
      <c r="H29" s="131">
        <f>IF(SER_hh_fec_in!H29=0,0,11630*1000*SER_hh_fec_in!H29/SER_hh_num_in!H29)</f>
        <v>36326.200431965503</v>
      </c>
      <c r="I29" s="131">
        <f>IF(SER_hh_fec_in!I29=0,0,11630*1000*SER_hh_fec_in!I29/SER_hh_num_in!I29)</f>
        <v>37069.340039113587</v>
      </c>
      <c r="J29" s="131">
        <f>IF(SER_hh_fec_in!J29=0,0,11630*1000*SER_hh_fec_in!J29/SER_hh_num_in!J29)</f>
        <v>37022.433429803925</v>
      </c>
      <c r="K29" s="131">
        <f>IF(SER_hh_fec_in!K29=0,0,11630*1000*SER_hh_fec_in!K29/SER_hh_num_in!K29)</f>
        <v>37683.168879212499</v>
      </c>
      <c r="L29" s="131">
        <f>IF(SER_hh_fec_in!L29=0,0,11630*1000*SER_hh_fec_in!L29/SER_hh_num_in!L29)</f>
        <v>36437.28698084964</v>
      </c>
      <c r="M29" s="131">
        <f>IF(SER_hh_fec_in!M29=0,0,11630*1000*SER_hh_fec_in!M29/SER_hh_num_in!M29)</f>
        <v>35832.359667645251</v>
      </c>
      <c r="N29" s="131">
        <f>IF(SER_hh_fec_in!N29=0,0,11630*1000*SER_hh_fec_in!N29/SER_hh_num_in!N29)</f>
        <v>39818.462940367674</v>
      </c>
      <c r="O29" s="131">
        <f>IF(SER_hh_fec_in!O29=0,0,11630*1000*SER_hh_fec_in!O29/SER_hh_num_in!O29)</f>
        <v>41530.541963760508</v>
      </c>
      <c r="P29" s="131">
        <f>IF(SER_hh_fec_in!P29=0,0,11630*1000*SER_hh_fec_in!P29/SER_hh_num_in!P29)</f>
        <v>38382.790444783204</v>
      </c>
      <c r="Q29" s="131">
        <f>IF(SER_hh_fec_in!Q29=0,0,11630*1000*SER_hh_fec_in!Q29/SER_hh_num_in!Q29)</f>
        <v>35828.49417318582</v>
      </c>
      <c r="R29" s="131">
        <f>IF(SER_hh_fec_in!R29=0,0,11630*1000*SER_hh_fec_in!R29/SER_hh_num_in!R29)</f>
        <v>32802.261402710152</v>
      </c>
      <c r="S29" s="131">
        <f>IF(SER_hh_fec_in!S29=0,0,11630*1000*SER_hh_fec_in!S29/SER_hh_num_in!S29)</f>
        <v>30494.062441189209</v>
      </c>
      <c r="T29" s="131">
        <f>IF(SER_hh_fec_in!T29=0,0,11630*1000*SER_hh_fec_in!T29/SER_hh_num_in!T29)</f>
        <v>30957.823242998194</v>
      </c>
      <c r="U29" s="131">
        <f>IF(SER_hh_fec_in!U29=0,0,11630*1000*SER_hh_fec_in!U29/SER_hh_num_in!U29)</f>
        <v>30731.760342960002</v>
      </c>
      <c r="V29" s="131">
        <f>IF(SER_hh_fec_in!V29=0,0,11630*1000*SER_hh_fec_in!V29/SER_hh_num_in!V29)</f>
        <v>27695.504346396665</v>
      </c>
      <c r="W29" s="131">
        <f>IF(SER_hh_fec_in!W29=0,0,11630*1000*SER_hh_fec_in!W29/SER_hh_num_in!W29)</f>
        <v>29698.094874782782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30729.511133556865</v>
      </c>
      <c r="D30" s="133">
        <f>IF(SER_hh_fec_in!D30=0,0,11630*1000*SER_hh_fec_in!D30/SER_hh_num_in!D30)</f>
        <v>49311.335112213106</v>
      </c>
      <c r="E30" s="133">
        <f>IF(SER_hh_fec_in!E30=0,0,11630*1000*SER_hh_fec_in!E30/SER_hh_num_in!E30)</f>
        <v>50811.144918491984</v>
      </c>
      <c r="F30" s="133">
        <f>IF(SER_hh_fec_in!F30=0,0,11630*1000*SER_hh_fec_in!F30/SER_hh_num_in!F30)</f>
        <v>54971.400167060521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47042.400265212018</v>
      </c>
      <c r="L30" s="133">
        <f>IF(SER_hh_fec_in!L30=0,0,11630*1000*SER_hh_fec_in!L30/SER_hh_num_in!L30)</f>
        <v>81862.948688583507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48091.65842862166</v>
      </c>
      <c r="O30" s="133">
        <f>IF(SER_hh_fec_in!O30=0,0,11630*1000*SER_hh_fec_in!O30/SER_hh_num_in!O30)</f>
        <v>46408.235318544976</v>
      </c>
      <c r="P30" s="133">
        <f>IF(SER_hh_fec_in!P30=0,0,11630*1000*SER_hh_fec_in!P30/SER_hh_num_in!P30)</f>
        <v>42542.400145923159</v>
      </c>
      <c r="Q30" s="133">
        <f>IF(SER_hh_fec_in!Q30=0,0,11630*1000*SER_hh_fec_in!Q30/SER_hh_num_in!Q30)</f>
        <v>0</v>
      </c>
      <c r="R30" s="133">
        <f>IF(SER_hh_fec_in!R30=0,0,11630*1000*SER_hh_fec_in!R30/SER_hh_num_in!R30)</f>
        <v>0</v>
      </c>
      <c r="S30" s="133">
        <f>IF(SER_hh_fec_in!S30=0,0,11630*1000*SER_hh_fec_in!S30/SER_hh_num_in!S30)</f>
        <v>0</v>
      </c>
      <c r="T30" s="133">
        <f>IF(SER_hh_fec_in!T30=0,0,11630*1000*SER_hh_fec_in!T30/SER_hh_num_in!T30)</f>
        <v>0</v>
      </c>
      <c r="U30" s="133">
        <f>IF(SER_hh_fec_in!U30=0,0,11630*1000*SER_hh_fec_in!U30/SER_hh_num_in!U30)</f>
        <v>0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37481.993822247481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40204.310391367639</v>
      </c>
      <c r="D31" s="133">
        <f>IF(SER_hh_fec_in!D31=0,0,11630*1000*SER_hh_fec_in!D31/SER_hh_num_in!D31)</f>
        <v>42517.005897319068</v>
      </c>
      <c r="E31" s="133">
        <f>IF(SER_hh_fec_in!E31=0,0,11630*1000*SER_hh_fec_in!E31/SER_hh_num_in!E31)</f>
        <v>42416.868009755592</v>
      </c>
      <c r="F31" s="133">
        <f>IF(SER_hh_fec_in!F31=0,0,11630*1000*SER_hh_fec_in!F31/SER_hh_num_in!F31)</f>
        <v>33209.265029372837</v>
      </c>
      <c r="G31" s="133">
        <f>IF(SER_hh_fec_in!G31=0,0,11630*1000*SER_hh_fec_in!G31/SER_hh_num_in!G31)</f>
        <v>44452.016106653238</v>
      </c>
      <c r="H31" s="133">
        <f>IF(SER_hh_fec_in!H31=0,0,11630*1000*SER_hh_fec_in!H31/SER_hh_num_in!H31)</f>
        <v>44335.737121900071</v>
      </c>
      <c r="I31" s="133">
        <f>IF(SER_hh_fec_in!I31=0,0,11630*1000*SER_hh_fec_in!I31/SER_hh_num_in!I31)</f>
        <v>43933.159057229052</v>
      </c>
      <c r="J31" s="133">
        <f>IF(SER_hh_fec_in!J31=0,0,11630*1000*SER_hh_fec_in!J31/SER_hh_num_in!J31)</f>
        <v>42963.249271434601</v>
      </c>
      <c r="K31" s="133">
        <f>IF(SER_hh_fec_in!K31=0,0,11630*1000*SER_hh_fec_in!K31/SER_hh_num_in!K31)</f>
        <v>42467.525100409497</v>
      </c>
      <c r="L31" s="133">
        <f>IF(SER_hh_fec_in!L31=0,0,11630*1000*SER_hh_fec_in!L31/SER_hh_num_in!L31)</f>
        <v>42018.720434824907</v>
      </c>
      <c r="M31" s="133">
        <f>IF(SER_hh_fec_in!M31=0,0,11630*1000*SER_hh_fec_in!M31/SER_hh_num_in!M31)</f>
        <v>37741.478268708146</v>
      </c>
      <c r="N31" s="133">
        <f>IF(SER_hh_fec_in!N31=0,0,11630*1000*SER_hh_fec_in!N31/SER_hh_num_in!N31)</f>
        <v>39487.037130689372</v>
      </c>
      <c r="O31" s="133">
        <f>IF(SER_hh_fec_in!O31=0,0,11630*1000*SER_hh_fec_in!O31/SER_hh_num_in!O31)</f>
        <v>42326.429230067813</v>
      </c>
      <c r="P31" s="133">
        <f>IF(SER_hh_fec_in!P31=0,0,11630*1000*SER_hh_fec_in!P31/SER_hh_num_in!P31)</f>
        <v>40711.26737789996</v>
      </c>
      <c r="Q31" s="133">
        <f>IF(SER_hh_fec_in!Q31=0,0,11630*1000*SER_hh_fec_in!Q31/SER_hh_num_in!Q31)</f>
        <v>42523.199249786041</v>
      </c>
      <c r="R31" s="133">
        <f>IF(SER_hh_fec_in!R31=0,0,11630*1000*SER_hh_fec_in!R31/SER_hh_num_in!R31)</f>
        <v>41976.582292542123</v>
      </c>
      <c r="S31" s="133">
        <f>IF(SER_hh_fec_in!S31=0,0,11630*1000*SER_hh_fec_in!S31/SER_hh_num_in!S31)</f>
        <v>40772.695887968453</v>
      </c>
      <c r="T31" s="133">
        <f>IF(SER_hh_fec_in!T31=0,0,11630*1000*SER_hh_fec_in!T31/SER_hh_num_in!T31)</f>
        <v>37101.460376899166</v>
      </c>
      <c r="U31" s="133">
        <f>IF(SER_hh_fec_in!U31=0,0,11630*1000*SER_hh_fec_in!U31/SER_hh_num_in!U31)</f>
        <v>30765.987567278677</v>
      </c>
      <c r="V31" s="133">
        <f>IF(SER_hh_fec_in!V31=0,0,11630*1000*SER_hh_fec_in!V31/SER_hh_num_in!V31)</f>
        <v>27839.04571673504</v>
      </c>
      <c r="W31" s="133">
        <f>IF(SER_hh_fec_in!W31=0,0,11630*1000*SER_hh_fec_in!W31/SER_hh_num_in!W31)</f>
        <v>45355.337090585657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0</v>
      </c>
      <c r="D33" s="68">
        <f>IF(SER_hh_fec_in!D33=0,0,11630*1000*SER_hh_fec_in!D33/SER_hh_num_in!D33)</f>
        <v>25309.083297722933</v>
      </c>
      <c r="E33" s="68">
        <f>IF(SER_hh_fec_in!E33=0,0,11630*1000*SER_hh_fec_in!E33/SER_hh_num_in!E33)</f>
        <v>26449.372252085752</v>
      </c>
      <c r="F33" s="68">
        <f>IF(SER_hh_fec_in!F33=0,0,11630*1000*SER_hh_fec_in!F33/SER_hh_num_in!F33)</f>
        <v>32584.13244135847</v>
      </c>
      <c r="G33" s="68">
        <f>IF(SER_hh_fec_in!G33=0,0,11630*1000*SER_hh_fec_in!G33/SER_hh_num_in!G33)</f>
        <v>33570.335308552654</v>
      </c>
      <c r="H33" s="68">
        <f>IF(SER_hh_fec_in!H33=0,0,11630*1000*SER_hh_fec_in!H33/SER_hh_num_in!H33)</f>
        <v>30688.690567226949</v>
      </c>
      <c r="I33" s="68">
        <f>IF(SER_hh_fec_in!I33=0,0,11630*1000*SER_hh_fec_in!I33/SER_hh_num_in!I33)</f>
        <v>33186.233064842389</v>
      </c>
      <c r="J33" s="68">
        <f>IF(SER_hh_fec_in!J33=0,0,11630*1000*SER_hh_fec_in!J33/SER_hh_num_in!J33)</f>
        <v>33379.015309327842</v>
      </c>
      <c r="K33" s="68">
        <f>IF(SER_hh_fec_in!K33=0,0,11630*1000*SER_hh_fec_in!K33/SER_hh_num_in!K33)</f>
        <v>31626.515219150355</v>
      </c>
      <c r="L33" s="68">
        <f>IF(SER_hh_fec_in!L33=0,0,11630*1000*SER_hh_fec_in!L33/SER_hh_num_in!L33)</f>
        <v>27443.338874391611</v>
      </c>
      <c r="M33" s="68">
        <f>IF(SER_hh_fec_in!M33=0,0,11630*1000*SER_hh_fec_in!M33/SER_hh_num_in!M33)</f>
        <v>35140.110933358832</v>
      </c>
      <c r="N33" s="68">
        <f>IF(SER_hh_fec_in!N33=0,0,11630*1000*SER_hh_fec_in!N33/SER_hh_num_in!N33)</f>
        <v>31146.771156088358</v>
      </c>
      <c r="O33" s="68">
        <f>IF(SER_hh_fec_in!O33=0,0,11630*1000*SER_hh_fec_in!O33/SER_hh_num_in!O33)</f>
        <v>29322.869750880553</v>
      </c>
      <c r="P33" s="68">
        <f>IF(SER_hh_fec_in!P33=0,0,11630*1000*SER_hh_fec_in!P33/SER_hh_num_in!P33)</f>
        <v>30030.239366136033</v>
      </c>
      <c r="Q33" s="68">
        <f>IF(SER_hh_fec_in!Q33=0,0,11630*1000*SER_hh_fec_in!Q33/SER_hh_num_in!Q33)</f>
        <v>28491.022469513053</v>
      </c>
      <c r="R33" s="68">
        <f>IF(SER_hh_fec_in!R33=0,0,11630*1000*SER_hh_fec_in!R33/SER_hh_num_in!R33)</f>
        <v>27903.399830250193</v>
      </c>
      <c r="S33" s="68">
        <f>IF(SER_hh_fec_in!S33=0,0,11630*1000*SER_hh_fec_in!S33/SER_hh_num_in!S33)</f>
        <v>28496.594702036695</v>
      </c>
      <c r="T33" s="68">
        <f>IF(SER_hh_fec_in!T33=0,0,11630*1000*SER_hh_fec_in!T33/SER_hh_num_in!T33)</f>
        <v>28823.869605221211</v>
      </c>
      <c r="U33" s="68">
        <f>IF(SER_hh_fec_in!U33=0,0,11630*1000*SER_hh_fec_in!U33/SER_hh_num_in!U33)</f>
        <v>30711.96578678341</v>
      </c>
      <c r="V33" s="68">
        <f>IF(SER_hh_fec_in!V33=0,0,11630*1000*SER_hh_fec_in!V33/SER_hh_num_in!V33)</f>
        <v>27614.84288699062</v>
      </c>
      <c r="W33" s="68">
        <f>IF(SER_hh_fec_in!W33=0,0,11630*1000*SER_hh_fec_in!W33/SER_hh_num_in!W33)</f>
        <v>23619.520038064733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400483.51072811737</v>
      </c>
      <c r="D3" s="126">
        <f>IF(SER_hh_tes_in!D3=0,0,11630*1000*SER_hh_tes_in!D3/SER_hh_num_in!D3)</f>
        <v>368892.45428349223</v>
      </c>
      <c r="E3" s="126">
        <f>IF(SER_hh_tes_in!E3=0,0,11630*1000*SER_hh_tes_in!E3/SER_hh_num_in!E3)</f>
        <v>279028.62391498301</v>
      </c>
      <c r="F3" s="126">
        <f>IF(SER_hh_tes_in!F3=0,0,11630*1000*SER_hh_tes_in!F3/SER_hh_num_in!F3)</f>
        <v>255591.75016107009</v>
      </c>
      <c r="G3" s="126">
        <f>IF(SER_hh_tes_in!G3=0,0,11630*1000*SER_hh_tes_in!G3/SER_hh_num_in!G3)</f>
        <v>388849.71580806188</v>
      </c>
      <c r="H3" s="126">
        <f>IF(SER_hh_tes_in!H3=0,0,11630*1000*SER_hh_tes_in!H3/SER_hh_num_in!H3)</f>
        <v>360896.71077306778</v>
      </c>
      <c r="I3" s="126">
        <f>IF(SER_hh_tes_in!I3=0,0,11630*1000*SER_hh_tes_in!I3/SER_hh_num_in!I3)</f>
        <v>310374.99304632848</v>
      </c>
      <c r="J3" s="126">
        <f>IF(SER_hh_tes_in!J3=0,0,11630*1000*SER_hh_tes_in!J3/SER_hh_num_in!J3)</f>
        <v>312983.60745808115</v>
      </c>
      <c r="K3" s="126">
        <f>IF(SER_hh_tes_in!K3=0,0,11630*1000*SER_hh_tes_in!K3/SER_hh_num_in!K3)</f>
        <v>390161.08813066635</v>
      </c>
      <c r="L3" s="126">
        <f>IF(SER_hh_tes_in!L3=0,0,11630*1000*SER_hh_tes_in!L3/SER_hh_num_in!L3)</f>
        <v>333555.98855622188</v>
      </c>
      <c r="M3" s="126">
        <f>IF(SER_hh_tes_in!M3=0,0,11630*1000*SER_hh_tes_in!M3/SER_hh_num_in!M3)</f>
        <v>254426.44275747333</v>
      </c>
      <c r="N3" s="126">
        <f>IF(SER_hh_tes_in!N3=0,0,11630*1000*SER_hh_tes_in!N3/SER_hh_num_in!N3)</f>
        <v>250890.94998603305</v>
      </c>
      <c r="O3" s="126">
        <f>IF(SER_hh_tes_in!O3=0,0,11630*1000*SER_hh_tes_in!O3/SER_hh_num_in!O3)</f>
        <v>261183.25805639834</v>
      </c>
      <c r="P3" s="126">
        <f>IF(SER_hh_tes_in!P3=0,0,11630*1000*SER_hh_tes_in!P3/SER_hh_num_in!P3)</f>
        <v>183631.50516513316</v>
      </c>
      <c r="Q3" s="126">
        <f>IF(SER_hh_tes_in!Q3=0,0,11630*1000*SER_hh_tes_in!Q3/SER_hh_num_in!Q3)</f>
        <v>190397.82226866795</v>
      </c>
      <c r="R3" s="126">
        <f>IF(SER_hh_tes_in!R3=0,0,11630*1000*SER_hh_tes_in!R3/SER_hh_num_in!R3)</f>
        <v>179186.88127154656</v>
      </c>
      <c r="S3" s="126">
        <f>IF(SER_hh_tes_in!S3=0,0,11630*1000*SER_hh_tes_in!S3/SER_hh_num_in!S3)</f>
        <v>184410.02559211224</v>
      </c>
      <c r="T3" s="126">
        <f>IF(SER_hh_tes_in!T3=0,0,11630*1000*SER_hh_tes_in!T3/SER_hh_num_in!T3)</f>
        <v>159963.67904290557</v>
      </c>
      <c r="U3" s="126">
        <f>IF(SER_hh_tes_in!U3=0,0,11630*1000*SER_hh_tes_in!U3/SER_hh_num_in!U3)</f>
        <v>139468.73736430297</v>
      </c>
      <c r="V3" s="126">
        <f>IF(SER_hh_tes_in!V3=0,0,11630*1000*SER_hh_tes_in!V3/SER_hh_num_in!V3)</f>
        <v>124216.59063586871</v>
      </c>
      <c r="W3" s="126">
        <f>IF(SER_hh_tes_in!W3=0,0,11630*1000*SER_hh_tes_in!W3/SER_hh_num_in!W3)</f>
        <v>125860.319001506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326821.05482331524</v>
      </c>
      <c r="D4" s="131">
        <f>IF(SER_hh_tes_in!D4=0,0,11630*1000*SER_hh_tes_in!D4/SER_hh_num_in!D4)</f>
        <v>285783.69664419728</v>
      </c>
      <c r="E4" s="131">
        <f>IF(SER_hh_tes_in!E4=0,0,11630*1000*SER_hh_tes_in!E4/SER_hh_num_in!E4)</f>
        <v>204253.73835042282</v>
      </c>
      <c r="F4" s="131">
        <f>IF(SER_hh_tes_in!F4=0,0,11630*1000*SER_hh_tes_in!F4/SER_hh_num_in!F4)</f>
        <v>182251.36739822742</v>
      </c>
      <c r="G4" s="131">
        <f>IF(SER_hh_tes_in!G4=0,0,11630*1000*SER_hh_tes_in!G4/SER_hh_num_in!G4)</f>
        <v>317438.52980290301</v>
      </c>
      <c r="H4" s="131">
        <f>IF(SER_hh_tes_in!H4=0,0,11630*1000*SER_hh_tes_in!H4/SER_hh_num_in!H4)</f>
        <v>292636.95107667625</v>
      </c>
      <c r="I4" s="131">
        <f>IF(SER_hh_tes_in!I4=0,0,11630*1000*SER_hh_tes_in!I4/SER_hh_num_in!I4)</f>
        <v>239880.8371643454</v>
      </c>
      <c r="J4" s="131">
        <f>IF(SER_hh_tes_in!J4=0,0,11630*1000*SER_hh_tes_in!J4/SER_hh_num_in!J4)</f>
        <v>235655.89489852224</v>
      </c>
      <c r="K4" s="131">
        <f>IF(SER_hh_tes_in!K4=0,0,11630*1000*SER_hh_tes_in!K4/SER_hh_num_in!K4)</f>
        <v>311411.90935630578</v>
      </c>
      <c r="L4" s="131">
        <f>IF(SER_hh_tes_in!L4=0,0,11630*1000*SER_hh_tes_in!L4/SER_hh_num_in!L4)</f>
        <v>255276.32676871656</v>
      </c>
      <c r="M4" s="131">
        <f>IF(SER_hh_tes_in!M4=0,0,11630*1000*SER_hh_tes_in!M4/SER_hh_num_in!M4)</f>
        <v>175380.25052011089</v>
      </c>
      <c r="N4" s="131">
        <f>IF(SER_hh_tes_in!N4=0,0,11630*1000*SER_hh_tes_in!N4/SER_hh_num_in!N4)</f>
        <v>170764.2128433797</v>
      </c>
      <c r="O4" s="131">
        <f>IF(SER_hh_tes_in!O4=0,0,11630*1000*SER_hh_tes_in!O4/SER_hh_num_in!O4)</f>
        <v>181516.08391367193</v>
      </c>
      <c r="P4" s="131">
        <f>IF(SER_hh_tes_in!P4=0,0,11630*1000*SER_hh_tes_in!P4/SER_hh_num_in!P4)</f>
        <v>107162.84698237518</v>
      </c>
      <c r="Q4" s="131">
        <f>IF(SER_hh_tes_in!Q4=0,0,11630*1000*SER_hh_tes_in!Q4/SER_hh_num_in!Q4)</f>
        <v>112348.08321049018</v>
      </c>
      <c r="R4" s="131">
        <f>IF(SER_hh_tes_in!R4=0,0,11630*1000*SER_hh_tes_in!R4/SER_hh_num_in!R4)</f>
        <v>104820.08828327282</v>
      </c>
      <c r="S4" s="131">
        <f>IF(SER_hh_tes_in!S4=0,0,11630*1000*SER_hh_tes_in!S4/SER_hh_num_in!S4)</f>
        <v>109335.07040800332</v>
      </c>
      <c r="T4" s="131">
        <f>IF(SER_hh_tes_in!T4=0,0,11630*1000*SER_hh_tes_in!T4/SER_hh_num_in!T4)</f>
        <v>86692.212753633838</v>
      </c>
      <c r="U4" s="131">
        <f>IF(SER_hh_tes_in!U4=0,0,11630*1000*SER_hh_tes_in!U4/SER_hh_num_in!U4)</f>
        <v>67131.627232141123</v>
      </c>
      <c r="V4" s="131">
        <f>IF(SER_hh_tes_in!V4=0,0,11630*1000*SER_hh_tes_in!V4/SER_hh_num_in!V4)</f>
        <v>56219.109528151057</v>
      </c>
      <c r="W4" s="131">
        <f>IF(SER_hh_tes_in!W4=0,0,11630*1000*SER_hh_tes_in!W4/SER_hh_num_in!W4)</f>
        <v>59979.152783553647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270419.91468623298</v>
      </c>
      <c r="D5" s="133">
        <f>IF(SER_hh_tes_in!D5=0,0,11630*1000*SER_hh_tes_in!D5/SER_hh_num_in!D5)</f>
        <v>356180.7903206019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178928.63256724944</v>
      </c>
      <c r="I5" s="133">
        <f>IF(SER_hh_tes_in!I5=0,0,11630*1000*SER_hh_tes_in!I5/SER_hh_num_in!I5)</f>
        <v>217475.48017977268</v>
      </c>
      <c r="J5" s="133">
        <f>IF(SER_hh_tes_in!J5=0,0,11630*1000*SER_hh_tes_in!J5/SER_hh_num_in!J5)</f>
        <v>227237.84463424861</v>
      </c>
      <c r="K5" s="133">
        <f>IF(SER_hh_tes_in!K5=0,0,11630*1000*SER_hh_tes_in!K5/SER_hh_num_in!K5)</f>
        <v>402527.85527844302</v>
      </c>
      <c r="L5" s="133">
        <f>IF(SER_hh_tes_in!L5=0,0,11630*1000*SER_hh_tes_in!L5/SER_hh_num_in!L5)</f>
        <v>214784.26374309487</v>
      </c>
      <c r="M5" s="133">
        <f>IF(SER_hh_tes_in!M5=0,0,11630*1000*SER_hh_tes_in!M5/SER_hh_num_in!M5)</f>
        <v>242532.59570496588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84121.390423023535</v>
      </c>
      <c r="T5" s="133">
        <f>IF(SER_hh_tes_in!T5=0,0,11630*1000*SER_hh_tes_in!T5/SER_hh_num_in!T5)</f>
        <v>82822.172262777109</v>
      </c>
      <c r="U5" s="133">
        <f>IF(SER_hh_tes_in!U5=0,0,11630*1000*SER_hh_tes_in!U5/SER_hh_num_in!U5)</f>
        <v>108357.45057941072</v>
      </c>
      <c r="V5" s="133">
        <f>IF(SER_hh_tes_in!V5=0,0,11630*1000*SER_hh_tes_in!V5/SER_hh_num_in!V5)</f>
        <v>0</v>
      </c>
      <c r="W5" s="133">
        <f>IF(SER_hh_tes_in!W5=0,0,11630*1000*SER_hh_tes_in!W5/SER_hh_num_in!W5)</f>
        <v>46069.067114536061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398655.27508088603</v>
      </c>
      <c r="D7" s="133">
        <f>IF(SER_hh_tes_in!D7=0,0,11630*1000*SER_hh_tes_in!D7/SER_hh_num_in!D7)</f>
        <v>0</v>
      </c>
      <c r="E7" s="133">
        <f>IF(SER_hh_tes_in!E7=0,0,11630*1000*SER_hh_tes_in!E7/SER_hh_num_in!E7)</f>
        <v>101130.25541288036</v>
      </c>
      <c r="F7" s="133">
        <f>IF(SER_hh_tes_in!F7=0,0,11630*1000*SER_hh_tes_in!F7/SER_hh_num_in!F7)</f>
        <v>265272.77362490894</v>
      </c>
      <c r="G7" s="133">
        <f>IF(SER_hh_tes_in!G7=0,0,11630*1000*SER_hh_tes_in!G7/SER_hh_num_in!G7)</f>
        <v>312615.22506332933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0</v>
      </c>
      <c r="N7" s="133">
        <f>IF(SER_hh_tes_in!N7=0,0,11630*1000*SER_hh_tes_in!N7/SER_hh_num_in!N7)</f>
        <v>0</v>
      </c>
      <c r="O7" s="133">
        <f>IF(SER_hh_tes_in!O7=0,0,11630*1000*SER_hh_tes_in!O7/SER_hh_num_in!O7)</f>
        <v>58449.230618346577</v>
      </c>
      <c r="P7" s="133">
        <f>IF(SER_hh_tes_in!P7=0,0,11630*1000*SER_hh_tes_in!P7/SER_hh_num_in!P7)</f>
        <v>145178.42020746111</v>
      </c>
      <c r="Q7" s="133">
        <f>IF(SER_hh_tes_in!Q7=0,0,11630*1000*SER_hh_tes_in!Q7/SER_hh_num_in!Q7)</f>
        <v>141219.68251162462</v>
      </c>
      <c r="R7" s="133">
        <f>IF(SER_hh_tes_in!R7=0,0,11630*1000*SER_hh_tes_in!R7/SER_hh_num_in!R7)</f>
        <v>88302.410877568342</v>
      </c>
      <c r="S7" s="133">
        <f>IF(SER_hh_tes_in!S7=0,0,11630*1000*SER_hh_tes_in!S7/SER_hh_num_in!S7)</f>
        <v>0</v>
      </c>
      <c r="T7" s="133">
        <f>IF(SER_hh_tes_in!T7=0,0,11630*1000*SER_hh_tes_in!T7/SER_hh_num_in!T7)</f>
        <v>0</v>
      </c>
      <c r="U7" s="133">
        <f>IF(SER_hh_tes_in!U7=0,0,11630*1000*SER_hh_tes_in!U7/SER_hh_num_in!U7)</f>
        <v>0</v>
      </c>
      <c r="V7" s="133">
        <f>IF(SER_hh_tes_in!V7=0,0,11630*1000*SER_hh_tes_in!V7/SER_hh_num_in!V7)</f>
        <v>49713.221046443839</v>
      </c>
      <c r="W7" s="133">
        <f>IF(SER_hh_tes_in!W7=0,0,11630*1000*SER_hh_tes_in!W7/SER_hh_num_in!W7)</f>
        <v>37757.506370781943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287930.46117283806</v>
      </c>
      <c r="D8" s="133">
        <f>IF(SER_hh_tes_in!D8=0,0,11630*1000*SER_hh_tes_in!D8/SER_hh_num_in!D8)</f>
        <v>222367.68174341964</v>
      </c>
      <c r="E8" s="133">
        <f>IF(SER_hh_tes_in!E8=0,0,11630*1000*SER_hh_tes_in!E8/SER_hh_num_in!E8)</f>
        <v>230584.76394139748</v>
      </c>
      <c r="F8" s="133">
        <f>IF(SER_hh_tes_in!F8=0,0,11630*1000*SER_hh_tes_in!F8/SER_hh_num_in!F8)</f>
        <v>247612.90724128127</v>
      </c>
      <c r="G8" s="133">
        <f>IF(SER_hh_tes_in!G8=0,0,11630*1000*SER_hh_tes_in!G8/SER_hh_num_in!G8)</f>
        <v>256272.58748432764</v>
      </c>
      <c r="H8" s="133">
        <f>IF(SER_hh_tes_in!H8=0,0,11630*1000*SER_hh_tes_in!H8/SER_hh_num_in!H8)</f>
        <v>267789.36250229413</v>
      </c>
      <c r="I8" s="133">
        <f>IF(SER_hh_tes_in!I8=0,0,11630*1000*SER_hh_tes_in!I8/SER_hh_num_in!I8)</f>
        <v>254255.62298459082</v>
      </c>
      <c r="J8" s="133">
        <f>IF(SER_hh_tes_in!J8=0,0,11630*1000*SER_hh_tes_in!J8/SER_hh_num_in!J8)</f>
        <v>238959.56160800924</v>
      </c>
      <c r="K8" s="133">
        <f>IF(SER_hh_tes_in!K8=0,0,11630*1000*SER_hh_tes_in!K8/SER_hh_num_in!K8)</f>
        <v>223935.05170356331</v>
      </c>
      <c r="L8" s="133">
        <f>IF(SER_hh_tes_in!L8=0,0,11630*1000*SER_hh_tes_in!L8/SER_hh_num_in!L8)</f>
        <v>197413.70482995053</v>
      </c>
      <c r="M8" s="133">
        <f>IF(SER_hh_tes_in!M8=0,0,11630*1000*SER_hh_tes_in!M8/SER_hh_num_in!M8)</f>
        <v>183416.02151414074</v>
      </c>
      <c r="N8" s="133">
        <f>IF(SER_hh_tes_in!N8=0,0,11630*1000*SER_hh_tes_in!N8/SER_hh_num_in!N8)</f>
        <v>138794.05590919653</v>
      </c>
      <c r="O8" s="133">
        <f>IF(SER_hh_tes_in!O8=0,0,11630*1000*SER_hh_tes_in!O8/SER_hh_num_in!O8)</f>
        <v>146211.11595617284</v>
      </c>
      <c r="P8" s="133">
        <f>IF(SER_hh_tes_in!P8=0,0,11630*1000*SER_hh_tes_in!P8/SER_hh_num_in!P8)</f>
        <v>121296.05333829274</v>
      </c>
      <c r="Q8" s="133">
        <f>IF(SER_hh_tes_in!Q8=0,0,11630*1000*SER_hh_tes_in!Q8/SER_hh_num_in!Q8)</f>
        <v>121608.98950134656</v>
      </c>
      <c r="R8" s="133">
        <f>IF(SER_hh_tes_in!R8=0,0,11630*1000*SER_hh_tes_in!R8/SER_hh_num_in!R8)</f>
        <v>102407.54732411509</v>
      </c>
      <c r="S8" s="133">
        <f>IF(SER_hh_tes_in!S8=0,0,11630*1000*SER_hh_tes_in!S8/SER_hh_num_in!S8)</f>
        <v>95998.542110347946</v>
      </c>
      <c r="T8" s="133">
        <f>IF(SER_hh_tes_in!T8=0,0,11630*1000*SER_hh_tes_in!T8/SER_hh_num_in!T8)</f>
        <v>83726.323163308305</v>
      </c>
      <c r="U8" s="133">
        <f>IF(SER_hh_tes_in!U8=0,0,11630*1000*SER_hh_tes_in!U8/SER_hh_num_in!U8)</f>
        <v>64844.971628540588</v>
      </c>
      <c r="V8" s="133">
        <f>IF(SER_hh_tes_in!V8=0,0,11630*1000*SER_hh_tes_in!V8/SER_hh_num_in!V8)</f>
        <v>63071.132233052718</v>
      </c>
      <c r="W8" s="133">
        <f>IF(SER_hh_tes_in!W8=0,0,11630*1000*SER_hh_tes_in!W8/SER_hh_num_in!W8)</f>
        <v>50532.507418160771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0</v>
      </c>
      <c r="D9" s="133">
        <f>IF(SER_hh_tes_in!D9=0,0,11630*1000*SER_hh_tes_in!D9/SER_hh_num_in!D9)</f>
        <v>0</v>
      </c>
      <c r="E9" s="133">
        <f>IF(SER_hh_tes_in!E9=0,0,11630*1000*SER_hh_tes_in!E9/SER_hh_num_in!E9)</f>
        <v>212592.470614839</v>
      </c>
      <c r="F9" s="133">
        <f>IF(SER_hh_tes_in!F9=0,0,11630*1000*SER_hh_tes_in!F9/SER_hh_num_in!F9)</f>
        <v>126545.65164623992</v>
      </c>
      <c r="G9" s="133">
        <f>IF(SER_hh_tes_in!G9=0,0,11630*1000*SER_hh_tes_in!G9/SER_hh_num_in!G9)</f>
        <v>315182.80115721264</v>
      </c>
      <c r="H9" s="133">
        <f>IF(SER_hh_tes_in!H9=0,0,11630*1000*SER_hh_tes_in!H9/SER_hh_num_in!H9)</f>
        <v>297978.27813682001</v>
      </c>
      <c r="I9" s="133">
        <f>IF(SER_hh_tes_in!I9=0,0,11630*1000*SER_hh_tes_in!I9/SER_hh_num_in!I9)</f>
        <v>257956.57231792816</v>
      </c>
      <c r="J9" s="133">
        <f>IF(SER_hh_tes_in!J9=0,0,11630*1000*SER_hh_tes_in!J9/SER_hh_num_in!J9)</f>
        <v>264146.7663754262</v>
      </c>
      <c r="K9" s="133">
        <f>IF(SER_hh_tes_in!K9=0,0,11630*1000*SER_hh_tes_in!K9/SER_hh_num_in!K9)</f>
        <v>0</v>
      </c>
      <c r="L9" s="133">
        <f>IF(SER_hh_tes_in!L9=0,0,11630*1000*SER_hh_tes_in!L9/SER_hh_num_in!L9)</f>
        <v>288839.66875884385</v>
      </c>
      <c r="M9" s="133">
        <f>IF(SER_hh_tes_in!M9=0,0,11630*1000*SER_hh_tes_in!M9/SER_hh_num_in!M9)</f>
        <v>107219.98345771707</v>
      </c>
      <c r="N9" s="133">
        <f>IF(SER_hh_tes_in!N9=0,0,11630*1000*SER_hh_tes_in!N9/SER_hh_num_in!N9)</f>
        <v>173389.5835084563</v>
      </c>
      <c r="O9" s="133">
        <f>IF(SER_hh_tes_in!O9=0,0,11630*1000*SER_hh_tes_in!O9/SER_hh_num_in!O9)</f>
        <v>193898.57225366734</v>
      </c>
      <c r="P9" s="133">
        <f>IF(SER_hh_tes_in!P9=0,0,11630*1000*SER_hh_tes_in!P9/SER_hh_num_in!P9)</f>
        <v>104122.50316013127</v>
      </c>
      <c r="Q9" s="133">
        <f>IF(SER_hh_tes_in!Q9=0,0,11630*1000*SER_hh_tes_in!Q9/SER_hh_num_in!Q9)</f>
        <v>109398.1901088017</v>
      </c>
      <c r="R9" s="133">
        <f>IF(SER_hh_tes_in!R9=0,0,11630*1000*SER_hh_tes_in!R9/SER_hh_num_in!R9)</f>
        <v>101314.0483895333</v>
      </c>
      <c r="S9" s="133">
        <f>IF(SER_hh_tes_in!S9=0,0,11630*1000*SER_hh_tes_in!S9/SER_hh_num_in!S9)</f>
        <v>107157.25745108069</v>
      </c>
      <c r="T9" s="133">
        <f>IF(SER_hh_tes_in!T9=0,0,11630*1000*SER_hh_tes_in!T9/SER_hh_num_in!T9)</f>
        <v>86522.663972557624</v>
      </c>
      <c r="U9" s="133">
        <f>IF(SER_hh_tes_in!U9=0,0,11630*1000*SER_hh_tes_in!U9/SER_hh_num_in!U9)</f>
        <v>63588.053119376003</v>
      </c>
      <c r="V9" s="133">
        <f>IF(SER_hh_tes_in!V9=0,0,11630*1000*SER_hh_tes_in!V9/SER_hh_num_in!V9)</f>
        <v>53026.383018792701</v>
      </c>
      <c r="W9" s="133">
        <f>IF(SER_hh_tes_in!W9=0,0,11630*1000*SER_hh_tes_in!W9/SER_hh_num_in!W9)</f>
        <v>61525.305522159266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88545.550441706975</v>
      </c>
      <c r="I10" s="133">
        <f>IF(SER_hh_tes_in!I10=0,0,11630*1000*SER_hh_tes_in!I10/SER_hh_num_in!I10)</f>
        <v>39784.96249134979</v>
      </c>
      <c r="J10" s="133">
        <f>IF(SER_hh_tes_in!J10=0,0,11630*1000*SER_hh_tes_in!J10/SER_hh_num_in!J10)</f>
        <v>301606.76828962809</v>
      </c>
      <c r="K10" s="133">
        <f>IF(SER_hh_tes_in!K10=0,0,11630*1000*SER_hh_tes_in!K10/SER_hh_num_in!K10)</f>
        <v>304577.09385074407</v>
      </c>
      <c r="L10" s="133">
        <f>IF(SER_hh_tes_in!L10=0,0,11630*1000*SER_hh_tes_in!L10/SER_hh_num_in!L10)</f>
        <v>271793.17357797845</v>
      </c>
      <c r="M10" s="133">
        <f>IF(SER_hh_tes_in!M10=0,0,11630*1000*SER_hh_tes_in!M10/SER_hh_num_in!M10)</f>
        <v>136381.70462356164</v>
      </c>
      <c r="N10" s="133">
        <f>IF(SER_hh_tes_in!N10=0,0,11630*1000*SER_hh_tes_in!N10/SER_hh_num_in!N10)</f>
        <v>155656.60371184669</v>
      </c>
      <c r="O10" s="133">
        <f>IF(SER_hh_tes_in!O10=0,0,11630*1000*SER_hh_tes_in!O10/SER_hh_num_in!O10)</f>
        <v>81557.661025817288</v>
      </c>
      <c r="P10" s="133">
        <f>IF(SER_hh_tes_in!P10=0,0,11630*1000*SER_hh_tes_in!P10/SER_hh_num_in!P10)</f>
        <v>197528.28775082878</v>
      </c>
      <c r="Q10" s="133">
        <f>IF(SER_hh_tes_in!Q10=0,0,11630*1000*SER_hh_tes_in!Q10/SER_hh_num_in!Q10)</f>
        <v>106514.43154343583</v>
      </c>
      <c r="R10" s="133">
        <f>IF(SER_hh_tes_in!R10=0,0,11630*1000*SER_hh_tes_in!R10/SER_hh_num_in!R10)</f>
        <v>35778.981825779534</v>
      </c>
      <c r="S10" s="133">
        <f>IF(SER_hh_tes_in!S10=0,0,11630*1000*SER_hh_tes_in!S10/SER_hh_num_in!S10)</f>
        <v>110936.98687248591</v>
      </c>
      <c r="T10" s="133">
        <f>IF(SER_hh_tes_in!T10=0,0,11630*1000*SER_hh_tes_in!T10/SER_hh_num_in!T10)</f>
        <v>85632.573973070161</v>
      </c>
      <c r="U10" s="133">
        <f>IF(SER_hh_tes_in!U10=0,0,11630*1000*SER_hh_tes_in!U10/SER_hh_num_in!U10)</f>
        <v>72188.594490044663</v>
      </c>
      <c r="V10" s="133">
        <f>IF(SER_hh_tes_in!V10=0,0,11630*1000*SER_hh_tes_in!V10/SER_hh_num_in!V10)</f>
        <v>66841.288848430369</v>
      </c>
      <c r="W10" s="133">
        <f>IF(SER_hh_tes_in!W10=0,0,11630*1000*SER_hh_tes_in!W10/SER_hh_num_in!W10)</f>
        <v>54121.423752988965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385469.35705468163</v>
      </c>
      <c r="D11" s="133">
        <f>IF(SER_hh_tes_in!D11=0,0,11630*1000*SER_hh_tes_in!D11/SER_hh_num_in!D11)</f>
        <v>267412.81531903258</v>
      </c>
      <c r="E11" s="133">
        <f>IF(SER_hh_tes_in!E11=0,0,11630*1000*SER_hh_tes_in!E11/SER_hh_num_in!E11)</f>
        <v>234675.80831532404</v>
      </c>
      <c r="F11" s="133">
        <f>IF(SER_hh_tes_in!F11=0,0,11630*1000*SER_hh_tes_in!F11/SER_hh_num_in!F11)</f>
        <v>215562.55086838914</v>
      </c>
      <c r="G11" s="133">
        <f>IF(SER_hh_tes_in!G11=0,0,11630*1000*SER_hh_tes_in!G11/SER_hh_num_in!G11)</f>
        <v>239497.82008643833</v>
      </c>
      <c r="H11" s="133">
        <f>IF(SER_hh_tes_in!H11=0,0,11630*1000*SER_hh_tes_in!H11/SER_hh_num_in!H11)</f>
        <v>281233.43687439675</v>
      </c>
      <c r="I11" s="133">
        <f>IF(SER_hh_tes_in!I11=0,0,11630*1000*SER_hh_tes_in!I11/SER_hh_num_in!I11)</f>
        <v>258247.24931765947</v>
      </c>
      <c r="J11" s="133">
        <f>IF(SER_hh_tes_in!J11=0,0,11630*1000*SER_hh_tes_in!J11/SER_hh_num_in!J11)</f>
        <v>256851.82939863476</v>
      </c>
      <c r="K11" s="133">
        <f>IF(SER_hh_tes_in!K11=0,0,11630*1000*SER_hh_tes_in!K11/SER_hh_num_in!K11)</f>
        <v>246204.29015101862</v>
      </c>
      <c r="L11" s="133">
        <f>IF(SER_hh_tes_in!L11=0,0,11630*1000*SER_hh_tes_in!L11/SER_hh_num_in!L11)</f>
        <v>245391.62725071935</v>
      </c>
      <c r="M11" s="133">
        <f>IF(SER_hh_tes_in!M11=0,0,11630*1000*SER_hh_tes_in!M11/SER_hh_num_in!M11)</f>
        <v>192961.85943278484</v>
      </c>
      <c r="N11" s="133">
        <f>IF(SER_hh_tes_in!N11=0,0,11630*1000*SER_hh_tes_in!N11/SER_hh_num_in!N11)</f>
        <v>147630.68441278598</v>
      </c>
      <c r="O11" s="133">
        <f>IF(SER_hh_tes_in!O11=0,0,11630*1000*SER_hh_tes_in!O11/SER_hh_num_in!O11)</f>
        <v>162050.16328006386</v>
      </c>
      <c r="P11" s="133">
        <f>IF(SER_hh_tes_in!P11=0,0,11630*1000*SER_hh_tes_in!P11/SER_hh_num_in!P11)</f>
        <v>106114.19538712421</v>
      </c>
      <c r="Q11" s="133">
        <f>IF(SER_hh_tes_in!Q11=0,0,11630*1000*SER_hh_tes_in!Q11/SER_hh_num_in!Q11)</f>
        <v>104556.99554843988</v>
      </c>
      <c r="R11" s="133">
        <f>IF(SER_hh_tes_in!R11=0,0,11630*1000*SER_hh_tes_in!R11/SER_hh_num_in!R11)</f>
        <v>111573.75316371176</v>
      </c>
      <c r="S11" s="133">
        <f>IF(SER_hh_tes_in!S11=0,0,11630*1000*SER_hh_tes_in!S11/SER_hh_num_in!S11)</f>
        <v>104156.05977722665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278692.28580679605</v>
      </c>
      <c r="D12" s="133">
        <f>IF(SER_hh_tes_in!D12=0,0,11630*1000*SER_hh_tes_in!D12/SER_hh_num_in!D12)</f>
        <v>271098.04899934592</v>
      </c>
      <c r="E12" s="133">
        <f>IF(SER_hh_tes_in!E12=0,0,11630*1000*SER_hh_tes_in!E12/SER_hh_num_in!E12)</f>
        <v>197228.25186322146</v>
      </c>
      <c r="F12" s="133">
        <f>IF(SER_hh_tes_in!F12=0,0,11630*1000*SER_hh_tes_in!F12/SER_hh_num_in!F12)</f>
        <v>293164.34310402011</v>
      </c>
      <c r="G12" s="133">
        <f>IF(SER_hh_tes_in!G12=0,0,11630*1000*SER_hh_tes_in!G12/SER_hh_num_in!G12)</f>
        <v>257665.81131394953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236171.55856106698</v>
      </c>
      <c r="K12" s="133">
        <f>IF(SER_hh_tes_in!K12=0,0,11630*1000*SER_hh_tes_in!K12/SER_hh_num_in!K12)</f>
        <v>249353.01532119545</v>
      </c>
      <c r="L12" s="133">
        <f>IF(SER_hh_tes_in!L12=0,0,11630*1000*SER_hh_tes_in!L12/SER_hh_num_in!L12)</f>
        <v>268705.95286911179</v>
      </c>
      <c r="M12" s="133">
        <f>IF(SER_hh_tes_in!M12=0,0,11630*1000*SER_hh_tes_in!M12/SER_hh_num_in!M12)</f>
        <v>213473.65887150663</v>
      </c>
      <c r="N12" s="133">
        <f>IF(SER_hh_tes_in!N12=0,0,11630*1000*SER_hh_tes_in!N12/SER_hh_num_in!N12)</f>
        <v>0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0</v>
      </c>
      <c r="R12" s="133">
        <f>IF(SER_hh_tes_in!R12=0,0,11630*1000*SER_hh_tes_in!R12/SER_hh_num_in!R12)</f>
        <v>126913.9500043786</v>
      </c>
      <c r="S12" s="133">
        <f>IF(SER_hh_tes_in!S12=0,0,11630*1000*SER_hh_tes_in!S12/SER_hh_num_in!S12)</f>
        <v>102500.68916926873</v>
      </c>
      <c r="T12" s="133">
        <f>IF(SER_hh_tes_in!T12=0,0,11630*1000*SER_hh_tes_in!T12/SER_hh_num_in!T12)</f>
        <v>85186.946039126997</v>
      </c>
      <c r="U12" s="133">
        <f>IF(SER_hh_tes_in!U12=0,0,11630*1000*SER_hh_tes_in!U12/SER_hh_num_in!U12)</f>
        <v>68071.461573650042</v>
      </c>
      <c r="V12" s="133">
        <f>IF(SER_hh_tes_in!V12=0,0,11630*1000*SER_hh_tes_in!V12/SER_hh_num_in!V12)</f>
        <v>57381.77567478564</v>
      </c>
      <c r="W12" s="133">
        <f>IF(SER_hh_tes_in!W12=0,0,11630*1000*SER_hh_tes_in!W12/SER_hh_num_in!W12)</f>
        <v>59927.879844179923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293004.62525795365</v>
      </c>
      <c r="D13" s="133">
        <f>IF(SER_hh_tes_in!D13=0,0,11630*1000*SER_hh_tes_in!D13/SER_hh_num_in!D13)</f>
        <v>256025.67662227285</v>
      </c>
      <c r="E13" s="133">
        <f>IF(SER_hh_tes_in!E13=0,0,11630*1000*SER_hh_tes_in!E13/SER_hh_num_in!E13)</f>
        <v>209481.65953863002</v>
      </c>
      <c r="F13" s="133">
        <f>IF(SER_hh_tes_in!F13=0,0,11630*1000*SER_hh_tes_in!F13/SER_hh_num_in!F13)</f>
        <v>263313.91515046894</v>
      </c>
      <c r="G13" s="133">
        <f>IF(SER_hh_tes_in!G13=0,0,11630*1000*SER_hh_tes_in!G13/SER_hh_num_in!G13)</f>
        <v>246563.10688584624</v>
      </c>
      <c r="H13" s="133">
        <f>IF(SER_hh_tes_in!H13=0,0,11630*1000*SER_hh_tes_in!H13/SER_hh_num_in!H13)</f>
        <v>227543.92909204063</v>
      </c>
      <c r="I13" s="133">
        <f>IF(SER_hh_tes_in!I13=0,0,11630*1000*SER_hh_tes_in!I13/SER_hh_num_in!I13)</f>
        <v>259396.44310686601</v>
      </c>
      <c r="J13" s="133">
        <f>IF(SER_hh_tes_in!J13=0,0,11630*1000*SER_hh_tes_in!J13/SER_hh_num_in!J13)</f>
        <v>215939.74325484756</v>
      </c>
      <c r="K13" s="133">
        <f>IF(SER_hh_tes_in!K13=0,0,11630*1000*SER_hh_tes_in!K13/SER_hh_num_in!K13)</f>
        <v>199767.67063493613</v>
      </c>
      <c r="L13" s="133">
        <f>IF(SER_hh_tes_in!L13=0,0,11630*1000*SER_hh_tes_in!L13/SER_hh_num_in!L13)</f>
        <v>186025.5343551168</v>
      </c>
      <c r="M13" s="133">
        <f>IF(SER_hh_tes_in!M13=0,0,11630*1000*SER_hh_tes_in!M13/SER_hh_num_in!M13)</f>
        <v>195035.5834139229</v>
      </c>
      <c r="N13" s="133">
        <f>IF(SER_hh_tes_in!N13=0,0,11630*1000*SER_hh_tes_in!N13/SER_hh_num_in!N13)</f>
        <v>165592.28518566029</v>
      </c>
      <c r="O13" s="133">
        <f>IF(SER_hh_tes_in!O13=0,0,11630*1000*SER_hh_tes_in!O13/SER_hh_num_in!O13)</f>
        <v>125311.05403966992</v>
      </c>
      <c r="P13" s="133">
        <f>IF(SER_hh_tes_in!P13=0,0,11630*1000*SER_hh_tes_in!P13/SER_hh_num_in!P13)</f>
        <v>92616.643892887485</v>
      </c>
      <c r="Q13" s="133">
        <f>IF(SER_hh_tes_in!Q13=0,0,11630*1000*SER_hh_tes_in!Q13/SER_hh_num_in!Q13)</f>
        <v>132762.59033015298</v>
      </c>
      <c r="R13" s="133">
        <f>IF(SER_hh_tes_in!R13=0,0,11630*1000*SER_hh_tes_in!R13/SER_hh_num_in!R13)</f>
        <v>110569.46696872078</v>
      </c>
      <c r="S13" s="133">
        <f>IF(SER_hh_tes_in!S13=0,0,11630*1000*SER_hh_tes_in!S13/SER_hh_num_in!S13)</f>
        <v>100972.67560492965</v>
      </c>
      <c r="T13" s="133">
        <f>IF(SER_hh_tes_in!T13=0,0,11630*1000*SER_hh_tes_in!T13/SER_hh_num_in!T13)</f>
        <v>86065.378445299211</v>
      </c>
      <c r="U13" s="133">
        <f>IF(SER_hh_tes_in!U13=0,0,11630*1000*SER_hh_tes_in!U13/SER_hh_num_in!U13)</f>
        <v>65437.84317838998</v>
      </c>
      <c r="V13" s="133">
        <f>IF(SER_hh_tes_in!V13=0,0,11630*1000*SER_hh_tes_in!V13/SER_hh_num_in!V13)</f>
        <v>63168.838134008409</v>
      </c>
      <c r="W13" s="133">
        <f>IF(SER_hh_tes_in!W13=0,0,11630*1000*SER_hh_tes_in!W13/SER_hh_num_in!W13)</f>
        <v>52891.399606433028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342169.70743816259</v>
      </c>
      <c r="D14" s="65">
        <f>IF(SER_hh_tes_in!D14=0,0,11630*1000*SER_hh_tes_in!D14/SER_hh_num_in!D14)</f>
        <v>292991.90287049406</v>
      </c>
      <c r="E14" s="65">
        <f>IF(SER_hh_tes_in!E14=0,0,11630*1000*SER_hh_tes_in!E14/SER_hh_num_in!E14)</f>
        <v>211849.92459554219</v>
      </c>
      <c r="F14" s="65">
        <f>IF(SER_hh_tes_in!F14=0,0,11630*1000*SER_hh_tes_in!F14/SER_hh_num_in!F14)</f>
        <v>0</v>
      </c>
      <c r="G14" s="65">
        <f>IF(SER_hh_tes_in!G14=0,0,11630*1000*SER_hh_tes_in!G14/SER_hh_num_in!G14)</f>
        <v>0</v>
      </c>
      <c r="H14" s="65">
        <f>IF(SER_hh_tes_in!H14=0,0,11630*1000*SER_hh_tes_in!H14/SER_hh_num_in!H14)</f>
        <v>0</v>
      </c>
      <c r="I14" s="65">
        <f>IF(SER_hh_tes_in!I14=0,0,11630*1000*SER_hh_tes_in!I14/SER_hh_num_in!I14)</f>
        <v>0</v>
      </c>
      <c r="J14" s="65">
        <f>IF(SER_hh_tes_in!J14=0,0,11630*1000*SER_hh_tes_in!J14/SER_hh_num_in!J14)</f>
        <v>233185.58023580158</v>
      </c>
      <c r="K14" s="65">
        <f>IF(SER_hh_tes_in!K14=0,0,11630*1000*SER_hh_tes_in!K14/SER_hh_num_in!K14)</f>
        <v>225649.11646606808</v>
      </c>
      <c r="L14" s="65">
        <f>IF(SER_hh_tes_in!L14=0,0,11630*1000*SER_hh_tes_in!L14/SER_hh_num_in!L14)</f>
        <v>258344.55206926641</v>
      </c>
      <c r="M14" s="65">
        <f>IF(SER_hh_tes_in!M14=0,0,11630*1000*SER_hh_tes_in!M14/SER_hh_num_in!M14)</f>
        <v>235146.33298209048</v>
      </c>
      <c r="N14" s="65">
        <f>IF(SER_hh_tes_in!N14=0,0,11630*1000*SER_hh_tes_in!N14/SER_hh_num_in!N14)</f>
        <v>127626.76459292558</v>
      </c>
      <c r="O14" s="65">
        <f>IF(SER_hh_tes_in!O14=0,0,11630*1000*SER_hh_tes_in!O14/SER_hh_num_in!O14)</f>
        <v>179729.18406623221</v>
      </c>
      <c r="P14" s="65">
        <f>IF(SER_hh_tes_in!P14=0,0,11630*1000*SER_hh_tes_in!P14/SER_hh_num_in!P14)</f>
        <v>97342.747135289377</v>
      </c>
      <c r="Q14" s="65">
        <f>IF(SER_hh_tes_in!Q14=0,0,11630*1000*SER_hh_tes_in!Q14/SER_hh_num_in!Q14)</f>
        <v>109519.26646119873</v>
      </c>
      <c r="R14" s="65">
        <f>IF(SER_hh_tes_in!R14=0,0,11630*1000*SER_hh_tes_in!R14/SER_hh_num_in!R14)</f>
        <v>104745.91622039709</v>
      </c>
      <c r="S14" s="65">
        <f>IF(SER_hh_tes_in!S14=0,0,11630*1000*SER_hh_tes_in!S14/SER_hh_num_in!S14)</f>
        <v>115835.66826648988</v>
      </c>
      <c r="T14" s="65">
        <f>IF(SER_hh_tes_in!T14=0,0,11630*1000*SER_hh_tes_in!T14/SER_hh_num_in!T14)</f>
        <v>89874.272037532035</v>
      </c>
      <c r="U14" s="65">
        <f>IF(SER_hh_tes_in!U14=0,0,11630*1000*SER_hh_tes_in!U14/SER_hh_num_in!U14)</f>
        <v>0</v>
      </c>
      <c r="V14" s="65">
        <f>IF(SER_hh_tes_in!V14=0,0,11630*1000*SER_hh_tes_in!V14/SER_hh_num_in!V14)</f>
        <v>57003.109454106889</v>
      </c>
      <c r="W14" s="65">
        <f>IF(SER_hh_tes_in!W14=0,0,11630*1000*SER_hh_tes_in!W14/SER_hh_num_in!W14)</f>
        <v>55436.869175162217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1714.3954509594882</v>
      </c>
      <c r="D15" s="135">
        <f>IF(SER_hh_tes_in!D15=0,0,11630*1000*SER_hh_tes_in!D15/SER_hh_num_in!D15)</f>
        <v>1422.9322252212557</v>
      </c>
      <c r="E15" s="135">
        <f>IF(SER_hh_tes_in!E15=0,0,11630*1000*SER_hh_tes_in!E15/SER_hh_num_in!E15)</f>
        <v>1150.5804598299796</v>
      </c>
      <c r="F15" s="135">
        <f>IF(SER_hh_tes_in!F15=0,0,11630*1000*SER_hh_tes_in!F15/SER_hh_num_in!F15)</f>
        <v>2088.7036573744654</v>
      </c>
      <c r="G15" s="135">
        <f>IF(SER_hh_tes_in!G15=0,0,11630*1000*SER_hh_tes_in!G15/SER_hh_num_in!G15)</f>
        <v>5476.4966775415414</v>
      </c>
      <c r="H15" s="135">
        <f>IF(SER_hh_tes_in!H15=0,0,11630*1000*SER_hh_tes_in!H15/SER_hh_num_in!H15)</f>
        <v>4996.3448437980205</v>
      </c>
      <c r="I15" s="135">
        <f>IF(SER_hh_tes_in!I15=0,0,11630*1000*SER_hh_tes_in!I15/SER_hh_num_in!I15)</f>
        <v>3265.6843431988159</v>
      </c>
      <c r="J15" s="135">
        <f>IF(SER_hh_tes_in!J15=0,0,11630*1000*SER_hh_tes_in!J15/SER_hh_num_in!J15)</f>
        <v>2114.1734698198975</v>
      </c>
      <c r="K15" s="135">
        <f>IF(SER_hh_tes_in!K15=0,0,11630*1000*SER_hh_tes_in!K15/SER_hh_num_in!K15)</f>
        <v>2730.8173316203715</v>
      </c>
      <c r="L15" s="135">
        <f>IF(SER_hh_tes_in!L15=0,0,11630*1000*SER_hh_tes_in!L15/SER_hh_num_in!L15)</f>
        <v>2109.0127204370269</v>
      </c>
      <c r="M15" s="135">
        <f>IF(SER_hh_tes_in!M15=0,0,11630*1000*SER_hh_tes_in!M15/SER_hh_num_in!M15)</f>
        <v>1621.9799977664816</v>
      </c>
      <c r="N15" s="135">
        <f>IF(SER_hh_tes_in!N15=0,0,11630*1000*SER_hh_tes_in!N15/SER_hh_num_in!N15)</f>
        <v>2860.9687984628295</v>
      </c>
      <c r="O15" s="135">
        <f>IF(SER_hh_tes_in!O15=0,0,11630*1000*SER_hh_tes_in!O15/SER_hh_num_in!O15)</f>
        <v>2984.8600242068437</v>
      </c>
      <c r="P15" s="135">
        <f>IF(SER_hh_tes_in!P15=0,0,11630*1000*SER_hh_tes_in!P15/SER_hh_num_in!P15)</f>
        <v>1743.1006083337265</v>
      </c>
      <c r="Q15" s="135">
        <f>IF(SER_hh_tes_in!Q15=0,0,11630*1000*SER_hh_tes_in!Q15/SER_hh_num_in!Q15)</f>
        <v>1704.017740240274</v>
      </c>
      <c r="R15" s="135">
        <f>IF(SER_hh_tes_in!R15=0,0,11630*1000*SER_hh_tes_in!R15/SER_hh_num_in!R15)</f>
        <v>1370.9133444343292</v>
      </c>
      <c r="S15" s="135">
        <f>IF(SER_hh_tes_in!S15=0,0,11630*1000*SER_hh_tes_in!S15/SER_hh_num_in!S15)</f>
        <v>1058.5519815578198</v>
      </c>
      <c r="T15" s="135">
        <f>IF(SER_hh_tes_in!T15=0,0,11630*1000*SER_hh_tes_in!T15/SER_hh_num_in!T15)</f>
        <v>857.92502488717594</v>
      </c>
      <c r="U15" s="135">
        <f>IF(SER_hh_tes_in!U15=0,0,11630*1000*SER_hh_tes_in!U15/SER_hh_num_in!U15)</f>
        <v>810.65690586498386</v>
      </c>
      <c r="V15" s="135">
        <f>IF(SER_hh_tes_in!V15=0,0,11630*1000*SER_hh_tes_in!V15/SER_hh_num_in!V15)</f>
        <v>664.48812210085816</v>
      </c>
      <c r="W15" s="135">
        <f>IF(SER_hh_tes_in!W15=0,0,11630*1000*SER_hh_tes_in!W15/SER_hh_num_in!W15)</f>
        <v>810.73196134300429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26782.025968400496</v>
      </c>
      <c r="D16" s="131">
        <f>IF(SER_hh_tes_in!D16=0,0,11630*1000*SER_hh_tes_in!D16/SER_hh_num_in!D16)</f>
        <v>27090.387691325042</v>
      </c>
      <c r="E16" s="131">
        <f>IF(SER_hh_tes_in!E16=0,0,11630*1000*SER_hh_tes_in!E16/SER_hh_num_in!E16)</f>
        <v>27216.00200854893</v>
      </c>
      <c r="F16" s="131">
        <f>IF(SER_hh_tes_in!F16=0,0,11630*1000*SER_hh_tes_in!F16/SER_hh_num_in!F16)</f>
        <v>26072.262925168445</v>
      </c>
      <c r="G16" s="131">
        <f>IF(SER_hh_tes_in!G16=0,0,11630*1000*SER_hh_tes_in!G16/SER_hh_num_in!G16)</f>
        <v>26125.23561939723</v>
      </c>
      <c r="H16" s="131">
        <f>IF(SER_hh_tes_in!H16=0,0,11630*1000*SER_hh_tes_in!H16/SER_hh_num_in!H16)</f>
        <v>26713.150615618157</v>
      </c>
      <c r="I16" s="131">
        <f>IF(SER_hh_tes_in!I16=0,0,11630*1000*SER_hh_tes_in!I16/SER_hh_num_in!I16)</f>
        <v>27612.658227594198</v>
      </c>
      <c r="J16" s="131">
        <f>IF(SER_hh_tes_in!J16=0,0,11630*1000*SER_hh_tes_in!J16/SER_hh_num_in!J16)</f>
        <v>25775.750806725438</v>
      </c>
      <c r="K16" s="131">
        <f>IF(SER_hh_tes_in!K16=0,0,11630*1000*SER_hh_tes_in!K16/SER_hh_num_in!K16)</f>
        <v>25584.152563214564</v>
      </c>
      <c r="L16" s="131">
        <f>IF(SER_hh_tes_in!L16=0,0,11630*1000*SER_hh_tes_in!L16/SER_hh_num_in!L16)</f>
        <v>26308.930258761215</v>
      </c>
      <c r="M16" s="131">
        <f>IF(SER_hh_tes_in!M16=0,0,11630*1000*SER_hh_tes_in!M16/SER_hh_num_in!M16)</f>
        <v>25406.234940834234</v>
      </c>
      <c r="N16" s="131">
        <f>IF(SER_hh_tes_in!N16=0,0,11630*1000*SER_hh_tes_in!N16/SER_hh_num_in!N16)</f>
        <v>27614.383898437292</v>
      </c>
      <c r="O16" s="131">
        <f>IF(SER_hh_tes_in!O16=0,0,11630*1000*SER_hh_tes_in!O16/SER_hh_num_in!O16)</f>
        <v>26128.706539927141</v>
      </c>
      <c r="P16" s="131">
        <f>IF(SER_hh_tes_in!P16=0,0,11630*1000*SER_hh_tes_in!P16/SER_hh_num_in!P16)</f>
        <v>23608.296246044738</v>
      </c>
      <c r="Q16" s="131">
        <f>IF(SER_hh_tes_in!Q16=0,0,11630*1000*SER_hh_tes_in!Q16/SER_hh_num_in!Q16)</f>
        <v>27324.908933834431</v>
      </c>
      <c r="R16" s="131">
        <f>IF(SER_hh_tes_in!R16=0,0,11630*1000*SER_hh_tes_in!R16/SER_hh_num_in!R16)</f>
        <v>22759.241959214847</v>
      </c>
      <c r="S16" s="131">
        <f>IF(SER_hh_tes_in!S16=0,0,11630*1000*SER_hh_tes_in!S16/SER_hh_num_in!S16)</f>
        <v>23642.998052353043</v>
      </c>
      <c r="T16" s="131">
        <f>IF(SER_hh_tes_in!T16=0,0,11630*1000*SER_hh_tes_in!T16/SER_hh_num_in!T16)</f>
        <v>22576.434316144925</v>
      </c>
      <c r="U16" s="131">
        <f>IF(SER_hh_tes_in!U16=0,0,11630*1000*SER_hh_tes_in!U16/SER_hh_num_in!U16)</f>
        <v>22525.916471777648</v>
      </c>
      <c r="V16" s="131">
        <f>IF(SER_hh_tes_in!V16=0,0,11630*1000*SER_hh_tes_in!V16/SER_hh_num_in!V16)</f>
        <v>19874.537905762369</v>
      </c>
      <c r="W16" s="131">
        <f>IF(SER_hh_tes_in!W16=0,0,11630*1000*SER_hh_tes_in!W16/SER_hh_num_in!W16)</f>
        <v>18991.148197073824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26835.327088641003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26428.342255142743</v>
      </c>
      <c r="G17" s="133">
        <f>IF(SER_hh_tes_in!G17=0,0,11630*1000*SER_hh_tes_in!G17/SER_hh_num_in!G17)</f>
        <v>26509.792983831052</v>
      </c>
      <c r="H17" s="133">
        <f>IF(SER_hh_tes_in!H17=0,0,11630*1000*SER_hh_tes_in!H17/SER_hh_num_in!H17)</f>
        <v>26984.263155558194</v>
      </c>
      <c r="I17" s="133">
        <f>IF(SER_hh_tes_in!I17=0,0,11630*1000*SER_hh_tes_in!I17/SER_hh_num_in!I17)</f>
        <v>27692.258769527572</v>
      </c>
      <c r="J17" s="133">
        <f>IF(SER_hh_tes_in!J17=0,0,11630*1000*SER_hh_tes_in!J17/SER_hh_num_in!J17)</f>
        <v>25789.842446950701</v>
      </c>
      <c r="K17" s="133">
        <f>IF(SER_hh_tes_in!K17=0,0,11630*1000*SER_hh_tes_in!K17/SER_hh_num_in!K17)</f>
        <v>25496.574188844046</v>
      </c>
      <c r="L17" s="133">
        <f>IF(SER_hh_tes_in!L17=0,0,11630*1000*SER_hh_tes_in!L17/SER_hh_num_in!L17)</f>
        <v>26220.194454935339</v>
      </c>
      <c r="M17" s="133">
        <f>IF(SER_hh_tes_in!M17=0,0,11630*1000*SER_hh_tes_in!M17/SER_hh_num_in!M17)</f>
        <v>25467.753105651133</v>
      </c>
      <c r="N17" s="133">
        <f>IF(SER_hh_tes_in!N17=0,0,11630*1000*SER_hh_tes_in!N17/SER_hh_num_in!N17)</f>
        <v>27603.843124462626</v>
      </c>
      <c r="O17" s="133">
        <f>IF(SER_hh_tes_in!O17=0,0,11630*1000*SER_hh_tes_in!O17/SER_hh_num_in!O17)</f>
        <v>26338.326867532371</v>
      </c>
      <c r="P17" s="133">
        <f>IF(SER_hh_tes_in!P17=0,0,11630*1000*SER_hh_tes_in!P17/SER_hh_num_in!P17)</f>
        <v>24096.092192523603</v>
      </c>
      <c r="Q17" s="133">
        <f>IF(SER_hh_tes_in!Q17=0,0,11630*1000*SER_hh_tes_in!Q17/SER_hh_num_in!Q17)</f>
        <v>27658.120014284079</v>
      </c>
      <c r="R17" s="133">
        <f>IF(SER_hh_tes_in!R17=0,0,11630*1000*SER_hh_tes_in!R17/SER_hh_num_in!R17)</f>
        <v>23589.421741642047</v>
      </c>
      <c r="S17" s="133">
        <f>IF(SER_hh_tes_in!S17=0,0,11630*1000*SER_hh_tes_in!S17/SER_hh_num_in!S17)</f>
        <v>24296.205478586613</v>
      </c>
      <c r="T17" s="133">
        <f>IF(SER_hh_tes_in!T17=0,0,11630*1000*SER_hh_tes_in!T17/SER_hh_num_in!T17)</f>
        <v>23189.105753146658</v>
      </c>
      <c r="U17" s="133">
        <f>IF(SER_hh_tes_in!U17=0,0,11630*1000*SER_hh_tes_in!U17/SER_hh_num_in!U17)</f>
        <v>22928.553806914355</v>
      </c>
      <c r="V17" s="133">
        <f>IF(SER_hh_tes_in!V17=0,0,11630*1000*SER_hh_tes_in!V17/SER_hh_num_in!V17)</f>
        <v>21602.884540097075</v>
      </c>
      <c r="W17" s="133">
        <f>IF(SER_hh_tes_in!W17=0,0,11630*1000*SER_hh_tes_in!W17/SER_hh_num_in!W17)</f>
        <v>18506.790847072705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26781.619915401505</v>
      </c>
      <c r="D18" s="133">
        <f>IF(SER_hh_tes_in!D18=0,0,11630*1000*SER_hh_tes_in!D18/SER_hh_num_in!D18)</f>
        <v>27090.387691325042</v>
      </c>
      <c r="E18" s="133">
        <f>IF(SER_hh_tes_in!E18=0,0,11630*1000*SER_hh_tes_in!E18/SER_hh_num_in!E18)</f>
        <v>27216.00200854893</v>
      </c>
      <c r="F18" s="133">
        <f>IF(SER_hh_tes_in!F18=0,0,11630*1000*SER_hh_tes_in!F18/SER_hh_num_in!F18)</f>
        <v>26068.554825694486</v>
      </c>
      <c r="G18" s="133">
        <f>IF(SER_hh_tes_in!G18=0,0,11630*1000*SER_hh_tes_in!G18/SER_hh_num_in!G18)</f>
        <v>26122.427888306302</v>
      </c>
      <c r="H18" s="133">
        <f>IF(SER_hh_tes_in!H18=0,0,11630*1000*SER_hh_tes_in!H18/SER_hh_num_in!H18)</f>
        <v>26712.200336303129</v>
      </c>
      <c r="I18" s="133">
        <f>IF(SER_hh_tes_in!I18=0,0,11630*1000*SER_hh_tes_in!I18/SER_hh_num_in!I18)</f>
        <v>27612.515002385582</v>
      </c>
      <c r="J18" s="133">
        <f>IF(SER_hh_tes_in!J18=0,0,11630*1000*SER_hh_tes_in!J18/SER_hh_num_in!J18)</f>
        <v>25775.69323040812</v>
      </c>
      <c r="K18" s="133">
        <f>IF(SER_hh_tes_in!K18=0,0,11630*1000*SER_hh_tes_in!K18/SER_hh_num_in!K18)</f>
        <v>25584.266208399938</v>
      </c>
      <c r="L18" s="133">
        <f>IF(SER_hh_tes_in!L18=0,0,11630*1000*SER_hh_tes_in!L18/SER_hh_num_in!L18)</f>
        <v>26309.296497971834</v>
      </c>
      <c r="M18" s="133">
        <f>IF(SER_hh_tes_in!M18=0,0,11630*1000*SER_hh_tes_in!M18/SER_hh_num_in!M18)</f>
        <v>25405.785658073837</v>
      </c>
      <c r="N18" s="133">
        <f>IF(SER_hh_tes_in!N18=0,0,11630*1000*SER_hh_tes_in!N18/SER_hh_num_in!N18)</f>
        <v>27614.426639406145</v>
      </c>
      <c r="O18" s="133">
        <f>IF(SER_hh_tes_in!O18=0,0,11630*1000*SER_hh_tes_in!O18/SER_hh_num_in!O18)</f>
        <v>26125.963502762232</v>
      </c>
      <c r="P18" s="133">
        <f>IF(SER_hh_tes_in!P18=0,0,11630*1000*SER_hh_tes_in!P18/SER_hh_num_in!P18)</f>
        <v>23597.235949857732</v>
      </c>
      <c r="Q18" s="133">
        <f>IF(SER_hh_tes_in!Q18=0,0,11630*1000*SER_hh_tes_in!Q18/SER_hh_num_in!Q18)</f>
        <v>27320.151545853711</v>
      </c>
      <c r="R18" s="133">
        <f>IF(SER_hh_tes_in!R18=0,0,11630*1000*SER_hh_tes_in!R18/SER_hh_num_in!R18)</f>
        <v>22728.599097774564</v>
      </c>
      <c r="S18" s="133">
        <f>IF(SER_hh_tes_in!S18=0,0,11630*1000*SER_hh_tes_in!S18/SER_hh_num_in!S18)</f>
        <v>23633.120678670319</v>
      </c>
      <c r="T18" s="133">
        <f>IF(SER_hh_tes_in!T18=0,0,11630*1000*SER_hh_tes_in!T18/SER_hh_num_in!T18)</f>
        <v>22561.726069342592</v>
      </c>
      <c r="U18" s="133">
        <f>IF(SER_hh_tes_in!U18=0,0,11630*1000*SER_hh_tes_in!U18/SER_hh_num_in!U18)</f>
        <v>22519.171115490029</v>
      </c>
      <c r="V18" s="133">
        <f>IF(SER_hh_tes_in!V18=0,0,11630*1000*SER_hh_tes_in!V18/SER_hh_num_in!V18)</f>
        <v>19811.550909799691</v>
      </c>
      <c r="W18" s="133">
        <f>IF(SER_hh_tes_in!W18=0,0,11630*1000*SER_hh_tes_in!W18/SER_hh_num_in!W18)</f>
        <v>19003.143348283909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25722.572129286389</v>
      </c>
      <c r="D19" s="131">
        <f>IF(SER_hh_tes_in!D19=0,0,11630*1000*SER_hh_tes_in!D19/SER_hh_num_in!D19)</f>
        <v>26123.051955138133</v>
      </c>
      <c r="E19" s="131">
        <f>IF(SER_hh_tes_in!E19=0,0,11630*1000*SER_hh_tes_in!E19/SER_hh_num_in!E19)</f>
        <v>25217.511190050544</v>
      </c>
      <c r="F19" s="131">
        <f>IF(SER_hh_tes_in!F19=0,0,11630*1000*SER_hh_tes_in!F19/SER_hh_num_in!F19)</f>
        <v>24074.774715223644</v>
      </c>
      <c r="G19" s="131">
        <f>IF(SER_hh_tes_in!G19=0,0,11630*1000*SER_hh_tes_in!G19/SER_hh_num_in!G19)</f>
        <v>25759.987310953078</v>
      </c>
      <c r="H19" s="131">
        <f>IF(SER_hh_tes_in!H19=0,0,11630*1000*SER_hh_tes_in!H19/SER_hh_num_in!H19)</f>
        <v>25521.035360096135</v>
      </c>
      <c r="I19" s="131">
        <f>IF(SER_hh_tes_in!I19=0,0,11630*1000*SER_hh_tes_in!I19/SER_hh_num_in!I19)</f>
        <v>25507.148191558234</v>
      </c>
      <c r="J19" s="131">
        <f>IF(SER_hh_tes_in!J19=0,0,11630*1000*SER_hh_tes_in!J19/SER_hh_num_in!J19)</f>
        <v>25287.749618248494</v>
      </c>
      <c r="K19" s="131">
        <f>IF(SER_hh_tes_in!K19=0,0,11630*1000*SER_hh_tes_in!K19/SER_hh_num_in!K19)</f>
        <v>25864.538006245748</v>
      </c>
      <c r="L19" s="131">
        <f>IF(SER_hh_tes_in!L19=0,0,11630*1000*SER_hh_tes_in!L19/SER_hh_num_in!L19)</f>
        <v>25944.816177261753</v>
      </c>
      <c r="M19" s="131">
        <f>IF(SER_hh_tes_in!M19=0,0,11630*1000*SER_hh_tes_in!M19/SER_hh_num_in!M19)</f>
        <v>25175.280942207235</v>
      </c>
      <c r="N19" s="131">
        <f>IF(SER_hh_tes_in!N19=0,0,11630*1000*SER_hh_tes_in!N19/SER_hh_num_in!N19)</f>
        <v>26173.49184197771</v>
      </c>
      <c r="O19" s="131">
        <f>IF(SER_hh_tes_in!O19=0,0,11630*1000*SER_hh_tes_in!O19/SER_hh_num_in!O19)</f>
        <v>26242.534842904341</v>
      </c>
      <c r="P19" s="131">
        <f>IF(SER_hh_tes_in!P19=0,0,11630*1000*SER_hh_tes_in!P19/SER_hh_num_in!P19)</f>
        <v>26664.726561805135</v>
      </c>
      <c r="Q19" s="131">
        <f>IF(SER_hh_tes_in!Q19=0,0,11630*1000*SER_hh_tes_in!Q19/SER_hh_num_in!Q19)</f>
        <v>24606.292137300436</v>
      </c>
      <c r="R19" s="131">
        <f>IF(SER_hh_tes_in!R19=0,0,11630*1000*SER_hh_tes_in!R19/SER_hh_num_in!R19)</f>
        <v>26169.118705263387</v>
      </c>
      <c r="S19" s="131">
        <f>IF(SER_hh_tes_in!S19=0,0,11630*1000*SER_hh_tes_in!S19/SER_hh_num_in!S19)</f>
        <v>25806.633107628499</v>
      </c>
      <c r="T19" s="131">
        <f>IF(SER_hh_tes_in!T19=0,0,11630*1000*SER_hh_tes_in!T19/SER_hh_num_in!T19)</f>
        <v>25111.409955701907</v>
      </c>
      <c r="U19" s="131">
        <f>IF(SER_hh_tes_in!U19=0,0,11630*1000*SER_hh_tes_in!U19/SER_hh_num_in!U19)</f>
        <v>24633.13709671469</v>
      </c>
      <c r="V19" s="131">
        <f>IF(SER_hh_tes_in!V19=0,0,11630*1000*SER_hh_tes_in!V19/SER_hh_num_in!V19)</f>
        <v>25200.866609128134</v>
      </c>
      <c r="W19" s="131">
        <f>IF(SER_hh_tes_in!W19=0,0,11630*1000*SER_hh_tes_in!W19/SER_hh_num_in!W19)</f>
        <v>22720.721678763002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20059.773358120092</v>
      </c>
      <c r="I20" s="133">
        <f>IF(SER_hh_tes_in!I20=0,0,11630*1000*SER_hh_tes_in!I20/SER_hh_num_in!I20)</f>
        <v>27777.593743617235</v>
      </c>
      <c r="J20" s="133">
        <f>IF(SER_hh_tes_in!J20=0,0,11630*1000*SER_hh_tes_in!J20/SER_hh_num_in!J20)</f>
        <v>27440.484068094087</v>
      </c>
      <c r="K20" s="133">
        <f>IF(SER_hh_tes_in!K20=0,0,11630*1000*SER_hh_tes_in!K20/SER_hh_num_in!K20)</f>
        <v>27187.780279672701</v>
      </c>
      <c r="L20" s="133">
        <f>IF(SER_hh_tes_in!L20=0,0,11630*1000*SER_hh_tes_in!L20/SER_hh_num_in!L20)</f>
        <v>25705.143905939552</v>
      </c>
      <c r="M20" s="133">
        <f>IF(SER_hh_tes_in!M20=0,0,11630*1000*SER_hh_tes_in!M20/SER_hh_num_in!M20)</f>
        <v>25524.42379301344</v>
      </c>
      <c r="N20" s="133">
        <f>IF(SER_hh_tes_in!N20=0,0,11630*1000*SER_hh_tes_in!N20/SER_hh_num_in!N20)</f>
        <v>26037.940053070353</v>
      </c>
      <c r="O20" s="133">
        <f>IF(SER_hh_tes_in!O20=0,0,11630*1000*SER_hh_tes_in!O20/SER_hh_num_in!O20)</f>
        <v>25745.097293940242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25180.007268157315</v>
      </c>
      <c r="U20" s="133">
        <f>IF(SER_hh_tes_in!U20=0,0,11630*1000*SER_hh_tes_in!U20/SER_hh_num_in!U20)</f>
        <v>35985.704681226336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0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0</v>
      </c>
      <c r="L22" s="133">
        <f>IF(SER_hh_tes_in!L22=0,0,11630*1000*SER_hh_tes_in!L22/SER_hh_num_in!L22)</f>
        <v>0</v>
      </c>
      <c r="M22" s="133">
        <f>IF(SER_hh_tes_in!M22=0,0,11630*1000*SER_hh_tes_in!M22/SER_hh_num_in!M22)</f>
        <v>0</v>
      </c>
      <c r="N22" s="133">
        <f>IF(SER_hh_tes_in!N22=0,0,11630*1000*SER_hh_tes_in!N22/SER_hh_num_in!N22)</f>
        <v>0</v>
      </c>
      <c r="O22" s="133">
        <f>IF(SER_hh_tes_in!O22=0,0,11630*1000*SER_hh_tes_in!O22/SER_hh_num_in!O22)</f>
        <v>0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27291.235756672424</v>
      </c>
      <c r="D23" s="133">
        <f>IF(SER_hh_tes_in!D23=0,0,11630*1000*SER_hh_tes_in!D23/SER_hh_num_in!D23)</f>
        <v>27359.074770267853</v>
      </c>
      <c r="E23" s="133">
        <f>IF(SER_hh_tes_in!E23=0,0,11630*1000*SER_hh_tes_in!E23/SER_hh_num_in!E23)</f>
        <v>24638.600792788286</v>
      </c>
      <c r="F23" s="133">
        <f>IF(SER_hh_tes_in!F23=0,0,11630*1000*SER_hh_tes_in!F23/SER_hh_num_in!F23)</f>
        <v>25735.67762721789</v>
      </c>
      <c r="G23" s="133">
        <f>IF(SER_hh_tes_in!G23=0,0,11630*1000*SER_hh_tes_in!G23/SER_hh_num_in!G23)</f>
        <v>24750.017576984395</v>
      </c>
      <c r="H23" s="133">
        <f>IF(SER_hh_tes_in!H23=0,0,11630*1000*SER_hh_tes_in!H23/SER_hh_num_in!H23)</f>
        <v>24703.646036079313</v>
      </c>
      <c r="I23" s="133">
        <f>IF(SER_hh_tes_in!I23=0,0,11630*1000*SER_hh_tes_in!I23/SER_hh_num_in!I23)</f>
        <v>26326.564255534242</v>
      </c>
      <c r="J23" s="133">
        <f>IF(SER_hh_tes_in!J23=0,0,11630*1000*SER_hh_tes_in!J23/SER_hh_num_in!J23)</f>
        <v>25724.187506402235</v>
      </c>
      <c r="K23" s="133">
        <f>IF(SER_hh_tes_in!K23=0,0,11630*1000*SER_hh_tes_in!K23/SER_hh_num_in!K23)</f>
        <v>24759.127487972222</v>
      </c>
      <c r="L23" s="133">
        <f>IF(SER_hh_tes_in!L23=0,0,11630*1000*SER_hh_tes_in!L23/SER_hh_num_in!L23)</f>
        <v>24832.525560615668</v>
      </c>
      <c r="M23" s="133">
        <f>IF(SER_hh_tes_in!M23=0,0,11630*1000*SER_hh_tes_in!M23/SER_hh_num_in!M23)</f>
        <v>23297.067272878765</v>
      </c>
      <c r="N23" s="133">
        <f>IF(SER_hh_tes_in!N23=0,0,11630*1000*SER_hh_tes_in!N23/SER_hh_num_in!N23)</f>
        <v>26500.188934995836</v>
      </c>
      <c r="O23" s="133">
        <f>IF(SER_hh_tes_in!O23=0,0,11630*1000*SER_hh_tes_in!O23/SER_hh_num_in!O23)</f>
        <v>26977.140857660288</v>
      </c>
      <c r="P23" s="133">
        <f>IF(SER_hh_tes_in!P23=0,0,11630*1000*SER_hh_tes_in!P23/SER_hh_num_in!P23)</f>
        <v>23006.499268585187</v>
      </c>
      <c r="Q23" s="133">
        <f>IF(SER_hh_tes_in!Q23=0,0,11630*1000*SER_hh_tes_in!Q23/SER_hh_num_in!Q23)</f>
        <v>27766.690557700411</v>
      </c>
      <c r="R23" s="133">
        <f>IF(SER_hh_tes_in!R23=0,0,11630*1000*SER_hh_tes_in!R23/SER_hh_num_in!R23)</f>
        <v>28010.665609979387</v>
      </c>
      <c r="S23" s="133">
        <f>IF(SER_hh_tes_in!S23=0,0,11630*1000*SER_hh_tes_in!S23/SER_hh_num_in!S23)</f>
        <v>26682.725971344062</v>
      </c>
      <c r="T23" s="133">
        <f>IF(SER_hh_tes_in!T23=0,0,11630*1000*SER_hh_tes_in!T23/SER_hh_num_in!T23)</f>
        <v>0</v>
      </c>
      <c r="U23" s="133">
        <f>IF(SER_hh_tes_in!U23=0,0,11630*1000*SER_hh_tes_in!U23/SER_hh_num_in!U23)</f>
        <v>0</v>
      </c>
      <c r="V23" s="133">
        <f>IF(SER_hh_tes_in!V23=0,0,11630*1000*SER_hh_tes_in!V23/SER_hh_num_in!V23)</f>
        <v>0</v>
      </c>
      <c r="W23" s="133">
        <f>IF(SER_hh_tes_in!W23=0,0,11630*1000*SER_hh_tes_in!W23/SER_hh_num_in!W23)</f>
        <v>28260.778545552588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23078.364191953122</v>
      </c>
      <c r="D25" s="133">
        <f>IF(SER_hh_tes_in!D25=0,0,11630*1000*SER_hh_tes_in!D25/SER_hh_num_in!D25)</f>
        <v>25574.002846893556</v>
      </c>
      <c r="E25" s="133">
        <f>IF(SER_hh_tes_in!E25=0,0,11630*1000*SER_hh_tes_in!E25/SER_hh_num_in!E25)</f>
        <v>27343.491214708363</v>
      </c>
      <c r="F25" s="133">
        <f>IF(SER_hh_tes_in!F25=0,0,11630*1000*SER_hh_tes_in!F25/SER_hh_num_in!F25)</f>
        <v>35420.790859126224</v>
      </c>
      <c r="G25" s="133">
        <f>IF(SER_hh_tes_in!G25=0,0,11630*1000*SER_hh_tes_in!G25/SER_hh_num_in!G25)</f>
        <v>25974.200269618024</v>
      </c>
      <c r="H25" s="133">
        <f>IF(SER_hh_tes_in!H25=0,0,11630*1000*SER_hh_tes_in!H25/SER_hh_num_in!H25)</f>
        <v>23443.132046846833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25186.438903586535</v>
      </c>
      <c r="K25" s="133">
        <f>IF(SER_hh_tes_in!K25=0,0,11630*1000*SER_hh_tes_in!K25/SER_hh_num_in!K25)</f>
        <v>26119.290053536537</v>
      </c>
      <c r="L25" s="133">
        <f>IF(SER_hh_tes_in!L25=0,0,11630*1000*SER_hh_tes_in!L25/SER_hh_num_in!L25)</f>
        <v>24054.859381153339</v>
      </c>
      <c r="M25" s="133">
        <f>IF(SER_hh_tes_in!M25=0,0,11630*1000*SER_hh_tes_in!M25/SER_hh_num_in!M25)</f>
        <v>25859.741610933059</v>
      </c>
      <c r="N25" s="133">
        <f>IF(SER_hh_tes_in!N25=0,0,11630*1000*SER_hh_tes_in!N25/SER_hh_num_in!N25)</f>
        <v>28345.050801284062</v>
      </c>
      <c r="O25" s="133">
        <f>IF(SER_hh_tes_in!O25=0,0,11630*1000*SER_hh_tes_in!O25/SER_hh_num_in!O25)</f>
        <v>21129.231392791386</v>
      </c>
      <c r="P25" s="133">
        <f>IF(SER_hh_tes_in!P25=0,0,11630*1000*SER_hh_tes_in!P25/SER_hh_num_in!P25)</f>
        <v>17483.907600644856</v>
      </c>
      <c r="Q25" s="133">
        <f>IF(SER_hh_tes_in!Q25=0,0,11630*1000*SER_hh_tes_in!Q25/SER_hh_num_in!Q25)</f>
        <v>10319.724421429091</v>
      </c>
      <c r="R25" s="133">
        <f>IF(SER_hh_tes_in!R25=0,0,11630*1000*SER_hh_tes_in!R25/SER_hh_num_in!R25)</f>
        <v>34270.854380570701</v>
      </c>
      <c r="S25" s="133">
        <f>IF(SER_hh_tes_in!S25=0,0,11630*1000*SER_hh_tes_in!S25/SER_hh_num_in!S25)</f>
        <v>31729.276596444728</v>
      </c>
      <c r="T25" s="133">
        <f>IF(SER_hh_tes_in!T25=0,0,11630*1000*SER_hh_tes_in!T25/SER_hh_num_in!T25)</f>
        <v>30044.598671125666</v>
      </c>
      <c r="U25" s="133">
        <f>IF(SER_hh_tes_in!U25=0,0,11630*1000*SER_hh_tes_in!U25/SER_hh_num_in!U25)</f>
        <v>27358.874461476189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0</v>
      </c>
      <c r="D26" s="65">
        <f>IF(SER_hh_tes_in!D26=0,0,11630*1000*SER_hh_tes_in!D26/SER_hh_num_in!D26)</f>
        <v>23779.444625445904</v>
      </c>
      <c r="E26" s="65">
        <f>IF(SER_hh_tes_in!E26=0,0,11630*1000*SER_hh_tes_in!E26/SER_hh_num_in!E26)</f>
        <v>24582.661091905866</v>
      </c>
      <c r="F26" s="65">
        <f>IF(SER_hh_tes_in!F26=0,0,11630*1000*SER_hh_tes_in!F26/SER_hh_num_in!F26)</f>
        <v>21515.197865699971</v>
      </c>
      <c r="G26" s="65">
        <f>IF(SER_hh_tes_in!G26=0,0,11630*1000*SER_hh_tes_in!G26/SER_hh_num_in!G26)</f>
        <v>25720.421564593922</v>
      </c>
      <c r="H26" s="65">
        <f>IF(SER_hh_tes_in!H26=0,0,11630*1000*SER_hh_tes_in!H26/SER_hh_num_in!H26)</f>
        <v>26855.715341222774</v>
      </c>
      <c r="I26" s="65">
        <f>IF(SER_hh_tes_in!I26=0,0,11630*1000*SER_hh_tes_in!I26/SER_hh_num_in!I26)</f>
        <v>24724.042659197476</v>
      </c>
      <c r="J26" s="65">
        <f>IF(SER_hh_tes_in!J26=0,0,11630*1000*SER_hh_tes_in!J26/SER_hh_num_in!J26)</f>
        <v>24462.31294859395</v>
      </c>
      <c r="K26" s="65">
        <f>IF(SER_hh_tes_in!K26=0,0,11630*1000*SER_hh_tes_in!K26/SER_hh_num_in!K26)</f>
        <v>25885.621731559695</v>
      </c>
      <c r="L26" s="65">
        <f>IF(SER_hh_tes_in!L26=0,0,11630*1000*SER_hh_tes_in!L26/SER_hh_num_in!L26)</f>
        <v>18307.195027174115</v>
      </c>
      <c r="M26" s="65">
        <f>IF(SER_hh_tes_in!M26=0,0,11630*1000*SER_hh_tes_in!M26/SER_hh_num_in!M26)</f>
        <v>23913.426335528748</v>
      </c>
      <c r="N26" s="65">
        <f>IF(SER_hh_tes_in!N26=0,0,11630*1000*SER_hh_tes_in!N26/SER_hh_num_in!N26)</f>
        <v>25071.225672147299</v>
      </c>
      <c r="O26" s="65">
        <f>IF(SER_hh_tes_in!O26=0,0,11630*1000*SER_hh_tes_in!O26/SER_hh_num_in!O26)</f>
        <v>26006.365591972157</v>
      </c>
      <c r="P26" s="65">
        <f>IF(SER_hh_tes_in!P26=0,0,11630*1000*SER_hh_tes_in!P26/SER_hh_num_in!P26)</f>
        <v>7721.1639444644316</v>
      </c>
      <c r="Q26" s="65">
        <f>IF(SER_hh_tes_in!Q26=0,0,11630*1000*SER_hh_tes_in!Q26/SER_hh_num_in!Q26)</f>
        <v>26467.3014096474</v>
      </c>
      <c r="R26" s="65">
        <f>IF(SER_hh_tes_in!R26=0,0,11630*1000*SER_hh_tes_in!R26/SER_hh_num_in!R26)</f>
        <v>22762.492252493688</v>
      </c>
      <c r="S26" s="65">
        <f>IF(SER_hh_tes_in!S26=0,0,11630*1000*SER_hh_tes_in!S26/SER_hh_num_in!S26)</f>
        <v>24518.263061463313</v>
      </c>
      <c r="T26" s="65">
        <f>IF(SER_hh_tes_in!T26=0,0,11630*1000*SER_hh_tes_in!T26/SER_hh_num_in!T26)</f>
        <v>23704.87825119383</v>
      </c>
      <c r="U26" s="65">
        <f>IF(SER_hh_tes_in!U26=0,0,11630*1000*SER_hh_tes_in!U26/SER_hh_num_in!U26)</f>
        <v>24431.665239238409</v>
      </c>
      <c r="V26" s="65">
        <f>IF(SER_hh_tes_in!V26=0,0,11630*1000*SER_hh_tes_in!V26/SER_hh_num_in!V26)</f>
        <v>23948.805359203649</v>
      </c>
      <c r="W26" s="65">
        <f>IF(SER_hh_tes_in!W26=0,0,11630*1000*SER_hh_tes_in!W26/SER_hh_num_in!W26)</f>
        <v>22217.15738404389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211.61076344274858</v>
      </c>
      <c r="H27" s="146">
        <f>IF(SER_hh_tes_in!H27=0,0,11630*1000*SER_hh_tes_in!H27/SER_hh_num_in!H19)</f>
        <v>1.8391368361391592E-14</v>
      </c>
      <c r="I27" s="146">
        <f>IF(SER_hh_tes_in!I27=0,0,11630*1000*SER_hh_tes_in!I27/SER_hh_num_in!I19)</f>
        <v>1.7785373830117561</v>
      </c>
      <c r="J27" s="146">
        <f>IF(SER_hh_tes_in!J27=0,0,11630*1000*SER_hh_tes_in!J27/SER_hh_num_in!J19)</f>
        <v>0.78943838594102134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4852.3800393396377</v>
      </c>
      <c r="M27" s="146">
        <f>IF(SER_hh_tes_in!M27=0,0,11630*1000*SER_hh_tes_in!M27/SER_hh_num_in!M19)</f>
        <v>1311.0233454749123</v>
      </c>
      <c r="N27" s="146">
        <f>IF(SER_hh_tes_in!N27=0,0,11630*1000*SER_hh_tes_in!N27/SER_hh_num_in!N19)</f>
        <v>74.501537805335019</v>
      </c>
      <c r="O27" s="146">
        <f>IF(SER_hh_tes_in!O27=0,0,11630*1000*SER_hh_tes_in!O27/SER_hh_num_in!O19)</f>
        <v>8.9861216261036215E-13</v>
      </c>
      <c r="P27" s="146">
        <f>IF(SER_hh_tes_in!P27=0,0,11630*1000*SER_hh_tes_in!P27/SER_hh_num_in!P19)</f>
        <v>10658.698253590603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649.28232812459009</v>
      </c>
      <c r="S27" s="146">
        <f>IF(SER_hh_tes_in!S27=0,0,11630*1000*SER_hh_tes_in!S27/SER_hh_num_in!S19)</f>
        <v>2.5794433695360424E-12</v>
      </c>
      <c r="T27" s="146">
        <f>IF(SER_hh_tes_in!T27=0,0,11630*1000*SER_hh_tes_in!T27/SER_hh_num_in!T19)</f>
        <v>854.51407205640362</v>
      </c>
      <c r="U27" s="146">
        <f>IF(SER_hh_tes_in!U27=0,0,11630*1000*SER_hh_tes_in!U27/SER_hh_num_in!U19)</f>
        <v>85.828655933123486</v>
      </c>
      <c r="V27" s="146">
        <f>IF(SER_hh_tes_in!V27=0,0,11630*1000*SER_hh_tes_in!V27/SER_hh_num_in!V19)</f>
        <v>1252.0612499244844</v>
      </c>
      <c r="W27" s="146">
        <f>IF(SER_hh_tes_in!W27=0,0,11630*1000*SER_hh_tes_in!W27/SER_hh_num_in!W19)</f>
        <v>1.9851251078684413E-2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17815.211369357108</v>
      </c>
      <c r="H28" s="147">
        <f>IF(SER_hh_tes_in!H27=0,0,11630*1000*SER_hh_tes_in!H27/SER_hh_num_in!H27)</f>
        <v>17860.679117401771</v>
      </c>
      <c r="I28" s="147">
        <f>IF(SER_hh_tes_in!I27=0,0,11630*1000*SER_hh_tes_in!I27/SER_hh_num_in!I27)</f>
        <v>18021.815577600362</v>
      </c>
      <c r="J28" s="147">
        <f>IF(SER_hh_tes_in!J27=0,0,11630*1000*SER_hh_tes_in!J27/SER_hh_num_in!J27)</f>
        <v>17763.785926106091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17092.444236434858</v>
      </c>
      <c r="M28" s="147">
        <f>IF(SER_hh_tes_in!M27=0,0,11630*1000*SER_hh_tes_in!M27/SER_hh_num_in!M27)</f>
        <v>18064.400199045253</v>
      </c>
      <c r="N28" s="147">
        <f>IF(SER_hh_tes_in!N27=0,0,11630*1000*SER_hh_tes_in!N27/SER_hh_num_in!N27)</f>
        <v>19345.382264495252</v>
      </c>
      <c r="O28" s="147">
        <f>IF(SER_hh_tes_in!O27=0,0,11630*1000*SER_hh_tes_in!O27/SER_hh_num_in!O27)</f>
        <v>18171.438094912501</v>
      </c>
      <c r="P28" s="147">
        <f>IF(SER_hh_tes_in!P27=0,0,11630*1000*SER_hh_tes_in!P27/SER_hh_num_in!P27)</f>
        <v>18219.275835910747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17459.547518677202</v>
      </c>
      <c r="S28" s="147">
        <f>IF(SER_hh_tes_in!S27=0,0,11630*1000*SER_hh_tes_in!S27/SER_hh_num_in!S27)</f>
        <v>18492.312325364146</v>
      </c>
      <c r="T28" s="147">
        <f>IF(SER_hh_tes_in!T27=0,0,11630*1000*SER_hh_tes_in!T27/SER_hh_num_in!T27)</f>
        <v>18036.180617087794</v>
      </c>
      <c r="U28" s="147">
        <f>IF(SER_hh_tes_in!U27=0,0,11630*1000*SER_hh_tes_in!U27/SER_hh_num_in!U27)</f>
        <v>18668.195856741015</v>
      </c>
      <c r="V28" s="147">
        <f>IF(SER_hh_tes_in!V27=0,0,11630*1000*SER_hh_tes_in!V27/SER_hh_num_in!V27)</f>
        <v>17732.120207084718</v>
      </c>
      <c r="W28" s="147">
        <f>IF(SER_hh_tes_in!W27=0,0,11630*1000*SER_hh_tes_in!W27/SER_hh_num_in!W27)</f>
        <v>17023.529256391343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21157.857807115222</v>
      </c>
      <c r="D29" s="131">
        <f>IF(SER_hh_tes_in!D29=0,0,11630*1000*SER_hh_tes_in!D29/SER_hh_num_in!D29)</f>
        <v>29895.317992831817</v>
      </c>
      <c r="E29" s="131">
        <f>IF(SER_hh_tes_in!E29=0,0,11630*1000*SER_hh_tes_in!E29/SER_hh_num_in!E29)</f>
        <v>25315.919621520996</v>
      </c>
      <c r="F29" s="131">
        <f>IF(SER_hh_tes_in!F29=0,0,11630*1000*SER_hh_tes_in!F29/SER_hh_num_in!F29)</f>
        <v>26013.54976378338</v>
      </c>
      <c r="G29" s="131">
        <f>IF(SER_hh_tes_in!G29=0,0,11630*1000*SER_hh_tes_in!G29/SER_hh_num_in!G29)</f>
        <v>28372.974563094664</v>
      </c>
      <c r="H29" s="131">
        <f>IF(SER_hh_tes_in!H29=0,0,11630*1000*SER_hh_tes_in!H29/SER_hh_num_in!H29)</f>
        <v>26946.384840832907</v>
      </c>
      <c r="I29" s="131">
        <f>IF(SER_hh_tes_in!I29=0,0,11630*1000*SER_hh_tes_in!I29/SER_hh_num_in!I29)</f>
        <v>28112.115169630866</v>
      </c>
      <c r="J29" s="131">
        <f>IF(SER_hh_tes_in!J29=0,0,11630*1000*SER_hh_tes_in!J29/SER_hh_num_in!J29)</f>
        <v>28011.049667116546</v>
      </c>
      <c r="K29" s="131">
        <f>IF(SER_hh_tes_in!K29=0,0,11630*1000*SER_hh_tes_in!K29/SER_hh_num_in!K29)</f>
        <v>27300.488204900201</v>
      </c>
      <c r="L29" s="131">
        <f>IF(SER_hh_tes_in!L29=0,0,11630*1000*SER_hh_tes_in!L29/SER_hh_num_in!L29)</f>
        <v>27033.280849434734</v>
      </c>
      <c r="M29" s="131">
        <f>IF(SER_hh_tes_in!M29=0,0,11630*1000*SER_hh_tes_in!M29/SER_hh_num_in!M29)</f>
        <v>28464.676354320971</v>
      </c>
      <c r="N29" s="131">
        <f>IF(SER_hh_tes_in!N29=0,0,11630*1000*SER_hh_tes_in!N29/SER_hh_num_in!N29)</f>
        <v>26338.86140223829</v>
      </c>
      <c r="O29" s="131">
        <f>IF(SER_hh_tes_in!O29=0,0,11630*1000*SER_hh_tes_in!O29/SER_hh_num_in!O29)</f>
        <v>27295.93275989492</v>
      </c>
      <c r="P29" s="131">
        <f>IF(SER_hh_tes_in!P29=0,0,11630*1000*SER_hh_tes_in!P29/SER_hh_num_in!P29)</f>
        <v>26195.635374908128</v>
      </c>
      <c r="Q29" s="131">
        <f>IF(SER_hh_tes_in!Q29=0,0,11630*1000*SER_hh_tes_in!Q29/SER_hh_num_in!Q29)</f>
        <v>26118.537987042902</v>
      </c>
      <c r="R29" s="131">
        <f>IF(SER_hh_tes_in!R29=0,0,11630*1000*SER_hh_tes_in!R29/SER_hh_num_in!R29)</f>
        <v>25438.432323795518</v>
      </c>
      <c r="S29" s="131">
        <f>IF(SER_hh_tes_in!S29=0,0,11630*1000*SER_hh_tes_in!S29/SER_hh_num_in!S29)</f>
        <v>25625.324024127392</v>
      </c>
      <c r="T29" s="131">
        <f>IF(SER_hh_tes_in!T29=0,0,11630*1000*SER_hh_tes_in!T29/SER_hh_num_in!T29)</f>
        <v>25583.622017424928</v>
      </c>
      <c r="U29" s="131">
        <f>IF(SER_hh_tes_in!U29=0,0,11630*1000*SER_hh_tes_in!U29/SER_hh_num_in!U29)</f>
        <v>25178.056563669514</v>
      </c>
      <c r="V29" s="131">
        <f>IF(SER_hh_tes_in!V29=0,0,11630*1000*SER_hh_tes_in!V29/SER_hh_num_in!V29)</f>
        <v>22922.076592827125</v>
      </c>
      <c r="W29" s="131">
        <f>IF(SER_hh_tes_in!W29=0,0,11630*1000*SER_hh_tes_in!W29/SER_hh_num_in!W29)</f>
        <v>24169.296342115493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19508.877507444769</v>
      </c>
      <c r="D30" s="133">
        <f>IF(SER_hh_tes_in!D30=0,0,11630*1000*SER_hh_tes_in!D30/SER_hh_num_in!D30)</f>
        <v>31315.624738768722</v>
      </c>
      <c r="E30" s="133">
        <f>IF(SER_hh_tes_in!E30=0,0,11630*1000*SER_hh_tes_in!E30/SER_hh_num_in!E30)</f>
        <v>32278.177355782464</v>
      </c>
      <c r="F30" s="133">
        <f>IF(SER_hh_tes_in!F30=0,0,11630*1000*SER_hh_tes_in!F30/SER_hh_num_in!F30)</f>
        <v>34931.900813235239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29937.683051504166</v>
      </c>
      <c r="L30" s="133">
        <f>IF(SER_hh_tes_in!L30=0,0,11630*1000*SER_hh_tes_in!L30/SER_hh_num_in!L30)</f>
        <v>52111.36172701788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30618.039371958053</v>
      </c>
      <c r="O30" s="133">
        <f>IF(SER_hh_tes_in!O30=0,0,11630*1000*SER_hh_tes_in!O30/SER_hh_num_in!O30)</f>
        <v>29546.271070590505</v>
      </c>
      <c r="P30" s="133">
        <f>IF(SER_hh_tes_in!P30=0,0,11630*1000*SER_hh_tes_in!P30/SER_hh_num_in!P30)</f>
        <v>27085.048118661885</v>
      </c>
      <c r="Q30" s="133">
        <f>IF(SER_hh_tes_in!Q30=0,0,11630*1000*SER_hh_tes_in!Q30/SER_hh_num_in!Q30)</f>
        <v>0</v>
      </c>
      <c r="R30" s="133">
        <f>IF(SER_hh_tes_in!R30=0,0,11630*1000*SER_hh_tes_in!R30/SER_hh_num_in!R30)</f>
        <v>0</v>
      </c>
      <c r="S30" s="133">
        <f>IF(SER_hh_tes_in!S30=0,0,11630*1000*SER_hh_tes_in!S30/SER_hh_num_in!S30)</f>
        <v>0</v>
      </c>
      <c r="T30" s="133">
        <f>IF(SER_hh_tes_in!T30=0,0,11630*1000*SER_hh_tes_in!T30/SER_hh_num_in!T30)</f>
        <v>0</v>
      </c>
      <c r="U30" s="133">
        <f>IF(SER_hh_tes_in!U30=0,0,11630*1000*SER_hh_tes_in!U30/SER_hh_num_in!U30)</f>
        <v>0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24081.876450835705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25659.814677524566</v>
      </c>
      <c r="D31" s="133">
        <f>IF(SER_hh_tes_in!D31=0,0,11630*1000*SER_hh_tes_in!D31/SER_hh_num_in!D31)</f>
        <v>27145.697516027441</v>
      </c>
      <c r="E31" s="133">
        <f>IF(SER_hh_tes_in!E31=0,0,11630*1000*SER_hh_tes_in!E31/SER_hh_num_in!E31)</f>
        <v>27091.43986202712</v>
      </c>
      <c r="F31" s="133">
        <f>IF(SER_hh_tes_in!F31=0,0,11630*1000*SER_hh_tes_in!F31/SER_hh_num_in!F31)</f>
        <v>21218.151880565896</v>
      </c>
      <c r="G31" s="133">
        <f>IF(SER_hh_tes_in!G31=0,0,11630*1000*SER_hh_tes_in!G31/SER_hh_num_in!G31)</f>
        <v>28411.388265100733</v>
      </c>
      <c r="H31" s="133">
        <f>IF(SER_hh_tes_in!H31=0,0,11630*1000*SER_hh_tes_in!H31/SER_hh_num_in!H31)</f>
        <v>28346.911359060225</v>
      </c>
      <c r="I31" s="133">
        <f>IF(SER_hh_tes_in!I31=0,0,11630*1000*SER_hh_tes_in!I31/SER_hh_num_in!I31)</f>
        <v>28099.122419123811</v>
      </c>
      <c r="J31" s="133">
        <f>IF(SER_hh_tes_in!J31=0,0,11630*1000*SER_hh_tes_in!J31/SER_hh_num_in!J31)</f>
        <v>27487.920962785578</v>
      </c>
      <c r="K31" s="133">
        <f>IF(SER_hh_tes_in!K31=0,0,11630*1000*SER_hh_tes_in!K31/SER_hh_num_in!K31)</f>
        <v>27179.447789664748</v>
      </c>
      <c r="L31" s="133">
        <f>IF(SER_hh_tes_in!L31=0,0,11630*1000*SER_hh_tes_in!L31/SER_hh_num_in!L31)</f>
        <v>26900.444770227718</v>
      </c>
      <c r="M31" s="133">
        <f>IF(SER_hh_tes_in!M31=0,0,11630*1000*SER_hh_tes_in!M31/SER_hh_num_in!M31)</f>
        <v>24166.128369946178</v>
      </c>
      <c r="N31" s="133">
        <f>IF(SER_hh_tes_in!N31=0,0,11630*1000*SER_hh_tes_in!N31/SER_hh_num_in!N31)</f>
        <v>25283.821726724684</v>
      </c>
      <c r="O31" s="133">
        <f>IF(SER_hh_tes_in!O31=0,0,11630*1000*SER_hh_tes_in!O31/SER_hh_num_in!O31)</f>
        <v>27101.904035998759</v>
      </c>
      <c r="P31" s="133">
        <f>IF(SER_hh_tes_in!P31=0,0,11630*1000*SER_hh_tes_in!P31/SER_hh_num_in!P31)</f>
        <v>26067.704782333323</v>
      </c>
      <c r="Q31" s="133">
        <f>IF(SER_hh_tes_in!Q31=0,0,11630*1000*SER_hh_tes_in!Q31/SER_hh_num_in!Q31)</f>
        <v>27227.89723430467</v>
      </c>
      <c r="R31" s="133">
        <f>IF(SER_hh_tes_in!R31=0,0,11630*1000*SER_hh_tes_in!R31/SER_hh_num_in!R31)</f>
        <v>26905.861580452565</v>
      </c>
      <c r="S31" s="133">
        <f>IF(SER_hh_tes_in!S31=0,0,11630*1000*SER_hh_tes_in!S31/SER_hh_num_in!S31)</f>
        <v>26178.623431650107</v>
      </c>
      <c r="T31" s="133">
        <f>IF(SER_hh_tes_in!T31=0,0,11630*1000*SER_hh_tes_in!T31/SER_hh_num_in!T31)</f>
        <v>23868.618206605312</v>
      </c>
      <c r="U31" s="133">
        <f>IF(SER_hh_tes_in!U31=0,0,11630*1000*SER_hh_tes_in!U31/SER_hh_num_in!U31)</f>
        <v>19833.297037986042</v>
      </c>
      <c r="V31" s="133">
        <f>IF(SER_hh_tes_in!V31=0,0,11630*1000*SER_hh_tes_in!V31/SER_hh_num_in!V31)</f>
        <v>17980.564755605319</v>
      </c>
      <c r="W31" s="133">
        <f>IF(SER_hh_tes_in!W31=0,0,11630*1000*SER_hh_tes_in!W31/SER_hh_num_in!W31)</f>
        <v>29345.384967123551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0</v>
      </c>
      <c r="D33" s="68">
        <f>IF(SER_hh_tes_in!D33=0,0,11630*1000*SER_hh_tes_in!D33/SER_hh_num_in!D33)</f>
        <v>21278.932625766847</v>
      </c>
      <c r="E33" s="68">
        <f>IF(SER_hh_tes_in!E33=0,0,11630*1000*SER_hh_tes_in!E33/SER_hh_num_in!E33)</f>
        <v>22270.930723425576</v>
      </c>
      <c r="F33" s="68">
        <f>IF(SER_hh_tes_in!F33=0,0,11630*1000*SER_hh_tes_in!F33/SER_hh_num_in!F33)</f>
        <v>27477.734028461633</v>
      </c>
      <c r="G33" s="68">
        <f>IF(SER_hh_tes_in!G33=0,0,11630*1000*SER_hh_tes_in!G33/SER_hh_num_in!G33)</f>
        <v>28353.224871195147</v>
      </c>
      <c r="H33" s="68">
        <f>IF(SER_hh_tes_in!H33=0,0,11630*1000*SER_hh_tes_in!H33/SER_hh_num_in!H33)</f>
        <v>25960.624694149697</v>
      </c>
      <c r="I33" s="68">
        <f>IF(SER_hh_tes_in!I33=0,0,11630*1000*SER_hh_tes_in!I33/SER_hh_num_in!I33)</f>
        <v>28119.465631520347</v>
      </c>
      <c r="J33" s="68">
        <f>IF(SER_hh_tes_in!J33=0,0,11630*1000*SER_hh_tes_in!J33/SER_hh_num_in!J33)</f>
        <v>28331.877084008414</v>
      </c>
      <c r="K33" s="68">
        <f>IF(SER_hh_tes_in!K33=0,0,11630*1000*SER_hh_tes_in!K33/SER_hh_num_in!K33)</f>
        <v>26894.378639938364</v>
      </c>
      <c r="L33" s="68">
        <f>IF(SER_hh_tes_in!L33=0,0,11630*1000*SER_hh_tes_in!L33/SER_hh_num_in!L33)</f>
        <v>23383.789673534196</v>
      </c>
      <c r="M33" s="68">
        <f>IF(SER_hh_tes_in!M33=0,0,11630*1000*SER_hh_tes_in!M33/SER_hh_num_in!M33)</f>
        <v>30023.335098621192</v>
      </c>
      <c r="N33" s="68">
        <f>IF(SER_hh_tes_in!N33=0,0,11630*1000*SER_hh_tes_in!N33/SER_hh_num_in!N33)</f>
        <v>26707.003544582094</v>
      </c>
      <c r="O33" s="68">
        <f>IF(SER_hh_tes_in!O33=0,0,11630*1000*SER_hh_tes_in!O33/SER_hh_num_in!O33)</f>
        <v>25265.094569293469</v>
      </c>
      <c r="P33" s="68">
        <f>IF(SER_hh_tes_in!P33=0,0,11630*1000*SER_hh_tes_in!P33/SER_hh_num_in!P33)</f>
        <v>26037.735296690978</v>
      </c>
      <c r="Q33" s="68">
        <f>IF(SER_hh_tes_in!Q33=0,0,11630*1000*SER_hh_tes_in!Q33/SER_hh_num_in!Q33)</f>
        <v>24902.667834010761</v>
      </c>
      <c r="R33" s="68">
        <f>IF(SER_hh_tes_in!R33=0,0,11630*1000*SER_hh_tes_in!R33/SER_hh_num_in!R33)</f>
        <v>24654.861214602246</v>
      </c>
      <c r="S33" s="68">
        <f>IF(SER_hh_tes_in!S33=0,0,11630*1000*SER_hh_tes_in!S33/SER_hh_num_in!S33)</f>
        <v>25517.800225137842</v>
      </c>
      <c r="T33" s="68">
        <f>IF(SER_hh_tes_in!T33=0,0,11630*1000*SER_hh_tes_in!T33/SER_hh_num_in!T33)</f>
        <v>26179.317782187012</v>
      </c>
      <c r="U33" s="68">
        <f>IF(SER_hh_tes_in!U33=0,0,11630*1000*SER_hh_tes_in!U33/SER_hh_num_in!U33)</f>
        <v>28269.079712275059</v>
      </c>
      <c r="V33" s="68">
        <f>IF(SER_hh_tes_in!V33=0,0,11630*1000*SER_hh_tes_in!V33/SER_hh_num_in!V33)</f>
        <v>25698.903618533695</v>
      </c>
      <c r="W33" s="68">
        <f>IF(SER_hh_tes_in!W33=0,0,11630*1000*SER_hh_tes_in!W33/SER_hh_num_in!W33)</f>
        <v>22160.264390864108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20734.48898992041</v>
      </c>
      <c r="D3" s="126">
        <f>IF(SER_hh_emi_in!D3=0,0,1000000*SER_hh_emi_in!D3/SER_hh_num_in!D3)</f>
        <v>18961.004342452634</v>
      </c>
      <c r="E3" s="126">
        <f>IF(SER_hh_emi_in!E3=0,0,1000000*SER_hh_emi_in!E3/SER_hh_num_in!E3)</f>
        <v>9385.1347851437658</v>
      </c>
      <c r="F3" s="126">
        <f>IF(SER_hh_emi_in!F3=0,0,1000000*SER_hh_emi_in!F3/SER_hh_num_in!F3)</f>
        <v>37750.298761887338</v>
      </c>
      <c r="G3" s="126">
        <f>IF(SER_hh_emi_in!G3=0,0,1000000*SER_hh_emi_in!G3/SER_hh_num_in!G3)</f>
        <v>103217.37805806803</v>
      </c>
      <c r="H3" s="126">
        <f>IF(SER_hh_emi_in!H3=0,0,1000000*SER_hh_emi_in!H3/SER_hh_num_in!H3)</f>
        <v>103979.49580647569</v>
      </c>
      <c r="I3" s="126">
        <f>IF(SER_hh_emi_in!I3=0,0,1000000*SER_hh_emi_in!I3/SER_hh_num_in!I3)</f>
        <v>108174.31574705454</v>
      </c>
      <c r="J3" s="126">
        <f>IF(SER_hh_emi_in!J3=0,0,1000000*SER_hh_emi_in!J3/SER_hh_num_in!J3)</f>
        <v>103024.45509545882</v>
      </c>
      <c r="K3" s="126">
        <f>IF(SER_hh_emi_in!K3=0,0,1000000*SER_hh_emi_in!K3/SER_hh_num_in!K3)</f>
        <v>111895.65477877077</v>
      </c>
      <c r="L3" s="126">
        <f>IF(SER_hh_emi_in!L3=0,0,1000000*SER_hh_emi_in!L3/SER_hh_num_in!L3)</f>
        <v>37857.846353272027</v>
      </c>
      <c r="M3" s="126">
        <f>IF(SER_hh_emi_in!M3=0,0,1000000*SER_hh_emi_in!M3/SER_hh_num_in!M3)</f>
        <v>24706.83392950903</v>
      </c>
      <c r="N3" s="126">
        <f>IF(SER_hh_emi_in!N3=0,0,1000000*SER_hh_emi_in!N3/SER_hh_num_in!N3)</f>
        <v>57820.341467489357</v>
      </c>
      <c r="O3" s="126">
        <f>IF(SER_hh_emi_in!O3=0,0,1000000*SER_hh_emi_in!O3/SER_hh_num_in!O3)</f>
        <v>47397.043771856632</v>
      </c>
      <c r="P3" s="126">
        <f>IF(SER_hh_emi_in!P3=0,0,1000000*SER_hh_emi_in!P3/SER_hh_num_in!P3)</f>
        <v>28627.596625417533</v>
      </c>
      <c r="Q3" s="126">
        <f>IF(SER_hh_emi_in!Q3=0,0,1000000*SER_hh_emi_in!Q3/SER_hh_num_in!Q3)</f>
        <v>14289.353467411293</v>
      </c>
      <c r="R3" s="126">
        <f>IF(SER_hh_emi_in!R3=0,0,1000000*SER_hh_emi_in!R3/SER_hh_num_in!R3)</f>
        <v>16575.934692157476</v>
      </c>
      <c r="S3" s="126">
        <f>IF(SER_hh_emi_in!S3=0,0,1000000*SER_hh_emi_in!S3/SER_hh_num_in!S3)</f>
        <v>12500.184441280859</v>
      </c>
      <c r="T3" s="126">
        <f>IF(SER_hh_emi_in!T3=0,0,1000000*SER_hh_emi_in!T3/SER_hh_num_in!T3)</f>
        <v>15143.068584741713</v>
      </c>
      <c r="U3" s="126">
        <f>IF(SER_hh_emi_in!U3=0,0,1000000*SER_hh_emi_in!U3/SER_hh_num_in!U3)</f>
        <v>16006.059256460945</v>
      </c>
      <c r="V3" s="126">
        <f>IF(SER_hh_emi_in!V3=0,0,1000000*SER_hh_emi_in!V3/SER_hh_num_in!V3)</f>
        <v>11458.946122894715</v>
      </c>
      <c r="W3" s="126">
        <f>IF(SER_hh_emi_in!W3=0,0,1000000*SER_hh_emi_in!W3/SER_hh_num_in!W3)</f>
        <v>15193.564433569198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7241.10567481204</v>
      </c>
      <c r="D4" s="131">
        <f>IF(SER_hh_emi_in!D4=0,0,1000000*SER_hh_emi_in!D4/SER_hh_num_in!D4)</f>
        <v>5437.3117348166952</v>
      </c>
      <c r="E4" s="131">
        <f>IF(SER_hh_emi_in!E4=0,0,1000000*SER_hh_emi_in!E4/SER_hh_num_in!E4)</f>
        <v>3142.3915071070601</v>
      </c>
      <c r="F4" s="131">
        <f>IF(SER_hh_emi_in!F4=0,0,1000000*SER_hh_emi_in!F4/SER_hh_num_in!F4)</f>
        <v>30671.587274573634</v>
      </c>
      <c r="G4" s="131">
        <f>IF(SER_hh_emi_in!G4=0,0,1000000*SER_hh_emi_in!G4/SER_hh_num_in!G4)</f>
        <v>98568.770766541507</v>
      </c>
      <c r="H4" s="131">
        <f>IF(SER_hh_emi_in!H4=0,0,1000000*SER_hh_emi_in!H4/SER_hh_num_in!H4)</f>
        <v>97265.555081473009</v>
      </c>
      <c r="I4" s="131">
        <f>IF(SER_hh_emi_in!I4=0,0,1000000*SER_hh_emi_in!I4/SER_hh_num_in!I4)</f>
        <v>100886.57536026258</v>
      </c>
      <c r="J4" s="131">
        <f>IF(SER_hh_emi_in!J4=0,0,1000000*SER_hh_emi_in!J4/SER_hh_num_in!J4)</f>
        <v>95258.794957541031</v>
      </c>
      <c r="K4" s="131">
        <f>IF(SER_hh_emi_in!K4=0,0,1000000*SER_hh_emi_in!K4/SER_hh_num_in!K4)</f>
        <v>102747.15722126121</v>
      </c>
      <c r="L4" s="131">
        <f>IF(SER_hh_emi_in!L4=0,0,1000000*SER_hh_emi_in!L4/SER_hh_num_in!L4)</f>
        <v>30633.008361464024</v>
      </c>
      <c r="M4" s="131">
        <f>IF(SER_hh_emi_in!M4=0,0,1000000*SER_hh_emi_in!M4/SER_hh_num_in!M4)</f>
        <v>18813.865208037452</v>
      </c>
      <c r="N4" s="131">
        <f>IF(SER_hh_emi_in!N4=0,0,1000000*SER_hh_emi_in!N4/SER_hh_num_in!N4)</f>
        <v>44887.763930338813</v>
      </c>
      <c r="O4" s="131">
        <f>IF(SER_hh_emi_in!O4=0,0,1000000*SER_hh_emi_in!O4/SER_hh_num_in!O4)</f>
        <v>34127.008773008514</v>
      </c>
      <c r="P4" s="131">
        <f>IF(SER_hh_emi_in!P4=0,0,1000000*SER_hh_emi_in!P4/SER_hh_num_in!P4)</f>
        <v>18883.062273414591</v>
      </c>
      <c r="Q4" s="131">
        <f>IF(SER_hh_emi_in!Q4=0,0,1000000*SER_hh_emi_in!Q4/SER_hh_num_in!Q4)</f>
        <v>7552.9712957129814</v>
      </c>
      <c r="R4" s="131">
        <f>IF(SER_hh_emi_in!R4=0,0,1000000*SER_hh_emi_in!R4/SER_hh_num_in!R4)</f>
        <v>11820.005181985356</v>
      </c>
      <c r="S4" s="131">
        <f>IF(SER_hh_emi_in!S4=0,0,1000000*SER_hh_emi_in!S4/SER_hh_num_in!S4)</f>
        <v>10207.747194544276</v>
      </c>
      <c r="T4" s="131">
        <f>IF(SER_hh_emi_in!T4=0,0,1000000*SER_hh_emi_in!T4/SER_hh_num_in!T4)</f>
        <v>13169.70621736779</v>
      </c>
      <c r="U4" s="131">
        <f>IF(SER_hh_emi_in!U4=0,0,1000000*SER_hh_emi_in!U4/SER_hh_num_in!U4)</f>
        <v>13550.167366180689</v>
      </c>
      <c r="V4" s="131">
        <f>IF(SER_hh_emi_in!V4=0,0,1000000*SER_hh_emi_in!V4/SER_hh_num_in!V4)</f>
        <v>9374.5411742665201</v>
      </c>
      <c r="W4" s="131">
        <f>IF(SER_hh_emi_in!W4=0,0,1000000*SER_hh_emi_in!W4/SER_hh_num_in!W4)</f>
        <v>12026.252519498179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166577.14020940952</v>
      </c>
      <c r="D5" s="133">
        <f>IF(SER_hh_emi_in!D5=0,0,1000000*SER_hh_emi_in!D5/SER_hh_num_in!D5)</f>
        <v>226129.04808233789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104837.80041544138</v>
      </c>
      <c r="I5" s="133">
        <f>IF(SER_hh_emi_in!I5=0,0,1000000*SER_hh_emi_in!I5/SER_hh_num_in!I5)</f>
        <v>124229.61451507178</v>
      </c>
      <c r="J5" s="133">
        <f>IF(SER_hh_emi_in!J5=0,0,1000000*SER_hh_emi_in!J5/SER_hh_num_in!J5)</f>
        <v>126063.41302667314</v>
      </c>
      <c r="K5" s="133">
        <f>IF(SER_hh_emi_in!K5=0,0,1000000*SER_hh_emi_in!K5/SER_hh_num_in!K5)</f>
        <v>229080.9343015831</v>
      </c>
      <c r="L5" s="133">
        <f>IF(SER_hh_emi_in!L5=0,0,1000000*SER_hh_emi_in!L5/SER_hh_num_in!L5)</f>
        <v>117447.19768202478</v>
      </c>
      <c r="M5" s="133">
        <f>IF(SER_hh_emi_in!M5=0,0,1000000*SER_hh_emi_in!M5/SER_hh_num_in!M5)</f>
        <v>136358.45601404927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42453.117514725745</v>
      </c>
      <c r="T5" s="133">
        <f>IF(SER_hh_emi_in!T5=0,0,1000000*SER_hh_emi_in!T5/SER_hh_num_in!T5)</f>
        <v>41003.099954901249</v>
      </c>
      <c r="U5" s="133">
        <f>IF(SER_hh_emi_in!U5=0,0,1000000*SER_hh_emi_in!U5/SER_hh_num_in!U5)</f>
        <v>54040.072879077132</v>
      </c>
      <c r="V5" s="133">
        <f>IF(SER_hh_emi_in!V5=0,0,1000000*SER_hh_emi_in!V5/SER_hh_num_in!V5)</f>
        <v>0</v>
      </c>
      <c r="W5" s="133">
        <f>IF(SER_hh_emi_in!W5=0,0,1000000*SER_hh_emi_in!W5/SER_hh_num_in!W5)</f>
        <v>21954.972659028921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209207.96574440144</v>
      </c>
      <c r="D7" s="133">
        <f>IF(SER_hh_emi_in!D7=0,0,1000000*SER_hh_emi_in!D7/SER_hh_num_in!D7)</f>
        <v>0</v>
      </c>
      <c r="E7" s="133">
        <f>IF(SER_hh_emi_in!E7=0,0,1000000*SER_hh_emi_in!E7/SER_hh_num_in!E7)</f>
        <v>51085.465755942721</v>
      </c>
      <c r="F7" s="133">
        <f>IF(SER_hh_emi_in!F7=0,0,1000000*SER_hh_emi_in!F7/SER_hh_num_in!F7)</f>
        <v>135924.5818586777</v>
      </c>
      <c r="G7" s="133">
        <f>IF(SER_hh_emi_in!G7=0,0,1000000*SER_hh_emi_in!G7/SER_hh_num_in!G7)</f>
        <v>151678.93912969768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0</v>
      </c>
      <c r="N7" s="133">
        <f>IF(SER_hh_emi_in!N7=0,0,1000000*SER_hh_emi_in!N7/SER_hh_num_in!N7)</f>
        <v>0</v>
      </c>
      <c r="O7" s="133">
        <f>IF(SER_hh_emi_in!O7=0,0,1000000*SER_hh_emi_in!O7/SER_hh_num_in!O7)</f>
        <v>23241.671034702311</v>
      </c>
      <c r="P7" s="133">
        <f>IF(SER_hh_emi_in!P7=0,0,1000000*SER_hh_emi_in!P7/SER_hh_num_in!P7)</f>
        <v>54394.846319963246</v>
      </c>
      <c r="Q7" s="133">
        <f>IF(SER_hh_emi_in!Q7=0,0,1000000*SER_hh_emi_in!Q7/SER_hh_num_in!Q7)</f>
        <v>50498.17697443255</v>
      </c>
      <c r="R7" s="133">
        <f>IF(SER_hh_emi_in!R7=0,0,1000000*SER_hh_emi_in!R7/SER_hh_num_in!R7)</f>
        <v>30886.61231549679</v>
      </c>
      <c r="S7" s="133">
        <f>IF(SER_hh_emi_in!S7=0,0,1000000*SER_hh_emi_in!S7/SER_hh_num_in!S7)</f>
        <v>0</v>
      </c>
      <c r="T7" s="133">
        <f>IF(SER_hh_emi_in!T7=0,0,1000000*SER_hh_emi_in!T7/SER_hh_num_in!T7)</f>
        <v>0</v>
      </c>
      <c r="U7" s="133">
        <f>IF(SER_hh_emi_in!U7=0,0,1000000*SER_hh_emi_in!U7/SER_hh_num_in!U7)</f>
        <v>0</v>
      </c>
      <c r="V7" s="133">
        <f>IF(SER_hh_emi_in!V7=0,0,1000000*SER_hh_emi_in!V7/SER_hh_num_in!V7)</f>
        <v>16660.813445223303</v>
      </c>
      <c r="W7" s="133">
        <f>IF(SER_hh_emi_in!W7=0,0,1000000*SER_hh_emi_in!W7/SER_hh_num_in!W7)</f>
        <v>12593.7082967192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53451.010036776628</v>
      </c>
      <c r="D8" s="133">
        <f>IF(SER_hh_emi_in!D8=0,0,1000000*SER_hh_emi_in!D8/SER_hh_num_in!D8)</f>
        <v>38598.084403688197</v>
      </c>
      <c r="E8" s="133">
        <f>IF(SER_hh_emi_in!E8=0,0,1000000*SER_hh_emi_in!E8/SER_hh_num_in!E8)</f>
        <v>37547.680738394542</v>
      </c>
      <c r="F8" s="133">
        <f>IF(SER_hh_emi_in!F8=0,0,1000000*SER_hh_emi_in!F8/SER_hh_num_in!F8)</f>
        <v>37454.088316439265</v>
      </c>
      <c r="G8" s="133">
        <f>IF(SER_hh_emi_in!G8=0,0,1000000*SER_hh_emi_in!G8/SER_hh_num_in!G8)</f>
        <v>37004.791352246109</v>
      </c>
      <c r="H8" s="133">
        <f>IF(SER_hh_emi_in!H8=0,0,1000000*SER_hh_emi_in!H8/SER_hh_num_in!H8)</f>
        <v>36349.561534744091</v>
      </c>
      <c r="I8" s="133">
        <f>IF(SER_hh_emi_in!I8=0,0,1000000*SER_hh_emi_in!I8/SER_hh_num_in!I8)</f>
        <v>32711.635199132179</v>
      </c>
      <c r="J8" s="133">
        <f>IF(SER_hh_emi_in!J8=0,0,1000000*SER_hh_emi_in!J8/SER_hh_num_in!J8)</f>
        <v>29094.466643980435</v>
      </c>
      <c r="K8" s="133">
        <f>IF(SER_hh_emi_in!K8=0,0,1000000*SER_hh_emi_in!K8/SER_hh_num_in!K8)</f>
        <v>25584.136201550711</v>
      </c>
      <c r="L8" s="133">
        <f>IF(SER_hh_emi_in!L8=0,0,1000000*SER_hh_emi_in!L8/SER_hh_num_in!L8)</f>
        <v>21614.862253903222</v>
      </c>
      <c r="M8" s="133">
        <f>IF(SER_hh_emi_in!M8=0,0,1000000*SER_hh_emi_in!M8/SER_hh_num_in!M8)</f>
        <v>18676.931154667822</v>
      </c>
      <c r="N8" s="133">
        <f>IF(SER_hh_emi_in!N8=0,0,1000000*SER_hh_emi_in!N8/SER_hh_num_in!N8)</f>
        <v>13439.357998053216</v>
      </c>
      <c r="O8" s="133">
        <f>IF(SER_hh_emi_in!O8=0,0,1000000*SER_hh_emi_in!O8/SER_hh_num_in!O8)</f>
        <v>13551.321843990205</v>
      </c>
      <c r="P8" s="133">
        <f>IF(SER_hh_emi_in!P8=0,0,1000000*SER_hh_emi_in!P8/SER_hh_num_in!P8)</f>
        <v>10607.655475226005</v>
      </c>
      <c r="Q8" s="133">
        <f>IF(SER_hh_emi_in!Q8=0,0,1000000*SER_hh_emi_in!Q8/SER_hh_num_in!Q8)</f>
        <v>9986.4730454897799</v>
      </c>
      <c r="R8" s="133">
        <f>IF(SER_hh_emi_in!R8=0,0,1000000*SER_hh_emi_in!R8/SER_hh_num_in!R8)</f>
        <v>8344.332020644948</v>
      </c>
      <c r="S8" s="133">
        <f>IF(SER_hh_emi_in!S8=0,0,1000000*SER_hh_emi_in!S8/SER_hh_num_in!S8)</f>
        <v>7761.4727335248754</v>
      </c>
      <c r="T8" s="133">
        <f>IF(SER_hh_emi_in!T8=0,0,1000000*SER_hh_emi_in!T8/SER_hh_num_in!T8)</f>
        <v>6710.6050893934653</v>
      </c>
      <c r="U8" s="133">
        <f>IF(SER_hh_emi_in!U8=0,0,1000000*SER_hh_emi_in!U8/SER_hh_num_in!U8)</f>
        <v>5167.9262076786245</v>
      </c>
      <c r="V8" s="133">
        <f>IF(SER_hh_emi_in!V8=0,0,1000000*SER_hh_emi_in!V8/SER_hh_num_in!V8)</f>
        <v>4989.327610252968</v>
      </c>
      <c r="W8" s="133">
        <f>IF(SER_hh_emi_in!W8=0,0,1000000*SER_hh_emi_in!W8/SER_hh_num_in!W8)</f>
        <v>3995.9994580204338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0</v>
      </c>
      <c r="D9" s="133">
        <f>IF(SER_hh_emi_in!D9=0,0,1000000*SER_hh_emi_in!D9/SER_hh_num_in!D9)</f>
        <v>0</v>
      </c>
      <c r="E9" s="133">
        <f>IF(SER_hh_emi_in!E9=0,0,1000000*SER_hh_emi_in!E9/SER_hh_num_in!E9)</f>
        <v>71982.87563249818</v>
      </c>
      <c r="F9" s="133">
        <f>IF(SER_hh_emi_in!F9=0,0,1000000*SER_hh_emi_in!F9/SER_hh_num_in!F9)</f>
        <v>41830.904233121211</v>
      </c>
      <c r="G9" s="133">
        <f>IF(SER_hh_emi_in!G9=0,0,1000000*SER_hh_emi_in!G9/SER_hh_num_in!G9)</f>
        <v>104289.22811995963</v>
      </c>
      <c r="H9" s="133">
        <f>IF(SER_hh_emi_in!H9=0,0,1000000*SER_hh_emi_in!H9/SER_hh_num_in!H9)</f>
        <v>96982.050498505632</v>
      </c>
      <c r="I9" s="133">
        <f>IF(SER_hh_emi_in!I9=0,0,1000000*SER_hh_emi_in!I9/SER_hh_num_in!I9)</f>
        <v>83103.470654161618</v>
      </c>
      <c r="J9" s="133">
        <f>IF(SER_hh_emi_in!J9=0,0,1000000*SER_hh_emi_in!J9/SER_hh_num_in!J9)</f>
        <v>83953.966874008256</v>
      </c>
      <c r="K9" s="133">
        <f>IF(SER_hh_emi_in!K9=0,0,1000000*SER_hh_emi_in!K9/SER_hh_num_in!K9)</f>
        <v>0</v>
      </c>
      <c r="L9" s="133">
        <f>IF(SER_hh_emi_in!L9=0,0,1000000*SER_hh_emi_in!L9/SER_hh_num_in!L9)</f>
        <v>89274.236630961503</v>
      </c>
      <c r="M9" s="133">
        <f>IF(SER_hh_emi_in!M9=0,0,1000000*SER_hh_emi_in!M9/SER_hh_num_in!M9)</f>
        <v>31990.225346752904</v>
      </c>
      <c r="N9" s="133">
        <f>IF(SER_hh_emi_in!N9=0,0,1000000*SER_hh_emi_in!N9/SER_hh_num_in!N9)</f>
        <v>50982.488524238281</v>
      </c>
      <c r="O9" s="133">
        <f>IF(SER_hh_emi_in!O9=0,0,1000000*SER_hh_emi_in!O9/SER_hh_num_in!O9)</f>
        <v>56394.283101977882</v>
      </c>
      <c r="P9" s="133">
        <f>IF(SER_hh_emi_in!P9=0,0,1000000*SER_hh_emi_in!P9/SER_hh_num_in!P9)</f>
        <v>29385.085308983773</v>
      </c>
      <c r="Q9" s="133">
        <f>IF(SER_hh_emi_in!Q9=0,0,1000000*SER_hh_emi_in!Q9/SER_hh_num_in!Q9)</f>
        <v>29594.099453676565</v>
      </c>
      <c r="R9" s="133">
        <f>IF(SER_hh_emi_in!R9=0,0,1000000*SER_hh_emi_in!R9/SER_hh_num_in!R9)</f>
        <v>27309.270389379501</v>
      </c>
      <c r="S9" s="133">
        <f>IF(SER_hh_emi_in!S9=0,0,1000000*SER_hh_emi_in!S9/SER_hh_num_in!S9)</f>
        <v>28690.90801356878</v>
      </c>
      <c r="T9" s="133">
        <f>IF(SER_hh_emi_in!T9=0,0,1000000*SER_hh_emi_in!T9/SER_hh_num_in!T9)</f>
        <v>22950.414844471146</v>
      </c>
      <c r="U9" s="133">
        <f>IF(SER_hh_emi_in!U9=0,0,1000000*SER_hh_emi_in!U9/SER_hh_num_in!U9)</f>
        <v>16758.972746809002</v>
      </c>
      <c r="V9" s="133">
        <f>IF(SER_hh_emi_in!V9=0,0,1000000*SER_hh_emi_in!V9/SER_hh_num_in!V9)</f>
        <v>13885.514252723502</v>
      </c>
      <c r="W9" s="133">
        <f>IF(SER_hh_emi_in!W9=0,0,1000000*SER_hh_emi_in!W9/SER_hh_num_in!W9)</f>
        <v>16158.156008224083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68781.766416898914</v>
      </c>
      <c r="K10" s="133">
        <f>IF(SER_hh_emi_in!K10=0,0,1000000*SER_hh_emi_in!K10/SER_hh_num_in!K10)</f>
        <v>82295.191126414327</v>
      </c>
      <c r="L10" s="133">
        <f>IF(SER_hh_emi_in!L10=0,0,1000000*SER_hh_emi_in!L10/SER_hh_num_in!L10)</f>
        <v>75078.477555027916</v>
      </c>
      <c r="M10" s="133">
        <f>IF(SER_hh_emi_in!M10=0,0,1000000*SER_hh_emi_in!M10/SER_hh_num_in!M10)</f>
        <v>43523.993198070319</v>
      </c>
      <c r="N10" s="133">
        <f>IF(SER_hh_emi_in!N10=0,0,1000000*SER_hh_emi_in!N10/SER_hh_num_in!N10)</f>
        <v>64695.951045806418</v>
      </c>
      <c r="O10" s="133">
        <f>IF(SER_hh_emi_in!O10=0,0,1000000*SER_hh_emi_in!O10/SER_hh_num_in!O10)</f>
        <v>13083.445875903621</v>
      </c>
      <c r="P10" s="133">
        <f>IF(SER_hh_emi_in!P10=0,0,1000000*SER_hh_emi_in!P10/SER_hh_num_in!P10)</f>
        <v>104049.06058093096</v>
      </c>
      <c r="Q10" s="133">
        <f>IF(SER_hh_emi_in!Q10=0,0,1000000*SER_hh_emi_in!Q10/SER_hh_num_in!Q10)</f>
        <v>53568.829512950491</v>
      </c>
      <c r="R10" s="133">
        <f>IF(SER_hh_emi_in!R10=0,0,1000000*SER_hh_emi_in!R10/SER_hh_num_in!R10)</f>
        <v>6296.2158698434714</v>
      </c>
      <c r="S10" s="133">
        <f>IF(SER_hh_emi_in!S10=0,0,1000000*SER_hh_emi_in!S10/SER_hh_num_in!S10)</f>
        <v>27281.518657204579</v>
      </c>
      <c r="T10" s="133">
        <f>IF(SER_hh_emi_in!T10=0,0,1000000*SER_hh_emi_in!T10/SER_hh_num_in!T10)</f>
        <v>432.24838520207373</v>
      </c>
      <c r="U10" s="133">
        <f>IF(SER_hh_emi_in!U10=0,0,1000000*SER_hh_emi_in!U10/SER_hh_num_in!U10)</f>
        <v>17854.432008664571</v>
      </c>
      <c r="V10" s="133">
        <f>IF(SER_hh_emi_in!V10=0,0,1000000*SER_hh_emi_in!V10/SER_hh_num_in!V10)</f>
        <v>15055.941450027753</v>
      </c>
      <c r="W10" s="133">
        <f>IF(SER_hh_emi_in!W10=0,0,1000000*SER_hh_emi_in!W10/SER_hh_num_in!W10)</f>
        <v>12586.229259135338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32.497638372315492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43.031162967887887</v>
      </c>
      <c r="G16" s="131">
        <f>IF(SER_hh_emi_in!G16=0,0,1000000*SER_hh_emi_in!G16/SER_hh_num_in!G16)</f>
        <v>30.745332153341181</v>
      </c>
      <c r="H16" s="131">
        <f>IF(SER_hh_emi_in!H16=0,0,1000000*SER_hh_emi_in!H16/SER_hh_num_in!H16)</f>
        <v>15.010431690685342</v>
      </c>
      <c r="I16" s="131">
        <f>IF(SER_hh_emi_in!I16=0,0,1000000*SER_hh_emi_in!I16/SER_hh_num_in!I16)</f>
        <v>7.9342277428285106</v>
      </c>
      <c r="J16" s="131">
        <f>IF(SER_hh_emi_in!J16=0,0,1000000*SER_hh_emi_in!J16/SER_hh_num_in!J16)</f>
        <v>16.713735242513692</v>
      </c>
      <c r="K16" s="131">
        <f>IF(SER_hh_emi_in!K16=0,0,1000000*SER_hh_emi_in!K16/SER_hh_num_in!K16)</f>
        <v>5.1999753424908848</v>
      </c>
      <c r="L16" s="131">
        <f>IF(SER_hh_emi_in!L16=0,0,1000000*SER_hh_emi_in!L16/SER_hh_num_in!L16)</f>
        <v>17.084478444991099</v>
      </c>
      <c r="M16" s="131">
        <f>IF(SER_hh_emi_in!M16=0,0,1000000*SER_hh_emi_in!M16/SER_hh_num_in!M16)</f>
        <v>28.599928640419989</v>
      </c>
      <c r="N16" s="131">
        <f>IF(SER_hh_emi_in!N16=0,0,1000000*SER_hh_emi_in!N16/SER_hh_num_in!N16)</f>
        <v>17.194448877957246</v>
      </c>
      <c r="O16" s="131">
        <f>IF(SER_hh_emi_in!O16=0,0,1000000*SER_hh_emi_in!O16/SER_hh_num_in!O16)</f>
        <v>52.327598352140811</v>
      </c>
      <c r="P16" s="131">
        <f>IF(SER_hh_emi_in!P16=0,0,1000000*SER_hh_emi_in!P16/SER_hh_num_in!P16)</f>
        <v>80.049576599821791</v>
      </c>
      <c r="Q16" s="131">
        <f>IF(SER_hh_emi_in!Q16=0,0,1000000*SER_hh_emi_in!Q16/SER_hh_num_in!Q16)</f>
        <v>55.81310561402961</v>
      </c>
      <c r="R16" s="131">
        <f>IF(SER_hh_emi_in!R16=0,0,1000000*SER_hh_emi_in!R16/SER_hh_num_in!R16)</f>
        <v>119.08975644312947</v>
      </c>
      <c r="S16" s="131">
        <f>IF(SER_hh_emi_in!S16=0,0,1000000*SER_hh_emi_in!S16/SER_hh_num_in!S16)</f>
        <v>50.494757163539134</v>
      </c>
      <c r="T16" s="131">
        <f>IF(SER_hh_emi_in!T16=0,0,1000000*SER_hh_emi_in!T16/SER_hh_num_in!T16)</f>
        <v>74.060037218444691</v>
      </c>
      <c r="U16" s="131">
        <f>IF(SER_hh_emi_in!U16=0,0,1000000*SER_hh_emi_in!U16/SER_hh_num_in!U16)</f>
        <v>50.292951237559784</v>
      </c>
      <c r="V16" s="131">
        <f>IF(SER_hh_emi_in!V16=0,0,1000000*SER_hh_emi_in!V16/SER_hh_num_in!V16)</f>
        <v>98.850359413288544</v>
      </c>
      <c r="W16" s="131">
        <f>IF(SER_hh_emi_in!W16=0,0,1000000*SER_hh_emi_in!W16/SER_hh_num_in!W16)</f>
        <v>57.583738172093867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4298.3460244552434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4175.2039337434089</v>
      </c>
      <c r="G17" s="133">
        <f>IF(SER_hh_emi_in!G17=0,0,1000000*SER_hh_emi_in!G17/SER_hh_num_in!G17)</f>
        <v>4241.7411571294842</v>
      </c>
      <c r="H17" s="133">
        <f>IF(SER_hh_emi_in!H17=0,0,1000000*SER_hh_emi_in!H17/SER_hh_num_in!H17)</f>
        <v>4297.4526535795703</v>
      </c>
      <c r="I17" s="133">
        <f>IF(SER_hh_emi_in!I17=0,0,1000000*SER_hh_emi_in!I17/SER_hh_num_in!I17)</f>
        <v>4417.554812461809</v>
      </c>
      <c r="J17" s="133">
        <f>IF(SER_hh_emi_in!J17=0,0,1000000*SER_hh_emi_in!J17/SER_hh_num_in!J17)</f>
        <v>4107.3529914099627</v>
      </c>
      <c r="K17" s="133">
        <f>IF(SER_hh_emi_in!K17=0,0,1000000*SER_hh_emi_in!K17/SER_hh_num_in!K17)</f>
        <v>4012.4562946857741</v>
      </c>
      <c r="L17" s="133">
        <f>IF(SER_hh_emi_in!L17=0,0,1000000*SER_hh_emi_in!L17/SER_hh_num_in!L17)</f>
        <v>4156.469022181951</v>
      </c>
      <c r="M17" s="133">
        <f>IF(SER_hh_emi_in!M17=0,0,1000000*SER_hh_emi_in!M17/SER_hh_num_in!M17)</f>
        <v>3944.6529779481366</v>
      </c>
      <c r="N17" s="133">
        <f>IF(SER_hh_emi_in!N17=0,0,1000000*SER_hh_emi_in!N17/SER_hh_num_in!N17)</f>
        <v>4257.6879169033682</v>
      </c>
      <c r="O17" s="133">
        <f>IF(SER_hh_emi_in!O17=0,0,1000000*SER_hh_emi_in!O17/SER_hh_num_in!O17)</f>
        <v>4051.1535893757323</v>
      </c>
      <c r="P17" s="133">
        <f>IF(SER_hh_emi_in!P17=0,0,1000000*SER_hh_emi_in!P17/SER_hh_num_in!P17)</f>
        <v>3610.5028594534087</v>
      </c>
      <c r="Q17" s="133">
        <f>IF(SER_hh_emi_in!Q17=0,0,1000000*SER_hh_emi_in!Q17/SER_hh_num_in!Q17)</f>
        <v>3965.0055659055433</v>
      </c>
      <c r="R17" s="133">
        <f>IF(SER_hh_emi_in!R17=0,0,1000000*SER_hh_emi_in!R17/SER_hh_num_in!R17)</f>
        <v>3345.4825750749933</v>
      </c>
      <c r="S17" s="133">
        <f>IF(SER_hh_emi_in!S17=0,0,1000000*SER_hh_emi_in!S17/SER_hh_num_in!S17)</f>
        <v>3389.7984450237041</v>
      </c>
      <c r="T17" s="133">
        <f>IF(SER_hh_emi_in!T17=0,0,1000000*SER_hh_emi_in!T17/SER_hh_num_in!T17)</f>
        <v>3159.0279492224226</v>
      </c>
      <c r="U17" s="133">
        <f>IF(SER_hh_emi_in!U17=0,0,1000000*SER_hh_emi_in!U17/SER_hh_num_in!U17)</f>
        <v>3052.3315388229894</v>
      </c>
      <c r="V17" s="133">
        <f>IF(SER_hh_emi_in!V17=0,0,1000000*SER_hh_emi_in!V17/SER_hh_num_in!V17)</f>
        <v>2811.2782722471898</v>
      </c>
      <c r="W17" s="133">
        <f>IF(SER_hh_emi_in!W17=0,0,1000000*SER_hh_emi_in!W17/SER_hh_num_in!W17)</f>
        <v>2382.7821734146614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6190.5611193247651</v>
      </c>
      <c r="D19" s="131">
        <f>IF(SER_hh_emi_in!D19=0,0,1000000*SER_hh_emi_in!D19/SER_hh_num_in!D19)</f>
        <v>3733.7980863412736</v>
      </c>
      <c r="E19" s="131">
        <f>IF(SER_hh_emi_in!E19=0,0,1000000*SER_hh_emi_in!E19/SER_hh_num_in!E19)</f>
        <v>2348.5423443190007</v>
      </c>
      <c r="F19" s="131">
        <f>IF(SER_hh_emi_in!F19=0,0,1000000*SER_hh_emi_in!F19/SER_hh_num_in!F19)</f>
        <v>1916.1391570007218</v>
      </c>
      <c r="G19" s="131">
        <f>IF(SER_hh_emi_in!G19=0,0,1000000*SER_hh_emi_in!G19/SER_hh_num_in!G19)</f>
        <v>1581.8446345402392</v>
      </c>
      <c r="H19" s="131">
        <f>IF(SER_hh_emi_in!H19=0,0,1000000*SER_hh_emi_in!H19/SER_hh_num_in!H19)</f>
        <v>3022.4528050557979</v>
      </c>
      <c r="I19" s="131">
        <f>IF(SER_hh_emi_in!I19=0,0,1000000*SER_hh_emi_in!I19/SER_hh_num_in!I19)</f>
        <v>4083.4231381258351</v>
      </c>
      <c r="J19" s="131">
        <f>IF(SER_hh_emi_in!J19=0,0,1000000*SER_hh_emi_in!J19/SER_hh_num_in!J19)</f>
        <v>4461.2885584004935</v>
      </c>
      <c r="K19" s="131">
        <f>IF(SER_hh_emi_in!K19=0,0,1000000*SER_hh_emi_in!K19/SER_hh_num_in!K19)</f>
        <v>4543.3707407887487</v>
      </c>
      <c r="L19" s="131">
        <f>IF(SER_hh_emi_in!L19=0,0,1000000*SER_hh_emi_in!L19/SER_hh_num_in!L19)</f>
        <v>3225.0456910328239</v>
      </c>
      <c r="M19" s="131">
        <f>IF(SER_hh_emi_in!M19=0,0,1000000*SER_hh_emi_in!M19/SER_hh_num_in!M19)</f>
        <v>3884.6474620447239</v>
      </c>
      <c r="N19" s="131">
        <f>IF(SER_hh_emi_in!N19=0,0,1000000*SER_hh_emi_in!N19/SER_hh_num_in!N19)</f>
        <v>5589.0550315802539</v>
      </c>
      <c r="O19" s="131">
        <f>IF(SER_hh_emi_in!O19=0,0,1000000*SER_hh_emi_in!O19/SER_hh_num_in!O19)</f>
        <v>5332.2514597434183</v>
      </c>
      <c r="P19" s="131">
        <f>IF(SER_hh_emi_in!P19=0,0,1000000*SER_hh_emi_in!P19/SER_hh_num_in!P19)</f>
        <v>3268.1787414504242</v>
      </c>
      <c r="Q19" s="131">
        <f>IF(SER_hh_emi_in!Q19=0,0,1000000*SER_hh_emi_in!Q19/SER_hh_num_in!Q19)</f>
        <v>2310.7030955651148</v>
      </c>
      <c r="R19" s="131">
        <f>IF(SER_hh_emi_in!R19=0,0,1000000*SER_hh_emi_in!R19/SER_hh_num_in!R19)</f>
        <v>1739.436649651065</v>
      </c>
      <c r="S19" s="131">
        <f>IF(SER_hh_emi_in!S19=0,0,1000000*SER_hh_emi_in!S19/SER_hh_num_in!S19)</f>
        <v>922.72071740226693</v>
      </c>
      <c r="T19" s="131">
        <f>IF(SER_hh_emi_in!T19=0,0,1000000*SER_hh_emi_in!T19/SER_hh_num_in!T19)</f>
        <v>0.77761019515009011</v>
      </c>
      <c r="U19" s="131">
        <f>IF(SER_hh_emi_in!U19=0,0,1000000*SER_hh_emi_in!U19/SER_hh_num_in!U19)</f>
        <v>168.35597138021367</v>
      </c>
      <c r="V19" s="131">
        <f>IF(SER_hh_emi_in!V19=0,0,1000000*SER_hh_emi_in!V19/SER_hh_num_in!V19)</f>
        <v>0</v>
      </c>
      <c r="W19" s="131">
        <f>IF(SER_hh_emi_in!W19=0,0,1000000*SER_hh_emi_in!W19/SER_hh_num_in!W19)</f>
        <v>578.12684403858816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11269.288962991695</v>
      </c>
      <c r="I20" s="133">
        <f>IF(SER_hh_emi_in!I20=0,0,1000000*SER_hh_emi_in!I20/SER_hh_num_in!I20)</f>
        <v>15208.263852460104</v>
      </c>
      <c r="J20" s="133">
        <f>IF(SER_hh_emi_in!J20=0,0,1000000*SER_hh_emi_in!J20/SER_hh_num_in!J20)</f>
        <v>14585.188308869618</v>
      </c>
      <c r="K20" s="133">
        <f>IF(SER_hh_emi_in!K20=0,0,1000000*SER_hh_emi_in!K20/SER_hh_num_in!K20)</f>
        <v>14819.186152802551</v>
      </c>
      <c r="L20" s="133">
        <f>IF(SER_hh_emi_in!L20=0,0,1000000*SER_hh_emi_in!L20/SER_hh_num_in!L20)</f>
        <v>13457.596285941263</v>
      </c>
      <c r="M20" s="133">
        <f>IF(SER_hh_emi_in!M20=0,0,1000000*SER_hh_emi_in!M20/SER_hh_num_in!M20)</f>
        <v>13735.222279913552</v>
      </c>
      <c r="N20" s="133">
        <f>IF(SER_hh_emi_in!N20=0,0,1000000*SER_hh_emi_in!N20/SER_hh_num_in!N20)</f>
        <v>13384.698392367311</v>
      </c>
      <c r="O20" s="133">
        <f>IF(SER_hh_emi_in!O20=0,0,1000000*SER_hh_emi_in!O20/SER_hh_num_in!O20)</f>
        <v>13089.359423783704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11902.221937044036</v>
      </c>
      <c r="U20" s="133">
        <f>IF(SER_hh_emi_in!U20=0,0,1000000*SER_hh_emi_in!U20/SER_hh_num_in!U20)</f>
        <v>17127.739401961833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0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0</v>
      </c>
      <c r="L22" s="133">
        <f>IF(SER_hh_emi_in!L22=0,0,1000000*SER_hh_emi_in!L22/SER_hh_num_in!L22)</f>
        <v>0</v>
      </c>
      <c r="M22" s="133">
        <f>IF(SER_hh_emi_in!M22=0,0,1000000*SER_hh_emi_in!M22/SER_hh_num_in!M22)</f>
        <v>0</v>
      </c>
      <c r="N22" s="133">
        <f>IF(SER_hh_emi_in!N22=0,0,1000000*SER_hh_emi_in!N22/SER_hh_num_in!N22)</f>
        <v>0</v>
      </c>
      <c r="O22" s="133">
        <f>IF(SER_hh_emi_in!O22=0,0,1000000*SER_hh_emi_in!O22/SER_hh_num_in!O22)</f>
        <v>0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9863.0816968057279</v>
      </c>
      <c r="D23" s="133">
        <f>IF(SER_hh_emi_in!D23=0,0,1000000*SER_hh_emi_in!D23/SER_hh_num_in!D23)</f>
        <v>9792.615660939693</v>
      </c>
      <c r="E23" s="133">
        <f>IF(SER_hh_emi_in!E23=0,0,1000000*SER_hh_emi_in!E23/SER_hh_num_in!E23)</f>
        <v>8733.8344901792352</v>
      </c>
      <c r="F23" s="133">
        <f>IF(SER_hh_emi_in!F23=0,0,1000000*SER_hh_emi_in!F23/SER_hh_num_in!F23)</f>
        <v>8919.9309889293691</v>
      </c>
      <c r="G23" s="133">
        <f>IF(SER_hh_emi_in!G23=0,0,1000000*SER_hh_emi_in!G23/SER_hh_num_in!G23)</f>
        <v>8595.8983966213054</v>
      </c>
      <c r="H23" s="133">
        <f>IF(SER_hh_emi_in!H23=0,0,1000000*SER_hh_emi_in!H23/SER_hh_num_in!H23)</f>
        <v>8444.6895875544869</v>
      </c>
      <c r="I23" s="133">
        <f>IF(SER_hh_emi_in!I23=0,0,1000000*SER_hh_emi_in!I23/SER_hh_num_in!I23)</f>
        <v>8909.7150222507753</v>
      </c>
      <c r="J23" s="133">
        <f>IF(SER_hh_emi_in!J23=0,0,1000000*SER_hh_emi_in!J23/SER_hh_num_in!J23)</f>
        <v>8585.2735664781976</v>
      </c>
      <c r="K23" s="133">
        <f>IF(SER_hh_emi_in!K23=0,0,1000000*SER_hh_emi_in!K23/SER_hh_num_in!K23)</f>
        <v>8060.50500533165</v>
      </c>
      <c r="L23" s="133">
        <f>IF(SER_hh_emi_in!L23=0,0,1000000*SER_hh_emi_in!L23/SER_hh_num_in!L23)</f>
        <v>8035.6270616410193</v>
      </c>
      <c r="M23" s="133">
        <f>IF(SER_hh_emi_in!M23=0,0,1000000*SER_hh_emi_in!M23/SER_hh_num_in!M23)</f>
        <v>7236.4971180663533</v>
      </c>
      <c r="N23" s="133">
        <f>IF(SER_hh_emi_in!N23=0,0,1000000*SER_hh_emi_in!N23/SER_hh_num_in!N23)</f>
        <v>8031.6339778003367</v>
      </c>
      <c r="O23" s="133">
        <f>IF(SER_hh_emi_in!O23=0,0,1000000*SER_hh_emi_in!O23/SER_hh_num_in!O23)</f>
        <v>7970.6912722537681</v>
      </c>
      <c r="P23" s="133">
        <f>IF(SER_hh_emi_in!P23=0,0,1000000*SER_hh_emi_in!P23/SER_hh_num_in!P23)</f>
        <v>6484.173099573135</v>
      </c>
      <c r="Q23" s="133">
        <f>IF(SER_hh_emi_in!Q23=0,0,1000000*SER_hh_emi_in!Q23/SER_hh_num_in!Q23)</f>
        <v>7387.7107570140079</v>
      </c>
      <c r="R23" s="133">
        <f>IF(SER_hh_emi_in!R23=0,0,1000000*SER_hh_emi_in!R23/SER_hh_num_in!R23)</f>
        <v>7341.0494323107869</v>
      </c>
      <c r="S23" s="133">
        <f>IF(SER_hh_emi_in!S23=0,0,1000000*SER_hh_emi_in!S23/SER_hh_num_in!S23)</f>
        <v>6864.2432072316706</v>
      </c>
      <c r="T23" s="133">
        <f>IF(SER_hh_emi_in!T23=0,0,1000000*SER_hh_emi_in!T23/SER_hh_num_in!T23)</f>
        <v>0</v>
      </c>
      <c r="U23" s="133">
        <f>IF(SER_hh_emi_in!U23=0,0,1000000*SER_hh_emi_in!U23/SER_hh_num_in!U23)</f>
        <v>0</v>
      </c>
      <c r="V23" s="133">
        <f>IF(SER_hh_emi_in!V23=0,0,1000000*SER_hh_emi_in!V23/SER_hh_num_in!V23)</f>
        <v>0</v>
      </c>
      <c r="W23" s="133">
        <f>IF(SER_hh_emi_in!W23=0,0,1000000*SER_hh_emi_in!W23/SER_hh_num_in!W23)</f>
        <v>6938.7710935780569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7270.3245574112871</v>
      </c>
      <c r="D29" s="131">
        <f>IF(SER_hh_emi_in!D29=0,0,1000000*SER_hh_emi_in!D29/SER_hh_num_in!D29)</f>
        <v>9789.8945212946655</v>
      </c>
      <c r="E29" s="131">
        <f>IF(SER_hh_emi_in!E29=0,0,1000000*SER_hh_emi_in!E29/SER_hh_num_in!E29)</f>
        <v>3894.2009337177051</v>
      </c>
      <c r="F29" s="131">
        <f>IF(SER_hh_emi_in!F29=0,0,1000000*SER_hh_emi_in!F29/SER_hh_num_in!F29)</f>
        <v>5124.1957953638521</v>
      </c>
      <c r="G29" s="131">
        <f>IF(SER_hh_emi_in!G29=0,0,1000000*SER_hh_emi_in!G29/SER_hh_num_in!G29)</f>
        <v>3046.428879038006</v>
      </c>
      <c r="H29" s="131">
        <f>IF(SER_hh_emi_in!H29=0,0,1000000*SER_hh_emi_in!H29/SER_hh_num_in!H29)</f>
        <v>3682.6140197228315</v>
      </c>
      <c r="I29" s="131">
        <f>IF(SER_hh_emi_in!I29=0,0,1000000*SER_hh_emi_in!I29/SER_hh_num_in!I29)</f>
        <v>3199.4684130599398</v>
      </c>
      <c r="J29" s="131">
        <f>IF(SER_hh_emi_in!J29=0,0,1000000*SER_hh_emi_in!J29/SER_hh_num_in!J29)</f>
        <v>3288.7905437739646</v>
      </c>
      <c r="K29" s="131">
        <f>IF(SER_hh_emi_in!K29=0,0,1000000*SER_hh_emi_in!K29/SER_hh_num_in!K29)</f>
        <v>4599.9268413783184</v>
      </c>
      <c r="L29" s="131">
        <f>IF(SER_hh_emi_in!L29=0,0,1000000*SER_hh_emi_in!L29/SER_hh_num_in!L29)</f>
        <v>3983.3619847749064</v>
      </c>
      <c r="M29" s="131">
        <f>IF(SER_hh_emi_in!M29=0,0,1000000*SER_hh_emi_in!M29/SER_hh_num_in!M29)</f>
        <v>1979.7213307864331</v>
      </c>
      <c r="N29" s="131">
        <f>IF(SER_hh_emi_in!N29=0,0,1000000*SER_hh_emi_in!N29/SER_hh_num_in!N29)</f>
        <v>7326.3280566923349</v>
      </c>
      <c r="O29" s="131">
        <f>IF(SER_hh_emi_in!O29=0,0,1000000*SER_hh_emi_in!O29/SER_hh_num_in!O29)</f>
        <v>7885.4559407525494</v>
      </c>
      <c r="P29" s="131">
        <f>IF(SER_hh_emi_in!P29=0,0,1000000*SER_hh_emi_in!P29/SER_hh_num_in!P29)</f>
        <v>6396.3060339526955</v>
      </c>
      <c r="Q29" s="131">
        <f>IF(SER_hh_emi_in!Q29=0,0,1000000*SER_hh_emi_in!Q29/SER_hh_num_in!Q29)</f>
        <v>4369.8659705191649</v>
      </c>
      <c r="R29" s="131">
        <f>IF(SER_hh_emi_in!R29=0,0,1000000*SER_hh_emi_in!R29/SER_hh_num_in!R29)</f>
        <v>2897.4031040779296</v>
      </c>
      <c r="S29" s="131">
        <f>IF(SER_hh_emi_in!S29=0,0,1000000*SER_hh_emi_in!S29/SER_hh_num_in!S29)</f>
        <v>1319.2217721707746</v>
      </c>
      <c r="T29" s="131">
        <f>IF(SER_hh_emi_in!T29=0,0,1000000*SER_hh_emi_in!T29/SER_hh_num_in!T29)</f>
        <v>1898.5247199603305</v>
      </c>
      <c r="U29" s="131">
        <f>IF(SER_hh_emi_in!U29=0,0,1000000*SER_hh_emi_in!U29/SER_hh_num_in!U29)</f>
        <v>2237.2429676624843</v>
      </c>
      <c r="V29" s="131">
        <f>IF(SER_hh_emi_in!V29=0,0,1000000*SER_hh_emi_in!V29/SER_hh_num_in!V29)</f>
        <v>1985.5545892149055</v>
      </c>
      <c r="W29" s="131">
        <f>IF(SER_hh_emi_in!W29=0,0,1000000*SER_hh_emi_in!W29/SER_hh_num_in!W29)</f>
        <v>2531.6013318603395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6980.5157490987785</v>
      </c>
      <c r="D30" s="133">
        <f>IF(SER_hh_emi_in!D30=0,0,1000000*SER_hh_emi_in!D30/SER_hh_num_in!D30)</f>
        <v>11201.56288409033</v>
      </c>
      <c r="E30" s="133">
        <f>IF(SER_hh_emi_in!E30=0,0,1000000*SER_hh_emi_in!E30/SER_hh_num_in!E30)</f>
        <v>11542.259679684641</v>
      </c>
      <c r="F30" s="133">
        <f>IF(SER_hh_emi_in!F30=0,0,1000000*SER_hh_emi_in!F30/SER_hh_num_in!F30)</f>
        <v>12487.30326194947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10686.151644245563</v>
      </c>
      <c r="L30" s="133">
        <f>IF(SER_hh_emi_in!L30=0,0,1000000*SER_hh_emi_in!L30/SER_hh_num_in!L30)</f>
        <v>18595.987424098636</v>
      </c>
      <c r="M30" s="133">
        <f>IF(SER_hh_emi_in!M30=0,0,1000000*SER_hh_emi_in!M30/SER_hh_num_in!M30)</f>
        <v>0</v>
      </c>
      <c r="N30" s="133">
        <f>IF(SER_hh_emi_in!N30=0,0,1000000*SER_hh_emi_in!N30/SER_hh_num_in!N30)</f>
        <v>10924.501128645697</v>
      </c>
      <c r="O30" s="133">
        <f>IF(SER_hh_emi_in!O30=0,0,1000000*SER_hh_emi_in!O30/SER_hh_num_in!O30)</f>
        <v>10542.094734960678</v>
      </c>
      <c r="P30" s="133">
        <f>IF(SER_hh_emi_in!P30=0,0,1000000*SER_hh_emi_in!P30/SER_hh_num_in!P30)</f>
        <v>9663.9316171479059</v>
      </c>
      <c r="Q30" s="133">
        <f>IF(SER_hh_emi_in!Q30=0,0,1000000*SER_hh_emi_in!Q30/SER_hh_num_in!Q30)</f>
        <v>0</v>
      </c>
      <c r="R30" s="133">
        <f>IF(SER_hh_emi_in!R30=0,0,1000000*SER_hh_emi_in!R30/SER_hh_num_in!R30)</f>
        <v>0</v>
      </c>
      <c r="S30" s="133">
        <f>IF(SER_hh_emi_in!S30=0,0,1000000*SER_hh_emi_in!S30/SER_hh_num_in!S30)</f>
        <v>0</v>
      </c>
      <c r="T30" s="133">
        <f>IF(SER_hh_emi_in!T30=0,0,1000000*SER_hh_emi_in!T30/SER_hh_num_in!T30)</f>
        <v>0</v>
      </c>
      <c r="U30" s="133">
        <f>IF(SER_hh_emi_in!U30=0,0,1000000*SER_hh_emi_in!U30/SER_hh_num_in!U30)</f>
        <v>0</v>
      </c>
      <c r="V30" s="133">
        <f>IF(SER_hh_emi_in!V30=0,0,1000000*SER_hh_emi_in!V30/SER_hh_num_in!V30)</f>
        <v>0</v>
      </c>
      <c r="W30" s="133">
        <f>IF(SER_hh_emi_in!W30=0,0,1000000*SER_hh_emi_in!W30/SER_hh_num_in!W30)</f>
        <v>8514.4097166617394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8061.5448988237249</v>
      </c>
      <c r="D31" s="133">
        <f>IF(SER_hh_emi_in!D31=0,0,1000000*SER_hh_emi_in!D31/SER_hh_num_in!D31)</f>
        <v>8539.006402987121</v>
      </c>
      <c r="E31" s="133">
        <f>IF(SER_hh_emi_in!E31=0,0,1000000*SER_hh_emi_in!E31/SER_hh_num_in!E31)</f>
        <v>8535.3129187671511</v>
      </c>
      <c r="F31" s="133">
        <f>IF(SER_hh_emi_in!F31=0,0,1000000*SER_hh_emi_in!F31/SER_hh_num_in!F31)</f>
        <v>6610.0357116604346</v>
      </c>
      <c r="G31" s="133">
        <f>IF(SER_hh_emi_in!G31=0,0,1000000*SER_hh_emi_in!G31/SER_hh_num_in!G31)</f>
        <v>8971.8180819413374</v>
      </c>
      <c r="H31" s="133">
        <f>IF(SER_hh_emi_in!H31=0,0,1000000*SER_hh_emi_in!H31/SER_hh_num_in!H31)</f>
        <v>8914.716989569315</v>
      </c>
      <c r="I31" s="133">
        <f>IF(SER_hh_emi_in!I31=0,0,1000000*SER_hh_emi_in!I31/SER_hh_num_in!I31)</f>
        <v>8854.8810212954049</v>
      </c>
      <c r="J31" s="133">
        <f>IF(SER_hh_emi_in!J31=0,0,1000000*SER_hh_emi_in!J31/SER_hh_num_in!J31)</f>
        <v>8651.3644554677685</v>
      </c>
      <c r="K31" s="133">
        <f>IF(SER_hh_emi_in!K31=0,0,1000000*SER_hh_emi_in!K31/SER_hh_num_in!K31)</f>
        <v>8458.2522055858044</v>
      </c>
      <c r="L31" s="133">
        <f>IF(SER_hh_emi_in!L31=0,0,1000000*SER_hh_emi_in!L31/SER_hh_num_in!L31)</f>
        <v>8441.850542370863</v>
      </c>
      <c r="M31" s="133">
        <f>IF(SER_hh_emi_in!M31=0,0,1000000*SER_hh_emi_in!M31/SER_hh_num_in!M31)</f>
        <v>7439.4970303712953</v>
      </c>
      <c r="N31" s="133">
        <f>IF(SER_hh_emi_in!N31=0,0,1000000*SER_hh_emi_in!N31/SER_hh_num_in!N31)</f>
        <v>7829.3777921276378</v>
      </c>
      <c r="O31" s="133">
        <f>IF(SER_hh_emi_in!O31=0,0,1000000*SER_hh_emi_in!O31/SER_hh_num_in!O31)</f>
        <v>8511.6392699990538</v>
      </c>
      <c r="P31" s="133">
        <f>IF(SER_hh_emi_in!P31=0,0,1000000*SER_hh_emi_in!P31/SER_hh_num_in!P31)</f>
        <v>8161.9916866837366</v>
      </c>
      <c r="Q31" s="133">
        <f>IF(SER_hh_emi_in!Q31=0,0,1000000*SER_hh_emi_in!Q31/SER_hh_num_in!Q31)</f>
        <v>8356.9292367738981</v>
      </c>
      <c r="R31" s="133">
        <f>IF(SER_hh_emi_in!R31=0,0,1000000*SER_hh_emi_in!R31/SER_hh_num_in!R31)</f>
        <v>8323.5016844993806</v>
      </c>
      <c r="S31" s="133">
        <f>IF(SER_hh_emi_in!S31=0,0,1000000*SER_hh_emi_in!S31/SER_hh_num_in!S31)</f>
        <v>8107.7154060690036</v>
      </c>
      <c r="T31" s="133">
        <f>IF(SER_hh_emi_in!T31=0,0,1000000*SER_hh_emi_in!T31/SER_hh_num_in!T31)</f>
        <v>7364.3636972906397</v>
      </c>
      <c r="U31" s="133">
        <f>IF(SER_hh_emi_in!U31=0,0,1000000*SER_hh_emi_in!U31/SER_hh_num_in!U31)</f>
        <v>6105.7114610404269</v>
      </c>
      <c r="V31" s="133">
        <f>IF(SER_hh_emi_in!V31=0,0,1000000*SER_hh_emi_in!V31/SER_hh_num_in!V31)</f>
        <v>5518.9549109576365</v>
      </c>
      <c r="W31" s="133">
        <f>IF(SER_hh_emi_in!W31=0,0,1000000*SER_hh_emi_in!W31/SER_hh_num_in!W31)</f>
        <v>9051.2759002999319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604.30409060668285</v>
      </c>
      <c r="D3" s="126">
        <f>IF(SER_hh_fech_in!D3=0,0,SER_hh_fech_in!D3/SER_summary!D$27)</f>
        <v>539.02746787779381</v>
      </c>
      <c r="E3" s="126">
        <f>IF(SER_hh_fech_in!E3=0,0,SER_hh_fech_in!E3/SER_summary!E$27)</f>
        <v>396.58648083448458</v>
      </c>
      <c r="F3" s="126">
        <f>IF(SER_hh_fech_in!F3=0,0,SER_hh_fech_in!F3/SER_summary!F$27)</f>
        <v>388.73508958076604</v>
      </c>
      <c r="G3" s="126">
        <f>IF(SER_hh_fech_in!G3=0,0,SER_hh_fech_in!G3/SER_summary!G$27)</f>
        <v>661.89823122899838</v>
      </c>
      <c r="H3" s="126">
        <f>IF(SER_hh_fech_in!H3=0,0,SER_hh_fech_in!H3/SER_summary!H$27)</f>
        <v>613.77071777938295</v>
      </c>
      <c r="I3" s="126">
        <f>IF(SER_hh_fech_in!I3=0,0,SER_hh_fech_in!I3/SER_summary!I$27)</f>
        <v>515.7049517215479</v>
      </c>
      <c r="J3" s="126">
        <f>IF(SER_hh_fech_in!J3=0,0,SER_hh_fech_in!J3/SER_summary!J$27)</f>
        <v>495.71655162529453</v>
      </c>
      <c r="K3" s="126">
        <f>IF(SER_hh_fech_in!K3=0,0,SER_hh_fech_in!K3/SER_summary!K$27)</f>
        <v>601.20955996820987</v>
      </c>
      <c r="L3" s="126">
        <f>IF(SER_hh_fech_in!L3=0,0,SER_hh_fech_in!L3/SER_summary!L$27)</f>
        <v>478.60365580771963</v>
      </c>
      <c r="M3" s="126">
        <f>IF(SER_hh_fech_in!M3=0,0,SER_hh_fech_in!M3/SER_summary!M$27)</f>
        <v>354.00065818698579</v>
      </c>
      <c r="N3" s="126">
        <f>IF(SER_hh_fech_in!N3=0,0,SER_hh_fech_in!N3/SER_summary!N$27)</f>
        <v>371.92242054136022</v>
      </c>
      <c r="O3" s="126">
        <f>IF(SER_hh_fech_in!O3=0,0,SER_hh_fech_in!O3/SER_summary!O$27)</f>
        <v>373.21080938596617</v>
      </c>
      <c r="P3" s="126">
        <f>IF(SER_hh_fech_in!P3=0,0,SER_hh_fech_in!P3/SER_summary!P$27)</f>
        <v>241.65401752956225</v>
      </c>
      <c r="Q3" s="126">
        <f>IF(SER_hh_fech_in!Q3=0,0,SER_hh_fech_in!Q3/SER_summary!Q$27)</f>
        <v>233.06914655997696</v>
      </c>
      <c r="R3" s="126">
        <f>IF(SER_hh_fech_in!R3=0,0,SER_hh_fech_in!R3/SER_summary!R$27)</f>
        <v>225.93987250767353</v>
      </c>
      <c r="S3" s="126">
        <f>IF(SER_hh_fech_in!S3=0,0,SER_hh_fech_in!S3/SER_summary!S$27)</f>
        <v>228.62018638696807</v>
      </c>
      <c r="T3" s="126">
        <f>IF(SER_hh_fech_in!T3=0,0,SER_hh_fech_in!T3/SER_summary!T$27)</f>
        <v>196.30425661332382</v>
      </c>
      <c r="U3" s="126">
        <f>IF(SER_hh_fech_in!U3=0,0,SER_hh_fech_in!U3/SER_summary!U$27)</f>
        <v>169.16916992362724</v>
      </c>
      <c r="V3" s="126">
        <f>IF(SER_hh_fech_in!V3=0,0,SER_hh_fech_in!V3/SER_summary!V$27)</f>
        <v>144.2604240408252</v>
      </c>
      <c r="W3" s="126">
        <f>IF(SER_hh_fech_in!W3=0,0,SER_hh_fech_in!W3/SER_summary!W$27)</f>
        <v>150.77401639241637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507.25286442108018</v>
      </c>
      <c r="D4" s="131">
        <f>IF(SER_hh_fech_in!D4=0,0,SER_hh_fech_in!D4/SER_summary!D$27)</f>
        <v>430.99240777067632</v>
      </c>
      <c r="E4" s="131">
        <f>IF(SER_hh_fech_in!E4=0,0,SER_hh_fech_in!E4/SER_summary!E$27)</f>
        <v>303.88489956132355</v>
      </c>
      <c r="F4" s="131">
        <f>IF(SER_hh_fech_in!F4=0,0,SER_hh_fech_in!F4/SER_summary!F$27)</f>
        <v>295.97688858381372</v>
      </c>
      <c r="G4" s="131">
        <f>IF(SER_hh_fech_in!G4=0,0,SER_hh_fech_in!G4/SER_summary!G$27)</f>
        <v>568.33314455957134</v>
      </c>
      <c r="H4" s="131">
        <f>IF(SER_hh_fech_in!H4=0,0,SER_hh_fech_in!H4/SER_summary!H$27)</f>
        <v>522.57242745027497</v>
      </c>
      <c r="I4" s="131">
        <f>IF(SER_hh_fech_in!I4=0,0,SER_hh_fech_in!I4/SER_summary!I$27)</f>
        <v>423.43866638396537</v>
      </c>
      <c r="J4" s="131">
        <f>IF(SER_hh_fech_in!J4=0,0,SER_hh_fech_in!J4/SER_summary!J$27)</f>
        <v>401.64107554359992</v>
      </c>
      <c r="K4" s="131">
        <f>IF(SER_hh_fech_in!K4=0,0,SER_hh_fech_in!K4/SER_summary!K$27)</f>
        <v>505.96921580066288</v>
      </c>
      <c r="L4" s="131">
        <f>IF(SER_hh_fech_in!L4=0,0,SER_hh_fech_in!L4/SER_summary!L$27)</f>
        <v>387.57750313243491</v>
      </c>
      <c r="M4" s="131">
        <f>IF(SER_hh_fech_in!M4=0,0,SER_hh_fech_in!M4/SER_summary!M$27)</f>
        <v>263.47511021516334</v>
      </c>
      <c r="N4" s="131">
        <f>IF(SER_hh_fech_in!N4=0,0,SER_hh_fech_in!N4/SER_summary!N$27)</f>
        <v>274.55525576946002</v>
      </c>
      <c r="O4" s="131">
        <f>IF(SER_hh_fech_in!O4=0,0,SER_hh_fech_in!O4/SER_summary!O$27)</f>
        <v>276.17541707314558</v>
      </c>
      <c r="P4" s="131">
        <f>IF(SER_hh_fech_in!P4=0,0,SER_hh_fech_in!P4/SER_summary!P$27)</f>
        <v>154.62079517538004</v>
      </c>
      <c r="Q4" s="131">
        <f>IF(SER_hh_fech_in!Q4=0,0,SER_hh_fech_in!Q4/SER_summary!Q$27)</f>
        <v>148.72269420361957</v>
      </c>
      <c r="R4" s="131">
        <f>IF(SER_hh_fech_in!R4=0,0,SER_hh_fech_in!R4/SER_summary!R$27)</f>
        <v>145.57747569441318</v>
      </c>
      <c r="S4" s="131">
        <f>IF(SER_hh_fech_in!S4=0,0,SER_hh_fech_in!S4/SER_summary!S$27)</f>
        <v>152.22174538861526</v>
      </c>
      <c r="T4" s="131">
        <f>IF(SER_hh_fech_in!T4=0,0,SER_hh_fech_in!T4/SER_summary!T$27)</f>
        <v>121.80184565712428</v>
      </c>
      <c r="U4" s="131">
        <f>IF(SER_hh_fech_in!U4=0,0,SER_hh_fech_in!U4/SER_summary!U$27)</f>
        <v>96.140579187961208</v>
      </c>
      <c r="V4" s="131">
        <f>IF(SER_hh_fech_in!V4=0,0,SER_hh_fech_in!V4/SER_summary!V$27)</f>
        <v>75.437417341751285</v>
      </c>
      <c r="W4" s="131">
        <f>IF(SER_hh_fech_in!W4=0,0,SER_hh_fech_in!W4/SER_summary!W$27)</f>
        <v>83.308874438984788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512.34450885420256</v>
      </c>
      <c r="D5" s="133">
        <f>IF(SER_hh_fech_in!D5=0,0,SER_hh_fech_in!D5/SER_summary!D$27)</f>
        <v>667.44500355264154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321.28183010140754</v>
      </c>
      <c r="I5" s="133">
        <f>IF(SER_hh_fech_in!I5=0,0,SER_hh_fech_in!I5/SER_summary!I$27)</f>
        <v>386.47614487743101</v>
      </c>
      <c r="J5" s="133">
        <f>IF(SER_hh_fech_in!J5=0,0,SER_hh_fech_in!J5/SER_summary!J$27)</f>
        <v>399.72535207322721</v>
      </c>
      <c r="K5" s="133">
        <f>IF(SER_hh_fech_in!K5=0,0,SER_hh_fech_in!K5/SER_summary!K$27)</f>
        <v>700.99163632049431</v>
      </c>
      <c r="L5" s="133">
        <f>IF(SER_hh_fech_in!L5=0,0,SER_hh_fech_in!L5/SER_summary!L$27)</f>
        <v>370.35865534874466</v>
      </c>
      <c r="M5" s="133">
        <f>IF(SER_hh_fech_in!M5=0,0,SER_hh_fech_in!M5/SER_summary!M$27)</f>
        <v>414.34696756641637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135.43271282213743</v>
      </c>
      <c r="T5" s="133">
        <f>IF(SER_hh_fech_in!T5=0,0,SER_hh_fech_in!T5/SER_summary!T$27)</f>
        <v>131.41205399045577</v>
      </c>
      <c r="U5" s="133">
        <f>IF(SER_hh_fech_in!U5=0,0,SER_hh_fech_in!U5/SER_summary!U$27)</f>
        <v>169.58249744879831</v>
      </c>
      <c r="V5" s="133">
        <f>IF(SER_hh_fech_in!V5=0,0,SER_hh_fech_in!V5/SER_summary!V$27)</f>
        <v>0</v>
      </c>
      <c r="W5" s="133">
        <f>IF(SER_hh_fech_in!W5=0,0,SER_hh_fech_in!W5/SER_summary!W$27)</f>
        <v>70.605431199116552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871.94716347346116</v>
      </c>
      <c r="D7" s="133">
        <f>IF(SER_hh_fech_in!D7=0,0,SER_hh_fech_in!D7/SER_summary!D$27)</f>
        <v>0</v>
      </c>
      <c r="E7" s="133">
        <f>IF(SER_hh_fech_in!E7=0,0,SER_hh_fech_in!E7/SER_summary!E$27)</f>
        <v>214.21701827902208</v>
      </c>
      <c r="F7" s="133">
        <f>IF(SER_hh_fech_in!F7=0,0,SER_hh_fech_in!F7/SER_summary!F$27)</f>
        <v>553.07568720641893</v>
      </c>
      <c r="G7" s="133">
        <f>IF(SER_hh_fech_in!G7=0,0,SER_hh_fech_in!G7/SER_summary!G$27)</f>
        <v>641.4031161608566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0</v>
      </c>
      <c r="N7" s="133">
        <f>IF(SER_hh_fech_in!N7=0,0,SER_hh_fech_in!N7/SER_summary!N$27)</f>
        <v>0</v>
      </c>
      <c r="O7" s="133">
        <f>IF(SER_hh_fech_in!O7=0,0,SER_hh_fech_in!O7/SER_summary!O$27)</f>
        <v>96.806413733119584</v>
      </c>
      <c r="P7" s="133">
        <f>IF(SER_hh_fech_in!P7=0,0,SER_hh_fech_in!P7/SER_summary!P$27)</f>
        <v>226.565894936619</v>
      </c>
      <c r="Q7" s="133">
        <f>IF(SER_hh_fech_in!Q7=0,0,SER_hh_fech_in!Q7/SER_summary!Q$27)</f>
        <v>210.33545331814091</v>
      </c>
      <c r="R7" s="133">
        <f>IF(SER_hh_fech_in!R7=0,0,SER_hh_fech_in!R7/SER_summary!R$27)</f>
        <v>128.6491907644691</v>
      </c>
      <c r="S7" s="133">
        <f>IF(SER_hh_fech_in!S7=0,0,SER_hh_fech_in!S7/SER_summary!S$27)</f>
        <v>0</v>
      </c>
      <c r="T7" s="133">
        <f>IF(SER_hh_fech_in!T7=0,0,SER_hh_fech_in!T7/SER_summary!T$27)</f>
        <v>0</v>
      </c>
      <c r="U7" s="133">
        <f>IF(SER_hh_fech_in!U7=0,0,SER_hh_fech_in!U7/SER_summary!U$27)</f>
        <v>0</v>
      </c>
      <c r="V7" s="133">
        <f>IF(SER_hh_fech_in!V7=0,0,SER_hh_fech_in!V7/SER_summary!V$27)</f>
        <v>69.395767503137677</v>
      </c>
      <c r="W7" s="133">
        <f>IF(SER_hh_fech_in!W7=0,0,SER_hh_fech_in!W7/SER_summary!W$27)</f>
        <v>52.45542517085353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296.18819624128736</v>
      </c>
      <c r="D8" s="133">
        <f>IF(SER_hh_fech_in!D8=0,0,SER_hh_fech_in!D8/SER_summary!D$27)</f>
        <v>213.53967438995249</v>
      </c>
      <c r="E8" s="133">
        <f>IF(SER_hh_fech_in!E8=0,0,SER_hh_fech_in!E8/SER_summary!E$27)</f>
        <v>207.32885876080627</v>
      </c>
      <c r="F8" s="133">
        <f>IF(SER_hh_fech_in!F8=0,0,SER_hh_fech_in!F8/SER_summary!F$27)</f>
        <v>209.07984962253053</v>
      </c>
      <c r="G8" s="133">
        <f>IF(SER_hh_fech_in!G8=0,0,SER_hh_fech_in!G8/SER_summary!G$27)</f>
        <v>203.71661650711346</v>
      </c>
      <c r="H8" s="133">
        <f>IF(SER_hh_fech_in!H8=0,0,SER_hh_fech_in!H8/SER_summary!H$27)</f>
        <v>200.86443157688112</v>
      </c>
      <c r="I8" s="133">
        <f>IF(SER_hh_fech_in!I8=0,0,SER_hh_fech_in!I8/SER_summary!I$27)</f>
        <v>180.33060821600785</v>
      </c>
      <c r="J8" s="133">
        <f>IF(SER_hh_fech_in!J8=0,0,SER_hh_fech_in!J8/SER_summary!J$27)</f>
        <v>160.53894404993852</v>
      </c>
      <c r="K8" s="133">
        <f>IF(SER_hh_fech_in!K8=0,0,SER_hh_fech_in!K8/SER_summary!K$27)</f>
        <v>142.72648505511606</v>
      </c>
      <c r="L8" s="133">
        <f>IF(SER_hh_fech_in!L8=0,0,SER_hh_fech_in!L8/SER_summary!L$27)</f>
        <v>119.54051618915089</v>
      </c>
      <c r="M8" s="133">
        <f>IF(SER_hh_fech_in!M8=0,0,SER_hh_fech_in!M8/SER_summary!M$27)</f>
        <v>105.27817321555813</v>
      </c>
      <c r="N8" s="133">
        <f>IF(SER_hh_fech_in!N8=0,0,SER_hh_fech_in!N8/SER_summary!N$27)</f>
        <v>75.311849289728073</v>
      </c>
      <c r="O8" s="133">
        <f>IF(SER_hh_fech_in!O8=0,0,SER_hh_fech_in!O8/SER_summary!O$27)</f>
        <v>74.875127106533043</v>
      </c>
      <c r="P8" s="133">
        <f>IF(SER_hh_fech_in!P8=0,0,SER_hh_fech_in!P8/SER_summary!P$27)</f>
        <v>58.788904974577875</v>
      </c>
      <c r="Q8" s="133">
        <f>IF(SER_hh_fech_in!Q8=0,0,SER_hh_fech_in!Q8/SER_summary!Q$27)</f>
        <v>56.46103452121789</v>
      </c>
      <c r="R8" s="133">
        <f>IF(SER_hh_fech_in!R8=0,0,SER_hh_fech_in!R8/SER_summary!R$27)</f>
        <v>46.757369543316173</v>
      </c>
      <c r="S8" s="133">
        <f>IF(SER_hh_fech_in!S8=0,0,SER_hh_fech_in!S8/SER_summary!S$27)</f>
        <v>43.368316002075801</v>
      </c>
      <c r="T8" s="133">
        <f>IF(SER_hh_fech_in!T8=0,0,SER_hh_fech_in!T8/SER_summary!T$27)</f>
        <v>37.564269570943999</v>
      </c>
      <c r="U8" s="133">
        <f>IF(SER_hh_fech_in!U8=0,0,SER_hh_fech_in!U8/SER_summary!U$27)</f>
        <v>28.933993372632354</v>
      </c>
      <c r="V8" s="133">
        <f>IF(SER_hh_fech_in!V8=0,0,SER_hh_fech_in!V8/SER_summary!V$27)</f>
        <v>27.963852995634863</v>
      </c>
      <c r="W8" s="133">
        <f>IF(SER_hh_fech_in!W8=0,0,SER_hh_fech_in!W8/SER_summary!W$27)</f>
        <v>22.248539497350325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0</v>
      </c>
      <c r="D9" s="133">
        <f>IF(SER_hh_fech_in!D9=0,0,SER_hh_fech_in!D9/SER_summary!D$27)</f>
        <v>0</v>
      </c>
      <c r="E9" s="133">
        <f>IF(SER_hh_fech_in!E9=0,0,SER_hh_fech_in!E9/SER_summary!E$27)</f>
        <v>397.47135273647314</v>
      </c>
      <c r="F9" s="133">
        <f>IF(SER_hh_fech_in!F9=0,0,SER_hh_fech_in!F9/SER_summary!F$27)</f>
        <v>233.51253654188358</v>
      </c>
      <c r="G9" s="133">
        <f>IF(SER_hh_fech_in!G9=0,0,SER_hh_fech_in!G9/SER_summary!G$27)</f>
        <v>574.12696881608372</v>
      </c>
      <c r="H9" s="133">
        <f>IF(SER_hh_fech_in!H9=0,0,SER_hh_fech_in!H9/SER_summary!H$27)</f>
        <v>535.91415202967062</v>
      </c>
      <c r="I9" s="133">
        <f>IF(SER_hh_fech_in!I9=0,0,SER_hh_fech_in!I9/SER_summary!I$27)</f>
        <v>458.12749245637519</v>
      </c>
      <c r="J9" s="133">
        <f>IF(SER_hh_fech_in!J9=0,0,SER_hh_fech_in!J9/SER_summary!J$27)</f>
        <v>463.24551522738915</v>
      </c>
      <c r="K9" s="133">
        <f>IF(SER_hh_fech_in!K9=0,0,SER_hh_fech_in!K9/SER_summary!K$27)</f>
        <v>0</v>
      </c>
      <c r="L9" s="133">
        <f>IF(SER_hh_fech_in!L9=0,0,SER_hh_fech_in!L9/SER_summary!L$27)</f>
        <v>493.7291852197859</v>
      </c>
      <c r="M9" s="133">
        <f>IF(SER_hh_fech_in!M9=0,0,SER_hh_fech_in!M9/SER_summary!M$27)</f>
        <v>180.32258390685755</v>
      </c>
      <c r="N9" s="133">
        <f>IF(SER_hh_fech_in!N9=0,0,SER_hh_fech_in!N9/SER_summary!N$27)</f>
        <v>285.69709153583938</v>
      </c>
      <c r="O9" s="133">
        <f>IF(SER_hh_fech_in!O9=0,0,SER_hh_fech_in!O9/SER_summary!O$27)</f>
        <v>311.59536788767417</v>
      </c>
      <c r="P9" s="133">
        <f>IF(SER_hh_fech_in!P9=0,0,SER_hh_fech_in!P9/SER_summary!P$27)</f>
        <v>162.85568398542898</v>
      </c>
      <c r="Q9" s="133">
        <f>IF(SER_hh_fech_in!Q9=0,0,SER_hh_fech_in!Q9/SER_summary!Q$27)</f>
        <v>167.31767694832234</v>
      </c>
      <c r="R9" s="133">
        <f>IF(SER_hh_fech_in!R9=0,0,SER_hh_fech_in!R9/SER_summary!R$27)</f>
        <v>153.02718592636546</v>
      </c>
      <c r="S9" s="133">
        <f>IF(SER_hh_fech_in!S9=0,0,SER_hh_fech_in!S9/SER_summary!S$27)</f>
        <v>160.31446709133138</v>
      </c>
      <c r="T9" s="133">
        <f>IF(SER_hh_fech_in!T9=0,0,SER_hh_fech_in!T9/SER_summary!T$27)</f>
        <v>128.47061606193114</v>
      </c>
      <c r="U9" s="133">
        <f>IF(SER_hh_fech_in!U9=0,0,SER_hh_fech_in!U9/SER_summary!U$27)</f>
        <v>93.829514374221546</v>
      </c>
      <c r="V9" s="133">
        <f>IF(SER_hh_fech_in!V9=0,0,SER_hh_fech_in!V9/SER_summary!V$27)</f>
        <v>77.824610782025928</v>
      </c>
      <c r="W9" s="133">
        <f>IF(SER_hh_fech_in!W9=0,0,SER_hh_fech_in!W9/SER_summary!W$27)</f>
        <v>89.96381904701542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184.15446421522907</v>
      </c>
      <c r="I10" s="133">
        <f>IF(SER_hh_fech_in!I10=0,0,SER_hh_fech_in!I10/SER_summary!I$27)</f>
        <v>82.700717455392024</v>
      </c>
      <c r="J10" s="133">
        <f>IF(SER_hh_fech_in!J10=0,0,SER_hh_fech_in!J10/SER_summary!J$27)</f>
        <v>626.62249379419677</v>
      </c>
      <c r="K10" s="133">
        <f>IF(SER_hh_fech_in!K10=0,0,SER_hh_fech_in!K10/SER_summary!K$27)</f>
        <v>632.46631871325928</v>
      </c>
      <c r="L10" s="133">
        <f>IF(SER_hh_fech_in!L10=0,0,SER_hh_fech_in!L10/SER_summary!L$27)</f>
        <v>564.09921746118789</v>
      </c>
      <c r="M10" s="133">
        <f>IF(SER_hh_fech_in!M10=0,0,SER_hh_fech_in!M10/SER_summary!M$27)</f>
        <v>282.9225732063644</v>
      </c>
      <c r="N10" s="133">
        <f>IF(SER_hh_fech_in!N10=0,0,SER_hh_fech_in!N10/SER_summary!N$27)</f>
        <v>322.77507654786825</v>
      </c>
      <c r="O10" s="133">
        <f>IF(SER_hh_fech_in!O10=0,0,SER_hh_fech_in!O10/SER_summary!O$27)</f>
        <v>169.06326925870644</v>
      </c>
      <c r="P10" s="133">
        <f>IF(SER_hh_fech_in!P10=0,0,SER_hh_fech_in!P10/SER_summary!P$27)</f>
        <v>409.34006825586459</v>
      </c>
      <c r="Q10" s="133">
        <f>IF(SER_hh_fech_in!Q10=0,0,SER_hh_fech_in!Q10/SER_summary!Q$27)</f>
        <v>220.65269697899959</v>
      </c>
      <c r="R10" s="133">
        <f>IF(SER_hh_fech_in!R10=0,0,SER_hh_fech_in!R10/SER_summary!R$27)</f>
        <v>74.08009680845565</v>
      </c>
      <c r="S10" s="133">
        <f>IF(SER_hh_fech_in!S10=0,0,SER_hh_fech_in!S10/SER_summary!S$27)</f>
        <v>229.55957202794087</v>
      </c>
      <c r="T10" s="133">
        <f>IF(SER_hh_fech_in!T10=0,0,SER_hh_fech_in!T10/SER_summary!T$27)</f>
        <v>177.09342251731019</v>
      </c>
      <c r="U10" s="133">
        <f>IF(SER_hh_fech_in!U10=0,0,SER_hh_fech_in!U10/SER_summary!U$27)</f>
        <v>149.20957834181573</v>
      </c>
      <c r="V10" s="133">
        <f>IF(SER_hh_fech_in!V10=0,0,SER_hh_fech_in!V10/SER_summary!V$27)</f>
        <v>138.09430938238168</v>
      </c>
      <c r="W10" s="133">
        <f>IF(SER_hh_fech_in!W10=0,0,SER_hh_fech_in!W10/SER_summary!W$27)</f>
        <v>111.77422440954959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555.41223355221916</v>
      </c>
      <c r="D11" s="133">
        <f>IF(SER_hh_fech_in!D11=0,0,SER_hh_fech_in!D11/SER_summary!D$27)</f>
        <v>383.05381200371187</v>
      </c>
      <c r="E11" s="133">
        <f>IF(SER_hh_fech_in!E11=0,0,SER_hh_fech_in!E11/SER_summary!E$27)</f>
        <v>334.20455345082939</v>
      </c>
      <c r="F11" s="133">
        <f>IF(SER_hh_fech_in!F11=0,0,SER_hh_fech_in!F11/SER_summary!F$27)</f>
        <v>305.20979310109163</v>
      </c>
      <c r="G11" s="133">
        <f>IF(SER_hh_fech_in!G11=0,0,SER_hh_fech_in!G11/SER_summary!G$27)</f>
        <v>337.14909653146043</v>
      </c>
      <c r="H11" s="133">
        <f>IF(SER_hh_fech_in!H11=0,0,SER_hh_fech_in!H11/SER_summary!H$27)</f>
        <v>393.63773638470138</v>
      </c>
      <c r="I11" s="133">
        <f>IF(SER_hh_fech_in!I11=0,0,SER_hh_fech_in!I11/SER_summary!I$27)</f>
        <v>359.40873811930788</v>
      </c>
      <c r="J11" s="133">
        <f>IF(SER_hh_fech_in!J11=0,0,SER_hh_fech_in!J11/SER_summary!J$27)</f>
        <v>355.44475958979001</v>
      </c>
      <c r="K11" s="133">
        <f>IF(SER_hh_fech_in!K11=0,0,SER_hh_fech_in!K11/SER_summary!K$27)</f>
        <v>338.79310719126562</v>
      </c>
      <c r="L11" s="133">
        <f>IF(SER_hh_fech_in!L11=0,0,SER_hh_fech_in!L11/SER_summary!L$27)</f>
        <v>335.78473778311661</v>
      </c>
      <c r="M11" s="133">
        <f>IF(SER_hh_fech_in!M11=0,0,SER_hh_fech_in!M11/SER_summary!M$27)</f>
        <v>262.55647007193699</v>
      </c>
      <c r="N11" s="133">
        <f>IF(SER_hh_fech_in!N11=0,0,SER_hh_fech_in!N11/SER_summary!N$27)</f>
        <v>199.73617814384176</v>
      </c>
      <c r="O11" s="133">
        <f>IF(SER_hh_fech_in!O11=0,0,SER_hh_fech_in!O11/SER_summary!O$27)</f>
        <v>217.99615720752183</v>
      </c>
      <c r="P11" s="133">
        <f>IF(SER_hh_fech_in!P11=0,0,SER_hh_fech_in!P11/SER_summary!P$27)</f>
        <v>141.94960209789548</v>
      </c>
      <c r="Q11" s="133">
        <f>IF(SER_hh_fech_in!Q11=0,0,SER_hh_fech_in!Q11/SER_summary!Q$27)</f>
        <v>139.14218938788949</v>
      </c>
      <c r="R11" s="133">
        <f>IF(SER_hh_fech_in!R11=0,0,SER_hh_fech_in!R11/SER_summary!R$27)</f>
        <v>147.81210217122555</v>
      </c>
      <c r="S11" s="133">
        <f>IF(SER_hh_fech_in!S11=0,0,SER_hh_fech_in!S11/SER_summary!S$27)</f>
        <v>137.41602596555484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395.44764953964244</v>
      </c>
      <c r="D12" s="133">
        <f>IF(SER_hh_fech_in!D12=0,0,SER_hh_fech_in!D12/SER_summary!D$27)</f>
        <v>383.55900420103484</v>
      </c>
      <c r="E12" s="133">
        <f>IF(SER_hh_fech_in!E12=0,0,SER_hh_fech_in!E12/SER_summary!E$27)</f>
        <v>278.21879713598685</v>
      </c>
      <c r="F12" s="133">
        <f>IF(SER_hh_fech_in!F12=0,0,SER_hh_fech_in!F12/SER_summary!F$27)</f>
        <v>412.32460937543448</v>
      </c>
      <c r="G12" s="133">
        <f>IF(SER_hh_fech_in!G12=0,0,SER_hh_fech_in!G12/SER_summary!G$27)</f>
        <v>361.30047079329006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328.02233092731882</v>
      </c>
      <c r="K12" s="133">
        <f>IF(SER_hh_fech_in!K12=0,0,SER_hh_fech_in!K12/SER_summary!K$27)</f>
        <v>345.13321879437518</v>
      </c>
      <c r="L12" s="133">
        <f>IF(SER_hh_fech_in!L12=0,0,SER_hh_fech_in!L12/SER_summary!L$27)</f>
        <v>370.56368466537469</v>
      </c>
      <c r="M12" s="133">
        <f>IF(SER_hh_fech_in!M12=0,0,SER_hh_fech_in!M12/SER_summary!M$27)</f>
        <v>292.91565545504034</v>
      </c>
      <c r="N12" s="133">
        <f>IF(SER_hh_fech_in!N12=0,0,SER_hh_fech_in!N12/SER_summary!N$27)</f>
        <v>0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0</v>
      </c>
      <c r="R12" s="133">
        <f>IF(SER_hh_fech_in!R12=0,0,SER_hh_fech_in!R12/SER_summary!R$27)</f>
        <v>166.90646363170592</v>
      </c>
      <c r="S12" s="133">
        <f>IF(SER_hh_fech_in!S12=0,0,SER_hh_fech_in!S12/SER_summary!S$27)</f>
        <v>133.86403764538841</v>
      </c>
      <c r="T12" s="133">
        <f>IF(SER_hh_fech_in!T12=0,0,SER_hh_fech_in!T12/SER_summary!T$27)</f>
        <v>110.51167070746057</v>
      </c>
      <c r="U12" s="133">
        <f>IF(SER_hh_fech_in!U12=0,0,SER_hh_fech_in!U12/SER_summary!U$27)</f>
        <v>87.748620585182678</v>
      </c>
      <c r="V12" s="133">
        <f>IF(SER_hh_fech_in!V12=0,0,SER_hh_fech_in!V12/SER_summary!V$27)</f>
        <v>73.527313228838977</v>
      </c>
      <c r="W12" s="133">
        <f>IF(SER_hh_fech_in!W12=0,0,SER_hh_fech_in!W12/SER_summary!W$27)</f>
        <v>76.369818401001353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233.24906081526149</v>
      </c>
      <c r="D13" s="133">
        <f>IF(SER_hh_fech_in!D13=0,0,SER_hh_fech_in!D13/SER_summary!D$27)</f>
        <v>189.13596163257014</v>
      </c>
      <c r="E13" s="133">
        <f>IF(SER_hh_fech_in!E13=0,0,SER_hh_fech_in!E13/SER_summary!E$27)</f>
        <v>144.08033340665622</v>
      </c>
      <c r="F13" s="133">
        <f>IF(SER_hh_fech_in!F13=0,0,SER_hh_fech_in!F13/SER_summary!F$27)</f>
        <v>169.16392421198145</v>
      </c>
      <c r="G13" s="133">
        <f>IF(SER_hh_fech_in!G13=0,0,SER_hh_fech_in!G13/SER_summary!G$27)</f>
        <v>148.36041054034411</v>
      </c>
      <c r="H13" s="133">
        <f>IF(SER_hh_fech_in!H13=0,0,SER_hh_fech_in!H13/SER_summary!H$27)</f>
        <v>128.56063558749037</v>
      </c>
      <c r="I13" s="133">
        <f>IF(SER_hh_fech_in!I13=0,0,SER_hh_fech_in!I13/SER_summary!I$27)</f>
        <v>137.92791726521358</v>
      </c>
      <c r="J13" s="133">
        <f>IF(SER_hh_fech_in!J13=0,0,SER_hh_fech_in!J13/SER_summary!J$27)</f>
        <v>108.27191240354291</v>
      </c>
      <c r="K13" s="133">
        <f>IF(SER_hh_fech_in!K13=0,0,SER_hh_fech_in!K13/SER_summary!K$27)</f>
        <v>94.612848076974657</v>
      </c>
      <c r="L13" s="133">
        <f>IF(SER_hh_fech_in!L13=0,0,SER_hh_fech_in!L13/SER_summary!L$27)</f>
        <v>83.357066964055917</v>
      </c>
      <c r="M13" s="133">
        <f>IF(SER_hh_fech_in!M13=0,0,SER_hh_fech_in!M13/SER_summary!M$27)</f>
        <v>82.506074323305398</v>
      </c>
      <c r="N13" s="133">
        <f>IF(SER_hh_fech_in!N13=0,0,SER_hh_fech_in!N13/SER_summary!N$27)</f>
        <v>65.964937665381015</v>
      </c>
      <c r="O13" s="133">
        <f>IF(SER_hh_fech_in!O13=0,0,SER_hh_fech_in!O13/SER_summary!O$27)</f>
        <v>46.942942211993284</v>
      </c>
      <c r="P13" s="133">
        <f>IF(SER_hh_fech_in!P13=0,0,SER_hh_fech_in!P13/SER_summary!P$27)</f>
        <v>32.73649530268699</v>
      </c>
      <c r="Q13" s="133">
        <f>IF(SER_hh_fech_in!Q13=0,0,SER_hh_fech_in!Q13/SER_summary!Q$27)</f>
        <v>44.850920547577253</v>
      </c>
      <c r="R13" s="133">
        <f>IF(SER_hh_fech_in!R13=0,0,SER_hh_fech_in!R13/SER_summary!R$27)</f>
        <v>36.71662078139147</v>
      </c>
      <c r="S13" s="133">
        <f>IF(SER_hh_fech_in!S13=0,0,SER_hh_fech_in!S13/SER_summary!S$27)</f>
        <v>33.171859830905646</v>
      </c>
      <c r="T13" s="133">
        <f>IF(SER_hh_fech_in!T13=0,0,SER_hh_fech_in!T13/SER_summary!T$27)</f>
        <v>28.082179794713358</v>
      </c>
      <c r="U13" s="133">
        <f>IF(SER_hh_fech_in!U13=0,0,SER_hh_fech_in!U13/SER_summary!U$27)</f>
        <v>21.236700330768812</v>
      </c>
      <c r="V13" s="133">
        <f>IF(SER_hh_fech_in!V13=0,0,SER_hh_fech_in!V13/SER_summary!V$27)</f>
        <v>20.367976046455851</v>
      </c>
      <c r="W13" s="133">
        <f>IF(SER_hh_fech_in!W13=0,0,SER_hh_fech_in!W13/SER_summary!W$27)</f>
        <v>16.929194328981716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535.9671065218447</v>
      </c>
      <c r="D14" s="65">
        <f>IF(SER_hh_fech_in!D14=0,0,SER_hh_fech_in!D14/SER_summary!D$27)</f>
        <v>456.64272636320391</v>
      </c>
      <c r="E14" s="65">
        <f>IF(SER_hh_fech_in!E14=0,0,SER_hh_fech_in!E14/SER_summary!E$27)</f>
        <v>328.49520494266136</v>
      </c>
      <c r="F14" s="65">
        <f>IF(SER_hh_fech_in!F14=0,0,SER_hh_fech_in!F14/SER_summary!F$27)</f>
        <v>0</v>
      </c>
      <c r="G14" s="65">
        <f>IF(SER_hh_fech_in!G14=0,0,SER_hh_fech_in!G14/SER_summary!G$27)</f>
        <v>0</v>
      </c>
      <c r="H14" s="65">
        <f>IF(SER_hh_fech_in!H14=0,0,SER_hh_fech_in!H14/SER_summary!H$27)</f>
        <v>0</v>
      </c>
      <c r="I14" s="65">
        <f>IF(SER_hh_fech_in!I14=0,0,SER_hh_fech_in!I14/SER_summary!I$27)</f>
        <v>0</v>
      </c>
      <c r="J14" s="65">
        <f>IF(SER_hh_fech_in!J14=0,0,SER_hh_fech_in!J14/SER_summary!J$27)</f>
        <v>352.12161112959285</v>
      </c>
      <c r="K14" s="65">
        <f>IF(SER_hh_fech_in!K14=0,0,SER_hh_fech_in!K14/SER_summary!K$27)</f>
        <v>338.75688490949949</v>
      </c>
      <c r="L14" s="65">
        <f>IF(SER_hh_fech_in!L14=0,0,SER_hh_fech_in!L14/SER_summary!L$27)</f>
        <v>385.47008091445855</v>
      </c>
      <c r="M14" s="65">
        <f>IF(SER_hh_fech_in!M14=0,0,SER_hh_fech_in!M14/SER_summary!M$27)</f>
        <v>348.02768996017534</v>
      </c>
      <c r="N14" s="65">
        <f>IF(SER_hh_fech_in!N14=0,0,SER_hh_fech_in!N14/SER_summary!N$27)</f>
        <v>186.92000268136516</v>
      </c>
      <c r="O14" s="65">
        <f>IF(SER_hh_fech_in!O14=0,0,SER_hh_fech_in!O14/SER_summary!O$27)</f>
        <v>259.70556895666448</v>
      </c>
      <c r="P14" s="65">
        <f>IF(SER_hh_fech_in!P14=0,0,SER_hh_fech_in!P14/SER_summary!P$27)</f>
        <v>138.44174938466384</v>
      </c>
      <c r="Q14" s="65">
        <f>IF(SER_hh_fech_in!Q14=0,0,SER_hh_fech_in!Q14/SER_summary!Q$27)</f>
        <v>153.19307836656134</v>
      </c>
      <c r="R14" s="65">
        <f>IF(SER_hh_fech_in!R14=0,0,SER_hh_fech_in!R14/SER_summary!R$27)</f>
        <v>143.9670300052781</v>
      </c>
      <c r="S14" s="65">
        <f>IF(SER_hh_fech_in!S14=0,0,SER_hh_fech_in!S14/SER_summary!S$27)</f>
        <v>156.04753975488978</v>
      </c>
      <c r="T14" s="65">
        <f>IF(SER_hh_fech_in!T14=0,0,SER_hh_fech_in!T14/SER_summary!T$27)</f>
        <v>118.68885740288714</v>
      </c>
      <c r="U14" s="65">
        <f>IF(SER_hh_fech_in!U14=0,0,SER_hh_fech_in!U14/SER_summary!U$27)</f>
        <v>0</v>
      </c>
      <c r="V14" s="65">
        <f>IF(SER_hh_fech_in!V14=0,0,SER_hh_fech_in!V14/SER_summary!V$27)</f>
        <v>73.084251620111502</v>
      </c>
      <c r="W14" s="65">
        <f>IF(SER_hh_fech_in!W14=0,0,SER_hh_fech_in!W14/SER_summary!W$27)</f>
        <v>70.641601527674609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1.9048838343994319</v>
      </c>
      <c r="D15" s="135">
        <f>IF(SER_hh_fech_in!D15=0,0,SER_hh_fech_in!D15/SER_summary!D$27)</f>
        <v>1.5810358058013956</v>
      </c>
      <c r="E15" s="135">
        <f>IF(SER_hh_fech_in!E15=0,0,SER_hh_fech_in!E15/SER_summary!E$27)</f>
        <v>1.2784227331444218</v>
      </c>
      <c r="F15" s="135">
        <f>IF(SER_hh_fech_in!F15=0,0,SER_hh_fech_in!F15/SER_summary!F$27)</f>
        <v>2.3207818415271833</v>
      </c>
      <c r="G15" s="135">
        <f>IF(SER_hh_fech_in!G15=0,0,SER_hh_fech_in!G15/SER_summary!G$27)</f>
        <v>6.0849963083794893</v>
      </c>
      <c r="H15" s="135">
        <f>IF(SER_hh_fech_in!H15=0,0,SER_hh_fech_in!H15/SER_summary!H$27)</f>
        <v>5.5514942708866899</v>
      </c>
      <c r="I15" s="135">
        <f>IF(SER_hh_fech_in!I15=0,0,SER_hh_fech_in!I15/SER_summary!I$27)</f>
        <v>3.6285381591097963</v>
      </c>
      <c r="J15" s="135">
        <f>IF(SER_hh_fech_in!J15=0,0,SER_hh_fech_in!J15/SER_summary!J$27)</f>
        <v>2.3490816331332192</v>
      </c>
      <c r="K15" s="135">
        <f>IF(SER_hh_fech_in!K15=0,0,SER_hh_fech_in!K15/SER_summary!K$27)</f>
        <v>3.0342414795781911</v>
      </c>
      <c r="L15" s="135">
        <f>IF(SER_hh_fech_in!L15=0,0,SER_hh_fech_in!L15/SER_summary!L$27)</f>
        <v>2.3433474671522525</v>
      </c>
      <c r="M15" s="135">
        <f>IF(SER_hh_fech_in!M15=0,0,SER_hh_fech_in!M15/SER_summary!M$27)</f>
        <v>1.8021999975183127</v>
      </c>
      <c r="N15" s="135">
        <f>IF(SER_hh_fech_in!N15=0,0,SER_hh_fech_in!N15/SER_summary!N$27)</f>
        <v>3.1788542205142551</v>
      </c>
      <c r="O15" s="135">
        <f>IF(SER_hh_fech_in!O15=0,0,SER_hh_fech_in!O15/SER_summary!O$27)</f>
        <v>3.3165111380076047</v>
      </c>
      <c r="P15" s="135">
        <f>IF(SER_hh_fech_in!P15=0,0,SER_hh_fech_in!P15/SER_summary!P$27)</f>
        <v>1.9367784537041406</v>
      </c>
      <c r="Q15" s="135">
        <f>IF(SER_hh_fech_in!Q15=0,0,SER_hh_fech_in!Q15/SER_summary!Q$27)</f>
        <v>1.8933530447114153</v>
      </c>
      <c r="R15" s="135">
        <f>IF(SER_hh_fech_in!R15=0,0,SER_hh_fech_in!R15/SER_summary!R$27)</f>
        <v>1.5232370493714769</v>
      </c>
      <c r="S15" s="135">
        <f>IF(SER_hh_fech_in!S15=0,0,SER_hh_fech_in!S15/SER_summary!S$27)</f>
        <v>1.1761688683975775</v>
      </c>
      <c r="T15" s="135">
        <f>IF(SER_hh_fech_in!T15=0,0,SER_hh_fech_in!T15/SER_summary!T$27)</f>
        <v>0.95325002765241773</v>
      </c>
      <c r="U15" s="135">
        <f>IF(SER_hh_fech_in!U15=0,0,SER_hh_fech_in!U15/SER_summary!U$27)</f>
        <v>0.90072989540553761</v>
      </c>
      <c r="V15" s="135">
        <f>IF(SER_hh_fech_in!V15=0,0,SER_hh_fech_in!V15/SER_summary!V$27)</f>
        <v>0.73832013566762023</v>
      </c>
      <c r="W15" s="135">
        <f>IF(SER_hh_fech_in!W15=0,0,SER_hh_fech_in!W15/SER_summary!W$27)</f>
        <v>0.90081329038111579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13.469573413294128</v>
      </c>
      <c r="D16" s="131">
        <f>IF(SER_hh_fech_in!D16=0,0,SER_hh_fech_in!D16/SER_summary!D$27)</f>
        <v>13.125852067999826</v>
      </c>
      <c r="E16" s="131">
        <f>IF(SER_hh_fech_in!E16=0,0,SER_hh_fech_in!E16/SER_summary!E$27)</f>
        <v>12.786744168860963</v>
      </c>
      <c r="F16" s="131">
        <f>IF(SER_hh_fech_in!F16=0,0,SER_hh_fech_in!F16/SER_summary!F$27)</f>
        <v>12.004422093876164</v>
      </c>
      <c r="G16" s="131">
        <f>IF(SER_hh_fech_in!G16=0,0,SER_hh_fech_in!G16/SER_summary!G$27)</f>
        <v>11.652585132052424</v>
      </c>
      <c r="H16" s="131">
        <f>IF(SER_hh_fech_in!H16=0,0,SER_hh_fech_in!H16/SER_summary!H$27)</f>
        <v>11.536313380283516</v>
      </c>
      <c r="I16" s="131">
        <f>IF(SER_hh_fech_in!I16=0,0,SER_hh_fech_in!I16/SER_summary!I$27)</f>
        <v>11.57358351507094</v>
      </c>
      <c r="J16" s="131">
        <f>IF(SER_hh_fech_in!J16=0,0,SER_hh_fech_in!J16/SER_summary!J$27)</f>
        <v>10.53493939129182</v>
      </c>
      <c r="K16" s="131">
        <f>IF(SER_hh_fech_in!K16=0,0,SER_hh_fech_in!K16/SER_summary!K$27)</f>
        <v>10.137841761970689</v>
      </c>
      <c r="L16" s="131">
        <f>IF(SER_hh_fech_in!L16=0,0,SER_hh_fech_in!L16/SER_summary!L$27)</f>
        <v>10.176732014212865</v>
      </c>
      <c r="M16" s="131">
        <f>IF(SER_hh_fech_in!M16=0,0,SER_hh_fech_in!M16/SER_summary!M$27)</f>
        <v>9.5592376295500827</v>
      </c>
      <c r="N16" s="131">
        <f>IF(SER_hh_fech_in!N16=0,0,SER_hh_fech_in!N16/SER_summary!N$27)</f>
        <v>9.9665809514367574</v>
      </c>
      <c r="O16" s="131">
        <f>IF(SER_hh_fech_in!O16=0,0,SER_hh_fech_in!O16/SER_summary!O$27)</f>
        <v>9.1537679719813561</v>
      </c>
      <c r="P16" s="131">
        <f>IF(SER_hh_fech_in!P16=0,0,SER_hh_fech_in!P16/SER_summary!P$27)</f>
        <v>8.0283128075743484</v>
      </c>
      <c r="Q16" s="131">
        <f>IF(SER_hh_fech_in!Q16=0,0,SER_hh_fech_in!Q16/SER_summary!Q$27)</f>
        <v>8.8488092447611955</v>
      </c>
      <c r="R16" s="131">
        <f>IF(SER_hh_fech_in!R16=0,0,SER_hh_fech_in!R16/SER_summary!R$27)</f>
        <v>7.4571694992877857</v>
      </c>
      <c r="S16" s="131">
        <f>IF(SER_hh_fech_in!S16=0,0,SER_hh_fech_in!S16/SER_summary!S$27)</f>
        <v>7.3684231938200595</v>
      </c>
      <c r="T16" s="131">
        <f>IF(SER_hh_fech_in!T16=0,0,SER_hh_fech_in!T16/SER_summary!T$27)</f>
        <v>7.0249030795696399</v>
      </c>
      <c r="U16" s="131">
        <f>IF(SER_hh_fech_in!U16=0,0,SER_hh_fech_in!U16/SER_summary!U$27)</f>
        <v>6.8410423267363605</v>
      </c>
      <c r="V16" s="131">
        <f>IF(SER_hh_fech_in!V16=0,0,SER_hh_fech_in!V16/SER_summary!V$27)</f>
        <v>6.1418892106602767</v>
      </c>
      <c r="W16" s="131">
        <f>IF(SER_hh_fech_in!W16=0,0,SER_hh_fech_in!W16/SER_summary!W$27)</f>
        <v>5.6736954873975085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23.818434018895907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23.307228926122765</v>
      </c>
      <c r="G17" s="133">
        <f>IF(SER_hh_fech_in!G17=0,0,SER_hh_fech_in!G17/SER_summary!G$27)</f>
        <v>23.351385727430586</v>
      </c>
      <c r="H17" s="133">
        <f>IF(SER_hh_fech_in!H17=0,0,SER_hh_fech_in!H17/SER_summary!H$27)</f>
        <v>23.747339666387447</v>
      </c>
      <c r="I17" s="133">
        <f>IF(SER_hh_fech_in!I17=0,0,SER_hh_fech_in!I17/SER_summary!I$27)</f>
        <v>24.352813343306192</v>
      </c>
      <c r="J17" s="133">
        <f>IF(SER_hh_fech_in!J17=0,0,SER_hh_fech_in!J17/SER_summary!J$27)</f>
        <v>22.66376353105403</v>
      </c>
      <c r="K17" s="133">
        <f>IF(SER_hh_fech_in!K17=0,0,SER_hh_fech_in!K17/SER_summary!K$27)</f>
        <v>22.384331402326719</v>
      </c>
      <c r="L17" s="133">
        <f>IF(SER_hh_fech_in!L17=0,0,SER_hh_fech_in!L17/SER_summary!L$27)</f>
        <v>22.98725971969224</v>
      </c>
      <c r="M17" s="133">
        <f>IF(SER_hh_fech_in!M17=0,0,SER_hh_fech_in!M17/SER_summary!M$27)</f>
        <v>22.235229976949451</v>
      </c>
      <c r="N17" s="133">
        <f>IF(SER_hh_fech_in!N17=0,0,SER_hh_fech_in!N17/SER_summary!N$27)</f>
        <v>23.85935033258075</v>
      </c>
      <c r="O17" s="133">
        <f>IF(SER_hh_fech_in!O17=0,0,SER_hh_fech_in!O17/SER_summary!O$27)</f>
        <v>22.383841475001038</v>
      </c>
      <c r="P17" s="133">
        <f>IF(SER_hh_fech_in!P17=0,0,SER_hh_fech_in!P17/SER_summary!P$27)</f>
        <v>20.009841949578004</v>
      </c>
      <c r="Q17" s="133">
        <f>IF(SER_hh_fech_in!Q17=0,0,SER_hh_fech_in!Q17/SER_summary!Q$27)</f>
        <v>22.417155197201502</v>
      </c>
      <c r="R17" s="133">
        <f>IF(SER_hh_fech_in!R17=0,0,SER_hh_fech_in!R17/SER_summary!R$27)</f>
        <v>18.74637354751567</v>
      </c>
      <c r="S17" s="133">
        <f>IF(SER_hh_fech_in!S17=0,0,SER_hh_fech_in!S17/SER_summary!S$27)</f>
        <v>18.940973600556426</v>
      </c>
      <c r="T17" s="133">
        <f>IF(SER_hh_fech_in!T17=0,0,SER_hh_fech_in!T17/SER_summary!T$27)</f>
        <v>17.683439255619064</v>
      </c>
      <c r="U17" s="133">
        <f>IF(SER_hh_fech_in!U17=0,0,SER_hh_fech_in!U17/SER_summary!U$27)</f>
        <v>17.089280490143015</v>
      </c>
      <c r="V17" s="133">
        <f>IF(SER_hh_fech_in!V17=0,0,SER_hh_fech_in!V17/SER_summary!V$27)</f>
        <v>15.756466296859768</v>
      </c>
      <c r="W17" s="133">
        <f>IF(SER_hh_fech_in!W17=0,0,SER_hh_fech_in!W17/SER_summary!W$27)</f>
        <v>13.266624246505907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13.390734809788304</v>
      </c>
      <c r="D18" s="133">
        <f>IF(SER_hh_fech_in!D18=0,0,SER_hh_fech_in!D18/SER_summary!D$27)</f>
        <v>13.125852067999826</v>
      </c>
      <c r="E18" s="133">
        <f>IF(SER_hh_fech_in!E18=0,0,SER_hh_fech_in!E18/SER_summary!E$27)</f>
        <v>12.786744168860963</v>
      </c>
      <c r="F18" s="133">
        <f>IF(SER_hh_fech_in!F18=0,0,SER_hh_fech_in!F18/SER_summary!F$27)</f>
        <v>11.886718176403789</v>
      </c>
      <c r="G18" s="133">
        <f>IF(SER_hh_fech_in!G18=0,0,SER_hh_fech_in!G18/SER_summary!G$27)</f>
        <v>11.567169822930707</v>
      </c>
      <c r="H18" s="133">
        <f>IF(SER_hh_fech_in!H18=0,0,SER_hh_fech_in!H18/SER_summary!H$27)</f>
        <v>11.493512388129119</v>
      </c>
      <c r="I18" s="133">
        <f>IF(SER_hh_fech_in!I18=0,0,SER_hh_fech_in!I18/SER_summary!I$27)</f>
        <v>11.550589854304178</v>
      </c>
      <c r="J18" s="133">
        <f>IF(SER_hh_fech_in!J18=0,0,SER_hh_fech_in!J18/SER_summary!J$27)</f>
        <v>10.485382844556648</v>
      </c>
      <c r="K18" s="133">
        <f>IF(SER_hh_fech_in!K18=0,0,SER_hh_fech_in!K18/SER_summary!K$27)</f>
        <v>10.121950229438934</v>
      </c>
      <c r="L18" s="133">
        <f>IF(SER_hh_fech_in!L18=0,0,SER_hh_fech_in!L18/SER_summary!L$27)</f>
        <v>10.123859133681782</v>
      </c>
      <c r="M18" s="133">
        <f>IF(SER_hh_fech_in!M18=0,0,SER_hh_fech_in!M18/SER_summary!M$27)</f>
        <v>9.4666616424484236</v>
      </c>
      <c r="N18" s="133">
        <f>IF(SER_hh_fech_in!N18=0,0,SER_hh_fech_in!N18/SER_summary!N$27)</f>
        <v>9.9102482357520021</v>
      </c>
      <c r="O18" s="133">
        <f>IF(SER_hh_fech_in!O18=0,0,SER_hh_fech_in!O18/SER_summary!O$27)</f>
        <v>8.9806426662067729</v>
      </c>
      <c r="P18" s="133">
        <f>IF(SER_hh_fech_in!P18=0,0,SER_hh_fech_in!P18/SER_summary!P$27)</f>
        <v>7.75664334816131</v>
      </c>
      <c r="Q18" s="133">
        <f>IF(SER_hh_fech_in!Q18=0,0,SER_hh_fech_in!Q18/SER_summary!Q$27)</f>
        <v>8.6550885381591041</v>
      </c>
      <c r="R18" s="133">
        <f>IF(SER_hh_fech_in!R18=0,0,SER_hh_fech_in!R18/SER_summary!R$27)</f>
        <v>7.0404723901272366</v>
      </c>
      <c r="S18" s="133">
        <f>IF(SER_hh_fech_in!S18=0,0,SER_hh_fech_in!S18/SER_summary!S$27)</f>
        <v>7.1934306872459048</v>
      </c>
      <c r="T18" s="133">
        <f>IF(SER_hh_fech_in!T18=0,0,SER_hh_fech_in!T18/SER_summary!T$27)</f>
        <v>6.7690263222066802</v>
      </c>
      <c r="U18" s="133">
        <f>IF(SER_hh_fech_in!U18=0,0,SER_hh_fech_in!U18/SER_summary!U$27)</f>
        <v>6.6693542797024072</v>
      </c>
      <c r="V18" s="133">
        <f>IF(SER_hh_fech_in!V18=0,0,SER_hh_fech_in!V18/SER_summary!V$27)</f>
        <v>5.7915003962402754</v>
      </c>
      <c r="W18" s="133">
        <f>IF(SER_hh_fech_in!W18=0,0,SER_hh_fech_in!W18/SER_summary!W$27)</f>
        <v>5.4856559570946919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46.615461205658413</v>
      </c>
      <c r="D19" s="131">
        <f>IF(SER_hh_fech_in!D19=0,0,SER_hh_fech_in!D19/SER_summary!D$27)</f>
        <v>43.585220548223255</v>
      </c>
      <c r="E19" s="131">
        <f>IF(SER_hh_fech_in!E19=0,0,SER_hh_fech_in!E19/SER_summary!E$27)</f>
        <v>43.083779432545136</v>
      </c>
      <c r="F19" s="131">
        <f>IF(SER_hh_fech_in!F19=0,0,SER_hh_fech_in!F19/SER_summary!F$27)</f>
        <v>41.168140479059723</v>
      </c>
      <c r="G19" s="131">
        <f>IF(SER_hh_fech_in!G19=0,0,SER_hh_fech_in!G19/SER_summary!G$27)</f>
        <v>44.452662214689475</v>
      </c>
      <c r="H19" s="131">
        <f>IF(SER_hh_fech_in!H19=0,0,SER_hh_fech_in!H19/SER_summary!H$27)</f>
        <v>44.015782131410198</v>
      </c>
      <c r="I19" s="131">
        <f>IF(SER_hh_fech_in!I19=0,0,SER_hh_fech_in!I19/SER_summary!I$27)</f>
        <v>44.005178764869378</v>
      </c>
      <c r="J19" s="131">
        <f>IF(SER_hh_fech_in!J19=0,0,SER_hh_fech_in!J19/SER_summary!J$27)</f>
        <v>43.118458478726559</v>
      </c>
      <c r="K19" s="131">
        <f>IF(SER_hh_fech_in!K19=0,0,SER_hh_fech_in!K19/SER_summary!K$27)</f>
        <v>43.232314762006858</v>
      </c>
      <c r="L19" s="131">
        <f>IF(SER_hh_fech_in!L19=0,0,SER_hh_fech_in!L19/SER_summary!L$27)</f>
        <v>40.753211975440138</v>
      </c>
      <c r="M19" s="131">
        <f>IF(SER_hh_fech_in!M19=0,0,SER_hh_fech_in!M19/SER_summary!M$27)</f>
        <v>41.152577378222084</v>
      </c>
      <c r="N19" s="131">
        <f>IF(SER_hh_fech_in!N19=0,0,SER_hh_fech_in!N19/SER_summary!N$27)</f>
        <v>43.157847220054919</v>
      </c>
      <c r="O19" s="131">
        <f>IF(SER_hh_fech_in!O19=0,0,SER_hh_fech_in!O19/SER_summary!O$27)</f>
        <v>41.73657771443871</v>
      </c>
      <c r="P19" s="131">
        <f>IF(SER_hh_fech_in!P19=0,0,SER_hh_fech_in!P19/SER_summary!P$27)</f>
        <v>36.35736460795988</v>
      </c>
      <c r="Q19" s="131">
        <f>IF(SER_hh_fech_in!Q19=0,0,SER_hh_fech_in!Q19/SER_summary!Q$27)</f>
        <v>35.688205141389716</v>
      </c>
      <c r="R19" s="131">
        <f>IF(SER_hh_fech_in!R19=0,0,SER_hh_fech_in!R19/SER_summary!R$27)</f>
        <v>36.458270199850148</v>
      </c>
      <c r="S19" s="131">
        <f>IF(SER_hh_fech_in!S19=0,0,SER_hh_fech_in!S19/SER_summary!S$27)</f>
        <v>35.147726203211363</v>
      </c>
      <c r="T19" s="131">
        <f>IF(SER_hh_fech_in!T19=0,0,SER_hh_fech_in!T19/SER_summary!T$27)</f>
        <v>33.079926495520795</v>
      </c>
      <c r="U19" s="131">
        <f>IF(SER_hh_fech_in!U19=0,0,SER_hh_fech_in!U19/SER_summary!U$27)</f>
        <v>32.041148027863038</v>
      </c>
      <c r="V19" s="131">
        <f>IF(SER_hh_fech_in!V19=0,0,SER_hh_fech_in!V19/SER_summary!V$27)</f>
        <v>31.908334881306207</v>
      </c>
      <c r="W19" s="131">
        <f>IF(SER_hh_fech_in!W19=0,0,SER_hh_fech_in!W19/SER_summary!W$27)</f>
        <v>28.793563271830951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34.535422983161808</v>
      </c>
      <c r="I20" s="133">
        <f>IF(SER_hh_fech_in!I20=0,0,SER_hh_fech_in!I20/SER_summary!I$27)</f>
        <v>47.312641248391564</v>
      </c>
      <c r="J20" s="133">
        <f>IF(SER_hh_fech_in!J20=0,0,SER_hh_fech_in!J20/SER_summary!J$27)</f>
        <v>46.247117953118327</v>
      </c>
      <c r="K20" s="133">
        <f>IF(SER_hh_fech_in!K20=0,0,SER_hh_fech_in!K20/SER_summary!K$27)</f>
        <v>45.346966921809361</v>
      </c>
      <c r="L20" s="133">
        <f>IF(SER_hh_fech_in!L20=0,0,SER_hh_fech_in!L20/SER_summary!L$27)</f>
        <v>42.437260003269408</v>
      </c>
      <c r="M20" s="133">
        <f>IF(SER_hh_fech_in!M20=0,0,SER_hh_fech_in!M20/SER_summary!M$27)</f>
        <v>41.736668681159678</v>
      </c>
      <c r="N20" s="133">
        <f>IF(SER_hh_fech_in!N20=0,0,SER_hh_fech_in!N20/SER_summary!N$27)</f>
        <v>42.203520911291562</v>
      </c>
      <c r="O20" s="133">
        <f>IF(SER_hh_fech_in!O20=0,0,SER_hh_fech_in!O20/SER_summary!O$27)</f>
        <v>41.395037668300787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38.145784916690332</v>
      </c>
      <c r="U20" s="133">
        <f>IF(SER_hh_fech_in!U20=0,0,SER_hh_fech_in!U20/SER_summary!U$27)</f>
        <v>53.748351338020584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0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0</v>
      </c>
      <c r="L22" s="133">
        <f>IF(SER_hh_fech_in!L22=0,0,SER_hh_fech_in!L22/SER_summary!L$27)</f>
        <v>0</v>
      </c>
      <c r="M22" s="133">
        <f>IF(SER_hh_fech_in!M22=0,0,SER_hh_fech_in!M22/SER_summary!M$27)</f>
        <v>0</v>
      </c>
      <c r="N22" s="133">
        <f>IF(SER_hh_fech_in!N22=0,0,SER_hh_fech_in!N22/SER_summary!N$27)</f>
        <v>0</v>
      </c>
      <c r="O22" s="133">
        <f>IF(SER_hh_fech_in!O22=0,0,SER_hh_fech_in!O22/SER_summary!O$27)</f>
        <v>0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54.654315702310257</v>
      </c>
      <c r="D23" s="133">
        <f>IF(SER_hh_fech_in!D23=0,0,SER_hh_fech_in!D23/SER_summary!D$27)</f>
        <v>54.17657357791564</v>
      </c>
      <c r="E23" s="133">
        <f>IF(SER_hh_fech_in!E23=0,0,SER_hh_fech_in!E23/SER_summary!E$27)</f>
        <v>48.226039580735325</v>
      </c>
      <c r="F23" s="133">
        <f>IF(SER_hh_fech_in!F23=0,0,SER_hh_fech_in!F23/SER_summary!F$27)</f>
        <v>49.793705137127326</v>
      </c>
      <c r="G23" s="133">
        <f>IF(SER_hh_fech_in!G23=0,0,SER_hh_fech_in!G23/SER_summary!G$27)</f>
        <v>47.321637907095614</v>
      </c>
      <c r="H23" s="133">
        <f>IF(SER_hh_fech_in!H23=0,0,SER_hh_fech_in!H23/SER_summary!H$27)</f>
        <v>46.664600678223294</v>
      </c>
      <c r="I23" s="133">
        <f>IF(SER_hh_fech_in!I23=0,0,SER_hh_fech_in!I23/SER_summary!I$27)</f>
        <v>49.116906544507103</v>
      </c>
      <c r="J23" s="133">
        <f>IF(SER_hh_fech_in!J23=0,0,SER_hh_fech_in!J23/SER_summary!J$27)</f>
        <v>47.372263929348236</v>
      </c>
      <c r="K23" s="133">
        <f>IF(SER_hh_fech_in!K23=0,0,SER_hh_fech_in!K23/SER_summary!K$27)</f>
        <v>44.967222583439217</v>
      </c>
      <c r="L23" s="133">
        <f>IF(SER_hh_fech_in!L23=0,0,SER_hh_fech_in!L23/SER_summary!L$27)</f>
        <v>44.440857201327525</v>
      </c>
      <c r="M23" s="133">
        <f>IF(SER_hh_fech_in!M23=0,0,SER_hh_fech_in!M23/SER_summary!M$27)</f>
        <v>40.790705430173041</v>
      </c>
      <c r="N23" s="133">
        <f>IF(SER_hh_fech_in!N23=0,0,SER_hh_fech_in!N23/SER_summary!N$27)</f>
        <v>45.007894556717581</v>
      </c>
      <c r="O23" s="133">
        <f>IF(SER_hh_fech_in!O23=0,0,SER_hh_fech_in!O23/SER_summary!O$27)</f>
        <v>44.040465499061888</v>
      </c>
      <c r="P23" s="133">
        <f>IF(SER_hh_fech_in!P23=0,0,SER_hh_fech_in!P23/SER_summary!P$27)</f>
        <v>35.936068726949046</v>
      </c>
      <c r="Q23" s="133">
        <f>IF(SER_hh_fech_in!Q23=0,0,SER_hh_fech_in!Q23/SER_summary!Q$27)</f>
        <v>41.768278969412997</v>
      </c>
      <c r="R23" s="133">
        <f>IF(SER_hh_fech_in!R23=0,0,SER_hh_fech_in!R23/SER_summary!R$27)</f>
        <v>41.135486974040198</v>
      </c>
      <c r="S23" s="133">
        <f>IF(SER_hh_fech_in!S23=0,0,SER_hh_fech_in!S23/SER_summary!S$27)</f>
        <v>38.354920354288105</v>
      </c>
      <c r="T23" s="133">
        <f>IF(SER_hh_fech_in!T23=0,0,SER_hh_fech_in!T23/SER_summary!T$27)</f>
        <v>0</v>
      </c>
      <c r="U23" s="133">
        <f>IF(SER_hh_fech_in!U23=0,0,SER_hh_fech_in!U23/SER_summary!U$27)</f>
        <v>0</v>
      </c>
      <c r="V23" s="133">
        <f>IF(SER_hh_fech_in!V23=0,0,SER_hh_fech_in!V23/SER_summary!V$27)</f>
        <v>0</v>
      </c>
      <c r="W23" s="133">
        <f>IF(SER_hh_fech_in!W23=0,0,SER_hh_fech_in!W23/SER_summary!W$27)</f>
        <v>38.63301893815089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33.06481688904671</v>
      </c>
      <c r="D25" s="133">
        <f>IF(SER_hh_fech_in!D25=0,0,SER_hh_fech_in!D25/SER_summary!D$27)</f>
        <v>36.52855028454703</v>
      </c>
      <c r="E25" s="133">
        <f>IF(SER_hh_fech_in!E25=0,0,SER_hh_fech_in!E25/SER_summary!E$27)</f>
        <v>38.933970364573661</v>
      </c>
      <c r="F25" s="133">
        <f>IF(SER_hh_fech_in!F25=0,0,SER_hh_fech_in!F25/SER_summary!F$27)</f>
        <v>50.27746540096404</v>
      </c>
      <c r="G25" s="133">
        <f>IF(SER_hh_fech_in!G25=0,0,SER_hh_fech_in!G25/SER_summary!G$27)</f>
        <v>36.751011731795451</v>
      </c>
      <c r="H25" s="133">
        <f>IF(SER_hh_fech_in!H25=0,0,SER_hh_fech_in!H25/SER_summary!H$27)</f>
        <v>33.062068275792896</v>
      </c>
      <c r="I25" s="133">
        <f>IF(SER_hh_fech_in!I25=0,0,SER_hh_fech_in!I25/SER_summary!I$27)</f>
        <v>0</v>
      </c>
      <c r="J25" s="133">
        <f>IF(SER_hh_fech_in!J25=0,0,SER_hh_fech_in!J25/SER_summary!J$27)</f>
        <v>35.280473282516951</v>
      </c>
      <c r="K25" s="133">
        <f>IF(SER_hh_fech_in!K25=0,0,SER_hh_fech_in!K25/SER_summary!K$27)</f>
        <v>36.453950588087608</v>
      </c>
      <c r="L25" s="133">
        <f>IF(SER_hh_fech_in!L25=0,0,SER_hh_fech_in!L25/SER_summary!L$27)</f>
        <v>33.443723829975589</v>
      </c>
      <c r="M25" s="133">
        <f>IF(SER_hh_fech_in!M25=0,0,SER_hh_fech_in!M25/SER_summary!M$27)</f>
        <v>35.762861216459832</v>
      </c>
      <c r="N25" s="133">
        <f>IF(SER_hh_fech_in!N25=0,0,SER_hh_fech_in!N25/SER_summary!N$27)</f>
        <v>38.921350075647069</v>
      </c>
      <c r="O25" s="133">
        <f>IF(SER_hh_fech_in!O25=0,0,SER_hh_fech_in!O25/SER_summary!O$27)</f>
        <v>28.745595002179559</v>
      </c>
      <c r="P25" s="133">
        <f>IF(SER_hh_fech_in!P25=0,0,SER_hh_fech_in!P25/SER_summary!P$27)</f>
        <v>23.53332095924895</v>
      </c>
      <c r="Q25" s="133">
        <f>IF(SER_hh_fech_in!Q25=0,0,SER_hh_fech_in!Q25/SER_summary!Q$27)</f>
        <v>13.752365320496938</v>
      </c>
      <c r="R25" s="133">
        <f>IF(SER_hh_fech_in!R25=0,0,SER_hh_fech_in!R25/SER_summary!R$27)</f>
        <v>45.325352610202962</v>
      </c>
      <c r="S25" s="133">
        <f>IF(SER_hh_fech_in!S25=0,0,SER_hh_fech_in!S25/SER_summary!S$27)</f>
        <v>41.65782933981891</v>
      </c>
      <c r="T25" s="133">
        <f>IF(SER_hh_fech_in!T25=0,0,SER_hh_fech_in!T25/SER_summary!T$27)</f>
        <v>39.170133683364007</v>
      </c>
      <c r="U25" s="133">
        <f>IF(SER_hh_fech_in!U25=0,0,SER_hh_fech_in!U25/SER_summary!U$27)</f>
        <v>35.431481129573108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0</v>
      </c>
      <c r="D26" s="65">
        <f>IF(SER_hh_fech_in!D26=0,0,SER_hh_fech_in!D26/SER_summary!D$27)</f>
        <v>40.998129468993433</v>
      </c>
      <c r="E26" s="65">
        <f>IF(SER_hh_fech_in!E26=0,0,SER_hh_fech_in!E26/SER_summary!E$27)</f>
        <v>42.193274618326917</v>
      </c>
      <c r="F26" s="65">
        <f>IF(SER_hh_fech_in!F26=0,0,SER_hh_fech_in!F26/SER_summary!F$27)</f>
        <v>36.762225775007295</v>
      </c>
      <c r="G26" s="65">
        <f>IF(SER_hh_fech_in!G26=0,0,SER_hh_fech_in!G26/SER_summary!G$27)</f>
        <v>43.737872830289312</v>
      </c>
      <c r="H26" s="65">
        <f>IF(SER_hh_fech_in!H26=0,0,SER_hh_fech_in!H26/SER_summary!H$27)</f>
        <v>45.439584893070496</v>
      </c>
      <c r="I26" s="65">
        <f>IF(SER_hh_fech_in!I26=0,0,SER_hh_fech_in!I26/SER_summary!I$27)</f>
        <v>41.610560417147511</v>
      </c>
      <c r="J26" s="65">
        <f>IF(SER_hh_fech_in!J26=0,0,SER_hh_fech_in!J26/SER_summary!J$27)</f>
        <v>40.928563843209204</v>
      </c>
      <c r="K26" s="65">
        <f>IF(SER_hh_fech_in!K26=0,0,SER_hh_fech_in!K26/SER_summary!K$27)</f>
        <v>43.022593958561629</v>
      </c>
      <c r="L26" s="65">
        <f>IF(SER_hh_fech_in!L26=0,0,SER_hh_fech_in!L26/SER_summary!L$27)</f>
        <v>30.199892040121036</v>
      </c>
      <c r="M26" s="65">
        <f>IF(SER_hh_fech_in!M26=0,0,SER_hh_fech_in!M26/SER_summary!M$27)</f>
        <v>38.921854396299373</v>
      </c>
      <c r="N26" s="65">
        <f>IF(SER_hh_fech_in!N26=0,0,SER_hh_fech_in!N26/SER_summary!N$27)</f>
        <v>39.945330271523879</v>
      </c>
      <c r="O26" s="65">
        <f>IF(SER_hh_fech_in!O26=0,0,SER_hh_fech_in!O26/SER_summary!O$27)</f>
        <v>40.152153983780494</v>
      </c>
      <c r="P26" s="65">
        <f>IF(SER_hh_fech_in!P26=0,0,SER_hh_fech_in!P26/SER_summary!P$27)</f>
        <v>11.45935581292831</v>
      </c>
      <c r="Q26" s="65">
        <f>IF(SER_hh_fech_in!Q26=0,0,SER_hh_fech_in!Q26/SER_summary!Q$27)</f>
        <v>37.843465083646777</v>
      </c>
      <c r="R26" s="65">
        <f>IF(SER_hh_fech_in!R26=0,0,SER_hh_fech_in!R26/SER_summary!R$27)</f>
        <v>31.714034735814899</v>
      </c>
      <c r="S26" s="65">
        <f>IF(SER_hh_fech_in!S26=0,0,SER_hh_fech_in!S26/SER_summary!S$27)</f>
        <v>33.316752249813767</v>
      </c>
      <c r="T26" s="65">
        <f>IF(SER_hh_fech_in!T26=0,0,SER_hh_fech_in!T26/SER_summary!T$27)</f>
        <v>31.458689171905128</v>
      </c>
      <c r="U26" s="65">
        <f>IF(SER_hh_fech_in!U26=0,0,SER_hh_fech_in!U26/SER_summary!U$27)</f>
        <v>31.726698133632958</v>
      </c>
      <c r="V26" s="65">
        <f>IF(SER_hh_fech_in!V26=0,0,SER_hh_fech_in!V26/SER_summary!V$27)</f>
        <v>30.517155714723444</v>
      </c>
      <c r="W26" s="65">
        <f>IF(SER_hh_fech_in!W26=0,0,SER_hh_fech_in!W26/SER_summary!W$27)</f>
        <v>27.899218882119825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0.23512307049194284</v>
      </c>
      <c r="H27" s="146">
        <f>IF(SER_hh_fech_in!H27=0,0,SER_hh_fech_in!H27/SER_summary!H$27)</f>
        <v>2.043485373487955E-17</v>
      </c>
      <c r="I27" s="146">
        <f>IF(SER_hh_fech_in!I27=0,0,SER_hh_fech_in!I27/SER_summary!I$27)</f>
        <v>1.9761526477908406E-3</v>
      </c>
      <c r="J27" s="146">
        <f>IF(SER_hh_fech_in!J27=0,0,SER_hh_fech_in!J27/SER_summary!J$27)</f>
        <v>8.7715376215669028E-4</v>
      </c>
      <c r="K27" s="146">
        <f>IF(SER_hh_fech_in!K27=0,0,SER_hh_fech_in!K27/SER_summary!K$27)</f>
        <v>0</v>
      </c>
      <c r="L27" s="146">
        <f>IF(SER_hh_fech_in!L27=0,0,SER_hh_fech_in!L27/SER_summary!L$27)</f>
        <v>5.391533377044043</v>
      </c>
      <c r="M27" s="146">
        <f>IF(SER_hh_fech_in!M27=0,0,SER_hh_fech_in!M27/SER_summary!M$27)</f>
        <v>1.4566926060832357</v>
      </c>
      <c r="N27" s="146">
        <f>IF(SER_hh_fech_in!N27=0,0,SER_hh_fech_in!N27/SER_summary!N$27)</f>
        <v>8.2779486450372239E-2</v>
      </c>
      <c r="O27" s="146">
        <f>IF(SER_hh_fech_in!O27=0,0,SER_hh_fech_in!O27/SER_summary!O$27)</f>
        <v>9.9845795845595804E-16</v>
      </c>
      <c r="P27" s="146">
        <f>IF(SER_hh_fech_in!P27=0,0,SER_hh_fech_in!P27/SER_summary!P$27)</f>
        <v>11.842998059545113</v>
      </c>
      <c r="Q27" s="146">
        <f>IF(SER_hh_fech_in!Q27=0,0,SER_hh_fech_in!Q27/SER_summary!Q$27)</f>
        <v>0</v>
      </c>
      <c r="R27" s="146">
        <f>IF(SER_hh_fech_in!R27=0,0,SER_hh_fech_in!R27/SER_summary!R$27)</f>
        <v>0.72142480902732231</v>
      </c>
      <c r="S27" s="146">
        <f>IF(SER_hh_fech_in!S27=0,0,SER_hh_fech_in!S27/SER_summary!S$27)</f>
        <v>2.8660481883733803E-15</v>
      </c>
      <c r="T27" s="146">
        <f>IF(SER_hh_fech_in!T27=0,0,SER_hh_fech_in!T27/SER_summary!T$27)</f>
        <v>0.94946008006267069</v>
      </c>
      <c r="U27" s="146">
        <f>IF(SER_hh_fech_in!U27=0,0,SER_hh_fech_in!U27/SER_summary!U$27)</f>
        <v>9.536517325902609E-2</v>
      </c>
      <c r="V27" s="146">
        <f>IF(SER_hh_fech_in!V27=0,0,SER_hh_fech_in!V27/SER_summary!V$27)</f>
        <v>1.3911791665827606</v>
      </c>
      <c r="W27" s="146">
        <f>IF(SER_hh_fech_in!W27=0,0,SER_hh_fech_in!W27/SER_summary!W$27)</f>
        <v>2.2056945642982678E-5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19.794679299285672</v>
      </c>
      <c r="H28" s="147">
        <f>IF(SER_hh_fech_in!H28=0,0,SER_hh_fech_in!H28/SER_summary!H$27)</f>
        <v>19.845199019335304</v>
      </c>
      <c r="I28" s="147">
        <f>IF(SER_hh_fech_in!I28=0,0,SER_hh_fech_in!I28/SER_summary!I$27)</f>
        <v>20.024239530667074</v>
      </c>
      <c r="J28" s="147">
        <f>IF(SER_hh_fech_in!J28=0,0,SER_hh_fech_in!J28/SER_summary!J$27)</f>
        <v>19.737539917895653</v>
      </c>
      <c r="K28" s="147">
        <f>IF(SER_hh_fech_in!K28=0,0,SER_hh_fech_in!K28/SER_summary!K$27)</f>
        <v>0</v>
      </c>
      <c r="L28" s="147">
        <f>IF(SER_hh_fech_in!L28=0,0,SER_hh_fech_in!L28/SER_summary!L$27)</f>
        <v>18.991604707149843</v>
      </c>
      <c r="M28" s="147">
        <f>IF(SER_hh_fech_in!M28=0,0,SER_hh_fech_in!M28/SER_summary!M$27)</f>
        <v>20.071555776716945</v>
      </c>
      <c r="N28" s="147">
        <f>IF(SER_hh_fech_in!N28=0,0,SER_hh_fech_in!N28/SER_summary!N$27)</f>
        <v>21.494869182772504</v>
      </c>
      <c r="O28" s="147">
        <f>IF(SER_hh_fech_in!O28=0,0,SER_hh_fech_in!O28/SER_summary!O$27)</f>
        <v>20.190486772125002</v>
      </c>
      <c r="P28" s="147">
        <f>IF(SER_hh_fech_in!P28=0,0,SER_hh_fech_in!P28/SER_summary!P$27)</f>
        <v>20.243639817678606</v>
      </c>
      <c r="Q28" s="147">
        <f>IF(SER_hh_fech_in!Q28=0,0,SER_hh_fech_in!Q28/SER_summary!Q$27)</f>
        <v>0</v>
      </c>
      <c r="R28" s="147">
        <f>IF(SER_hh_fech_in!R28=0,0,SER_hh_fech_in!R28/SER_summary!R$27)</f>
        <v>19.399497242974668</v>
      </c>
      <c r="S28" s="147">
        <f>IF(SER_hh_fech_in!S28=0,0,SER_hh_fech_in!S28/SER_summary!S$27)</f>
        <v>20.547013694849053</v>
      </c>
      <c r="T28" s="147">
        <f>IF(SER_hh_fech_in!T28=0,0,SER_hh_fech_in!T28/SER_summary!T$27)</f>
        <v>20.040200685653105</v>
      </c>
      <c r="U28" s="147">
        <f>IF(SER_hh_fech_in!U28=0,0,SER_hh_fech_in!U28/SER_summary!U$27)</f>
        <v>20.742439840823351</v>
      </c>
      <c r="V28" s="147">
        <f>IF(SER_hh_fech_in!V28=0,0,SER_hh_fech_in!V28/SER_summary!V$27)</f>
        <v>19.70235578564969</v>
      </c>
      <c r="W28" s="147">
        <f>IF(SER_hh_fech_in!W28=0,0,SER_hh_fech_in!W28/SER_summary!W$27)</f>
        <v>18.91503250710149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36.966191566650018</v>
      </c>
      <c r="D29" s="131">
        <f>IF(SER_hh_fech_in!D29=0,0,SER_hh_fech_in!D29/SER_summary!D$27)</f>
        <v>51.323987490894282</v>
      </c>
      <c r="E29" s="131">
        <f>IF(SER_hh_fech_in!E29=0,0,SER_hh_fech_in!E29/SER_summary!E$27)</f>
        <v>38.228572808735329</v>
      </c>
      <c r="F29" s="131">
        <f>IF(SER_hh_fech_in!F29=0,0,SER_hh_fech_in!F29/SER_summary!F$27)</f>
        <v>40.884142010100938</v>
      </c>
      <c r="G29" s="131">
        <f>IF(SER_hh_fech_in!G29=0,0,SER_hh_fech_in!G29/SER_summary!G$27)</f>
        <v>41.405853668100548</v>
      </c>
      <c r="H29" s="131">
        <f>IF(SER_hh_fech_in!H29=0,0,SER_hh_fech_in!H29/SER_summary!H$27)</f>
        <v>40.36244492440612</v>
      </c>
      <c r="I29" s="131">
        <f>IF(SER_hh_fech_in!I29=0,0,SER_hh_fech_in!I29/SER_summary!I$27)</f>
        <v>41.188155599015104</v>
      </c>
      <c r="J29" s="131">
        <f>IF(SER_hh_fech_in!J29=0,0,SER_hh_fech_in!J29/SER_summary!J$27)</f>
        <v>41.136037144226577</v>
      </c>
      <c r="K29" s="131">
        <f>IF(SER_hh_fech_in!K29=0,0,SER_hh_fech_in!K29/SER_summary!K$27)</f>
        <v>41.870187643569452</v>
      </c>
      <c r="L29" s="131">
        <f>IF(SER_hh_fech_in!L29=0,0,SER_hh_fech_in!L29/SER_summary!L$27)</f>
        <v>40.485874423166273</v>
      </c>
      <c r="M29" s="131">
        <f>IF(SER_hh_fech_in!M29=0,0,SER_hh_fech_in!M29/SER_summary!M$27)</f>
        <v>39.813732964050274</v>
      </c>
      <c r="N29" s="131">
        <f>IF(SER_hh_fech_in!N29=0,0,SER_hh_fech_in!N29/SER_summary!N$27)</f>
        <v>44.242736600408527</v>
      </c>
      <c r="O29" s="131">
        <f>IF(SER_hh_fech_in!O29=0,0,SER_hh_fech_in!O29/SER_summary!O$27)</f>
        <v>46.145046626400571</v>
      </c>
      <c r="P29" s="131">
        <f>IF(SER_hh_fech_in!P29=0,0,SER_hh_fech_in!P29/SER_summary!P$27)</f>
        <v>42.647544938648004</v>
      </c>
      <c r="Q29" s="131">
        <f>IF(SER_hh_fech_in!Q29=0,0,SER_hh_fech_in!Q29/SER_summary!Q$27)</f>
        <v>39.80943797020646</v>
      </c>
      <c r="R29" s="131">
        <f>IF(SER_hh_fech_in!R29=0,0,SER_hh_fech_in!R29/SER_summary!R$27)</f>
        <v>36.446957114122391</v>
      </c>
      <c r="S29" s="131">
        <f>IF(SER_hh_fech_in!S29=0,0,SER_hh_fech_in!S29/SER_summary!S$27)</f>
        <v>33.882291601321342</v>
      </c>
      <c r="T29" s="131">
        <f>IF(SER_hh_fech_in!T29=0,0,SER_hh_fech_in!T29/SER_summary!T$27)</f>
        <v>34.397581381109106</v>
      </c>
      <c r="U29" s="131">
        <f>IF(SER_hh_fech_in!U29=0,0,SER_hh_fech_in!U29/SER_summary!U$27)</f>
        <v>34.14640038106667</v>
      </c>
      <c r="V29" s="131">
        <f>IF(SER_hh_fech_in!V29=0,0,SER_hh_fech_in!V29/SER_summary!V$27)</f>
        <v>30.772782607107409</v>
      </c>
      <c r="W29" s="131">
        <f>IF(SER_hh_fech_in!W29=0,0,SER_hh_fech_in!W29/SER_summary!W$27)</f>
        <v>32.997883194203091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34.143901259507636</v>
      </c>
      <c r="D30" s="133">
        <f>IF(SER_hh_fech_in!D30=0,0,SER_hh_fech_in!D30/SER_summary!D$27)</f>
        <v>54.79037234690346</v>
      </c>
      <c r="E30" s="133">
        <f>IF(SER_hh_fech_in!E30=0,0,SER_hh_fech_in!E30/SER_summary!E$27)</f>
        <v>56.456827687213313</v>
      </c>
      <c r="F30" s="133">
        <f>IF(SER_hh_fech_in!F30=0,0,SER_hh_fech_in!F30/SER_summary!F$27)</f>
        <v>61.079333518956126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52.269333628013356</v>
      </c>
      <c r="L30" s="133">
        <f>IF(SER_hh_fech_in!L30=0,0,SER_hh_fech_in!L30/SER_summary!L$27)</f>
        <v>90.958831876203902</v>
      </c>
      <c r="M30" s="133">
        <f>IF(SER_hh_fech_in!M30=0,0,SER_hh_fech_in!M30/SER_summary!M$27)</f>
        <v>0</v>
      </c>
      <c r="N30" s="133">
        <f>IF(SER_hh_fech_in!N30=0,0,SER_hh_fech_in!N30/SER_summary!N$27)</f>
        <v>53.435176031801845</v>
      </c>
      <c r="O30" s="133">
        <f>IF(SER_hh_fech_in!O30=0,0,SER_hh_fech_in!O30/SER_summary!O$27)</f>
        <v>51.564705909494421</v>
      </c>
      <c r="P30" s="133">
        <f>IF(SER_hh_fech_in!P30=0,0,SER_hh_fech_in!P30/SER_summary!P$27)</f>
        <v>47.269333495470178</v>
      </c>
      <c r="Q30" s="133">
        <f>IF(SER_hh_fech_in!Q30=0,0,SER_hh_fech_in!Q30/SER_summary!Q$27)</f>
        <v>0</v>
      </c>
      <c r="R30" s="133">
        <f>IF(SER_hh_fech_in!R30=0,0,SER_hh_fech_in!R30/SER_summary!R$27)</f>
        <v>0</v>
      </c>
      <c r="S30" s="133">
        <f>IF(SER_hh_fech_in!S30=0,0,SER_hh_fech_in!S30/SER_summary!S$27)</f>
        <v>0</v>
      </c>
      <c r="T30" s="133">
        <f>IF(SER_hh_fech_in!T30=0,0,SER_hh_fech_in!T30/SER_summary!T$27)</f>
        <v>0</v>
      </c>
      <c r="U30" s="133">
        <f>IF(SER_hh_fech_in!U30=0,0,SER_hh_fech_in!U30/SER_summary!U$27)</f>
        <v>0</v>
      </c>
      <c r="V30" s="133">
        <f>IF(SER_hh_fech_in!V30=0,0,SER_hh_fech_in!V30/SER_summary!V$27)</f>
        <v>0</v>
      </c>
      <c r="W30" s="133">
        <f>IF(SER_hh_fech_in!W30=0,0,SER_hh_fech_in!W30/SER_summary!W$27)</f>
        <v>41.646659802497197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44.671455990408496</v>
      </c>
      <c r="D31" s="133">
        <f>IF(SER_hh_fech_in!D31=0,0,SER_hh_fech_in!D31/SER_summary!D$27)</f>
        <v>47.241117663687859</v>
      </c>
      <c r="E31" s="133">
        <f>IF(SER_hh_fech_in!E31=0,0,SER_hh_fech_in!E31/SER_summary!E$27)</f>
        <v>47.129853344172879</v>
      </c>
      <c r="F31" s="133">
        <f>IF(SER_hh_fech_in!F31=0,0,SER_hh_fech_in!F31/SER_summary!F$27)</f>
        <v>36.899183365969812</v>
      </c>
      <c r="G31" s="133">
        <f>IF(SER_hh_fech_in!G31=0,0,SER_hh_fech_in!G31/SER_summary!G$27)</f>
        <v>49.391129007392479</v>
      </c>
      <c r="H31" s="133">
        <f>IF(SER_hh_fech_in!H31=0,0,SER_hh_fech_in!H31/SER_summary!H$27)</f>
        <v>49.26193013544453</v>
      </c>
      <c r="I31" s="133">
        <f>IF(SER_hh_fech_in!I31=0,0,SER_hh_fech_in!I31/SER_summary!I$27)</f>
        <v>48.814621174698956</v>
      </c>
      <c r="J31" s="133">
        <f>IF(SER_hh_fech_in!J31=0,0,SER_hh_fech_in!J31/SER_summary!J$27)</f>
        <v>47.736943634927329</v>
      </c>
      <c r="K31" s="133">
        <f>IF(SER_hh_fech_in!K31=0,0,SER_hh_fech_in!K31/SER_summary!K$27)</f>
        <v>47.186139000455</v>
      </c>
      <c r="L31" s="133">
        <f>IF(SER_hh_fech_in!L31=0,0,SER_hh_fech_in!L31/SER_summary!L$27)</f>
        <v>46.687467149805457</v>
      </c>
      <c r="M31" s="133">
        <f>IF(SER_hh_fech_in!M31=0,0,SER_hh_fech_in!M31/SER_summary!M$27)</f>
        <v>41.934975854120154</v>
      </c>
      <c r="N31" s="133">
        <f>IF(SER_hh_fech_in!N31=0,0,SER_hh_fech_in!N31/SER_summary!N$27)</f>
        <v>43.874485700765966</v>
      </c>
      <c r="O31" s="133">
        <f>IF(SER_hh_fech_in!O31=0,0,SER_hh_fech_in!O31/SER_summary!O$27)</f>
        <v>47.029365811186466</v>
      </c>
      <c r="P31" s="133">
        <f>IF(SER_hh_fech_in!P31=0,0,SER_hh_fech_in!P31/SER_summary!P$27)</f>
        <v>45.234741530999955</v>
      </c>
      <c r="Q31" s="133">
        <f>IF(SER_hh_fech_in!Q31=0,0,SER_hh_fech_in!Q31/SER_summary!Q$27)</f>
        <v>47.247999166428926</v>
      </c>
      <c r="R31" s="133">
        <f>IF(SER_hh_fech_in!R31=0,0,SER_hh_fech_in!R31/SER_summary!R$27)</f>
        <v>46.640646991713467</v>
      </c>
      <c r="S31" s="133">
        <f>IF(SER_hh_fech_in!S31=0,0,SER_hh_fech_in!S31/SER_summary!S$27)</f>
        <v>45.302995431076056</v>
      </c>
      <c r="T31" s="133">
        <f>IF(SER_hh_fech_in!T31=0,0,SER_hh_fech_in!T31/SER_summary!T$27)</f>
        <v>41.223844863221295</v>
      </c>
      <c r="U31" s="133">
        <f>IF(SER_hh_fech_in!U31=0,0,SER_hh_fech_in!U31/SER_summary!U$27)</f>
        <v>34.184430630309642</v>
      </c>
      <c r="V31" s="133">
        <f>IF(SER_hh_fech_in!V31=0,0,SER_hh_fech_in!V31/SER_summary!V$27)</f>
        <v>30.932273018594493</v>
      </c>
      <c r="W31" s="133">
        <f>IF(SER_hh_fech_in!W31=0,0,SER_hh_fech_in!W31/SER_summary!W$27)</f>
        <v>50.394818989539615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0</v>
      </c>
      <c r="D33" s="68">
        <f>IF(SER_hh_fech_in!D33=0,0,SER_hh_fech_in!D33/SER_summary!D$27)</f>
        <v>28.121203664136594</v>
      </c>
      <c r="E33" s="68">
        <f>IF(SER_hh_fech_in!E33=0,0,SER_hh_fech_in!E33/SER_summary!E$27)</f>
        <v>29.388191391206391</v>
      </c>
      <c r="F33" s="68">
        <f>IF(SER_hh_fech_in!F33=0,0,SER_hh_fech_in!F33/SER_summary!F$27)</f>
        <v>36.204591601509406</v>
      </c>
      <c r="G33" s="68">
        <f>IF(SER_hh_fech_in!G33=0,0,SER_hh_fech_in!G33/SER_summary!G$27)</f>
        <v>37.300372565058503</v>
      </c>
      <c r="H33" s="68">
        <f>IF(SER_hh_fech_in!H33=0,0,SER_hh_fech_in!H33/SER_summary!H$27)</f>
        <v>34.098545074696617</v>
      </c>
      <c r="I33" s="68">
        <f>IF(SER_hh_fech_in!I33=0,0,SER_hh_fech_in!I33/SER_summary!I$27)</f>
        <v>36.873592294269329</v>
      </c>
      <c r="J33" s="68">
        <f>IF(SER_hh_fech_in!J33=0,0,SER_hh_fech_in!J33/SER_summary!J$27)</f>
        <v>37.087794788142041</v>
      </c>
      <c r="K33" s="68">
        <f>IF(SER_hh_fech_in!K33=0,0,SER_hh_fech_in!K33/SER_summary!K$27)</f>
        <v>35.14057246572262</v>
      </c>
      <c r="L33" s="68">
        <f>IF(SER_hh_fech_in!L33=0,0,SER_hh_fech_in!L33/SER_summary!L$27)</f>
        <v>30.492598749324017</v>
      </c>
      <c r="M33" s="68">
        <f>IF(SER_hh_fech_in!M33=0,0,SER_hh_fech_in!M33/SER_summary!M$27)</f>
        <v>39.044567703732028</v>
      </c>
      <c r="N33" s="68">
        <f>IF(SER_hh_fech_in!N33=0,0,SER_hh_fech_in!N33/SER_summary!N$27)</f>
        <v>34.607523506764842</v>
      </c>
      <c r="O33" s="68">
        <f>IF(SER_hh_fech_in!O33=0,0,SER_hh_fech_in!O33/SER_summary!O$27)</f>
        <v>32.580966389867285</v>
      </c>
      <c r="P33" s="68">
        <f>IF(SER_hh_fech_in!P33=0,0,SER_hh_fech_in!P33/SER_summary!P$27)</f>
        <v>33.366932629040036</v>
      </c>
      <c r="Q33" s="68">
        <f>IF(SER_hh_fech_in!Q33=0,0,SER_hh_fech_in!Q33/SER_summary!Q$27)</f>
        <v>31.656691632792278</v>
      </c>
      <c r="R33" s="68">
        <f>IF(SER_hh_fech_in!R33=0,0,SER_hh_fech_in!R33/SER_summary!R$27)</f>
        <v>31.00377758916688</v>
      </c>
      <c r="S33" s="68">
        <f>IF(SER_hh_fech_in!S33=0,0,SER_hh_fech_in!S33/SER_summary!S$27)</f>
        <v>31.662883002262994</v>
      </c>
      <c r="T33" s="68">
        <f>IF(SER_hh_fech_in!T33=0,0,SER_hh_fech_in!T33/SER_summary!T$27)</f>
        <v>32.02652178357912</v>
      </c>
      <c r="U33" s="68">
        <f>IF(SER_hh_fech_in!U33=0,0,SER_hh_fech_in!U33/SER_summary!U$27)</f>
        <v>34.124406429759347</v>
      </c>
      <c r="V33" s="68">
        <f>IF(SER_hh_fech_in!V33=0,0,SER_hh_fech_in!V33/SER_summary!V$27)</f>
        <v>30.683158763322915</v>
      </c>
      <c r="W33" s="68">
        <f>IF(SER_hh_fech_in!W33=0,0,SER_hh_fech_in!W33/SER_summary!W$27)</f>
        <v>26.243911153405257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444.98167858679722</v>
      </c>
      <c r="D3" s="126">
        <f>IF(SER_hh_tesh_in!D3=0,0,SER_hh_tesh_in!D3/SER_summary!D$27)</f>
        <v>409.88050475943584</v>
      </c>
      <c r="E3" s="126">
        <f>IF(SER_hh_tesh_in!E3=0,0,SER_hh_tesh_in!E3/SER_summary!E$27)</f>
        <v>310.03180434998114</v>
      </c>
      <c r="F3" s="126">
        <f>IF(SER_hh_tesh_in!F3=0,0,SER_hh_tesh_in!F3/SER_summary!F$27)</f>
        <v>283.99083351230007</v>
      </c>
      <c r="G3" s="126">
        <f>IF(SER_hh_tesh_in!G3=0,0,SER_hh_tesh_in!G3/SER_summary!G$27)</f>
        <v>432.0552397867354</v>
      </c>
      <c r="H3" s="126">
        <f>IF(SER_hh_tesh_in!H3=0,0,SER_hh_tesh_in!H3/SER_summary!H$27)</f>
        <v>400.9963453034087</v>
      </c>
      <c r="I3" s="126">
        <f>IF(SER_hh_tesh_in!I3=0,0,SER_hh_tesh_in!I3/SER_summary!I$27)</f>
        <v>344.8611033848095</v>
      </c>
      <c r="J3" s="126">
        <f>IF(SER_hh_tesh_in!J3=0,0,SER_hh_tesh_in!J3/SER_summary!J$27)</f>
        <v>347.75956384231233</v>
      </c>
      <c r="K3" s="126">
        <f>IF(SER_hh_tesh_in!K3=0,0,SER_hh_tesh_in!K3/SER_summary!K$27)</f>
        <v>433.5123201451849</v>
      </c>
      <c r="L3" s="126">
        <f>IF(SER_hh_tesh_in!L3=0,0,SER_hh_tesh_in!L3/SER_summary!L$27)</f>
        <v>370.61776506246883</v>
      </c>
      <c r="M3" s="126">
        <f>IF(SER_hh_tesh_in!M3=0,0,SER_hh_tesh_in!M3/SER_summary!M$27)</f>
        <v>282.69604750830365</v>
      </c>
      <c r="N3" s="126">
        <f>IF(SER_hh_tesh_in!N3=0,0,SER_hh_tesh_in!N3/SER_summary!N$27)</f>
        <v>278.76772220670341</v>
      </c>
      <c r="O3" s="126">
        <f>IF(SER_hh_tesh_in!O3=0,0,SER_hh_tesh_in!O3/SER_summary!O$27)</f>
        <v>290.20362006266487</v>
      </c>
      <c r="P3" s="126">
        <f>IF(SER_hh_tesh_in!P3=0,0,SER_hh_tesh_in!P3/SER_summary!P$27)</f>
        <v>204.03500573903685</v>
      </c>
      <c r="Q3" s="126">
        <f>IF(SER_hh_tesh_in!Q3=0,0,SER_hh_tesh_in!Q3/SER_summary!Q$27)</f>
        <v>211.55313585407546</v>
      </c>
      <c r="R3" s="126">
        <f>IF(SER_hh_tesh_in!R3=0,0,SER_hh_tesh_in!R3/SER_summary!R$27)</f>
        <v>199.09653474616286</v>
      </c>
      <c r="S3" s="126">
        <f>IF(SER_hh_tesh_in!S3=0,0,SER_hh_tesh_in!S3/SER_summary!S$27)</f>
        <v>204.90002843568027</v>
      </c>
      <c r="T3" s="126">
        <f>IF(SER_hh_tesh_in!T3=0,0,SER_hh_tesh_in!T3/SER_summary!T$27)</f>
        <v>177.73742115878397</v>
      </c>
      <c r="U3" s="126">
        <f>IF(SER_hh_tesh_in!U3=0,0,SER_hh_tesh_in!U3/SER_summary!U$27)</f>
        <v>154.9652637381144</v>
      </c>
      <c r="V3" s="126">
        <f>IF(SER_hh_tesh_in!V3=0,0,SER_hh_tesh_in!V3/SER_summary!V$27)</f>
        <v>138.01843403985413</v>
      </c>
      <c r="W3" s="126">
        <f>IF(SER_hh_tesh_in!W3=0,0,SER_hh_tesh_in!W3/SER_summary!W$27)</f>
        <v>139.8447988905622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363.13450535923926</v>
      </c>
      <c r="D4" s="131">
        <f>IF(SER_hh_tesh_in!D4=0,0,SER_hh_tesh_in!D4/SER_summary!D$27)</f>
        <v>317.53744071577478</v>
      </c>
      <c r="E4" s="131">
        <f>IF(SER_hh_tesh_in!E4=0,0,SER_hh_tesh_in!E4/SER_summary!E$27)</f>
        <v>226.94859816713645</v>
      </c>
      <c r="F4" s="131">
        <f>IF(SER_hh_tesh_in!F4=0,0,SER_hh_tesh_in!F4/SER_summary!F$27)</f>
        <v>202.50151933136377</v>
      </c>
      <c r="G4" s="131">
        <f>IF(SER_hh_tesh_in!G4=0,0,SER_hh_tesh_in!G4/SER_summary!G$27)</f>
        <v>352.70947755878109</v>
      </c>
      <c r="H4" s="131">
        <f>IF(SER_hh_tesh_in!H4=0,0,SER_hh_tesh_in!H4/SER_summary!H$27)</f>
        <v>325.15216786297367</v>
      </c>
      <c r="I4" s="131">
        <f>IF(SER_hh_tesh_in!I4=0,0,SER_hh_tesh_in!I4/SER_summary!I$27)</f>
        <v>266.53426351593941</v>
      </c>
      <c r="J4" s="131">
        <f>IF(SER_hh_tesh_in!J4=0,0,SER_hh_tesh_in!J4/SER_summary!J$27)</f>
        <v>261.83988322058025</v>
      </c>
      <c r="K4" s="131">
        <f>IF(SER_hh_tesh_in!K4=0,0,SER_hh_tesh_in!K4/SER_summary!K$27)</f>
        <v>346.01323261811757</v>
      </c>
      <c r="L4" s="131">
        <f>IF(SER_hh_tesh_in!L4=0,0,SER_hh_tesh_in!L4/SER_summary!L$27)</f>
        <v>283.64036307635178</v>
      </c>
      <c r="M4" s="131">
        <f>IF(SER_hh_tesh_in!M4=0,0,SER_hh_tesh_in!M4/SER_summary!M$27)</f>
        <v>194.86694502234542</v>
      </c>
      <c r="N4" s="131">
        <f>IF(SER_hh_tesh_in!N4=0,0,SER_hh_tesh_in!N4/SER_summary!N$27)</f>
        <v>189.7380142704219</v>
      </c>
      <c r="O4" s="131">
        <f>IF(SER_hh_tesh_in!O4=0,0,SER_hh_tesh_in!O4/SER_summary!O$27)</f>
        <v>201.68453768185773</v>
      </c>
      <c r="P4" s="131">
        <f>IF(SER_hh_tesh_in!P4=0,0,SER_hh_tesh_in!P4/SER_summary!P$27)</f>
        <v>119.06982998041687</v>
      </c>
      <c r="Q4" s="131">
        <f>IF(SER_hh_tesh_in!Q4=0,0,SER_hh_tesh_in!Q4/SER_summary!Q$27)</f>
        <v>124.83120356721129</v>
      </c>
      <c r="R4" s="131">
        <f>IF(SER_hh_tesh_in!R4=0,0,SER_hh_tesh_in!R4/SER_summary!R$27)</f>
        <v>116.46676475919203</v>
      </c>
      <c r="S4" s="131">
        <f>IF(SER_hh_tesh_in!S4=0,0,SER_hh_tesh_in!S4/SER_summary!S$27)</f>
        <v>121.48341156444813</v>
      </c>
      <c r="T4" s="131">
        <f>IF(SER_hh_tesh_in!T4=0,0,SER_hh_tesh_in!T4/SER_summary!T$27)</f>
        <v>96.324680837370934</v>
      </c>
      <c r="U4" s="131">
        <f>IF(SER_hh_tesh_in!U4=0,0,SER_hh_tesh_in!U4/SER_summary!U$27)</f>
        <v>74.590696924601247</v>
      </c>
      <c r="V4" s="131">
        <f>IF(SER_hh_tesh_in!V4=0,0,SER_hh_tesh_in!V4/SER_summary!V$27)</f>
        <v>62.465677253501184</v>
      </c>
      <c r="W4" s="131">
        <f>IF(SER_hh_tesh_in!W4=0,0,SER_hh_tesh_in!W4/SER_summary!W$27)</f>
        <v>66.643503092837378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300.46657187359227</v>
      </c>
      <c r="D5" s="133">
        <f>IF(SER_hh_tesh_in!D5=0,0,SER_hh_tesh_in!D5/SER_summary!D$27)</f>
        <v>395.7564336895577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198.80959174138829</v>
      </c>
      <c r="I5" s="133">
        <f>IF(SER_hh_tesh_in!I5=0,0,SER_hh_tesh_in!I5/SER_summary!I$27)</f>
        <v>241.6394224219697</v>
      </c>
      <c r="J5" s="133">
        <f>IF(SER_hh_tesh_in!J5=0,0,SER_hh_tesh_in!J5/SER_summary!J$27)</f>
        <v>252.48649403805399</v>
      </c>
      <c r="K5" s="133">
        <f>IF(SER_hh_tesh_in!K5=0,0,SER_hh_tesh_in!K5/SER_summary!K$27)</f>
        <v>447.25317253160341</v>
      </c>
      <c r="L5" s="133">
        <f>IF(SER_hh_tesh_in!L5=0,0,SER_hh_tesh_in!L5/SER_summary!L$27)</f>
        <v>238.6491819367721</v>
      </c>
      <c r="M5" s="133">
        <f>IF(SER_hh_tesh_in!M5=0,0,SER_hh_tesh_in!M5/SER_summary!M$27)</f>
        <v>269.48066189440647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93.468211581137254</v>
      </c>
      <c r="T5" s="133">
        <f>IF(SER_hh_tesh_in!T5=0,0,SER_hh_tesh_in!T5/SER_summary!T$27)</f>
        <v>92.024635847530121</v>
      </c>
      <c r="U5" s="133">
        <f>IF(SER_hh_tesh_in!U5=0,0,SER_hh_tesh_in!U5/SER_summary!U$27)</f>
        <v>120.39716731045635</v>
      </c>
      <c r="V5" s="133">
        <f>IF(SER_hh_tesh_in!V5=0,0,SER_hh_tesh_in!V5/SER_summary!V$27)</f>
        <v>0</v>
      </c>
      <c r="W5" s="133">
        <f>IF(SER_hh_tesh_in!W5=0,0,SER_hh_tesh_in!W5/SER_summary!W$27)</f>
        <v>51.187852349484508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442.95030564542901</v>
      </c>
      <c r="D7" s="133">
        <f>IF(SER_hh_tesh_in!D7=0,0,SER_hh_tesh_in!D7/SER_summary!D$27)</f>
        <v>0</v>
      </c>
      <c r="E7" s="133">
        <f>IF(SER_hh_tesh_in!E7=0,0,SER_hh_tesh_in!E7/SER_summary!E$27)</f>
        <v>112.36695045875595</v>
      </c>
      <c r="F7" s="133">
        <f>IF(SER_hh_tesh_in!F7=0,0,SER_hh_tesh_in!F7/SER_summary!F$27)</f>
        <v>294.74752624989878</v>
      </c>
      <c r="G7" s="133">
        <f>IF(SER_hh_tesh_in!G7=0,0,SER_hh_tesh_in!G7/SER_summary!G$27)</f>
        <v>347.35025007036586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0</v>
      </c>
      <c r="N7" s="133">
        <f>IF(SER_hh_tesh_in!N7=0,0,SER_hh_tesh_in!N7/SER_summary!N$27)</f>
        <v>0</v>
      </c>
      <c r="O7" s="133">
        <f>IF(SER_hh_tesh_in!O7=0,0,SER_hh_tesh_in!O7/SER_summary!O$27)</f>
        <v>64.943589575940649</v>
      </c>
      <c r="P7" s="133">
        <f>IF(SER_hh_tesh_in!P7=0,0,SER_hh_tesh_in!P7/SER_summary!P$27)</f>
        <v>161.3093557860679</v>
      </c>
      <c r="Q7" s="133">
        <f>IF(SER_hh_tesh_in!Q7=0,0,SER_hh_tesh_in!Q7/SER_summary!Q$27)</f>
        <v>156.91075834624957</v>
      </c>
      <c r="R7" s="133">
        <f>IF(SER_hh_tesh_in!R7=0,0,SER_hh_tesh_in!R7/SER_summary!R$27)</f>
        <v>98.113789863964826</v>
      </c>
      <c r="S7" s="133">
        <f>IF(SER_hh_tesh_in!S7=0,0,SER_hh_tesh_in!S7/SER_summary!S$27)</f>
        <v>0</v>
      </c>
      <c r="T7" s="133">
        <f>IF(SER_hh_tesh_in!T7=0,0,SER_hh_tesh_in!T7/SER_summary!T$27)</f>
        <v>0</v>
      </c>
      <c r="U7" s="133">
        <f>IF(SER_hh_tesh_in!U7=0,0,SER_hh_tesh_in!U7/SER_summary!U$27)</f>
        <v>0</v>
      </c>
      <c r="V7" s="133">
        <f>IF(SER_hh_tesh_in!V7=0,0,SER_hh_tesh_in!V7/SER_summary!V$27)</f>
        <v>55.236912273826498</v>
      </c>
      <c r="W7" s="133">
        <f>IF(SER_hh_tesh_in!W7=0,0,SER_hh_tesh_in!W7/SER_summary!W$27)</f>
        <v>41.952784856424373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319.92273463648684</v>
      </c>
      <c r="D8" s="133">
        <f>IF(SER_hh_tesh_in!D8=0,0,SER_hh_tesh_in!D8/SER_summary!D$27)</f>
        <v>247.07520193713296</v>
      </c>
      <c r="E8" s="133">
        <f>IF(SER_hh_tesh_in!E8=0,0,SER_hh_tesh_in!E8/SER_summary!E$27)</f>
        <v>256.20529326821941</v>
      </c>
      <c r="F8" s="133">
        <f>IF(SER_hh_tesh_in!F8=0,0,SER_hh_tesh_in!F8/SER_summary!F$27)</f>
        <v>275.12545249031251</v>
      </c>
      <c r="G8" s="133">
        <f>IF(SER_hh_tesh_in!G8=0,0,SER_hh_tesh_in!G8/SER_summary!G$27)</f>
        <v>284.74731942703067</v>
      </c>
      <c r="H8" s="133">
        <f>IF(SER_hh_tesh_in!H8=0,0,SER_hh_tesh_in!H8/SER_summary!H$27)</f>
        <v>297.5437361136602</v>
      </c>
      <c r="I8" s="133">
        <f>IF(SER_hh_tesh_in!I8=0,0,SER_hh_tesh_in!I8/SER_summary!I$27)</f>
        <v>282.50624776065655</v>
      </c>
      <c r="J8" s="133">
        <f>IF(SER_hh_tesh_in!J8=0,0,SER_hh_tesh_in!J8/SER_summary!J$27)</f>
        <v>265.51062400889913</v>
      </c>
      <c r="K8" s="133">
        <f>IF(SER_hh_tesh_in!K8=0,0,SER_hh_tesh_in!K8/SER_summary!K$27)</f>
        <v>248.81672411507037</v>
      </c>
      <c r="L8" s="133">
        <f>IF(SER_hh_tesh_in!L8=0,0,SER_hh_tesh_in!L8/SER_summary!L$27)</f>
        <v>219.34856092216728</v>
      </c>
      <c r="M8" s="133">
        <f>IF(SER_hh_tesh_in!M8=0,0,SER_hh_tesh_in!M8/SER_summary!M$27)</f>
        <v>203.79557946015635</v>
      </c>
      <c r="N8" s="133">
        <f>IF(SER_hh_tesh_in!N8=0,0,SER_hh_tesh_in!N8/SER_summary!N$27)</f>
        <v>154.21561767688502</v>
      </c>
      <c r="O8" s="133">
        <f>IF(SER_hh_tesh_in!O8=0,0,SER_hh_tesh_in!O8/SER_summary!O$27)</f>
        <v>162.45679550685873</v>
      </c>
      <c r="P8" s="133">
        <f>IF(SER_hh_tesh_in!P8=0,0,SER_hh_tesh_in!P8/SER_summary!P$27)</f>
        <v>134.77339259810304</v>
      </c>
      <c r="Q8" s="133">
        <f>IF(SER_hh_tesh_in!Q8=0,0,SER_hh_tesh_in!Q8/SER_summary!Q$27)</f>
        <v>135.12109944594062</v>
      </c>
      <c r="R8" s="133">
        <f>IF(SER_hh_tesh_in!R8=0,0,SER_hh_tesh_in!R8/SER_summary!R$27)</f>
        <v>113.78616369346121</v>
      </c>
      <c r="S8" s="133">
        <f>IF(SER_hh_tesh_in!S8=0,0,SER_hh_tesh_in!S8/SER_summary!S$27)</f>
        <v>106.66504678927549</v>
      </c>
      <c r="T8" s="133">
        <f>IF(SER_hh_tesh_in!T8=0,0,SER_hh_tesh_in!T8/SER_summary!T$27)</f>
        <v>93.029247959231455</v>
      </c>
      <c r="U8" s="133">
        <f>IF(SER_hh_tesh_in!U8=0,0,SER_hh_tesh_in!U8/SER_summary!U$27)</f>
        <v>72.049968476156209</v>
      </c>
      <c r="V8" s="133">
        <f>IF(SER_hh_tesh_in!V8=0,0,SER_hh_tesh_in!V8/SER_summary!V$27)</f>
        <v>70.07903581450303</v>
      </c>
      <c r="W8" s="133">
        <f>IF(SER_hh_tesh_in!W8=0,0,SER_hh_tesh_in!W8/SER_summary!W$27)</f>
        <v>56.147230464623071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0</v>
      </c>
      <c r="D9" s="133">
        <f>IF(SER_hh_tesh_in!D9=0,0,SER_hh_tesh_in!D9/SER_summary!D$27)</f>
        <v>0</v>
      </c>
      <c r="E9" s="133">
        <f>IF(SER_hh_tesh_in!E9=0,0,SER_hh_tesh_in!E9/SER_summary!E$27)</f>
        <v>236.21385623871001</v>
      </c>
      <c r="F9" s="133">
        <f>IF(SER_hh_tesh_in!F9=0,0,SER_hh_tesh_in!F9/SER_summary!F$27)</f>
        <v>140.60627960693321</v>
      </c>
      <c r="G9" s="133">
        <f>IF(SER_hh_tesh_in!G9=0,0,SER_hh_tesh_in!G9/SER_summary!G$27)</f>
        <v>350.2031123969029</v>
      </c>
      <c r="H9" s="133">
        <f>IF(SER_hh_tesh_in!H9=0,0,SER_hh_tesh_in!H9/SER_summary!H$27)</f>
        <v>331.08697570757784</v>
      </c>
      <c r="I9" s="133">
        <f>IF(SER_hh_tesh_in!I9=0,0,SER_hh_tesh_in!I9/SER_summary!I$27)</f>
        <v>286.6184136865869</v>
      </c>
      <c r="J9" s="133">
        <f>IF(SER_hh_tesh_in!J9=0,0,SER_hh_tesh_in!J9/SER_summary!J$27)</f>
        <v>293.49640708380684</v>
      </c>
      <c r="K9" s="133">
        <f>IF(SER_hh_tesh_in!K9=0,0,SER_hh_tesh_in!K9/SER_summary!K$27)</f>
        <v>0</v>
      </c>
      <c r="L9" s="133">
        <f>IF(SER_hh_tesh_in!L9=0,0,SER_hh_tesh_in!L9/SER_summary!L$27)</f>
        <v>320.9329652876043</v>
      </c>
      <c r="M9" s="133">
        <f>IF(SER_hh_tesh_in!M9=0,0,SER_hh_tesh_in!M9/SER_summary!M$27)</f>
        <v>119.13331495301895</v>
      </c>
      <c r="N9" s="133">
        <f>IF(SER_hh_tesh_in!N9=0,0,SER_hh_tesh_in!N9/SER_summary!N$27)</f>
        <v>192.65509278717366</v>
      </c>
      <c r="O9" s="133">
        <f>IF(SER_hh_tesh_in!O9=0,0,SER_hh_tesh_in!O9/SER_summary!O$27)</f>
        <v>215.4428580596304</v>
      </c>
      <c r="P9" s="133">
        <f>IF(SER_hh_tesh_in!P9=0,0,SER_hh_tesh_in!P9/SER_summary!P$27)</f>
        <v>115.69167017792363</v>
      </c>
      <c r="Q9" s="133">
        <f>IF(SER_hh_tesh_in!Q9=0,0,SER_hh_tesh_in!Q9/SER_summary!Q$27)</f>
        <v>121.55354456533522</v>
      </c>
      <c r="R9" s="133">
        <f>IF(SER_hh_tesh_in!R9=0,0,SER_hh_tesh_in!R9/SER_summary!R$27)</f>
        <v>112.57116487725922</v>
      </c>
      <c r="S9" s="133">
        <f>IF(SER_hh_tesh_in!S9=0,0,SER_hh_tesh_in!S9/SER_summary!S$27)</f>
        <v>119.06361939008966</v>
      </c>
      <c r="T9" s="133">
        <f>IF(SER_hh_tesh_in!T9=0,0,SER_hh_tesh_in!T9/SER_summary!T$27)</f>
        <v>96.136293302841807</v>
      </c>
      <c r="U9" s="133">
        <f>IF(SER_hh_tesh_in!U9=0,0,SER_hh_tesh_in!U9/SER_summary!U$27)</f>
        <v>70.65339235486222</v>
      </c>
      <c r="V9" s="133">
        <f>IF(SER_hh_tesh_in!V9=0,0,SER_hh_tesh_in!V9/SER_summary!V$27)</f>
        <v>58.918203354214121</v>
      </c>
      <c r="W9" s="133">
        <f>IF(SER_hh_tesh_in!W9=0,0,SER_hh_tesh_in!W9/SER_summary!W$27)</f>
        <v>68.36145058017695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98.383944935229991</v>
      </c>
      <c r="I10" s="133">
        <f>IF(SER_hh_tesh_in!I10=0,0,SER_hh_tesh_in!I10/SER_summary!I$27)</f>
        <v>44.205513879277554</v>
      </c>
      <c r="J10" s="133">
        <f>IF(SER_hh_tesh_in!J10=0,0,SER_hh_tesh_in!J10/SER_summary!J$27)</f>
        <v>335.11863143292004</v>
      </c>
      <c r="K10" s="133">
        <f>IF(SER_hh_tesh_in!K10=0,0,SER_hh_tesh_in!K10/SER_summary!K$27)</f>
        <v>338.41899316749345</v>
      </c>
      <c r="L10" s="133">
        <f>IF(SER_hh_tesh_in!L10=0,0,SER_hh_tesh_in!L10/SER_summary!L$27)</f>
        <v>301.99241508664278</v>
      </c>
      <c r="M10" s="133">
        <f>IF(SER_hh_tesh_in!M10=0,0,SER_hh_tesh_in!M10/SER_summary!M$27)</f>
        <v>151.53522735951293</v>
      </c>
      <c r="N10" s="133">
        <f>IF(SER_hh_tesh_in!N10=0,0,SER_hh_tesh_in!N10/SER_summary!N$27)</f>
        <v>172.95178190205189</v>
      </c>
      <c r="O10" s="133">
        <f>IF(SER_hh_tesh_in!O10=0,0,SER_hh_tesh_in!O10/SER_summary!O$27)</f>
        <v>90.619623362019226</v>
      </c>
      <c r="P10" s="133">
        <f>IF(SER_hh_tesh_in!P10=0,0,SER_hh_tesh_in!P10/SER_summary!P$27)</f>
        <v>219.47587527869865</v>
      </c>
      <c r="Q10" s="133">
        <f>IF(SER_hh_tesh_in!Q10=0,0,SER_hh_tesh_in!Q10/SER_summary!Q$27)</f>
        <v>118.34936838159535</v>
      </c>
      <c r="R10" s="133">
        <f>IF(SER_hh_tesh_in!R10=0,0,SER_hh_tesh_in!R10/SER_summary!R$27)</f>
        <v>39.754424250866151</v>
      </c>
      <c r="S10" s="133">
        <f>IF(SER_hh_tesh_in!S10=0,0,SER_hh_tesh_in!S10/SER_summary!S$27)</f>
        <v>123.26331874720657</v>
      </c>
      <c r="T10" s="133">
        <f>IF(SER_hh_tesh_in!T10=0,0,SER_hh_tesh_in!T10/SER_summary!T$27)</f>
        <v>95.147304414522395</v>
      </c>
      <c r="U10" s="133">
        <f>IF(SER_hh_tesh_in!U10=0,0,SER_hh_tesh_in!U10/SER_summary!U$27)</f>
        <v>80.209549433382961</v>
      </c>
      <c r="V10" s="133">
        <f>IF(SER_hh_tesh_in!V10=0,0,SER_hh_tesh_in!V10/SER_summary!V$27)</f>
        <v>74.268098720478193</v>
      </c>
      <c r="W10" s="133">
        <f>IF(SER_hh_tesh_in!W10=0,0,SER_hh_tesh_in!W10/SER_summary!W$27)</f>
        <v>60.134915281098841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428.29928561631306</v>
      </c>
      <c r="D11" s="133">
        <f>IF(SER_hh_tesh_in!D11=0,0,SER_hh_tesh_in!D11/SER_summary!D$27)</f>
        <v>297.1253503544807</v>
      </c>
      <c r="E11" s="133">
        <f>IF(SER_hh_tesh_in!E11=0,0,SER_hh_tesh_in!E11/SER_summary!E$27)</f>
        <v>260.75089812813781</v>
      </c>
      <c r="F11" s="133">
        <f>IF(SER_hh_tesh_in!F11=0,0,SER_hh_tesh_in!F11/SER_summary!F$27)</f>
        <v>239.51394540932122</v>
      </c>
      <c r="G11" s="133">
        <f>IF(SER_hh_tesh_in!G11=0,0,SER_hh_tesh_in!G11/SER_summary!G$27)</f>
        <v>266.10868898493146</v>
      </c>
      <c r="H11" s="133">
        <f>IF(SER_hh_tesh_in!H11=0,0,SER_hh_tesh_in!H11/SER_summary!H$27)</f>
        <v>312.48159652710751</v>
      </c>
      <c r="I11" s="133">
        <f>IF(SER_hh_tesh_in!I11=0,0,SER_hh_tesh_in!I11/SER_summary!I$27)</f>
        <v>286.94138813073283</v>
      </c>
      <c r="J11" s="133">
        <f>IF(SER_hh_tesh_in!J11=0,0,SER_hh_tesh_in!J11/SER_summary!J$27)</f>
        <v>285.39092155403858</v>
      </c>
      <c r="K11" s="133">
        <f>IF(SER_hh_tesh_in!K11=0,0,SER_hh_tesh_in!K11/SER_summary!K$27)</f>
        <v>273.5603223900207</v>
      </c>
      <c r="L11" s="133">
        <f>IF(SER_hh_tesh_in!L11=0,0,SER_hh_tesh_in!L11/SER_summary!L$27)</f>
        <v>272.6573636119104</v>
      </c>
      <c r="M11" s="133">
        <f>IF(SER_hh_tesh_in!M11=0,0,SER_hh_tesh_in!M11/SER_summary!M$27)</f>
        <v>214.40206603642758</v>
      </c>
      <c r="N11" s="133">
        <f>IF(SER_hh_tesh_in!N11=0,0,SER_hh_tesh_in!N11/SER_summary!N$27)</f>
        <v>164.03409379198442</v>
      </c>
      <c r="O11" s="133">
        <f>IF(SER_hh_tesh_in!O11=0,0,SER_hh_tesh_in!O11/SER_summary!O$27)</f>
        <v>180.05573697784877</v>
      </c>
      <c r="P11" s="133">
        <f>IF(SER_hh_tesh_in!P11=0,0,SER_hh_tesh_in!P11/SER_summary!P$27)</f>
        <v>117.90466154124913</v>
      </c>
      <c r="Q11" s="133">
        <f>IF(SER_hh_tesh_in!Q11=0,0,SER_hh_tesh_in!Q11/SER_summary!Q$27)</f>
        <v>116.17443949826652</v>
      </c>
      <c r="R11" s="133">
        <f>IF(SER_hh_tesh_in!R11=0,0,SER_hh_tesh_in!R11/SER_summary!R$27)</f>
        <v>123.97083684856862</v>
      </c>
      <c r="S11" s="133">
        <f>IF(SER_hh_tesh_in!S11=0,0,SER_hh_tesh_in!S11/SER_summary!S$27)</f>
        <v>115.72895530802961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309.65809534088459</v>
      </c>
      <c r="D12" s="133">
        <f>IF(SER_hh_tesh_in!D12=0,0,SER_hh_tesh_in!D12/SER_summary!D$27)</f>
        <v>301.22005444371774</v>
      </c>
      <c r="E12" s="133">
        <f>IF(SER_hh_tesh_in!E12=0,0,SER_hh_tesh_in!E12/SER_summary!E$27)</f>
        <v>219.14250207024608</v>
      </c>
      <c r="F12" s="133">
        <f>IF(SER_hh_tesh_in!F12=0,0,SER_hh_tesh_in!F12/SER_summary!F$27)</f>
        <v>325.73815900446675</v>
      </c>
      <c r="G12" s="133">
        <f>IF(SER_hh_tesh_in!G12=0,0,SER_hh_tesh_in!G12/SER_summary!G$27)</f>
        <v>286.29534590438834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262.41284284562994</v>
      </c>
      <c r="K12" s="133">
        <f>IF(SER_hh_tesh_in!K12=0,0,SER_hh_tesh_in!K12/SER_summary!K$27)</f>
        <v>277.0589059124394</v>
      </c>
      <c r="L12" s="133">
        <f>IF(SER_hh_tesh_in!L12=0,0,SER_hh_tesh_in!L12/SER_summary!L$27)</f>
        <v>298.56216985456871</v>
      </c>
      <c r="M12" s="133">
        <f>IF(SER_hh_tesh_in!M12=0,0,SER_hh_tesh_in!M12/SER_summary!M$27)</f>
        <v>237.19295430167401</v>
      </c>
      <c r="N12" s="133">
        <f>IF(SER_hh_tesh_in!N12=0,0,SER_hh_tesh_in!N12/SER_summary!N$27)</f>
        <v>0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0</v>
      </c>
      <c r="R12" s="133">
        <f>IF(SER_hh_tesh_in!R12=0,0,SER_hh_tesh_in!R12/SER_summary!R$27)</f>
        <v>141.01550000486512</v>
      </c>
      <c r="S12" s="133">
        <f>IF(SER_hh_tesh_in!S12=0,0,SER_hh_tesh_in!S12/SER_summary!S$27)</f>
        <v>113.88965463252082</v>
      </c>
      <c r="T12" s="133">
        <f>IF(SER_hh_tesh_in!T12=0,0,SER_hh_tesh_in!T12/SER_summary!T$27)</f>
        <v>94.65216226569666</v>
      </c>
      <c r="U12" s="133">
        <f>IF(SER_hh_tesh_in!U12=0,0,SER_hh_tesh_in!U12/SER_summary!U$27)</f>
        <v>75.634957304055604</v>
      </c>
      <c r="V12" s="133">
        <f>IF(SER_hh_tesh_in!V12=0,0,SER_hh_tesh_in!V12/SER_summary!V$27)</f>
        <v>63.757528527539606</v>
      </c>
      <c r="W12" s="133">
        <f>IF(SER_hh_tesh_in!W12=0,0,SER_hh_tesh_in!W12/SER_summary!W$27)</f>
        <v>66.586533160199906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325.5606947310597</v>
      </c>
      <c r="D13" s="133">
        <f>IF(SER_hh_tesh_in!D13=0,0,SER_hh_tesh_in!D13/SER_summary!D$27)</f>
        <v>284.47297402474766</v>
      </c>
      <c r="E13" s="133">
        <f>IF(SER_hh_tesh_in!E13=0,0,SER_hh_tesh_in!E13/SER_summary!E$27)</f>
        <v>232.75739948736668</v>
      </c>
      <c r="F13" s="133">
        <f>IF(SER_hh_tesh_in!F13=0,0,SER_hh_tesh_in!F13/SER_summary!F$27)</f>
        <v>292.57101683385434</v>
      </c>
      <c r="G13" s="133">
        <f>IF(SER_hh_tesh_in!G13=0,0,SER_hh_tesh_in!G13/SER_summary!G$27)</f>
        <v>273.95900765094024</v>
      </c>
      <c r="H13" s="133">
        <f>IF(SER_hh_tesh_in!H13=0,0,SER_hh_tesh_in!H13/SER_summary!H$27)</f>
        <v>252.8265878800452</v>
      </c>
      <c r="I13" s="133">
        <f>IF(SER_hh_tesh_in!I13=0,0,SER_hh_tesh_in!I13/SER_summary!I$27)</f>
        <v>288.21827011874007</v>
      </c>
      <c r="J13" s="133">
        <f>IF(SER_hh_tesh_in!J13=0,0,SER_hh_tesh_in!J13/SER_summary!J$27)</f>
        <v>239.9330480609417</v>
      </c>
      <c r="K13" s="133">
        <f>IF(SER_hh_tesh_in!K13=0,0,SER_hh_tesh_in!K13/SER_summary!K$27)</f>
        <v>221.9640784832624</v>
      </c>
      <c r="L13" s="133">
        <f>IF(SER_hh_tesh_in!L13=0,0,SER_hh_tesh_in!L13/SER_summary!L$27)</f>
        <v>206.69503817235204</v>
      </c>
      <c r="M13" s="133">
        <f>IF(SER_hh_tesh_in!M13=0,0,SER_hh_tesh_in!M13/SER_summary!M$27)</f>
        <v>216.70620379324762</v>
      </c>
      <c r="N13" s="133">
        <f>IF(SER_hh_tesh_in!N13=0,0,SER_hh_tesh_in!N13/SER_summary!N$27)</f>
        <v>183.991427984067</v>
      </c>
      <c r="O13" s="133">
        <f>IF(SER_hh_tesh_in!O13=0,0,SER_hh_tesh_in!O13/SER_summary!O$27)</f>
        <v>139.23450448852216</v>
      </c>
      <c r="P13" s="133">
        <f>IF(SER_hh_tesh_in!P13=0,0,SER_hh_tesh_in!P13/SER_summary!P$27)</f>
        <v>102.90738210320832</v>
      </c>
      <c r="Q13" s="133">
        <f>IF(SER_hh_tesh_in!Q13=0,0,SER_hh_tesh_in!Q13/SER_summary!Q$27)</f>
        <v>147.51398925572551</v>
      </c>
      <c r="R13" s="133">
        <f>IF(SER_hh_tesh_in!R13=0,0,SER_hh_tesh_in!R13/SER_summary!R$27)</f>
        <v>122.85496329857864</v>
      </c>
      <c r="S13" s="133">
        <f>IF(SER_hh_tesh_in!S13=0,0,SER_hh_tesh_in!S13/SER_summary!S$27)</f>
        <v>112.19186178325516</v>
      </c>
      <c r="T13" s="133">
        <f>IF(SER_hh_tesh_in!T13=0,0,SER_hh_tesh_in!T13/SER_summary!T$27)</f>
        <v>95.628198272554684</v>
      </c>
      <c r="U13" s="133">
        <f>IF(SER_hh_tesh_in!U13=0,0,SER_hh_tesh_in!U13/SER_summary!U$27)</f>
        <v>72.708714642655536</v>
      </c>
      <c r="V13" s="133">
        <f>IF(SER_hh_tesh_in!V13=0,0,SER_hh_tesh_in!V13/SER_summary!V$27)</f>
        <v>70.18759792667602</v>
      </c>
      <c r="W13" s="133">
        <f>IF(SER_hh_tesh_in!W13=0,0,SER_hh_tesh_in!W13/SER_summary!W$27)</f>
        <v>58.768221784925579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380.18856382018078</v>
      </c>
      <c r="D14" s="65">
        <f>IF(SER_hh_tesh_in!D14=0,0,SER_hh_tesh_in!D14/SER_summary!D$27)</f>
        <v>325.54655874499343</v>
      </c>
      <c r="E14" s="65">
        <f>IF(SER_hh_tesh_in!E14=0,0,SER_hh_tesh_in!E14/SER_summary!E$27)</f>
        <v>235.388805106158</v>
      </c>
      <c r="F14" s="65">
        <f>IF(SER_hh_tesh_in!F14=0,0,SER_hh_tesh_in!F14/SER_summary!F$27)</f>
        <v>0</v>
      </c>
      <c r="G14" s="65">
        <f>IF(SER_hh_tesh_in!G14=0,0,SER_hh_tesh_in!G14/SER_summary!G$27)</f>
        <v>0</v>
      </c>
      <c r="H14" s="65">
        <f>IF(SER_hh_tesh_in!H14=0,0,SER_hh_tesh_in!H14/SER_summary!H$27)</f>
        <v>0</v>
      </c>
      <c r="I14" s="65">
        <f>IF(SER_hh_tesh_in!I14=0,0,SER_hh_tesh_in!I14/SER_summary!I$27)</f>
        <v>0</v>
      </c>
      <c r="J14" s="65">
        <f>IF(SER_hh_tesh_in!J14=0,0,SER_hh_tesh_in!J14/SER_summary!J$27)</f>
        <v>259.0950891508906</v>
      </c>
      <c r="K14" s="65">
        <f>IF(SER_hh_tesh_in!K14=0,0,SER_hh_tesh_in!K14/SER_summary!K$27)</f>
        <v>250.72124051785346</v>
      </c>
      <c r="L14" s="65">
        <f>IF(SER_hh_tesh_in!L14=0,0,SER_hh_tesh_in!L14/SER_summary!L$27)</f>
        <v>287.04950229918495</v>
      </c>
      <c r="M14" s="65">
        <f>IF(SER_hh_tesh_in!M14=0,0,SER_hh_tesh_in!M14/SER_summary!M$27)</f>
        <v>261.27370331343383</v>
      </c>
      <c r="N14" s="65">
        <f>IF(SER_hh_tesh_in!N14=0,0,SER_hh_tesh_in!N14/SER_summary!N$27)</f>
        <v>141.80751621436175</v>
      </c>
      <c r="O14" s="65">
        <f>IF(SER_hh_tesh_in!O14=0,0,SER_hh_tesh_in!O14/SER_summary!O$27)</f>
        <v>199.6990934069247</v>
      </c>
      <c r="P14" s="65">
        <f>IF(SER_hh_tesh_in!P14=0,0,SER_hh_tesh_in!P14/SER_summary!P$27)</f>
        <v>108.15860792809931</v>
      </c>
      <c r="Q14" s="65">
        <f>IF(SER_hh_tesh_in!Q14=0,0,SER_hh_tesh_in!Q14/SER_summary!Q$27)</f>
        <v>121.68807384577634</v>
      </c>
      <c r="R14" s="65">
        <f>IF(SER_hh_tesh_in!R14=0,0,SER_hh_tesh_in!R14/SER_summary!R$27)</f>
        <v>116.38435135599677</v>
      </c>
      <c r="S14" s="65">
        <f>IF(SER_hh_tesh_in!S14=0,0,SER_hh_tesh_in!S14/SER_summary!S$27)</f>
        <v>128.70629807387766</v>
      </c>
      <c r="T14" s="65">
        <f>IF(SER_hh_tesh_in!T14=0,0,SER_hh_tesh_in!T14/SER_summary!T$27)</f>
        <v>99.860302263924481</v>
      </c>
      <c r="U14" s="65">
        <f>IF(SER_hh_tesh_in!U14=0,0,SER_hh_tesh_in!U14/SER_summary!U$27)</f>
        <v>0</v>
      </c>
      <c r="V14" s="65">
        <f>IF(SER_hh_tesh_in!V14=0,0,SER_hh_tesh_in!V14/SER_summary!V$27)</f>
        <v>63.336788282340997</v>
      </c>
      <c r="W14" s="65">
        <f>IF(SER_hh_tesh_in!W14=0,0,SER_hh_tesh_in!W14/SER_summary!W$27)</f>
        <v>61.596521305735791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1.9048838343994319</v>
      </c>
      <c r="D15" s="135">
        <f>IF(SER_hh_tesh_in!D15=0,0,SER_hh_tesh_in!D15/SER_summary!D$27)</f>
        <v>1.5810358058013956</v>
      </c>
      <c r="E15" s="135">
        <f>IF(SER_hh_tesh_in!E15=0,0,SER_hh_tesh_in!E15/SER_summary!E$27)</f>
        <v>1.2784227331444218</v>
      </c>
      <c r="F15" s="135">
        <f>IF(SER_hh_tesh_in!F15=0,0,SER_hh_tesh_in!F15/SER_summary!F$27)</f>
        <v>2.3207818415271833</v>
      </c>
      <c r="G15" s="135">
        <f>IF(SER_hh_tesh_in!G15=0,0,SER_hh_tesh_in!G15/SER_summary!G$27)</f>
        <v>6.0849963083794893</v>
      </c>
      <c r="H15" s="135">
        <f>IF(SER_hh_tesh_in!H15=0,0,SER_hh_tesh_in!H15/SER_summary!H$27)</f>
        <v>5.5514942708866899</v>
      </c>
      <c r="I15" s="135">
        <f>IF(SER_hh_tesh_in!I15=0,0,SER_hh_tesh_in!I15/SER_summary!I$27)</f>
        <v>3.6285381591097963</v>
      </c>
      <c r="J15" s="135">
        <f>IF(SER_hh_tesh_in!J15=0,0,SER_hh_tesh_in!J15/SER_summary!J$27)</f>
        <v>2.3490816331332192</v>
      </c>
      <c r="K15" s="135">
        <f>IF(SER_hh_tesh_in!K15=0,0,SER_hh_tesh_in!K15/SER_summary!K$27)</f>
        <v>3.0342414795781911</v>
      </c>
      <c r="L15" s="135">
        <f>IF(SER_hh_tesh_in!L15=0,0,SER_hh_tesh_in!L15/SER_summary!L$27)</f>
        <v>2.3433474671522525</v>
      </c>
      <c r="M15" s="135">
        <f>IF(SER_hh_tesh_in!M15=0,0,SER_hh_tesh_in!M15/SER_summary!M$27)</f>
        <v>1.8021999975183127</v>
      </c>
      <c r="N15" s="135">
        <f>IF(SER_hh_tesh_in!N15=0,0,SER_hh_tesh_in!N15/SER_summary!N$27)</f>
        <v>3.1788542205142551</v>
      </c>
      <c r="O15" s="135">
        <f>IF(SER_hh_tesh_in!O15=0,0,SER_hh_tesh_in!O15/SER_summary!O$27)</f>
        <v>3.3165111380076047</v>
      </c>
      <c r="P15" s="135">
        <f>IF(SER_hh_tesh_in!P15=0,0,SER_hh_tesh_in!P15/SER_summary!P$27)</f>
        <v>1.9367784537041406</v>
      </c>
      <c r="Q15" s="135">
        <f>IF(SER_hh_tesh_in!Q15=0,0,SER_hh_tesh_in!Q15/SER_summary!Q$27)</f>
        <v>1.8933530447114153</v>
      </c>
      <c r="R15" s="135">
        <f>IF(SER_hh_tesh_in!R15=0,0,SER_hh_tesh_in!R15/SER_summary!R$27)</f>
        <v>1.5232370493714769</v>
      </c>
      <c r="S15" s="135">
        <f>IF(SER_hh_tesh_in!S15=0,0,SER_hh_tesh_in!S15/SER_summary!S$27)</f>
        <v>1.1761688683975775</v>
      </c>
      <c r="T15" s="135">
        <f>IF(SER_hh_tesh_in!T15=0,0,SER_hh_tesh_in!T15/SER_summary!T$27)</f>
        <v>0.95325002765241773</v>
      </c>
      <c r="U15" s="135">
        <f>IF(SER_hh_tesh_in!U15=0,0,SER_hh_tesh_in!U15/SER_summary!U$27)</f>
        <v>0.90072989540553761</v>
      </c>
      <c r="V15" s="135">
        <f>IF(SER_hh_tesh_in!V15=0,0,SER_hh_tesh_in!V15/SER_summary!V$27)</f>
        <v>0.73832013566762023</v>
      </c>
      <c r="W15" s="135">
        <f>IF(SER_hh_tesh_in!W15=0,0,SER_hh_tesh_in!W15/SER_summary!W$27)</f>
        <v>0.90081329038111579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29.757806631556114</v>
      </c>
      <c r="D16" s="131">
        <f>IF(SER_hh_tesh_in!D16=0,0,SER_hh_tesh_in!D16/SER_summary!D$27)</f>
        <v>30.100430768138938</v>
      </c>
      <c r="E16" s="131">
        <f>IF(SER_hh_tesh_in!E16=0,0,SER_hh_tesh_in!E16/SER_summary!E$27)</f>
        <v>30.240002231721032</v>
      </c>
      <c r="F16" s="131">
        <f>IF(SER_hh_tesh_in!F16=0,0,SER_hh_tesh_in!F16/SER_summary!F$27)</f>
        <v>28.969181027964936</v>
      </c>
      <c r="G16" s="131">
        <f>IF(SER_hh_tesh_in!G16=0,0,SER_hh_tesh_in!G16/SER_summary!G$27)</f>
        <v>29.028039577108029</v>
      </c>
      <c r="H16" s="131">
        <f>IF(SER_hh_tesh_in!H16=0,0,SER_hh_tesh_in!H16/SER_summary!H$27)</f>
        <v>29.681278461797955</v>
      </c>
      <c r="I16" s="131">
        <f>IF(SER_hh_tesh_in!I16=0,0,SER_hh_tesh_in!I16/SER_summary!I$27)</f>
        <v>30.680731363993562</v>
      </c>
      <c r="J16" s="131">
        <f>IF(SER_hh_tesh_in!J16=0,0,SER_hh_tesh_in!J16/SER_summary!J$27)</f>
        <v>28.639723118583817</v>
      </c>
      <c r="K16" s="131">
        <f>IF(SER_hh_tesh_in!K16=0,0,SER_hh_tesh_in!K16/SER_summary!K$27)</f>
        <v>28.426836181349518</v>
      </c>
      <c r="L16" s="131">
        <f>IF(SER_hh_tesh_in!L16=0,0,SER_hh_tesh_in!L16/SER_summary!L$27)</f>
        <v>29.232144731956907</v>
      </c>
      <c r="M16" s="131">
        <f>IF(SER_hh_tesh_in!M16=0,0,SER_hh_tesh_in!M16/SER_summary!M$27)</f>
        <v>28.229149934260256</v>
      </c>
      <c r="N16" s="131">
        <f>IF(SER_hh_tesh_in!N16=0,0,SER_hh_tesh_in!N16/SER_summary!N$27)</f>
        <v>30.682648776041436</v>
      </c>
      <c r="O16" s="131">
        <f>IF(SER_hh_tesh_in!O16=0,0,SER_hh_tesh_in!O16/SER_summary!O$27)</f>
        <v>29.031896155474605</v>
      </c>
      <c r="P16" s="131">
        <f>IF(SER_hh_tesh_in!P16=0,0,SER_hh_tesh_in!P16/SER_summary!P$27)</f>
        <v>26.231440273383043</v>
      </c>
      <c r="Q16" s="131">
        <f>IF(SER_hh_tesh_in!Q16=0,0,SER_hh_tesh_in!Q16/SER_summary!Q$27)</f>
        <v>30.361009926482698</v>
      </c>
      <c r="R16" s="131">
        <f>IF(SER_hh_tesh_in!R16=0,0,SER_hh_tesh_in!R16/SER_summary!R$27)</f>
        <v>25.288046621349832</v>
      </c>
      <c r="S16" s="131">
        <f>IF(SER_hh_tesh_in!S16=0,0,SER_hh_tesh_in!S16/SER_summary!S$27)</f>
        <v>26.269997835947827</v>
      </c>
      <c r="T16" s="131">
        <f>IF(SER_hh_tesh_in!T16=0,0,SER_hh_tesh_in!T16/SER_summary!T$27)</f>
        <v>25.084927017938806</v>
      </c>
      <c r="U16" s="131">
        <f>IF(SER_hh_tesh_in!U16=0,0,SER_hh_tesh_in!U16/SER_summary!U$27)</f>
        <v>25.02879607975294</v>
      </c>
      <c r="V16" s="131">
        <f>IF(SER_hh_tesh_in!V16=0,0,SER_hh_tesh_in!V16/SER_summary!V$27)</f>
        <v>22.082819895291525</v>
      </c>
      <c r="W16" s="131">
        <f>IF(SER_hh_tesh_in!W16=0,0,SER_hh_tesh_in!W16/SER_summary!W$27)</f>
        <v>21.101275774526467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29.817030098490012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29.364824727936377</v>
      </c>
      <c r="G17" s="133">
        <f>IF(SER_hh_tesh_in!G17=0,0,SER_hh_tesh_in!G17/SER_summary!G$27)</f>
        <v>29.455325537590053</v>
      </c>
      <c r="H17" s="133">
        <f>IF(SER_hh_tesh_in!H17=0,0,SER_hh_tesh_in!H17/SER_summary!H$27)</f>
        <v>29.982514617286885</v>
      </c>
      <c r="I17" s="133">
        <f>IF(SER_hh_tesh_in!I17=0,0,SER_hh_tesh_in!I17/SER_summary!I$27)</f>
        <v>30.769176410586198</v>
      </c>
      <c r="J17" s="133">
        <f>IF(SER_hh_tesh_in!J17=0,0,SER_hh_tesh_in!J17/SER_summary!J$27)</f>
        <v>28.655380496611887</v>
      </c>
      <c r="K17" s="133">
        <f>IF(SER_hh_tesh_in!K17=0,0,SER_hh_tesh_in!K17/SER_summary!K$27)</f>
        <v>28.329526876493389</v>
      </c>
      <c r="L17" s="133">
        <f>IF(SER_hh_tesh_in!L17=0,0,SER_hh_tesh_in!L17/SER_summary!L$27)</f>
        <v>29.133549394372604</v>
      </c>
      <c r="M17" s="133">
        <f>IF(SER_hh_tesh_in!M17=0,0,SER_hh_tesh_in!M17/SER_summary!M$27)</f>
        <v>28.297503450723475</v>
      </c>
      <c r="N17" s="133">
        <f>IF(SER_hh_tesh_in!N17=0,0,SER_hh_tesh_in!N17/SER_summary!N$27)</f>
        <v>30.670936804958473</v>
      </c>
      <c r="O17" s="133">
        <f>IF(SER_hh_tesh_in!O17=0,0,SER_hh_tesh_in!O17/SER_summary!O$27)</f>
        <v>29.264807630591527</v>
      </c>
      <c r="P17" s="133">
        <f>IF(SER_hh_tesh_in!P17=0,0,SER_hh_tesh_in!P17/SER_summary!P$27)</f>
        <v>26.773435769470669</v>
      </c>
      <c r="Q17" s="133">
        <f>IF(SER_hh_tesh_in!Q17=0,0,SER_hh_tesh_in!Q17/SER_summary!Q$27)</f>
        <v>30.73124446031564</v>
      </c>
      <c r="R17" s="133">
        <f>IF(SER_hh_tesh_in!R17=0,0,SER_hh_tesh_in!R17/SER_summary!R$27)</f>
        <v>26.210468601824498</v>
      </c>
      <c r="S17" s="133">
        <f>IF(SER_hh_tesh_in!S17=0,0,SER_hh_tesh_in!S17/SER_summary!S$27)</f>
        <v>26.995783865096236</v>
      </c>
      <c r="T17" s="133">
        <f>IF(SER_hh_tesh_in!T17=0,0,SER_hh_tesh_in!T17/SER_summary!T$27)</f>
        <v>25.765673059051842</v>
      </c>
      <c r="U17" s="133">
        <f>IF(SER_hh_tesh_in!U17=0,0,SER_hh_tesh_in!U17/SER_summary!U$27)</f>
        <v>25.476170896571507</v>
      </c>
      <c r="V17" s="133">
        <f>IF(SER_hh_tesh_in!V17=0,0,SER_hh_tesh_in!V17/SER_summary!V$27)</f>
        <v>24.00320504455231</v>
      </c>
      <c r="W17" s="133">
        <f>IF(SER_hh_tesh_in!W17=0,0,SER_hh_tesh_in!W17/SER_summary!W$27)</f>
        <v>20.563100941191891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29.757355461557236</v>
      </c>
      <c r="D18" s="133">
        <f>IF(SER_hh_tesh_in!D18=0,0,SER_hh_tesh_in!D18/SER_summary!D$27)</f>
        <v>30.100430768138938</v>
      </c>
      <c r="E18" s="133">
        <f>IF(SER_hh_tesh_in!E18=0,0,SER_hh_tesh_in!E18/SER_summary!E$27)</f>
        <v>30.240002231721032</v>
      </c>
      <c r="F18" s="133">
        <f>IF(SER_hh_tesh_in!F18=0,0,SER_hh_tesh_in!F18/SER_summary!F$27)</f>
        <v>28.965060917438315</v>
      </c>
      <c r="G18" s="133">
        <f>IF(SER_hh_tesh_in!G18=0,0,SER_hh_tesh_in!G18/SER_summary!G$27)</f>
        <v>29.024919875895886</v>
      </c>
      <c r="H18" s="133">
        <f>IF(SER_hh_tesh_in!H18=0,0,SER_hh_tesh_in!H18/SER_summary!H$27)</f>
        <v>29.680222595892371</v>
      </c>
      <c r="I18" s="133">
        <f>IF(SER_hh_tesh_in!I18=0,0,SER_hh_tesh_in!I18/SER_summary!I$27)</f>
        <v>30.680572224872876</v>
      </c>
      <c r="J18" s="133">
        <f>IF(SER_hh_tesh_in!J18=0,0,SER_hh_tesh_in!J18/SER_summary!J$27)</f>
        <v>28.639659144897909</v>
      </c>
      <c r="K18" s="133">
        <f>IF(SER_hh_tesh_in!K18=0,0,SER_hh_tesh_in!K18/SER_summary!K$27)</f>
        <v>28.426962453777712</v>
      </c>
      <c r="L18" s="133">
        <f>IF(SER_hh_tesh_in!L18=0,0,SER_hh_tesh_in!L18/SER_summary!L$27)</f>
        <v>29.232551664413155</v>
      </c>
      <c r="M18" s="133">
        <f>IF(SER_hh_tesh_in!M18=0,0,SER_hh_tesh_in!M18/SER_summary!M$27)</f>
        <v>28.228650731193149</v>
      </c>
      <c r="N18" s="133">
        <f>IF(SER_hh_tesh_in!N18=0,0,SER_hh_tesh_in!N18/SER_summary!N$27)</f>
        <v>30.682696266006829</v>
      </c>
      <c r="O18" s="133">
        <f>IF(SER_hh_tesh_in!O18=0,0,SER_hh_tesh_in!O18/SER_summary!O$27)</f>
        <v>29.028848336402483</v>
      </c>
      <c r="P18" s="133">
        <f>IF(SER_hh_tesh_in!P18=0,0,SER_hh_tesh_in!P18/SER_summary!P$27)</f>
        <v>26.219151055397479</v>
      </c>
      <c r="Q18" s="133">
        <f>IF(SER_hh_tesh_in!Q18=0,0,SER_hh_tesh_in!Q18/SER_summary!Q$27)</f>
        <v>30.355723939837453</v>
      </c>
      <c r="R18" s="133">
        <f>IF(SER_hh_tesh_in!R18=0,0,SER_hh_tesh_in!R18/SER_summary!R$27)</f>
        <v>25.253998997527294</v>
      </c>
      <c r="S18" s="133">
        <f>IF(SER_hh_tesh_in!S18=0,0,SER_hh_tesh_in!S18/SER_summary!S$27)</f>
        <v>26.259022976300354</v>
      </c>
      <c r="T18" s="133">
        <f>IF(SER_hh_tesh_in!T18=0,0,SER_hh_tesh_in!T18/SER_summary!T$27)</f>
        <v>25.068584521491768</v>
      </c>
      <c r="U18" s="133">
        <f>IF(SER_hh_tesh_in!U18=0,0,SER_hh_tesh_in!U18/SER_summary!U$27)</f>
        <v>25.021301239433367</v>
      </c>
      <c r="V18" s="133">
        <f>IF(SER_hh_tesh_in!V18=0,0,SER_hh_tesh_in!V18/SER_summary!V$27)</f>
        <v>22.012834344221883</v>
      </c>
      <c r="W18" s="133">
        <f>IF(SER_hh_tesh_in!W18=0,0,SER_hh_tesh_in!W18/SER_summary!W$27)</f>
        <v>21.114603720315451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28.580635699207107</v>
      </c>
      <c r="D19" s="131">
        <f>IF(SER_hh_tesh_in!D19=0,0,SER_hh_tesh_in!D19/SER_summary!D$27)</f>
        <v>29.02561328348682</v>
      </c>
      <c r="E19" s="131">
        <f>IF(SER_hh_tesh_in!E19=0,0,SER_hh_tesh_in!E19/SER_summary!E$27)</f>
        <v>28.019456877833939</v>
      </c>
      <c r="F19" s="131">
        <f>IF(SER_hh_tesh_in!F19=0,0,SER_hh_tesh_in!F19/SER_summary!F$27)</f>
        <v>26.749749683581825</v>
      </c>
      <c r="G19" s="131">
        <f>IF(SER_hh_tesh_in!G19=0,0,SER_hh_tesh_in!G19/SER_summary!G$27)</f>
        <v>28.622208123281194</v>
      </c>
      <c r="H19" s="131">
        <f>IF(SER_hh_tesh_in!H19=0,0,SER_hh_tesh_in!H19/SER_summary!H$27)</f>
        <v>28.356705955662378</v>
      </c>
      <c r="I19" s="131">
        <f>IF(SER_hh_tesh_in!I19=0,0,SER_hh_tesh_in!I19/SER_summary!I$27)</f>
        <v>28.341275768398045</v>
      </c>
      <c r="J19" s="131">
        <f>IF(SER_hh_tesh_in!J19=0,0,SER_hh_tesh_in!J19/SER_summary!J$27)</f>
        <v>28.097499575831655</v>
      </c>
      <c r="K19" s="131">
        <f>IF(SER_hh_tesh_in!K19=0,0,SER_hh_tesh_in!K19/SER_summary!K$27)</f>
        <v>28.738375562495278</v>
      </c>
      <c r="L19" s="131">
        <f>IF(SER_hh_tesh_in!L19=0,0,SER_hh_tesh_in!L19/SER_summary!L$27)</f>
        <v>28.827573530290842</v>
      </c>
      <c r="M19" s="131">
        <f>IF(SER_hh_tesh_in!M19=0,0,SER_hh_tesh_in!M19/SER_summary!M$27)</f>
        <v>27.972534380230258</v>
      </c>
      <c r="N19" s="131">
        <f>IF(SER_hh_tesh_in!N19=0,0,SER_hh_tesh_in!N19/SER_summary!N$27)</f>
        <v>29.081657602197456</v>
      </c>
      <c r="O19" s="131">
        <f>IF(SER_hh_tesh_in!O19=0,0,SER_hh_tesh_in!O19/SER_summary!O$27)</f>
        <v>29.158372047671492</v>
      </c>
      <c r="P19" s="131">
        <f>IF(SER_hh_tesh_in!P19=0,0,SER_hh_tesh_in!P19/SER_summary!P$27)</f>
        <v>29.627473957561261</v>
      </c>
      <c r="Q19" s="131">
        <f>IF(SER_hh_tesh_in!Q19=0,0,SER_hh_tesh_in!Q19/SER_summary!Q$27)</f>
        <v>27.340324597000482</v>
      </c>
      <c r="R19" s="131">
        <f>IF(SER_hh_tesh_in!R19=0,0,SER_hh_tesh_in!R19/SER_summary!R$27)</f>
        <v>29.076798561403763</v>
      </c>
      <c r="S19" s="131">
        <f>IF(SER_hh_tesh_in!S19=0,0,SER_hh_tesh_in!S19/SER_summary!S$27)</f>
        <v>28.674036786253886</v>
      </c>
      <c r="T19" s="131">
        <f>IF(SER_hh_tesh_in!T19=0,0,SER_hh_tesh_in!T19/SER_summary!T$27)</f>
        <v>27.901566617446562</v>
      </c>
      <c r="U19" s="131">
        <f>IF(SER_hh_tesh_in!U19=0,0,SER_hh_tesh_in!U19/SER_summary!U$27)</f>
        <v>27.370152329682988</v>
      </c>
      <c r="V19" s="131">
        <f>IF(SER_hh_tesh_in!V19=0,0,SER_hh_tesh_in!V19/SER_summary!V$27)</f>
        <v>28.000962899031265</v>
      </c>
      <c r="W19" s="131">
        <f>IF(SER_hh_tesh_in!W19=0,0,SER_hh_tesh_in!W19/SER_summary!W$27)</f>
        <v>25.245246309736665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22.288637064577884</v>
      </c>
      <c r="I20" s="133">
        <f>IF(SER_hh_tesh_in!I20=0,0,SER_hh_tesh_in!I20/SER_summary!I$27)</f>
        <v>30.863993048463602</v>
      </c>
      <c r="J20" s="133">
        <f>IF(SER_hh_tesh_in!J20=0,0,SER_hh_tesh_in!J20/SER_summary!J$27)</f>
        <v>30.48942674232676</v>
      </c>
      <c r="K20" s="133">
        <f>IF(SER_hh_tesh_in!K20=0,0,SER_hh_tesh_in!K20/SER_summary!K$27)</f>
        <v>30.208644755191894</v>
      </c>
      <c r="L20" s="133">
        <f>IF(SER_hh_tesh_in!L20=0,0,SER_hh_tesh_in!L20/SER_summary!L$27)</f>
        <v>28.561271006599508</v>
      </c>
      <c r="M20" s="133">
        <f>IF(SER_hh_tesh_in!M20=0,0,SER_hh_tesh_in!M20/SER_summary!M$27)</f>
        <v>28.360470881126041</v>
      </c>
      <c r="N20" s="133">
        <f>IF(SER_hh_tesh_in!N20=0,0,SER_hh_tesh_in!N20/SER_summary!N$27)</f>
        <v>28.931044503411503</v>
      </c>
      <c r="O20" s="133">
        <f>IF(SER_hh_tesh_in!O20=0,0,SER_hh_tesh_in!O20/SER_summary!O$27)</f>
        <v>28.605663659933604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27.977785853508127</v>
      </c>
      <c r="U20" s="133">
        <f>IF(SER_hh_tesh_in!U20=0,0,SER_hh_tesh_in!U20/SER_summary!U$27)</f>
        <v>39.984116312473709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0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0</v>
      </c>
      <c r="L22" s="133">
        <f>IF(SER_hh_tesh_in!L22=0,0,SER_hh_tesh_in!L22/SER_summary!L$27)</f>
        <v>0</v>
      </c>
      <c r="M22" s="133">
        <f>IF(SER_hh_tesh_in!M22=0,0,SER_hh_tesh_in!M22/SER_summary!M$27)</f>
        <v>0</v>
      </c>
      <c r="N22" s="133">
        <f>IF(SER_hh_tesh_in!N22=0,0,SER_hh_tesh_in!N22/SER_summary!N$27)</f>
        <v>0</v>
      </c>
      <c r="O22" s="133">
        <f>IF(SER_hh_tesh_in!O22=0,0,SER_hh_tesh_in!O22/SER_summary!O$27)</f>
        <v>0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30.32359528519159</v>
      </c>
      <c r="D23" s="133">
        <f>IF(SER_hh_tesh_in!D23=0,0,SER_hh_tesh_in!D23/SER_summary!D$27)</f>
        <v>30.398971966964286</v>
      </c>
      <c r="E23" s="133">
        <f>IF(SER_hh_tesh_in!E23=0,0,SER_hh_tesh_in!E23/SER_summary!E$27)</f>
        <v>27.376223103098095</v>
      </c>
      <c r="F23" s="133">
        <f>IF(SER_hh_tesh_in!F23=0,0,SER_hh_tesh_in!F23/SER_summary!F$27)</f>
        <v>28.59519736357543</v>
      </c>
      <c r="G23" s="133">
        <f>IF(SER_hh_tesh_in!G23=0,0,SER_hh_tesh_in!G23/SER_summary!G$27)</f>
        <v>27.500019529982659</v>
      </c>
      <c r="H23" s="133">
        <f>IF(SER_hh_tesh_in!H23=0,0,SER_hh_tesh_in!H23/SER_summary!H$27)</f>
        <v>27.448495595643685</v>
      </c>
      <c r="I23" s="133">
        <f>IF(SER_hh_tesh_in!I23=0,0,SER_hh_tesh_in!I23/SER_summary!I$27)</f>
        <v>29.251738061704721</v>
      </c>
      <c r="J23" s="133">
        <f>IF(SER_hh_tesh_in!J23=0,0,SER_hh_tesh_in!J23/SER_summary!J$27)</f>
        <v>28.582430562669146</v>
      </c>
      <c r="K23" s="133">
        <f>IF(SER_hh_tesh_in!K23=0,0,SER_hh_tesh_in!K23/SER_summary!K$27)</f>
        <v>27.510141653302473</v>
      </c>
      <c r="L23" s="133">
        <f>IF(SER_hh_tesh_in!L23=0,0,SER_hh_tesh_in!L23/SER_summary!L$27)</f>
        <v>27.591695067350745</v>
      </c>
      <c r="M23" s="133">
        <f>IF(SER_hh_tesh_in!M23=0,0,SER_hh_tesh_in!M23/SER_summary!M$27)</f>
        <v>25.885630303198624</v>
      </c>
      <c r="N23" s="133">
        <f>IF(SER_hh_tesh_in!N23=0,0,SER_hh_tesh_in!N23/SER_summary!N$27)</f>
        <v>29.444654372217595</v>
      </c>
      <c r="O23" s="133">
        <f>IF(SER_hh_tesh_in!O23=0,0,SER_hh_tesh_in!O23/SER_summary!O$27)</f>
        <v>29.974600952955878</v>
      </c>
      <c r="P23" s="133">
        <f>IF(SER_hh_tesh_in!P23=0,0,SER_hh_tesh_in!P23/SER_summary!P$27)</f>
        <v>25.562776965094653</v>
      </c>
      <c r="Q23" s="133">
        <f>IF(SER_hh_tesh_in!Q23=0,0,SER_hh_tesh_in!Q23/SER_summary!Q$27)</f>
        <v>30.851878397444896</v>
      </c>
      <c r="R23" s="133">
        <f>IF(SER_hh_tesh_in!R23=0,0,SER_hh_tesh_in!R23/SER_summary!R$27)</f>
        <v>31.122961788865986</v>
      </c>
      <c r="S23" s="133">
        <f>IF(SER_hh_tesh_in!S23=0,0,SER_hh_tesh_in!S23/SER_summary!S$27)</f>
        <v>29.647473301493402</v>
      </c>
      <c r="T23" s="133">
        <f>IF(SER_hh_tesh_in!T23=0,0,SER_hh_tesh_in!T23/SER_summary!T$27)</f>
        <v>0</v>
      </c>
      <c r="U23" s="133">
        <f>IF(SER_hh_tesh_in!U23=0,0,SER_hh_tesh_in!U23/SER_summary!U$27)</f>
        <v>0</v>
      </c>
      <c r="V23" s="133">
        <f>IF(SER_hh_tesh_in!V23=0,0,SER_hh_tesh_in!V23/SER_summary!V$27)</f>
        <v>0</v>
      </c>
      <c r="W23" s="133">
        <f>IF(SER_hh_tesh_in!W23=0,0,SER_hh_tesh_in!W23/SER_summary!W$27)</f>
        <v>31.400865050613984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25.642626879947919</v>
      </c>
      <c r="D25" s="133">
        <f>IF(SER_hh_tesh_in!D25=0,0,SER_hh_tesh_in!D25/SER_summary!D$27)</f>
        <v>28.415558718770622</v>
      </c>
      <c r="E25" s="133">
        <f>IF(SER_hh_tesh_in!E25=0,0,SER_hh_tesh_in!E25/SER_summary!E$27)</f>
        <v>30.381656905231516</v>
      </c>
      <c r="F25" s="133">
        <f>IF(SER_hh_tesh_in!F25=0,0,SER_hh_tesh_in!F25/SER_summary!F$27)</f>
        <v>39.35643428791802</v>
      </c>
      <c r="G25" s="133">
        <f>IF(SER_hh_tesh_in!G25=0,0,SER_hh_tesh_in!G25/SER_summary!G$27)</f>
        <v>28.860222521797802</v>
      </c>
      <c r="H25" s="133">
        <f>IF(SER_hh_tesh_in!H25=0,0,SER_hh_tesh_in!H25/SER_summary!H$27)</f>
        <v>26.047924496496485</v>
      </c>
      <c r="I25" s="133">
        <f>IF(SER_hh_tesh_in!I25=0,0,SER_hh_tesh_in!I25/SER_summary!I$27)</f>
        <v>0</v>
      </c>
      <c r="J25" s="133">
        <f>IF(SER_hh_tesh_in!J25=0,0,SER_hh_tesh_in!J25/SER_summary!J$27)</f>
        <v>27.984932115096147</v>
      </c>
      <c r="K25" s="133">
        <f>IF(SER_hh_tesh_in!K25=0,0,SER_hh_tesh_in!K25/SER_summary!K$27)</f>
        <v>29.021433392818377</v>
      </c>
      <c r="L25" s="133">
        <f>IF(SER_hh_tesh_in!L25=0,0,SER_hh_tesh_in!L25/SER_summary!L$27)</f>
        <v>26.727621534614826</v>
      </c>
      <c r="M25" s="133">
        <f>IF(SER_hh_tesh_in!M25=0,0,SER_hh_tesh_in!M25/SER_summary!M$27)</f>
        <v>28.733046234370061</v>
      </c>
      <c r="N25" s="133">
        <f>IF(SER_hh_tesh_in!N25=0,0,SER_hh_tesh_in!N25/SER_summary!N$27)</f>
        <v>31.494500890315624</v>
      </c>
      <c r="O25" s="133">
        <f>IF(SER_hh_tesh_in!O25=0,0,SER_hh_tesh_in!O25/SER_summary!O$27)</f>
        <v>23.476923769768209</v>
      </c>
      <c r="P25" s="133">
        <f>IF(SER_hh_tesh_in!P25=0,0,SER_hh_tesh_in!P25/SER_summary!P$27)</f>
        <v>19.426564000716507</v>
      </c>
      <c r="Q25" s="133">
        <f>IF(SER_hh_tesh_in!Q25=0,0,SER_hh_tesh_in!Q25/SER_summary!Q$27)</f>
        <v>11.466360468254544</v>
      </c>
      <c r="R25" s="133">
        <f>IF(SER_hh_tesh_in!R25=0,0,SER_hh_tesh_in!R25/SER_summary!R$27)</f>
        <v>38.078727089522999</v>
      </c>
      <c r="S25" s="133">
        <f>IF(SER_hh_tesh_in!S25=0,0,SER_hh_tesh_in!S25/SER_summary!S$27)</f>
        <v>35.254751773827479</v>
      </c>
      <c r="T25" s="133">
        <f>IF(SER_hh_tesh_in!T25=0,0,SER_hh_tesh_in!T25/SER_summary!T$27)</f>
        <v>33.382887412361853</v>
      </c>
      <c r="U25" s="133">
        <f>IF(SER_hh_tesh_in!U25=0,0,SER_hh_tesh_in!U25/SER_summary!U$27)</f>
        <v>30.39874940164021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0</v>
      </c>
      <c r="D26" s="65">
        <f>IF(SER_hh_tesh_in!D26=0,0,SER_hh_tesh_in!D26/SER_summary!D$27)</f>
        <v>26.42160513938434</v>
      </c>
      <c r="E26" s="65">
        <f>IF(SER_hh_tesh_in!E26=0,0,SER_hh_tesh_in!E26/SER_summary!E$27)</f>
        <v>27.314067879895408</v>
      </c>
      <c r="F26" s="65">
        <f>IF(SER_hh_tesh_in!F26=0,0,SER_hh_tesh_in!F26/SER_summary!F$27)</f>
        <v>23.905775406333298</v>
      </c>
      <c r="G26" s="65">
        <f>IF(SER_hh_tesh_in!G26=0,0,SER_hh_tesh_in!G26/SER_summary!G$27)</f>
        <v>28.578246182882133</v>
      </c>
      <c r="H26" s="65">
        <f>IF(SER_hh_tesh_in!H26=0,0,SER_hh_tesh_in!H26/SER_summary!H$27)</f>
        <v>29.839683712469753</v>
      </c>
      <c r="I26" s="65">
        <f>IF(SER_hh_tesh_in!I26=0,0,SER_hh_tesh_in!I26/SER_summary!I$27)</f>
        <v>27.471158510219425</v>
      </c>
      <c r="J26" s="65">
        <f>IF(SER_hh_tesh_in!J26=0,0,SER_hh_tesh_in!J26/SER_summary!J$27)</f>
        <v>27.180347720659942</v>
      </c>
      <c r="K26" s="65">
        <f>IF(SER_hh_tesh_in!K26=0,0,SER_hh_tesh_in!K26/SER_summary!K$27)</f>
        <v>28.761801923955222</v>
      </c>
      <c r="L26" s="65">
        <f>IF(SER_hh_tesh_in!L26=0,0,SER_hh_tesh_in!L26/SER_summary!L$27)</f>
        <v>20.341327807971243</v>
      </c>
      <c r="M26" s="65">
        <f>IF(SER_hh_tesh_in!M26=0,0,SER_hh_tesh_in!M26/SER_summary!M$27)</f>
        <v>26.570473706143048</v>
      </c>
      <c r="N26" s="65">
        <f>IF(SER_hh_tesh_in!N26=0,0,SER_hh_tesh_in!N26/SER_summary!N$27)</f>
        <v>27.856917413496998</v>
      </c>
      <c r="O26" s="65">
        <f>IF(SER_hh_tesh_in!O26=0,0,SER_hh_tesh_in!O26/SER_summary!O$27)</f>
        <v>28.895961768857955</v>
      </c>
      <c r="P26" s="65">
        <f>IF(SER_hh_tesh_in!P26=0,0,SER_hh_tesh_in!P26/SER_summary!P$27)</f>
        <v>8.5790710494049236</v>
      </c>
      <c r="Q26" s="65">
        <f>IF(SER_hh_tesh_in!Q26=0,0,SER_hh_tesh_in!Q26/SER_summary!Q$27)</f>
        <v>29.408112677385997</v>
      </c>
      <c r="R26" s="65">
        <f>IF(SER_hh_tesh_in!R26=0,0,SER_hh_tesh_in!R26/SER_summary!R$27)</f>
        <v>25.29165805832632</v>
      </c>
      <c r="S26" s="65">
        <f>IF(SER_hh_tesh_in!S26=0,0,SER_hh_tesh_in!S26/SER_summary!S$27)</f>
        <v>27.242514512737014</v>
      </c>
      <c r="T26" s="65">
        <f>IF(SER_hh_tesh_in!T26=0,0,SER_hh_tesh_in!T26/SER_summary!T$27)</f>
        <v>26.338753612437589</v>
      </c>
      <c r="U26" s="65">
        <f>IF(SER_hh_tesh_in!U26=0,0,SER_hh_tesh_in!U26/SER_summary!U$27)</f>
        <v>27.1462947102649</v>
      </c>
      <c r="V26" s="65">
        <f>IF(SER_hh_tesh_in!V26=0,0,SER_hh_tesh_in!V26/SER_summary!V$27)</f>
        <v>26.609783732448502</v>
      </c>
      <c r="W26" s="65">
        <f>IF(SER_hh_tesh_in!W26=0,0,SER_hh_tesh_in!W26/SER_summary!W$27)</f>
        <v>24.68573042671543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0.23512307049194284</v>
      </c>
      <c r="H27" s="146">
        <f>IF(SER_hh_tesh_in!H27=0,0,SER_hh_tesh_in!H27/SER_summary!H$27)</f>
        <v>2.043485373487955E-17</v>
      </c>
      <c r="I27" s="146">
        <f>IF(SER_hh_tesh_in!I27=0,0,SER_hh_tesh_in!I27/SER_summary!I$27)</f>
        <v>1.9761526477908406E-3</v>
      </c>
      <c r="J27" s="146">
        <f>IF(SER_hh_tesh_in!J27=0,0,SER_hh_tesh_in!J27/SER_summary!J$27)</f>
        <v>8.7715376215669028E-4</v>
      </c>
      <c r="K27" s="146">
        <f>IF(SER_hh_tesh_in!K27=0,0,SER_hh_tesh_in!K27/SER_summary!K$27)</f>
        <v>0</v>
      </c>
      <c r="L27" s="146">
        <f>IF(SER_hh_tesh_in!L27=0,0,SER_hh_tesh_in!L27/SER_summary!L$27)</f>
        <v>5.391533377044043</v>
      </c>
      <c r="M27" s="146">
        <f>IF(SER_hh_tesh_in!M27=0,0,SER_hh_tesh_in!M27/SER_summary!M$27)</f>
        <v>1.4566926060832357</v>
      </c>
      <c r="N27" s="146">
        <f>IF(SER_hh_tesh_in!N27=0,0,SER_hh_tesh_in!N27/SER_summary!N$27)</f>
        <v>8.2779486450372239E-2</v>
      </c>
      <c r="O27" s="146">
        <f>IF(SER_hh_tesh_in!O27=0,0,SER_hh_tesh_in!O27/SER_summary!O$27)</f>
        <v>9.9845795845595804E-16</v>
      </c>
      <c r="P27" s="146">
        <f>IF(SER_hh_tesh_in!P27=0,0,SER_hh_tesh_in!P27/SER_summary!P$27)</f>
        <v>11.842998059545113</v>
      </c>
      <c r="Q27" s="146">
        <f>IF(SER_hh_tesh_in!Q27=0,0,SER_hh_tesh_in!Q27/SER_summary!Q$27)</f>
        <v>0</v>
      </c>
      <c r="R27" s="146">
        <f>IF(SER_hh_tesh_in!R27=0,0,SER_hh_tesh_in!R27/SER_summary!R$27)</f>
        <v>0.72142480902732231</v>
      </c>
      <c r="S27" s="146">
        <f>IF(SER_hh_tesh_in!S27=0,0,SER_hh_tesh_in!S27/SER_summary!S$27)</f>
        <v>2.8660481883733803E-15</v>
      </c>
      <c r="T27" s="146">
        <f>IF(SER_hh_tesh_in!T27=0,0,SER_hh_tesh_in!T27/SER_summary!T$27)</f>
        <v>0.94946008006267069</v>
      </c>
      <c r="U27" s="146">
        <f>IF(SER_hh_tesh_in!U27=0,0,SER_hh_tesh_in!U27/SER_summary!U$27)</f>
        <v>9.536517325902609E-2</v>
      </c>
      <c r="V27" s="146">
        <f>IF(SER_hh_tesh_in!V27=0,0,SER_hh_tesh_in!V27/SER_summary!V$27)</f>
        <v>1.3911791665827606</v>
      </c>
      <c r="W27" s="146">
        <f>IF(SER_hh_tesh_in!W27=0,0,SER_hh_tesh_in!W27/SER_summary!W$27)</f>
        <v>2.2056945642982678E-5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19.794679299285672</v>
      </c>
      <c r="H28" s="147">
        <f>IF(SER_hh_tesh_in!H28=0,0,SER_hh_tesh_in!H28/SER_summary!H$27)</f>
        <v>19.845199019335304</v>
      </c>
      <c r="I28" s="147">
        <f>IF(SER_hh_tesh_in!I28=0,0,SER_hh_tesh_in!I28/SER_summary!I$27)</f>
        <v>20.024239530667074</v>
      </c>
      <c r="J28" s="147">
        <f>IF(SER_hh_tesh_in!J28=0,0,SER_hh_tesh_in!J28/SER_summary!J$27)</f>
        <v>19.737539917895653</v>
      </c>
      <c r="K28" s="147">
        <f>IF(SER_hh_tesh_in!K28=0,0,SER_hh_tesh_in!K28/SER_summary!K$27)</f>
        <v>0</v>
      </c>
      <c r="L28" s="147">
        <f>IF(SER_hh_tesh_in!L28=0,0,SER_hh_tesh_in!L28/SER_summary!L$27)</f>
        <v>18.991604707149843</v>
      </c>
      <c r="M28" s="147">
        <f>IF(SER_hh_tesh_in!M28=0,0,SER_hh_tesh_in!M28/SER_summary!M$27)</f>
        <v>20.071555776716945</v>
      </c>
      <c r="N28" s="147">
        <f>IF(SER_hh_tesh_in!N28=0,0,SER_hh_tesh_in!N28/SER_summary!N$27)</f>
        <v>21.494869182772504</v>
      </c>
      <c r="O28" s="147">
        <f>IF(SER_hh_tesh_in!O28=0,0,SER_hh_tesh_in!O28/SER_summary!O$27)</f>
        <v>20.190486772125002</v>
      </c>
      <c r="P28" s="147">
        <f>IF(SER_hh_tesh_in!P28=0,0,SER_hh_tesh_in!P28/SER_summary!P$27)</f>
        <v>20.243639817678606</v>
      </c>
      <c r="Q28" s="147">
        <f>IF(SER_hh_tesh_in!Q28=0,0,SER_hh_tesh_in!Q28/SER_summary!Q$27)</f>
        <v>0</v>
      </c>
      <c r="R28" s="147">
        <f>IF(SER_hh_tesh_in!R28=0,0,SER_hh_tesh_in!R28/SER_summary!R$27)</f>
        <v>19.399497242974668</v>
      </c>
      <c r="S28" s="147">
        <f>IF(SER_hh_tesh_in!S28=0,0,SER_hh_tesh_in!S28/SER_summary!S$27)</f>
        <v>20.547013694849053</v>
      </c>
      <c r="T28" s="147">
        <f>IF(SER_hh_tesh_in!T28=0,0,SER_hh_tesh_in!T28/SER_summary!T$27)</f>
        <v>20.040200685653105</v>
      </c>
      <c r="U28" s="147">
        <f>IF(SER_hh_tesh_in!U28=0,0,SER_hh_tesh_in!U28/SER_summary!U$27)</f>
        <v>20.742439840823351</v>
      </c>
      <c r="V28" s="147">
        <f>IF(SER_hh_tesh_in!V28=0,0,SER_hh_tesh_in!V28/SER_summary!V$27)</f>
        <v>19.70235578564969</v>
      </c>
      <c r="W28" s="147">
        <f>IF(SER_hh_tesh_in!W28=0,0,SER_hh_tesh_in!W28/SER_summary!W$27)</f>
        <v>18.91503250710149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23.508730896794699</v>
      </c>
      <c r="D29" s="131">
        <f>IF(SER_hh_tesh_in!D29=0,0,SER_hh_tesh_in!D29/SER_summary!D$27)</f>
        <v>33.217019992035354</v>
      </c>
      <c r="E29" s="131">
        <f>IF(SER_hh_tesh_in!E29=0,0,SER_hh_tesh_in!E29/SER_summary!E$27)</f>
        <v>28.128799579467774</v>
      </c>
      <c r="F29" s="131">
        <f>IF(SER_hh_tesh_in!F29=0,0,SER_hh_tesh_in!F29/SER_summary!F$27)</f>
        <v>28.903944181981529</v>
      </c>
      <c r="G29" s="131">
        <f>IF(SER_hh_tesh_in!G29=0,0,SER_hh_tesh_in!G29/SER_summary!G$27)</f>
        <v>31.5255272923274</v>
      </c>
      <c r="H29" s="131">
        <f>IF(SER_hh_tesh_in!H29=0,0,SER_hh_tesh_in!H29/SER_summary!H$27)</f>
        <v>29.940427600925457</v>
      </c>
      <c r="I29" s="131">
        <f>IF(SER_hh_tesh_in!I29=0,0,SER_hh_tesh_in!I29/SER_summary!I$27)</f>
        <v>31.235683521812081</v>
      </c>
      <c r="J29" s="131">
        <f>IF(SER_hh_tesh_in!J29=0,0,SER_hh_tesh_in!J29/SER_summary!J$27)</f>
        <v>31.123388519018381</v>
      </c>
      <c r="K29" s="131">
        <f>IF(SER_hh_tesh_in!K29=0,0,SER_hh_tesh_in!K29/SER_summary!K$27)</f>
        <v>30.333875783222449</v>
      </c>
      <c r="L29" s="131">
        <f>IF(SER_hh_tesh_in!L29=0,0,SER_hh_tesh_in!L29/SER_summary!L$27)</f>
        <v>30.036978721594153</v>
      </c>
      <c r="M29" s="131">
        <f>IF(SER_hh_tesh_in!M29=0,0,SER_hh_tesh_in!M29/SER_summary!M$27)</f>
        <v>31.627418171467742</v>
      </c>
      <c r="N29" s="131">
        <f>IF(SER_hh_tesh_in!N29=0,0,SER_hh_tesh_in!N29/SER_summary!N$27)</f>
        <v>29.265401558042544</v>
      </c>
      <c r="O29" s="131">
        <f>IF(SER_hh_tesh_in!O29=0,0,SER_hh_tesh_in!O29/SER_summary!O$27)</f>
        <v>30.328814177661027</v>
      </c>
      <c r="P29" s="131">
        <f>IF(SER_hh_tesh_in!P29=0,0,SER_hh_tesh_in!P29/SER_summary!P$27)</f>
        <v>29.106261527675699</v>
      </c>
      <c r="Q29" s="131">
        <f>IF(SER_hh_tesh_in!Q29=0,0,SER_hh_tesh_in!Q29/SER_summary!Q$27)</f>
        <v>29.020597763380998</v>
      </c>
      <c r="R29" s="131">
        <f>IF(SER_hh_tesh_in!R29=0,0,SER_hh_tesh_in!R29/SER_summary!R$27)</f>
        <v>28.264924804217241</v>
      </c>
      <c r="S29" s="131">
        <f>IF(SER_hh_tesh_in!S29=0,0,SER_hh_tesh_in!S29/SER_summary!S$27)</f>
        <v>28.472582249030435</v>
      </c>
      <c r="T29" s="131">
        <f>IF(SER_hh_tesh_in!T29=0,0,SER_hh_tesh_in!T29/SER_summary!T$27)</f>
        <v>28.426246686027699</v>
      </c>
      <c r="U29" s="131">
        <f>IF(SER_hh_tesh_in!U29=0,0,SER_hh_tesh_in!U29/SER_summary!U$27)</f>
        <v>27.975618404077238</v>
      </c>
      <c r="V29" s="131">
        <f>IF(SER_hh_tesh_in!V29=0,0,SER_hh_tesh_in!V29/SER_summary!V$27)</f>
        <v>25.468973992030143</v>
      </c>
      <c r="W29" s="131">
        <f>IF(SER_hh_tesh_in!W29=0,0,SER_hh_tesh_in!W29/SER_summary!W$27)</f>
        <v>26.854773713461654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21.676530563827527</v>
      </c>
      <c r="D30" s="133">
        <f>IF(SER_hh_tesh_in!D30=0,0,SER_hh_tesh_in!D30/SER_summary!D$27)</f>
        <v>34.795138598631915</v>
      </c>
      <c r="E30" s="133">
        <f>IF(SER_hh_tesh_in!E30=0,0,SER_hh_tesh_in!E30/SER_summary!E$27)</f>
        <v>35.86464150642496</v>
      </c>
      <c r="F30" s="133">
        <f>IF(SER_hh_tesh_in!F30=0,0,SER_hh_tesh_in!F30/SER_summary!F$27)</f>
        <v>38.813223125816926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33.264092279449081</v>
      </c>
      <c r="L30" s="133">
        <f>IF(SER_hh_tesh_in!L30=0,0,SER_hh_tesh_in!L30/SER_summary!L$27)</f>
        <v>57.901513030019878</v>
      </c>
      <c r="M30" s="133">
        <f>IF(SER_hh_tesh_in!M30=0,0,SER_hh_tesh_in!M30/SER_summary!M$27)</f>
        <v>0</v>
      </c>
      <c r="N30" s="133">
        <f>IF(SER_hh_tesh_in!N30=0,0,SER_hh_tesh_in!N30/SER_summary!N$27)</f>
        <v>34.020043746620061</v>
      </c>
      <c r="O30" s="133">
        <f>IF(SER_hh_tesh_in!O30=0,0,SER_hh_tesh_in!O30/SER_summary!O$27)</f>
        <v>32.829190078433896</v>
      </c>
      <c r="P30" s="133">
        <f>IF(SER_hh_tesh_in!P30=0,0,SER_hh_tesh_in!P30/SER_summary!P$27)</f>
        <v>30.094497909624316</v>
      </c>
      <c r="Q30" s="133">
        <f>IF(SER_hh_tesh_in!Q30=0,0,SER_hh_tesh_in!Q30/SER_summary!Q$27)</f>
        <v>0</v>
      </c>
      <c r="R30" s="133">
        <f>IF(SER_hh_tesh_in!R30=0,0,SER_hh_tesh_in!R30/SER_summary!R$27)</f>
        <v>0</v>
      </c>
      <c r="S30" s="133">
        <f>IF(SER_hh_tesh_in!S30=0,0,SER_hh_tesh_in!S30/SER_summary!S$27)</f>
        <v>0</v>
      </c>
      <c r="T30" s="133">
        <f>IF(SER_hh_tesh_in!T30=0,0,SER_hh_tesh_in!T30/SER_summary!T$27)</f>
        <v>0</v>
      </c>
      <c r="U30" s="133">
        <f>IF(SER_hh_tesh_in!U30=0,0,SER_hh_tesh_in!U30/SER_summary!U$27)</f>
        <v>0</v>
      </c>
      <c r="V30" s="133">
        <f>IF(SER_hh_tesh_in!V30=0,0,SER_hh_tesh_in!V30/SER_summary!V$27)</f>
        <v>0</v>
      </c>
      <c r="W30" s="133">
        <f>IF(SER_hh_tesh_in!W30=0,0,SER_hh_tesh_in!W30/SER_summary!W$27)</f>
        <v>26.757640500928559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28.510905197249524</v>
      </c>
      <c r="D31" s="133">
        <f>IF(SER_hh_tesh_in!D31=0,0,SER_hh_tesh_in!D31/SER_summary!D$27)</f>
        <v>30.161886128919384</v>
      </c>
      <c r="E31" s="133">
        <f>IF(SER_hh_tesh_in!E31=0,0,SER_hh_tesh_in!E31/SER_summary!E$27)</f>
        <v>30.1015998466968</v>
      </c>
      <c r="F31" s="133">
        <f>IF(SER_hh_tesh_in!F31=0,0,SER_hh_tesh_in!F31/SER_summary!F$27)</f>
        <v>23.575724311739883</v>
      </c>
      <c r="G31" s="133">
        <f>IF(SER_hh_tesh_in!G31=0,0,SER_hh_tesh_in!G31/SER_summary!G$27)</f>
        <v>31.568209183445255</v>
      </c>
      <c r="H31" s="133">
        <f>IF(SER_hh_tesh_in!H31=0,0,SER_hh_tesh_in!H31/SER_summary!H$27)</f>
        <v>31.496568176733586</v>
      </c>
      <c r="I31" s="133">
        <f>IF(SER_hh_tesh_in!I31=0,0,SER_hh_tesh_in!I31/SER_summary!I$27)</f>
        <v>31.221247132359796</v>
      </c>
      <c r="J31" s="133">
        <f>IF(SER_hh_tesh_in!J31=0,0,SER_hh_tesh_in!J31/SER_summary!J$27)</f>
        <v>30.542134403095083</v>
      </c>
      <c r="K31" s="133">
        <f>IF(SER_hh_tesh_in!K31=0,0,SER_hh_tesh_in!K31/SER_summary!K$27)</f>
        <v>30.199386432960836</v>
      </c>
      <c r="L31" s="133">
        <f>IF(SER_hh_tesh_in!L31=0,0,SER_hh_tesh_in!L31/SER_summary!L$27)</f>
        <v>29.8893830780308</v>
      </c>
      <c r="M31" s="133">
        <f>IF(SER_hh_tesh_in!M31=0,0,SER_hh_tesh_in!M31/SER_summary!M$27)</f>
        <v>26.851253744384639</v>
      </c>
      <c r="N31" s="133">
        <f>IF(SER_hh_tesh_in!N31=0,0,SER_hh_tesh_in!N31/SER_summary!N$27)</f>
        <v>28.093135251916316</v>
      </c>
      <c r="O31" s="133">
        <f>IF(SER_hh_tesh_in!O31=0,0,SER_hh_tesh_in!O31/SER_summary!O$27)</f>
        <v>30.113226706665291</v>
      </c>
      <c r="P31" s="133">
        <f>IF(SER_hh_tesh_in!P31=0,0,SER_hh_tesh_in!P31/SER_summary!P$27)</f>
        <v>28.964116424814804</v>
      </c>
      <c r="Q31" s="133">
        <f>IF(SER_hh_tesh_in!Q31=0,0,SER_hh_tesh_in!Q31/SER_summary!Q$27)</f>
        <v>30.253219149227409</v>
      </c>
      <c r="R31" s="133">
        <f>IF(SER_hh_tesh_in!R31=0,0,SER_hh_tesh_in!R31/SER_summary!R$27)</f>
        <v>29.895401756058405</v>
      </c>
      <c r="S31" s="133">
        <f>IF(SER_hh_tesh_in!S31=0,0,SER_hh_tesh_in!S31/SER_summary!S$27)</f>
        <v>29.08735936850012</v>
      </c>
      <c r="T31" s="133">
        <f>IF(SER_hh_tesh_in!T31=0,0,SER_hh_tesh_in!T31/SER_summary!T$27)</f>
        <v>26.520686896228124</v>
      </c>
      <c r="U31" s="133">
        <f>IF(SER_hh_tesh_in!U31=0,0,SER_hh_tesh_in!U31/SER_summary!U$27)</f>
        <v>22.036996708873378</v>
      </c>
      <c r="V31" s="133">
        <f>IF(SER_hh_tesh_in!V31=0,0,SER_hh_tesh_in!V31/SER_summary!V$27)</f>
        <v>19.978405284005913</v>
      </c>
      <c r="W31" s="133">
        <f>IF(SER_hh_tesh_in!W31=0,0,SER_hh_tesh_in!W31/SER_summary!W$27)</f>
        <v>32.605983296803942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0</v>
      </c>
      <c r="D33" s="68">
        <f>IF(SER_hh_tesh_in!D33=0,0,SER_hh_tesh_in!D33/SER_summary!D$27)</f>
        <v>23.643258473074276</v>
      </c>
      <c r="E33" s="68">
        <f>IF(SER_hh_tesh_in!E33=0,0,SER_hh_tesh_in!E33/SER_summary!E$27)</f>
        <v>24.745478581583974</v>
      </c>
      <c r="F33" s="68">
        <f>IF(SER_hh_tesh_in!F33=0,0,SER_hh_tesh_in!F33/SER_summary!F$27)</f>
        <v>30.530815587179589</v>
      </c>
      <c r="G33" s="68">
        <f>IF(SER_hh_tesh_in!G33=0,0,SER_hh_tesh_in!G33/SER_summary!G$27)</f>
        <v>31.503583190216826</v>
      </c>
      <c r="H33" s="68">
        <f>IF(SER_hh_tesh_in!H33=0,0,SER_hh_tesh_in!H33/SER_summary!H$27)</f>
        <v>28.845138549055225</v>
      </c>
      <c r="I33" s="68">
        <f>IF(SER_hh_tesh_in!I33=0,0,SER_hh_tesh_in!I33/SER_summary!I$27)</f>
        <v>31.243850701689283</v>
      </c>
      <c r="J33" s="68">
        <f>IF(SER_hh_tesh_in!J33=0,0,SER_hh_tesh_in!J33/SER_summary!J$27)</f>
        <v>31.479863426676012</v>
      </c>
      <c r="K33" s="68">
        <f>IF(SER_hh_tesh_in!K33=0,0,SER_hh_tesh_in!K33/SER_summary!K$27)</f>
        <v>29.882642933264854</v>
      </c>
      <c r="L33" s="68">
        <f>IF(SER_hh_tesh_in!L33=0,0,SER_hh_tesh_in!L33/SER_summary!L$27)</f>
        <v>25.981988526149109</v>
      </c>
      <c r="M33" s="68">
        <f>IF(SER_hh_tesh_in!M33=0,0,SER_hh_tesh_in!M33/SER_summary!M$27)</f>
        <v>33.359261220690207</v>
      </c>
      <c r="N33" s="68">
        <f>IF(SER_hh_tesh_in!N33=0,0,SER_hh_tesh_in!N33/SER_summary!N$27)</f>
        <v>29.674448382868995</v>
      </c>
      <c r="O33" s="68">
        <f>IF(SER_hh_tesh_in!O33=0,0,SER_hh_tesh_in!O33/SER_summary!O$27)</f>
        <v>28.072327299214969</v>
      </c>
      <c r="P33" s="68">
        <f>IF(SER_hh_tesh_in!P33=0,0,SER_hh_tesh_in!P33/SER_summary!P$27)</f>
        <v>28.930816996323308</v>
      </c>
      <c r="Q33" s="68">
        <f>IF(SER_hh_tesh_in!Q33=0,0,SER_hh_tesh_in!Q33/SER_summary!Q$27)</f>
        <v>27.669630926678622</v>
      </c>
      <c r="R33" s="68">
        <f>IF(SER_hh_tesh_in!R33=0,0,SER_hh_tesh_in!R33/SER_summary!R$27)</f>
        <v>27.394290238446938</v>
      </c>
      <c r="S33" s="68">
        <f>IF(SER_hh_tesh_in!S33=0,0,SER_hh_tesh_in!S33/SER_summary!S$27)</f>
        <v>28.353111361264268</v>
      </c>
      <c r="T33" s="68">
        <f>IF(SER_hh_tesh_in!T33=0,0,SER_hh_tesh_in!T33/SER_summary!T$27)</f>
        <v>29.08813086909668</v>
      </c>
      <c r="U33" s="68">
        <f>IF(SER_hh_tesh_in!U33=0,0,SER_hh_tesh_in!U33/SER_summary!U$27)</f>
        <v>31.41008856919451</v>
      </c>
      <c r="V33" s="68">
        <f>IF(SER_hh_tesh_in!V33=0,0,SER_hh_tesh_in!V33/SER_summary!V$27)</f>
        <v>28.554337353926332</v>
      </c>
      <c r="W33" s="68">
        <f>IF(SER_hh_tesh_in!W33=0,0,SER_hh_tesh_in!W33/SER_summary!W$27)</f>
        <v>24.622515989849006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23.038321099911574</v>
      </c>
      <c r="D3" s="126">
        <f>IF(SER_hh_emih_in!D3=0,0,SER_hh_emih_in!D3/SER_summary!D$27)</f>
        <v>21.067782602725153</v>
      </c>
      <c r="E3" s="126">
        <f>IF(SER_hh_emih_in!E3=0,0,SER_hh_emih_in!E3/SER_summary!E$27)</f>
        <v>10.427927539048628</v>
      </c>
      <c r="F3" s="126">
        <f>IF(SER_hh_emih_in!F3=0,0,SER_hh_emih_in!F3/SER_summary!F$27)</f>
        <v>41.944776402097034</v>
      </c>
      <c r="G3" s="126">
        <f>IF(SER_hh_emih_in!G3=0,0,SER_hh_emih_in!G3/SER_summary!G$27)</f>
        <v>114.68597562007558</v>
      </c>
      <c r="H3" s="126">
        <f>IF(SER_hh_emih_in!H3=0,0,SER_hh_emih_in!H3/SER_summary!H$27)</f>
        <v>115.53277311830634</v>
      </c>
      <c r="I3" s="126">
        <f>IF(SER_hh_emih_in!I3=0,0,SER_hh_emih_in!I3/SER_summary!I$27)</f>
        <v>120.19368416339397</v>
      </c>
      <c r="J3" s="126">
        <f>IF(SER_hh_emih_in!J3=0,0,SER_hh_emih_in!J3/SER_summary!J$27)</f>
        <v>114.47161677273201</v>
      </c>
      <c r="K3" s="126">
        <f>IF(SER_hh_emih_in!K3=0,0,SER_hh_emih_in!K3/SER_summary!K$27)</f>
        <v>124.32850530974531</v>
      </c>
      <c r="L3" s="126">
        <f>IF(SER_hh_emih_in!L3=0,0,SER_hh_emih_in!L3/SER_summary!L$27)</f>
        <v>42.064273725857817</v>
      </c>
      <c r="M3" s="126">
        <f>IF(SER_hh_emih_in!M3=0,0,SER_hh_emih_in!M3/SER_summary!M$27)</f>
        <v>27.452037699454475</v>
      </c>
      <c r="N3" s="126">
        <f>IF(SER_hh_emih_in!N3=0,0,SER_hh_emih_in!N3/SER_summary!N$27)</f>
        <v>64.244823852765947</v>
      </c>
      <c r="O3" s="126">
        <f>IF(SER_hh_emih_in!O3=0,0,SER_hh_emih_in!O3/SER_summary!O$27)</f>
        <v>52.663381968729595</v>
      </c>
      <c r="P3" s="126">
        <f>IF(SER_hh_emih_in!P3=0,0,SER_hh_emih_in!P3/SER_summary!P$27)</f>
        <v>31.80844069490837</v>
      </c>
      <c r="Q3" s="126">
        <f>IF(SER_hh_emih_in!Q3=0,0,SER_hh_emih_in!Q3/SER_summary!Q$27)</f>
        <v>15.877059408234768</v>
      </c>
      <c r="R3" s="126">
        <f>IF(SER_hh_emih_in!R3=0,0,SER_hh_emih_in!R3/SER_summary!R$27)</f>
        <v>18.417705213508306</v>
      </c>
      <c r="S3" s="126">
        <f>IF(SER_hh_emih_in!S3=0,0,SER_hh_emih_in!S3/SER_summary!S$27)</f>
        <v>13.889093823645398</v>
      </c>
      <c r="T3" s="126">
        <f>IF(SER_hh_emih_in!T3=0,0,SER_hh_emih_in!T3/SER_summary!T$27)</f>
        <v>16.825631760824127</v>
      </c>
      <c r="U3" s="126">
        <f>IF(SER_hh_emih_in!U3=0,0,SER_hh_emih_in!U3/SER_summary!U$27)</f>
        <v>17.784510284956607</v>
      </c>
      <c r="V3" s="126">
        <f>IF(SER_hh_emih_in!V3=0,0,SER_hh_emih_in!V3/SER_summary!V$27)</f>
        <v>12.732162358771907</v>
      </c>
      <c r="W3" s="126">
        <f>IF(SER_hh_emih_in!W3=0,0,SER_hh_emih_in!W3/SER_summary!W$27)</f>
        <v>16.881738259521327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8.0456729720133797</v>
      </c>
      <c r="D4" s="131">
        <f>IF(SER_hh_emih_in!D4=0,0,SER_hh_emih_in!D4/SER_summary!D$27)</f>
        <v>6.0414574831296619</v>
      </c>
      <c r="E4" s="131">
        <f>IF(SER_hh_emih_in!E4=0,0,SER_hh_emih_in!E4/SER_summary!E$27)</f>
        <v>3.4915461190078445</v>
      </c>
      <c r="F4" s="131">
        <f>IF(SER_hh_emih_in!F4=0,0,SER_hh_emih_in!F4/SER_summary!F$27)</f>
        <v>34.079541416192924</v>
      </c>
      <c r="G4" s="131">
        <f>IF(SER_hh_emih_in!G4=0,0,SER_hh_emih_in!G4/SER_summary!G$27)</f>
        <v>109.52085640726833</v>
      </c>
      <c r="H4" s="131">
        <f>IF(SER_hh_emih_in!H4=0,0,SER_hh_emih_in!H4/SER_summary!H$27)</f>
        <v>108.07283897941447</v>
      </c>
      <c r="I4" s="131">
        <f>IF(SER_hh_emih_in!I4=0,0,SER_hh_emih_in!I4/SER_summary!I$27)</f>
        <v>112.09619484473623</v>
      </c>
      <c r="J4" s="131">
        <f>IF(SER_hh_emih_in!J4=0,0,SER_hh_emih_in!J4/SER_summary!J$27)</f>
        <v>105.84310550837891</v>
      </c>
      <c r="K4" s="131">
        <f>IF(SER_hh_emih_in!K4=0,0,SER_hh_emih_in!K4/SER_summary!K$27)</f>
        <v>114.16350802362358</v>
      </c>
      <c r="L4" s="131">
        <f>IF(SER_hh_emih_in!L4=0,0,SER_hh_emih_in!L4/SER_summary!L$27)</f>
        <v>34.036675957182254</v>
      </c>
      <c r="M4" s="131">
        <f>IF(SER_hh_emih_in!M4=0,0,SER_hh_emih_in!M4/SER_summary!M$27)</f>
        <v>20.904294675597168</v>
      </c>
      <c r="N4" s="131">
        <f>IF(SER_hh_emih_in!N4=0,0,SER_hh_emih_in!N4/SER_summary!N$27)</f>
        <v>49.875293255932014</v>
      </c>
      <c r="O4" s="131">
        <f>IF(SER_hh_emih_in!O4=0,0,SER_hh_emih_in!O4/SER_summary!O$27)</f>
        <v>37.918898636676133</v>
      </c>
      <c r="P4" s="131">
        <f>IF(SER_hh_emih_in!P4=0,0,SER_hh_emih_in!P4/SER_summary!P$27)</f>
        <v>20.981180303793991</v>
      </c>
      <c r="Q4" s="131">
        <f>IF(SER_hh_emih_in!Q4=0,0,SER_hh_emih_in!Q4/SER_summary!Q$27)</f>
        <v>8.3921903285699777</v>
      </c>
      <c r="R4" s="131">
        <f>IF(SER_hh_emih_in!R4=0,0,SER_hh_emih_in!R4/SER_summary!R$27)</f>
        <v>13.13333909109484</v>
      </c>
      <c r="S4" s="131">
        <f>IF(SER_hh_emih_in!S4=0,0,SER_hh_emih_in!S4/SER_summary!S$27)</f>
        <v>11.341941327271417</v>
      </c>
      <c r="T4" s="131">
        <f>IF(SER_hh_emih_in!T4=0,0,SER_hh_emih_in!T4/SER_summary!T$27)</f>
        <v>14.633006908186433</v>
      </c>
      <c r="U4" s="131">
        <f>IF(SER_hh_emih_in!U4=0,0,SER_hh_emih_in!U4/SER_summary!U$27)</f>
        <v>15.055741517978543</v>
      </c>
      <c r="V4" s="131">
        <f>IF(SER_hh_emih_in!V4=0,0,SER_hh_emih_in!V4/SER_summary!V$27)</f>
        <v>10.416156860296136</v>
      </c>
      <c r="W4" s="131">
        <f>IF(SER_hh_emih_in!W4=0,0,SER_hh_emih_in!W4/SER_summary!W$27)</f>
        <v>13.362502799442419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185.0857113437884</v>
      </c>
      <c r="D5" s="133">
        <f>IF(SER_hh_emih_in!D5=0,0,SER_hh_emih_in!D5/SER_summary!D$27)</f>
        <v>251.25449786926436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116.48644490604599</v>
      </c>
      <c r="I5" s="133">
        <f>IF(SER_hh_emih_in!I5=0,0,SER_hh_emih_in!I5/SER_summary!I$27)</f>
        <v>138.03290501674647</v>
      </c>
      <c r="J5" s="133">
        <f>IF(SER_hh_emih_in!J5=0,0,SER_hh_emih_in!J5/SER_summary!J$27)</f>
        <v>140.0704589185257</v>
      </c>
      <c r="K5" s="133">
        <f>IF(SER_hh_emih_in!K5=0,0,SER_hh_emih_in!K5/SER_summary!K$27)</f>
        <v>254.53437144620347</v>
      </c>
      <c r="L5" s="133">
        <f>IF(SER_hh_emih_in!L5=0,0,SER_hh_emih_in!L5/SER_summary!L$27)</f>
        <v>130.49688631336087</v>
      </c>
      <c r="M5" s="133">
        <f>IF(SER_hh_emih_in!M5=0,0,SER_hh_emih_in!M5/SER_summary!M$27)</f>
        <v>151.50939557116584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47.170130571917497</v>
      </c>
      <c r="T5" s="133">
        <f>IF(SER_hh_emih_in!T5=0,0,SER_hh_emih_in!T5/SER_summary!T$27)</f>
        <v>45.558999949890278</v>
      </c>
      <c r="U5" s="133">
        <f>IF(SER_hh_emih_in!U5=0,0,SER_hh_emih_in!U5/SER_summary!U$27)</f>
        <v>60.044525421196816</v>
      </c>
      <c r="V5" s="133">
        <f>IF(SER_hh_emih_in!V5=0,0,SER_hh_emih_in!V5/SER_summary!V$27)</f>
        <v>0</v>
      </c>
      <c r="W5" s="133">
        <f>IF(SER_hh_emih_in!W5=0,0,SER_hh_emih_in!W5/SER_summary!W$27)</f>
        <v>24.394414065587686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232.45329527155721</v>
      </c>
      <c r="D7" s="133">
        <f>IF(SER_hh_emih_in!D7=0,0,SER_hh_emih_in!D7/SER_summary!D$27)</f>
        <v>0</v>
      </c>
      <c r="E7" s="133">
        <f>IF(SER_hh_emih_in!E7=0,0,SER_hh_emih_in!E7/SER_summary!E$27)</f>
        <v>56.761628617714138</v>
      </c>
      <c r="F7" s="133">
        <f>IF(SER_hh_emih_in!F7=0,0,SER_hh_emih_in!F7/SER_summary!F$27)</f>
        <v>151.02731317630855</v>
      </c>
      <c r="G7" s="133">
        <f>IF(SER_hh_emih_in!G7=0,0,SER_hh_emih_in!G7/SER_summary!G$27)</f>
        <v>168.53215458855297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0</v>
      </c>
      <c r="N7" s="133">
        <f>IF(SER_hh_emih_in!N7=0,0,SER_hh_emih_in!N7/SER_summary!N$27)</f>
        <v>0</v>
      </c>
      <c r="O7" s="133">
        <f>IF(SER_hh_emih_in!O7=0,0,SER_hh_emih_in!O7/SER_summary!O$27)</f>
        <v>25.824078927447015</v>
      </c>
      <c r="P7" s="133">
        <f>IF(SER_hh_emih_in!P7=0,0,SER_hh_emih_in!P7/SER_summary!P$27)</f>
        <v>60.438718133292497</v>
      </c>
      <c r="Q7" s="133">
        <f>IF(SER_hh_emih_in!Q7=0,0,SER_hh_emih_in!Q7/SER_summary!Q$27)</f>
        <v>56.109085527147272</v>
      </c>
      <c r="R7" s="133">
        <f>IF(SER_hh_emih_in!R7=0,0,SER_hh_emih_in!R7/SER_summary!R$27)</f>
        <v>34.318458128329766</v>
      </c>
      <c r="S7" s="133">
        <f>IF(SER_hh_emih_in!S7=0,0,SER_hh_emih_in!S7/SER_summary!S$27)</f>
        <v>0</v>
      </c>
      <c r="T7" s="133">
        <f>IF(SER_hh_emih_in!T7=0,0,SER_hh_emih_in!T7/SER_summary!T$27)</f>
        <v>0</v>
      </c>
      <c r="U7" s="133">
        <f>IF(SER_hh_emih_in!U7=0,0,SER_hh_emih_in!U7/SER_summary!U$27)</f>
        <v>0</v>
      </c>
      <c r="V7" s="133">
        <f>IF(SER_hh_emih_in!V7=0,0,SER_hh_emih_in!V7/SER_summary!V$27)</f>
        <v>18.512014939137003</v>
      </c>
      <c r="W7" s="133">
        <f>IF(SER_hh_emih_in!W7=0,0,SER_hh_emih_in!W7/SER_summary!W$27)</f>
        <v>13.993009218576887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59.390011151974043</v>
      </c>
      <c r="D8" s="133">
        <f>IF(SER_hh_emih_in!D8=0,0,SER_hh_emih_in!D8/SER_summary!D$27)</f>
        <v>42.886760448542447</v>
      </c>
      <c r="E8" s="133">
        <f>IF(SER_hh_emih_in!E8=0,0,SER_hh_emih_in!E8/SER_summary!E$27)</f>
        <v>41.719645264882821</v>
      </c>
      <c r="F8" s="133">
        <f>IF(SER_hh_emih_in!F8=0,0,SER_hh_emih_in!F8/SER_summary!F$27)</f>
        <v>41.615653684932511</v>
      </c>
      <c r="G8" s="133">
        <f>IF(SER_hh_emih_in!G8=0,0,SER_hh_emih_in!G8/SER_summary!G$27)</f>
        <v>41.116434835829004</v>
      </c>
      <c r="H8" s="133">
        <f>IF(SER_hh_emih_in!H8=0,0,SER_hh_emih_in!H8/SER_summary!H$27)</f>
        <v>40.388401705271214</v>
      </c>
      <c r="I8" s="133">
        <f>IF(SER_hh_emih_in!I8=0,0,SER_hh_emih_in!I8/SER_summary!I$27)</f>
        <v>36.346261332369096</v>
      </c>
      <c r="J8" s="133">
        <f>IF(SER_hh_emih_in!J8=0,0,SER_hh_emih_in!J8/SER_summary!J$27)</f>
        <v>32.327185159978256</v>
      </c>
      <c r="K8" s="133">
        <f>IF(SER_hh_emih_in!K8=0,0,SER_hh_emih_in!K8/SER_summary!K$27)</f>
        <v>28.426818001723017</v>
      </c>
      <c r="L8" s="133">
        <f>IF(SER_hh_emih_in!L8=0,0,SER_hh_emih_in!L8/SER_summary!L$27)</f>
        <v>24.016513615448027</v>
      </c>
      <c r="M8" s="133">
        <f>IF(SER_hh_emih_in!M8=0,0,SER_hh_emih_in!M8/SER_summary!M$27)</f>
        <v>20.752145727408688</v>
      </c>
      <c r="N8" s="133">
        <f>IF(SER_hh_emih_in!N8=0,0,SER_hh_emih_in!N8/SER_summary!N$27)</f>
        <v>14.932619997836907</v>
      </c>
      <c r="O8" s="133">
        <f>IF(SER_hh_emih_in!O8=0,0,SER_hh_emih_in!O8/SER_summary!O$27)</f>
        <v>15.057024271100229</v>
      </c>
      <c r="P8" s="133">
        <f>IF(SER_hh_emih_in!P8=0,0,SER_hh_emih_in!P8/SER_summary!P$27)</f>
        <v>11.786283861362229</v>
      </c>
      <c r="Q8" s="133">
        <f>IF(SER_hh_emih_in!Q8=0,0,SER_hh_emih_in!Q8/SER_summary!Q$27)</f>
        <v>11.096081161655309</v>
      </c>
      <c r="R8" s="133">
        <f>IF(SER_hh_emih_in!R8=0,0,SER_hh_emih_in!R8/SER_summary!R$27)</f>
        <v>9.2714800229388317</v>
      </c>
      <c r="S8" s="133">
        <f>IF(SER_hh_emih_in!S8=0,0,SER_hh_emih_in!S8/SER_summary!S$27)</f>
        <v>8.6238585928054174</v>
      </c>
      <c r="T8" s="133">
        <f>IF(SER_hh_emih_in!T8=0,0,SER_hh_emih_in!T8/SER_summary!T$27)</f>
        <v>7.4562278771038502</v>
      </c>
      <c r="U8" s="133">
        <f>IF(SER_hh_emih_in!U8=0,0,SER_hh_emih_in!U8/SER_summary!U$27)</f>
        <v>5.7421402307540275</v>
      </c>
      <c r="V8" s="133">
        <f>IF(SER_hh_emih_in!V8=0,0,SER_hh_emih_in!V8/SER_summary!V$27)</f>
        <v>5.5436973447255209</v>
      </c>
      <c r="W8" s="133">
        <f>IF(SER_hh_emih_in!W8=0,0,SER_hh_emih_in!W8/SER_summary!W$27)</f>
        <v>4.4399993978004817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0</v>
      </c>
      <c r="D9" s="133">
        <f>IF(SER_hh_emih_in!D9=0,0,SER_hh_emih_in!D9/SER_summary!D$27)</f>
        <v>0</v>
      </c>
      <c r="E9" s="133">
        <f>IF(SER_hh_emih_in!E9=0,0,SER_hh_emih_in!E9/SER_summary!E$27)</f>
        <v>79.980972924997985</v>
      </c>
      <c r="F9" s="133">
        <f>IF(SER_hh_emih_in!F9=0,0,SER_hh_emih_in!F9/SER_summary!F$27)</f>
        <v>46.478782481245787</v>
      </c>
      <c r="G9" s="133">
        <f>IF(SER_hh_emih_in!G9=0,0,SER_hh_emih_in!G9/SER_summary!G$27)</f>
        <v>115.87692013328846</v>
      </c>
      <c r="H9" s="133">
        <f>IF(SER_hh_emih_in!H9=0,0,SER_hh_emih_in!H9/SER_summary!H$27)</f>
        <v>107.7578338872285</v>
      </c>
      <c r="I9" s="133">
        <f>IF(SER_hh_emih_in!I9=0,0,SER_hh_emih_in!I9/SER_summary!I$27)</f>
        <v>92.337189615735156</v>
      </c>
      <c r="J9" s="133">
        <f>IF(SER_hh_emih_in!J9=0,0,SER_hh_emih_in!J9/SER_summary!J$27)</f>
        <v>93.282185415564712</v>
      </c>
      <c r="K9" s="133">
        <f>IF(SER_hh_emih_in!K9=0,0,SER_hh_emih_in!K9/SER_summary!K$27)</f>
        <v>0</v>
      </c>
      <c r="L9" s="133">
        <f>IF(SER_hh_emih_in!L9=0,0,SER_hh_emih_in!L9/SER_summary!L$27)</f>
        <v>99.193596256623906</v>
      </c>
      <c r="M9" s="133">
        <f>IF(SER_hh_emih_in!M9=0,0,SER_hh_emih_in!M9/SER_summary!M$27)</f>
        <v>35.544694829725444</v>
      </c>
      <c r="N9" s="133">
        <f>IF(SER_hh_emih_in!N9=0,0,SER_hh_emih_in!N9/SER_summary!N$27)</f>
        <v>56.647209471375866</v>
      </c>
      <c r="O9" s="133">
        <f>IF(SER_hh_emih_in!O9=0,0,SER_hh_emih_in!O9/SER_summary!O$27)</f>
        <v>62.66031455775321</v>
      </c>
      <c r="P9" s="133">
        <f>IF(SER_hh_emih_in!P9=0,0,SER_hh_emih_in!P9/SER_summary!P$27)</f>
        <v>32.650094787759748</v>
      </c>
      <c r="Q9" s="133">
        <f>IF(SER_hh_emih_in!Q9=0,0,SER_hh_emih_in!Q9/SER_summary!Q$27)</f>
        <v>32.88233272630729</v>
      </c>
      <c r="R9" s="133">
        <f>IF(SER_hh_emih_in!R9=0,0,SER_hh_emih_in!R9/SER_summary!R$27)</f>
        <v>30.343633765977224</v>
      </c>
      <c r="S9" s="133">
        <f>IF(SER_hh_emih_in!S9=0,0,SER_hh_emih_in!S9/SER_summary!S$27)</f>
        <v>31.87878668174309</v>
      </c>
      <c r="T9" s="133">
        <f>IF(SER_hh_emih_in!T9=0,0,SER_hh_emih_in!T9/SER_summary!T$27)</f>
        <v>25.500460938301273</v>
      </c>
      <c r="U9" s="133">
        <f>IF(SER_hh_emih_in!U9=0,0,SER_hh_emih_in!U9/SER_summary!U$27)</f>
        <v>18.621080829787779</v>
      </c>
      <c r="V9" s="133">
        <f>IF(SER_hh_emih_in!V9=0,0,SER_hh_emih_in!V9/SER_summary!V$27)</f>
        <v>15.428349169692781</v>
      </c>
      <c r="W9" s="133">
        <f>IF(SER_hh_emih_in!W9=0,0,SER_hh_emih_in!W9/SER_summary!W$27)</f>
        <v>17.953506675804533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76.424184907665449</v>
      </c>
      <c r="K10" s="133">
        <f>IF(SER_hh_emih_in!K10=0,0,SER_hh_emih_in!K10/SER_summary!K$27)</f>
        <v>91.439101251571486</v>
      </c>
      <c r="L10" s="133">
        <f>IF(SER_hh_emih_in!L10=0,0,SER_hh_emih_in!L10/SER_summary!L$27)</f>
        <v>83.42053061669769</v>
      </c>
      <c r="M10" s="133">
        <f>IF(SER_hh_emih_in!M10=0,0,SER_hh_emih_in!M10/SER_summary!M$27)</f>
        <v>48.359992442300346</v>
      </c>
      <c r="N10" s="133">
        <f>IF(SER_hh_emih_in!N10=0,0,SER_hh_emih_in!N10/SER_summary!N$27)</f>
        <v>71.884390050896016</v>
      </c>
      <c r="O10" s="133">
        <f>IF(SER_hh_emih_in!O10=0,0,SER_hh_emih_in!O10/SER_summary!O$27)</f>
        <v>14.537162084337359</v>
      </c>
      <c r="P10" s="133">
        <f>IF(SER_hh_emih_in!P10=0,0,SER_hh_emih_in!P10/SER_summary!P$27)</f>
        <v>115.61006731214552</v>
      </c>
      <c r="Q10" s="133">
        <f>IF(SER_hh_emih_in!Q10=0,0,SER_hh_emih_in!Q10/SER_summary!Q$27)</f>
        <v>59.520921681056095</v>
      </c>
      <c r="R10" s="133">
        <f>IF(SER_hh_emih_in!R10=0,0,SER_hh_emih_in!R10/SER_summary!R$27)</f>
        <v>6.9957954109371903</v>
      </c>
      <c r="S10" s="133">
        <f>IF(SER_hh_emih_in!S10=0,0,SER_hh_emih_in!S10/SER_summary!S$27)</f>
        <v>30.312798508005088</v>
      </c>
      <c r="T10" s="133">
        <f>IF(SER_hh_emih_in!T10=0,0,SER_hh_emih_in!T10/SER_summary!T$27)</f>
        <v>0.48027598355785972</v>
      </c>
      <c r="U10" s="133">
        <f>IF(SER_hh_emih_in!U10=0,0,SER_hh_emih_in!U10/SER_summary!U$27)</f>
        <v>19.83825778740508</v>
      </c>
      <c r="V10" s="133">
        <f>IF(SER_hh_emih_in!V10=0,0,SER_hh_emih_in!V10/SER_summary!V$27)</f>
        <v>16.728823833364171</v>
      </c>
      <c r="W10" s="133">
        <f>IF(SER_hh_emih_in!W10=0,0,SER_hh_emih_in!W10/SER_summary!W$27)</f>
        <v>13.98469917681704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3.6108487080350554E-2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4.7812403297653204E-2</v>
      </c>
      <c r="G16" s="131">
        <f>IF(SER_hh_emih_in!G16=0,0,SER_hh_emih_in!G16/SER_summary!G$27)</f>
        <v>3.4161480170379087E-2</v>
      </c>
      <c r="H16" s="131">
        <f>IF(SER_hh_emih_in!H16=0,0,SER_hh_emih_in!H16/SER_summary!H$27)</f>
        <v>1.6678257434094828E-2</v>
      </c>
      <c r="I16" s="131">
        <f>IF(SER_hh_emih_in!I16=0,0,SER_hh_emih_in!I16/SER_summary!I$27)</f>
        <v>8.8158086031427923E-3</v>
      </c>
      <c r="J16" s="131">
        <f>IF(SER_hh_emih_in!J16=0,0,SER_hh_emih_in!J16/SER_summary!J$27)</f>
        <v>1.8570816936126323E-2</v>
      </c>
      <c r="K16" s="131">
        <f>IF(SER_hh_emih_in!K16=0,0,SER_hh_emih_in!K16/SER_summary!K$27)</f>
        <v>5.7777503805454284E-3</v>
      </c>
      <c r="L16" s="131">
        <f>IF(SER_hh_emih_in!L16=0,0,SER_hh_emih_in!L16/SER_summary!L$27)</f>
        <v>1.898275382776789E-2</v>
      </c>
      <c r="M16" s="131">
        <f>IF(SER_hh_emih_in!M16=0,0,SER_hh_emih_in!M16/SER_summary!M$27)</f>
        <v>3.1777698489355542E-2</v>
      </c>
      <c r="N16" s="131">
        <f>IF(SER_hh_emih_in!N16=0,0,SER_hh_emih_in!N16/SER_summary!N$27)</f>
        <v>1.9104943197730272E-2</v>
      </c>
      <c r="O16" s="131">
        <f>IF(SER_hh_emih_in!O16=0,0,SER_hh_emih_in!O16/SER_summary!O$27)</f>
        <v>5.8141775946823133E-2</v>
      </c>
      <c r="P16" s="131">
        <f>IF(SER_hh_emih_in!P16=0,0,SER_hh_emih_in!P16/SER_summary!P$27)</f>
        <v>8.8943973999801987E-2</v>
      </c>
      <c r="Q16" s="131">
        <f>IF(SER_hh_emih_in!Q16=0,0,SER_hh_emih_in!Q16/SER_summary!Q$27)</f>
        <v>6.2014561793366223E-2</v>
      </c>
      <c r="R16" s="131">
        <f>IF(SER_hh_emih_in!R16=0,0,SER_hh_emih_in!R16/SER_summary!R$27)</f>
        <v>0.13232195160347721</v>
      </c>
      <c r="S16" s="131">
        <f>IF(SER_hh_emih_in!S16=0,0,SER_hh_emih_in!S16/SER_summary!S$27)</f>
        <v>5.6105285737265705E-2</v>
      </c>
      <c r="T16" s="131">
        <f>IF(SER_hh_emih_in!T16=0,0,SER_hh_emih_in!T16/SER_summary!T$27)</f>
        <v>8.2288930242716329E-2</v>
      </c>
      <c r="U16" s="131">
        <f>IF(SER_hh_emih_in!U16=0,0,SER_hh_emih_in!U16/SER_summary!U$27)</f>
        <v>5.5881056930621981E-2</v>
      </c>
      <c r="V16" s="131">
        <f>IF(SER_hh_emih_in!V16=0,0,SER_hh_emih_in!V16/SER_summary!V$27)</f>
        <v>0.10983373268143173</v>
      </c>
      <c r="W16" s="131">
        <f>IF(SER_hh_emih_in!W16=0,0,SER_hh_emih_in!W16/SER_summary!W$27)</f>
        <v>6.3981931302326517E-2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4.7759400271724939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4.6391154819371208</v>
      </c>
      <c r="G17" s="133">
        <f>IF(SER_hh_emih_in!G17=0,0,SER_hh_emih_in!G17/SER_summary!G$27)</f>
        <v>4.7130457301438708</v>
      </c>
      <c r="H17" s="133">
        <f>IF(SER_hh_emih_in!H17=0,0,SER_hh_emih_in!H17/SER_summary!H$27)</f>
        <v>4.7749473928661894</v>
      </c>
      <c r="I17" s="133">
        <f>IF(SER_hh_emih_in!I17=0,0,SER_hh_emih_in!I17/SER_summary!I$27)</f>
        <v>4.9083942360686779</v>
      </c>
      <c r="J17" s="133">
        <f>IF(SER_hh_emih_in!J17=0,0,SER_hh_emih_in!J17/SER_summary!J$27)</f>
        <v>4.5637255460110691</v>
      </c>
      <c r="K17" s="133">
        <f>IF(SER_hh_emih_in!K17=0,0,SER_hh_emih_in!K17/SER_summary!K$27)</f>
        <v>4.4582847718730827</v>
      </c>
      <c r="L17" s="133">
        <f>IF(SER_hh_emih_in!L17=0,0,SER_hh_emih_in!L17/SER_summary!L$27)</f>
        <v>4.6182989135355017</v>
      </c>
      <c r="M17" s="133">
        <f>IF(SER_hh_emih_in!M17=0,0,SER_hh_emih_in!M17/SER_summary!M$27)</f>
        <v>4.3829477532757064</v>
      </c>
      <c r="N17" s="133">
        <f>IF(SER_hh_emih_in!N17=0,0,SER_hh_emih_in!N17/SER_summary!N$27)</f>
        <v>4.7307643521148535</v>
      </c>
      <c r="O17" s="133">
        <f>IF(SER_hh_emih_in!O17=0,0,SER_hh_emih_in!O17/SER_summary!O$27)</f>
        <v>4.5012817659730366</v>
      </c>
      <c r="P17" s="133">
        <f>IF(SER_hh_emih_in!P17=0,0,SER_hh_emih_in!P17/SER_summary!P$27)</f>
        <v>4.0116698438371206</v>
      </c>
      <c r="Q17" s="133">
        <f>IF(SER_hh_emih_in!Q17=0,0,SER_hh_emih_in!Q17/SER_summary!Q$27)</f>
        <v>4.405561739895048</v>
      </c>
      <c r="R17" s="133">
        <f>IF(SER_hh_emih_in!R17=0,0,SER_hh_emih_in!R17/SER_summary!R$27)</f>
        <v>3.717202861194437</v>
      </c>
      <c r="S17" s="133">
        <f>IF(SER_hh_emih_in!S17=0,0,SER_hh_emih_in!S17/SER_summary!S$27)</f>
        <v>3.7664427166930046</v>
      </c>
      <c r="T17" s="133">
        <f>IF(SER_hh_emih_in!T17=0,0,SER_hh_emih_in!T17/SER_summary!T$27)</f>
        <v>3.5100310546915807</v>
      </c>
      <c r="U17" s="133">
        <f>IF(SER_hh_emih_in!U17=0,0,SER_hh_emih_in!U17/SER_summary!U$27)</f>
        <v>3.3914794875810994</v>
      </c>
      <c r="V17" s="133">
        <f>IF(SER_hh_emih_in!V17=0,0,SER_hh_emih_in!V17/SER_summary!V$27)</f>
        <v>3.1236425247191</v>
      </c>
      <c r="W17" s="133">
        <f>IF(SER_hh_emih_in!W17=0,0,SER_hh_emih_in!W17/SER_summary!W$27)</f>
        <v>2.6475357482385125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6.878401243694185</v>
      </c>
      <c r="D19" s="131">
        <f>IF(SER_hh_emih_in!D19=0,0,SER_hh_emih_in!D19/SER_summary!D$27)</f>
        <v>4.1486645403791931</v>
      </c>
      <c r="E19" s="131">
        <f>IF(SER_hh_emih_in!E19=0,0,SER_hh_emih_in!E19/SER_summary!E$27)</f>
        <v>2.6094914936877784</v>
      </c>
      <c r="F19" s="131">
        <f>IF(SER_hh_emih_in!F19=0,0,SER_hh_emih_in!F19/SER_summary!F$27)</f>
        <v>2.1290435077785794</v>
      </c>
      <c r="G19" s="131">
        <f>IF(SER_hh_emih_in!G19=0,0,SER_hh_emih_in!G19/SER_summary!G$27)</f>
        <v>1.7576051494891545</v>
      </c>
      <c r="H19" s="131">
        <f>IF(SER_hh_emih_in!H19=0,0,SER_hh_emih_in!H19/SER_summary!H$27)</f>
        <v>3.3582808945064424</v>
      </c>
      <c r="I19" s="131">
        <f>IF(SER_hh_emih_in!I19=0,0,SER_hh_emih_in!I19/SER_summary!I$27)</f>
        <v>4.5371368201398177</v>
      </c>
      <c r="J19" s="131">
        <f>IF(SER_hh_emih_in!J19=0,0,SER_hh_emih_in!J19/SER_summary!J$27)</f>
        <v>4.9569872871116587</v>
      </c>
      <c r="K19" s="131">
        <f>IF(SER_hh_emih_in!K19=0,0,SER_hh_emih_in!K19/SER_summary!K$27)</f>
        <v>5.048189711987499</v>
      </c>
      <c r="L19" s="131">
        <f>IF(SER_hh_emih_in!L19=0,0,SER_hh_emih_in!L19/SER_summary!L$27)</f>
        <v>3.5833841011475824</v>
      </c>
      <c r="M19" s="131">
        <f>IF(SER_hh_emih_in!M19=0,0,SER_hh_emih_in!M19/SER_summary!M$27)</f>
        <v>4.3162749578274706</v>
      </c>
      <c r="N19" s="131">
        <f>IF(SER_hh_emih_in!N19=0,0,SER_hh_emih_in!N19/SER_summary!N$27)</f>
        <v>6.2100611462002817</v>
      </c>
      <c r="O19" s="131">
        <f>IF(SER_hh_emih_in!O19=0,0,SER_hh_emih_in!O19/SER_summary!O$27)</f>
        <v>5.9247238441593542</v>
      </c>
      <c r="P19" s="131">
        <f>IF(SER_hh_emih_in!P19=0,0,SER_hh_emih_in!P19/SER_summary!P$27)</f>
        <v>3.6313097127226937</v>
      </c>
      <c r="Q19" s="131">
        <f>IF(SER_hh_emih_in!Q19=0,0,SER_hh_emih_in!Q19/SER_summary!Q$27)</f>
        <v>2.5674478839612385</v>
      </c>
      <c r="R19" s="131">
        <f>IF(SER_hh_emih_in!R19=0,0,SER_hh_emih_in!R19/SER_summary!R$27)</f>
        <v>1.9327073885011832</v>
      </c>
      <c r="S19" s="131">
        <f>IF(SER_hh_emih_in!S19=0,0,SER_hh_emih_in!S19/SER_summary!S$27)</f>
        <v>1.0252452415580744</v>
      </c>
      <c r="T19" s="131">
        <f>IF(SER_hh_emih_in!T19=0,0,SER_hh_emih_in!T19/SER_summary!T$27)</f>
        <v>8.640113279445446E-4</v>
      </c>
      <c r="U19" s="131">
        <f>IF(SER_hh_emih_in!U19=0,0,SER_hh_emih_in!U19/SER_summary!U$27)</f>
        <v>0.18706219042245964</v>
      </c>
      <c r="V19" s="131">
        <f>IF(SER_hh_emih_in!V19=0,0,SER_hh_emih_in!V19/SER_summary!V$27)</f>
        <v>0</v>
      </c>
      <c r="W19" s="131">
        <f>IF(SER_hh_emih_in!W19=0,0,SER_hh_emih_in!W19/SER_summary!W$27)</f>
        <v>0.64236316004287564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12.521432181101884</v>
      </c>
      <c r="I20" s="133">
        <f>IF(SER_hh_emih_in!I20=0,0,SER_hh_emih_in!I20/SER_summary!I$27)</f>
        <v>16.898070947177899</v>
      </c>
      <c r="J20" s="133">
        <f>IF(SER_hh_emih_in!J20=0,0,SER_hh_emih_in!J20/SER_summary!J$27)</f>
        <v>16.205764787632905</v>
      </c>
      <c r="K20" s="133">
        <f>IF(SER_hh_emih_in!K20=0,0,SER_hh_emih_in!K20/SER_summary!K$27)</f>
        <v>16.465762392002837</v>
      </c>
      <c r="L20" s="133">
        <f>IF(SER_hh_emih_in!L20=0,0,SER_hh_emih_in!L20/SER_summary!L$27)</f>
        <v>14.952884762156961</v>
      </c>
      <c r="M20" s="133">
        <f>IF(SER_hh_emih_in!M20=0,0,SER_hh_emih_in!M20/SER_summary!M$27)</f>
        <v>15.261358088792834</v>
      </c>
      <c r="N20" s="133">
        <f>IF(SER_hh_emih_in!N20=0,0,SER_hh_emih_in!N20/SER_summary!N$27)</f>
        <v>14.871887102630344</v>
      </c>
      <c r="O20" s="133">
        <f>IF(SER_hh_emih_in!O20=0,0,SER_hh_emih_in!O20/SER_summary!O$27)</f>
        <v>14.543732693093007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13.224691041160041</v>
      </c>
      <c r="U20" s="133">
        <f>IF(SER_hh_emih_in!U20=0,0,SER_hh_emih_in!U20/SER_summary!U$27)</f>
        <v>19.030821557735369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0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0</v>
      </c>
      <c r="L22" s="133">
        <f>IF(SER_hh_emih_in!L22=0,0,SER_hh_emih_in!L22/SER_summary!L$27)</f>
        <v>0</v>
      </c>
      <c r="M22" s="133">
        <f>IF(SER_hh_emih_in!M22=0,0,SER_hh_emih_in!M22/SER_summary!M$27)</f>
        <v>0</v>
      </c>
      <c r="N22" s="133">
        <f>IF(SER_hh_emih_in!N22=0,0,SER_hh_emih_in!N22/SER_summary!N$27)</f>
        <v>0</v>
      </c>
      <c r="O22" s="133">
        <f>IF(SER_hh_emih_in!O22=0,0,SER_hh_emih_in!O22/SER_summary!O$27)</f>
        <v>0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10.958979663117479</v>
      </c>
      <c r="D23" s="133">
        <f>IF(SER_hh_emih_in!D23=0,0,SER_hh_emih_in!D23/SER_summary!D$27)</f>
        <v>10.880684067710771</v>
      </c>
      <c r="E23" s="133">
        <f>IF(SER_hh_emih_in!E23=0,0,SER_hh_emih_in!E23/SER_summary!E$27)</f>
        <v>9.7042605446435939</v>
      </c>
      <c r="F23" s="133">
        <f>IF(SER_hh_emih_in!F23=0,0,SER_hh_emih_in!F23/SER_summary!F$27)</f>
        <v>9.911034432143742</v>
      </c>
      <c r="G23" s="133">
        <f>IF(SER_hh_emih_in!G23=0,0,SER_hh_emih_in!G23/SER_summary!G$27)</f>
        <v>9.5509982184681164</v>
      </c>
      <c r="H23" s="133">
        <f>IF(SER_hh_emih_in!H23=0,0,SER_hh_emih_in!H23/SER_summary!H$27)</f>
        <v>9.3829884306160984</v>
      </c>
      <c r="I23" s="133">
        <f>IF(SER_hh_emih_in!I23=0,0,SER_hh_emih_in!I23/SER_summary!I$27)</f>
        <v>9.8996833580564196</v>
      </c>
      <c r="J23" s="133">
        <f>IF(SER_hh_emih_in!J23=0,0,SER_hh_emih_in!J23/SER_summary!J$27)</f>
        <v>9.53919285164244</v>
      </c>
      <c r="K23" s="133">
        <f>IF(SER_hh_emih_in!K23=0,0,SER_hh_emih_in!K23/SER_summary!K$27)</f>
        <v>8.9561166725907224</v>
      </c>
      <c r="L23" s="133">
        <f>IF(SER_hh_emih_in!L23=0,0,SER_hh_emih_in!L23/SER_summary!L$27)</f>
        <v>8.9284745129344678</v>
      </c>
      <c r="M23" s="133">
        <f>IF(SER_hh_emih_in!M23=0,0,SER_hh_emih_in!M23/SER_summary!M$27)</f>
        <v>8.0405523534070582</v>
      </c>
      <c r="N23" s="133">
        <f>IF(SER_hh_emih_in!N23=0,0,SER_hh_emih_in!N23/SER_summary!N$27)</f>
        <v>8.9240377531114845</v>
      </c>
      <c r="O23" s="133">
        <f>IF(SER_hh_emih_in!O23=0,0,SER_hh_emih_in!O23/SER_summary!O$27)</f>
        <v>8.856323635837521</v>
      </c>
      <c r="P23" s="133">
        <f>IF(SER_hh_emih_in!P23=0,0,SER_hh_emih_in!P23/SER_summary!P$27)</f>
        <v>7.2046367773034836</v>
      </c>
      <c r="Q23" s="133">
        <f>IF(SER_hh_emih_in!Q23=0,0,SER_hh_emih_in!Q23/SER_summary!Q$27)</f>
        <v>8.2085675077933402</v>
      </c>
      <c r="R23" s="133">
        <f>IF(SER_hh_emih_in!R23=0,0,SER_hh_emih_in!R23/SER_summary!R$27)</f>
        <v>8.1567215914564297</v>
      </c>
      <c r="S23" s="133">
        <f>IF(SER_hh_emih_in!S23=0,0,SER_hh_emih_in!S23/SER_summary!S$27)</f>
        <v>7.6269368969240787</v>
      </c>
      <c r="T23" s="133">
        <f>IF(SER_hh_emih_in!T23=0,0,SER_hh_emih_in!T23/SER_summary!T$27)</f>
        <v>0</v>
      </c>
      <c r="U23" s="133">
        <f>IF(SER_hh_emih_in!U23=0,0,SER_hh_emih_in!U23/SER_summary!U$27)</f>
        <v>0</v>
      </c>
      <c r="V23" s="133">
        <f>IF(SER_hh_emih_in!V23=0,0,SER_hh_emih_in!V23/SER_summary!V$27)</f>
        <v>0</v>
      </c>
      <c r="W23" s="133">
        <f>IF(SER_hh_emih_in!W23=0,0,SER_hh_emih_in!W23/SER_summary!W$27)</f>
        <v>7.7097456595311735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8.078138397123654</v>
      </c>
      <c r="D29" s="131">
        <f>IF(SER_hh_emih_in!D29=0,0,SER_hh_emih_in!D29/SER_summary!D$27)</f>
        <v>10.877660579216297</v>
      </c>
      <c r="E29" s="131">
        <f>IF(SER_hh_emih_in!E29=0,0,SER_hh_emih_in!E29/SER_summary!E$27)</f>
        <v>4.3268899263530054</v>
      </c>
      <c r="F29" s="131">
        <f>IF(SER_hh_emih_in!F29=0,0,SER_hh_emih_in!F29/SER_summary!F$27)</f>
        <v>5.693550883737613</v>
      </c>
      <c r="G29" s="131">
        <f>IF(SER_hh_emih_in!G29=0,0,SER_hh_emih_in!G29/SER_summary!G$27)</f>
        <v>3.3849209767088952</v>
      </c>
      <c r="H29" s="131">
        <f>IF(SER_hh_emih_in!H29=0,0,SER_hh_emih_in!H29/SER_summary!H$27)</f>
        <v>4.0917933552475914</v>
      </c>
      <c r="I29" s="131">
        <f>IF(SER_hh_emih_in!I29=0,0,SER_hh_emih_in!I29/SER_summary!I$27)</f>
        <v>3.554964903399934</v>
      </c>
      <c r="J29" s="131">
        <f>IF(SER_hh_emih_in!J29=0,0,SER_hh_emih_in!J29/SER_summary!J$27)</f>
        <v>3.6542117153044047</v>
      </c>
      <c r="K29" s="131">
        <f>IF(SER_hh_emih_in!K29=0,0,SER_hh_emih_in!K29/SER_summary!K$27)</f>
        <v>5.1110298237536878</v>
      </c>
      <c r="L29" s="131">
        <f>IF(SER_hh_emih_in!L29=0,0,SER_hh_emih_in!L29/SER_summary!L$27)</f>
        <v>4.4259577608610075</v>
      </c>
      <c r="M29" s="131">
        <f>IF(SER_hh_emih_in!M29=0,0,SER_hh_emih_in!M29/SER_summary!M$27)</f>
        <v>2.1996903675404811</v>
      </c>
      <c r="N29" s="131">
        <f>IF(SER_hh_emih_in!N29=0,0,SER_hh_emih_in!N29/SER_summary!N$27)</f>
        <v>8.1403645074359279</v>
      </c>
      <c r="O29" s="131">
        <f>IF(SER_hh_emih_in!O29=0,0,SER_hh_emih_in!O29/SER_summary!O$27)</f>
        <v>8.7616177119472773</v>
      </c>
      <c r="P29" s="131">
        <f>IF(SER_hh_emih_in!P29=0,0,SER_hh_emih_in!P29/SER_summary!P$27)</f>
        <v>7.1070067043918836</v>
      </c>
      <c r="Q29" s="131">
        <f>IF(SER_hh_emih_in!Q29=0,0,SER_hh_emih_in!Q29/SER_summary!Q$27)</f>
        <v>4.8554066339101825</v>
      </c>
      <c r="R29" s="131">
        <f>IF(SER_hh_emih_in!R29=0,0,SER_hh_emih_in!R29/SER_summary!R$27)</f>
        <v>3.2193367823088108</v>
      </c>
      <c r="S29" s="131">
        <f>IF(SER_hh_emih_in!S29=0,0,SER_hh_emih_in!S29/SER_summary!S$27)</f>
        <v>1.4658019690786384</v>
      </c>
      <c r="T29" s="131">
        <f>IF(SER_hh_emih_in!T29=0,0,SER_hh_emih_in!T29/SER_summary!T$27)</f>
        <v>2.1094719110670339</v>
      </c>
      <c r="U29" s="131">
        <f>IF(SER_hh_emih_in!U29=0,0,SER_hh_emih_in!U29/SER_summary!U$27)</f>
        <v>2.4858255196249823</v>
      </c>
      <c r="V29" s="131">
        <f>IF(SER_hh_emih_in!V29=0,0,SER_hh_emih_in!V29/SER_summary!V$27)</f>
        <v>2.2061717657943398</v>
      </c>
      <c r="W29" s="131">
        <f>IF(SER_hh_emih_in!W29=0,0,SER_hh_emih_in!W29/SER_summary!W$27)</f>
        <v>2.8128903687337101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7.756128610109756</v>
      </c>
      <c r="D30" s="133">
        <f>IF(SER_hh_emih_in!D30=0,0,SER_hh_emih_in!D30/SER_summary!D$27)</f>
        <v>12.446180982322591</v>
      </c>
      <c r="E30" s="133">
        <f>IF(SER_hh_emih_in!E30=0,0,SER_hh_emih_in!E30/SER_summary!E$27)</f>
        <v>12.824732977427379</v>
      </c>
      <c r="F30" s="133">
        <f>IF(SER_hh_emih_in!F30=0,0,SER_hh_emih_in!F30/SER_summary!F$27)</f>
        <v>13.874781402166075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11.873501826939517</v>
      </c>
      <c r="L30" s="133">
        <f>IF(SER_hh_emih_in!L30=0,0,SER_hh_emih_in!L30/SER_summary!L$27)</f>
        <v>20.662208248998486</v>
      </c>
      <c r="M30" s="133">
        <f>IF(SER_hh_emih_in!M30=0,0,SER_hh_emih_in!M30/SER_summary!M$27)</f>
        <v>0</v>
      </c>
      <c r="N30" s="133">
        <f>IF(SER_hh_emih_in!N30=0,0,SER_hh_emih_in!N30/SER_summary!N$27)</f>
        <v>12.138334587384108</v>
      </c>
      <c r="O30" s="133">
        <f>IF(SER_hh_emih_in!O30=0,0,SER_hh_emih_in!O30/SER_summary!O$27)</f>
        <v>11.713438594400754</v>
      </c>
      <c r="P30" s="133">
        <f>IF(SER_hh_emih_in!P30=0,0,SER_hh_emih_in!P30/SER_summary!P$27)</f>
        <v>10.737701796831006</v>
      </c>
      <c r="Q30" s="133">
        <f>IF(SER_hh_emih_in!Q30=0,0,SER_hh_emih_in!Q30/SER_summary!Q$27)</f>
        <v>0</v>
      </c>
      <c r="R30" s="133">
        <f>IF(SER_hh_emih_in!R30=0,0,SER_hh_emih_in!R30/SER_summary!R$27)</f>
        <v>0</v>
      </c>
      <c r="S30" s="133">
        <f>IF(SER_hh_emih_in!S30=0,0,SER_hh_emih_in!S30/SER_summary!S$27)</f>
        <v>0</v>
      </c>
      <c r="T30" s="133">
        <f>IF(SER_hh_emih_in!T30=0,0,SER_hh_emih_in!T30/SER_summary!T$27)</f>
        <v>0</v>
      </c>
      <c r="U30" s="133">
        <f>IF(SER_hh_emih_in!U30=0,0,SER_hh_emih_in!U30/SER_summary!U$27)</f>
        <v>0</v>
      </c>
      <c r="V30" s="133">
        <f>IF(SER_hh_emih_in!V30=0,0,SER_hh_emih_in!V30/SER_summary!V$27)</f>
        <v>0</v>
      </c>
      <c r="W30" s="133">
        <f>IF(SER_hh_emih_in!W30=0,0,SER_hh_emih_in!W30/SER_summary!W$27)</f>
        <v>9.4604552407352642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8.9572721098041406</v>
      </c>
      <c r="D31" s="133">
        <f>IF(SER_hh_emih_in!D31=0,0,SER_hh_emih_in!D31/SER_summary!D$27)</f>
        <v>9.4877848922079142</v>
      </c>
      <c r="E31" s="133">
        <f>IF(SER_hh_emih_in!E31=0,0,SER_hh_emih_in!E31/SER_summary!E$27)</f>
        <v>9.4836810208523907</v>
      </c>
      <c r="F31" s="133">
        <f>IF(SER_hh_emih_in!F31=0,0,SER_hh_emih_in!F31/SER_summary!F$27)</f>
        <v>7.344484124067149</v>
      </c>
      <c r="G31" s="133">
        <f>IF(SER_hh_emih_in!G31=0,0,SER_hh_emih_in!G31/SER_summary!G$27)</f>
        <v>9.9686867577125966</v>
      </c>
      <c r="H31" s="133">
        <f>IF(SER_hh_emih_in!H31=0,0,SER_hh_emih_in!H31/SER_summary!H$27)</f>
        <v>9.9052410995214633</v>
      </c>
      <c r="I31" s="133">
        <f>IF(SER_hh_emih_in!I31=0,0,SER_hh_emih_in!I31/SER_summary!I$27)</f>
        <v>9.8387566903282302</v>
      </c>
      <c r="J31" s="133">
        <f>IF(SER_hh_emih_in!J31=0,0,SER_hh_emih_in!J31/SER_summary!J$27)</f>
        <v>9.6126271727419645</v>
      </c>
      <c r="K31" s="133">
        <f>IF(SER_hh_emih_in!K31=0,0,SER_hh_emih_in!K31/SER_summary!K$27)</f>
        <v>9.3980580062064512</v>
      </c>
      <c r="L31" s="133">
        <f>IF(SER_hh_emih_in!L31=0,0,SER_hh_emih_in!L31/SER_summary!L$27)</f>
        <v>9.3798339359676266</v>
      </c>
      <c r="M31" s="133">
        <f>IF(SER_hh_emih_in!M31=0,0,SER_hh_emih_in!M31/SER_summary!M$27)</f>
        <v>8.2661078115236606</v>
      </c>
      <c r="N31" s="133">
        <f>IF(SER_hh_emih_in!N31=0,0,SER_hh_emih_in!N31/SER_summary!N$27)</f>
        <v>8.6993086579195982</v>
      </c>
      <c r="O31" s="133">
        <f>IF(SER_hh_emih_in!O31=0,0,SER_hh_emih_in!O31/SER_summary!O$27)</f>
        <v>9.4573769666656169</v>
      </c>
      <c r="P31" s="133">
        <f>IF(SER_hh_emih_in!P31=0,0,SER_hh_emih_in!P31/SER_summary!P$27)</f>
        <v>9.0688796518708177</v>
      </c>
      <c r="Q31" s="133">
        <f>IF(SER_hh_emih_in!Q31=0,0,SER_hh_emih_in!Q31/SER_summary!Q$27)</f>
        <v>9.2854769297487749</v>
      </c>
      <c r="R31" s="133">
        <f>IF(SER_hh_emih_in!R31=0,0,SER_hh_emih_in!R31/SER_summary!R$27)</f>
        <v>9.2483352049993126</v>
      </c>
      <c r="S31" s="133">
        <f>IF(SER_hh_emih_in!S31=0,0,SER_hh_emih_in!S31/SER_summary!S$27)</f>
        <v>9.0085726734100042</v>
      </c>
      <c r="T31" s="133">
        <f>IF(SER_hh_emih_in!T31=0,0,SER_hh_emih_in!T31/SER_summary!T$27)</f>
        <v>8.1826263303229325</v>
      </c>
      <c r="U31" s="133">
        <f>IF(SER_hh_emih_in!U31=0,0,SER_hh_emih_in!U31/SER_summary!U$27)</f>
        <v>6.7841238456004742</v>
      </c>
      <c r="V31" s="133">
        <f>IF(SER_hh_emih_in!V31=0,0,SER_hh_emih_in!V31/SER_summary!V$27)</f>
        <v>6.1321721232862636</v>
      </c>
      <c r="W31" s="133">
        <f>IF(SER_hh_emih_in!W31=0,0,SER_hh_emih_in!W31/SER_summary!W$27)</f>
        <v>10.056973222555479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157.87636351792736</v>
      </c>
      <c r="C3" s="180">
        <f t="shared" ref="C3:W3" si="1">SUM(C4:C9)</f>
        <v>166.8698815386407</v>
      </c>
      <c r="D3" s="180">
        <f t="shared" si="1"/>
        <v>174.36168866987379</v>
      </c>
      <c r="E3" s="180">
        <f t="shared" si="1"/>
        <v>179.22448315741542</v>
      </c>
      <c r="F3" s="180">
        <f t="shared" si="1"/>
        <v>188.37340425889653</v>
      </c>
      <c r="G3" s="180">
        <f t="shared" si="1"/>
        <v>193.98250804115435</v>
      </c>
      <c r="H3" s="180">
        <f t="shared" si="1"/>
        <v>201.62361393555381</v>
      </c>
      <c r="I3" s="180">
        <f t="shared" si="1"/>
        <v>214.36321431016023</v>
      </c>
      <c r="J3" s="180">
        <f t="shared" si="1"/>
        <v>221.54113787466295</v>
      </c>
      <c r="K3" s="180">
        <f t="shared" si="1"/>
        <v>225.21586792316492</v>
      </c>
      <c r="L3" s="180">
        <f t="shared" si="1"/>
        <v>231.88276669693309</v>
      </c>
      <c r="M3" s="180">
        <f t="shared" si="1"/>
        <v>235.11503272893319</v>
      </c>
      <c r="N3" s="180">
        <f t="shared" si="1"/>
        <v>233.91327098991667</v>
      </c>
      <c r="O3" s="180">
        <f t="shared" si="1"/>
        <v>241.07505629917011</v>
      </c>
      <c r="P3" s="180">
        <f t="shared" si="1"/>
        <v>241.76580719142456</v>
      </c>
      <c r="Q3" s="180">
        <f t="shared" si="1"/>
        <v>252.78106006114575</v>
      </c>
      <c r="R3" s="180">
        <f t="shared" si="1"/>
        <v>253.41583548084179</v>
      </c>
      <c r="S3" s="180">
        <f t="shared" si="1"/>
        <v>262.83675585136524</v>
      </c>
      <c r="T3" s="180">
        <f t="shared" si="1"/>
        <v>261.35143633487269</v>
      </c>
      <c r="U3" s="180">
        <f t="shared" si="1"/>
        <v>258.66916922751784</v>
      </c>
      <c r="V3" s="180">
        <f t="shared" si="1"/>
        <v>257.18526737617714</v>
      </c>
      <c r="W3" s="180">
        <f t="shared" si="1"/>
        <v>266.80164955762285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6.8072735076927158</v>
      </c>
      <c r="C4" s="181">
        <f t="shared" ref="C4:R9" si="3">C12*C44/11630</f>
        <v>6.9228026744711277</v>
      </c>
      <c r="D4" s="181">
        <f t="shared" si="3"/>
        <v>7.0961509924877113</v>
      </c>
      <c r="E4" s="181">
        <f t="shared" si="3"/>
        <v>7.2684212754499375</v>
      </c>
      <c r="F4" s="181">
        <f t="shared" si="3"/>
        <v>7.4419566234597818</v>
      </c>
      <c r="G4" s="181">
        <f t="shared" si="3"/>
        <v>7.6806193042082702</v>
      </c>
      <c r="H4" s="181">
        <f t="shared" si="3"/>
        <v>8.0352265402299121</v>
      </c>
      <c r="I4" s="181">
        <f t="shared" si="3"/>
        <v>8.4654933922755546</v>
      </c>
      <c r="J4" s="181">
        <f t="shared" si="3"/>
        <v>8.741770231282052</v>
      </c>
      <c r="K4" s="181">
        <f t="shared" si="3"/>
        <v>8.7409322511083509</v>
      </c>
      <c r="L4" s="181">
        <f t="shared" si="3"/>
        <v>8.9680442737611958</v>
      </c>
      <c r="M4" s="181">
        <f t="shared" si="3"/>
        <v>9.1022966300516508</v>
      </c>
      <c r="N4" s="181">
        <f t="shared" si="3"/>
        <v>9.2351712952184233</v>
      </c>
      <c r="O4" s="181">
        <f t="shared" si="3"/>
        <v>9.3905860840781656</v>
      </c>
      <c r="P4" s="181">
        <f t="shared" si="3"/>
        <v>9.5387386090667956</v>
      </c>
      <c r="Q4" s="181">
        <f t="shared" si="3"/>
        <v>9.6877155355127975</v>
      </c>
      <c r="R4" s="181">
        <f t="shared" si="3"/>
        <v>9.8229910793044031</v>
      </c>
      <c r="S4" s="181">
        <f t="shared" ref="D4:W9" si="4">S12*S44/11630</f>
        <v>9.9598900894667679</v>
      </c>
      <c r="T4" s="181">
        <f t="shared" si="4"/>
        <v>10.109254824791012</v>
      </c>
      <c r="U4" s="181">
        <f t="shared" si="4"/>
        <v>10.316497145447302</v>
      </c>
      <c r="V4" s="181">
        <f t="shared" si="4"/>
        <v>10.50687357920029</v>
      </c>
      <c r="W4" s="181">
        <f t="shared" si="4"/>
        <v>10.69505276246805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29.008441754238088</v>
      </c>
      <c r="C5" s="181">
        <f t="shared" si="3"/>
        <v>29.780891553005105</v>
      </c>
      <c r="D5" s="181">
        <f t="shared" si="4"/>
        <v>30.594399602373866</v>
      </c>
      <c r="E5" s="181">
        <f t="shared" si="4"/>
        <v>31.703316731571974</v>
      </c>
      <c r="F5" s="181">
        <f t="shared" si="4"/>
        <v>32.473073901543586</v>
      </c>
      <c r="G5" s="181">
        <f t="shared" si="4"/>
        <v>33.194757550727019</v>
      </c>
      <c r="H5" s="181">
        <f t="shared" si="4"/>
        <v>33.883433771084896</v>
      </c>
      <c r="I5" s="181">
        <f t="shared" si="4"/>
        <v>34.311259481625008</v>
      </c>
      <c r="J5" s="181">
        <f t="shared" si="4"/>
        <v>34.869254847483077</v>
      </c>
      <c r="K5" s="181">
        <f t="shared" si="4"/>
        <v>35.654838878430382</v>
      </c>
      <c r="L5" s="181">
        <f t="shared" si="4"/>
        <v>36.28556596066452</v>
      </c>
      <c r="M5" s="181">
        <f t="shared" si="4"/>
        <v>36.658476128048761</v>
      </c>
      <c r="N5" s="181">
        <f t="shared" si="4"/>
        <v>37.26886111963389</v>
      </c>
      <c r="O5" s="181">
        <f t="shared" si="4"/>
        <v>37.722358827470948</v>
      </c>
      <c r="P5" s="181">
        <f t="shared" si="4"/>
        <v>38.136529911843134</v>
      </c>
      <c r="Q5" s="181">
        <f t="shared" si="4"/>
        <v>38.524369263675617</v>
      </c>
      <c r="R5" s="181">
        <f t="shared" si="4"/>
        <v>38.641658245418533</v>
      </c>
      <c r="S5" s="181">
        <f t="shared" si="4"/>
        <v>39.587707988162613</v>
      </c>
      <c r="T5" s="181">
        <f t="shared" si="4"/>
        <v>39.32402007130797</v>
      </c>
      <c r="U5" s="181">
        <f t="shared" si="4"/>
        <v>38.617206089926611</v>
      </c>
      <c r="V5" s="181">
        <f t="shared" si="4"/>
        <v>37.81263011571113</v>
      </c>
      <c r="W5" s="181">
        <f t="shared" si="4"/>
        <v>37.353192223199002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44.906282443742739</v>
      </c>
      <c r="C6" s="181">
        <f t="shared" si="3"/>
        <v>46.044769485537671</v>
      </c>
      <c r="D6" s="181">
        <f t="shared" si="4"/>
        <v>47.361986977848872</v>
      </c>
      <c r="E6" s="181">
        <f t="shared" si="4"/>
        <v>48.817557991952526</v>
      </c>
      <c r="F6" s="181">
        <f t="shared" si="4"/>
        <v>50.196268407852649</v>
      </c>
      <c r="G6" s="181">
        <f t="shared" si="4"/>
        <v>51.832199957379466</v>
      </c>
      <c r="H6" s="181">
        <f t="shared" si="4"/>
        <v>53.95458950841941</v>
      </c>
      <c r="I6" s="181">
        <f t="shared" si="4"/>
        <v>56.908498625905288</v>
      </c>
      <c r="J6" s="181">
        <f t="shared" si="4"/>
        <v>59.167464033032573</v>
      </c>
      <c r="K6" s="181">
        <f t="shared" si="4"/>
        <v>59.385177233787104</v>
      </c>
      <c r="L6" s="181">
        <f t="shared" si="4"/>
        <v>61.351821179057573</v>
      </c>
      <c r="M6" s="181">
        <f t="shared" si="4"/>
        <v>62.177635020447397</v>
      </c>
      <c r="N6" s="181">
        <f t="shared" si="4"/>
        <v>62.771364233947835</v>
      </c>
      <c r="O6" s="181">
        <f t="shared" si="4"/>
        <v>62.744920405729339</v>
      </c>
      <c r="P6" s="181">
        <f t="shared" si="4"/>
        <v>63.5356885626409</v>
      </c>
      <c r="Q6" s="181">
        <f t="shared" si="4"/>
        <v>64.498525383147538</v>
      </c>
      <c r="R6" s="181">
        <f t="shared" si="4"/>
        <v>62.361953702174226</v>
      </c>
      <c r="S6" s="181">
        <f t="shared" si="4"/>
        <v>62.499827024366553</v>
      </c>
      <c r="T6" s="181">
        <f t="shared" si="4"/>
        <v>59.564336928701081</v>
      </c>
      <c r="U6" s="181">
        <f t="shared" si="4"/>
        <v>55.902739698322968</v>
      </c>
      <c r="V6" s="181">
        <f t="shared" si="4"/>
        <v>52.602529314399156</v>
      </c>
      <c r="W6" s="181">
        <f t="shared" si="4"/>
        <v>52.811500708189726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45.174934020965196</v>
      </c>
      <c r="C7" s="181">
        <f t="shared" si="3"/>
        <v>46.322149860443915</v>
      </c>
      <c r="D7" s="181">
        <f t="shared" si="4"/>
        <v>47.429313261515105</v>
      </c>
      <c r="E7" s="181">
        <f t="shared" si="4"/>
        <v>48.137282933684446</v>
      </c>
      <c r="F7" s="181">
        <f t="shared" si="4"/>
        <v>48.675081994603126</v>
      </c>
      <c r="G7" s="181">
        <f t="shared" si="4"/>
        <v>49.170235502789247</v>
      </c>
      <c r="H7" s="181">
        <f t="shared" si="4"/>
        <v>49.673031232799069</v>
      </c>
      <c r="I7" s="181">
        <f t="shared" si="4"/>
        <v>50.150378339757125</v>
      </c>
      <c r="J7" s="181">
        <f t="shared" si="4"/>
        <v>50.355642436458481</v>
      </c>
      <c r="K7" s="181">
        <f t="shared" si="4"/>
        <v>50.400562318240979</v>
      </c>
      <c r="L7" s="181">
        <f t="shared" si="4"/>
        <v>50.469223740695774</v>
      </c>
      <c r="M7" s="181">
        <f t="shared" si="4"/>
        <v>50.534750667415643</v>
      </c>
      <c r="N7" s="181">
        <f t="shared" si="4"/>
        <v>50.830886466048149</v>
      </c>
      <c r="O7" s="181">
        <f t="shared" si="4"/>
        <v>51.196399526562999</v>
      </c>
      <c r="P7" s="181">
        <f t="shared" si="4"/>
        <v>51.672821946154883</v>
      </c>
      <c r="Q7" s="181">
        <f t="shared" si="4"/>
        <v>52.411635331403737</v>
      </c>
      <c r="R7" s="181">
        <f t="shared" si="4"/>
        <v>53.101568919119003</v>
      </c>
      <c r="S7" s="181">
        <f t="shared" si="4"/>
        <v>53.795989300152002</v>
      </c>
      <c r="T7" s="181">
        <f t="shared" si="4"/>
        <v>54.508010929255299</v>
      </c>
      <c r="U7" s="181">
        <f t="shared" si="4"/>
        <v>55.202995285723674</v>
      </c>
      <c r="V7" s="181">
        <f t="shared" si="4"/>
        <v>55.827990199279611</v>
      </c>
      <c r="W7" s="181">
        <f t="shared" si="4"/>
        <v>56.336916180509967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7.4010716672888499</v>
      </c>
      <c r="C8" s="55">
        <f t="shared" si="3"/>
        <v>8.1472221007529821</v>
      </c>
      <c r="D8" s="55">
        <f t="shared" si="4"/>
        <v>9.0780259387454727</v>
      </c>
      <c r="E8" s="55">
        <f t="shared" si="4"/>
        <v>10.134465461496839</v>
      </c>
      <c r="F8" s="55">
        <f t="shared" si="4"/>
        <v>11.319023260508882</v>
      </c>
      <c r="G8" s="55">
        <f t="shared" si="4"/>
        <v>12.617786482178854</v>
      </c>
      <c r="H8" s="55">
        <f t="shared" si="4"/>
        <v>14.021917434496176</v>
      </c>
      <c r="I8" s="55">
        <f t="shared" si="4"/>
        <v>15.431074137235822</v>
      </c>
      <c r="J8" s="55">
        <f t="shared" si="4"/>
        <v>16.468430171489864</v>
      </c>
      <c r="K8" s="55">
        <f t="shared" si="4"/>
        <v>16.871851438293444</v>
      </c>
      <c r="L8" s="55">
        <f t="shared" si="4"/>
        <v>17.538691653001298</v>
      </c>
      <c r="M8" s="55">
        <f t="shared" si="4"/>
        <v>17.927503149715072</v>
      </c>
      <c r="N8" s="55">
        <f t="shared" si="4"/>
        <v>18.301173965363336</v>
      </c>
      <c r="O8" s="55">
        <f t="shared" si="4"/>
        <v>18.630952412216391</v>
      </c>
      <c r="P8" s="55">
        <f t="shared" si="4"/>
        <v>18.946561707599137</v>
      </c>
      <c r="Q8" s="55">
        <f t="shared" si="4"/>
        <v>19.285246083249543</v>
      </c>
      <c r="R8" s="55">
        <f t="shared" si="4"/>
        <v>19.927893405799111</v>
      </c>
      <c r="S8" s="55">
        <f t="shared" si="4"/>
        <v>21.066909209524802</v>
      </c>
      <c r="T8" s="55">
        <f t="shared" si="4"/>
        <v>21.790459004772089</v>
      </c>
      <c r="U8" s="55">
        <f t="shared" si="4"/>
        <v>22.53051268572931</v>
      </c>
      <c r="V8" s="55">
        <f t="shared" si="4"/>
        <v>23.35102517701667</v>
      </c>
      <c r="W8" s="55">
        <f t="shared" si="4"/>
        <v>25.670324647288354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24.578360123999765</v>
      </c>
      <c r="C9" s="63">
        <f t="shared" si="3"/>
        <v>29.652045864429905</v>
      </c>
      <c r="D9" s="63">
        <f t="shared" si="4"/>
        <v>32.801811896902748</v>
      </c>
      <c r="E9" s="63">
        <f t="shared" si="4"/>
        <v>33.163438763259713</v>
      </c>
      <c r="F9" s="63">
        <f t="shared" si="4"/>
        <v>38.268000070928522</v>
      </c>
      <c r="G9" s="63">
        <f t="shared" si="4"/>
        <v>39.486909243871501</v>
      </c>
      <c r="H9" s="63">
        <f t="shared" si="4"/>
        <v>42.055415448524336</v>
      </c>
      <c r="I9" s="63">
        <f t="shared" si="4"/>
        <v>49.096510333361465</v>
      </c>
      <c r="J9" s="63">
        <f t="shared" si="4"/>
        <v>51.938576154916888</v>
      </c>
      <c r="K9" s="63">
        <f t="shared" si="4"/>
        <v>54.162505803304654</v>
      </c>
      <c r="L9" s="63">
        <f t="shared" si="4"/>
        <v>57.269419889752733</v>
      </c>
      <c r="M9" s="63">
        <f t="shared" si="4"/>
        <v>58.714371133254645</v>
      </c>
      <c r="N9" s="63">
        <f t="shared" si="4"/>
        <v>55.505813909705005</v>
      </c>
      <c r="O9" s="63">
        <f t="shared" si="4"/>
        <v>61.389839043112268</v>
      </c>
      <c r="P9" s="63">
        <f t="shared" si="4"/>
        <v>59.935466454119727</v>
      </c>
      <c r="Q9" s="63">
        <f t="shared" si="4"/>
        <v>68.37356846415652</v>
      </c>
      <c r="R9" s="63">
        <f t="shared" si="4"/>
        <v>69.559770129026489</v>
      </c>
      <c r="S9" s="63">
        <f t="shared" si="4"/>
        <v>75.926432239692488</v>
      </c>
      <c r="T9" s="63">
        <f t="shared" si="4"/>
        <v>76.055354576045261</v>
      </c>
      <c r="U9" s="63">
        <f t="shared" si="4"/>
        <v>76.099218322367946</v>
      </c>
      <c r="V9" s="63">
        <f t="shared" si="4"/>
        <v>77.084218990570278</v>
      </c>
      <c r="W9" s="63">
        <f t="shared" si="4"/>
        <v>83.934663035967731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671.06050324414844</v>
      </c>
      <c r="C11" s="180">
        <f t="shared" ref="C11:W11" si="6">SUM(C12:C17)</f>
        <v>722.46264220938156</v>
      </c>
      <c r="D11" s="180">
        <f t="shared" si="6"/>
        <v>761.90060857511332</v>
      </c>
      <c r="E11" s="180">
        <f t="shared" si="6"/>
        <v>782.91572251173454</v>
      </c>
      <c r="F11" s="180">
        <f t="shared" si="6"/>
        <v>836.74214791018562</v>
      </c>
      <c r="G11" s="180">
        <f t="shared" si="6"/>
        <v>865.40800812345037</v>
      </c>
      <c r="H11" s="180">
        <f t="shared" si="6"/>
        <v>907.30424425747583</v>
      </c>
      <c r="I11" s="180">
        <f t="shared" si="6"/>
        <v>982.35125991404357</v>
      </c>
      <c r="J11" s="180">
        <f t="shared" si="6"/>
        <v>1020.3358768252687</v>
      </c>
      <c r="K11" s="180">
        <f t="shared" si="6"/>
        <v>1037.8059262795514</v>
      </c>
      <c r="L11" s="180">
        <f t="shared" si="6"/>
        <v>1070.7307742804235</v>
      </c>
      <c r="M11" s="180">
        <f t="shared" si="6"/>
        <v>1083.309553438967</v>
      </c>
      <c r="N11" s="180">
        <f t="shared" si="6"/>
        <v>1068.0146637784271</v>
      </c>
      <c r="O11" s="180">
        <f t="shared" si="6"/>
        <v>1106.1214218314788</v>
      </c>
      <c r="P11" s="180">
        <f t="shared" si="6"/>
        <v>1100.6376074592254</v>
      </c>
      <c r="Q11" s="180">
        <f t="shared" si="6"/>
        <v>1157.0424316342596</v>
      </c>
      <c r="R11" s="180">
        <f t="shared" si="6"/>
        <v>1158.4035086420499</v>
      </c>
      <c r="S11" s="180">
        <f t="shared" si="6"/>
        <v>1177.8600921548161</v>
      </c>
      <c r="T11" s="180">
        <f t="shared" si="6"/>
        <v>1170.6897083712906</v>
      </c>
      <c r="U11" s="180">
        <f t="shared" si="6"/>
        <v>1164.2042853441189</v>
      </c>
      <c r="V11" s="180">
        <f t="shared" si="6"/>
        <v>1159.19532173777</v>
      </c>
      <c r="W11" s="180">
        <f t="shared" si="6"/>
        <v>1150.1218779358298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9.0375103760806272</v>
      </c>
      <c r="C12" s="181">
        <f t="shared" ref="C12:W12" si="7">C20*C52</f>
        <v>9.1908898520661211</v>
      </c>
      <c r="D12" s="181">
        <f t="shared" si="7"/>
        <v>9.4210315117159933</v>
      </c>
      <c r="E12" s="181">
        <f t="shared" si="7"/>
        <v>9.6497419444615016</v>
      </c>
      <c r="F12" s="181">
        <f t="shared" si="7"/>
        <v>9.8801319099129348</v>
      </c>
      <c r="G12" s="181">
        <f t="shared" si="7"/>
        <v>10.196986587664632</v>
      </c>
      <c r="H12" s="181">
        <f t="shared" si="7"/>
        <v>10.667772221789255</v>
      </c>
      <c r="I12" s="181">
        <f t="shared" si="7"/>
        <v>11.239005496822454</v>
      </c>
      <c r="J12" s="181">
        <f t="shared" si="7"/>
        <v>11.605797692900715</v>
      </c>
      <c r="K12" s="181">
        <f t="shared" si="7"/>
        <v>11.604685168994303</v>
      </c>
      <c r="L12" s="181">
        <f t="shared" si="7"/>
        <v>11.906204897698943</v>
      </c>
      <c r="M12" s="181">
        <f t="shared" si="7"/>
        <v>12.084441758847111</v>
      </c>
      <c r="N12" s="181">
        <f t="shared" si="7"/>
        <v>12.260849562030851</v>
      </c>
      <c r="O12" s="181">
        <f t="shared" si="7"/>
        <v>12.467182209797837</v>
      </c>
      <c r="P12" s="181">
        <f t="shared" si="7"/>
        <v>12.663873290347814</v>
      </c>
      <c r="Q12" s="181">
        <f t="shared" si="7"/>
        <v>12.86165886735318</v>
      </c>
      <c r="R12" s="181">
        <f t="shared" si="7"/>
        <v>13.041254138391574</v>
      </c>
      <c r="S12" s="181">
        <f t="shared" si="7"/>
        <v>13.223004764897089</v>
      </c>
      <c r="T12" s="181">
        <f t="shared" si="7"/>
        <v>13.421305206885783</v>
      </c>
      <c r="U12" s="181">
        <f t="shared" si="7"/>
        <v>13.696445411136086</v>
      </c>
      <c r="V12" s="181">
        <f t="shared" si="7"/>
        <v>13.949194032659745</v>
      </c>
      <c r="W12" s="181">
        <f t="shared" si="7"/>
        <v>14.199025528253816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86.944873617134604</v>
      </c>
      <c r="C13" s="181">
        <f t="shared" ref="C13:W13" si="8">C21*C53/1000</f>
        <v>89.131307033288138</v>
      </c>
      <c r="D13" s="181">
        <f t="shared" si="8"/>
        <v>91.512654659266119</v>
      </c>
      <c r="E13" s="181">
        <f t="shared" si="8"/>
        <v>94.750710246929387</v>
      </c>
      <c r="F13" s="181">
        <f t="shared" si="8"/>
        <v>96.983030035311572</v>
      </c>
      <c r="G13" s="181">
        <f t="shared" si="8"/>
        <v>99.012684106987734</v>
      </c>
      <c r="H13" s="181">
        <f t="shared" si="8"/>
        <v>100.96109662274617</v>
      </c>
      <c r="I13" s="181">
        <f t="shared" si="8"/>
        <v>102.14720583577878</v>
      </c>
      <c r="J13" s="181">
        <f t="shared" si="8"/>
        <v>103.53968471965368</v>
      </c>
      <c r="K13" s="181">
        <f t="shared" si="8"/>
        <v>105.60495792974827</v>
      </c>
      <c r="L13" s="181">
        <f t="shared" si="8"/>
        <v>107.3183341866992</v>
      </c>
      <c r="M13" s="181">
        <f t="shared" si="8"/>
        <v>108.78581270256336</v>
      </c>
      <c r="N13" s="181">
        <f t="shared" si="8"/>
        <v>111.08384902712238</v>
      </c>
      <c r="O13" s="181">
        <f t="shared" si="8"/>
        <v>113.05396810394603</v>
      </c>
      <c r="P13" s="181">
        <f t="shared" si="8"/>
        <v>115.07096098642162</v>
      </c>
      <c r="Q13" s="181">
        <f t="shared" si="8"/>
        <v>117.0180140252114</v>
      </c>
      <c r="R13" s="181">
        <f t="shared" si="8"/>
        <v>117.80634220923368</v>
      </c>
      <c r="S13" s="181">
        <f t="shared" si="8"/>
        <v>117.89282119768674</v>
      </c>
      <c r="T13" s="181">
        <f t="shared" si="8"/>
        <v>117.67004488348908</v>
      </c>
      <c r="U13" s="181">
        <f t="shared" si="8"/>
        <v>116.579368258339</v>
      </c>
      <c r="V13" s="181">
        <f t="shared" si="8"/>
        <v>114.83332070709658</v>
      </c>
      <c r="W13" s="181">
        <f t="shared" si="8"/>
        <v>113.25626790188086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239.45830132261781</v>
      </c>
      <c r="C14" s="181">
        <f t="shared" ref="C14:W14" si="9">C22*C54</f>
        <v>243.23252423665511</v>
      </c>
      <c r="D14" s="181">
        <f t="shared" si="9"/>
        <v>248.09764209654463</v>
      </c>
      <c r="E14" s="181">
        <f t="shared" si="9"/>
        <v>253.58002891124295</v>
      </c>
      <c r="F14" s="181">
        <f t="shared" si="9"/>
        <v>258.5982127235236</v>
      </c>
      <c r="G14" s="181">
        <f t="shared" si="9"/>
        <v>264.65968058995634</v>
      </c>
      <c r="H14" s="181">
        <f t="shared" si="9"/>
        <v>273.17591502504422</v>
      </c>
      <c r="I14" s="181">
        <f t="shared" si="9"/>
        <v>285.48415861171259</v>
      </c>
      <c r="J14" s="181">
        <f t="shared" si="9"/>
        <v>294.1369307283731</v>
      </c>
      <c r="K14" s="181">
        <f t="shared" si="9"/>
        <v>293.57490594627694</v>
      </c>
      <c r="L14" s="181">
        <f t="shared" si="9"/>
        <v>300.97981213882878</v>
      </c>
      <c r="M14" s="181">
        <f t="shared" si="9"/>
        <v>303.45701168562044</v>
      </c>
      <c r="N14" s="181">
        <f t="shared" si="9"/>
        <v>305.08267468194049</v>
      </c>
      <c r="O14" s="181">
        <f t="shared" si="9"/>
        <v>304.23678095223249</v>
      </c>
      <c r="P14" s="181">
        <f t="shared" si="9"/>
        <v>306.04733919605462</v>
      </c>
      <c r="Q14" s="181">
        <f t="shared" si="9"/>
        <v>308.9175312560634</v>
      </c>
      <c r="R14" s="181">
        <f t="shared" si="9"/>
        <v>298.45881650553116</v>
      </c>
      <c r="S14" s="181">
        <f t="shared" si="9"/>
        <v>288.90789798559837</v>
      </c>
      <c r="T14" s="181">
        <f t="shared" si="9"/>
        <v>276.21616281047346</v>
      </c>
      <c r="U14" s="181">
        <f t="shared" si="9"/>
        <v>261.82779843102037</v>
      </c>
      <c r="V14" s="181">
        <f t="shared" si="9"/>
        <v>245.38490962477749</v>
      </c>
      <c r="W14" s="181">
        <f t="shared" si="9"/>
        <v>229.615851747139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59.975397564363632</v>
      </c>
      <c r="C15" s="181">
        <f t="shared" ref="C15:W15" si="10">C23*C55/1000</f>
        <v>61.498470648055118</v>
      </c>
      <c r="D15" s="181">
        <f t="shared" si="10"/>
        <v>62.968369090344829</v>
      </c>
      <c r="E15" s="181">
        <f t="shared" si="10"/>
        <v>63.908287730450965</v>
      </c>
      <c r="F15" s="181">
        <f t="shared" si="10"/>
        <v>64.622283515666041</v>
      </c>
      <c r="G15" s="181">
        <f t="shared" si="10"/>
        <v>65.279661974593495</v>
      </c>
      <c r="H15" s="181">
        <f t="shared" si="10"/>
        <v>65.947186442631619</v>
      </c>
      <c r="I15" s="181">
        <f t="shared" si="10"/>
        <v>66.580924667965249</v>
      </c>
      <c r="J15" s="181">
        <f t="shared" si="10"/>
        <v>66.853438531508203</v>
      </c>
      <c r="K15" s="181">
        <f t="shared" si="10"/>
        <v>66.913075315198952</v>
      </c>
      <c r="L15" s="181">
        <f t="shared" si="10"/>
        <v>67.004231975375788</v>
      </c>
      <c r="M15" s="181">
        <f t="shared" si="10"/>
        <v>67.09122719886345</v>
      </c>
      <c r="N15" s="181">
        <f t="shared" si="10"/>
        <v>67.484384657550194</v>
      </c>
      <c r="O15" s="181">
        <f t="shared" si="10"/>
        <v>67.969649143142448</v>
      </c>
      <c r="P15" s="181">
        <f t="shared" si="10"/>
        <v>68.602159729883738</v>
      </c>
      <c r="Q15" s="181">
        <f t="shared" si="10"/>
        <v>69.583027272171876</v>
      </c>
      <c r="R15" s="181">
        <f t="shared" si="10"/>
        <v>70.499000745360064</v>
      </c>
      <c r="S15" s="181">
        <f t="shared" si="10"/>
        <v>71.420931000087677</v>
      </c>
      <c r="T15" s="181">
        <f t="shared" si="10"/>
        <v>72.366229121830969</v>
      </c>
      <c r="U15" s="181">
        <f t="shared" si="10"/>
        <v>73.288908124767858</v>
      </c>
      <c r="V15" s="181">
        <f t="shared" si="10"/>
        <v>74.118667353609823</v>
      </c>
      <c r="W15" s="181">
        <f t="shared" si="10"/>
        <v>74.794330499923632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93.605903429306281</v>
      </c>
      <c r="C16" s="55">
        <f t="shared" ref="C16:W16" si="11">C24*C56</f>
        <v>102.55304288837334</v>
      </c>
      <c r="D16" s="55">
        <f t="shared" si="11"/>
        <v>113.77346544718324</v>
      </c>
      <c r="E16" s="55">
        <f t="shared" si="11"/>
        <v>126.50634514341279</v>
      </c>
      <c r="F16" s="55">
        <f t="shared" si="11"/>
        <v>140.77034666991975</v>
      </c>
      <c r="G16" s="55">
        <f t="shared" si="11"/>
        <v>156.38217193165201</v>
      </c>
      <c r="H16" s="55">
        <f t="shared" si="11"/>
        <v>173.22478696814571</v>
      </c>
      <c r="I16" s="55">
        <f t="shared" si="11"/>
        <v>190.05633109211507</v>
      </c>
      <c r="J16" s="55">
        <f t="shared" si="11"/>
        <v>202.25404073937943</v>
      </c>
      <c r="K16" s="55">
        <f t="shared" si="11"/>
        <v>206.64918277138372</v>
      </c>
      <c r="L16" s="55">
        <f t="shared" si="11"/>
        <v>214.26652320262593</v>
      </c>
      <c r="M16" s="55">
        <f t="shared" si="11"/>
        <v>218.66064621086872</v>
      </c>
      <c r="N16" s="55">
        <f t="shared" si="11"/>
        <v>222.87241698057383</v>
      </c>
      <c r="O16" s="55">
        <f t="shared" si="11"/>
        <v>226.55253441708973</v>
      </c>
      <c r="P16" s="55">
        <f t="shared" si="11"/>
        <v>230.06373362884239</v>
      </c>
      <c r="Q16" s="55">
        <f t="shared" si="11"/>
        <v>233.85786521831906</v>
      </c>
      <c r="R16" s="55">
        <f t="shared" si="11"/>
        <v>241.60331265459476</v>
      </c>
      <c r="S16" s="55">
        <f t="shared" si="11"/>
        <v>248.30581304541292</v>
      </c>
      <c r="T16" s="55">
        <f t="shared" si="11"/>
        <v>256.64989200439982</v>
      </c>
      <c r="U16" s="55">
        <f t="shared" si="11"/>
        <v>266.62182601539092</v>
      </c>
      <c r="V16" s="55">
        <f t="shared" si="11"/>
        <v>275.22579771970828</v>
      </c>
      <c r="W16" s="55">
        <f t="shared" si="11"/>
        <v>281.99842435303191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182.03851693464549</v>
      </c>
      <c r="C17" s="63">
        <f t="shared" ref="C17:W17" si="12">C25*C57/1000</f>
        <v>216.85640755094377</v>
      </c>
      <c r="D17" s="63">
        <f t="shared" si="12"/>
        <v>236.12744577005842</v>
      </c>
      <c r="E17" s="63">
        <f t="shared" si="12"/>
        <v>234.52060853523702</v>
      </c>
      <c r="F17" s="63">
        <f t="shared" si="12"/>
        <v>265.88814305585174</v>
      </c>
      <c r="G17" s="63">
        <f t="shared" si="12"/>
        <v>269.8768229325961</v>
      </c>
      <c r="H17" s="63">
        <f t="shared" si="12"/>
        <v>283.32748697711878</v>
      </c>
      <c r="I17" s="63">
        <f t="shared" si="12"/>
        <v>326.84363420964934</v>
      </c>
      <c r="J17" s="63">
        <f t="shared" si="12"/>
        <v>341.94598441345352</v>
      </c>
      <c r="K17" s="63">
        <f t="shared" si="12"/>
        <v>353.45911914794931</v>
      </c>
      <c r="L17" s="63">
        <f t="shared" si="12"/>
        <v>369.25566787919479</v>
      </c>
      <c r="M17" s="63">
        <f t="shared" si="12"/>
        <v>373.23041388220395</v>
      </c>
      <c r="N17" s="63">
        <f t="shared" si="12"/>
        <v>349.23048886920935</v>
      </c>
      <c r="O17" s="63">
        <f t="shared" si="12"/>
        <v>381.84130700527015</v>
      </c>
      <c r="P17" s="63">
        <f t="shared" si="12"/>
        <v>368.18954062767523</v>
      </c>
      <c r="Q17" s="63">
        <f t="shared" si="12"/>
        <v>414.80433499514072</v>
      </c>
      <c r="R17" s="63">
        <f t="shared" si="12"/>
        <v>416.99478238893863</v>
      </c>
      <c r="S17" s="63">
        <f t="shared" si="12"/>
        <v>438.10962416113335</v>
      </c>
      <c r="T17" s="63">
        <f t="shared" si="12"/>
        <v>434.36607434421137</v>
      </c>
      <c r="U17" s="63">
        <f t="shared" si="12"/>
        <v>432.18993910346478</v>
      </c>
      <c r="V17" s="63">
        <f t="shared" si="12"/>
        <v>435.68343229991791</v>
      </c>
      <c r="W17" s="63">
        <f t="shared" si="12"/>
        <v>436.25797790560063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11.795916654156843</v>
      </c>
      <c r="C20" s="182">
        <v>12.078267465255482</v>
      </c>
      <c r="D20" s="182">
        <v>12.485821224729714</v>
      </c>
      <c r="E20" s="182">
        <v>12.90508686932349</v>
      </c>
      <c r="F20" s="182">
        <v>13.34217272253956</v>
      </c>
      <c r="G20" s="182">
        <v>13.929578485438219</v>
      </c>
      <c r="H20" s="182">
        <v>14.776319550600952</v>
      </c>
      <c r="I20" s="182">
        <v>15.808058874602777</v>
      </c>
      <c r="J20" s="182">
        <v>16.539735919289996</v>
      </c>
      <c r="K20" s="182">
        <v>16.699250746994462</v>
      </c>
      <c r="L20" s="182">
        <v>17.379528603788252</v>
      </c>
      <c r="M20" s="182">
        <v>17.880462711982648</v>
      </c>
      <c r="N20" s="182">
        <v>18.408590030367836</v>
      </c>
      <c r="O20" s="182">
        <v>19.02489288686245</v>
      </c>
      <c r="P20" s="182">
        <v>19.670977399497737</v>
      </c>
      <c r="Q20" s="182">
        <v>20.371590955441945</v>
      </c>
      <c r="R20" s="182">
        <v>21.056702237201968</v>
      </c>
      <c r="S20" s="182">
        <v>21.76974103440055</v>
      </c>
      <c r="T20" s="182">
        <v>22.538904258123306</v>
      </c>
      <c r="U20" s="182">
        <v>23.334900035776503</v>
      </c>
      <c r="V20" s="182">
        <v>24.132603860874525</v>
      </c>
      <c r="W20" s="182">
        <v>24.923486271925576</v>
      </c>
      <c r="DA20" s="191" t="s">
        <v>921</v>
      </c>
    </row>
    <row r="21" spans="1:105" ht="12" customHeight="1" x14ac:dyDescent="0.25">
      <c r="A21" s="132" t="s">
        <v>163</v>
      </c>
      <c r="B21" s="182">
        <v>413.33851011849896</v>
      </c>
      <c r="C21" s="182">
        <v>428.32278452399026</v>
      </c>
      <c r="D21" s="182">
        <v>445.33260265224976</v>
      </c>
      <c r="E21" s="182">
        <v>468.17682712664788</v>
      </c>
      <c r="F21" s="182">
        <v>487.3360576746839</v>
      </c>
      <c r="G21" s="182">
        <v>506.82333094959733</v>
      </c>
      <c r="H21" s="182">
        <v>527.87086296872951</v>
      </c>
      <c r="I21" s="182">
        <v>546.77250989114282</v>
      </c>
      <c r="J21" s="182">
        <v>562.58877139755111</v>
      </c>
      <c r="K21" s="182">
        <v>583.69073261785195</v>
      </c>
      <c r="L21" s="182">
        <v>604.74691089474049</v>
      </c>
      <c r="M21" s="182">
        <v>625.44731444616798</v>
      </c>
      <c r="N21" s="182">
        <v>654.29862063163387</v>
      </c>
      <c r="O21" s="182">
        <v>683.94147726827759</v>
      </c>
      <c r="P21" s="182">
        <v>718.49631442997281</v>
      </c>
      <c r="Q21" s="182">
        <v>758.31095359930657</v>
      </c>
      <c r="R21" s="182">
        <v>797.63352153938979</v>
      </c>
      <c r="S21" s="182">
        <v>837.71791574981967</v>
      </c>
      <c r="T21" s="182">
        <v>877.49890967229339</v>
      </c>
      <c r="U21" s="182">
        <v>916.55471596869234</v>
      </c>
      <c r="V21" s="182">
        <v>954.25986690133743</v>
      </c>
      <c r="W21" s="182">
        <v>990.21990949452902</v>
      </c>
      <c r="DA21" s="191" t="s">
        <v>922</v>
      </c>
    </row>
    <row r="22" spans="1:105" ht="12" customHeight="1" x14ac:dyDescent="0.25">
      <c r="A22" s="132" t="s">
        <v>167</v>
      </c>
      <c r="B22" s="182">
        <v>4.6496946113968933</v>
      </c>
      <c r="C22" s="182">
        <v>4.7790096038365446</v>
      </c>
      <c r="D22" s="182">
        <v>4.965752276505544</v>
      </c>
      <c r="E22" s="182">
        <v>5.1940158370206788</v>
      </c>
      <c r="F22" s="182">
        <v>5.4382955598659777</v>
      </c>
      <c r="G22" s="182">
        <v>5.7423603887984642</v>
      </c>
      <c r="H22" s="182">
        <v>6.1396897494074052</v>
      </c>
      <c r="I22" s="182">
        <v>6.6123759343501964</v>
      </c>
      <c r="J22" s="182">
        <v>7.0087727898862386</v>
      </c>
      <c r="K22" s="182">
        <v>7.1910000306741289</v>
      </c>
      <c r="L22" s="182">
        <v>7.6096233837327993</v>
      </c>
      <c r="M22" s="182">
        <v>7.9527047036077194</v>
      </c>
      <c r="N22" s="182">
        <v>8.3428481906602574</v>
      </c>
      <c r="O22" s="182">
        <v>8.7369565152146045</v>
      </c>
      <c r="P22" s="182">
        <v>9.2990971436739169</v>
      </c>
      <c r="Q22" s="182">
        <v>9.9414616458671787</v>
      </c>
      <c r="R22" s="182">
        <v>10.348042393605507</v>
      </c>
      <c r="S22" s="182">
        <v>10.774690121451961</v>
      </c>
      <c r="T22" s="182">
        <v>11.215646182123864</v>
      </c>
      <c r="U22" s="182">
        <v>11.643443588530516</v>
      </c>
      <c r="V22" s="182">
        <v>12.020699134215167</v>
      </c>
      <c r="W22" s="182">
        <v>12.296644139684314</v>
      </c>
      <c r="DA22" s="191" t="s">
        <v>923</v>
      </c>
    </row>
    <row r="23" spans="1:105" ht="12" customHeight="1" x14ac:dyDescent="0.25">
      <c r="A23" s="132" t="s">
        <v>180</v>
      </c>
      <c r="B23" s="182">
        <v>83.672807713535605</v>
      </c>
      <c r="C23" s="182">
        <v>86.783866589247879</v>
      </c>
      <c r="D23" s="182">
        <v>90.141341920525008</v>
      </c>
      <c r="E23" s="182">
        <v>92.834968033193974</v>
      </c>
      <c r="F23" s="182">
        <v>95.32882478395544</v>
      </c>
      <c r="G23" s="182">
        <v>97.896667737699602</v>
      </c>
      <c r="H23" s="182">
        <v>100.72272769240389</v>
      </c>
      <c r="I23" s="182">
        <v>103.76336576899324</v>
      </c>
      <c r="J23" s="182">
        <v>106.48492238761985</v>
      </c>
      <c r="K23" s="182">
        <v>109.14404630483695</v>
      </c>
      <c r="L23" s="182">
        <v>112.19258473481834</v>
      </c>
      <c r="M23" s="182">
        <v>114.78887749472902</v>
      </c>
      <c r="N23" s="182">
        <v>117.90206538006817</v>
      </c>
      <c r="O23" s="182">
        <v>121.24043416906768</v>
      </c>
      <c r="P23" s="182">
        <v>125.18975879065104</v>
      </c>
      <c r="Q23" s="182">
        <v>130.14631893691455</v>
      </c>
      <c r="R23" s="182">
        <v>135.05092923725789</v>
      </c>
      <c r="S23" s="182">
        <v>140.07165971802829</v>
      </c>
      <c r="T23" s="182">
        <v>145.07166434446708</v>
      </c>
      <c r="U23" s="182">
        <v>150.0075739905908</v>
      </c>
      <c r="V23" s="182">
        <v>154.82529169885157</v>
      </c>
      <c r="W23" s="182">
        <v>159.50637996455947</v>
      </c>
      <c r="DA23" s="191" t="s">
        <v>924</v>
      </c>
    </row>
    <row r="24" spans="1:105" ht="12" customHeight="1" x14ac:dyDescent="0.25">
      <c r="A24" s="60" t="s">
        <v>166</v>
      </c>
      <c r="B24" s="36">
        <v>1.7280068213259223</v>
      </c>
      <c r="C24" s="36">
        <v>1.9072438628198576</v>
      </c>
      <c r="D24" s="36">
        <v>2.1345722174385613</v>
      </c>
      <c r="E24" s="36">
        <v>2.3952568643288261</v>
      </c>
      <c r="F24" s="36">
        <v>2.6914314741820129</v>
      </c>
      <c r="G24" s="36">
        <v>3.0216656066273564</v>
      </c>
      <c r="H24" s="36">
        <v>3.385275830033446</v>
      </c>
      <c r="I24" s="36">
        <v>3.7573169184905888</v>
      </c>
      <c r="J24" s="36">
        <v>4.0402176606072322</v>
      </c>
      <c r="K24" s="36">
        <v>4.1603590717174974</v>
      </c>
      <c r="L24" s="36">
        <v>4.3616132316249194</v>
      </c>
      <c r="M24" s="36">
        <v>4.5023587890097003</v>
      </c>
      <c r="N24" s="36">
        <v>4.6529067292177233</v>
      </c>
      <c r="O24" s="36">
        <v>4.8062909591297363</v>
      </c>
      <c r="P24" s="36">
        <v>4.9745524527823726</v>
      </c>
      <c r="Q24" s="36">
        <v>5.1717003279857616</v>
      </c>
      <c r="R24" s="36">
        <v>5.4641553105778629</v>
      </c>
      <c r="S24" s="36">
        <v>5.7525882115199867</v>
      </c>
      <c r="T24" s="36">
        <v>6.1063559484171366</v>
      </c>
      <c r="U24" s="36">
        <v>6.526568501517815</v>
      </c>
      <c r="V24" s="36">
        <v>6.9275024153337768</v>
      </c>
      <c r="W24" s="36">
        <v>7.2884298904813463</v>
      </c>
      <c r="DA24" s="89" t="s">
        <v>925</v>
      </c>
    </row>
    <row r="25" spans="1:105" ht="12" customHeight="1" x14ac:dyDescent="0.25">
      <c r="A25" s="62" t="s">
        <v>164</v>
      </c>
      <c r="B25" s="38">
        <v>464.68805213327357</v>
      </c>
      <c r="C25" s="38">
        <v>566.90464493603315</v>
      </c>
      <c r="D25" s="38">
        <v>632.10169969749302</v>
      </c>
      <c r="E25" s="38">
        <v>642.16459170336691</v>
      </c>
      <c r="F25" s="38">
        <v>759.81283447522651</v>
      </c>
      <c r="G25" s="38">
        <v>798.93489077126833</v>
      </c>
      <c r="H25" s="38">
        <v>896.01750443631215</v>
      </c>
      <c r="I25" s="38">
        <v>1101.7070461574124</v>
      </c>
      <c r="J25" s="38">
        <v>1195.7896256522279</v>
      </c>
      <c r="K25" s="38">
        <v>1325.1698445281534</v>
      </c>
      <c r="L25" s="38">
        <v>1457.5190531736259</v>
      </c>
      <c r="M25" s="38">
        <v>1611.7836606061335</v>
      </c>
      <c r="N25" s="38">
        <v>1640.9693325434616</v>
      </c>
      <c r="O25" s="38">
        <v>1891.0804962358843</v>
      </c>
      <c r="P25" s="38">
        <v>1917.4588186031474</v>
      </c>
      <c r="Q25" s="38">
        <v>2231.9992289804331</v>
      </c>
      <c r="R25" s="38">
        <v>2303.2590265214071</v>
      </c>
      <c r="S25" s="38">
        <v>2473.6173401729152</v>
      </c>
      <c r="T25" s="38">
        <v>2499.3774708889214</v>
      </c>
      <c r="U25" s="38">
        <v>2524.0208768886018</v>
      </c>
      <c r="V25" s="38">
        <v>2617.4444763349384</v>
      </c>
      <c r="W25" s="38">
        <v>2688.9085095363462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0.79397896312923066</v>
      </c>
      <c r="D28" s="183">
        <v>0.93365361784453782</v>
      </c>
      <c r="E28" s="183">
        <v>0.96024655011812321</v>
      </c>
      <c r="F28" s="183">
        <v>0.99336872515698182</v>
      </c>
      <c r="G28" s="183">
        <v>1.1594234264701555</v>
      </c>
      <c r="H28" s="183">
        <v>1.434938588297241</v>
      </c>
      <c r="I28" s="183">
        <v>1.6365743636427386</v>
      </c>
      <c r="J28" s="183">
        <v>1.3536202028765647</v>
      </c>
      <c r="K28" s="183">
        <v>0.79905001774270445</v>
      </c>
      <c r="L28" s="183">
        <v>1.3379026797566738</v>
      </c>
      <c r="M28" s="183">
        <v>1.1771602400998269</v>
      </c>
      <c r="N28" s="183">
        <v>1.2234809083113269</v>
      </c>
      <c r="O28" s="183">
        <v>1.3313249359589854</v>
      </c>
      <c r="P28" s="183">
        <v>1.3813314165534223</v>
      </c>
      <c r="Q28" s="183">
        <v>1.4566573554953521</v>
      </c>
      <c r="R28" s="183">
        <v>1.4625402294967031</v>
      </c>
      <c r="S28" s="183">
        <v>1.5124577847463776</v>
      </c>
      <c r="T28" s="183">
        <v>1.5911942524263587</v>
      </c>
      <c r="U28" s="183">
        <v>1.5899747407824272</v>
      </c>
      <c r="V28" s="183">
        <v>1.73135744294256</v>
      </c>
      <c r="W28" s="183">
        <v>1.7511289611691723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66.83528802167757</v>
      </c>
      <c r="D29" s="183">
        <v>71.092752481760726</v>
      </c>
      <c r="E29" s="183">
        <v>79.255152328893075</v>
      </c>
      <c r="F29" s="183">
        <v>77.998360107932569</v>
      </c>
      <c r="G29" s="183">
        <v>80.859126194904491</v>
      </c>
      <c r="H29" s="183">
        <v>85.061129076152213</v>
      </c>
      <c r="I29" s="183">
        <v>85.670701679822173</v>
      </c>
      <c r="J29" s="183">
        <v>82.651549528085866</v>
      </c>
      <c r="K29" s="183">
        <v>92.194713702061563</v>
      </c>
      <c r="L29" s="183">
        <v>100.31133060578162</v>
      </c>
      <c r="M29" s="183">
        <v>98.698763659359997</v>
      </c>
      <c r="N29" s="183">
        <v>109.71043238037032</v>
      </c>
      <c r="O29" s="183">
        <v>114.70398571279588</v>
      </c>
      <c r="P29" s="183">
        <v>120.22553884151739</v>
      </c>
      <c r="Q29" s="183">
        <v>122.46618869741962</v>
      </c>
      <c r="R29" s="183">
        <v>131.51728164214478</v>
      </c>
      <c r="S29" s="183">
        <v>140.39572481621144</v>
      </c>
      <c r="T29" s="183">
        <v>138.47975758183372</v>
      </c>
      <c r="U29" s="183">
        <v>148.76623867676926</v>
      </c>
      <c r="V29" s="183">
        <v>152.40913664544098</v>
      </c>
      <c r="W29" s="183">
        <v>156.18558143470898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0.85543965326438265</v>
      </c>
      <c r="D30" s="183">
        <v>0.93173085559034874</v>
      </c>
      <c r="E30" s="183">
        <v>0.99260530875169461</v>
      </c>
      <c r="F30" s="183">
        <v>1.02847781013093</v>
      </c>
      <c r="G30" s="183">
        <v>1.1086350902341282</v>
      </c>
      <c r="H30" s="183">
        <v>1.222801031435921</v>
      </c>
      <c r="I30" s="183">
        <v>1.3281258382071739</v>
      </c>
      <c r="J30" s="183">
        <v>1.3281277111263909</v>
      </c>
      <c r="K30" s="183">
        <v>1.1748325495395848</v>
      </c>
      <c r="L30" s="183">
        <v>1.4471011631896005</v>
      </c>
      <c r="M30" s="183">
        <v>1.4517164101090483</v>
      </c>
      <c r="N30" s="183">
        <v>1.612944518488459</v>
      </c>
      <c r="O30" s="183">
        <v>1.722234162761521</v>
      </c>
      <c r="P30" s="183">
        <v>1.8902683395857034</v>
      </c>
      <c r="Q30" s="183">
        <v>1.8171970517328475</v>
      </c>
      <c r="R30" s="183">
        <v>1.8536819109279286</v>
      </c>
      <c r="S30" s="183">
        <v>1.8783641379555025</v>
      </c>
      <c r="T30" s="183">
        <v>2.0539005791603611</v>
      </c>
      <c r="U30" s="183">
        <v>2.1500315691681742</v>
      </c>
      <c r="V30" s="183">
        <v>2.2675238852703536</v>
      </c>
      <c r="W30" s="183">
        <v>2.0931420572019945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10.715503225626151</v>
      </c>
      <c r="D31" s="183">
        <v>11.122101105273146</v>
      </c>
      <c r="E31" s="183">
        <v>10.621807401928578</v>
      </c>
      <c r="F31" s="183">
        <v>10.589038718947663</v>
      </c>
      <c r="G31" s="183">
        <v>10.83354333408532</v>
      </c>
      <c r="H31" s="183">
        <v>11.26587057861299</v>
      </c>
      <c r="I31" s="183">
        <v>11.658226434480227</v>
      </c>
      <c r="J31" s="183">
        <v>11.520667453611594</v>
      </c>
      <c r="K31" s="183">
        <v>11.643580852370533</v>
      </c>
      <c r="L31" s="183">
        <v>12.222245629882153</v>
      </c>
      <c r="M31" s="183">
        <v>13.311795985536833</v>
      </c>
      <c r="N31" s="183">
        <v>14.23528899061229</v>
      </c>
      <c r="O31" s="183">
        <v>13.960176190928095</v>
      </c>
      <c r="P31" s="183">
        <v>14.538363340531021</v>
      </c>
      <c r="Q31" s="183">
        <v>15.790103480348833</v>
      </c>
      <c r="R31" s="183">
        <v>16.170480878956326</v>
      </c>
      <c r="S31" s="183">
        <v>16.678956915250623</v>
      </c>
      <c r="T31" s="183">
        <v>16.520672080050389</v>
      </c>
      <c r="U31" s="183">
        <v>16.579490498494238</v>
      </c>
      <c r="V31" s="183">
        <v>17.039963338142911</v>
      </c>
      <c r="W31" s="183">
        <v>17.992884251244732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0.22845491723581501</v>
      </c>
      <c r="D32" s="41">
        <v>0.28208479056815072</v>
      </c>
      <c r="E32" s="41">
        <v>0.32160290540288594</v>
      </c>
      <c r="F32" s="41">
        <v>0.3639480899174603</v>
      </c>
      <c r="G32" s="41">
        <v>0.40563426226144594</v>
      </c>
      <c r="H32" s="41">
        <v>0.44749524112826444</v>
      </c>
      <c r="I32" s="41">
        <v>0.46536581104597419</v>
      </c>
      <c r="J32" s="41">
        <v>0.38672743349469085</v>
      </c>
      <c r="K32" s="41">
        <v>0.23565187332729876</v>
      </c>
      <c r="L32" s="41">
        <v>0.32976318494232615</v>
      </c>
      <c r="M32" s="41">
        <v>0.28371589269858255</v>
      </c>
      <c r="N32" s="41">
        <v>0.30960693839269648</v>
      </c>
      <c r="O32" s="41">
        <v>0.33034237194883698</v>
      </c>
      <c r="P32" s="41">
        <v>0.3651329966201553</v>
      </c>
      <c r="Q32" s="41">
        <v>0.41617361900117711</v>
      </c>
      <c r="R32" s="41">
        <v>0.5209098998279158</v>
      </c>
      <c r="S32" s="41">
        <v>0.57051769151027454</v>
      </c>
      <c r="T32" s="41">
        <v>0.67537064230003541</v>
      </c>
      <c r="U32" s="41">
        <v>0.78416064301813826</v>
      </c>
      <c r="V32" s="41">
        <v>0.80656817607740727</v>
      </c>
      <c r="W32" s="41">
        <v>0.80842271627583351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195.15420322941429</v>
      </c>
      <c r="D33" s="42">
        <v>158.13466518811458</v>
      </c>
      <c r="E33" s="42">
        <v>103.00050243252861</v>
      </c>
      <c r="F33" s="42">
        <v>210.58585319851431</v>
      </c>
      <c r="G33" s="42">
        <v>132.05966672269653</v>
      </c>
      <c r="H33" s="42">
        <v>292.23681689445812</v>
      </c>
      <c r="I33" s="42">
        <v>363.82420690921481</v>
      </c>
      <c r="J33" s="42">
        <v>197.0830819273441</v>
      </c>
      <c r="K33" s="42">
        <v>339.96607207443981</v>
      </c>
      <c r="L33" s="42">
        <v>264.40887536816922</v>
      </c>
      <c r="M33" s="42">
        <v>446.50142432696566</v>
      </c>
      <c r="N33" s="42">
        <v>393.00987884654296</v>
      </c>
      <c r="O33" s="42">
        <v>447.19424561976666</v>
      </c>
      <c r="P33" s="42">
        <v>366.34439444170289</v>
      </c>
      <c r="Q33" s="42">
        <v>578.94928574545497</v>
      </c>
      <c r="R33" s="42">
        <v>517.76122186793964</v>
      </c>
      <c r="S33" s="42">
        <v>563.36819249805103</v>
      </c>
      <c r="T33" s="42">
        <v>472.95437633577285</v>
      </c>
      <c r="U33" s="42">
        <v>390.98780044138357</v>
      </c>
      <c r="V33" s="42">
        <v>672.37288519179151</v>
      </c>
      <c r="W33" s="42">
        <v>589.22525506934744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0.51162815203059075</v>
      </c>
      <c r="D36" s="183">
        <v>0.52609985837030671</v>
      </c>
      <c r="E36" s="183">
        <v>0.54098090552434641</v>
      </c>
      <c r="F36" s="183">
        <v>0.55628287194091186</v>
      </c>
      <c r="G36" s="183">
        <v>0.57201766357149708</v>
      </c>
      <c r="H36" s="183">
        <v>0.58819752313450735</v>
      </c>
      <c r="I36" s="183">
        <v>0.60483503964091234</v>
      </c>
      <c r="J36" s="183">
        <v>0.62194315818934598</v>
      </c>
      <c r="K36" s="183">
        <v>0.639535190038238</v>
      </c>
      <c r="L36" s="183">
        <v>0.65762482296288383</v>
      </c>
      <c r="M36" s="183">
        <v>0.67622613190543035</v>
      </c>
      <c r="N36" s="183">
        <v>0.69535358992613894</v>
      </c>
      <c r="O36" s="183">
        <v>0.71502207946437224</v>
      </c>
      <c r="P36" s="183">
        <v>0.73524690391813508</v>
      </c>
      <c r="Q36" s="183">
        <v>0.75604379955114354</v>
      </c>
      <c r="R36" s="183">
        <v>0.7774289477366807</v>
      </c>
      <c r="S36" s="183">
        <v>0.79941898754779572</v>
      </c>
      <c r="T36" s="183">
        <v>0.82203102870360212</v>
      </c>
      <c r="U36" s="183">
        <v>0.79397896312923066</v>
      </c>
      <c r="V36" s="183">
        <v>0.93365361784453782</v>
      </c>
      <c r="W36" s="183">
        <v>0.96024655011812143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51.851013616186265</v>
      </c>
      <c r="D37" s="183">
        <v>54.08293435350123</v>
      </c>
      <c r="E37" s="183">
        <v>56.410927854494901</v>
      </c>
      <c r="F37" s="183">
        <v>58.839129559896548</v>
      </c>
      <c r="G37" s="183">
        <v>61.371852919991056</v>
      </c>
      <c r="H37" s="183">
        <v>64.013597057020093</v>
      </c>
      <c r="I37" s="183">
        <v>66.769054757408867</v>
      </c>
      <c r="J37" s="183">
        <v>66.83528802167757</v>
      </c>
      <c r="K37" s="183">
        <v>71.092752481760726</v>
      </c>
      <c r="L37" s="183">
        <v>79.255152328893018</v>
      </c>
      <c r="M37" s="183">
        <v>77.998360107932513</v>
      </c>
      <c r="N37" s="183">
        <v>80.859126194904434</v>
      </c>
      <c r="O37" s="183">
        <v>85.061129076152156</v>
      </c>
      <c r="P37" s="183">
        <v>85.670701679822173</v>
      </c>
      <c r="Q37" s="183">
        <v>82.651549528085866</v>
      </c>
      <c r="R37" s="183">
        <v>92.194713702061563</v>
      </c>
      <c r="S37" s="183">
        <v>100.31133060578156</v>
      </c>
      <c r="T37" s="183">
        <v>98.698763659359997</v>
      </c>
      <c r="U37" s="183">
        <v>109.71043238037032</v>
      </c>
      <c r="V37" s="183">
        <v>114.703985712796</v>
      </c>
      <c r="W37" s="183">
        <v>120.22553884151739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0.72612466082473137</v>
      </c>
      <c r="D38" s="183">
        <v>0.74498818292134938</v>
      </c>
      <c r="E38" s="183">
        <v>0.76434174823655976</v>
      </c>
      <c r="F38" s="183">
        <v>0.78419808728563112</v>
      </c>
      <c r="G38" s="183">
        <v>0.80457026130164166</v>
      </c>
      <c r="H38" s="183">
        <v>0.82547167082698003</v>
      </c>
      <c r="I38" s="183">
        <v>0.85543965326438265</v>
      </c>
      <c r="J38" s="183">
        <v>0.93173085559034874</v>
      </c>
      <c r="K38" s="183">
        <v>0.9926053087516955</v>
      </c>
      <c r="L38" s="183">
        <v>1.02847781013093</v>
      </c>
      <c r="M38" s="183">
        <v>1.1086350902341282</v>
      </c>
      <c r="N38" s="183">
        <v>1.222801031435921</v>
      </c>
      <c r="O38" s="183">
        <v>1.3281258382071748</v>
      </c>
      <c r="P38" s="183">
        <v>1.3281277111263901</v>
      </c>
      <c r="Q38" s="183">
        <v>1.1748325495395857</v>
      </c>
      <c r="R38" s="183">
        <v>1.4471011631896005</v>
      </c>
      <c r="S38" s="183">
        <v>1.4517164101090483</v>
      </c>
      <c r="T38" s="183">
        <v>1.6129445184884581</v>
      </c>
      <c r="U38" s="183">
        <v>1.7222341627615219</v>
      </c>
      <c r="V38" s="183">
        <v>1.8902683395857025</v>
      </c>
      <c r="W38" s="183">
        <v>1.8171970517328475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7.6044443499138765</v>
      </c>
      <c r="D39" s="183">
        <v>7.7646257739960163</v>
      </c>
      <c r="E39" s="183">
        <v>7.9281812892596122</v>
      </c>
      <c r="F39" s="183">
        <v>8.0951819681861963</v>
      </c>
      <c r="G39" s="183">
        <v>8.2657003803411584</v>
      </c>
      <c r="H39" s="183">
        <v>8.4398106239086985</v>
      </c>
      <c r="I39" s="183">
        <v>8.617588357890881</v>
      </c>
      <c r="J39" s="183">
        <v>8.7991108349849867</v>
      </c>
      <c r="K39" s="183">
        <v>8.9844569351534318</v>
      </c>
      <c r="L39" s="183">
        <v>9.1737071999007611</v>
      </c>
      <c r="M39" s="183">
        <v>10.715503225626151</v>
      </c>
      <c r="N39" s="183">
        <v>11.122101105273146</v>
      </c>
      <c r="O39" s="183">
        <v>10.621807401928592</v>
      </c>
      <c r="P39" s="183">
        <v>10.589038718947648</v>
      </c>
      <c r="Q39" s="183">
        <v>10.833543334085334</v>
      </c>
      <c r="R39" s="183">
        <v>11.265870578612976</v>
      </c>
      <c r="S39" s="183">
        <v>11.658226434480241</v>
      </c>
      <c r="T39" s="183">
        <v>11.520667453611594</v>
      </c>
      <c r="U39" s="183">
        <v>11.643580852370519</v>
      </c>
      <c r="V39" s="183">
        <v>12.222245629882138</v>
      </c>
      <c r="W39" s="183">
        <v>13.311795985536833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4.9217875741879746E-2</v>
      </c>
      <c r="D40" s="41">
        <v>5.4756435949447013E-2</v>
      </c>
      <c r="E40" s="41">
        <v>6.0918258512621115E-2</v>
      </c>
      <c r="F40" s="41">
        <v>6.7773480064273528E-2</v>
      </c>
      <c r="G40" s="41">
        <v>7.5400129816102446E-2</v>
      </c>
      <c r="H40" s="41">
        <v>8.3885017722174826E-2</v>
      </c>
      <c r="I40" s="41">
        <v>9.3324722588831399E-2</v>
      </c>
      <c r="J40" s="41">
        <v>0.10382669137804701</v>
      </c>
      <c r="K40" s="41">
        <v>0.11551046221703309</v>
      </c>
      <c r="L40" s="41">
        <v>0.12850902503490413</v>
      </c>
      <c r="M40" s="41">
        <v>0.14297033531380166</v>
      </c>
      <c r="N40" s="41">
        <v>0.15905899818467351</v>
      </c>
      <c r="O40" s="41">
        <v>0.17695814203682403</v>
      </c>
      <c r="P40" s="41">
        <v>0.19687150296751899</v>
      </c>
      <c r="Q40" s="41">
        <v>0.21902574379778805</v>
      </c>
      <c r="R40" s="41">
        <v>0.22845491723581457</v>
      </c>
      <c r="S40" s="41">
        <v>0.28208479056815072</v>
      </c>
      <c r="T40" s="41">
        <v>0.3216029054028855</v>
      </c>
      <c r="U40" s="41">
        <v>0.36394808991745986</v>
      </c>
      <c r="V40" s="41">
        <v>0.4056342622614455</v>
      </c>
      <c r="W40" s="41">
        <v>0.447495241128264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92.937610426654715</v>
      </c>
      <c r="D41" s="42">
        <v>92.937610426654715</v>
      </c>
      <c r="E41" s="42">
        <v>92.937610426654715</v>
      </c>
      <c r="F41" s="42">
        <v>92.937610426654715</v>
      </c>
      <c r="G41" s="42">
        <v>92.937610426654715</v>
      </c>
      <c r="H41" s="42">
        <v>195.15420322941429</v>
      </c>
      <c r="I41" s="42">
        <v>158.1346651881147</v>
      </c>
      <c r="J41" s="42">
        <v>103.00050243252849</v>
      </c>
      <c r="K41" s="42">
        <v>210.58585319851431</v>
      </c>
      <c r="L41" s="42">
        <v>132.05966672269665</v>
      </c>
      <c r="M41" s="42">
        <v>292.23681689445812</v>
      </c>
      <c r="N41" s="42">
        <v>363.82420690921481</v>
      </c>
      <c r="O41" s="42">
        <v>197.08308192734421</v>
      </c>
      <c r="P41" s="42">
        <v>339.96607207444004</v>
      </c>
      <c r="Q41" s="42">
        <v>264.40887536816899</v>
      </c>
      <c r="R41" s="42">
        <v>446.50142432696566</v>
      </c>
      <c r="S41" s="42">
        <v>393.00987884654296</v>
      </c>
      <c r="T41" s="42">
        <v>447.19424561976666</v>
      </c>
      <c r="U41" s="42">
        <v>366.34439444170312</v>
      </c>
      <c r="V41" s="42">
        <v>578.9492857454552</v>
      </c>
      <c r="W41" s="42">
        <v>517.76122186793964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</v>
      </c>
      <c r="D44" s="185">
        <v>8759.9999999999982</v>
      </c>
      <c r="E44" s="185">
        <v>8760.0000000000018</v>
      </c>
      <c r="F44" s="185">
        <v>8759.9999999999964</v>
      </c>
      <c r="G44" s="185">
        <v>8760</v>
      </c>
      <c r="H44" s="185">
        <v>8760</v>
      </c>
      <c r="I44" s="185">
        <v>8760</v>
      </c>
      <c r="J44" s="185">
        <v>8760</v>
      </c>
      <c r="K44" s="185">
        <v>8760.0000000000018</v>
      </c>
      <c r="L44" s="185">
        <v>8759.9999999999982</v>
      </c>
      <c r="M44" s="185">
        <v>8760</v>
      </c>
      <c r="N44" s="185">
        <v>8760</v>
      </c>
      <c r="O44" s="185">
        <v>8760</v>
      </c>
      <c r="P44" s="185">
        <v>8759.9999999999982</v>
      </c>
      <c r="Q44" s="185">
        <v>8759.9999999999982</v>
      </c>
      <c r="R44" s="185">
        <v>8760.0000000000018</v>
      </c>
      <c r="S44" s="185">
        <v>8760</v>
      </c>
      <c r="T44" s="185">
        <v>8760</v>
      </c>
      <c r="U44" s="185">
        <v>8760.0000000000018</v>
      </c>
      <c r="V44" s="185">
        <v>8760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3880.2538156234937</v>
      </c>
      <c r="C45" s="185">
        <v>3885.8598655138799</v>
      </c>
      <c r="D45" s="185">
        <v>3888.1274802968492</v>
      </c>
      <c r="E45" s="185">
        <v>3891.3647467896521</v>
      </c>
      <c r="F45" s="185">
        <v>3894.1023943822443</v>
      </c>
      <c r="G45" s="185">
        <v>3899.0462060174546</v>
      </c>
      <c r="H45" s="185">
        <v>3903.1304922349277</v>
      </c>
      <c r="I45" s="185">
        <v>3906.5184848309227</v>
      </c>
      <c r="J45" s="185">
        <v>3916.6570284065342</v>
      </c>
      <c r="K45" s="185">
        <v>3926.5748908492915</v>
      </c>
      <c r="L45" s="185">
        <v>3932.2370713319392</v>
      </c>
      <c r="M45" s="185">
        <v>3919.0595425791321</v>
      </c>
      <c r="N45" s="185">
        <v>3901.8890560365226</v>
      </c>
      <c r="O45" s="185">
        <v>3880.5451990868632</v>
      </c>
      <c r="P45" s="185">
        <v>3854.3854945912194</v>
      </c>
      <c r="Q45" s="185">
        <v>3828.7986535134501</v>
      </c>
      <c r="R45" s="185">
        <v>3814.7562938168649</v>
      </c>
      <c r="S45" s="185">
        <v>3905.2848106018955</v>
      </c>
      <c r="T45" s="185">
        <v>3886.6166311243014</v>
      </c>
      <c r="U45" s="185">
        <v>3852.4664658552974</v>
      </c>
      <c r="V45" s="185">
        <v>3829.5582287253637</v>
      </c>
      <c r="W45" s="185">
        <v>3835.7049336303439</v>
      </c>
      <c r="DA45" s="194" t="s">
        <v>940</v>
      </c>
    </row>
    <row r="46" spans="1:105" ht="12" customHeight="1" x14ac:dyDescent="0.25">
      <c r="A46" s="132" t="s">
        <v>5</v>
      </c>
      <c r="B46" s="185">
        <v>2181.0063043798868</v>
      </c>
      <c r="C46" s="185">
        <v>2201.5997687701633</v>
      </c>
      <c r="D46" s="185">
        <v>2220.1738956391873</v>
      </c>
      <c r="E46" s="185">
        <v>2238.9310462817589</v>
      </c>
      <c r="F46" s="185">
        <v>2257.4889262961333</v>
      </c>
      <c r="G46" s="185">
        <v>2277.6740460072911</v>
      </c>
      <c r="H46" s="185">
        <v>2297.0248893479152</v>
      </c>
      <c r="I46" s="185">
        <v>2318.3277217124191</v>
      </c>
      <c r="J46" s="185">
        <v>2339.4464782106038</v>
      </c>
      <c r="K46" s="185">
        <v>2352.5498850209297</v>
      </c>
      <c r="L46" s="185">
        <v>2370.6629200211055</v>
      </c>
      <c r="M46" s="185">
        <v>2382.9599166980433</v>
      </c>
      <c r="N46" s="185">
        <v>2392.8955218512378</v>
      </c>
      <c r="O46" s="185">
        <v>2398.5378166133187</v>
      </c>
      <c r="P46" s="185">
        <v>2414.3979161019915</v>
      </c>
      <c r="Q46" s="185">
        <v>2428.2139221947527</v>
      </c>
      <c r="R46" s="185">
        <v>2430.0489094207919</v>
      </c>
      <c r="S46" s="185">
        <v>2515.9332554128255</v>
      </c>
      <c r="T46" s="185">
        <v>2507.9388238265929</v>
      </c>
      <c r="U46" s="185">
        <v>2483.116256514606</v>
      </c>
      <c r="V46" s="185">
        <v>2493.0930629023878</v>
      </c>
      <c r="W46" s="185">
        <v>2674.8926459686354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8759.9999999999982</v>
      </c>
      <c r="D47" s="185">
        <v>8760</v>
      </c>
      <c r="E47" s="185">
        <v>8759.9999999999945</v>
      </c>
      <c r="F47" s="185">
        <v>8759.9999999999964</v>
      </c>
      <c r="G47" s="185">
        <v>8759.9999999999982</v>
      </c>
      <c r="H47" s="185">
        <v>8760.0000000000018</v>
      </c>
      <c r="I47" s="185">
        <v>8759.9999999999964</v>
      </c>
      <c r="J47" s="185">
        <v>8760.0000000000036</v>
      </c>
      <c r="K47" s="185">
        <v>8759.9999999999964</v>
      </c>
      <c r="L47" s="185">
        <v>8760</v>
      </c>
      <c r="M47" s="185">
        <v>8760.0000000000018</v>
      </c>
      <c r="N47" s="185">
        <v>8760.0000000000036</v>
      </c>
      <c r="O47" s="185">
        <v>8759.9999999999982</v>
      </c>
      <c r="P47" s="185">
        <v>8759.9999999999964</v>
      </c>
      <c r="Q47" s="185">
        <v>8759.9999999999982</v>
      </c>
      <c r="R47" s="185">
        <v>8759.9999999999982</v>
      </c>
      <c r="S47" s="185">
        <v>8759.9999999999964</v>
      </c>
      <c r="T47" s="185">
        <v>8759.9999999999982</v>
      </c>
      <c r="U47" s="185">
        <v>8759.9999999999982</v>
      </c>
      <c r="V47" s="185">
        <v>8759.9999999999982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919.54097270772138</v>
      </c>
      <c r="C48" s="44">
        <v>923.93351150870092</v>
      </c>
      <c r="D48" s="44">
        <v>927.96190440926478</v>
      </c>
      <c r="E48" s="44">
        <v>931.68317512922351</v>
      </c>
      <c r="F48" s="44">
        <v>935.14183657151989</v>
      </c>
      <c r="G48" s="44">
        <v>938.37331311574326</v>
      </c>
      <c r="H48" s="44">
        <v>941.40626533533191</v>
      </c>
      <c r="I48" s="44">
        <v>944.26421463998292</v>
      </c>
      <c r="J48" s="44">
        <v>946.96670679240526</v>
      </c>
      <c r="K48" s="44">
        <v>949.53016312883665</v>
      </c>
      <c r="L48" s="44">
        <v>951.96851507928557</v>
      </c>
      <c r="M48" s="44">
        <v>953.5179980677417</v>
      </c>
      <c r="N48" s="44">
        <v>954.99773413292121</v>
      </c>
      <c r="O48" s="44">
        <v>956.41382742232418</v>
      </c>
      <c r="P48" s="44">
        <v>957.77161043062176</v>
      </c>
      <c r="Q48" s="44">
        <v>959.07576911645742</v>
      </c>
      <c r="R48" s="44">
        <v>959.26416638491435</v>
      </c>
      <c r="S48" s="44">
        <v>986.71936472934556</v>
      </c>
      <c r="T48" s="44">
        <v>987.42702070240841</v>
      </c>
      <c r="U48" s="44">
        <v>982.77724089964806</v>
      </c>
      <c r="V48" s="44">
        <v>986.7258994568341</v>
      </c>
      <c r="W48" s="44">
        <v>1058.6792331655583</v>
      </c>
      <c r="DA48" s="95" t="s">
        <v>943</v>
      </c>
    </row>
    <row r="49" spans="1:105" ht="12" customHeight="1" x14ac:dyDescent="0.25">
      <c r="A49" s="62" t="s">
        <v>3</v>
      </c>
      <c r="B49" s="186">
        <v>1570.2519063300231</v>
      </c>
      <c r="C49" s="186">
        <v>1590.237970359751</v>
      </c>
      <c r="D49" s="186">
        <v>1615.5897130758369</v>
      </c>
      <c r="E49" s="186">
        <v>1644.5923248521674</v>
      </c>
      <c r="F49" s="186">
        <v>1673.8498968395568</v>
      </c>
      <c r="G49" s="186">
        <v>1701.6383604787086</v>
      </c>
      <c r="H49" s="186">
        <v>1726.2867323064829</v>
      </c>
      <c r="I49" s="186">
        <v>1746.9895552891162</v>
      </c>
      <c r="J49" s="186">
        <v>1766.4943242945651</v>
      </c>
      <c r="K49" s="186">
        <v>1782.1295543623201</v>
      </c>
      <c r="L49" s="186">
        <v>1803.7457817322554</v>
      </c>
      <c r="M49" s="186">
        <v>1829.5618762067625</v>
      </c>
      <c r="N49" s="186">
        <v>1848.4428947199631</v>
      </c>
      <c r="O49" s="186">
        <v>1869.7920182363653</v>
      </c>
      <c r="P49" s="186">
        <v>1893.1810873092961</v>
      </c>
      <c r="Q49" s="186">
        <v>1917.0113090728803</v>
      </c>
      <c r="R49" s="186">
        <v>1940.0245776841102</v>
      </c>
      <c r="S49" s="186">
        <v>2015.5330041844825</v>
      </c>
      <c r="T49" s="186">
        <v>2036.3555672593106</v>
      </c>
      <c r="U49" s="186">
        <v>2047.7892449904189</v>
      </c>
      <c r="V49" s="186">
        <v>2057.6625145644798</v>
      </c>
      <c r="W49" s="186">
        <v>2237.5754268029236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0.76615583519707542</v>
      </c>
      <c r="C52" s="181">
        <v>0.76094438863063485</v>
      </c>
      <c r="D52" s="181">
        <v>0.7545383953645336</v>
      </c>
      <c r="E52" s="181">
        <v>0.74774715135004433</v>
      </c>
      <c r="F52" s="181">
        <v>0.74051896309376686</v>
      </c>
      <c r="G52" s="181">
        <v>0.73203841726613739</v>
      </c>
      <c r="H52" s="181">
        <v>0.72195056321419337</v>
      </c>
      <c r="I52" s="181">
        <v>0.71096682938593037</v>
      </c>
      <c r="J52" s="181">
        <v>0.70169183773757127</v>
      </c>
      <c r="K52" s="181">
        <v>0.69492250549521928</v>
      </c>
      <c r="L52" s="181">
        <v>0.68507064657114591</v>
      </c>
      <c r="M52" s="181">
        <v>0.67584614299431323</v>
      </c>
      <c r="N52" s="181">
        <v>0.6660395794465882</v>
      </c>
      <c r="O52" s="181">
        <v>0.6553089304595765</v>
      </c>
      <c r="P52" s="181">
        <v>0.64378464949439484</v>
      </c>
      <c r="Q52" s="181">
        <v>0.63135269579509168</v>
      </c>
      <c r="R52" s="181">
        <v>0.61933981833826357</v>
      </c>
      <c r="S52" s="181">
        <v>0.60740294264420025</v>
      </c>
      <c r="T52" s="181">
        <v>0.59547283457884048</v>
      </c>
      <c r="U52" s="181">
        <v>0.58695110714582144</v>
      </c>
      <c r="V52" s="181">
        <v>0.57802274935093767</v>
      </c>
      <c r="W52" s="181">
        <v>0.56970463013627215</v>
      </c>
      <c r="DA52" s="190" t="s">
        <v>945</v>
      </c>
    </row>
    <row r="53" spans="1:105" ht="12" customHeight="1" x14ac:dyDescent="0.25">
      <c r="A53" s="132" t="s">
        <v>100</v>
      </c>
      <c r="B53" s="181">
        <v>210.3478661889225</v>
      </c>
      <c r="C53" s="181">
        <v>208.09377939663611</v>
      </c>
      <c r="D53" s="181">
        <v>205.49282516987938</v>
      </c>
      <c r="E53" s="181">
        <v>202.38231530690027</v>
      </c>
      <c r="F53" s="181">
        <v>199.00647306514631</v>
      </c>
      <c r="G53" s="181">
        <v>195.35936501083131</v>
      </c>
      <c r="H53" s="181">
        <v>191.26097632088286</v>
      </c>
      <c r="I53" s="181">
        <v>186.81847384045571</v>
      </c>
      <c r="J53" s="181">
        <v>184.04150595193408</v>
      </c>
      <c r="K53" s="181">
        <v>180.9262200482612</v>
      </c>
      <c r="L53" s="181">
        <v>177.45991298726707</v>
      </c>
      <c r="M53" s="181">
        <v>173.93281606603895</v>
      </c>
      <c r="N53" s="181">
        <v>169.77545959043357</v>
      </c>
      <c r="O53" s="181">
        <v>165.29772189792249</v>
      </c>
      <c r="P53" s="181">
        <v>160.15525574089335</v>
      </c>
      <c r="Q53" s="181">
        <v>154.31402311912802</v>
      </c>
      <c r="R53" s="181">
        <v>147.69482353484062</v>
      </c>
      <c r="S53" s="181">
        <v>140.73092980489014</v>
      </c>
      <c r="T53" s="181">
        <v>134.09708386695726</v>
      </c>
      <c r="U53" s="181">
        <v>127.19302647974278</v>
      </c>
      <c r="V53" s="181">
        <v>120.33757751961436</v>
      </c>
      <c r="W53" s="181">
        <v>114.3748644275331</v>
      </c>
      <c r="DA53" s="190" t="s">
        <v>946</v>
      </c>
    </row>
    <row r="54" spans="1:105" ht="12" customHeight="1" x14ac:dyDescent="0.25">
      <c r="A54" s="132" t="s">
        <v>140</v>
      </c>
      <c r="B54" s="181">
        <v>51.49979113374031</v>
      </c>
      <c r="C54" s="181">
        <v>50.896010763692608</v>
      </c>
      <c r="D54" s="181">
        <v>49.961743615437406</v>
      </c>
      <c r="E54" s="181">
        <v>48.821574070651678</v>
      </c>
      <c r="F54" s="181">
        <v>47.551334765978872</v>
      </c>
      <c r="G54" s="181">
        <v>46.08900568244097</v>
      </c>
      <c r="H54" s="181">
        <v>44.493439599518979</v>
      </c>
      <c r="I54" s="181">
        <v>43.17421777680088</v>
      </c>
      <c r="J54" s="181">
        <v>41.966966193114004</v>
      </c>
      <c r="K54" s="181">
        <v>40.825323973577483</v>
      </c>
      <c r="L54" s="181">
        <v>39.552524081840588</v>
      </c>
      <c r="M54" s="181">
        <v>38.157711495053768</v>
      </c>
      <c r="N54" s="181">
        <v>36.56816805362439</v>
      </c>
      <c r="O54" s="181">
        <v>34.821826161367767</v>
      </c>
      <c r="P54" s="181">
        <v>32.911511135708004</v>
      </c>
      <c r="Q54" s="181">
        <v>31.073653176993872</v>
      </c>
      <c r="R54" s="181">
        <v>28.842055835600508</v>
      </c>
      <c r="S54" s="181">
        <v>26.813569089137395</v>
      </c>
      <c r="T54" s="181">
        <v>24.627752902077326</v>
      </c>
      <c r="U54" s="181">
        <v>22.487144498122213</v>
      </c>
      <c r="V54" s="181">
        <v>20.413530601254724</v>
      </c>
      <c r="W54" s="181">
        <v>18.673050072752112</v>
      </c>
      <c r="DA54" s="190" t="s">
        <v>947</v>
      </c>
    </row>
    <row r="55" spans="1:105" ht="12" customHeight="1" x14ac:dyDescent="0.25">
      <c r="A55" s="132" t="s">
        <v>181</v>
      </c>
      <c r="B55" s="181">
        <v>716.78480982372378</v>
      </c>
      <c r="C55" s="181">
        <v>708.63944031360427</v>
      </c>
      <c r="D55" s="181">
        <v>698.55149422849956</v>
      </c>
      <c r="E55" s="181">
        <v>688.40749433553947</v>
      </c>
      <c r="F55" s="181">
        <v>677.88817980416832</v>
      </c>
      <c r="G55" s="181">
        <v>666.82210419563205</v>
      </c>
      <c r="H55" s="181">
        <v>654.73987801469252</v>
      </c>
      <c r="I55" s="181">
        <v>641.66118913483706</v>
      </c>
      <c r="J55" s="181">
        <v>627.82070017530214</v>
      </c>
      <c r="K55" s="181">
        <v>613.07123549654909</v>
      </c>
      <c r="L55" s="181">
        <v>597.22513866445763</v>
      </c>
      <c r="M55" s="181">
        <v>584.47498279564763</v>
      </c>
      <c r="N55" s="181">
        <v>572.37661138511919</v>
      </c>
      <c r="O55" s="181">
        <v>560.61865506321067</v>
      </c>
      <c r="P55" s="181">
        <v>547.98539746852555</v>
      </c>
      <c r="Q55" s="181">
        <v>534.65228859757963</v>
      </c>
      <c r="R55" s="181">
        <v>522.01788720392449</v>
      </c>
      <c r="S55" s="181">
        <v>509.88851809039613</v>
      </c>
      <c r="T55" s="181">
        <v>498.83090160184656</v>
      </c>
      <c r="U55" s="181">
        <v>488.5680514329556</v>
      </c>
      <c r="V55" s="181">
        <v>478.7245451975441</v>
      </c>
      <c r="W55" s="181">
        <v>468.91121544192833</v>
      </c>
      <c r="DA55" s="190" t="s">
        <v>948</v>
      </c>
    </row>
    <row r="56" spans="1:105" ht="12" customHeight="1" x14ac:dyDescent="0.25">
      <c r="A56" s="60" t="s">
        <v>99</v>
      </c>
      <c r="B56" s="55">
        <v>54.169869166072644</v>
      </c>
      <c r="C56" s="55">
        <v>53.770283332698106</v>
      </c>
      <c r="D56" s="55">
        <v>53.300358974834239</v>
      </c>
      <c r="E56" s="55">
        <v>52.815356476960176</v>
      </c>
      <c r="F56" s="55">
        <v>52.30315095155936</v>
      </c>
      <c r="G56" s="55">
        <v>51.75363269471719</v>
      </c>
      <c r="H56" s="55">
        <v>51.170065798282167</v>
      </c>
      <c r="I56" s="55">
        <v>50.582991856983305</v>
      </c>
      <c r="J56" s="55">
        <v>50.060184309223892</v>
      </c>
      <c r="K56" s="55">
        <v>49.670996952211127</v>
      </c>
      <c r="L56" s="55">
        <v>49.125521183087784</v>
      </c>
      <c r="M56" s="55">
        <v>48.565797720213098</v>
      </c>
      <c r="N56" s="55">
        <v>47.899609846261541</v>
      </c>
      <c r="O56" s="55">
        <v>47.136666577944972</v>
      </c>
      <c r="P56" s="55">
        <v>46.248127004905307</v>
      </c>
      <c r="Q56" s="55">
        <v>45.218757930121683</v>
      </c>
      <c r="R56" s="55">
        <v>44.216040526315851</v>
      </c>
      <c r="S56" s="55">
        <v>43.16419043312748</v>
      </c>
      <c r="T56" s="55">
        <v>42.029959303457822</v>
      </c>
      <c r="U56" s="55">
        <v>40.851762446588204</v>
      </c>
      <c r="V56" s="55">
        <v>39.7294408891877</v>
      </c>
      <c r="W56" s="55">
        <v>38.691244697478737</v>
      </c>
      <c r="DA56" s="101" t="s">
        <v>949</v>
      </c>
    </row>
    <row r="57" spans="1:105" ht="12" customHeight="1" x14ac:dyDescent="0.25">
      <c r="A57" s="62" t="s">
        <v>98</v>
      </c>
      <c r="B57" s="63">
        <v>391.74348490121372</v>
      </c>
      <c r="C57" s="63">
        <v>382.52713130514718</v>
      </c>
      <c r="D57" s="63">
        <v>373.55926409162117</v>
      </c>
      <c r="E57" s="63">
        <v>365.20326963709078</v>
      </c>
      <c r="F57" s="63">
        <v>349.93899943726336</v>
      </c>
      <c r="G57" s="63">
        <v>337.79576539968724</v>
      </c>
      <c r="H57" s="63">
        <v>316.20753565005532</v>
      </c>
      <c r="I57" s="63">
        <v>296.67018591705528</v>
      </c>
      <c r="J57" s="63">
        <v>285.95831330025425</v>
      </c>
      <c r="K57" s="63">
        <v>266.72740902416456</v>
      </c>
      <c r="L57" s="63">
        <v>253.34534534912007</v>
      </c>
      <c r="M57" s="63">
        <v>231.56359194126927</v>
      </c>
      <c r="N57" s="63">
        <v>212.81963163072086</v>
      </c>
      <c r="O57" s="63">
        <v>201.91700340906118</v>
      </c>
      <c r="P57" s="63">
        <v>192.01952973149025</v>
      </c>
      <c r="Q57" s="63">
        <v>185.84430030677987</v>
      </c>
      <c r="R57" s="63">
        <v>181.04554354823148</v>
      </c>
      <c r="S57" s="63">
        <v>177.11293377758577</v>
      </c>
      <c r="T57" s="63">
        <v>173.78970539801097</v>
      </c>
      <c r="U57" s="63">
        <v>171.23073072051281</v>
      </c>
      <c r="V57" s="63">
        <v>166.45374380968002</v>
      </c>
      <c r="W57" s="63">
        <v>162.24351864646576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0.6868776068895166</v>
      </c>
      <c r="D60" s="181">
        <v>0.67821312308359238</v>
      </c>
      <c r="E60" s="181">
        <v>0.66981350796216332</v>
      </c>
      <c r="F60" s="181">
        <v>0.66097242361379016</v>
      </c>
      <c r="G60" s="181">
        <v>0.6512800511817447</v>
      </c>
      <c r="H60" s="181">
        <v>0.6421435775979849</v>
      </c>
      <c r="I60" s="181">
        <v>0.63219319144339237</v>
      </c>
      <c r="J60" s="181">
        <v>0.62299422991311781</v>
      </c>
      <c r="K60" s="181">
        <v>0.61181538439396377</v>
      </c>
      <c r="L60" s="181">
        <v>0.60195919805958331</v>
      </c>
      <c r="M60" s="181">
        <v>0.59153497909614261</v>
      </c>
      <c r="N60" s="181">
        <v>0.57962245983035376</v>
      </c>
      <c r="O60" s="181">
        <v>0.56646650706660961</v>
      </c>
      <c r="P60" s="181">
        <v>0.550197278647101</v>
      </c>
      <c r="Q60" s="181">
        <v>0.53343563794506965</v>
      </c>
      <c r="R60" s="181">
        <v>0.53005516030471989</v>
      </c>
      <c r="S60" s="181">
        <v>0.52512549876939596</v>
      </c>
      <c r="T60" s="181">
        <v>0.52042942593606234</v>
      </c>
      <c r="U60" s="181">
        <v>0.51605006879628734</v>
      </c>
      <c r="V60" s="181">
        <v>0.5117168388143698</v>
      </c>
      <c r="W60" s="181">
        <v>0.50996678465132295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195.90225280101106</v>
      </c>
      <c r="D61" s="181">
        <v>193.51589274873183</v>
      </c>
      <c r="E61" s="181">
        <v>190.57403143854984</v>
      </c>
      <c r="F61" s="181">
        <v>187.29887550846337</v>
      </c>
      <c r="G61" s="181">
        <v>184.75456117899671</v>
      </c>
      <c r="H61" s="181">
        <v>181.20540170564738</v>
      </c>
      <c r="I61" s="181">
        <v>177.78350252840477</v>
      </c>
      <c r="J61" s="181">
        <v>175.26183667014743</v>
      </c>
      <c r="K61" s="181">
        <v>171.62427257706545</v>
      </c>
      <c r="L61" s="181">
        <v>167.65155089643659</v>
      </c>
      <c r="M61" s="181">
        <v>162.88434687053459</v>
      </c>
      <c r="N61" s="181">
        <v>157.11476409329907</v>
      </c>
      <c r="O61" s="181">
        <v>151.55231993533494</v>
      </c>
      <c r="P61" s="181">
        <v>143.46228311704016</v>
      </c>
      <c r="Q61" s="181">
        <v>134.18165117652595</v>
      </c>
      <c r="R61" s="181">
        <v>126.30415296894594</v>
      </c>
      <c r="S61" s="181">
        <v>120.40130964903595</v>
      </c>
      <c r="T61" s="181">
        <v>114.48393337934478</v>
      </c>
      <c r="U61" s="181">
        <v>108.53572840506986</v>
      </c>
      <c r="V61" s="181">
        <v>102.60282246555892</v>
      </c>
      <c r="W61" s="181">
        <v>100.33434163393447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48.126704351925966</v>
      </c>
      <c r="D62" s="181">
        <v>46.399508418181341</v>
      </c>
      <c r="E62" s="181">
        <v>45.179918753484642</v>
      </c>
      <c r="F62" s="181">
        <v>44.147011309061796</v>
      </c>
      <c r="G62" s="181">
        <v>42.842472418814964</v>
      </c>
      <c r="H62" s="181">
        <v>41.730299335432825</v>
      </c>
      <c r="I62" s="181">
        <v>40.265563195748477</v>
      </c>
      <c r="J62" s="181">
        <v>39.065991440010407</v>
      </c>
      <c r="K62" s="181">
        <v>37.693714256502098</v>
      </c>
      <c r="L62" s="181">
        <v>36.4930448892204</v>
      </c>
      <c r="M62" s="181">
        <v>34.423987684291482</v>
      </c>
      <c r="N62" s="181">
        <v>32.644344217840995</v>
      </c>
      <c r="O62" s="181">
        <v>30.560212007487234</v>
      </c>
      <c r="P62" s="181">
        <v>28.406117223385767</v>
      </c>
      <c r="Q62" s="181">
        <v>25.948751367732285</v>
      </c>
      <c r="R62" s="181">
        <v>22.846645213141674</v>
      </c>
      <c r="S62" s="181">
        <v>21.520294433827473</v>
      </c>
      <c r="T62" s="181">
        <v>19.456531292779818</v>
      </c>
      <c r="U62" s="181">
        <v>17.787402431431389</v>
      </c>
      <c r="V62" s="181">
        <v>16.428623078094663</v>
      </c>
      <c r="W62" s="181">
        <v>14.994174187062637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650.81621777516511</v>
      </c>
      <c r="D63" s="181">
        <v>632.56611178621677</v>
      </c>
      <c r="E63" s="181">
        <v>623.50203756976691</v>
      </c>
      <c r="F63" s="181">
        <v>615.40045567209472</v>
      </c>
      <c r="G63" s="181">
        <v>607.56732410909751</v>
      </c>
      <c r="H63" s="181">
        <v>596.23022243805565</v>
      </c>
      <c r="I63" s="181">
        <v>584.19646383264137</v>
      </c>
      <c r="J63" s="181">
        <v>571.11125518625272</v>
      </c>
      <c r="K63" s="181">
        <v>558.2096368576241</v>
      </c>
      <c r="L63" s="181">
        <v>545.45873423920989</v>
      </c>
      <c r="M63" s="181">
        <v>530.41817287605443</v>
      </c>
      <c r="N63" s="181">
        <v>521.84551466721109</v>
      </c>
      <c r="O63" s="181">
        <v>509.16141359214566</v>
      </c>
      <c r="P63" s="181">
        <v>491.73415686899705</v>
      </c>
      <c r="Q63" s="181">
        <v>478.96927881508657</v>
      </c>
      <c r="R63" s="181">
        <v>472.0345703612511</v>
      </c>
      <c r="S63" s="181">
        <v>463.61561766735809</v>
      </c>
      <c r="T63" s="181">
        <v>455.4827391583861</v>
      </c>
      <c r="U63" s="181">
        <v>447.67588261744953</v>
      </c>
      <c r="V63" s="181">
        <v>439.93579744962005</v>
      </c>
      <c r="W63" s="181">
        <v>429.97451340386687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50.833947849103694</v>
      </c>
      <c r="D64" s="55">
        <v>50.291869694989629</v>
      </c>
      <c r="E64" s="55">
        <v>49.852826328164554</v>
      </c>
      <c r="F64" s="55">
        <v>49.27978074726439</v>
      </c>
      <c r="G64" s="55">
        <v>48.556648837223875</v>
      </c>
      <c r="H64" s="55">
        <v>47.791917110840565</v>
      </c>
      <c r="I64" s="55">
        <v>47.031671895647939</v>
      </c>
      <c r="J64" s="55">
        <v>46.084105733357738</v>
      </c>
      <c r="K64" s="55">
        <v>45.203666354132928</v>
      </c>
      <c r="L64" s="55">
        <v>44.209475677499434</v>
      </c>
      <c r="M64" s="55">
        <v>42.785080706483903</v>
      </c>
      <c r="N64" s="55">
        <v>41.433102105692676</v>
      </c>
      <c r="O64" s="55">
        <v>40.158084354302943</v>
      </c>
      <c r="P64" s="55">
        <v>38.823395588041343</v>
      </c>
      <c r="Q64" s="55">
        <v>37.625468698822843</v>
      </c>
      <c r="R64" s="55">
        <v>37.163265262011073</v>
      </c>
      <c r="S64" s="55">
        <v>36.614240420332045</v>
      </c>
      <c r="T64" s="55">
        <v>36.094095925834736</v>
      </c>
      <c r="U64" s="55">
        <v>35.588646706493343</v>
      </c>
      <c r="V64" s="55">
        <v>35.087191600994672</v>
      </c>
      <c r="W64" s="55">
        <v>34.832373630645542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364.97084266997774</v>
      </c>
      <c r="D65" s="63">
        <v>352.09700251244152</v>
      </c>
      <c r="E65" s="63">
        <v>337.87083878454217</v>
      </c>
      <c r="F65" s="63">
        <v>321.84136245683004</v>
      </c>
      <c r="G65" s="63">
        <v>305.89493572249563</v>
      </c>
      <c r="H65" s="63">
        <v>289.75219121118175</v>
      </c>
      <c r="I65" s="63">
        <v>272.64510429710458</v>
      </c>
      <c r="J65" s="63">
        <v>253.20903178441779</v>
      </c>
      <c r="K65" s="63">
        <v>233.2243690031469</v>
      </c>
      <c r="L65" s="63">
        <v>212.52286602208255</v>
      </c>
      <c r="M65" s="63">
        <v>198.54584827895567</v>
      </c>
      <c r="N65" s="63">
        <v>191.33097632627388</v>
      </c>
      <c r="O65" s="63">
        <v>184.51497375064901</v>
      </c>
      <c r="P65" s="63">
        <v>179.16639986937102</v>
      </c>
      <c r="Q65" s="63">
        <v>177.57639381143599</v>
      </c>
      <c r="R65" s="63">
        <v>175.4504733220968</v>
      </c>
      <c r="S65" s="63">
        <v>170.95357331184005</v>
      </c>
      <c r="T65" s="63">
        <v>166.54985896383286</v>
      </c>
      <c r="U65" s="63">
        <v>162.30805910582882</v>
      </c>
      <c r="V65" s="63">
        <v>158.09861149965272</v>
      </c>
      <c r="W65" s="63">
        <v>155.14609440744508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405.80537705703227</v>
      </c>
      <c r="C68" s="188">
        <f>1000000*C20/SER_summary!C$8</f>
        <v>407.63899544902284</v>
      </c>
      <c r="D68" s="188">
        <f>1000000*D20/SER_summary!D$8</f>
        <v>411.17620581107673</v>
      </c>
      <c r="E68" s="188">
        <f>1000000*E20/SER_summary!E$8</f>
        <v>414.49858556611883</v>
      </c>
      <c r="F68" s="188">
        <f>1000000*F20/SER_summary!F$8</f>
        <v>417.56549396925107</v>
      </c>
      <c r="G68" s="188">
        <f>1000000*G20/SER_summary!G$8</f>
        <v>420.88371198305367</v>
      </c>
      <c r="H68" s="188">
        <f>1000000*H20/SER_summary!H$8</f>
        <v>426.98379230024085</v>
      </c>
      <c r="I68" s="188">
        <f>1000000*I20/SER_summary!I$8</f>
        <v>432.76076942912812</v>
      </c>
      <c r="J68" s="188">
        <f>1000000*J20/SER_summary!J$8</f>
        <v>438.32582323795378</v>
      </c>
      <c r="K68" s="188">
        <f>1000000*K20/SER_summary!K$8</f>
        <v>443.28505763113907</v>
      </c>
      <c r="L68" s="188">
        <f>1000000*L20/SER_summary!L$8</f>
        <v>451.43691307870108</v>
      </c>
      <c r="M68" s="188">
        <f>1000000*M20/SER_summary!M$8</f>
        <v>459.91782335793874</v>
      </c>
      <c r="N68" s="188">
        <f>1000000*N20/SER_summary!N$8</f>
        <v>468.84850796241085</v>
      </c>
      <c r="O68" s="188">
        <f>1000000*O20/SER_summary!O$8</f>
        <v>480.37835161115015</v>
      </c>
      <c r="P68" s="188">
        <f>1000000*P20/SER_summary!P$8</f>
        <v>492.03918414265831</v>
      </c>
      <c r="Q68" s="188">
        <f>1000000*Q20/SER_summary!Q$8</f>
        <v>503.26358959464051</v>
      </c>
      <c r="R68" s="188">
        <f>1000000*R20/SER_summary!R$8</f>
        <v>514.01209913573985</v>
      </c>
      <c r="S68" s="188">
        <f>1000000*S20/SER_summary!S$8</f>
        <v>524.75865714586098</v>
      </c>
      <c r="T68" s="188">
        <f>1000000*T20/SER_summary!T$8</f>
        <v>535.51358473847154</v>
      </c>
      <c r="U68" s="188">
        <f>1000000*U20/SER_summary!U$8</f>
        <v>546.28314181173164</v>
      </c>
      <c r="V68" s="188">
        <f>1000000*V20/SER_summary!V$8</f>
        <v>557.07898027937415</v>
      </c>
      <c r="W68" s="188">
        <f>1000000*W20/SER_summary!W$8</f>
        <v>567.92930025683722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7.6563210094380676E-2</v>
      </c>
      <c r="C69" s="188">
        <f>1000*C21/SER_summary!C$3</f>
        <v>7.9631913859322875E-2</v>
      </c>
      <c r="D69" s="188">
        <f>1000*D21/SER_summary!D$3</f>
        <v>8.2791719547593901E-2</v>
      </c>
      <c r="E69" s="188">
        <f>1000*E21/SER_summary!E$3</f>
        <v>8.7104723614241278E-2</v>
      </c>
      <c r="F69" s="188">
        <f>1000*F21/SER_summary!F$3</f>
        <v>9.0719917659045288E-2</v>
      </c>
      <c r="G69" s="188">
        <f>1000*G21/SER_summary!G$3</f>
        <v>9.4333341885779146E-2</v>
      </c>
      <c r="H69" s="188">
        <f>1000*H21/SER_summary!H$3</f>
        <v>9.8246405492262212E-2</v>
      </c>
      <c r="I69" s="188">
        <f>1000*I21/SER_summary!I$3</f>
        <v>0.10175957438446931</v>
      </c>
      <c r="J69" s="188">
        <f>1000*J21/SER_summary!J$3</f>
        <v>0.10464696316813771</v>
      </c>
      <c r="K69" s="188">
        <f>1000*K21/SER_summary!K$3</f>
        <v>0.10844430443176789</v>
      </c>
      <c r="L69" s="188">
        <f>1000*L21/SER_summary!L$3</f>
        <v>0.11218940876384922</v>
      </c>
      <c r="M69" s="188">
        <f>1000*M21/SER_summary!M$3</f>
        <v>0.11598582803539767</v>
      </c>
      <c r="N69" s="188">
        <f>1000*N21/SER_summary!N$3</f>
        <v>0.12106951077889769</v>
      </c>
      <c r="O69" s="188">
        <f>1000*O21/SER_summary!O$3</f>
        <v>0.12640218207838447</v>
      </c>
      <c r="P69" s="188">
        <f>1000*P21/SER_summary!P$3</f>
        <v>0.13266305026690112</v>
      </c>
      <c r="Q69" s="188">
        <f>1000*Q21/SER_summary!Q$3</f>
        <v>0.13987495614086209</v>
      </c>
      <c r="R69" s="188">
        <f>1000*R21/SER_summary!R$3</f>
        <v>0.14699529648445922</v>
      </c>
      <c r="S69" s="188">
        <f>1000*S21/SER_summary!S$3</f>
        <v>0.15412420444299829</v>
      </c>
      <c r="T69" s="188">
        <f>1000*T21/SER_summary!T$3</f>
        <v>0.16121248652836853</v>
      </c>
      <c r="U69" s="188">
        <f>1000*U21/SER_summary!U$3</f>
        <v>0.16816218709870162</v>
      </c>
      <c r="V69" s="188">
        <f>1000*V21/SER_summary!V$3</f>
        <v>0.17484098052507588</v>
      </c>
      <c r="W69" s="188">
        <f>1000*W21/SER_summary!W$3</f>
        <v>0.18136623236253047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159.95968183727712</v>
      </c>
      <c r="C70" s="188">
        <f>1000000*C22/SER_summary!C$8</f>
        <v>161.2905724892353</v>
      </c>
      <c r="D70" s="188">
        <f>1000000*D22/SER_summary!D$8</f>
        <v>163.52942616279259</v>
      </c>
      <c r="E70" s="188">
        <f>1000000*E22/SER_summary!E$8</f>
        <v>166.82663508222879</v>
      </c>
      <c r="F70" s="188">
        <f>1000000*F22/SER_summary!F$8</f>
        <v>170.20050774563703</v>
      </c>
      <c r="G70" s="188">
        <f>1000000*G22/SER_summary!G$8</f>
        <v>173.50603670516705</v>
      </c>
      <c r="H70" s="188">
        <f>1000000*H22/SER_summary!H$8</f>
        <v>177.41549265847266</v>
      </c>
      <c r="I70" s="188">
        <f>1000000*I22/SER_summary!I$8</f>
        <v>181.02013155463698</v>
      </c>
      <c r="J70" s="188">
        <f>1000000*J22/SER_summary!J$8</f>
        <v>185.74214957275652</v>
      </c>
      <c r="K70" s="188">
        <f>1000000*K22/SER_summary!K$8</f>
        <v>190.8865799620753</v>
      </c>
      <c r="L70" s="188">
        <f>1000000*L22/SER_summary!L$8</f>
        <v>197.6615688698854</v>
      </c>
      <c r="M70" s="188">
        <f>1000000*M22/SER_summary!M$8</f>
        <v>204.55794103362649</v>
      </c>
      <c r="N70" s="188">
        <f>1000000*N22/SER_summary!N$8</f>
        <v>212.48405879512117</v>
      </c>
      <c r="O70" s="188">
        <f>1000000*O22/SER_summary!O$8</f>
        <v>220.60806301702442</v>
      </c>
      <c r="P70" s="188">
        <f>1000000*P22/SER_summary!P$8</f>
        <v>232.60258394447987</v>
      </c>
      <c r="Q70" s="188">
        <f>1000000*Q22/SER_summary!Q$8</f>
        <v>245.59572615903326</v>
      </c>
      <c r="R70" s="188">
        <f>1000000*R22/SER_summary!R$8</f>
        <v>252.60455947776123</v>
      </c>
      <c r="S70" s="188">
        <f>1000000*S22/SER_summary!S$8</f>
        <v>259.72343494400212</v>
      </c>
      <c r="T70" s="188">
        <f>1000000*T22/SER_summary!T$8</f>
        <v>266.47838880556128</v>
      </c>
      <c r="U70" s="188">
        <f>1000000*U22/SER_summary!U$8</f>
        <v>272.57956688471643</v>
      </c>
      <c r="V70" s="188">
        <f>1000000*V22/SER_summary!V$8</f>
        <v>277.48679150162252</v>
      </c>
      <c r="W70" s="188">
        <f>1000000*W22/SER_summary!W$8</f>
        <v>280.2025537504669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1.5498819005085079E-2</v>
      </c>
      <c r="C71" s="188">
        <f>1000*C23/SER_summary!C$3</f>
        <v>1.6134479972374396E-2</v>
      </c>
      <c r="D71" s="188">
        <f>1000*D23/SER_summary!D$3</f>
        <v>1.6758163798206195E-2</v>
      </c>
      <c r="E71" s="188">
        <f>1000*E23/SER_summary!E$3</f>
        <v>1.727203006158359E-2</v>
      </c>
      <c r="F71" s="188">
        <f>1000*F23/SER_summary!F$3</f>
        <v>1.7745912699747377E-2</v>
      </c>
      <c r="G71" s="188">
        <f>1000*G23/SER_summary!G$3</f>
        <v>1.8221181353029185E-2</v>
      </c>
      <c r="H71" s="188">
        <f>1000*H23/SER_summary!H$3</f>
        <v>1.8746338624378345E-2</v>
      </c>
      <c r="I71" s="188">
        <f>1000*I23/SER_summary!I$3</f>
        <v>1.9311351149411196E-2</v>
      </c>
      <c r="J71" s="188">
        <f>1000*J23/SER_summary!J$3</f>
        <v>1.9807227441418079E-2</v>
      </c>
      <c r="K71" s="188">
        <f>1000*K23/SER_summary!K$3</f>
        <v>2.0277947760643799E-2</v>
      </c>
      <c r="L71" s="188">
        <f>1000*L23/SER_summary!L$3</f>
        <v>2.0813367579612375E-2</v>
      </c>
      <c r="M71" s="188">
        <f>1000*M23/SER_summary!M$3</f>
        <v>2.1286977652577147E-2</v>
      </c>
      <c r="N71" s="188">
        <f>1000*N23/SER_summary!N$3</f>
        <v>2.1816254727247592E-2</v>
      </c>
      <c r="O71" s="188">
        <f>1000*O23/SER_summary!O$3</f>
        <v>2.2406968935866415E-2</v>
      </c>
      <c r="P71" s="188">
        <f>1000*P23/SER_summary!P$3</f>
        <v>2.3115018031124562E-2</v>
      </c>
      <c r="Q71" s="188">
        <f>1000*Q23/SER_summary!Q$3</f>
        <v>2.4006260976173008E-2</v>
      </c>
      <c r="R71" s="188">
        <f>1000*R23/SER_summary!R$3</f>
        <v>2.4888436666276815E-2</v>
      </c>
      <c r="S71" s="188">
        <f>1000*S23/SER_summary!S$3</f>
        <v>2.5770528137419903E-2</v>
      </c>
      <c r="T71" s="188">
        <f>1000*T23/SER_summary!T$3</f>
        <v>2.6652299479795978E-2</v>
      </c>
      <c r="U71" s="188">
        <f>1000*U23/SER_summary!U$3</f>
        <v>2.7522199476075482E-2</v>
      </c>
      <c r="V71" s="188">
        <f>1000*V23/SER_summary!V$3</f>
        <v>2.8367331320983753E-2</v>
      </c>
      <c r="W71" s="188">
        <f>1000*W23/SER_summary!W$3</f>
        <v>2.9214794506329005E-2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59.447220614107756</v>
      </c>
      <c r="C72" s="188">
        <f>1000000*C24/SER_summary!C$8</f>
        <v>64.369080627885864</v>
      </c>
      <c r="D72" s="188">
        <f>1000000*D24/SER_summary!D$8</f>
        <v>70.294559692858655</v>
      </c>
      <c r="E72" s="188">
        <f>1000000*E24/SER_summary!E$8</f>
        <v>76.933273862098503</v>
      </c>
      <c r="F72" s="188">
        <f>1000000*F24/SER_summary!F$8</f>
        <v>84.23282597013835</v>
      </c>
      <c r="G72" s="188">
        <f>1000000*G24/SER_summary!G$8</f>
        <v>91.299951266891327</v>
      </c>
      <c r="H72" s="188">
        <f>1000000*H24/SER_summary!H$8</f>
        <v>97.822594248866238</v>
      </c>
      <c r="I72" s="188">
        <f>1000000*I24/SER_summary!I$8</f>
        <v>102.86015338970114</v>
      </c>
      <c r="J72" s="188">
        <f>1000000*J24/SER_summary!J$8</f>
        <v>107.07134266157051</v>
      </c>
      <c r="K72" s="188">
        <f>1000000*K24/SER_summary!K$8</f>
        <v>110.43759021370748</v>
      </c>
      <c r="L72" s="188">
        <f>1000000*L24/SER_summary!L$8</f>
        <v>113.29382161140927</v>
      </c>
      <c r="M72" s="188">
        <f>1000000*M24/SER_summary!M$8</f>
        <v>115.80880694044514</v>
      </c>
      <c r="N72" s="188">
        <f>1000000*N24/SER_summary!N$8</f>
        <v>118.50491396045285</v>
      </c>
      <c r="O72" s="188">
        <f>1000000*O24/SER_summary!O$8</f>
        <v>121.35879776251848</v>
      </c>
      <c r="P72" s="188">
        <f>1000000*P24/SER_summary!P$8</f>
        <v>124.4307631813148</v>
      </c>
      <c r="Q72" s="188">
        <f>1000000*Q24/SER_summary!Q$8</f>
        <v>127.76265128544694</v>
      </c>
      <c r="R72" s="188">
        <f>1000000*R24/SER_summary!R$8</f>
        <v>133.38470143874926</v>
      </c>
      <c r="S72" s="188">
        <f>1000000*S24/SER_summary!S$8</f>
        <v>138.6658876750144</v>
      </c>
      <c r="T72" s="188">
        <f>1000000*T24/SER_summary!T$8</f>
        <v>145.08409664357964</v>
      </c>
      <c r="U72" s="188">
        <f>1000000*U24/SER_summary!U$8</f>
        <v>152.79064151945465</v>
      </c>
      <c r="V72" s="188">
        <f>1000000*V24/SER_summary!V$8</f>
        <v>159.91502631316934</v>
      </c>
      <c r="W72" s="188">
        <f>1000000*W24/SER_summary!W$8</f>
        <v>166.08081399650379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8.6074750096787694E-2</v>
      </c>
      <c r="C73" s="52">
        <f>1000*C25/SER_summary!C$3</f>
        <v>0.10539645212235429</v>
      </c>
      <c r="D73" s="52">
        <f>1000*D25/SER_summary!D$3</f>
        <v>0.11751393528171068</v>
      </c>
      <c r="E73" s="52">
        <f>1000*E25/SER_summary!E$3</f>
        <v>0.1194753051287662</v>
      </c>
      <c r="F73" s="52">
        <f>1000*F25/SER_summary!F$3</f>
        <v>0.14144276150789556</v>
      </c>
      <c r="G73" s="52">
        <f>1000*G25/SER_summary!G$3</f>
        <v>0.14870309552323807</v>
      </c>
      <c r="H73" s="52">
        <f>1000*H25/SER_summary!H$3</f>
        <v>0.16676521710998402</v>
      </c>
      <c r="I73" s="52">
        <f>1000*I25/SER_summary!I$3</f>
        <v>0.20503817965476914</v>
      </c>
      <c r="J73" s="52">
        <f>1000*J25/SER_summary!J$3</f>
        <v>0.22242845800426256</v>
      </c>
      <c r="K73" s="52">
        <f>1000*K25/SER_summary!K$3</f>
        <v>0.24620422085388163</v>
      </c>
      <c r="L73" s="52">
        <f>1000*L25/SER_summary!L$3</f>
        <v>0.27039113039149637</v>
      </c>
      <c r="M73" s="52">
        <f>1000*M25/SER_summary!M$3</f>
        <v>0.29889657877077186</v>
      </c>
      <c r="N73" s="52">
        <f>1000*N25/SER_summary!N$3</f>
        <v>0.30364018512284457</v>
      </c>
      <c r="O73" s="52">
        <f>1000*O25/SER_summary!O$3</f>
        <v>0.34949876437502159</v>
      </c>
      <c r="P73" s="52">
        <f>1000*P25/SER_summary!P$3</f>
        <v>0.35403930476508316</v>
      </c>
      <c r="Q73" s="52">
        <f>1000*Q25/SER_summary!Q$3</f>
        <v>0.41170550521289684</v>
      </c>
      <c r="R73" s="52">
        <f>1000*R25/SER_summary!R$3</f>
        <v>0.42446591616486057</v>
      </c>
      <c r="S73" s="52">
        <f>1000*S25/SER_summary!S$3</f>
        <v>0.45509866445832681</v>
      </c>
      <c r="T73" s="52">
        <f>1000*T25/SER_summary!T$3</f>
        <v>0.45918103420261203</v>
      </c>
      <c r="U73" s="52">
        <f>1000*U25/SER_summary!U$3</f>
        <v>0.46308732424313681</v>
      </c>
      <c r="V73" s="52">
        <f>1000*V25/SER_summary!V$3</f>
        <v>0.47957225760565303</v>
      </c>
      <c r="W73" s="52">
        <f>1000*W25/SER_summary!W$3</f>
        <v>0.49249383986946471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6.8072735076927158</v>
      </c>
      <c r="C3" s="199">
        <f>'SER_se-appl'!C4</f>
        <v>6.9228026744711277</v>
      </c>
      <c r="D3" s="199">
        <f>'SER_se-appl'!D4</f>
        <v>7.0961509924877113</v>
      </c>
      <c r="E3" s="199">
        <f>'SER_se-appl'!E4</f>
        <v>7.2684212754499375</v>
      </c>
      <c r="F3" s="199">
        <f>'SER_se-appl'!F4</f>
        <v>7.4419566234597818</v>
      </c>
      <c r="G3" s="199">
        <f>'SER_se-appl'!G4</f>
        <v>7.6806193042082702</v>
      </c>
      <c r="H3" s="199">
        <f>'SER_se-appl'!H4</f>
        <v>8.0352265402299121</v>
      </c>
      <c r="I3" s="199">
        <f>'SER_se-appl'!I4</f>
        <v>8.4654933922755546</v>
      </c>
      <c r="J3" s="199">
        <f>'SER_se-appl'!J4</f>
        <v>8.741770231282052</v>
      </c>
      <c r="K3" s="199">
        <f>'SER_se-appl'!K4</f>
        <v>8.7409322511083509</v>
      </c>
      <c r="L3" s="199">
        <f>'SER_se-appl'!L4</f>
        <v>8.9680442737611958</v>
      </c>
      <c r="M3" s="199">
        <f>'SER_se-appl'!M4</f>
        <v>9.1022966300516508</v>
      </c>
      <c r="N3" s="199">
        <f>'SER_se-appl'!N4</f>
        <v>9.2351712952184233</v>
      </c>
      <c r="O3" s="199">
        <f>'SER_se-appl'!O4</f>
        <v>9.3905860840781656</v>
      </c>
      <c r="P3" s="199">
        <f>'SER_se-appl'!P4</f>
        <v>9.5387386090667956</v>
      </c>
      <c r="Q3" s="199">
        <f>'SER_se-appl'!Q4</f>
        <v>9.6877155355127975</v>
      </c>
      <c r="R3" s="199">
        <f>'SER_se-appl'!R4</f>
        <v>9.8229910793044031</v>
      </c>
      <c r="S3" s="199">
        <f>'SER_se-appl'!S4</f>
        <v>9.9598900894667679</v>
      </c>
      <c r="T3" s="199">
        <f>'SER_se-appl'!T4</f>
        <v>10.109254824791012</v>
      </c>
      <c r="U3" s="199">
        <f>'SER_se-appl'!U4</f>
        <v>10.316497145447302</v>
      </c>
      <c r="V3" s="199">
        <f>'SER_se-appl'!V4</f>
        <v>10.50687357920029</v>
      </c>
      <c r="W3" s="199">
        <f>'SER_se-appl'!W4</f>
        <v>10.69505276246805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9.0375103760806272</v>
      </c>
      <c r="C5" s="59">
        <f>'SER_se-appl'!C12</f>
        <v>9.1908898520661211</v>
      </c>
      <c r="D5" s="59">
        <f>'SER_se-appl'!D12</f>
        <v>9.4210315117159933</v>
      </c>
      <c r="E5" s="59">
        <f>'SER_se-appl'!E12</f>
        <v>9.6497419444615016</v>
      </c>
      <c r="F5" s="59">
        <f>'SER_se-appl'!F12</f>
        <v>9.8801319099129348</v>
      </c>
      <c r="G5" s="59">
        <f>'SER_se-appl'!G12</f>
        <v>10.196986587664632</v>
      </c>
      <c r="H5" s="59">
        <f>'SER_se-appl'!H12</f>
        <v>10.667772221789255</v>
      </c>
      <c r="I5" s="59">
        <f>'SER_se-appl'!I12</f>
        <v>11.239005496822454</v>
      </c>
      <c r="J5" s="59">
        <f>'SER_se-appl'!J12</f>
        <v>11.605797692900715</v>
      </c>
      <c r="K5" s="59">
        <f>'SER_se-appl'!K12</f>
        <v>11.604685168994303</v>
      </c>
      <c r="L5" s="59">
        <f>'SER_se-appl'!L12</f>
        <v>11.906204897698943</v>
      </c>
      <c r="M5" s="59">
        <f>'SER_se-appl'!M12</f>
        <v>12.084441758847111</v>
      </c>
      <c r="N5" s="59">
        <f>'SER_se-appl'!N12</f>
        <v>12.260849562030851</v>
      </c>
      <c r="O5" s="59">
        <f>'SER_se-appl'!O12</f>
        <v>12.467182209797837</v>
      </c>
      <c r="P5" s="59">
        <f>'SER_se-appl'!P12</f>
        <v>12.663873290347814</v>
      </c>
      <c r="Q5" s="59">
        <f>'SER_se-appl'!Q12</f>
        <v>12.86165886735318</v>
      </c>
      <c r="R5" s="59">
        <f>'SER_se-appl'!R12</f>
        <v>13.041254138391574</v>
      </c>
      <c r="S5" s="59">
        <f>'SER_se-appl'!S12</f>
        <v>13.223004764897089</v>
      </c>
      <c r="T5" s="59">
        <f>'SER_se-appl'!T12</f>
        <v>13.421305206885783</v>
      </c>
      <c r="U5" s="59">
        <f>'SER_se-appl'!U12</f>
        <v>13.696445411136086</v>
      </c>
      <c r="V5" s="59">
        <f>'SER_se-appl'!V12</f>
        <v>13.949194032659745</v>
      </c>
      <c r="W5" s="59">
        <f>'SER_se-appl'!W12</f>
        <v>14.199025528253816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405.80537705703227</v>
      </c>
      <c r="C6" s="202">
        <f>'SER_se-appl'!C68</f>
        <v>407.63899544902284</v>
      </c>
      <c r="D6" s="202">
        <f>'SER_se-appl'!D68</f>
        <v>411.17620581107673</v>
      </c>
      <c r="E6" s="202">
        <f>'SER_se-appl'!E68</f>
        <v>414.49858556611883</v>
      </c>
      <c r="F6" s="202">
        <f>'SER_se-appl'!F68</f>
        <v>417.56549396925107</v>
      </c>
      <c r="G6" s="202">
        <f>'SER_se-appl'!G68</f>
        <v>420.88371198305367</v>
      </c>
      <c r="H6" s="202">
        <f>'SER_se-appl'!H68</f>
        <v>426.98379230024085</v>
      </c>
      <c r="I6" s="202">
        <f>'SER_se-appl'!I68</f>
        <v>432.76076942912812</v>
      </c>
      <c r="J6" s="202">
        <f>'SER_se-appl'!J68</f>
        <v>438.32582323795378</v>
      </c>
      <c r="K6" s="202">
        <f>'SER_se-appl'!K68</f>
        <v>443.28505763113907</v>
      </c>
      <c r="L6" s="202">
        <f>'SER_se-appl'!L68</f>
        <v>451.43691307870108</v>
      </c>
      <c r="M6" s="202">
        <f>'SER_se-appl'!M68</f>
        <v>459.91782335793874</v>
      </c>
      <c r="N6" s="202">
        <f>'SER_se-appl'!N68</f>
        <v>468.84850796241085</v>
      </c>
      <c r="O6" s="202">
        <f>'SER_se-appl'!O68</f>
        <v>480.37835161115015</v>
      </c>
      <c r="P6" s="202">
        <f>'SER_se-appl'!P68</f>
        <v>492.03918414265831</v>
      </c>
      <c r="Q6" s="202">
        <f>'SER_se-appl'!Q68</f>
        <v>503.26358959464051</v>
      </c>
      <c r="R6" s="202">
        <f>'SER_se-appl'!R68</f>
        <v>514.01209913573985</v>
      </c>
      <c r="S6" s="202">
        <f>'SER_se-appl'!S68</f>
        <v>524.75865714586098</v>
      </c>
      <c r="T6" s="202">
        <f>'SER_se-appl'!T68</f>
        <v>535.51358473847154</v>
      </c>
      <c r="U6" s="202">
        <f>'SER_se-appl'!U68</f>
        <v>546.28314181173164</v>
      </c>
      <c r="V6" s="202">
        <f>'SER_se-appl'!V68</f>
        <v>557.07898027937415</v>
      </c>
      <c r="W6" s="202">
        <f>'SER_se-appl'!W68</f>
        <v>567.92930025683722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11.795916654156843</v>
      </c>
      <c r="C8" s="34">
        <f>'SER_se-appl'!C20</f>
        <v>12.078267465255482</v>
      </c>
      <c r="D8" s="34">
        <f>'SER_se-appl'!D20</f>
        <v>12.485821224729714</v>
      </c>
      <c r="E8" s="34">
        <f>'SER_se-appl'!E20</f>
        <v>12.90508686932349</v>
      </c>
      <c r="F8" s="34">
        <f>'SER_se-appl'!F20</f>
        <v>13.34217272253956</v>
      </c>
      <c r="G8" s="34">
        <f>'SER_se-appl'!G20</f>
        <v>13.929578485438219</v>
      </c>
      <c r="H8" s="34">
        <f>'SER_se-appl'!H20</f>
        <v>14.776319550600952</v>
      </c>
      <c r="I8" s="34">
        <f>'SER_se-appl'!I20</f>
        <v>15.808058874602777</v>
      </c>
      <c r="J8" s="34">
        <f>'SER_se-appl'!J20</f>
        <v>16.539735919289996</v>
      </c>
      <c r="K8" s="34">
        <f>'SER_se-appl'!K20</f>
        <v>16.699250746994462</v>
      </c>
      <c r="L8" s="34">
        <f>'SER_se-appl'!L20</f>
        <v>17.379528603788252</v>
      </c>
      <c r="M8" s="34">
        <f>'SER_se-appl'!M20</f>
        <v>17.880462711982648</v>
      </c>
      <c r="N8" s="34">
        <f>'SER_se-appl'!N20</f>
        <v>18.408590030367836</v>
      </c>
      <c r="O8" s="34">
        <f>'SER_se-appl'!O20</f>
        <v>19.02489288686245</v>
      </c>
      <c r="P8" s="34">
        <f>'SER_se-appl'!P20</f>
        <v>19.670977399497737</v>
      </c>
      <c r="Q8" s="34">
        <f>'SER_se-appl'!Q20</f>
        <v>20.371590955441945</v>
      </c>
      <c r="R8" s="34">
        <f>'SER_se-appl'!R20</f>
        <v>21.056702237201968</v>
      </c>
      <c r="S8" s="34">
        <f>'SER_se-appl'!S20</f>
        <v>21.76974103440055</v>
      </c>
      <c r="T8" s="34">
        <f>'SER_se-appl'!T20</f>
        <v>22.538904258123306</v>
      </c>
      <c r="U8" s="34">
        <f>'SER_se-appl'!U20</f>
        <v>23.334900035776503</v>
      </c>
      <c r="V8" s="34">
        <f>'SER_se-appl'!V20</f>
        <v>24.132603860874525</v>
      </c>
      <c r="W8" s="34">
        <f>'SER_se-appl'!W20</f>
        <v>24.923486271925576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0.79397896312923066</v>
      </c>
      <c r="D9" s="36">
        <f>'SER_se-appl'!D28</f>
        <v>0.93365361784453782</v>
      </c>
      <c r="E9" s="36">
        <f>'SER_se-appl'!E28</f>
        <v>0.96024655011812321</v>
      </c>
      <c r="F9" s="36">
        <f>'SER_se-appl'!F28</f>
        <v>0.99336872515698182</v>
      </c>
      <c r="G9" s="36">
        <f>'SER_se-appl'!G28</f>
        <v>1.1594234264701555</v>
      </c>
      <c r="H9" s="36">
        <f>'SER_se-appl'!H28</f>
        <v>1.434938588297241</v>
      </c>
      <c r="I9" s="36">
        <f>'SER_se-appl'!I28</f>
        <v>1.6365743636427386</v>
      </c>
      <c r="J9" s="36">
        <f>'SER_se-appl'!J28</f>
        <v>1.3536202028765647</v>
      </c>
      <c r="K9" s="36">
        <f>'SER_se-appl'!K28</f>
        <v>0.79905001774270445</v>
      </c>
      <c r="L9" s="36">
        <f>'SER_se-appl'!L28</f>
        <v>1.3379026797566738</v>
      </c>
      <c r="M9" s="36">
        <f>'SER_se-appl'!M28</f>
        <v>1.1771602400998269</v>
      </c>
      <c r="N9" s="36">
        <f>'SER_se-appl'!N28</f>
        <v>1.2234809083113269</v>
      </c>
      <c r="O9" s="36">
        <f>'SER_se-appl'!O28</f>
        <v>1.3313249359589854</v>
      </c>
      <c r="P9" s="36">
        <f>'SER_se-appl'!P28</f>
        <v>1.3813314165534223</v>
      </c>
      <c r="Q9" s="36">
        <f>'SER_se-appl'!Q28</f>
        <v>1.4566573554953521</v>
      </c>
      <c r="R9" s="36">
        <f>'SER_se-appl'!R28</f>
        <v>1.4625402294967031</v>
      </c>
      <c r="S9" s="36">
        <f>'SER_se-appl'!S28</f>
        <v>1.5124577847463776</v>
      </c>
      <c r="T9" s="36">
        <f>'SER_se-appl'!T28</f>
        <v>1.5911942524263587</v>
      </c>
      <c r="U9" s="36">
        <f>'SER_se-appl'!U28</f>
        <v>1.5899747407824272</v>
      </c>
      <c r="V9" s="36">
        <f>'SER_se-appl'!V28</f>
        <v>1.73135744294256</v>
      </c>
      <c r="W9" s="36">
        <f>'SER_se-appl'!W28</f>
        <v>1.7511289611691723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0.51162815203059075</v>
      </c>
      <c r="D10" s="38">
        <f>'SER_se-appl'!D36</f>
        <v>0.52609985837030671</v>
      </c>
      <c r="E10" s="38">
        <f>'SER_se-appl'!E36</f>
        <v>0.54098090552434641</v>
      </c>
      <c r="F10" s="38">
        <f>'SER_se-appl'!F36</f>
        <v>0.55628287194091186</v>
      </c>
      <c r="G10" s="38">
        <f>'SER_se-appl'!G36</f>
        <v>0.57201766357149708</v>
      </c>
      <c r="H10" s="38">
        <f>'SER_se-appl'!H36</f>
        <v>0.58819752313450735</v>
      </c>
      <c r="I10" s="38">
        <f>'SER_se-appl'!I36</f>
        <v>0.60483503964091234</v>
      </c>
      <c r="J10" s="38">
        <f>'SER_se-appl'!J36</f>
        <v>0.62194315818934598</v>
      </c>
      <c r="K10" s="38">
        <f>'SER_se-appl'!K36</f>
        <v>0.639535190038238</v>
      </c>
      <c r="L10" s="38">
        <f>'SER_se-appl'!L36</f>
        <v>0.65762482296288383</v>
      </c>
      <c r="M10" s="38">
        <f>'SER_se-appl'!M36</f>
        <v>0.67622613190543035</v>
      </c>
      <c r="N10" s="38">
        <f>'SER_se-appl'!N36</f>
        <v>0.69535358992613894</v>
      </c>
      <c r="O10" s="38">
        <f>'SER_se-appl'!O36</f>
        <v>0.71502207946437224</v>
      </c>
      <c r="P10" s="38">
        <f>'SER_se-appl'!P36</f>
        <v>0.73524690391813508</v>
      </c>
      <c r="Q10" s="38">
        <f>'SER_se-appl'!Q36</f>
        <v>0.75604379955114354</v>
      </c>
      <c r="R10" s="38">
        <f>'SER_se-appl'!R36</f>
        <v>0.7774289477366807</v>
      </c>
      <c r="S10" s="38">
        <f>'SER_se-appl'!S36</f>
        <v>0.79941898754779572</v>
      </c>
      <c r="T10" s="38">
        <f>'SER_se-appl'!T36</f>
        <v>0.82203102870360212</v>
      </c>
      <c r="U10" s="38">
        <f>'SER_se-appl'!U36</f>
        <v>0.79397896312923066</v>
      </c>
      <c r="V10" s="38">
        <f>'SER_se-appl'!V36</f>
        <v>0.93365361784453782</v>
      </c>
      <c r="W10" s="38">
        <f>'SER_se-appl'!W36</f>
        <v>0.96024655011812143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</v>
      </c>
      <c r="D12" s="205">
        <f>'SER_se-appl'!D44</f>
        <v>8759.9999999999982</v>
      </c>
      <c r="E12" s="205">
        <f>'SER_se-appl'!E44</f>
        <v>8760.0000000000018</v>
      </c>
      <c r="F12" s="205">
        <f>'SER_se-appl'!F44</f>
        <v>8759.9999999999964</v>
      </c>
      <c r="G12" s="205">
        <f>'SER_se-appl'!G44</f>
        <v>8760</v>
      </c>
      <c r="H12" s="205">
        <f>'SER_se-appl'!H44</f>
        <v>8760</v>
      </c>
      <c r="I12" s="205">
        <f>'SER_se-appl'!I44</f>
        <v>8760</v>
      </c>
      <c r="J12" s="205">
        <f>'SER_se-appl'!J44</f>
        <v>8760</v>
      </c>
      <c r="K12" s="205">
        <f>'SER_se-appl'!K44</f>
        <v>8760.0000000000018</v>
      </c>
      <c r="L12" s="205">
        <f>'SER_se-appl'!L44</f>
        <v>8759.9999999999982</v>
      </c>
      <c r="M12" s="205">
        <f>'SER_se-appl'!M44</f>
        <v>8760</v>
      </c>
      <c r="N12" s="205">
        <f>'SER_se-appl'!N44</f>
        <v>8760</v>
      </c>
      <c r="O12" s="205">
        <f>'SER_se-appl'!O44</f>
        <v>8760</v>
      </c>
      <c r="P12" s="205">
        <f>'SER_se-appl'!P44</f>
        <v>8759.9999999999982</v>
      </c>
      <c r="Q12" s="205">
        <f>'SER_se-appl'!Q44</f>
        <v>8759.9999999999982</v>
      </c>
      <c r="R12" s="205">
        <f>'SER_se-appl'!R44</f>
        <v>8760.0000000000018</v>
      </c>
      <c r="S12" s="205">
        <f>'SER_se-appl'!S44</f>
        <v>8760</v>
      </c>
      <c r="T12" s="205">
        <f>'SER_se-appl'!T44</f>
        <v>8760</v>
      </c>
      <c r="U12" s="205">
        <f>'SER_se-appl'!U44</f>
        <v>8760.0000000000018</v>
      </c>
      <c r="V12" s="205">
        <f>'SER_se-appl'!V44</f>
        <v>8760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0.76615583519707542</v>
      </c>
      <c r="C14" s="59">
        <f>'SER_se-appl'!C52</f>
        <v>0.76094438863063485</v>
      </c>
      <c r="D14" s="59">
        <f>'SER_se-appl'!D52</f>
        <v>0.7545383953645336</v>
      </c>
      <c r="E14" s="59">
        <f>'SER_se-appl'!E52</f>
        <v>0.74774715135004433</v>
      </c>
      <c r="F14" s="59">
        <f>'SER_se-appl'!F52</f>
        <v>0.74051896309376686</v>
      </c>
      <c r="G14" s="59">
        <f>'SER_se-appl'!G52</f>
        <v>0.73203841726613739</v>
      </c>
      <c r="H14" s="59">
        <f>'SER_se-appl'!H52</f>
        <v>0.72195056321419337</v>
      </c>
      <c r="I14" s="59">
        <f>'SER_se-appl'!I52</f>
        <v>0.71096682938593037</v>
      </c>
      <c r="J14" s="59">
        <f>'SER_se-appl'!J52</f>
        <v>0.70169183773757127</v>
      </c>
      <c r="K14" s="59">
        <f>'SER_se-appl'!K52</f>
        <v>0.69492250549521928</v>
      </c>
      <c r="L14" s="59">
        <f>'SER_se-appl'!L52</f>
        <v>0.68507064657114591</v>
      </c>
      <c r="M14" s="59">
        <f>'SER_se-appl'!M52</f>
        <v>0.67584614299431323</v>
      </c>
      <c r="N14" s="59">
        <f>'SER_se-appl'!N52</f>
        <v>0.6660395794465882</v>
      </c>
      <c r="O14" s="59">
        <f>'SER_se-appl'!O52</f>
        <v>0.6553089304595765</v>
      </c>
      <c r="P14" s="59">
        <f>'SER_se-appl'!P52</f>
        <v>0.64378464949439484</v>
      </c>
      <c r="Q14" s="59">
        <f>'SER_se-appl'!Q52</f>
        <v>0.63135269579509168</v>
      </c>
      <c r="R14" s="59">
        <f>'SER_se-appl'!R52</f>
        <v>0.61933981833826357</v>
      </c>
      <c r="S14" s="59">
        <f>'SER_se-appl'!S52</f>
        <v>0.60740294264420025</v>
      </c>
      <c r="T14" s="59">
        <f>'SER_se-appl'!T52</f>
        <v>0.59547283457884048</v>
      </c>
      <c r="U14" s="59">
        <f>'SER_se-appl'!U52</f>
        <v>0.58695110714582144</v>
      </c>
      <c r="V14" s="59">
        <f>'SER_se-appl'!V52</f>
        <v>0.57802274935093767</v>
      </c>
      <c r="W14" s="59">
        <f>'SER_se-appl'!W52</f>
        <v>0.56970463013627215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0.6868776068895166</v>
      </c>
      <c r="D15" s="63">
        <f>'SER_se-appl'!D60</f>
        <v>0.67821312308359238</v>
      </c>
      <c r="E15" s="63">
        <f>'SER_se-appl'!E60</f>
        <v>0.66981350796216332</v>
      </c>
      <c r="F15" s="63">
        <f>'SER_se-appl'!F60</f>
        <v>0.66097242361379016</v>
      </c>
      <c r="G15" s="63">
        <f>'SER_se-appl'!G60</f>
        <v>0.6512800511817447</v>
      </c>
      <c r="H15" s="63">
        <f>'SER_se-appl'!H60</f>
        <v>0.6421435775979849</v>
      </c>
      <c r="I15" s="63">
        <f>'SER_se-appl'!I60</f>
        <v>0.63219319144339237</v>
      </c>
      <c r="J15" s="63">
        <f>'SER_se-appl'!J60</f>
        <v>0.62299422991311781</v>
      </c>
      <c r="K15" s="63">
        <f>'SER_se-appl'!K60</f>
        <v>0.61181538439396377</v>
      </c>
      <c r="L15" s="63">
        <f>'SER_se-appl'!L60</f>
        <v>0.60195919805958331</v>
      </c>
      <c r="M15" s="63">
        <f>'SER_se-appl'!M60</f>
        <v>0.59153497909614261</v>
      </c>
      <c r="N15" s="63">
        <f>'SER_se-appl'!N60</f>
        <v>0.57962245983035376</v>
      </c>
      <c r="O15" s="63">
        <f>'SER_se-appl'!O60</f>
        <v>0.56646650706660961</v>
      </c>
      <c r="P15" s="63">
        <f>'SER_se-appl'!P60</f>
        <v>0.550197278647101</v>
      </c>
      <c r="Q15" s="63">
        <f>'SER_se-appl'!Q60</f>
        <v>0.53343563794506965</v>
      </c>
      <c r="R15" s="63">
        <f>'SER_se-appl'!R60</f>
        <v>0.53005516030471989</v>
      </c>
      <c r="S15" s="63">
        <f>'SER_se-appl'!S60</f>
        <v>0.52512549876939596</v>
      </c>
      <c r="T15" s="63">
        <f>'SER_se-appl'!T60</f>
        <v>0.52042942593606234</v>
      </c>
      <c r="U15" s="63">
        <f>'SER_se-appl'!U60</f>
        <v>0.51605006879628734</v>
      </c>
      <c r="V15" s="63">
        <f>'SER_se-appl'!V60</f>
        <v>0.5117168388143698</v>
      </c>
      <c r="W15" s="63">
        <f>'SER_se-appl'!W60</f>
        <v>0.50996678465132295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29.008441754238088</v>
      </c>
      <c r="C3" s="199">
        <f>'SER_se-appl'!C5</f>
        <v>29.780891553005105</v>
      </c>
      <c r="D3" s="199">
        <f>'SER_se-appl'!D5</f>
        <v>30.594399602373866</v>
      </c>
      <c r="E3" s="199">
        <f>'SER_se-appl'!E5</f>
        <v>31.703316731571974</v>
      </c>
      <c r="F3" s="199">
        <f>'SER_se-appl'!F5</f>
        <v>32.473073901543586</v>
      </c>
      <c r="G3" s="199">
        <f>'SER_se-appl'!G5</f>
        <v>33.194757550727019</v>
      </c>
      <c r="H3" s="199">
        <f>'SER_se-appl'!H5</f>
        <v>33.883433771084896</v>
      </c>
      <c r="I3" s="199">
        <f>'SER_se-appl'!I5</f>
        <v>34.311259481625008</v>
      </c>
      <c r="J3" s="199">
        <f>'SER_se-appl'!J5</f>
        <v>34.869254847483077</v>
      </c>
      <c r="K3" s="199">
        <f>'SER_se-appl'!K5</f>
        <v>35.654838878430382</v>
      </c>
      <c r="L3" s="199">
        <f>'SER_se-appl'!L5</f>
        <v>36.28556596066452</v>
      </c>
      <c r="M3" s="199">
        <f>'SER_se-appl'!M5</f>
        <v>36.658476128048761</v>
      </c>
      <c r="N3" s="199">
        <f>'SER_se-appl'!N5</f>
        <v>37.26886111963389</v>
      </c>
      <c r="O3" s="199">
        <f>'SER_se-appl'!O5</f>
        <v>37.722358827470948</v>
      </c>
      <c r="P3" s="199">
        <f>'SER_se-appl'!P5</f>
        <v>38.136529911843134</v>
      </c>
      <c r="Q3" s="199">
        <f>'SER_se-appl'!Q5</f>
        <v>38.524369263675617</v>
      </c>
      <c r="R3" s="199">
        <f>'SER_se-appl'!R5</f>
        <v>38.641658245418533</v>
      </c>
      <c r="S3" s="199">
        <f>'SER_se-appl'!S5</f>
        <v>39.587707988162613</v>
      </c>
      <c r="T3" s="199">
        <f>'SER_se-appl'!T5</f>
        <v>39.32402007130797</v>
      </c>
      <c r="U3" s="199">
        <f>'SER_se-appl'!U5</f>
        <v>38.617206089926611</v>
      </c>
      <c r="V3" s="199">
        <f>'SER_se-appl'!V5</f>
        <v>37.81263011571113</v>
      </c>
      <c r="W3" s="199">
        <f>'SER_se-appl'!W5</f>
        <v>37.353192223199002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86.944873617134604</v>
      </c>
      <c r="C5" s="59">
        <f>'SER_se-appl'!C13</f>
        <v>89.131307033288138</v>
      </c>
      <c r="D5" s="59">
        <f>'SER_se-appl'!D13</f>
        <v>91.512654659266119</v>
      </c>
      <c r="E5" s="59">
        <f>'SER_se-appl'!E13</f>
        <v>94.750710246929387</v>
      </c>
      <c r="F5" s="59">
        <f>'SER_se-appl'!F13</f>
        <v>96.983030035311572</v>
      </c>
      <c r="G5" s="59">
        <f>'SER_se-appl'!G13</f>
        <v>99.012684106987734</v>
      </c>
      <c r="H5" s="59">
        <f>'SER_se-appl'!H13</f>
        <v>100.96109662274617</v>
      </c>
      <c r="I5" s="59">
        <f>'SER_se-appl'!I13</f>
        <v>102.14720583577878</v>
      </c>
      <c r="J5" s="59">
        <f>'SER_se-appl'!J13</f>
        <v>103.53968471965368</v>
      </c>
      <c r="K5" s="59">
        <f>'SER_se-appl'!K13</f>
        <v>105.60495792974827</v>
      </c>
      <c r="L5" s="59">
        <f>'SER_se-appl'!L13</f>
        <v>107.3183341866992</v>
      </c>
      <c r="M5" s="59">
        <f>'SER_se-appl'!M13</f>
        <v>108.78581270256336</v>
      </c>
      <c r="N5" s="59">
        <f>'SER_se-appl'!N13</f>
        <v>111.08384902712238</v>
      </c>
      <c r="O5" s="59">
        <f>'SER_se-appl'!O13</f>
        <v>113.05396810394603</v>
      </c>
      <c r="P5" s="59">
        <f>'SER_se-appl'!P13</f>
        <v>115.07096098642162</v>
      </c>
      <c r="Q5" s="59">
        <f>'SER_se-appl'!Q13</f>
        <v>117.0180140252114</v>
      </c>
      <c r="R5" s="59">
        <f>'SER_se-appl'!R13</f>
        <v>117.80634220923368</v>
      </c>
      <c r="S5" s="59">
        <f>'SER_se-appl'!S13</f>
        <v>117.89282119768674</v>
      </c>
      <c r="T5" s="59">
        <f>'SER_se-appl'!T13</f>
        <v>117.67004488348908</v>
      </c>
      <c r="U5" s="59">
        <f>'SER_se-appl'!U13</f>
        <v>116.579368258339</v>
      </c>
      <c r="V5" s="59">
        <f>'SER_se-appl'!V13</f>
        <v>114.83332070709658</v>
      </c>
      <c r="W5" s="59">
        <f>'SER_se-appl'!W13</f>
        <v>113.25626790188086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7.6563210094380676E-2</v>
      </c>
      <c r="C6" s="202">
        <f>'SER_se-appl'!C69</f>
        <v>7.9631913859322875E-2</v>
      </c>
      <c r="D6" s="202">
        <f>'SER_se-appl'!D69</f>
        <v>8.2791719547593901E-2</v>
      </c>
      <c r="E6" s="202">
        <f>'SER_se-appl'!E69</f>
        <v>8.7104723614241278E-2</v>
      </c>
      <c r="F6" s="202">
        <f>'SER_se-appl'!F69</f>
        <v>9.0719917659045288E-2</v>
      </c>
      <c r="G6" s="202">
        <f>'SER_se-appl'!G69</f>
        <v>9.4333341885779146E-2</v>
      </c>
      <c r="H6" s="202">
        <f>'SER_se-appl'!H69</f>
        <v>9.8246405492262212E-2</v>
      </c>
      <c r="I6" s="202">
        <f>'SER_se-appl'!I69</f>
        <v>0.10175957438446931</v>
      </c>
      <c r="J6" s="202">
        <f>'SER_se-appl'!J69</f>
        <v>0.10464696316813771</v>
      </c>
      <c r="K6" s="202">
        <f>'SER_se-appl'!K69</f>
        <v>0.10844430443176789</v>
      </c>
      <c r="L6" s="202">
        <f>'SER_se-appl'!L69</f>
        <v>0.11218940876384922</v>
      </c>
      <c r="M6" s="202">
        <f>'SER_se-appl'!M69</f>
        <v>0.11598582803539767</v>
      </c>
      <c r="N6" s="202">
        <f>'SER_se-appl'!N69</f>
        <v>0.12106951077889769</v>
      </c>
      <c r="O6" s="202">
        <f>'SER_se-appl'!O69</f>
        <v>0.12640218207838447</v>
      </c>
      <c r="P6" s="202">
        <f>'SER_se-appl'!P69</f>
        <v>0.13266305026690112</v>
      </c>
      <c r="Q6" s="202">
        <f>'SER_se-appl'!Q69</f>
        <v>0.13987495614086209</v>
      </c>
      <c r="R6" s="202">
        <f>'SER_se-appl'!R69</f>
        <v>0.14699529648445922</v>
      </c>
      <c r="S6" s="202">
        <f>'SER_se-appl'!S69</f>
        <v>0.15412420444299829</v>
      </c>
      <c r="T6" s="202">
        <f>'SER_se-appl'!T69</f>
        <v>0.16121248652836853</v>
      </c>
      <c r="U6" s="202">
        <f>'SER_se-appl'!U69</f>
        <v>0.16816218709870162</v>
      </c>
      <c r="V6" s="202">
        <f>'SER_se-appl'!V69</f>
        <v>0.17484098052507588</v>
      </c>
      <c r="W6" s="202">
        <f>'SER_se-appl'!W69</f>
        <v>0.18136623236253047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413.33851011849896</v>
      </c>
      <c r="C8" s="34">
        <f>'SER_se-appl'!C21</f>
        <v>428.32278452399026</v>
      </c>
      <c r="D8" s="34">
        <f>'SER_se-appl'!D21</f>
        <v>445.33260265224976</v>
      </c>
      <c r="E8" s="34">
        <f>'SER_se-appl'!E21</f>
        <v>468.17682712664788</v>
      </c>
      <c r="F8" s="34">
        <f>'SER_se-appl'!F21</f>
        <v>487.3360576746839</v>
      </c>
      <c r="G8" s="34">
        <f>'SER_se-appl'!G21</f>
        <v>506.82333094959733</v>
      </c>
      <c r="H8" s="34">
        <f>'SER_se-appl'!H21</f>
        <v>527.87086296872951</v>
      </c>
      <c r="I8" s="34">
        <f>'SER_se-appl'!I21</f>
        <v>546.77250989114282</v>
      </c>
      <c r="J8" s="34">
        <f>'SER_se-appl'!J21</f>
        <v>562.58877139755111</v>
      </c>
      <c r="K8" s="34">
        <f>'SER_se-appl'!K21</f>
        <v>583.69073261785195</v>
      </c>
      <c r="L8" s="34">
        <f>'SER_se-appl'!L21</f>
        <v>604.74691089474049</v>
      </c>
      <c r="M8" s="34">
        <f>'SER_se-appl'!M21</f>
        <v>625.44731444616798</v>
      </c>
      <c r="N8" s="34">
        <f>'SER_se-appl'!N21</f>
        <v>654.29862063163387</v>
      </c>
      <c r="O8" s="34">
        <f>'SER_se-appl'!O21</f>
        <v>683.94147726827759</v>
      </c>
      <c r="P8" s="34">
        <f>'SER_se-appl'!P21</f>
        <v>718.49631442997281</v>
      </c>
      <c r="Q8" s="34">
        <f>'SER_se-appl'!Q21</f>
        <v>758.31095359930657</v>
      </c>
      <c r="R8" s="34">
        <f>'SER_se-appl'!R21</f>
        <v>797.63352153938979</v>
      </c>
      <c r="S8" s="34">
        <f>'SER_se-appl'!S21</f>
        <v>837.71791574981967</v>
      </c>
      <c r="T8" s="34">
        <f>'SER_se-appl'!T21</f>
        <v>877.49890967229339</v>
      </c>
      <c r="U8" s="34">
        <f>'SER_se-appl'!U21</f>
        <v>916.55471596869234</v>
      </c>
      <c r="V8" s="34">
        <f>'SER_se-appl'!V21</f>
        <v>954.25986690133743</v>
      </c>
      <c r="W8" s="34">
        <f>'SER_se-appl'!W21</f>
        <v>990.21990949452902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66.83528802167757</v>
      </c>
      <c r="D9" s="36">
        <f>'SER_se-appl'!D29</f>
        <v>71.092752481760726</v>
      </c>
      <c r="E9" s="36">
        <f>'SER_se-appl'!E29</f>
        <v>79.255152328893075</v>
      </c>
      <c r="F9" s="36">
        <f>'SER_se-appl'!F29</f>
        <v>77.998360107932569</v>
      </c>
      <c r="G9" s="36">
        <f>'SER_se-appl'!G29</f>
        <v>80.859126194904491</v>
      </c>
      <c r="H9" s="36">
        <f>'SER_se-appl'!H29</f>
        <v>85.061129076152213</v>
      </c>
      <c r="I9" s="36">
        <f>'SER_se-appl'!I29</f>
        <v>85.670701679822173</v>
      </c>
      <c r="J9" s="36">
        <f>'SER_se-appl'!J29</f>
        <v>82.651549528085866</v>
      </c>
      <c r="K9" s="36">
        <f>'SER_se-appl'!K29</f>
        <v>92.194713702061563</v>
      </c>
      <c r="L9" s="36">
        <f>'SER_se-appl'!L29</f>
        <v>100.31133060578162</v>
      </c>
      <c r="M9" s="36">
        <f>'SER_se-appl'!M29</f>
        <v>98.698763659359997</v>
      </c>
      <c r="N9" s="36">
        <f>'SER_se-appl'!N29</f>
        <v>109.71043238037032</v>
      </c>
      <c r="O9" s="36">
        <f>'SER_se-appl'!O29</f>
        <v>114.70398571279588</v>
      </c>
      <c r="P9" s="36">
        <f>'SER_se-appl'!P29</f>
        <v>120.22553884151739</v>
      </c>
      <c r="Q9" s="36">
        <f>'SER_se-appl'!Q29</f>
        <v>122.46618869741962</v>
      </c>
      <c r="R9" s="36">
        <f>'SER_se-appl'!R29</f>
        <v>131.51728164214478</v>
      </c>
      <c r="S9" s="36">
        <f>'SER_se-appl'!S29</f>
        <v>140.39572481621144</v>
      </c>
      <c r="T9" s="36">
        <f>'SER_se-appl'!T29</f>
        <v>138.47975758183372</v>
      </c>
      <c r="U9" s="36">
        <f>'SER_se-appl'!U29</f>
        <v>148.76623867676926</v>
      </c>
      <c r="V9" s="36">
        <f>'SER_se-appl'!V29</f>
        <v>152.40913664544098</v>
      </c>
      <c r="W9" s="36">
        <f>'SER_se-appl'!W29</f>
        <v>156.18558143470898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51.851013616186265</v>
      </c>
      <c r="D10" s="38">
        <f>'SER_se-appl'!D37</f>
        <v>54.08293435350123</v>
      </c>
      <c r="E10" s="38">
        <f>'SER_se-appl'!E37</f>
        <v>56.410927854494901</v>
      </c>
      <c r="F10" s="38">
        <f>'SER_se-appl'!F37</f>
        <v>58.839129559896548</v>
      </c>
      <c r="G10" s="38">
        <f>'SER_se-appl'!G37</f>
        <v>61.371852919991056</v>
      </c>
      <c r="H10" s="38">
        <f>'SER_se-appl'!H37</f>
        <v>64.013597057020093</v>
      </c>
      <c r="I10" s="38">
        <f>'SER_se-appl'!I37</f>
        <v>66.769054757408867</v>
      </c>
      <c r="J10" s="38">
        <f>'SER_se-appl'!J37</f>
        <v>66.83528802167757</v>
      </c>
      <c r="K10" s="38">
        <f>'SER_se-appl'!K37</f>
        <v>71.092752481760726</v>
      </c>
      <c r="L10" s="38">
        <f>'SER_se-appl'!L37</f>
        <v>79.255152328893018</v>
      </c>
      <c r="M10" s="38">
        <f>'SER_se-appl'!M37</f>
        <v>77.998360107932513</v>
      </c>
      <c r="N10" s="38">
        <f>'SER_se-appl'!N37</f>
        <v>80.859126194904434</v>
      </c>
      <c r="O10" s="38">
        <f>'SER_se-appl'!O37</f>
        <v>85.061129076152156</v>
      </c>
      <c r="P10" s="38">
        <f>'SER_se-appl'!P37</f>
        <v>85.670701679822173</v>
      </c>
      <c r="Q10" s="38">
        <f>'SER_se-appl'!Q37</f>
        <v>82.651549528085866</v>
      </c>
      <c r="R10" s="38">
        <f>'SER_se-appl'!R37</f>
        <v>92.194713702061563</v>
      </c>
      <c r="S10" s="38">
        <f>'SER_se-appl'!S37</f>
        <v>100.31133060578156</v>
      </c>
      <c r="T10" s="38">
        <f>'SER_se-appl'!T37</f>
        <v>98.698763659359997</v>
      </c>
      <c r="U10" s="38">
        <f>'SER_se-appl'!U37</f>
        <v>109.71043238037032</v>
      </c>
      <c r="V10" s="38">
        <f>'SER_se-appl'!V37</f>
        <v>114.703985712796</v>
      </c>
      <c r="W10" s="38">
        <f>'SER_se-appl'!W37</f>
        <v>120.22553884151739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3880.2538156234937</v>
      </c>
      <c r="C12" s="205">
        <f>'SER_se-appl'!C45</f>
        <v>3885.8598655138799</v>
      </c>
      <c r="D12" s="205">
        <f>'SER_se-appl'!D45</f>
        <v>3888.1274802968492</v>
      </c>
      <c r="E12" s="205">
        <f>'SER_se-appl'!E45</f>
        <v>3891.3647467896521</v>
      </c>
      <c r="F12" s="205">
        <f>'SER_se-appl'!F45</f>
        <v>3894.1023943822443</v>
      </c>
      <c r="G12" s="205">
        <f>'SER_se-appl'!G45</f>
        <v>3899.0462060174546</v>
      </c>
      <c r="H12" s="205">
        <f>'SER_se-appl'!H45</f>
        <v>3903.1304922349277</v>
      </c>
      <c r="I12" s="205">
        <f>'SER_se-appl'!I45</f>
        <v>3906.5184848309227</v>
      </c>
      <c r="J12" s="205">
        <f>'SER_se-appl'!J45</f>
        <v>3916.6570284065342</v>
      </c>
      <c r="K12" s="205">
        <f>'SER_se-appl'!K45</f>
        <v>3926.5748908492915</v>
      </c>
      <c r="L12" s="205">
        <f>'SER_se-appl'!L45</f>
        <v>3932.2370713319392</v>
      </c>
      <c r="M12" s="205">
        <f>'SER_se-appl'!M45</f>
        <v>3919.0595425791321</v>
      </c>
      <c r="N12" s="205">
        <f>'SER_se-appl'!N45</f>
        <v>3901.8890560365226</v>
      </c>
      <c r="O12" s="205">
        <f>'SER_se-appl'!O45</f>
        <v>3880.5451990868632</v>
      </c>
      <c r="P12" s="205">
        <f>'SER_se-appl'!P45</f>
        <v>3854.3854945912194</v>
      </c>
      <c r="Q12" s="205">
        <f>'SER_se-appl'!Q45</f>
        <v>3828.7986535134501</v>
      </c>
      <c r="R12" s="205">
        <f>'SER_se-appl'!R45</f>
        <v>3814.7562938168649</v>
      </c>
      <c r="S12" s="205">
        <f>'SER_se-appl'!S45</f>
        <v>3905.2848106018955</v>
      </c>
      <c r="T12" s="205">
        <f>'SER_se-appl'!T45</f>
        <v>3886.6166311243014</v>
      </c>
      <c r="U12" s="205">
        <f>'SER_se-appl'!U45</f>
        <v>3852.4664658552974</v>
      </c>
      <c r="V12" s="205">
        <f>'SER_se-appl'!V45</f>
        <v>3829.5582287253637</v>
      </c>
      <c r="W12" s="205">
        <f>'SER_se-appl'!W45</f>
        <v>3835.7049336303439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210.3478661889225</v>
      </c>
      <c r="C14" s="59">
        <f>'SER_se-appl'!C53</f>
        <v>208.09377939663611</v>
      </c>
      <c r="D14" s="59">
        <f>'SER_se-appl'!D53</f>
        <v>205.49282516987938</v>
      </c>
      <c r="E14" s="59">
        <f>'SER_se-appl'!E53</f>
        <v>202.38231530690027</v>
      </c>
      <c r="F14" s="59">
        <f>'SER_se-appl'!F53</f>
        <v>199.00647306514631</v>
      </c>
      <c r="G14" s="59">
        <f>'SER_se-appl'!G53</f>
        <v>195.35936501083131</v>
      </c>
      <c r="H14" s="59">
        <f>'SER_se-appl'!H53</f>
        <v>191.26097632088286</v>
      </c>
      <c r="I14" s="59">
        <f>'SER_se-appl'!I53</f>
        <v>186.81847384045571</v>
      </c>
      <c r="J14" s="59">
        <f>'SER_se-appl'!J53</f>
        <v>184.04150595193408</v>
      </c>
      <c r="K14" s="59">
        <f>'SER_se-appl'!K53</f>
        <v>180.9262200482612</v>
      </c>
      <c r="L14" s="59">
        <f>'SER_se-appl'!L53</f>
        <v>177.45991298726707</v>
      </c>
      <c r="M14" s="59">
        <f>'SER_se-appl'!M53</f>
        <v>173.93281606603895</v>
      </c>
      <c r="N14" s="59">
        <f>'SER_se-appl'!N53</f>
        <v>169.77545959043357</v>
      </c>
      <c r="O14" s="59">
        <f>'SER_se-appl'!O53</f>
        <v>165.29772189792249</v>
      </c>
      <c r="P14" s="59">
        <f>'SER_se-appl'!P53</f>
        <v>160.15525574089335</v>
      </c>
      <c r="Q14" s="59">
        <f>'SER_se-appl'!Q53</f>
        <v>154.31402311912802</v>
      </c>
      <c r="R14" s="59">
        <f>'SER_se-appl'!R53</f>
        <v>147.69482353484062</v>
      </c>
      <c r="S14" s="59">
        <f>'SER_se-appl'!S53</f>
        <v>140.73092980489014</v>
      </c>
      <c r="T14" s="59">
        <f>'SER_se-appl'!T53</f>
        <v>134.09708386695726</v>
      </c>
      <c r="U14" s="59">
        <f>'SER_se-appl'!U53</f>
        <v>127.19302647974278</v>
      </c>
      <c r="V14" s="59">
        <f>'SER_se-appl'!V53</f>
        <v>120.33757751961436</v>
      </c>
      <c r="W14" s="59">
        <f>'SER_se-appl'!W53</f>
        <v>114.3748644275331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195.90225280101106</v>
      </c>
      <c r="D15" s="63">
        <f>'SER_se-appl'!D61</f>
        <v>193.51589274873183</v>
      </c>
      <c r="E15" s="63">
        <f>'SER_se-appl'!E61</f>
        <v>190.57403143854984</v>
      </c>
      <c r="F15" s="63">
        <f>'SER_se-appl'!F61</f>
        <v>187.29887550846337</v>
      </c>
      <c r="G15" s="63">
        <f>'SER_se-appl'!G61</f>
        <v>184.75456117899671</v>
      </c>
      <c r="H15" s="63">
        <f>'SER_se-appl'!H61</f>
        <v>181.20540170564738</v>
      </c>
      <c r="I15" s="63">
        <f>'SER_se-appl'!I61</f>
        <v>177.78350252840477</v>
      </c>
      <c r="J15" s="63">
        <f>'SER_se-appl'!J61</f>
        <v>175.26183667014743</v>
      </c>
      <c r="K15" s="63">
        <f>'SER_se-appl'!K61</f>
        <v>171.62427257706545</v>
      </c>
      <c r="L15" s="63">
        <f>'SER_se-appl'!L61</f>
        <v>167.65155089643659</v>
      </c>
      <c r="M15" s="63">
        <f>'SER_se-appl'!M61</f>
        <v>162.88434687053459</v>
      </c>
      <c r="N15" s="63">
        <f>'SER_se-appl'!N61</f>
        <v>157.11476409329907</v>
      </c>
      <c r="O15" s="63">
        <f>'SER_se-appl'!O61</f>
        <v>151.55231993533494</v>
      </c>
      <c r="P15" s="63">
        <f>'SER_se-appl'!P61</f>
        <v>143.46228311704016</v>
      </c>
      <c r="Q15" s="63">
        <f>'SER_se-appl'!Q61</f>
        <v>134.18165117652595</v>
      </c>
      <c r="R15" s="63">
        <f>'SER_se-appl'!R61</f>
        <v>126.30415296894594</v>
      </c>
      <c r="S15" s="63">
        <f>'SER_se-appl'!S61</f>
        <v>120.40130964903595</v>
      </c>
      <c r="T15" s="63">
        <f>'SER_se-appl'!T61</f>
        <v>114.48393337934478</v>
      </c>
      <c r="U15" s="63">
        <f>'SER_se-appl'!U61</f>
        <v>108.53572840506986</v>
      </c>
      <c r="V15" s="63">
        <f>'SER_se-appl'!V61</f>
        <v>102.60282246555892</v>
      </c>
      <c r="W15" s="63">
        <f>'SER_se-appl'!W61</f>
        <v>100.33434163393447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44.906282443742739</v>
      </c>
      <c r="C3" s="199">
        <f>'SER_se-appl'!C6</f>
        <v>46.044769485537671</v>
      </c>
      <c r="D3" s="199">
        <f>'SER_se-appl'!D6</f>
        <v>47.361986977848872</v>
      </c>
      <c r="E3" s="199">
        <f>'SER_se-appl'!E6</f>
        <v>48.817557991952526</v>
      </c>
      <c r="F3" s="199">
        <f>'SER_se-appl'!F6</f>
        <v>50.196268407852649</v>
      </c>
      <c r="G3" s="199">
        <f>'SER_se-appl'!G6</f>
        <v>51.832199957379466</v>
      </c>
      <c r="H3" s="199">
        <f>'SER_se-appl'!H6</f>
        <v>53.95458950841941</v>
      </c>
      <c r="I3" s="199">
        <f>'SER_se-appl'!I6</f>
        <v>56.908498625905288</v>
      </c>
      <c r="J3" s="199">
        <f>'SER_se-appl'!J6</f>
        <v>59.167464033032573</v>
      </c>
      <c r="K3" s="199">
        <f>'SER_se-appl'!K6</f>
        <v>59.385177233787104</v>
      </c>
      <c r="L3" s="199">
        <f>'SER_se-appl'!L6</f>
        <v>61.351821179057573</v>
      </c>
      <c r="M3" s="199">
        <f>'SER_se-appl'!M6</f>
        <v>62.177635020447397</v>
      </c>
      <c r="N3" s="199">
        <f>'SER_se-appl'!N6</f>
        <v>62.771364233947835</v>
      </c>
      <c r="O3" s="199">
        <f>'SER_se-appl'!O6</f>
        <v>62.744920405729339</v>
      </c>
      <c r="P3" s="199">
        <f>'SER_se-appl'!P6</f>
        <v>63.5356885626409</v>
      </c>
      <c r="Q3" s="199">
        <f>'SER_se-appl'!Q6</f>
        <v>64.498525383147538</v>
      </c>
      <c r="R3" s="199">
        <f>'SER_se-appl'!R6</f>
        <v>62.361953702174226</v>
      </c>
      <c r="S3" s="199">
        <f>'SER_se-appl'!S6</f>
        <v>62.499827024366553</v>
      </c>
      <c r="T3" s="199">
        <f>'SER_se-appl'!T6</f>
        <v>59.564336928701081</v>
      </c>
      <c r="U3" s="199">
        <f>'SER_se-appl'!U6</f>
        <v>55.902739698322968</v>
      </c>
      <c r="V3" s="199">
        <f>'SER_se-appl'!V6</f>
        <v>52.602529314399156</v>
      </c>
      <c r="W3" s="199">
        <f>'SER_se-appl'!W6</f>
        <v>52.811500708189726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239.45830132261781</v>
      </c>
      <c r="C5" s="59">
        <f>'SER_se-appl'!C14</f>
        <v>243.23252423665511</v>
      </c>
      <c r="D5" s="59">
        <f>'SER_se-appl'!D14</f>
        <v>248.09764209654463</v>
      </c>
      <c r="E5" s="59">
        <f>'SER_se-appl'!E14</f>
        <v>253.58002891124295</v>
      </c>
      <c r="F5" s="59">
        <f>'SER_se-appl'!F14</f>
        <v>258.5982127235236</v>
      </c>
      <c r="G5" s="59">
        <f>'SER_se-appl'!G14</f>
        <v>264.65968058995634</v>
      </c>
      <c r="H5" s="59">
        <f>'SER_se-appl'!H14</f>
        <v>273.17591502504422</v>
      </c>
      <c r="I5" s="59">
        <f>'SER_se-appl'!I14</f>
        <v>285.48415861171259</v>
      </c>
      <c r="J5" s="59">
        <f>'SER_se-appl'!J14</f>
        <v>294.1369307283731</v>
      </c>
      <c r="K5" s="59">
        <f>'SER_se-appl'!K14</f>
        <v>293.57490594627694</v>
      </c>
      <c r="L5" s="59">
        <f>'SER_se-appl'!L14</f>
        <v>300.97981213882878</v>
      </c>
      <c r="M5" s="59">
        <f>'SER_se-appl'!M14</f>
        <v>303.45701168562044</v>
      </c>
      <c r="N5" s="59">
        <f>'SER_se-appl'!N14</f>
        <v>305.08267468194049</v>
      </c>
      <c r="O5" s="59">
        <f>'SER_se-appl'!O14</f>
        <v>304.23678095223249</v>
      </c>
      <c r="P5" s="59">
        <f>'SER_se-appl'!P14</f>
        <v>306.04733919605462</v>
      </c>
      <c r="Q5" s="59">
        <f>'SER_se-appl'!Q14</f>
        <v>308.9175312560634</v>
      </c>
      <c r="R5" s="59">
        <f>'SER_se-appl'!R14</f>
        <v>298.45881650553116</v>
      </c>
      <c r="S5" s="59">
        <f>'SER_se-appl'!S14</f>
        <v>288.90789798559837</v>
      </c>
      <c r="T5" s="59">
        <f>'SER_se-appl'!T14</f>
        <v>276.21616281047346</v>
      </c>
      <c r="U5" s="59">
        <f>'SER_se-appl'!U14</f>
        <v>261.82779843102037</v>
      </c>
      <c r="V5" s="59">
        <f>'SER_se-appl'!V14</f>
        <v>245.38490962477749</v>
      </c>
      <c r="W5" s="59">
        <f>'SER_se-appl'!W14</f>
        <v>229.615851747139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159.95968183727712</v>
      </c>
      <c r="C6" s="202">
        <f>'SER_se-appl'!C70</f>
        <v>161.2905724892353</v>
      </c>
      <c r="D6" s="202">
        <f>'SER_se-appl'!D70</f>
        <v>163.52942616279259</v>
      </c>
      <c r="E6" s="202">
        <f>'SER_se-appl'!E70</f>
        <v>166.82663508222879</v>
      </c>
      <c r="F6" s="202">
        <f>'SER_se-appl'!F70</f>
        <v>170.20050774563703</v>
      </c>
      <c r="G6" s="202">
        <f>'SER_se-appl'!G70</f>
        <v>173.50603670516705</v>
      </c>
      <c r="H6" s="202">
        <f>'SER_se-appl'!H70</f>
        <v>177.41549265847266</v>
      </c>
      <c r="I6" s="202">
        <f>'SER_se-appl'!I70</f>
        <v>181.02013155463698</v>
      </c>
      <c r="J6" s="202">
        <f>'SER_se-appl'!J70</f>
        <v>185.74214957275652</v>
      </c>
      <c r="K6" s="202">
        <f>'SER_se-appl'!K70</f>
        <v>190.8865799620753</v>
      </c>
      <c r="L6" s="202">
        <f>'SER_se-appl'!L70</f>
        <v>197.6615688698854</v>
      </c>
      <c r="M6" s="202">
        <f>'SER_se-appl'!M70</f>
        <v>204.55794103362649</v>
      </c>
      <c r="N6" s="202">
        <f>'SER_se-appl'!N70</f>
        <v>212.48405879512117</v>
      </c>
      <c r="O6" s="202">
        <f>'SER_se-appl'!O70</f>
        <v>220.60806301702442</v>
      </c>
      <c r="P6" s="202">
        <f>'SER_se-appl'!P70</f>
        <v>232.60258394447987</v>
      </c>
      <c r="Q6" s="202">
        <f>'SER_se-appl'!Q70</f>
        <v>245.59572615903326</v>
      </c>
      <c r="R6" s="202">
        <f>'SER_se-appl'!R70</f>
        <v>252.60455947776123</v>
      </c>
      <c r="S6" s="202">
        <f>'SER_se-appl'!S70</f>
        <v>259.72343494400212</v>
      </c>
      <c r="T6" s="202">
        <f>'SER_se-appl'!T70</f>
        <v>266.47838880556128</v>
      </c>
      <c r="U6" s="202">
        <f>'SER_se-appl'!U70</f>
        <v>272.57956688471643</v>
      </c>
      <c r="V6" s="202">
        <f>'SER_se-appl'!V70</f>
        <v>277.48679150162252</v>
      </c>
      <c r="W6" s="202">
        <f>'SER_se-appl'!W70</f>
        <v>280.2025537504669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4.6496946113968933</v>
      </c>
      <c r="C8" s="34">
        <f>'SER_se-appl'!C22</f>
        <v>4.7790096038365446</v>
      </c>
      <c r="D8" s="34">
        <f>'SER_se-appl'!D22</f>
        <v>4.965752276505544</v>
      </c>
      <c r="E8" s="34">
        <f>'SER_se-appl'!E22</f>
        <v>5.1940158370206788</v>
      </c>
      <c r="F8" s="34">
        <f>'SER_se-appl'!F22</f>
        <v>5.4382955598659777</v>
      </c>
      <c r="G8" s="34">
        <f>'SER_se-appl'!G22</f>
        <v>5.7423603887984642</v>
      </c>
      <c r="H8" s="34">
        <f>'SER_se-appl'!H22</f>
        <v>6.1396897494074052</v>
      </c>
      <c r="I8" s="34">
        <f>'SER_se-appl'!I22</f>
        <v>6.6123759343501964</v>
      </c>
      <c r="J8" s="34">
        <f>'SER_se-appl'!J22</f>
        <v>7.0087727898862386</v>
      </c>
      <c r="K8" s="34">
        <f>'SER_se-appl'!K22</f>
        <v>7.1910000306741289</v>
      </c>
      <c r="L8" s="34">
        <f>'SER_se-appl'!L22</f>
        <v>7.6096233837327993</v>
      </c>
      <c r="M8" s="34">
        <f>'SER_se-appl'!M22</f>
        <v>7.9527047036077194</v>
      </c>
      <c r="N8" s="34">
        <f>'SER_se-appl'!N22</f>
        <v>8.3428481906602574</v>
      </c>
      <c r="O8" s="34">
        <f>'SER_se-appl'!O22</f>
        <v>8.7369565152146045</v>
      </c>
      <c r="P8" s="34">
        <f>'SER_se-appl'!P22</f>
        <v>9.2990971436739169</v>
      </c>
      <c r="Q8" s="34">
        <f>'SER_se-appl'!Q22</f>
        <v>9.9414616458671787</v>
      </c>
      <c r="R8" s="34">
        <f>'SER_se-appl'!R22</f>
        <v>10.348042393605507</v>
      </c>
      <c r="S8" s="34">
        <f>'SER_se-appl'!S22</f>
        <v>10.774690121451961</v>
      </c>
      <c r="T8" s="34">
        <f>'SER_se-appl'!T22</f>
        <v>11.215646182123864</v>
      </c>
      <c r="U8" s="34">
        <f>'SER_se-appl'!U22</f>
        <v>11.643443588530516</v>
      </c>
      <c r="V8" s="34">
        <f>'SER_se-appl'!V22</f>
        <v>12.020699134215167</v>
      </c>
      <c r="W8" s="34">
        <f>'SER_se-appl'!W22</f>
        <v>12.296644139684314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0.85543965326438265</v>
      </c>
      <c r="D9" s="36">
        <f>'SER_se-appl'!D30</f>
        <v>0.93173085559034874</v>
      </c>
      <c r="E9" s="36">
        <f>'SER_se-appl'!E30</f>
        <v>0.99260530875169461</v>
      </c>
      <c r="F9" s="36">
        <f>'SER_se-appl'!F30</f>
        <v>1.02847781013093</v>
      </c>
      <c r="G9" s="36">
        <f>'SER_se-appl'!G30</f>
        <v>1.1086350902341282</v>
      </c>
      <c r="H9" s="36">
        <f>'SER_se-appl'!H30</f>
        <v>1.222801031435921</v>
      </c>
      <c r="I9" s="36">
        <f>'SER_se-appl'!I30</f>
        <v>1.3281258382071739</v>
      </c>
      <c r="J9" s="36">
        <f>'SER_se-appl'!J30</f>
        <v>1.3281277111263909</v>
      </c>
      <c r="K9" s="36">
        <f>'SER_se-appl'!K30</f>
        <v>1.1748325495395848</v>
      </c>
      <c r="L9" s="36">
        <f>'SER_se-appl'!L30</f>
        <v>1.4471011631896005</v>
      </c>
      <c r="M9" s="36">
        <f>'SER_se-appl'!M30</f>
        <v>1.4517164101090483</v>
      </c>
      <c r="N9" s="36">
        <f>'SER_se-appl'!N30</f>
        <v>1.612944518488459</v>
      </c>
      <c r="O9" s="36">
        <f>'SER_se-appl'!O30</f>
        <v>1.722234162761521</v>
      </c>
      <c r="P9" s="36">
        <f>'SER_se-appl'!P30</f>
        <v>1.8902683395857034</v>
      </c>
      <c r="Q9" s="36">
        <f>'SER_se-appl'!Q30</f>
        <v>1.8171970517328475</v>
      </c>
      <c r="R9" s="36">
        <f>'SER_se-appl'!R30</f>
        <v>1.8536819109279286</v>
      </c>
      <c r="S9" s="36">
        <f>'SER_se-appl'!S30</f>
        <v>1.8783641379555025</v>
      </c>
      <c r="T9" s="36">
        <f>'SER_se-appl'!T30</f>
        <v>2.0539005791603611</v>
      </c>
      <c r="U9" s="36">
        <f>'SER_se-appl'!U30</f>
        <v>2.1500315691681742</v>
      </c>
      <c r="V9" s="36">
        <f>'SER_se-appl'!V30</f>
        <v>2.2675238852703536</v>
      </c>
      <c r="W9" s="36">
        <f>'SER_se-appl'!W30</f>
        <v>2.0931420572019945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0.72612466082473137</v>
      </c>
      <c r="D10" s="38">
        <f>'SER_se-appl'!D38</f>
        <v>0.74498818292134938</v>
      </c>
      <c r="E10" s="38">
        <f>'SER_se-appl'!E38</f>
        <v>0.76434174823655976</v>
      </c>
      <c r="F10" s="38">
        <f>'SER_se-appl'!F38</f>
        <v>0.78419808728563112</v>
      </c>
      <c r="G10" s="38">
        <f>'SER_se-appl'!G38</f>
        <v>0.80457026130164166</v>
      </c>
      <c r="H10" s="38">
        <f>'SER_se-appl'!H38</f>
        <v>0.82547167082698003</v>
      </c>
      <c r="I10" s="38">
        <f>'SER_se-appl'!I38</f>
        <v>0.85543965326438265</v>
      </c>
      <c r="J10" s="38">
        <f>'SER_se-appl'!J38</f>
        <v>0.93173085559034874</v>
      </c>
      <c r="K10" s="38">
        <f>'SER_se-appl'!K38</f>
        <v>0.9926053087516955</v>
      </c>
      <c r="L10" s="38">
        <f>'SER_se-appl'!L38</f>
        <v>1.02847781013093</v>
      </c>
      <c r="M10" s="38">
        <f>'SER_se-appl'!M38</f>
        <v>1.1086350902341282</v>
      </c>
      <c r="N10" s="38">
        <f>'SER_se-appl'!N38</f>
        <v>1.222801031435921</v>
      </c>
      <c r="O10" s="38">
        <f>'SER_se-appl'!O38</f>
        <v>1.3281258382071748</v>
      </c>
      <c r="P10" s="38">
        <f>'SER_se-appl'!P38</f>
        <v>1.3281277111263901</v>
      </c>
      <c r="Q10" s="38">
        <f>'SER_se-appl'!Q38</f>
        <v>1.1748325495395857</v>
      </c>
      <c r="R10" s="38">
        <f>'SER_se-appl'!R38</f>
        <v>1.4471011631896005</v>
      </c>
      <c r="S10" s="38">
        <f>'SER_se-appl'!S38</f>
        <v>1.4517164101090483</v>
      </c>
      <c r="T10" s="38">
        <f>'SER_se-appl'!T38</f>
        <v>1.6129445184884581</v>
      </c>
      <c r="U10" s="38">
        <f>'SER_se-appl'!U38</f>
        <v>1.7222341627615219</v>
      </c>
      <c r="V10" s="38">
        <f>'SER_se-appl'!V38</f>
        <v>1.8902683395857025</v>
      </c>
      <c r="W10" s="38">
        <f>'SER_se-appl'!W38</f>
        <v>1.8171970517328475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2181.0063043798868</v>
      </c>
      <c r="C12" s="205">
        <f>'SER_se-appl'!C46</f>
        <v>2201.5997687701633</v>
      </c>
      <c r="D12" s="205">
        <f>'SER_se-appl'!D46</f>
        <v>2220.1738956391873</v>
      </c>
      <c r="E12" s="205">
        <f>'SER_se-appl'!E46</f>
        <v>2238.9310462817589</v>
      </c>
      <c r="F12" s="205">
        <f>'SER_se-appl'!F46</f>
        <v>2257.4889262961333</v>
      </c>
      <c r="G12" s="205">
        <f>'SER_se-appl'!G46</f>
        <v>2277.6740460072911</v>
      </c>
      <c r="H12" s="205">
        <f>'SER_se-appl'!H46</f>
        <v>2297.0248893479152</v>
      </c>
      <c r="I12" s="205">
        <f>'SER_se-appl'!I46</f>
        <v>2318.3277217124191</v>
      </c>
      <c r="J12" s="205">
        <f>'SER_se-appl'!J46</f>
        <v>2339.4464782106038</v>
      </c>
      <c r="K12" s="205">
        <f>'SER_se-appl'!K46</f>
        <v>2352.5498850209297</v>
      </c>
      <c r="L12" s="205">
        <f>'SER_se-appl'!L46</f>
        <v>2370.6629200211055</v>
      </c>
      <c r="M12" s="205">
        <f>'SER_se-appl'!M46</f>
        <v>2382.9599166980433</v>
      </c>
      <c r="N12" s="205">
        <f>'SER_se-appl'!N46</f>
        <v>2392.8955218512378</v>
      </c>
      <c r="O12" s="205">
        <f>'SER_se-appl'!O46</f>
        <v>2398.5378166133187</v>
      </c>
      <c r="P12" s="205">
        <f>'SER_se-appl'!P46</f>
        <v>2414.3979161019915</v>
      </c>
      <c r="Q12" s="205">
        <f>'SER_se-appl'!Q46</f>
        <v>2428.2139221947527</v>
      </c>
      <c r="R12" s="205">
        <f>'SER_se-appl'!R46</f>
        <v>2430.0489094207919</v>
      </c>
      <c r="S12" s="205">
        <f>'SER_se-appl'!S46</f>
        <v>2515.9332554128255</v>
      </c>
      <c r="T12" s="205">
        <f>'SER_se-appl'!T46</f>
        <v>2507.9388238265929</v>
      </c>
      <c r="U12" s="205">
        <f>'SER_se-appl'!U46</f>
        <v>2483.116256514606</v>
      </c>
      <c r="V12" s="205">
        <f>'SER_se-appl'!V46</f>
        <v>2493.0930629023878</v>
      </c>
      <c r="W12" s="205">
        <f>'SER_se-appl'!W46</f>
        <v>2674.8926459686354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51.49979113374031</v>
      </c>
      <c r="C14" s="59">
        <f>'SER_se-appl'!C54</f>
        <v>50.896010763692608</v>
      </c>
      <c r="D14" s="59">
        <f>'SER_se-appl'!D54</f>
        <v>49.961743615437406</v>
      </c>
      <c r="E14" s="59">
        <f>'SER_se-appl'!E54</f>
        <v>48.821574070651678</v>
      </c>
      <c r="F14" s="59">
        <f>'SER_se-appl'!F54</f>
        <v>47.551334765978872</v>
      </c>
      <c r="G14" s="59">
        <f>'SER_se-appl'!G54</f>
        <v>46.08900568244097</v>
      </c>
      <c r="H14" s="59">
        <f>'SER_se-appl'!H54</f>
        <v>44.493439599518979</v>
      </c>
      <c r="I14" s="59">
        <f>'SER_se-appl'!I54</f>
        <v>43.17421777680088</v>
      </c>
      <c r="J14" s="59">
        <f>'SER_se-appl'!J54</f>
        <v>41.966966193114004</v>
      </c>
      <c r="K14" s="59">
        <f>'SER_se-appl'!K54</f>
        <v>40.825323973577483</v>
      </c>
      <c r="L14" s="59">
        <f>'SER_se-appl'!L54</f>
        <v>39.552524081840588</v>
      </c>
      <c r="M14" s="59">
        <f>'SER_se-appl'!M54</f>
        <v>38.157711495053768</v>
      </c>
      <c r="N14" s="59">
        <f>'SER_se-appl'!N54</f>
        <v>36.56816805362439</v>
      </c>
      <c r="O14" s="59">
        <f>'SER_se-appl'!O54</f>
        <v>34.821826161367767</v>
      </c>
      <c r="P14" s="59">
        <f>'SER_se-appl'!P54</f>
        <v>32.911511135708004</v>
      </c>
      <c r="Q14" s="59">
        <f>'SER_se-appl'!Q54</f>
        <v>31.073653176993872</v>
      </c>
      <c r="R14" s="59">
        <f>'SER_se-appl'!R54</f>
        <v>28.842055835600508</v>
      </c>
      <c r="S14" s="59">
        <f>'SER_se-appl'!S54</f>
        <v>26.813569089137395</v>
      </c>
      <c r="T14" s="59">
        <f>'SER_se-appl'!T54</f>
        <v>24.627752902077326</v>
      </c>
      <c r="U14" s="59">
        <f>'SER_se-appl'!U54</f>
        <v>22.487144498122213</v>
      </c>
      <c r="V14" s="59">
        <f>'SER_se-appl'!V54</f>
        <v>20.413530601254724</v>
      </c>
      <c r="W14" s="59">
        <f>'SER_se-appl'!W54</f>
        <v>18.673050072752112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48.126704351925966</v>
      </c>
      <c r="D15" s="63">
        <f>'SER_se-appl'!D62</f>
        <v>46.399508418181341</v>
      </c>
      <c r="E15" s="63">
        <f>'SER_se-appl'!E62</f>
        <v>45.179918753484642</v>
      </c>
      <c r="F15" s="63">
        <f>'SER_se-appl'!F62</f>
        <v>44.147011309061796</v>
      </c>
      <c r="G15" s="63">
        <f>'SER_se-appl'!G62</f>
        <v>42.842472418814964</v>
      </c>
      <c r="H15" s="63">
        <f>'SER_se-appl'!H62</f>
        <v>41.730299335432825</v>
      </c>
      <c r="I15" s="63">
        <f>'SER_se-appl'!I62</f>
        <v>40.265563195748477</v>
      </c>
      <c r="J15" s="63">
        <f>'SER_se-appl'!J62</f>
        <v>39.065991440010407</v>
      </c>
      <c r="K15" s="63">
        <f>'SER_se-appl'!K62</f>
        <v>37.693714256502098</v>
      </c>
      <c r="L15" s="63">
        <f>'SER_se-appl'!L62</f>
        <v>36.4930448892204</v>
      </c>
      <c r="M15" s="63">
        <f>'SER_se-appl'!M62</f>
        <v>34.423987684291482</v>
      </c>
      <c r="N15" s="63">
        <f>'SER_se-appl'!N62</f>
        <v>32.644344217840995</v>
      </c>
      <c r="O15" s="63">
        <f>'SER_se-appl'!O62</f>
        <v>30.560212007487234</v>
      </c>
      <c r="P15" s="63">
        <f>'SER_se-appl'!P62</f>
        <v>28.406117223385767</v>
      </c>
      <c r="Q15" s="63">
        <f>'SER_se-appl'!Q62</f>
        <v>25.948751367732285</v>
      </c>
      <c r="R15" s="63">
        <f>'SER_se-appl'!R62</f>
        <v>22.846645213141674</v>
      </c>
      <c r="S15" s="63">
        <f>'SER_se-appl'!S62</f>
        <v>21.520294433827473</v>
      </c>
      <c r="T15" s="63">
        <f>'SER_se-appl'!T62</f>
        <v>19.456531292779818</v>
      </c>
      <c r="U15" s="63">
        <f>'SER_se-appl'!U62</f>
        <v>17.787402431431389</v>
      </c>
      <c r="V15" s="63">
        <f>'SER_se-appl'!V62</f>
        <v>16.428623078094663</v>
      </c>
      <c r="W15" s="63">
        <f>'SER_se-appl'!W62</f>
        <v>14.994174187062637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45.174934020965196</v>
      </c>
      <c r="C3" s="199">
        <f>'SER_se-appl'!C7</f>
        <v>46.322149860443915</v>
      </c>
      <c r="D3" s="199">
        <f>'SER_se-appl'!D7</f>
        <v>47.429313261515105</v>
      </c>
      <c r="E3" s="199">
        <f>'SER_se-appl'!E7</f>
        <v>48.137282933684446</v>
      </c>
      <c r="F3" s="199">
        <f>'SER_se-appl'!F7</f>
        <v>48.675081994603126</v>
      </c>
      <c r="G3" s="199">
        <f>'SER_se-appl'!G7</f>
        <v>49.170235502789247</v>
      </c>
      <c r="H3" s="199">
        <f>'SER_se-appl'!H7</f>
        <v>49.673031232799069</v>
      </c>
      <c r="I3" s="199">
        <f>'SER_se-appl'!I7</f>
        <v>50.150378339757125</v>
      </c>
      <c r="J3" s="199">
        <f>'SER_se-appl'!J7</f>
        <v>50.355642436458481</v>
      </c>
      <c r="K3" s="199">
        <f>'SER_se-appl'!K7</f>
        <v>50.400562318240979</v>
      </c>
      <c r="L3" s="199">
        <f>'SER_se-appl'!L7</f>
        <v>50.469223740695774</v>
      </c>
      <c r="M3" s="199">
        <f>'SER_se-appl'!M7</f>
        <v>50.534750667415643</v>
      </c>
      <c r="N3" s="199">
        <f>'SER_se-appl'!N7</f>
        <v>50.830886466048149</v>
      </c>
      <c r="O3" s="199">
        <f>'SER_se-appl'!O7</f>
        <v>51.196399526562999</v>
      </c>
      <c r="P3" s="199">
        <f>'SER_se-appl'!P7</f>
        <v>51.672821946154883</v>
      </c>
      <c r="Q3" s="199">
        <f>'SER_se-appl'!Q7</f>
        <v>52.411635331403737</v>
      </c>
      <c r="R3" s="199">
        <f>'SER_se-appl'!R7</f>
        <v>53.101568919119003</v>
      </c>
      <c r="S3" s="199">
        <f>'SER_se-appl'!S7</f>
        <v>53.795989300152002</v>
      </c>
      <c r="T3" s="199">
        <f>'SER_se-appl'!T7</f>
        <v>54.508010929255299</v>
      </c>
      <c r="U3" s="199">
        <f>'SER_se-appl'!U7</f>
        <v>55.202995285723674</v>
      </c>
      <c r="V3" s="199">
        <f>'SER_se-appl'!V7</f>
        <v>55.827990199279611</v>
      </c>
      <c r="W3" s="199">
        <f>'SER_se-appl'!W7</f>
        <v>56.336916180509967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59.975397564363632</v>
      </c>
      <c r="C5" s="59">
        <f>'SER_se-appl'!C15</f>
        <v>61.498470648055118</v>
      </c>
      <c r="D5" s="59">
        <f>'SER_se-appl'!D15</f>
        <v>62.968369090344829</v>
      </c>
      <c r="E5" s="59">
        <f>'SER_se-appl'!E15</f>
        <v>63.908287730450965</v>
      </c>
      <c r="F5" s="59">
        <f>'SER_se-appl'!F15</f>
        <v>64.622283515666041</v>
      </c>
      <c r="G5" s="59">
        <f>'SER_se-appl'!G15</f>
        <v>65.279661974593495</v>
      </c>
      <c r="H5" s="59">
        <f>'SER_se-appl'!H15</f>
        <v>65.947186442631619</v>
      </c>
      <c r="I5" s="59">
        <f>'SER_se-appl'!I15</f>
        <v>66.580924667965249</v>
      </c>
      <c r="J5" s="59">
        <f>'SER_se-appl'!J15</f>
        <v>66.853438531508203</v>
      </c>
      <c r="K5" s="59">
        <f>'SER_se-appl'!K15</f>
        <v>66.913075315198952</v>
      </c>
      <c r="L5" s="59">
        <f>'SER_se-appl'!L15</f>
        <v>67.004231975375788</v>
      </c>
      <c r="M5" s="59">
        <f>'SER_se-appl'!M15</f>
        <v>67.09122719886345</v>
      </c>
      <c r="N5" s="59">
        <f>'SER_se-appl'!N15</f>
        <v>67.484384657550194</v>
      </c>
      <c r="O5" s="59">
        <f>'SER_se-appl'!O15</f>
        <v>67.969649143142448</v>
      </c>
      <c r="P5" s="59">
        <f>'SER_se-appl'!P15</f>
        <v>68.602159729883738</v>
      </c>
      <c r="Q5" s="59">
        <f>'SER_se-appl'!Q15</f>
        <v>69.583027272171876</v>
      </c>
      <c r="R5" s="59">
        <f>'SER_se-appl'!R15</f>
        <v>70.499000745360064</v>
      </c>
      <c r="S5" s="59">
        <f>'SER_se-appl'!S15</f>
        <v>71.420931000087677</v>
      </c>
      <c r="T5" s="59">
        <f>'SER_se-appl'!T15</f>
        <v>72.366229121830969</v>
      </c>
      <c r="U5" s="59">
        <f>'SER_se-appl'!U15</f>
        <v>73.288908124767858</v>
      </c>
      <c r="V5" s="59">
        <f>'SER_se-appl'!V15</f>
        <v>74.118667353609823</v>
      </c>
      <c r="W5" s="59">
        <f>'SER_se-appl'!W15</f>
        <v>74.794330499923632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1.5498819005085079E-2</v>
      </c>
      <c r="C6" s="202">
        <f>'SER_se-appl'!C71</f>
        <v>1.6134479972374396E-2</v>
      </c>
      <c r="D6" s="202">
        <f>'SER_se-appl'!D71</f>
        <v>1.6758163798206195E-2</v>
      </c>
      <c r="E6" s="202">
        <f>'SER_se-appl'!E71</f>
        <v>1.727203006158359E-2</v>
      </c>
      <c r="F6" s="202">
        <f>'SER_se-appl'!F71</f>
        <v>1.7745912699747377E-2</v>
      </c>
      <c r="G6" s="202">
        <f>'SER_se-appl'!G71</f>
        <v>1.8221181353029185E-2</v>
      </c>
      <c r="H6" s="202">
        <f>'SER_se-appl'!H71</f>
        <v>1.8746338624378345E-2</v>
      </c>
      <c r="I6" s="202">
        <f>'SER_se-appl'!I71</f>
        <v>1.9311351149411196E-2</v>
      </c>
      <c r="J6" s="202">
        <f>'SER_se-appl'!J71</f>
        <v>1.9807227441418079E-2</v>
      </c>
      <c r="K6" s="202">
        <f>'SER_se-appl'!K71</f>
        <v>2.0277947760643799E-2</v>
      </c>
      <c r="L6" s="202">
        <f>'SER_se-appl'!L71</f>
        <v>2.0813367579612375E-2</v>
      </c>
      <c r="M6" s="202">
        <f>'SER_se-appl'!M71</f>
        <v>2.1286977652577147E-2</v>
      </c>
      <c r="N6" s="202">
        <f>'SER_se-appl'!N71</f>
        <v>2.1816254727247592E-2</v>
      </c>
      <c r="O6" s="202">
        <f>'SER_se-appl'!O71</f>
        <v>2.2406968935866415E-2</v>
      </c>
      <c r="P6" s="202">
        <f>'SER_se-appl'!P71</f>
        <v>2.3115018031124562E-2</v>
      </c>
      <c r="Q6" s="202">
        <f>'SER_se-appl'!Q71</f>
        <v>2.4006260976173008E-2</v>
      </c>
      <c r="R6" s="202">
        <f>'SER_se-appl'!R71</f>
        <v>2.4888436666276815E-2</v>
      </c>
      <c r="S6" s="202">
        <f>'SER_se-appl'!S71</f>
        <v>2.5770528137419903E-2</v>
      </c>
      <c r="T6" s="202">
        <f>'SER_se-appl'!T71</f>
        <v>2.6652299479795978E-2</v>
      </c>
      <c r="U6" s="202">
        <f>'SER_se-appl'!U71</f>
        <v>2.7522199476075482E-2</v>
      </c>
      <c r="V6" s="202">
        <f>'SER_se-appl'!V71</f>
        <v>2.8367331320983753E-2</v>
      </c>
      <c r="W6" s="202">
        <f>'SER_se-appl'!W71</f>
        <v>2.9214794506329005E-2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83.672807713535605</v>
      </c>
      <c r="C8" s="34">
        <f>'SER_se-appl'!C23</f>
        <v>86.783866589247879</v>
      </c>
      <c r="D8" s="34">
        <f>'SER_se-appl'!D23</f>
        <v>90.141341920525008</v>
      </c>
      <c r="E8" s="34">
        <f>'SER_se-appl'!E23</f>
        <v>92.834968033193974</v>
      </c>
      <c r="F8" s="34">
        <f>'SER_se-appl'!F23</f>
        <v>95.32882478395544</v>
      </c>
      <c r="G8" s="34">
        <f>'SER_se-appl'!G23</f>
        <v>97.896667737699602</v>
      </c>
      <c r="H8" s="34">
        <f>'SER_se-appl'!H23</f>
        <v>100.72272769240389</v>
      </c>
      <c r="I8" s="34">
        <f>'SER_se-appl'!I23</f>
        <v>103.76336576899324</v>
      </c>
      <c r="J8" s="34">
        <f>'SER_se-appl'!J23</f>
        <v>106.48492238761985</v>
      </c>
      <c r="K8" s="34">
        <f>'SER_se-appl'!K23</f>
        <v>109.14404630483695</v>
      </c>
      <c r="L8" s="34">
        <f>'SER_se-appl'!L23</f>
        <v>112.19258473481834</v>
      </c>
      <c r="M8" s="34">
        <f>'SER_se-appl'!M23</f>
        <v>114.78887749472902</v>
      </c>
      <c r="N8" s="34">
        <f>'SER_se-appl'!N23</f>
        <v>117.90206538006817</v>
      </c>
      <c r="O8" s="34">
        <f>'SER_se-appl'!O23</f>
        <v>121.24043416906768</v>
      </c>
      <c r="P8" s="34">
        <f>'SER_se-appl'!P23</f>
        <v>125.18975879065104</v>
      </c>
      <c r="Q8" s="34">
        <f>'SER_se-appl'!Q23</f>
        <v>130.14631893691455</v>
      </c>
      <c r="R8" s="34">
        <f>'SER_se-appl'!R23</f>
        <v>135.05092923725789</v>
      </c>
      <c r="S8" s="34">
        <f>'SER_se-appl'!S23</f>
        <v>140.07165971802829</v>
      </c>
      <c r="T8" s="34">
        <f>'SER_se-appl'!T23</f>
        <v>145.07166434446708</v>
      </c>
      <c r="U8" s="34">
        <f>'SER_se-appl'!U23</f>
        <v>150.0075739905908</v>
      </c>
      <c r="V8" s="34">
        <f>'SER_se-appl'!V23</f>
        <v>154.82529169885157</v>
      </c>
      <c r="W8" s="34">
        <f>'SER_se-appl'!W23</f>
        <v>159.50637996455947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10.715503225626151</v>
      </c>
      <c r="D9" s="36">
        <f>'SER_se-appl'!D31</f>
        <v>11.122101105273146</v>
      </c>
      <c r="E9" s="36">
        <f>'SER_se-appl'!E31</f>
        <v>10.621807401928578</v>
      </c>
      <c r="F9" s="36">
        <f>'SER_se-appl'!F31</f>
        <v>10.589038718947663</v>
      </c>
      <c r="G9" s="36">
        <f>'SER_se-appl'!G31</f>
        <v>10.83354333408532</v>
      </c>
      <c r="H9" s="36">
        <f>'SER_se-appl'!H31</f>
        <v>11.26587057861299</v>
      </c>
      <c r="I9" s="36">
        <f>'SER_se-appl'!I31</f>
        <v>11.658226434480227</v>
      </c>
      <c r="J9" s="36">
        <f>'SER_se-appl'!J31</f>
        <v>11.520667453611594</v>
      </c>
      <c r="K9" s="36">
        <f>'SER_se-appl'!K31</f>
        <v>11.643580852370533</v>
      </c>
      <c r="L9" s="36">
        <f>'SER_se-appl'!L31</f>
        <v>12.222245629882153</v>
      </c>
      <c r="M9" s="36">
        <f>'SER_se-appl'!M31</f>
        <v>13.311795985536833</v>
      </c>
      <c r="N9" s="36">
        <f>'SER_se-appl'!N31</f>
        <v>14.23528899061229</v>
      </c>
      <c r="O9" s="36">
        <f>'SER_se-appl'!O31</f>
        <v>13.960176190928095</v>
      </c>
      <c r="P9" s="36">
        <f>'SER_se-appl'!P31</f>
        <v>14.538363340531021</v>
      </c>
      <c r="Q9" s="36">
        <f>'SER_se-appl'!Q31</f>
        <v>15.790103480348833</v>
      </c>
      <c r="R9" s="36">
        <f>'SER_se-appl'!R31</f>
        <v>16.170480878956326</v>
      </c>
      <c r="S9" s="36">
        <f>'SER_se-appl'!S31</f>
        <v>16.678956915250623</v>
      </c>
      <c r="T9" s="36">
        <f>'SER_se-appl'!T31</f>
        <v>16.520672080050389</v>
      </c>
      <c r="U9" s="36">
        <f>'SER_se-appl'!U31</f>
        <v>16.579490498494238</v>
      </c>
      <c r="V9" s="36">
        <f>'SER_se-appl'!V31</f>
        <v>17.039963338142911</v>
      </c>
      <c r="W9" s="36">
        <f>'SER_se-appl'!W31</f>
        <v>17.992884251244732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7.6044443499138765</v>
      </c>
      <c r="D10" s="38">
        <f>'SER_se-appl'!D39</f>
        <v>7.7646257739960163</v>
      </c>
      <c r="E10" s="38">
        <f>'SER_se-appl'!E39</f>
        <v>7.9281812892596122</v>
      </c>
      <c r="F10" s="38">
        <f>'SER_se-appl'!F39</f>
        <v>8.0951819681861963</v>
      </c>
      <c r="G10" s="38">
        <f>'SER_se-appl'!G39</f>
        <v>8.2657003803411584</v>
      </c>
      <c r="H10" s="38">
        <f>'SER_se-appl'!H39</f>
        <v>8.4398106239086985</v>
      </c>
      <c r="I10" s="38">
        <f>'SER_se-appl'!I39</f>
        <v>8.617588357890881</v>
      </c>
      <c r="J10" s="38">
        <f>'SER_se-appl'!J39</f>
        <v>8.7991108349849867</v>
      </c>
      <c r="K10" s="38">
        <f>'SER_se-appl'!K39</f>
        <v>8.9844569351534318</v>
      </c>
      <c r="L10" s="38">
        <f>'SER_se-appl'!L39</f>
        <v>9.1737071999007611</v>
      </c>
      <c r="M10" s="38">
        <f>'SER_se-appl'!M39</f>
        <v>10.715503225626151</v>
      </c>
      <c r="N10" s="38">
        <f>'SER_se-appl'!N39</f>
        <v>11.122101105273146</v>
      </c>
      <c r="O10" s="38">
        <f>'SER_se-appl'!O39</f>
        <v>10.621807401928592</v>
      </c>
      <c r="P10" s="38">
        <f>'SER_se-appl'!P39</f>
        <v>10.589038718947648</v>
      </c>
      <c r="Q10" s="38">
        <f>'SER_se-appl'!Q39</f>
        <v>10.833543334085334</v>
      </c>
      <c r="R10" s="38">
        <f>'SER_se-appl'!R39</f>
        <v>11.265870578612976</v>
      </c>
      <c r="S10" s="38">
        <f>'SER_se-appl'!S39</f>
        <v>11.658226434480241</v>
      </c>
      <c r="T10" s="38">
        <f>'SER_se-appl'!T39</f>
        <v>11.520667453611594</v>
      </c>
      <c r="U10" s="38">
        <f>'SER_se-appl'!U39</f>
        <v>11.643580852370519</v>
      </c>
      <c r="V10" s="38">
        <f>'SER_se-appl'!V39</f>
        <v>12.222245629882138</v>
      </c>
      <c r="W10" s="38">
        <f>'SER_se-appl'!W39</f>
        <v>13.311795985536833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8759.9999999999982</v>
      </c>
      <c r="D12" s="205">
        <f>'SER_se-appl'!D47</f>
        <v>8760</v>
      </c>
      <c r="E12" s="205">
        <f>'SER_se-appl'!E47</f>
        <v>8759.9999999999945</v>
      </c>
      <c r="F12" s="205">
        <f>'SER_se-appl'!F47</f>
        <v>8759.9999999999964</v>
      </c>
      <c r="G12" s="205">
        <f>'SER_se-appl'!G47</f>
        <v>8759.9999999999982</v>
      </c>
      <c r="H12" s="205">
        <f>'SER_se-appl'!H47</f>
        <v>8760.0000000000018</v>
      </c>
      <c r="I12" s="205">
        <f>'SER_se-appl'!I47</f>
        <v>8759.9999999999964</v>
      </c>
      <c r="J12" s="205">
        <f>'SER_se-appl'!J47</f>
        <v>8760.0000000000036</v>
      </c>
      <c r="K12" s="205">
        <f>'SER_se-appl'!K47</f>
        <v>8759.9999999999964</v>
      </c>
      <c r="L12" s="205">
        <f>'SER_se-appl'!L47</f>
        <v>8760</v>
      </c>
      <c r="M12" s="205">
        <f>'SER_se-appl'!M47</f>
        <v>8760.0000000000018</v>
      </c>
      <c r="N12" s="205">
        <f>'SER_se-appl'!N47</f>
        <v>8760.0000000000036</v>
      </c>
      <c r="O12" s="205">
        <f>'SER_se-appl'!O47</f>
        <v>8759.9999999999982</v>
      </c>
      <c r="P12" s="205">
        <f>'SER_se-appl'!P47</f>
        <v>8759.9999999999964</v>
      </c>
      <c r="Q12" s="205">
        <f>'SER_se-appl'!Q47</f>
        <v>8759.9999999999982</v>
      </c>
      <c r="R12" s="205">
        <f>'SER_se-appl'!R47</f>
        <v>8759.9999999999982</v>
      </c>
      <c r="S12" s="205">
        <f>'SER_se-appl'!S47</f>
        <v>8759.9999999999964</v>
      </c>
      <c r="T12" s="205">
        <f>'SER_se-appl'!T47</f>
        <v>8759.9999999999982</v>
      </c>
      <c r="U12" s="205">
        <f>'SER_se-appl'!U47</f>
        <v>8759.9999999999982</v>
      </c>
      <c r="V12" s="205">
        <f>'SER_se-appl'!V47</f>
        <v>8759.9999999999982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716.78480982372378</v>
      </c>
      <c r="C14" s="59">
        <f>'SER_se-appl'!C55</f>
        <v>708.63944031360427</v>
      </c>
      <c r="D14" s="59">
        <f>'SER_se-appl'!D55</f>
        <v>698.55149422849956</v>
      </c>
      <c r="E14" s="59">
        <f>'SER_se-appl'!E55</f>
        <v>688.40749433553947</v>
      </c>
      <c r="F14" s="59">
        <f>'SER_se-appl'!F55</f>
        <v>677.88817980416832</v>
      </c>
      <c r="G14" s="59">
        <f>'SER_se-appl'!G55</f>
        <v>666.82210419563205</v>
      </c>
      <c r="H14" s="59">
        <f>'SER_se-appl'!H55</f>
        <v>654.73987801469252</v>
      </c>
      <c r="I14" s="59">
        <f>'SER_se-appl'!I55</f>
        <v>641.66118913483706</v>
      </c>
      <c r="J14" s="59">
        <f>'SER_se-appl'!J55</f>
        <v>627.82070017530214</v>
      </c>
      <c r="K14" s="59">
        <f>'SER_se-appl'!K55</f>
        <v>613.07123549654909</v>
      </c>
      <c r="L14" s="59">
        <f>'SER_se-appl'!L55</f>
        <v>597.22513866445763</v>
      </c>
      <c r="M14" s="59">
        <f>'SER_se-appl'!M55</f>
        <v>584.47498279564763</v>
      </c>
      <c r="N14" s="59">
        <f>'SER_se-appl'!N55</f>
        <v>572.37661138511919</v>
      </c>
      <c r="O14" s="59">
        <f>'SER_se-appl'!O55</f>
        <v>560.61865506321067</v>
      </c>
      <c r="P14" s="59">
        <f>'SER_se-appl'!P55</f>
        <v>547.98539746852555</v>
      </c>
      <c r="Q14" s="59">
        <f>'SER_se-appl'!Q55</f>
        <v>534.65228859757963</v>
      </c>
      <c r="R14" s="59">
        <f>'SER_se-appl'!R55</f>
        <v>522.01788720392449</v>
      </c>
      <c r="S14" s="59">
        <f>'SER_se-appl'!S55</f>
        <v>509.88851809039613</v>
      </c>
      <c r="T14" s="59">
        <f>'SER_se-appl'!T55</f>
        <v>498.83090160184656</v>
      </c>
      <c r="U14" s="59">
        <f>'SER_se-appl'!U55</f>
        <v>488.5680514329556</v>
      </c>
      <c r="V14" s="59">
        <f>'SER_se-appl'!V55</f>
        <v>478.7245451975441</v>
      </c>
      <c r="W14" s="59">
        <f>'SER_se-appl'!W55</f>
        <v>468.91121544192833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650.81621777516511</v>
      </c>
      <c r="D15" s="63">
        <f>'SER_se-appl'!D63</f>
        <v>632.56611178621677</v>
      </c>
      <c r="E15" s="63">
        <f>'SER_se-appl'!E63</f>
        <v>623.50203756976691</v>
      </c>
      <c r="F15" s="63">
        <f>'SER_se-appl'!F63</f>
        <v>615.40045567209472</v>
      </c>
      <c r="G15" s="63">
        <f>'SER_se-appl'!G63</f>
        <v>607.56732410909751</v>
      </c>
      <c r="H15" s="63">
        <f>'SER_se-appl'!H63</f>
        <v>596.23022243805565</v>
      </c>
      <c r="I15" s="63">
        <f>'SER_se-appl'!I63</f>
        <v>584.19646383264137</v>
      </c>
      <c r="J15" s="63">
        <f>'SER_se-appl'!J63</f>
        <v>571.11125518625272</v>
      </c>
      <c r="K15" s="63">
        <f>'SER_se-appl'!K63</f>
        <v>558.2096368576241</v>
      </c>
      <c r="L15" s="63">
        <f>'SER_se-appl'!L63</f>
        <v>545.45873423920989</v>
      </c>
      <c r="M15" s="63">
        <f>'SER_se-appl'!M63</f>
        <v>530.41817287605443</v>
      </c>
      <c r="N15" s="63">
        <f>'SER_se-appl'!N63</f>
        <v>521.84551466721109</v>
      </c>
      <c r="O15" s="63">
        <f>'SER_se-appl'!O63</f>
        <v>509.16141359214566</v>
      </c>
      <c r="P15" s="63">
        <f>'SER_se-appl'!P63</f>
        <v>491.73415686899705</v>
      </c>
      <c r="Q15" s="63">
        <f>'SER_se-appl'!Q63</f>
        <v>478.96927881508657</v>
      </c>
      <c r="R15" s="63">
        <f>'SER_se-appl'!R63</f>
        <v>472.0345703612511</v>
      </c>
      <c r="S15" s="63">
        <f>'SER_se-appl'!S63</f>
        <v>463.61561766735809</v>
      </c>
      <c r="T15" s="63">
        <f>'SER_se-appl'!T63</f>
        <v>455.4827391583861</v>
      </c>
      <c r="U15" s="63">
        <f>'SER_se-appl'!U63</f>
        <v>447.67588261744953</v>
      </c>
      <c r="V15" s="63">
        <f>'SER_se-appl'!V63</f>
        <v>439.93579744962005</v>
      </c>
      <c r="W15" s="63">
        <f>'SER_se-appl'!W63</f>
        <v>429.97451340386687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7.4010716672888499</v>
      </c>
      <c r="C3" s="199">
        <f>'SER_se-appl'!C8</f>
        <v>8.1472221007529821</v>
      </c>
      <c r="D3" s="199">
        <f>'SER_se-appl'!D8</f>
        <v>9.0780259387454727</v>
      </c>
      <c r="E3" s="199">
        <f>'SER_se-appl'!E8</f>
        <v>10.134465461496839</v>
      </c>
      <c r="F3" s="199">
        <f>'SER_se-appl'!F8</f>
        <v>11.319023260508882</v>
      </c>
      <c r="G3" s="199">
        <f>'SER_se-appl'!G8</f>
        <v>12.617786482178854</v>
      </c>
      <c r="H3" s="199">
        <f>'SER_se-appl'!H8</f>
        <v>14.021917434496176</v>
      </c>
      <c r="I3" s="199">
        <f>'SER_se-appl'!I8</f>
        <v>15.431074137235822</v>
      </c>
      <c r="J3" s="199">
        <f>'SER_se-appl'!J8</f>
        <v>16.468430171489864</v>
      </c>
      <c r="K3" s="199">
        <f>'SER_se-appl'!K8</f>
        <v>16.871851438293444</v>
      </c>
      <c r="L3" s="199">
        <f>'SER_se-appl'!L8</f>
        <v>17.538691653001298</v>
      </c>
      <c r="M3" s="199">
        <f>'SER_se-appl'!M8</f>
        <v>17.927503149715072</v>
      </c>
      <c r="N3" s="199">
        <f>'SER_se-appl'!N8</f>
        <v>18.301173965363336</v>
      </c>
      <c r="O3" s="199">
        <f>'SER_se-appl'!O8</f>
        <v>18.630952412216391</v>
      </c>
      <c r="P3" s="199">
        <f>'SER_se-appl'!P8</f>
        <v>18.946561707599137</v>
      </c>
      <c r="Q3" s="199">
        <f>'SER_se-appl'!Q8</f>
        <v>19.285246083249543</v>
      </c>
      <c r="R3" s="199">
        <f>'SER_se-appl'!R8</f>
        <v>19.927893405799111</v>
      </c>
      <c r="S3" s="199">
        <f>'SER_se-appl'!S8</f>
        <v>21.066909209524802</v>
      </c>
      <c r="T3" s="199">
        <f>'SER_se-appl'!T8</f>
        <v>21.790459004772089</v>
      </c>
      <c r="U3" s="199">
        <f>'SER_se-appl'!U8</f>
        <v>22.53051268572931</v>
      </c>
      <c r="V3" s="199">
        <f>'SER_se-appl'!V8</f>
        <v>23.35102517701667</v>
      </c>
      <c r="W3" s="199">
        <f>'SER_se-appl'!W8</f>
        <v>25.670324647288354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93.605903429306281</v>
      </c>
      <c r="C5" s="59">
        <f>'SER_se-appl'!C16</f>
        <v>102.55304288837334</v>
      </c>
      <c r="D5" s="59">
        <f>'SER_se-appl'!D16</f>
        <v>113.77346544718324</v>
      </c>
      <c r="E5" s="59">
        <f>'SER_se-appl'!E16</f>
        <v>126.50634514341279</v>
      </c>
      <c r="F5" s="59">
        <f>'SER_se-appl'!F16</f>
        <v>140.77034666991975</v>
      </c>
      <c r="G5" s="59">
        <f>'SER_se-appl'!G16</f>
        <v>156.38217193165201</v>
      </c>
      <c r="H5" s="59">
        <f>'SER_se-appl'!H16</f>
        <v>173.22478696814571</v>
      </c>
      <c r="I5" s="59">
        <f>'SER_se-appl'!I16</f>
        <v>190.05633109211507</v>
      </c>
      <c r="J5" s="59">
        <f>'SER_se-appl'!J16</f>
        <v>202.25404073937943</v>
      </c>
      <c r="K5" s="59">
        <f>'SER_se-appl'!K16</f>
        <v>206.64918277138372</v>
      </c>
      <c r="L5" s="59">
        <f>'SER_se-appl'!L16</f>
        <v>214.26652320262593</v>
      </c>
      <c r="M5" s="59">
        <f>'SER_se-appl'!M16</f>
        <v>218.66064621086872</v>
      </c>
      <c r="N5" s="59">
        <f>'SER_se-appl'!N16</f>
        <v>222.87241698057383</v>
      </c>
      <c r="O5" s="59">
        <f>'SER_se-appl'!O16</f>
        <v>226.55253441708973</v>
      </c>
      <c r="P5" s="59">
        <f>'SER_se-appl'!P16</f>
        <v>230.06373362884239</v>
      </c>
      <c r="Q5" s="59">
        <f>'SER_se-appl'!Q16</f>
        <v>233.85786521831906</v>
      </c>
      <c r="R5" s="59">
        <f>'SER_se-appl'!R16</f>
        <v>241.60331265459476</v>
      </c>
      <c r="S5" s="59">
        <f>'SER_se-appl'!S16</f>
        <v>248.30581304541292</v>
      </c>
      <c r="T5" s="59">
        <f>'SER_se-appl'!T16</f>
        <v>256.64989200439982</v>
      </c>
      <c r="U5" s="59">
        <f>'SER_se-appl'!U16</f>
        <v>266.62182601539092</v>
      </c>
      <c r="V5" s="59">
        <f>'SER_se-appl'!V16</f>
        <v>275.22579771970828</v>
      </c>
      <c r="W5" s="59">
        <f>'SER_se-appl'!W16</f>
        <v>281.99842435303191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59.447220614107756</v>
      </c>
      <c r="C6" s="202">
        <f>'SER_se-appl'!C72</f>
        <v>64.369080627885864</v>
      </c>
      <c r="D6" s="202">
        <f>'SER_se-appl'!D72</f>
        <v>70.294559692858655</v>
      </c>
      <c r="E6" s="202">
        <f>'SER_se-appl'!E72</f>
        <v>76.933273862098503</v>
      </c>
      <c r="F6" s="202">
        <f>'SER_se-appl'!F72</f>
        <v>84.23282597013835</v>
      </c>
      <c r="G6" s="202">
        <f>'SER_se-appl'!G72</f>
        <v>91.299951266891327</v>
      </c>
      <c r="H6" s="202">
        <f>'SER_se-appl'!H72</f>
        <v>97.822594248866238</v>
      </c>
      <c r="I6" s="202">
        <f>'SER_se-appl'!I72</f>
        <v>102.86015338970114</v>
      </c>
      <c r="J6" s="202">
        <f>'SER_se-appl'!J72</f>
        <v>107.07134266157051</v>
      </c>
      <c r="K6" s="202">
        <f>'SER_se-appl'!K72</f>
        <v>110.43759021370748</v>
      </c>
      <c r="L6" s="202">
        <f>'SER_se-appl'!L72</f>
        <v>113.29382161140927</v>
      </c>
      <c r="M6" s="202">
        <f>'SER_se-appl'!M72</f>
        <v>115.80880694044514</v>
      </c>
      <c r="N6" s="202">
        <f>'SER_se-appl'!N72</f>
        <v>118.50491396045285</v>
      </c>
      <c r="O6" s="202">
        <f>'SER_se-appl'!O72</f>
        <v>121.35879776251848</v>
      </c>
      <c r="P6" s="202">
        <f>'SER_se-appl'!P72</f>
        <v>124.4307631813148</v>
      </c>
      <c r="Q6" s="202">
        <f>'SER_se-appl'!Q72</f>
        <v>127.76265128544694</v>
      </c>
      <c r="R6" s="202">
        <f>'SER_se-appl'!R72</f>
        <v>133.38470143874926</v>
      </c>
      <c r="S6" s="202">
        <f>'SER_se-appl'!S72</f>
        <v>138.6658876750144</v>
      </c>
      <c r="T6" s="202">
        <f>'SER_se-appl'!T72</f>
        <v>145.08409664357964</v>
      </c>
      <c r="U6" s="202">
        <f>'SER_se-appl'!U72</f>
        <v>152.79064151945465</v>
      </c>
      <c r="V6" s="202">
        <f>'SER_se-appl'!V72</f>
        <v>159.91502631316934</v>
      </c>
      <c r="W6" s="202">
        <f>'SER_se-appl'!W72</f>
        <v>166.08081399650379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1.7280068213259223</v>
      </c>
      <c r="C8" s="34">
        <f>'SER_se-appl'!C24</f>
        <v>1.9072438628198576</v>
      </c>
      <c r="D8" s="34">
        <f>'SER_se-appl'!D24</f>
        <v>2.1345722174385613</v>
      </c>
      <c r="E8" s="34">
        <f>'SER_se-appl'!E24</f>
        <v>2.3952568643288261</v>
      </c>
      <c r="F8" s="34">
        <f>'SER_se-appl'!F24</f>
        <v>2.6914314741820129</v>
      </c>
      <c r="G8" s="34">
        <f>'SER_se-appl'!G24</f>
        <v>3.0216656066273564</v>
      </c>
      <c r="H8" s="34">
        <f>'SER_se-appl'!H24</f>
        <v>3.385275830033446</v>
      </c>
      <c r="I8" s="34">
        <f>'SER_se-appl'!I24</f>
        <v>3.7573169184905888</v>
      </c>
      <c r="J8" s="34">
        <f>'SER_se-appl'!J24</f>
        <v>4.0402176606072322</v>
      </c>
      <c r="K8" s="34">
        <f>'SER_se-appl'!K24</f>
        <v>4.1603590717174974</v>
      </c>
      <c r="L8" s="34">
        <f>'SER_se-appl'!L24</f>
        <v>4.3616132316249194</v>
      </c>
      <c r="M8" s="34">
        <f>'SER_se-appl'!M24</f>
        <v>4.5023587890097003</v>
      </c>
      <c r="N8" s="34">
        <f>'SER_se-appl'!N24</f>
        <v>4.6529067292177233</v>
      </c>
      <c r="O8" s="34">
        <f>'SER_se-appl'!O24</f>
        <v>4.8062909591297363</v>
      </c>
      <c r="P8" s="34">
        <f>'SER_se-appl'!P24</f>
        <v>4.9745524527823726</v>
      </c>
      <c r="Q8" s="34">
        <f>'SER_se-appl'!Q24</f>
        <v>5.1717003279857616</v>
      </c>
      <c r="R8" s="34">
        <f>'SER_se-appl'!R24</f>
        <v>5.4641553105778629</v>
      </c>
      <c r="S8" s="34">
        <f>'SER_se-appl'!S24</f>
        <v>5.7525882115199867</v>
      </c>
      <c r="T8" s="34">
        <f>'SER_se-appl'!T24</f>
        <v>6.1063559484171366</v>
      </c>
      <c r="U8" s="34">
        <f>'SER_se-appl'!U24</f>
        <v>6.526568501517815</v>
      </c>
      <c r="V8" s="34">
        <f>'SER_se-appl'!V24</f>
        <v>6.9275024153337768</v>
      </c>
      <c r="W8" s="34">
        <f>'SER_se-appl'!W24</f>
        <v>7.2884298904813463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0.22845491723581501</v>
      </c>
      <c r="D9" s="36">
        <f>'SER_se-appl'!D32</f>
        <v>0.28208479056815072</v>
      </c>
      <c r="E9" s="36">
        <f>'SER_se-appl'!E32</f>
        <v>0.32160290540288594</v>
      </c>
      <c r="F9" s="36">
        <f>'SER_se-appl'!F32</f>
        <v>0.3639480899174603</v>
      </c>
      <c r="G9" s="36">
        <f>'SER_se-appl'!G32</f>
        <v>0.40563426226144594</v>
      </c>
      <c r="H9" s="36">
        <f>'SER_se-appl'!H32</f>
        <v>0.44749524112826444</v>
      </c>
      <c r="I9" s="36">
        <f>'SER_se-appl'!I32</f>
        <v>0.46536581104597419</v>
      </c>
      <c r="J9" s="36">
        <f>'SER_se-appl'!J32</f>
        <v>0.38672743349469085</v>
      </c>
      <c r="K9" s="36">
        <f>'SER_se-appl'!K32</f>
        <v>0.23565187332729876</v>
      </c>
      <c r="L9" s="36">
        <f>'SER_se-appl'!L32</f>
        <v>0.32976318494232615</v>
      </c>
      <c r="M9" s="36">
        <f>'SER_se-appl'!M32</f>
        <v>0.28371589269858255</v>
      </c>
      <c r="N9" s="36">
        <f>'SER_se-appl'!N32</f>
        <v>0.30960693839269648</v>
      </c>
      <c r="O9" s="36">
        <f>'SER_se-appl'!O32</f>
        <v>0.33034237194883698</v>
      </c>
      <c r="P9" s="36">
        <f>'SER_se-appl'!P32</f>
        <v>0.3651329966201553</v>
      </c>
      <c r="Q9" s="36">
        <f>'SER_se-appl'!Q32</f>
        <v>0.41617361900117711</v>
      </c>
      <c r="R9" s="36">
        <f>'SER_se-appl'!R32</f>
        <v>0.5209098998279158</v>
      </c>
      <c r="S9" s="36">
        <f>'SER_se-appl'!S32</f>
        <v>0.57051769151027454</v>
      </c>
      <c r="T9" s="36">
        <f>'SER_se-appl'!T32</f>
        <v>0.67537064230003541</v>
      </c>
      <c r="U9" s="36">
        <f>'SER_se-appl'!U32</f>
        <v>0.78416064301813826</v>
      </c>
      <c r="V9" s="36">
        <f>'SER_se-appl'!V32</f>
        <v>0.80656817607740727</v>
      </c>
      <c r="W9" s="36">
        <f>'SER_se-appl'!W32</f>
        <v>0.80842271627583351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4.9217875741879746E-2</v>
      </c>
      <c r="D10" s="38">
        <f>'SER_se-appl'!D40</f>
        <v>5.4756435949447013E-2</v>
      </c>
      <c r="E10" s="38">
        <f>'SER_se-appl'!E40</f>
        <v>6.0918258512621115E-2</v>
      </c>
      <c r="F10" s="38">
        <f>'SER_se-appl'!F40</f>
        <v>6.7773480064273528E-2</v>
      </c>
      <c r="G10" s="38">
        <f>'SER_se-appl'!G40</f>
        <v>7.5400129816102446E-2</v>
      </c>
      <c r="H10" s="38">
        <f>'SER_se-appl'!H40</f>
        <v>8.3885017722174826E-2</v>
      </c>
      <c r="I10" s="38">
        <f>'SER_se-appl'!I40</f>
        <v>9.3324722588831399E-2</v>
      </c>
      <c r="J10" s="38">
        <f>'SER_se-appl'!J40</f>
        <v>0.10382669137804701</v>
      </c>
      <c r="K10" s="38">
        <f>'SER_se-appl'!K40</f>
        <v>0.11551046221703309</v>
      </c>
      <c r="L10" s="38">
        <f>'SER_se-appl'!L40</f>
        <v>0.12850902503490413</v>
      </c>
      <c r="M10" s="38">
        <f>'SER_se-appl'!M40</f>
        <v>0.14297033531380166</v>
      </c>
      <c r="N10" s="38">
        <f>'SER_se-appl'!N40</f>
        <v>0.15905899818467351</v>
      </c>
      <c r="O10" s="38">
        <f>'SER_se-appl'!O40</f>
        <v>0.17695814203682403</v>
      </c>
      <c r="P10" s="38">
        <f>'SER_se-appl'!P40</f>
        <v>0.19687150296751899</v>
      </c>
      <c r="Q10" s="38">
        <f>'SER_se-appl'!Q40</f>
        <v>0.21902574379778805</v>
      </c>
      <c r="R10" s="38">
        <f>'SER_se-appl'!R40</f>
        <v>0.22845491723581457</v>
      </c>
      <c r="S10" s="38">
        <f>'SER_se-appl'!S40</f>
        <v>0.28208479056815072</v>
      </c>
      <c r="T10" s="38">
        <f>'SER_se-appl'!T40</f>
        <v>0.3216029054028855</v>
      </c>
      <c r="U10" s="38">
        <f>'SER_se-appl'!U40</f>
        <v>0.36394808991745986</v>
      </c>
      <c r="V10" s="38">
        <f>'SER_se-appl'!V40</f>
        <v>0.4056342622614455</v>
      </c>
      <c r="W10" s="38">
        <f>'SER_se-appl'!W40</f>
        <v>0.447495241128264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919.54097270772138</v>
      </c>
      <c r="C12" s="205">
        <f>'SER_se-appl'!C48</f>
        <v>923.93351150870092</v>
      </c>
      <c r="D12" s="205">
        <f>'SER_se-appl'!D48</f>
        <v>927.96190440926478</v>
      </c>
      <c r="E12" s="205">
        <f>'SER_se-appl'!E48</f>
        <v>931.68317512922351</v>
      </c>
      <c r="F12" s="205">
        <f>'SER_se-appl'!F48</f>
        <v>935.14183657151989</v>
      </c>
      <c r="G12" s="205">
        <f>'SER_se-appl'!G48</f>
        <v>938.37331311574326</v>
      </c>
      <c r="H12" s="205">
        <f>'SER_se-appl'!H48</f>
        <v>941.40626533533191</v>
      </c>
      <c r="I12" s="205">
        <f>'SER_se-appl'!I48</f>
        <v>944.26421463998292</v>
      </c>
      <c r="J12" s="205">
        <f>'SER_se-appl'!J48</f>
        <v>946.96670679240526</v>
      </c>
      <c r="K12" s="205">
        <f>'SER_se-appl'!K48</f>
        <v>949.53016312883665</v>
      </c>
      <c r="L12" s="205">
        <f>'SER_se-appl'!L48</f>
        <v>951.96851507928557</v>
      </c>
      <c r="M12" s="205">
        <f>'SER_se-appl'!M48</f>
        <v>953.5179980677417</v>
      </c>
      <c r="N12" s="205">
        <f>'SER_se-appl'!N48</f>
        <v>954.99773413292121</v>
      </c>
      <c r="O12" s="205">
        <f>'SER_se-appl'!O48</f>
        <v>956.41382742232418</v>
      </c>
      <c r="P12" s="205">
        <f>'SER_se-appl'!P48</f>
        <v>957.77161043062176</v>
      </c>
      <c r="Q12" s="205">
        <f>'SER_se-appl'!Q48</f>
        <v>959.07576911645742</v>
      </c>
      <c r="R12" s="205">
        <f>'SER_se-appl'!R48</f>
        <v>959.26416638491435</v>
      </c>
      <c r="S12" s="205">
        <f>'SER_se-appl'!S48</f>
        <v>986.71936472934556</v>
      </c>
      <c r="T12" s="205">
        <f>'SER_se-appl'!T48</f>
        <v>987.42702070240841</v>
      </c>
      <c r="U12" s="205">
        <f>'SER_se-appl'!U48</f>
        <v>982.77724089964806</v>
      </c>
      <c r="V12" s="205">
        <f>'SER_se-appl'!V48</f>
        <v>986.7258994568341</v>
      </c>
      <c r="W12" s="205">
        <f>'SER_se-appl'!W48</f>
        <v>1058.6792331655583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54.169869166072644</v>
      </c>
      <c r="C14" s="59">
        <f>'SER_se-appl'!C56</f>
        <v>53.770283332698106</v>
      </c>
      <c r="D14" s="59">
        <f>'SER_se-appl'!D56</f>
        <v>53.300358974834239</v>
      </c>
      <c r="E14" s="59">
        <f>'SER_se-appl'!E56</f>
        <v>52.815356476960176</v>
      </c>
      <c r="F14" s="59">
        <f>'SER_se-appl'!F56</f>
        <v>52.30315095155936</v>
      </c>
      <c r="G14" s="59">
        <f>'SER_se-appl'!G56</f>
        <v>51.75363269471719</v>
      </c>
      <c r="H14" s="59">
        <f>'SER_se-appl'!H56</f>
        <v>51.170065798282167</v>
      </c>
      <c r="I14" s="59">
        <f>'SER_se-appl'!I56</f>
        <v>50.582991856983305</v>
      </c>
      <c r="J14" s="59">
        <f>'SER_se-appl'!J56</f>
        <v>50.060184309223892</v>
      </c>
      <c r="K14" s="59">
        <f>'SER_se-appl'!K56</f>
        <v>49.670996952211127</v>
      </c>
      <c r="L14" s="59">
        <f>'SER_se-appl'!L56</f>
        <v>49.125521183087784</v>
      </c>
      <c r="M14" s="59">
        <f>'SER_se-appl'!M56</f>
        <v>48.565797720213098</v>
      </c>
      <c r="N14" s="59">
        <f>'SER_se-appl'!N56</f>
        <v>47.899609846261541</v>
      </c>
      <c r="O14" s="59">
        <f>'SER_se-appl'!O56</f>
        <v>47.136666577944972</v>
      </c>
      <c r="P14" s="59">
        <f>'SER_se-appl'!P56</f>
        <v>46.248127004905307</v>
      </c>
      <c r="Q14" s="59">
        <f>'SER_se-appl'!Q56</f>
        <v>45.218757930121683</v>
      </c>
      <c r="R14" s="59">
        <f>'SER_se-appl'!R56</f>
        <v>44.216040526315851</v>
      </c>
      <c r="S14" s="59">
        <f>'SER_se-appl'!S56</f>
        <v>43.16419043312748</v>
      </c>
      <c r="T14" s="59">
        <f>'SER_se-appl'!T56</f>
        <v>42.029959303457822</v>
      </c>
      <c r="U14" s="59">
        <f>'SER_se-appl'!U56</f>
        <v>40.851762446588204</v>
      </c>
      <c r="V14" s="59">
        <f>'SER_se-appl'!V56</f>
        <v>39.7294408891877</v>
      </c>
      <c r="W14" s="59">
        <f>'SER_se-appl'!W56</f>
        <v>38.691244697478737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50.833947849103694</v>
      </c>
      <c r="D15" s="63">
        <f>'SER_se-appl'!D64</f>
        <v>50.291869694989629</v>
      </c>
      <c r="E15" s="63">
        <f>'SER_se-appl'!E64</f>
        <v>49.852826328164554</v>
      </c>
      <c r="F15" s="63">
        <f>'SER_se-appl'!F64</f>
        <v>49.27978074726439</v>
      </c>
      <c r="G15" s="63">
        <f>'SER_se-appl'!G64</f>
        <v>48.556648837223875</v>
      </c>
      <c r="H15" s="63">
        <f>'SER_se-appl'!H64</f>
        <v>47.791917110840565</v>
      </c>
      <c r="I15" s="63">
        <f>'SER_se-appl'!I64</f>
        <v>47.031671895647939</v>
      </c>
      <c r="J15" s="63">
        <f>'SER_se-appl'!J64</f>
        <v>46.084105733357738</v>
      </c>
      <c r="K15" s="63">
        <f>'SER_se-appl'!K64</f>
        <v>45.203666354132928</v>
      </c>
      <c r="L15" s="63">
        <f>'SER_se-appl'!L64</f>
        <v>44.209475677499434</v>
      </c>
      <c r="M15" s="63">
        <f>'SER_se-appl'!M64</f>
        <v>42.785080706483903</v>
      </c>
      <c r="N15" s="63">
        <f>'SER_se-appl'!N64</f>
        <v>41.433102105692676</v>
      </c>
      <c r="O15" s="63">
        <f>'SER_se-appl'!O64</f>
        <v>40.158084354302943</v>
      </c>
      <c r="P15" s="63">
        <f>'SER_se-appl'!P64</f>
        <v>38.823395588041343</v>
      </c>
      <c r="Q15" s="63">
        <f>'SER_se-appl'!Q64</f>
        <v>37.625468698822843</v>
      </c>
      <c r="R15" s="63">
        <f>'SER_se-appl'!R64</f>
        <v>37.163265262011073</v>
      </c>
      <c r="S15" s="63">
        <f>'SER_se-appl'!S64</f>
        <v>36.614240420332045</v>
      </c>
      <c r="T15" s="63">
        <f>'SER_se-appl'!T64</f>
        <v>36.094095925834736</v>
      </c>
      <c r="U15" s="63">
        <f>'SER_se-appl'!U64</f>
        <v>35.588646706493343</v>
      </c>
      <c r="V15" s="63">
        <f>'SER_se-appl'!V64</f>
        <v>35.087191600994672</v>
      </c>
      <c r="W15" s="63">
        <f>'SER_se-appl'!W64</f>
        <v>34.832373630645542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24.578360123999765</v>
      </c>
      <c r="C3" s="199">
        <f>'SER_se-appl'!C9</f>
        <v>29.652045864429905</v>
      </c>
      <c r="D3" s="199">
        <f>'SER_se-appl'!D9</f>
        <v>32.801811896902748</v>
      </c>
      <c r="E3" s="199">
        <f>'SER_se-appl'!E9</f>
        <v>33.163438763259713</v>
      </c>
      <c r="F3" s="199">
        <f>'SER_se-appl'!F9</f>
        <v>38.268000070928522</v>
      </c>
      <c r="G3" s="199">
        <f>'SER_se-appl'!G9</f>
        <v>39.486909243871501</v>
      </c>
      <c r="H3" s="199">
        <f>'SER_se-appl'!H9</f>
        <v>42.055415448524336</v>
      </c>
      <c r="I3" s="199">
        <f>'SER_se-appl'!I9</f>
        <v>49.096510333361465</v>
      </c>
      <c r="J3" s="199">
        <f>'SER_se-appl'!J9</f>
        <v>51.938576154916888</v>
      </c>
      <c r="K3" s="199">
        <f>'SER_se-appl'!K9</f>
        <v>54.162505803304654</v>
      </c>
      <c r="L3" s="199">
        <f>'SER_se-appl'!L9</f>
        <v>57.269419889752733</v>
      </c>
      <c r="M3" s="199">
        <f>'SER_se-appl'!M9</f>
        <v>58.714371133254645</v>
      </c>
      <c r="N3" s="199">
        <f>'SER_se-appl'!N9</f>
        <v>55.505813909705005</v>
      </c>
      <c r="O3" s="199">
        <f>'SER_se-appl'!O9</f>
        <v>61.389839043112268</v>
      </c>
      <c r="P3" s="199">
        <f>'SER_se-appl'!P9</f>
        <v>59.935466454119727</v>
      </c>
      <c r="Q3" s="199">
        <f>'SER_se-appl'!Q9</f>
        <v>68.37356846415652</v>
      </c>
      <c r="R3" s="199">
        <f>'SER_se-appl'!R9</f>
        <v>69.559770129026489</v>
      </c>
      <c r="S3" s="199">
        <f>'SER_se-appl'!S9</f>
        <v>75.926432239692488</v>
      </c>
      <c r="T3" s="199">
        <f>'SER_se-appl'!T9</f>
        <v>76.055354576045261</v>
      </c>
      <c r="U3" s="199">
        <f>'SER_se-appl'!U9</f>
        <v>76.099218322367946</v>
      </c>
      <c r="V3" s="199">
        <f>'SER_se-appl'!V9</f>
        <v>77.084218990570278</v>
      </c>
      <c r="W3" s="199">
        <f>'SER_se-appl'!W9</f>
        <v>83.934663035967731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182.03851693464549</v>
      </c>
      <c r="C5" s="59">
        <f>'SER_se-appl'!C17</f>
        <v>216.85640755094377</v>
      </c>
      <c r="D5" s="59">
        <f>'SER_se-appl'!D17</f>
        <v>236.12744577005842</v>
      </c>
      <c r="E5" s="59">
        <f>'SER_se-appl'!E17</f>
        <v>234.52060853523702</v>
      </c>
      <c r="F5" s="59">
        <f>'SER_se-appl'!F17</f>
        <v>265.88814305585174</v>
      </c>
      <c r="G5" s="59">
        <f>'SER_se-appl'!G17</f>
        <v>269.8768229325961</v>
      </c>
      <c r="H5" s="59">
        <f>'SER_se-appl'!H17</f>
        <v>283.32748697711878</v>
      </c>
      <c r="I5" s="59">
        <f>'SER_se-appl'!I17</f>
        <v>326.84363420964934</v>
      </c>
      <c r="J5" s="59">
        <f>'SER_se-appl'!J17</f>
        <v>341.94598441345352</v>
      </c>
      <c r="K5" s="59">
        <f>'SER_se-appl'!K17</f>
        <v>353.45911914794931</v>
      </c>
      <c r="L5" s="59">
        <f>'SER_se-appl'!L17</f>
        <v>369.25566787919479</v>
      </c>
      <c r="M5" s="59">
        <f>'SER_se-appl'!M17</f>
        <v>373.23041388220395</v>
      </c>
      <c r="N5" s="59">
        <f>'SER_se-appl'!N17</f>
        <v>349.23048886920935</v>
      </c>
      <c r="O5" s="59">
        <f>'SER_se-appl'!O17</f>
        <v>381.84130700527015</v>
      </c>
      <c r="P5" s="59">
        <f>'SER_se-appl'!P17</f>
        <v>368.18954062767523</v>
      </c>
      <c r="Q5" s="59">
        <f>'SER_se-appl'!Q17</f>
        <v>414.80433499514072</v>
      </c>
      <c r="R5" s="59">
        <f>'SER_se-appl'!R17</f>
        <v>416.99478238893863</v>
      </c>
      <c r="S5" s="59">
        <f>'SER_se-appl'!S17</f>
        <v>438.10962416113335</v>
      </c>
      <c r="T5" s="59">
        <f>'SER_se-appl'!T17</f>
        <v>434.36607434421137</v>
      </c>
      <c r="U5" s="59">
        <f>'SER_se-appl'!U17</f>
        <v>432.18993910346478</v>
      </c>
      <c r="V5" s="59">
        <f>'SER_se-appl'!V17</f>
        <v>435.68343229991791</v>
      </c>
      <c r="W5" s="59">
        <f>'SER_se-appl'!W17</f>
        <v>436.25797790560063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8.6074750096787694E-2</v>
      </c>
      <c r="C6" s="202">
        <f>'SER_se-appl'!C73</f>
        <v>0.10539645212235429</v>
      </c>
      <c r="D6" s="202">
        <f>'SER_se-appl'!D73</f>
        <v>0.11751393528171068</v>
      </c>
      <c r="E6" s="202">
        <f>'SER_se-appl'!E73</f>
        <v>0.1194753051287662</v>
      </c>
      <c r="F6" s="202">
        <f>'SER_se-appl'!F73</f>
        <v>0.14144276150789556</v>
      </c>
      <c r="G6" s="202">
        <f>'SER_se-appl'!G73</f>
        <v>0.14870309552323807</v>
      </c>
      <c r="H6" s="202">
        <f>'SER_se-appl'!H73</f>
        <v>0.16676521710998402</v>
      </c>
      <c r="I6" s="202">
        <f>'SER_se-appl'!I73</f>
        <v>0.20503817965476914</v>
      </c>
      <c r="J6" s="202">
        <f>'SER_se-appl'!J73</f>
        <v>0.22242845800426256</v>
      </c>
      <c r="K6" s="202">
        <f>'SER_se-appl'!K73</f>
        <v>0.24620422085388163</v>
      </c>
      <c r="L6" s="202">
        <f>'SER_se-appl'!L73</f>
        <v>0.27039113039149637</v>
      </c>
      <c r="M6" s="202">
        <f>'SER_se-appl'!M73</f>
        <v>0.29889657877077186</v>
      </c>
      <c r="N6" s="202">
        <f>'SER_se-appl'!N73</f>
        <v>0.30364018512284457</v>
      </c>
      <c r="O6" s="202">
        <f>'SER_se-appl'!O73</f>
        <v>0.34949876437502159</v>
      </c>
      <c r="P6" s="202">
        <f>'SER_se-appl'!P73</f>
        <v>0.35403930476508316</v>
      </c>
      <c r="Q6" s="202">
        <f>'SER_se-appl'!Q73</f>
        <v>0.41170550521289684</v>
      </c>
      <c r="R6" s="202">
        <f>'SER_se-appl'!R73</f>
        <v>0.42446591616486057</v>
      </c>
      <c r="S6" s="202">
        <f>'SER_se-appl'!S73</f>
        <v>0.45509866445832681</v>
      </c>
      <c r="T6" s="202">
        <f>'SER_se-appl'!T73</f>
        <v>0.45918103420261203</v>
      </c>
      <c r="U6" s="202">
        <f>'SER_se-appl'!U73</f>
        <v>0.46308732424313681</v>
      </c>
      <c r="V6" s="202">
        <f>'SER_se-appl'!V73</f>
        <v>0.47957225760565303</v>
      </c>
      <c r="W6" s="202">
        <f>'SER_se-appl'!W73</f>
        <v>0.49249383986946471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464.68805213327357</v>
      </c>
      <c r="C8" s="34">
        <f>'SER_se-appl'!C25</f>
        <v>566.90464493603315</v>
      </c>
      <c r="D8" s="34">
        <f>'SER_se-appl'!D25</f>
        <v>632.10169969749302</v>
      </c>
      <c r="E8" s="34">
        <f>'SER_se-appl'!E25</f>
        <v>642.16459170336691</v>
      </c>
      <c r="F8" s="34">
        <f>'SER_se-appl'!F25</f>
        <v>759.81283447522651</v>
      </c>
      <c r="G8" s="34">
        <f>'SER_se-appl'!G25</f>
        <v>798.93489077126833</v>
      </c>
      <c r="H8" s="34">
        <f>'SER_se-appl'!H25</f>
        <v>896.01750443631215</v>
      </c>
      <c r="I8" s="34">
        <f>'SER_se-appl'!I25</f>
        <v>1101.7070461574124</v>
      </c>
      <c r="J8" s="34">
        <f>'SER_se-appl'!J25</f>
        <v>1195.7896256522279</v>
      </c>
      <c r="K8" s="34">
        <f>'SER_se-appl'!K25</f>
        <v>1325.1698445281534</v>
      </c>
      <c r="L8" s="34">
        <f>'SER_se-appl'!L25</f>
        <v>1457.5190531736259</v>
      </c>
      <c r="M8" s="34">
        <f>'SER_se-appl'!M25</f>
        <v>1611.7836606061335</v>
      </c>
      <c r="N8" s="34">
        <f>'SER_se-appl'!N25</f>
        <v>1640.9693325434616</v>
      </c>
      <c r="O8" s="34">
        <f>'SER_se-appl'!O25</f>
        <v>1891.0804962358843</v>
      </c>
      <c r="P8" s="34">
        <f>'SER_se-appl'!P25</f>
        <v>1917.4588186031474</v>
      </c>
      <c r="Q8" s="34">
        <f>'SER_se-appl'!Q25</f>
        <v>2231.9992289804331</v>
      </c>
      <c r="R8" s="34">
        <f>'SER_se-appl'!R25</f>
        <v>2303.2590265214071</v>
      </c>
      <c r="S8" s="34">
        <f>'SER_se-appl'!S25</f>
        <v>2473.6173401729152</v>
      </c>
      <c r="T8" s="34">
        <f>'SER_se-appl'!T25</f>
        <v>2499.3774708889214</v>
      </c>
      <c r="U8" s="34">
        <f>'SER_se-appl'!U25</f>
        <v>2524.0208768886018</v>
      </c>
      <c r="V8" s="34">
        <f>'SER_se-appl'!V25</f>
        <v>2617.4444763349384</v>
      </c>
      <c r="W8" s="34">
        <f>'SER_se-appl'!W25</f>
        <v>2688.9085095363462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195.15420322941429</v>
      </c>
      <c r="D9" s="36">
        <f>'SER_se-appl'!D33</f>
        <v>158.13466518811458</v>
      </c>
      <c r="E9" s="36">
        <f>'SER_se-appl'!E33</f>
        <v>103.00050243252861</v>
      </c>
      <c r="F9" s="36">
        <f>'SER_se-appl'!F33</f>
        <v>210.58585319851431</v>
      </c>
      <c r="G9" s="36">
        <f>'SER_se-appl'!G33</f>
        <v>132.05966672269653</v>
      </c>
      <c r="H9" s="36">
        <f>'SER_se-appl'!H33</f>
        <v>292.23681689445812</v>
      </c>
      <c r="I9" s="36">
        <f>'SER_se-appl'!I33</f>
        <v>363.82420690921481</v>
      </c>
      <c r="J9" s="36">
        <f>'SER_se-appl'!J33</f>
        <v>197.0830819273441</v>
      </c>
      <c r="K9" s="36">
        <f>'SER_se-appl'!K33</f>
        <v>339.96607207443981</v>
      </c>
      <c r="L9" s="36">
        <f>'SER_se-appl'!L33</f>
        <v>264.40887536816922</v>
      </c>
      <c r="M9" s="36">
        <f>'SER_se-appl'!M33</f>
        <v>446.50142432696566</v>
      </c>
      <c r="N9" s="36">
        <f>'SER_se-appl'!N33</f>
        <v>393.00987884654296</v>
      </c>
      <c r="O9" s="36">
        <f>'SER_se-appl'!O33</f>
        <v>447.19424561976666</v>
      </c>
      <c r="P9" s="36">
        <f>'SER_se-appl'!P33</f>
        <v>366.34439444170289</v>
      </c>
      <c r="Q9" s="36">
        <f>'SER_se-appl'!Q33</f>
        <v>578.94928574545497</v>
      </c>
      <c r="R9" s="36">
        <f>'SER_se-appl'!R33</f>
        <v>517.76122186793964</v>
      </c>
      <c r="S9" s="36">
        <f>'SER_se-appl'!S33</f>
        <v>563.36819249805103</v>
      </c>
      <c r="T9" s="36">
        <f>'SER_se-appl'!T33</f>
        <v>472.95437633577285</v>
      </c>
      <c r="U9" s="36">
        <f>'SER_se-appl'!U33</f>
        <v>390.98780044138357</v>
      </c>
      <c r="V9" s="36">
        <f>'SER_se-appl'!V33</f>
        <v>672.37288519179151</v>
      </c>
      <c r="W9" s="36">
        <f>'SER_se-appl'!W33</f>
        <v>589.22525506934744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92.937610426654715</v>
      </c>
      <c r="D10" s="38">
        <f>'SER_se-appl'!D41</f>
        <v>92.937610426654715</v>
      </c>
      <c r="E10" s="38">
        <f>'SER_se-appl'!E41</f>
        <v>92.937610426654715</v>
      </c>
      <c r="F10" s="38">
        <f>'SER_se-appl'!F41</f>
        <v>92.937610426654715</v>
      </c>
      <c r="G10" s="38">
        <f>'SER_se-appl'!G41</f>
        <v>92.937610426654715</v>
      </c>
      <c r="H10" s="38">
        <f>'SER_se-appl'!H41</f>
        <v>195.15420322941429</v>
      </c>
      <c r="I10" s="38">
        <f>'SER_se-appl'!I41</f>
        <v>158.1346651881147</v>
      </c>
      <c r="J10" s="38">
        <f>'SER_se-appl'!J41</f>
        <v>103.00050243252849</v>
      </c>
      <c r="K10" s="38">
        <f>'SER_se-appl'!K41</f>
        <v>210.58585319851431</v>
      </c>
      <c r="L10" s="38">
        <f>'SER_se-appl'!L41</f>
        <v>132.05966672269665</v>
      </c>
      <c r="M10" s="38">
        <f>'SER_se-appl'!M41</f>
        <v>292.23681689445812</v>
      </c>
      <c r="N10" s="38">
        <f>'SER_se-appl'!N41</f>
        <v>363.82420690921481</v>
      </c>
      <c r="O10" s="38">
        <f>'SER_se-appl'!O41</f>
        <v>197.08308192734421</v>
      </c>
      <c r="P10" s="38">
        <f>'SER_se-appl'!P41</f>
        <v>339.96607207444004</v>
      </c>
      <c r="Q10" s="38">
        <f>'SER_se-appl'!Q41</f>
        <v>264.40887536816899</v>
      </c>
      <c r="R10" s="38">
        <f>'SER_se-appl'!R41</f>
        <v>446.50142432696566</v>
      </c>
      <c r="S10" s="38">
        <f>'SER_se-appl'!S41</f>
        <v>393.00987884654296</v>
      </c>
      <c r="T10" s="38">
        <f>'SER_se-appl'!T41</f>
        <v>447.19424561976666</v>
      </c>
      <c r="U10" s="38">
        <f>'SER_se-appl'!U41</f>
        <v>366.34439444170312</v>
      </c>
      <c r="V10" s="38">
        <f>'SER_se-appl'!V41</f>
        <v>578.9492857454552</v>
      </c>
      <c r="W10" s="38">
        <f>'SER_se-appl'!W41</f>
        <v>517.76122186793964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1570.2519063300231</v>
      </c>
      <c r="C12" s="205">
        <f>'SER_se-appl'!C49</f>
        <v>1590.237970359751</v>
      </c>
      <c r="D12" s="205">
        <f>'SER_se-appl'!D49</f>
        <v>1615.5897130758369</v>
      </c>
      <c r="E12" s="205">
        <f>'SER_se-appl'!E49</f>
        <v>1644.5923248521674</v>
      </c>
      <c r="F12" s="205">
        <f>'SER_se-appl'!F49</f>
        <v>1673.8498968395568</v>
      </c>
      <c r="G12" s="205">
        <f>'SER_se-appl'!G49</f>
        <v>1701.6383604787086</v>
      </c>
      <c r="H12" s="205">
        <f>'SER_se-appl'!H49</f>
        <v>1726.2867323064829</v>
      </c>
      <c r="I12" s="205">
        <f>'SER_se-appl'!I49</f>
        <v>1746.9895552891162</v>
      </c>
      <c r="J12" s="205">
        <f>'SER_se-appl'!J49</f>
        <v>1766.4943242945651</v>
      </c>
      <c r="K12" s="205">
        <f>'SER_se-appl'!K49</f>
        <v>1782.1295543623201</v>
      </c>
      <c r="L12" s="205">
        <f>'SER_se-appl'!L49</f>
        <v>1803.7457817322554</v>
      </c>
      <c r="M12" s="205">
        <f>'SER_se-appl'!M49</f>
        <v>1829.5618762067625</v>
      </c>
      <c r="N12" s="205">
        <f>'SER_se-appl'!N49</f>
        <v>1848.4428947199631</v>
      </c>
      <c r="O12" s="205">
        <f>'SER_se-appl'!O49</f>
        <v>1869.7920182363653</v>
      </c>
      <c r="P12" s="205">
        <f>'SER_se-appl'!P49</f>
        <v>1893.1810873092961</v>
      </c>
      <c r="Q12" s="205">
        <f>'SER_se-appl'!Q49</f>
        <v>1917.0113090728803</v>
      </c>
      <c r="R12" s="205">
        <f>'SER_se-appl'!R49</f>
        <v>1940.0245776841102</v>
      </c>
      <c r="S12" s="205">
        <f>'SER_se-appl'!S49</f>
        <v>2015.5330041844825</v>
      </c>
      <c r="T12" s="205">
        <f>'SER_se-appl'!T49</f>
        <v>2036.3555672593106</v>
      </c>
      <c r="U12" s="205">
        <f>'SER_se-appl'!U49</f>
        <v>2047.7892449904189</v>
      </c>
      <c r="V12" s="205">
        <f>'SER_se-appl'!V49</f>
        <v>2057.6625145644798</v>
      </c>
      <c r="W12" s="205">
        <f>'SER_se-appl'!W49</f>
        <v>2237.5754268029236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391.74348490121372</v>
      </c>
      <c r="C14" s="59">
        <f>'SER_se-appl'!C57</f>
        <v>382.52713130514718</v>
      </c>
      <c r="D14" s="59">
        <f>'SER_se-appl'!D57</f>
        <v>373.55926409162117</v>
      </c>
      <c r="E14" s="59">
        <f>'SER_se-appl'!E57</f>
        <v>365.20326963709078</v>
      </c>
      <c r="F14" s="59">
        <f>'SER_se-appl'!F57</f>
        <v>349.93899943726336</v>
      </c>
      <c r="G14" s="59">
        <f>'SER_se-appl'!G57</f>
        <v>337.79576539968724</v>
      </c>
      <c r="H14" s="59">
        <f>'SER_se-appl'!H57</f>
        <v>316.20753565005532</v>
      </c>
      <c r="I14" s="59">
        <f>'SER_se-appl'!I57</f>
        <v>296.67018591705528</v>
      </c>
      <c r="J14" s="59">
        <f>'SER_se-appl'!J57</f>
        <v>285.95831330025425</v>
      </c>
      <c r="K14" s="59">
        <f>'SER_se-appl'!K57</f>
        <v>266.72740902416456</v>
      </c>
      <c r="L14" s="59">
        <f>'SER_se-appl'!L57</f>
        <v>253.34534534912007</v>
      </c>
      <c r="M14" s="59">
        <f>'SER_se-appl'!M57</f>
        <v>231.56359194126927</v>
      </c>
      <c r="N14" s="59">
        <f>'SER_se-appl'!N57</f>
        <v>212.81963163072086</v>
      </c>
      <c r="O14" s="59">
        <f>'SER_se-appl'!O57</f>
        <v>201.91700340906118</v>
      </c>
      <c r="P14" s="59">
        <f>'SER_se-appl'!P57</f>
        <v>192.01952973149025</v>
      </c>
      <c r="Q14" s="59">
        <f>'SER_se-appl'!Q57</f>
        <v>185.84430030677987</v>
      </c>
      <c r="R14" s="59">
        <f>'SER_se-appl'!R57</f>
        <v>181.04554354823148</v>
      </c>
      <c r="S14" s="59">
        <f>'SER_se-appl'!S57</f>
        <v>177.11293377758577</v>
      </c>
      <c r="T14" s="59">
        <f>'SER_se-appl'!T57</f>
        <v>173.78970539801097</v>
      </c>
      <c r="U14" s="59">
        <f>'SER_se-appl'!U57</f>
        <v>171.23073072051281</v>
      </c>
      <c r="V14" s="59">
        <f>'SER_se-appl'!V57</f>
        <v>166.45374380968002</v>
      </c>
      <c r="W14" s="59">
        <f>'SER_se-appl'!W57</f>
        <v>162.24351864646576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364.97084266997774</v>
      </c>
      <c r="D15" s="63">
        <f>'SER_se-appl'!D65</f>
        <v>352.09700251244152</v>
      </c>
      <c r="E15" s="63">
        <f>'SER_se-appl'!E65</f>
        <v>337.87083878454217</v>
      </c>
      <c r="F15" s="63">
        <f>'SER_se-appl'!F65</f>
        <v>321.84136245683004</v>
      </c>
      <c r="G15" s="63">
        <f>'SER_se-appl'!G65</f>
        <v>305.89493572249563</v>
      </c>
      <c r="H15" s="63">
        <f>'SER_se-appl'!H65</f>
        <v>289.75219121118175</v>
      </c>
      <c r="I15" s="63">
        <f>'SER_se-appl'!I65</f>
        <v>272.64510429710458</v>
      </c>
      <c r="J15" s="63">
        <f>'SER_se-appl'!J65</f>
        <v>253.20903178441779</v>
      </c>
      <c r="K15" s="63">
        <f>'SER_se-appl'!K65</f>
        <v>233.2243690031469</v>
      </c>
      <c r="L15" s="63">
        <f>'SER_se-appl'!L65</f>
        <v>212.52286602208255</v>
      </c>
      <c r="M15" s="63">
        <f>'SER_se-appl'!M65</f>
        <v>198.54584827895567</v>
      </c>
      <c r="N15" s="63">
        <f>'SER_se-appl'!N65</f>
        <v>191.33097632627388</v>
      </c>
      <c r="O15" s="63">
        <f>'SER_se-appl'!O65</f>
        <v>184.51497375064901</v>
      </c>
      <c r="P15" s="63">
        <f>'SER_se-appl'!P65</f>
        <v>179.16639986937102</v>
      </c>
      <c r="Q15" s="63">
        <f>'SER_se-appl'!Q65</f>
        <v>177.57639381143599</v>
      </c>
      <c r="R15" s="63">
        <f>'SER_se-appl'!R65</f>
        <v>175.4504733220968</v>
      </c>
      <c r="S15" s="63">
        <f>'SER_se-appl'!S65</f>
        <v>170.95357331184005</v>
      </c>
      <c r="T15" s="63">
        <f>'SER_se-appl'!T65</f>
        <v>166.54985896383286</v>
      </c>
      <c r="U15" s="63">
        <f>'SER_se-appl'!U65</f>
        <v>162.30805910582882</v>
      </c>
      <c r="V15" s="63">
        <f>'SER_se-appl'!V65</f>
        <v>158.09861149965272</v>
      </c>
      <c r="W15" s="63">
        <f>'SER_se-appl'!W65</f>
        <v>155.14609440744508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746.40831205286656</v>
      </c>
      <c r="C3" s="220">
        <v>954.97362471740769</v>
      </c>
      <c r="D3" s="220">
        <v>958.85528965234596</v>
      </c>
      <c r="E3" s="220">
        <v>896.02024384633069</v>
      </c>
      <c r="F3" s="220">
        <v>865.72068707991036</v>
      </c>
      <c r="G3" s="220">
        <v>894.08104054830619</v>
      </c>
      <c r="H3" s="220">
        <v>1106.734417877916</v>
      </c>
      <c r="I3" s="220">
        <v>1527.1005749501201</v>
      </c>
      <c r="J3" s="220">
        <v>1778.7031528851869</v>
      </c>
      <c r="K3" s="220">
        <v>1384.314212914051</v>
      </c>
      <c r="L3" s="220">
        <v>1111.122558312042</v>
      </c>
      <c r="M3" s="220">
        <v>1367.4054125198691</v>
      </c>
      <c r="N3" s="220">
        <v>1399.5943204868161</v>
      </c>
      <c r="O3" s="220">
        <v>1645.6262425447319</v>
      </c>
      <c r="P3" s="220">
        <v>2093.5452015441251</v>
      </c>
      <c r="Q3" s="220">
        <v>1759.5</v>
      </c>
      <c r="R3" s="220">
        <v>1832.341229940072</v>
      </c>
      <c r="S3" s="220">
        <v>1757.5793686259319</v>
      </c>
      <c r="T3" s="220">
        <v>1874.6961240008559</v>
      </c>
      <c r="U3" s="220">
        <v>1542.7294589937319</v>
      </c>
      <c r="V3" s="220">
        <v>1492.3484701558009</v>
      </c>
      <c r="W3" s="220">
        <v>1605.0771931403881</v>
      </c>
      <c r="DA3" s="211" t="s">
        <v>972</v>
      </c>
    </row>
    <row r="5" spans="1:105" x14ac:dyDescent="0.25">
      <c r="A5" s="219" t="s">
        <v>120</v>
      </c>
      <c r="B5" s="220">
        <v>1637.0336947347041</v>
      </c>
      <c r="C5" s="220">
        <v>1479.2541205753889</v>
      </c>
      <c r="D5" s="220">
        <v>1169.0237705491279</v>
      </c>
      <c r="E5" s="220">
        <v>1175.37066717576</v>
      </c>
      <c r="F5" s="220">
        <v>1199.710052099231</v>
      </c>
      <c r="G5" s="220">
        <v>1070.7848042798321</v>
      </c>
      <c r="H5" s="220">
        <v>967.28973353200661</v>
      </c>
      <c r="I5" s="220">
        <v>996.23585636722862</v>
      </c>
      <c r="J5" s="220">
        <v>1010.518116457254</v>
      </c>
      <c r="K5" s="220">
        <v>831.53662262161004</v>
      </c>
      <c r="L5" s="220">
        <v>931.21781885206997</v>
      </c>
      <c r="M5" s="220">
        <v>1187.1207929767741</v>
      </c>
      <c r="N5" s="220">
        <v>1062.4569300567821</v>
      </c>
      <c r="O5" s="220">
        <v>985.7510549369606</v>
      </c>
      <c r="P5" s="220">
        <v>1054.1628486662059</v>
      </c>
      <c r="Q5" s="220">
        <v>1130.747629170223</v>
      </c>
      <c r="R5" s="220">
        <v>1098.665932309425</v>
      </c>
      <c r="S5" s="220">
        <v>1141.312012144173</v>
      </c>
      <c r="T5" s="220">
        <v>939.12807711345044</v>
      </c>
      <c r="U5" s="220">
        <v>910.91218454324257</v>
      </c>
      <c r="V5" s="220">
        <v>886.78959762122827</v>
      </c>
      <c r="W5" s="220">
        <v>924.24644012616886</v>
      </c>
      <c r="DA5" s="211" t="s">
        <v>973</v>
      </c>
    </row>
    <row r="6" spans="1:105" x14ac:dyDescent="0.25">
      <c r="A6" s="221" t="s">
        <v>119</v>
      </c>
      <c r="B6" s="222">
        <v>2046.2921184183799</v>
      </c>
      <c r="C6" s="222">
        <v>1943.977512497461</v>
      </c>
      <c r="D6" s="222">
        <v>1841.6629065765419</v>
      </c>
      <c r="E6" s="222">
        <v>1841.6629065765419</v>
      </c>
      <c r="F6" s="222">
        <v>1739.348300655623</v>
      </c>
      <c r="G6" s="222">
        <v>1637.0336947347041</v>
      </c>
      <c r="H6" s="222">
        <v>1637.0336947347041</v>
      </c>
      <c r="I6" s="222">
        <v>1534.719088813785</v>
      </c>
      <c r="J6" s="222">
        <v>1432.4044828928661</v>
      </c>
      <c r="K6" s="222">
        <v>1432.4044828928661</v>
      </c>
      <c r="L6" s="222">
        <v>1330.089876971947</v>
      </c>
      <c r="M6" s="222">
        <v>1330.089876971947</v>
      </c>
      <c r="N6" s="222">
        <v>1330.089876971947</v>
      </c>
      <c r="O6" s="222">
        <v>1227.7752710510269</v>
      </c>
      <c r="P6" s="222">
        <v>1125.4606651301081</v>
      </c>
      <c r="Q6" s="222">
        <v>1227.7752710510269</v>
      </c>
      <c r="R6" s="222">
        <v>1227.7752710510269</v>
      </c>
      <c r="S6" s="222">
        <v>1227.7752710510269</v>
      </c>
      <c r="T6" s="222">
        <v>1227.7752710510269</v>
      </c>
      <c r="U6" s="222">
        <v>1125.4606651301081</v>
      </c>
      <c r="V6" s="222">
        <v>1023.146059209189</v>
      </c>
      <c r="W6" s="222">
        <v>1023.146059209189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102.31460592091901</v>
      </c>
      <c r="N7" s="226">
        <v>0</v>
      </c>
      <c r="O7" s="226">
        <v>0</v>
      </c>
      <c r="P7" s="226">
        <v>0</v>
      </c>
      <c r="Q7" s="226">
        <v>102.31460592091901</v>
      </c>
      <c r="R7" s="226">
        <v>102.31460592091901</v>
      </c>
      <c r="S7" s="226">
        <v>102.31460592091901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102.31460592091889</v>
      </c>
      <c r="D8" s="228">
        <f t="shared" ref="D8" si="1">IF(C6=0,0,C6+D7-D6)</f>
        <v>102.31460592091912</v>
      </c>
      <c r="E8" s="228">
        <f t="shared" ref="E8" si="2">IF(D6=0,0,D6+E7-E6)</f>
        <v>0</v>
      </c>
      <c r="F8" s="228">
        <f t="shared" ref="F8" si="3">IF(E6=0,0,E6+F7-F6)</f>
        <v>102.31460592091889</v>
      </c>
      <c r="G8" s="228">
        <f t="shared" ref="G8" si="4">IF(F6=0,0,F6+G7-G6)</f>
        <v>102.31460592091889</v>
      </c>
      <c r="H8" s="228">
        <f t="shared" ref="H8" si="5">IF(G6=0,0,G6+H7-H6)</f>
        <v>0</v>
      </c>
      <c r="I8" s="228">
        <f t="shared" ref="I8" si="6">IF(H6=0,0,H6+I7-I6)</f>
        <v>102.31460592091912</v>
      </c>
      <c r="J8" s="228">
        <f t="shared" ref="J8" si="7">IF(I6=0,0,I6+J7-J6)</f>
        <v>102.31460592091889</v>
      </c>
      <c r="K8" s="228">
        <f t="shared" ref="K8" si="8">IF(J6=0,0,J6+K7-K6)</f>
        <v>0</v>
      </c>
      <c r="L8" s="228">
        <f t="shared" ref="L8" si="9">IF(K6=0,0,K6+L7-L6)</f>
        <v>102.31460592091912</v>
      </c>
      <c r="M8" s="228">
        <f t="shared" ref="M8" si="10">IF(L6=0,0,L6+M7-M6)</f>
        <v>102.31460592091889</v>
      </c>
      <c r="N8" s="228">
        <f t="shared" ref="N8" si="11">IF(M6=0,0,M6+N7-N6)</f>
        <v>0</v>
      </c>
      <c r="O8" s="228">
        <f t="shared" ref="O8" si="12">IF(N6=0,0,N6+O7-O6)</f>
        <v>102.31460592092003</v>
      </c>
      <c r="P8" s="228">
        <f t="shared" ref="P8" si="13">IF(O6=0,0,O6+P7-P6)</f>
        <v>102.31460592091889</v>
      </c>
      <c r="Q8" s="228">
        <f t="shared" ref="Q8" si="14">IF(P6=0,0,P6+Q7-Q6)</f>
        <v>2.2737367544323206E-13</v>
      </c>
      <c r="R8" s="228">
        <f t="shared" ref="R8" si="15">IF(Q6=0,0,Q6+R7-R6)</f>
        <v>102.31460592091912</v>
      </c>
      <c r="S8" s="228">
        <f t="shared" ref="S8" si="16">IF(R6=0,0,R6+S7-S6)</f>
        <v>102.31460592091912</v>
      </c>
      <c r="T8" s="228">
        <f t="shared" ref="T8" si="17">IF(S6=0,0,S6+T7-T6)</f>
        <v>0</v>
      </c>
      <c r="U8" s="228">
        <f t="shared" ref="U8" si="18">IF(T6=0,0,T6+U7-U6)</f>
        <v>102.31460592091889</v>
      </c>
      <c r="V8" s="228">
        <f t="shared" ref="V8" si="19">IF(U6=0,0,U6+V7-V6)</f>
        <v>102.31460592091901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409.2584236836758</v>
      </c>
      <c r="C9" s="224">
        <f t="shared" ref="C9:W9" si="21">C6-C5</f>
        <v>464.7233919220721</v>
      </c>
      <c r="D9" s="224">
        <f t="shared" si="21"/>
        <v>672.639136027414</v>
      </c>
      <c r="E9" s="224">
        <f t="shared" si="21"/>
        <v>666.29223940078191</v>
      </c>
      <c r="F9" s="224">
        <f t="shared" si="21"/>
        <v>539.638248556392</v>
      </c>
      <c r="G9" s="224">
        <f t="shared" si="21"/>
        <v>566.24889045487203</v>
      </c>
      <c r="H9" s="224">
        <f t="shared" si="21"/>
        <v>669.74396120269751</v>
      </c>
      <c r="I9" s="224">
        <f t="shared" si="21"/>
        <v>538.48323244655637</v>
      </c>
      <c r="J9" s="224">
        <f t="shared" si="21"/>
        <v>421.8863664356121</v>
      </c>
      <c r="K9" s="224">
        <f t="shared" si="21"/>
        <v>600.86786027125606</v>
      </c>
      <c r="L9" s="224">
        <f t="shared" si="21"/>
        <v>398.87205811987701</v>
      </c>
      <c r="M9" s="224">
        <f t="shared" si="21"/>
        <v>142.96908399517292</v>
      </c>
      <c r="N9" s="224">
        <f t="shared" si="21"/>
        <v>267.63294691516489</v>
      </c>
      <c r="O9" s="224">
        <f t="shared" si="21"/>
        <v>242.02421611406635</v>
      </c>
      <c r="P9" s="224">
        <f t="shared" si="21"/>
        <v>71.297816463902109</v>
      </c>
      <c r="Q9" s="224">
        <f t="shared" si="21"/>
        <v>97.027641880803912</v>
      </c>
      <c r="R9" s="224">
        <f t="shared" si="21"/>
        <v>129.10933874160196</v>
      </c>
      <c r="S9" s="224">
        <f t="shared" si="21"/>
        <v>86.46325890685398</v>
      </c>
      <c r="T9" s="224">
        <f t="shared" si="21"/>
        <v>288.6471939375765</v>
      </c>
      <c r="U9" s="224">
        <f t="shared" si="21"/>
        <v>214.54848058686548</v>
      </c>
      <c r="V9" s="224">
        <f t="shared" si="21"/>
        <v>136.35646158796078</v>
      </c>
      <c r="W9" s="224">
        <f t="shared" si="21"/>
        <v>98.899619083020184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207.01745485812549</v>
      </c>
      <c r="C12" s="230">
        <f t="shared" ref="C12:W12" si="22">SUM(C13,C14,C18,C19,C26,C27)</f>
        <v>180.98383490971622</v>
      </c>
      <c r="D12" s="230">
        <f t="shared" si="22"/>
        <v>149.41358555460019</v>
      </c>
      <c r="E12" s="230">
        <f t="shared" si="22"/>
        <v>159.18383490971624</v>
      </c>
      <c r="F12" s="230">
        <f t="shared" si="22"/>
        <v>161.77325881341358</v>
      </c>
      <c r="G12" s="230">
        <f t="shared" si="22"/>
        <v>165.35760963026652</v>
      </c>
      <c r="H12" s="230">
        <f t="shared" si="22"/>
        <v>142.12407566638004</v>
      </c>
      <c r="I12" s="230">
        <f t="shared" si="22"/>
        <v>136.7219260533104</v>
      </c>
      <c r="J12" s="230">
        <f t="shared" si="22"/>
        <v>140.79269131556319</v>
      </c>
      <c r="K12" s="230">
        <f t="shared" si="22"/>
        <v>130.01926053310405</v>
      </c>
      <c r="L12" s="230">
        <f t="shared" si="22"/>
        <v>134.64092863284608</v>
      </c>
      <c r="M12" s="230">
        <f t="shared" si="22"/>
        <v>157.64995700773858</v>
      </c>
      <c r="N12" s="230">
        <f t="shared" si="22"/>
        <v>143.47738607050729</v>
      </c>
      <c r="O12" s="230">
        <f t="shared" si="22"/>
        <v>131.05580395528804</v>
      </c>
      <c r="P12" s="230">
        <f t="shared" si="22"/>
        <v>137.20920034393808</v>
      </c>
      <c r="Q12" s="230">
        <f t="shared" si="22"/>
        <v>150.29690455717969</v>
      </c>
      <c r="R12" s="230">
        <f t="shared" si="22"/>
        <v>148.74333619948408</v>
      </c>
      <c r="S12" s="230">
        <f t="shared" si="22"/>
        <v>142.55227858985381</v>
      </c>
      <c r="T12" s="230">
        <f t="shared" si="22"/>
        <v>132.67987962166808</v>
      </c>
      <c r="U12" s="230">
        <f t="shared" si="22"/>
        <v>129.36044711951848</v>
      </c>
      <c r="V12" s="230">
        <f t="shared" si="22"/>
        <v>131.79999999999998</v>
      </c>
      <c r="W12" s="230">
        <f t="shared" si="22"/>
        <v>131.74221840068788</v>
      </c>
      <c r="DA12" s="211" t="s">
        <v>978</v>
      </c>
    </row>
    <row r="13" spans="1:105" x14ac:dyDescent="0.25">
      <c r="A13" s="58" t="s">
        <v>29</v>
      </c>
      <c r="B13" s="59">
        <v>8.7626827171109198</v>
      </c>
      <c r="C13" s="59">
        <v>4.7141014617368873</v>
      </c>
      <c r="D13" s="59">
        <v>3.1871883061049009</v>
      </c>
      <c r="E13" s="59">
        <v>3.1337919174548579</v>
      </c>
      <c r="F13" s="59">
        <v>1.9690455717970761</v>
      </c>
      <c r="G13" s="59">
        <v>1.7625107480653479</v>
      </c>
      <c r="H13" s="59">
        <v>1.312467755803955</v>
      </c>
      <c r="I13" s="59">
        <v>1.3296646603611348</v>
      </c>
      <c r="J13" s="59">
        <v>1.079707652622528</v>
      </c>
      <c r="K13" s="59">
        <v>0.79174548581255366</v>
      </c>
      <c r="L13" s="59">
        <v>0.79879621668099732</v>
      </c>
      <c r="M13" s="59">
        <v>0.52983662940670673</v>
      </c>
      <c r="N13" s="59">
        <v>0.53319002579535679</v>
      </c>
      <c r="O13" s="59">
        <v>1.1184866723989682</v>
      </c>
      <c r="P13" s="59">
        <v>0.89527085124677563</v>
      </c>
      <c r="Q13" s="59">
        <v>0.26861564918314701</v>
      </c>
      <c r="R13" s="59">
        <v>0.25606190885640578</v>
      </c>
      <c r="S13" s="59">
        <v>0.26646603611349962</v>
      </c>
      <c r="T13" s="59">
        <v>0.27300085984522782</v>
      </c>
      <c r="U13" s="59">
        <v>0.26706792777300081</v>
      </c>
      <c r="V13" s="59">
        <v>0.2743766122098022</v>
      </c>
      <c r="W13" s="59">
        <v>0.26732588134135848</v>
      </c>
      <c r="DA13" s="9" t="s">
        <v>979</v>
      </c>
    </row>
    <row r="14" spans="1:105" x14ac:dyDescent="0.25">
      <c r="A14" s="60" t="s">
        <v>28</v>
      </c>
      <c r="B14" s="55">
        <f>SUM(B15:B17)</f>
        <v>86.536973344797929</v>
      </c>
      <c r="C14" s="55">
        <f t="shared" ref="C14:W14" si="23">SUM(C15:C17)</f>
        <v>79.171711092003434</v>
      </c>
      <c r="D14" s="55">
        <f t="shared" si="23"/>
        <v>64.810920034393817</v>
      </c>
      <c r="E14" s="55">
        <f t="shared" si="23"/>
        <v>73.010490111779887</v>
      </c>
      <c r="F14" s="55">
        <f t="shared" si="23"/>
        <v>82.379879621668096</v>
      </c>
      <c r="G14" s="55">
        <f t="shared" si="23"/>
        <v>83.352450558899392</v>
      </c>
      <c r="H14" s="55">
        <f t="shared" si="23"/>
        <v>72.991315563198611</v>
      </c>
      <c r="I14" s="55">
        <f t="shared" si="23"/>
        <v>69.910232158211514</v>
      </c>
      <c r="J14" s="55">
        <f t="shared" si="23"/>
        <v>72.991315563198611</v>
      </c>
      <c r="K14" s="55">
        <f t="shared" si="23"/>
        <v>65.802063628546861</v>
      </c>
      <c r="L14" s="55">
        <f t="shared" si="23"/>
        <v>68.954858125537399</v>
      </c>
      <c r="M14" s="55">
        <f t="shared" si="23"/>
        <v>68.954858125537399</v>
      </c>
      <c r="N14" s="55">
        <f t="shared" si="23"/>
        <v>67.724505588993978</v>
      </c>
      <c r="O14" s="55">
        <f t="shared" si="23"/>
        <v>68.357953568357686</v>
      </c>
      <c r="P14" s="55">
        <f t="shared" si="23"/>
        <v>77.187618228718819</v>
      </c>
      <c r="Q14" s="55">
        <f t="shared" si="23"/>
        <v>67.502235597592431</v>
      </c>
      <c r="R14" s="55">
        <f t="shared" si="23"/>
        <v>66.491487532244193</v>
      </c>
      <c r="S14" s="55">
        <f t="shared" si="23"/>
        <v>61.469905417024918</v>
      </c>
      <c r="T14" s="55">
        <f t="shared" si="23"/>
        <v>61.448409286328449</v>
      </c>
      <c r="U14" s="55">
        <f t="shared" si="23"/>
        <v>57.42510748065348</v>
      </c>
      <c r="V14" s="55">
        <f t="shared" si="23"/>
        <v>59.49423903697334</v>
      </c>
      <c r="W14" s="55">
        <f t="shared" si="23"/>
        <v>57.800687876182295</v>
      </c>
      <c r="DA14" s="10"/>
    </row>
    <row r="15" spans="1:105" x14ac:dyDescent="0.25">
      <c r="A15" s="61" t="s">
        <v>52</v>
      </c>
      <c r="B15" s="55">
        <v>3.296818572656921</v>
      </c>
      <c r="C15" s="55">
        <v>1.098710232158211</v>
      </c>
      <c r="D15" s="55">
        <v>1.098710232158211</v>
      </c>
      <c r="E15" s="55">
        <v>1.098710232158211</v>
      </c>
      <c r="F15" s="55">
        <v>1.098710232158211</v>
      </c>
      <c r="G15" s="55">
        <v>1.098710232158211</v>
      </c>
      <c r="H15" s="55">
        <v>1.098710232158211</v>
      </c>
      <c r="I15" s="55">
        <v>1.098710232158211</v>
      </c>
      <c r="J15" s="55">
        <v>1.098710232158211</v>
      </c>
      <c r="K15" s="55">
        <v>1.098710232158211</v>
      </c>
      <c r="L15" s="55">
        <v>2.1974204643164228</v>
      </c>
      <c r="M15" s="55">
        <v>2.1974204643164228</v>
      </c>
      <c r="N15" s="55">
        <v>1.098710232158211</v>
      </c>
      <c r="O15" s="55">
        <v>1.098710232158211</v>
      </c>
      <c r="P15" s="55">
        <v>1.098710232158211</v>
      </c>
      <c r="Q15" s="55">
        <v>1.098710232158211</v>
      </c>
      <c r="R15" s="55">
        <v>1.098710232158211</v>
      </c>
      <c r="S15" s="55">
        <v>1.098710232158211</v>
      </c>
      <c r="T15" s="55">
        <v>1.098710232158211</v>
      </c>
      <c r="U15" s="55">
        <v>1.098710232158211</v>
      </c>
      <c r="V15" s="55">
        <v>2.1974204643164228</v>
      </c>
      <c r="W15" s="55">
        <v>4.3947549441100593</v>
      </c>
      <c r="DA15" s="10" t="s">
        <v>980</v>
      </c>
    </row>
    <row r="16" spans="1:105" x14ac:dyDescent="0.25">
      <c r="A16" s="61" t="s">
        <v>172</v>
      </c>
      <c r="B16" s="55">
        <v>76.000773860705067</v>
      </c>
      <c r="C16" s="55">
        <v>77.027773000859838</v>
      </c>
      <c r="D16" s="55">
        <v>61.622269991401552</v>
      </c>
      <c r="E16" s="55">
        <v>70.865606190885643</v>
      </c>
      <c r="F16" s="55">
        <v>72.919690455717969</v>
      </c>
      <c r="G16" s="55">
        <v>77.027773000859838</v>
      </c>
      <c r="H16" s="55">
        <v>71.8926053310404</v>
      </c>
      <c r="I16" s="55">
        <v>68.811521926053302</v>
      </c>
      <c r="J16" s="55">
        <v>71.8926053310404</v>
      </c>
      <c r="K16" s="55">
        <v>64.70335339638865</v>
      </c>
      <c r="L16" s="55">
        <v>66.757437661220976</v>
      </c>
      <c r="M16" s="55">
        <v>66.757437661220976</v>
      </c>
      <c r="N16" s="55">
        <v>66.625795356835766</v>
      </c>
      <c r="O16" s="55">
        <v>67.259243336199475</v>
      </c>
      <c r="P16" s="55">
        <v>76.088907996560607</v>
      </c>
      <c r="Q16" s="55">
        <v>66.40352536543422</v>
      </c>
      <c r="R16" s="55">
        <v>65.392777300085982</v>
      </c>
      <c r="S16" s="55">
        <v>60.371195184866707</v>
      </c>
      <c r="T16" s="55">
        <v>60.349699054170237</v>
      </c>
      <c r="U16" s="55">
        <v>56.326397248495269</v>
      </c>
      <c r="V16" s="55">
        <v>57.296818572656917</v>
      </c>
      <c r="W16" s="55">
        <v>53.405932932072233</v>
      </c>
      <c r="DA16" s="10" t="s">
        <v>981</v>
      </c>
    </row>
    <row r="17" spans="1:105" x14ac:dyDescent="0.25">
      <c r="A17" s="61" t="s">
        <v>113</v>
      </c>
      <c r="B17" s="55">
        <v>7.2393809114359424</v>
      </c>
      <c r="C17" s="55">
        <v>1.045227858985383</v>
      </c>
      <c r="D17" s="55">
        <v>2.0899398108340499</v>
      </c>
      <c r="E17" s="55">
        <v>1.0461736887360269</v>
      </c>
      <c r="F17" s="55">
        <v>8.3614789337919166</v>
      </c>
      <c r="G17" s="55">
        <v>5.2259673258813413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47.893379191745481</v>
      </c>
      <c r="C18" s="55">
        <v>43.228718830610489</v>
      </c>
      <c r="D18" s="55">
        <v>28.740326741186589</v>
      </c>
      <c r="E18" s="55">
        <v>31.104901117798789</v>
      </c>
      <c r="F18" s="55">
        <v>34.264832330180568</v>
      </c>
      <c r="G18" s="55">
        <v>39.896818572656919</v>
      </c>
      <c r="H18" s="55">
        <v>30.15907136715391</v>
      </c>
      <c r="I18" s="55">
        <v>27.171109200343931</v>
      </c>
      <c r="J18" s="55">
        <v>30.03009458297506</v>
      </c>
      <c r="K18" s="55">
        <v>27.192605331040411</v>
      </c>
      <c r="L18" s="55">
        <v>32.007738607050733</v>
      </c>
      <c r="M18" s="55">
        <v>38.628546861564907</v>
      </c>
      <c r="N18" s="55">
        <v>31.96474634565778</v>
      </c>
      <c r="O18" s="55">
        <v>33.233018056749778</v>
      </c>
      <c r="P18" s="55">
        <v>27.493551160791061</v>
      </c>
      <c r="Q18" s="55">
        <v>22.699914015477209</v>
      </c>
      <c r="R18" s="55">
        <v>24.763542562338781</v>
      </c>
      <c r="S18" s="55">
        <v>22.57093723129837</v>
      </c>
      <c r="T18" s="55">
        <v>19.152708512467751</v>
      </c>
      <c r="U18" s="55">
        <v>21.88323301805675</v>
      </c>
      <c r="V18" s="55">
        <v>23.774978503869299</v>
      </c>
      <c r="W18" s="55">
        <v>26.311092003439381</v>
      </c>
      <c r="DA18" s="10" t="s">
        <v>983</v>
      </c>
    </row>
    <row r="19" spans="1:105" x14ac:dyDescent="0.25">
      <c r="A19" s="60" t="s">
        <v>51</v>
      </c>
      <c r="B19" s="55">
        <f>SUM(B20:B25)</f>
        <v>0.50163370593293199</v>
      </c>
      <c r="C19" s="55">
        <f t="shared" ref="C19:W19" si="24">SUM(C20:C25)</f>
        <v>1.5286328460877043</v>
      </c>
      <c r="D19" s="55">
        <f t="shared" si="24"/>
        <v>2.0302665520206356</v>
      </c>
      <c r="E19" s="55">
        <f t="shared" si="24"/>
        <v>1.8630266552020638</v>
      </c>
      <c r="F19" s="55">
        <f t="shared" si="24"/>
        <v>2.2929492691315558</v>
      </c>
      <c r="G19" s="55">
        <f t="shared" si="24"/>
        <v>2.36457437661221</v>
      </c>
      <c r="H19" s="55">
        <f t="shared" si="24"/>
        <v>2.0062768701633709</v>
      </c>
      <c r="I19" s="55">
        <f t="shared" si="24"/>
        <v>2.7944969905417025</v>
      </c>
      <c r="J19" s="55">
        <f t="shared" si="24"/>
        <v>3.2722269991401549</v>
      </c>
      <c r="K19" s="55">
        <f t="shared" si="24"/>
        <v>4.7529664660361135</v>
      </c>
      <c r="L19" s="55">
        <f t="shared" si="24"/>
        <v>4.8963886500429918</v>
      </c>
      <c r="M19" s="55">
        <f t="shared" si="24"/>
        <v>20.373602751504723</v>
      </c>
      <c r="N19" s="55">
        <f t="shared" si="24"/>
        <v>17.698452278589851</v>
      </c>
      <c r="O19" s="55">
        <f t="shared" si="24"/>
        <v>5.684608770421324</v>
      </c>
      <c r="P19" s="55">
        <f t="shared" si="24"/>
        <v>6.3772141014617363</v>
      </c>
      <c r="Q19" s="55">
        <f t="shared" si="24"/>
        <v>36.519518486672403</v>
      </c>
      <c r="R19" s="55">
        <f t="shared" si="24"/>
        <v>34.871453138435079</v>
      </c>
      <c r="S19" s="55">
        <f t="shared" si="24"/>
        <v>34.250472914875324</v>
      </c>
      <c r="T19" s="55">
        <f t="shared" si="24"/>
        <v>30.285726569217541</v>
      </c>
      <c r="U19" s="55">
        <f t="shared" si="24"/>
        <v>22.332072226999141</v>
      </c>
      <c r="V19" s="55">
        <f t="shared" si="24"/>
        <v>26.081943250214959</v>
      </c>
      <c r="W19" s="55">
        <f t="shared" si="24"/>
        <v>27.252278589853827</v>
      </c>
      <c r="DA19" s="10"/>
    </row>
    <row r="20" spans="1:105" x14ac:dyDescent="0.25">
      <c r="A20" s="61" t="s">
        <v>171</v>
      </c>
      <c r="B20" s="55">
        <v>0.50163370593293199</v>
      </c>
      <c r="C20" s="55">
        <v>1.1703353396388652</v>
      </c>
      <c r="D20" s="55">
        <v>1.0031814273430781</v>
      </c>
      <c r="E20" s="55">
        <v>1.3136715391229581</v>
      </c>
      <c r="F20" s="55">
        <v>1.7674978503869301</v>
      </c>
      <c r="G20" s="55">
        <v>1.8391229578675841</v>
      </c>
      <c r="H20" s="55">
        <v>1.5047291487532248</v>
      </c>
      <c r="I20" s="55">
        <v>2.2690455717970766</v>
      </c>
      <c r="J20" s="55">
        <v>2.7467755803955289</v>
      </c>
      <c r="K20" s="55">
        <v>3.845399828030954</v>
      </c>
      <c r="L20" s="55">
        <v>3.9171109200343932</v>
      </c>
      <c r="M20" s="55">
        <v>10.031556319862419</v>
      </c>
      <c r="N20" s="55">
        <v>9.6493551160791053</v>
      </c>
      <c r="O20" s="55">
        <v>2.842304385210662</v>
      </c>
      <c r="P20" s="55">
        <v>5.5889939810834042</v>
      </c>
      <c r="Q20" s="55">
        <v>11.130180567497851</v>
      </c>
      <c r="R20" s="55">
        <v>11.775064488392086</v>
      </c>
      <c r="S20" s="55">
        <v>10.533104041272569</v>
      </c>
      <c r="T20" s="55">
        <v>8.4790197764402411</v>
      </c>
      <c r="U20" s="55">
        <v>8.0251934651762671</v>
      </c>
      <c r="V20" s="55">
        <v>8.0730008598452265</v>
      </c>
      <c r="W20" s="55">
        <v>8.2640584694754935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2.3903697334479789E-2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0.40601891659501288</v>
      </c>
      <c r="L21" s="55">
        <v>0.45382631126397238</v>
      </c>
      <c r="M21" s="55">
        <v>9.8643164230438511</v>
      </c>
      <c r="N21" s="55">
        <v>7.4997420464316411</v>
      </c>
      <c r="O21" s="55">
        <v>2.07798796216681</v>
      </c>
      <c r="P21" s="55">
        <v>9.5528804815133275E-2</v>
      </c>
      <c r="Q21" s="55">
        <v>24.768357695614789</v>
      </c>
      <c r="R21" s="55">
        <v>22.332072226999141</v>
      </c>
      <c r="S21" s="55">
        <v>23.000859845227861</v>
      </c>
      <c r="T21" s="55">
        <v>21.1140154772141</v>
      </c>
      <c r="U21" s="55">
        <v>13.59036973344798</v>
      </c>
      <c r="V21" s="55">
        <v>17.292433361994838</v>
      </c>
      <c r="W21" s="55">
        <v>18.271711092003439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0.35829750644883918</v>
      </c>
      <c r="D24" s="55">
        <v>1.0031814273430779</v>
      </c>
      <c r="E24" s="55">
        <v>0.5493551160791057</v>
      </c>
      <c r="F24" s="55">
        <v>0.52545141874462586</v>
      </c>
      <c r="G24" s="55">
        <v>0.52545141874462586</v>
      </c>
      <c r="H24" s="55">
        <v>0.50154772141014614</v>
      </c>
      <c r="I24" s="55">
        <v>0.52545141874462586</v>
      </c>
      <c r="J24" s="55">
        <v>0.52545141874462586</v>
      </c>
      <c r="K24" s="55">
        <v>0.50154772141014614</v>
      </c>
      <c r="L24" s="55">
        <v>0.52545141874462586</v>
      </c>
      <c r="M24" s="55">
        <v>0.47773000859845233</v>
      </c>
      <c r="N24" s="55">
        <v>0.5493551160791057</v>
      </c>
      <c r="O24" s="55">
        <v>0.76431642304385194</v>
      </c>
      <c r="P24" s="55">
        <v>0.69269131556319852</v>
      </c>
      <c r="Q24" s="55">
        <v>0.62098022355975924</v>
      </c>
      <c r="R24" s="55">
        <v>0.76431642304385194</v>
      </c>
      <c r="S24" s="55">
        <v>0.7165090283748925</v>
      </c>
      <c r="T24" s="55">
        <v>0.69269131556319852</v>
      </c>
      <c r="U24" s="55">
        <v>0.7165090283748925</v>
      </c>
      <c r="V24" s="55">
        <v>0.7165090283748925</v>
      </c>
      <c r="W24" s="55">
        <v>0.7165090283748925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10.27033533963886</v>
      </c>
      <c r="C26" s="55">
        <v>6.8548581255374019</v>
      </c>
      <c r="D26" s="55">
        <v>6.44883920894239</v>
      </c>
      <c r="E26" s="55">
        <v>7.1653482373172821</v>
      </c>
      <c r="F26" s="55">
        <v>4.3231298366294064</v>
      </c>
      <c r="G26" s="55">
        <v>4.275322441960447</v>
      </c>
      <c r="H26" s="55">
        <v>4.0126397248495271</v>
      </c>
      <c r="I26" s="55">
        <v>4.9919174548581253</v>
      </c>
      <c r="J26" s="55">
        <v>4.8724849527085121</v>
      </c>
      <c r="K26" s="55">
        <v>3.9648323301805668</v>
      </c>
      <c r="L26" s="55">
        <v>3.3915735167669818</v>
      </c>
      <c r="M26" s="55">
        <v>3.367755803955288</v>
      </c>
      <c r="N26" s="55">
        <v>1.050902837489252</v>
      </c>
      <c r="O26" s="55">
        <v>0.90765262252794487</v>
      </c>
      <c r="P26" s="55">
        <v>0.83594153052450548</v>
      </c>
      <c r="Q26" s="55">
        <v>0.69269131556319852</v>
      </c>
      <c r="R26" s="55">
        <v>0.69269131556319852</v>
      </c>
      <c r="S26" s="55">
        <v>0.69269131556319852</v>
      </c>
      <c r="T26" s="55">
        <v>0.88374892519346515</v>
      </c>
      <c r="U26" s="55">
        <v>0.88374892519346515</v>
      </c>
      <c r="V26" s="55">
        <v>0.76431642304385194</v>
      </c>
      <c r="W26" s="55">
        <v>0.76431642304385194</v>
      </c>
      <c r="DA26" s="10" t="s">
        <v>990</v>
      </c>
    </row>
    <row r="27" spans="1:105" x14ac:dyDescent="0.25">
      <c r="A27" s="62" t="s">
        <v>24</v>
      </c>
      <c r="B27" s="63">
        <v>53.052450558899388</v>
      </c>
      <c r="C27" s="63">
        <v>45.485812553740317</v>
      </c>
      <c r="D27" s="63">
        <v>44.196044711951849</v>
      </c>
      <c r="E27" s="63">
        <v>42.906276870163367</v>
      </c>
      <c r="F27" s="63">
        <v>36.543422184006879</v>
      </c>
      <c r="G27" s="63">
        <v>33.705932932072223</v>
      </c>
      <c r="H27" s="63">
        <v>31.642304385210661</v>
      </c>
      <c r="I27" s="63">
        <v>30.524505588993978</v>
      </c>
      <c r="J27" s="63">
        <v>28.546861564918309</v>
      </c>
      <c r="K27" s="63">
        <v>27.51504729148753</v>
      </c>
      <c r="L27" s="63">
        <v>24.591573516766982</v>
      </c>
      <c r="M27" s="63">
        <v>25.79535683576956</v>
      </c>
      <c r="N27" s="63">
        <v>24.505588993981078</v>
      </c>
      <c r="O27" s="63">
        <v>21.754084264832329</v>
      </c>
      <c r="P27" s="63">
        <v>24.419604471195179</v>
      </c>
      <c r="Q27" s="63">
        <v>22.613929492691309</v>
      </c>
      <c r="R27" s="63">
        <v>21.668099742046429</v>
      </c>
      <c r="S27" s="63">
        <v>23.3018056749785</v>
      </c>
      <c r="T27" s="63">
        <v>20.63628546861565</v>
      </c>
      <c r="U27" s="63">
        <v>26.569217540842651</v>
      </c>
      <c r="V27" s="63">
        <v>21.41014617368873</v>
      </c>
      <c r="W27" s="63">
        <v>19.346517626827168</v>
      </c>
      <c r="DA27" s="11" t="s">
        <v>991</v>
      </c>
    </row>
    <row r="29" spans="1:105" x14ac:dyDescent="0.25">
      <c r="A29" s="219" t="s">
        <v>84</v>
      </c>
      <c r="B29" s="220">
        <v>417.2398308688721</v>
      </c>
      <c r="C29" s="220">
        <v>367.74294624606262</v>
      </c>
      <c r="D29" s="220">
        <v>282.54036682299107</v>
      </c>
      <c r="E29" s="220">
        <v>312.6506376661581</v>
      </c>
      <c r="F29" s="220">
        <v>342.5054149001399</v>
      </c>
      <c r="G29" s="220">
        <v>358.47563776276797</v>
      </c>
      <c r="H29" s="220">
        <v>302.67910166906086</v>
      </c>
      <c r="I29" s="220">
        <v>286.00718353135949</v>
      </c>
      <c r="J29" s="220">
        <v>301.4022543039996</v>
      </c>
      <c r="K29" s="220">
        <v>270.94842880265492</v>
      </c>
      <c r="L29" s="220">
        <v>291.58834860698317</v>
      </c>
      <c r="M29" s="220">
        <v>305.96176687793479</v>
      </c>
      <c r="N29" s="220">
        <v>286.98265896919884</v>
      </c>
      <c r="O29" s="220">
        <v>294.31248987587776</v>
      </c>
      <c r="P29" s="220">
        <v>307.23286906479598</v>
      </c>
      <c r="Q29" s="220">
        <v>263.38108798368586</v>
      </c>
      <c r="R29" s="220">
        <v>270.05248563979268</v>
      </c>
      <c r="S29" s="220">
        <v>244.33853500709813</v>
      </c>
      <c r="T29" s="220">
        <v>236.25610221405276</v>
      </c>
      <c r="U29" s="220">
        <v>230.16679250237846</v>
      </c>
      <c r="V29" s="220">
        <v>240.53262642540415</v>
      </c>
      <c r="W29" s="220">
        <v>240.16564449001953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277.35148646557792</v>
      </c>
      <c r="C31" s="59">
        <f t="shared" si="25"/>
        <v>189.51710311713825</v>
      </c>
      <c r="D31" s="59">
        <f t="shared" si="25"/>
        <v>155.82495833002429</v>
      </c>
      <c r="E31" s="59">
        <f t="shared" si="25"/>
        <v>177.65651613672313</v>
      </c>
      <c r="F31" s="59">
        <f t="shared" si="25"/>
        <v>186.86541886746099</v>
      </c>
      <c r="G31" s="59">
        <f t="shared" si="25"/>
        <v>184.9470038296069</v>
      </c>
      <c r="H31" s="59">
        <f t="shared" si="25"/>
        <v>128.41750773314953</v>
      </c>
      <c r="I31" s="59">
        <f t="shared" si="25"/>
        <v>89.530400483135281</v>
      </c>
      <c r="J31" s="59">
        <f t="shared" si="25"/>
        <v>79.154686990455446</v>
      </c>
      <c r="K31" s="59">
        <f t="shared" si="25"/>
        <v>93.923228787348052</v>
      </c>
      <c r="L31" s="59">
        <f t="shared" si="25"/>
        <v>121.17558736039469</v>
      </c>
      <c r="M31" s="59">
        <f t="shared" si="25"/>
        <v>115.29130685333443</v>
      </c>
      <c r="N31" s="59">
        <f t="shared" si="25"/>
        <v>102.513552656174</v>
      </c>
      <c r="O31" s="59">
        <f t="shared" si="25"/>
        <v>79.638863653892926</v>
      </c>
      <c r="P31" s="59">
        <f t="shared" si="25"/>
        <v>65.539163063084288</v>
      </c>
      <c r="Q31" s="59">
        <f t="shared" si="25"/>
        <v>85.420235610786975</v>
      </c>
      <c r="R31" s="59">
        <f t="shared" si="25"/>
        <v>81.176657365478178</v>
      </c>
      <c r="S31" s="59">
        <f t="shared" si="25"/>
        <v>81.107164282032159</v>
      </c>
      <c r="T31" s="59">
        <f t="shared" si="25"/>
        <v>70.774072620639558</v>
      </c>
      <c r="U31" s="59">
        <f t="shared" si="25"/>
        <v>83.85167364593903</v>
      </c>
      <c r="V31" s="59">
        <f t="shared" si="25"/>
        <v>88.317174330094687</v>
      </c>
      <c r="W31" s="59">
        <f t="shared" si="25"/>
        <v>82.078431469660188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122.34803499436495</v>
      </c>
      <c r="D32" s="55">
        <f t="shared" si="26"/>
        <v>127.81056238438663</v>
      </c>
      <c r="E32" s="55">
        <f t="shared" si="26"/>
        <v>135.43288032890186</v>
      </c>
      <c r="F32" s="55">
        <f t="shared" si="26"/>
        <v>134.84363036747558</v>
      </c>
      <c r="G32" s="55">
        <f t="shared" si="26"/>
        <v>154.4265560823676</v>
      </c>
      <c r="H32" s="55">
        <f t="shared" si="26"/>
        <v>146.93020171673029</v>
      </c>
      <c r="I32" s="55">
        <f t="shared" si="26"/>
        <v>137.23851152262932</v>
      </c>
      <c r="J32" s="55">
        <f t="shared" si="26"/>
        <v>139.32723127138402</v>
      </c>
      <c r="K32" s="55">
        <f t="shared" si="26"/>
        <v>156.36023356757096</v>
      </c>
      <c r="L32" s="55">
        <f t="shared" si="26"/>
        <v>144.58585940593417</v>
      </c>
      <c r="M32" s="55">
        <f t="shared" si="26"/>
        <v>132.80026593791032</v>
      </c>
      <c r="N32" s="55">
        <f t="shared" si="26"/>
        <v>135.04301399101351</v>
      </c>
      <c r="O32" s="55">
        <f t="shared" si="26"/>
        <v>132.95020410976798</v>
      </c>
      <c r="P32" s="55">
        <f t="shared" si="26"/>
        <v>130.15939664117732</v>
      </c>
      <c r="Q32" s="55">
        <f t="shared" si="26"/>
        <v>132.91816907674803</v>
      </c>
      <c r="R32" s="55">
        <f t="shared" si="26"/>
        <v>135.38540863538168</v>
      </c>
      <c r="S32" s="55">
        <f t="shared" si="26"/>
        <v>124.9021100917374</v>
      </c>
      <c r="T32" s="55">
        <f t="shared" si="26"/>
        <v>141.27985612939972</v>
      </c>
      <c r="U32" s="55">
        <f t="shared" si="26"/>
        <v>142.0119845958406</v>
      </c>
      <c r="V32" s="55">
        <f t="shared" si="26"/>
        <v>148.62601044661253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51.78506458168453</v>
      </c>
      <c r="C33" s="55">
        <f>IF(AGR_ued!C$5=0,"",AGR_ued!C$5/C$5*1000)</f>
        <v>49.85682711901228</v>
      </c>
      <c r="D33" s="55">
        <f>IF(AGR_ued!D$5=0,"",AGR_ued!D$5/D$5*1000)</f>
        <v>53.438958567138975</v>
      </c>
      <c r="E33" s="55">
        <f>IF(AGR_ued!E$5=0,"",AGR_ued!E$5/E$5*1000)</f>
        <v>55.779958538118841</v>
      </c>
      <c r="F33" s="55">
        <f>IF(AGR_ued!F$5=0,"",AGR_ued!F$5/F$5*1000)</f>
        <v>53.531117736705596</v>
      </c>
      <c r="G33" s="55">
        <f>IF(AGR_ued!G$5=0,"",AGR_ued!G$5/G$5*1000)</f>
        <v>60.79957530537235</v>
      </c>
      <c r="H33" s="55">
        <f>IF(AGR_ued!H$5=0,"",AGR_ued!H$5/H$5*1000)</f>
        <v>58.517306239735149</v>
      </c>
      <c r="I33" s="55">
        <f>IF(AGR_ued!I$5=0,"",AGR_ued!I$5/I$5*1000)</f>
        <v>54.769510752385536</v>
      </c>
      <c r="J33" s="55">
        <f>IF(AGR_ued!J$5=0,"",AGR_ued!J$5/J$5*1000)</f>
        <v>54.974304017262696</v>
      </c>
      <c r="K33" s="55">
        <f>IF(AGR_ued!K$5=0,"",AGR_ued!K$5/K$5*1000)</f>
        <v>61.819383141863227</v>
      </c>
      <c r="L33" s="55">
        <f>IF(AGR_ued!L$5=0,"",AGR_ued!L$5/L$5*1000)</f>
        <v>56.284883738441728</v>
      </c>
      <c r="M33" s="55">
        <f>IF(AGR_ued!M$5=0,"",AGR_ued!M$5/M$5*1000)</f>
        <v>51.296652212120058</v>
      </c>
      <c r="N33" s="55">
        <f>IF(AGR_ued!N$5=0,"",AGR_ued!N$5/N$5*1000)</f>
        <v>51.79734927209617</v>
      </c>
      <c r="O33" s="55">
        <f>IF(AGR_ued!O$5=0,"",AGR_ued!O$5/O$5*1000)</f>
        <v>51.086941134476973</v>
      </c>
      <c r="P33" s="55">
        <f>IF(AGR_ued!P$5=0,"",AGR_ued!P$5/P$5*1000)</f>
        <v>49.806966156876221</v>
      </c>
      <c r="Q33" s="55">
        <f>IF(AGR_ued!Q$5=0,"",AGR_ued!Q$5/Q$5*1000)</f>
        <v>50.619484378404188</v>
      </c>
      <c r="R33" s="55">
        <f>IF(AGR_ued!R$5=0,"",AGR_ued!R$5/R$5*1000)</f>
        <v>51.413163852370175</v>
      </c>
      <c r="S33" s="55">
        <f>IF(AGR_ued!S$5=0,"",AGR_ued!S$5/S$5*1000)</f>
        <v>47.915589279923722</v>
      </c>
      <c r="T33" s="55">
        <f>IF(AGR_ued!T$5=0,"",AGR_ued!T$5/T$5*1000)</f>
        <v>53.971882150236567</v>
      </c>
      <c r="U33" s="55">
        <f>IF(AGR_ued!U$5=0,"",AGR_ued!U$5/U$5*1000)</f>
        <v>55.549792698476836</v>
      </c>
      <c r="V33" s="55">
        <f>IF(AGR_ued!V$5=0,"",AGR_ued!V$5/V$5*1000)</f>
        <v>57.034914586029018</v>
      </c>
      <c r="W33" s="55">
        <f>IF(AGR_ued!W$5=0,"",AGR_ued!W$5/W$5*1000)</f>
        <v>54.454067090084912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2.0154814054438912</v>
      </c>
      <c r="C34" s="218">
        <f t="shared" si="27"/>
        <v>2.0319104544862316</v>
      </c>
      <c r="D34" s="218">
        <f t="shared" si="27"/>
        <v>1.8909951579988178</v>
      </c>
      <c r="E34" s="218">
        <f t="shared" si="27"/>
        <v>1.9640853472557884</v>
      </c>
      <c r="F34" s="218">
        <f t="shared" si="27"/>
        <v>2.117194259498596</v>
      </c>
      <c r="G34" s="218">
        <f t="shared" si="27"/>
        <v>2.1678811066772568</v>
      </c>
      <c r="H34" s="218">
        <f t="shared" si="27"/>
        <v>2.1296821122662237</v>
      </c>
      <c r="I34" s="218">
        <f t="shared" si="27"/>
        <v>2.0918896609153972</v>
      </c>
      <c r="J34" s="218">
        <f t="shared" si="27"/>
        <v>2.1407521334218766</v>
      </c>
      <c r="K34" s="218">
        <f t="shared" si="27"/>
        <v>2.083909935279697</v>
      </c>
      <c r="L34" s="218">
        <f t="shared" si="27"/>
        <v>2.1656739267011358</v>
      </c>
      <c r="M34" s="218">
        <f t="shared" si="27"/>
        <v>1.9407665735228588</v>
      </c>
      <c r="N34" s="218">
        <f t="shared" si="27"/>
        <v>2.0001943639269433</v>
      </c>
      <c r="O34" s="218">
        <f t="shared" si="27"/>
        <v>2.2457035933813931</v>
      </c>
      <c r="P34" s="218">
        <f t="shared" si="27"/>
        <v>2.2391564727049267</v>
      </c>
      <c r="Q34" s="218">
        <f t="shared" si="27"/>
        <v>1.7524052724817354</v>
      </c>
      <c r="R34" s="218">
        <f t="shared" si="27"/>
        <v>1.815560229720929</v>
      </c>
      <c r="S34" s="218">
        <f t="shared" si="27"/>
        <v>1.7140275653544621</v>
      </c>
      <c r="T34" s="218">
        <f t="shared" si="27"/>
        <v>1.7806475472221452</v>
      </c>
      <c r="U34" s="218">
        <f t="shared" si="27"/>
        <v>1.779267137888934</v>
      </c>
      <c r="V34" s="218">
        <f t="shared" si="27"/>
        <v>1.8249819910880438</v>
      </c>
      <c r="W34" s="218">
        <f t="shared" si="27"/>
        <v>1.822996814578959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207.01745485812552</v>
      </c>
      <c r="C5" s="80">
        <f t="shared" ref="C5:W5" si="1">SUM(C6:C9,C16:C17,C25:C27)</f>
        <v>180.98383490971622</v>
      </c>
      <c r="D5" s="80">
        <f t="shared" si="1"/>
        <v>149.41358555460019</v>
      </c>
      <c r="E5" s="80">
        <f t="shared" si="1"/>
        <v>159.18383490971618</v>
      </c>
      <c r="F5" s="80">
        <f t="shared" si="1"/>
        <v>161.77325881341349</v>
      </c>
      <c r="G5" s="80">
        <f t="shared" si="1"/>
        <v>165.3576096302665</v>
      </c>
      <c r="H5" s="80">
        <f t="shared" si="1"/>
        <v>142.12407566637998</v>
      </c>
      <c r="I5" s="80">
        <f t="shared" si="1"/>
        <v>136.72192605331037</v>
      </c>
      <c r="J5" s="80">
        <f t="shared" si="1"/>
        <v>140.79269131556316</v>
      </c>
      <c r="K5" s="80">
        <f t="shared" si="1"/>
        <v>130.0192605331041</v>
      </c>
      <c r="L5" s="80">
        <f t="shared" si="1"/>
        <v>134.64092863284606</v>
      </c>
      <c r="M5" s="80">
        <f t="shared" si="1"/>
        <v>157.64995700773855</v>
      </c>
      <c r="N5" s="80">
        <f t="shared" si="1"/>
        <v>143.47738607050732</v>
      </c>
      <c r="O5" s="80">
        <f t="shared" si="1"/>
        <v>131.05580395528798</v>
      </c>
      <c r="P5" s="80">
        <f t="shared" si="1"/>
        <v>137.20920034393802</v>
      </c>
      <c r="Q5" s="80">
        <f t="shared" si="1"/>
        <v>150.29690455717966</v>
      </c>
      <c r="R5" s="80">
        <f t="shared" si="1"/>
        <v>148.74333619948408</v>
      </c>
      <c r="S5" s="80">
        <f t="shared" si="1"/>
        <v>142.55227858985381</v>
      </c>
      <c r="T5" s="80">
        <f t="shared" si="1"/>
        <v>132.67987962166811</v>
      </c>
      <c r="U5" s="80">
        <f t="shared" si="1"/>
        <v>129.36044711951845</v>
      </c>
      <c r="V5" s="80">
        <f t="shared" si="1"/>
        <v>131.80000000000001</v>
      </c>
      <c r="W5" s="80">
        <f t="shared" si="1"/>
        <v>131.74221840068785</v>
      </c>
      <c r="DA5" s="103"/>
    </row>
    <row r="6" spans="1:105" x14ac:dyDescent="0.25">
      <c r="A6" s="239" t="s">
        <v>125</v>
      </c>
      <c r="B6" s="240">
        <v>7.5363805234881891</v>
      </c>
      <c r="C6" s="240">
        <v>6.5666705535756744</v>
      </c>
      <c r="D6" s="240">
        <v>5.9596395742624662</v>
      </c>
      <c r="E6" s="240">
        <v>6.0309408504618807</v>
      </c>
      <c r="F6" s="240">
        <v>5.4193117927454466</v>
      </c>
      <c r="G6" s="240">
        <v>5.2257786902257539</v>
      </c>
      <c r="H6" s="240">
        <v>4.7824338246868514</v>
      </c>
      <c r="I6" s="240">
        <v>4.6124977703259216</v>
      </c>
      <c r="J6" s="240">
        <v>4.4652464023495408</v>
      </c>
      <c r="K6" s="240">
        <v>4.2246357422733691</v>
      </c>
      <c r="L6" s="240">
        <v>3.9635932107288561</v>
      </c>
      <c r="M6" s="240">
        <v>4.2855334068868478</v>
      </c>
      <c r="N6" s="240">
        <v>3.9996880985953052</v>
      </c>
      <c r="O6" s="240">
        <v>3.606810168887594</v>
      </c>
      <c r="P6" s="240">
        <v>3.9385135703812941</v>
      </c>
      <c r="Q6" s="240">
        <v>3.831182101438289</v>
      </c>
      <c r="R6" s="240">
        <v>3.6997934409846409</v>
      </c>
      <c r="S6" s="240">
        <v>3.8575177962441249</v>
      </c>
      <c r="T6" s="240">
        <v>3.469395738496702</v>
      </c>
      <c r="U6" s="240">
        <v>4.0790541245169019</v>
      </c>
      <c r="V6" s="240">
        <v>3.552369970868654</v>
      </c>
      <c r="W6" s="240">
        <v>3.2959359464640379</v>
      </c>
      <c r="DA6" s="268" t="s">
        <v>993</v>
      </c>
    </row>
    <row r="7" spans="1:105" x14ac:dyDescent="0.25">
      <c r="A7" s="241" t="s">
        <v>124</v>
      </c>
      <c r="B7" s="242">
        <v>4.8986473402673214</v>
      </c>
      <c r="C7" s="242">
        <v>4.2683358598241874</v>
      </c>
      <c r="D7" s="242">
        <v>3.873765723270604</v>
      </c>
      <c r="E7" s="242">
        <v>3.9201115528002211</v>
      </c>
      <c r="F7" s="242">
        <v>3.52255266528454</v>
      </c>
      <c r="G7" s="242">
        <v>3.3967561486467388</v>
      </c>
      <c r="H7" s="242">
        <v>3.1085819860464521</v>
      </c>
      <c r="I7" s="242">
        <v>2.9981235507118482</v>
      </c>
      <c r="J7" s="242">
        <v>2.9024101615272011</v>
      </c>
      <c r="K7" s="242">
        <v>2.74601323247769</v>
      </c>
      <c r="L7" s="242">
        <v>2.5763355869737552</v>
      </c>
      <c r="M7" s="242">
        <v>2.7855967144764509</v>
      </c>
      <c r="N7" s="242">
        <v>2.599797264086948</v>
      </c>
      <c r="O7" s="242">
        <v>2.344426609776936</v>
      </c>
      <c r="P7" s="242">
        <v>2.560033820747841</v>
      </c>
      <c r="Q7" s="242">
        <v>2.4902683659348872</v>
      </c>
      <c r="R7" s="242">
        <v>2.4048657366400161</v>
      </c>
      <c r="S7" s="242">
        <v>2.5073865675586799</v>
      </c>
      <c r="T7" s="242">
        <v>2.2551072300228552</v>
      </c>
      <c r="U7" s="242">
        <v>2.6513851809359861</v>
      </c>
      <c r="V7" s="242">
        <v>2.3090404810646241</v>
      </c>
      <c r="W7" s="242">
        <v>2.1423583652016238</v>
      </c>
      <c r="DA7" s="269" t="s">
        <v>994</v>
      </c>
    </row>
    <row r="8" spans="1:105" x14ac:dyDescent="0.25">
      <c r="A8" s="241" t="s">
        <v>123</v>
      </c>
      <c r="B8" s="242">
        <v>6.7827424711393691</v>
      </c>
      <c r="C8" s="242">
        <v>5.9100034982181064</v>
      </c>
      <c r="D8" s="242">
        <v>5.3636756168362201</v>
      </c>
      <c r="E8" s="242">
        <v>5.4278467654156932</v>
      </c>
      <c r="F8" s="242">
        <v>4.8773806134709012</v>
      </c>
      <c r="G8" s="242">
        <v>4.7032008212031773</v>
      </c>
      <c r="H8" s="242">
        <v>4.3041904422181654</v>
      </c>
      <c r="I8" s="242">
        <v>4.1512479932933273</v>
      </c>
      <c r="J8" s="242">
        <v>4.0187217621145868</v>
      </c>
      <c r="K8" s="242">
        <v>3.8021721680460332</v>
      </c>
      <c r="L8" s="242">
        <v>3.5672338896559701</v>
      </c>
      <c r="M8" s="242">
        <v>3.856980066198163</v>
      </c>
      <c r="N8" s="242">
        <v>3.5997192887357738</v>
      </c>
      <c r="O8" s="242">
        <v>3.2461291519988338</v>
      </c>
      <c r="P8" s="242">
        <v>3.5446622133431629</v>
      </c>
      <c r="Q8" s="242">
        <v>3.4480638912944599</v>
      </c>
      <c r="R8" s="242">
        <v>3.3298140968861771</v>
      </c>
      <c r="S8" s="242">
        <v>3.471766016619712</v>
      </c>
      <c r="T8" s="242">
        <v>3.1224561646470321</v>
      </c>
      <c r="U8" s="242">
        <v>3.6711487120652131</v>
      </c>
      <c r="V8" s="242">
        <v>3.197132973781788</v>
      </c>
      <c r="W8" s="242">
        <v>2.9663423518176342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46.922876080164535</v>
      </c>
      <c r="C9" s="244">
        <f t="shared" ref="C9:W9" si="3">SUM(C10:C15)</f>
        <v>40.164762134688068</v>
      </c>
      <c r="D9" s="244">
        <f t="shared" si="3"/>
        <v>34.396941290310679</v>
      </c>
      <c r="E9" s="244">
        <f t="shared" si="3"/>
        <v>35.940568402827687</v>
      </c>
      <c r="F9" s="244">
        <f t="shared" si="3"/>
        <v>34.264759807726989</v>
      </c>
      <c r="G9" s="244">
        <f t="shared" si="3"/>
        <v>35.023406260637437</v>
      </c>
      <c r="H9" s="244">
        <f t="shared" si="3"/>
        <v>30.355211616923572</v>
      </c>
      <c r="I9" s="244">
        <f t="shared" si="3"/>
        <v>29.539166420074078</v>
      </c>
      <c r="J9" s="244">
        <f t="shared" si="3"/>
        <v>30.177783471845256</v>
      </c>
      <c r="K9" s="244">
        <f t="shared" si="3"/>
        <v>27.701025617204753</v>
      </c>
      <c r="L9" s="244">
        <f t="shared" si="3"/>
        <v>28.393637820026303</v>
      </c>
      <c r="M9" s="244">
        <f t="shared" si="3"/>
        <v>33.546383708876043</v>
      </c>
      <c r="N9" s="244">
        <f t="shared" si="3"/>
        <v>29.483892081183697</v>
      </c>
      <c r="O9" s="244">
        <f t="shared" si="3"/>
        <v>27.056446798309906</v>
      </c>
      <c r="P9" s="244">
        <f t="shared" si="3"/>
        <v>27.701896595097047</v>
      </c>
      <c r="Q9" s="244">
        <f t="shared" si="3"/>
        <v>31.214397546434437</v>
      </c>
      <c r="R9" s="244">
        <f t="shared" si="3"/>
        <v>30.925767321840759</v>
      </c>
      <c r="S9" s="244">
        <f t="shared" si="3"/>
        <v>29.625791553475178</v>
      </c>
      <c r="T9" s="244">
        <f t="shared" si="3"/>
        <v>27.549987994529886</v>
      </c>
      <c r="U9" s="244">
        <f t="shared" si="3"/>
        <v>26.745583470202448</v>
      </c>
      <c r="V9" s="244">
        <f t="shared" si="3"/>
        <v>27.368661319830053</v>
      </c>
      <c r="W9" s="244">
        <f t="shared" si="3"/>
        <v>27.648399974085017</v>
      </c>
      <c r="DA9" s="270"/>
    </row>
    <row r="10" spans="1:105" x14ac:dyDescent="0.25">
      <c r="A10" s="254" t="s">
        <v>173</v>
      </c>
      <c r="B10" s="255">
        <v>7.8878160653894529</v>
      </c>
      <c r="C10" s="255">
        <v>8.8096726103558467</v>
      </c>
      <c r="D10" s="255">
        <v>6.33608573647059</v>
      </c>
      <c r="E10" s="255">
        <v>7.9920909700464069</v>
      </c>
      <c r="F10" s="255">
        <v>9.7561838863896746</v>
      </c>
      <c r="G10" s="255">
        <v>10.55200028171064</v>
      </c>
      <c r="H10" s="255">
        <v>9.7937130381337347</v>
      </c>
      <c r="I10" s="255">
        <v>9.2366007528092311</v>
      </c>
      <c r="J10" s="255">
        <v>10.050697451122719</v>
      </c>
      <c r="K10" s="255">
        <v>8.9725363593874068</v>
      </c>
      <c r="L10" s="255">
        <v>9.7036741251036887</v>
      </c>
      <c r="M10" s="255">
        <v>9.002918344837898</v>
      </c>
      <c r="N10" s="255">
        <v>9.9423610229591191</v>
      </c>
      <c r="O10" s="255">
        <v>10.36260245358655</v>
      </c>
      <c r="P10" s="255">
        <v>12.615602368571491</v>
      </c>
      <c r="Q10" s="255">
        <v>9.6781108445354338</v>
      </c>
      <c r="R10" s="255">
        <v>9.5692232850109793</v>
      </c>
      <c r="S10" s="255">
        <v>8.4152727857222569</v>
      </c>
      <c r="T10" s="255">
        <v>8.8706143439739904</v>
      </c>
      <c r="U10" s="255">
        <v>7.6899797900038251</v>
      </c>
      <c r="V10" s="255">
        <v>8.1353893283472765</v>
      </c>
      <c r="W10" s="255">
        <v>7.3132393062094607</v>
      </c>
      <c r="DA10" s="271" t="s">
        <v>996</v>
      </c>
    </row>
    <row r="11" spans="1:105" x14ac:dyDescent="0.25">
      <c r="A11" s="254" t="s">
        <v>176</v>
      </c>
      <c r="B11" s="256">
        <v>13.39417673448566</v>
      </c>
      <c r="C11" s="256">
        <v>11.750379605847391</v>
      </c>
      <c r="D11" s="256">
        <v>6.9710472311572644</v>
      </c>
      <c r="E11" s="256">
        <v>7.8921700557919827</v>
      </c>
      <c r="F11" s="256">
        <v>10.57639379986505</v>
      </c>
      <c r="G11" s="256">
        <v>12.45500837525244</v>
      </c>
      <c r="H11" s="256">
        <v>8.6744665343039955</v>
      </c>
      <c r="I11" s="256">
        <v>7.6997294297891576</v>
      </c>
      <c r="J11" s="256">
        <v>8.878617945677183</v>
      </c>
      <c r="K11" s="256">
        <v>8.222363946921913</v>
      </c>
      <c r="L11" s="256">
        <v>10.35713305755834</v>
      </c>
      <c r="M11" s="256">
        <v>16.644050018598829</v>
      </c>
      <c r="N11" s="256">
        <v>13.79149875813382</v>
      </c>
      <c r="O11" s="256">
        <v>11.810516429542449</v>
      </c>
      <c r="P11" s="256">
        <v>9.2900662463719286</v>
      </c>
      <c r="Q11" s="256">
        <v>17.1610751093442</v>
      </c>
      <c r="R11" s="256">
        <v>17.215331943468019</v>
      </c>
      <c r="S11" s="256">
        <v>16.248146967778201</v>
      </c>
      <c r="T11" s="256">
        <v>14.26099216972688</v>
      </c>
      <c r="U11" s="256">
        <v>11.760367557670531</v>
      </c>
      <c r="V11" s="256">
        <v>14.56651516781039</v>
      </c>
      <c r="W11" s="256">
        <v>16.439795464571102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9.7392007593368607E-2</v>
      </c>
      <c r="D12" s="256">
        <v>0.2431222739080488</v>
      </c>
      <c r="E12" s="256">
        <v>0.13938652242281949</v>
      </c>
      <c r="F12" s="256">
        <v>0.162189065272209</v>
      </c>
      <c r="G12" s="256">
        <v>0.1640356814249303</v>
      </c>
      <c r="H12" s="256">
        <v>0.14425705857332921</v>
      </c>
      <c r="I12" s="256">
        <v>0.1489020460298783</v>
      </c>
      <c r="J12" s="256">
        <v>0.15535356983831999</v>
      </c>
      <c r="K12" s="256">
        <v>0.1494244012013369</v>
      </c>
      <c r="L12" s="256">
        <v>0.16764965807765</v>
      </c>
      <c r="M12" s="256">
        <v>0.16396973946106391</v>
      </c>
      <c r="N12" s="256">
        <v>0.1919809608553833</v>
      </c>
      <c r="O12" s="256">
        <v>0.25564187174085778</v>
      </c>
      <c r="P12" s="256">
        <v>0.2332498299287612</v>
      </c>
      <c r="Q12" s="256">
        <v>0.2245012905206788</v>
      </c>
      <c r="R12" s="256">
        <v>0.27938824010261981</v>
      </c>
      <c r="S12" s="256">
        <v>0.25546378996697322</v>
      </c>
      <c r="T12" s="256">
        <v>0.2453257789189876</v>
      </c>
      <c r="U12" s="256">
        <v>0.2375402800529102</v>
      </c>
      <c r="V12" s="256">
        <v>0.2541440805616334</v>
      </c>
      <c r="W12" s="256">
        <v>0.26421088529998371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10.270335339592</v>
      </c>
      <c r="C14" s="255">
        <v>6.8548581255193719</v>
      </c>
      <c r="D14" s="255">
        <v>6.4488392088955431</v>
      </c>
      <c r="E14" s="255">
        <v>7.1653482372863273</v>
      </c>
      <c r="F14" s="255">
        <v>4.3231298366152142</v>
      </c>
      <c r="G14" s="255">
        <v>4.2753224419535654</v>
      </c>
      <c r="H14" s="255">
        <v>4.0126397248382277</v>
      </c>
      <c r="I14" s="255">
        <v>4.9919174548406344</v>
      </c>
      <c r="J14" s="255">
        <v>4.8724849527001277</v>
      </c>
      <c r="K14" s="255">
        <v>3.9648323301716499</v>
      </c>
      <c r="L14" s="255">
        <v>3.3915735167651642</v>
      </c>
      <c r="M14" s="255">
        <v>3.3677558039542062</v>
      </c>
      <c r="N14" s="255">
        <v>1.0509028374892251</v>
      </c>
      <c r="O14" s="255">
        <v>0.90765262252742818</v>
      </c>
      <c r="P14" s="255">
        <v>0.83594153052461762</v>
      </c>
      <c r="Q14" s="255">
        <v>0.69269131556209318</v>
      </c>
      <c r="R14" s="255">
        <v>0.69269131556242169</v>
      </c>
      <c r="S14" s="255">
        <v>0.692691315562875</v>
      </c>
      <c r="T14" s="255">
        <v>0.88374892519267967</v>
      </c>
      <c r="U14" s="255">
        <v>0.88374892519080006</v>
      </c>
      <c r="V14" s="255">
        <v>0.76431642304337788</v>
      </c>
      <c r="W14" s="255">
        <v>0.76431642304315783</v>
      </c>
      <c r="DA14" s="271" t="s">
        <v>1000</v>
      </c>
    </row>
    <row r="15" spans="1:105" x14ac:dyDescent="0.25">
      <c r="A15" s="254" t="s">
        <v>24</v>
      </c>
      <c r="B15" s="256">
        <v>15.370547940697421</v>
      </c>
      <c r="C15" s="256">
        <v>12.652459785372089</v>
      </c>
      <c r="D15" s="256">
        <v>14.397846839879231</v>
      </c>
      <c r="E15" s="256">
        <v>12.75157261728015</v>
      </c>
      <c r="F15" s="256">
        <v>9.446863219584845</v>
      </c>
      <c r="G15" s="256">
        <v>7.5770394802958574</v>
      </c>
      <c r="H15" s="256">
        <v>7.7301352610742846</v>
      </c>
      <c r="I15" s="256">
        <v>7.4620167366051744</v>
      </c>
      <c r="J15" s="256">
        <v>6.2206295525069102</v>
      </c>
      <c r="K15" s="256">
        <v>6.3918685795224457</v>
      </c>
      <c r="L15" s="256">
        <v>4.7736074625214604</v>
      </c>
      <c r="M15" s="256">
        <v>4.3676898020240449</v>
      </c>
      <c r="N15" s="256">
        <v>4.5071485017461521</v>
      </c>
      <c r="O15" s="256">
        <v>3.720033420912622</v>
      </c>
      <c r="P15" s="256">
        <v>4.7270366197002467</v>
      </c>
      <c r="Q15" s="256">
        <v>3.4580189864720312</v>
      </c>
      <c r="R15" s="256">
        <v>3.1691325376967172</v>
      </c>
      <c r="S15" s="256">
        <v>4.0142166944448734</v>
      </c>
      <c r="T15" s="256">
        <v>3.2893067767173472</v>
      </c>
      <c r="U15" s="256">
        <v>6.1739469172843799</v>
      </c>
      <c r="V15" s="256">
        <v>3.6482963200673719</v>
      </c>
      <c r="W15" s="256">
        <v>2.866837894961312</v>
      </c>
      <c r="DA15" s="272" t="s">
        <v>1001</v>
      </c>
    </row>
    <row r="16" spans="1:105" x14ac:dyDescent="0.25">
      <c r="A16" s="257" t="s">
        <v>175</v>
      </c>
      <c r="B16" s="258">
        <v>40.09233820411611</v>
      </c>
      <c r="C16" s="258">
        <v>37.425970833058678</v>
      </c>
      <c r="D16" s="258">
        <v>29.75950724953157</v>
      </c>
      <c r="E16" s="258">
        <v>33.021530866507163</v>
      </c>
      <c r="F16" s="258">
        <v>34.65322429281067</v>
      </c>
      <c r="G16" s="258">
        <v>36.259288471955287</v>
      </c>
      <c r="H16" s="258">
        <v>31.7425774314781</v>
      </c>
      <c r="I16" s="258">
        <v>30.379387955907049</v>
      </c>
      <c r="J16" s="258">
        <v>31.789563862231638</v>
      </c>
      <c r="K16" s="258">
        <v>29.011877682650031</v>
      </c>
      <c r="L16" s="258">
        <v>30.485848857540411</v>
      </c>
      <c r="M16" s="258">
        <v>33.994818315460712</v>
      </c>
      <c r="N16" s="258">
        <v>32.022295633602582</v>
      </c>
      <c r="O16" s="258">
        <v>30.429851621726719</v>
      </c>
      <c r="P16" s="258">
        <v>32.398255990508162</v>
      </c>
      <c r="Q16" s="258">
        <v>33.245126482617167</v>
      </c>
      <c r="R16" s="258">
        <v>32.893666095846889</v>
      </c>
      <c r="S16" s="258">
        <v>30.84200967743805</v>
      </c>
      <c r="T16" s="258">
        <v>29.612689022072662</v>
      </c>
      <c r="U16" s="258">
        <v>27.79042278126078</v>
      </c>
      <c r="V16" s="258">
        <v>28.822258381777171</v>
      </c>
      <c r="W16" s="258">
        <v>28.161765158128251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74.61626105195343</v>
      </c>
      <c r="C17" s="258">
        <f t="shared" ref="C17:W17" si="5">SUM(C18:C24)</f>
        <v>63.368036980762319</v>
      </c>
      <c r="D17" s="258">
        <f t="shared" si="5"/>
        <v>49.740401817892362</v>
      </c>
      <c r="E17" s="258">
        <f t="shared" si="5"/>
        <v>53.721669039708367</v>
      </c>
      <c r="F17" s="258">
        <f t="shared" si="5"/>
        <v>59.099809910836214</v>
      </c>
      <c r="G17" s="258">
        <f t="shared" si="5"/>
        <v>60.978496991712419</v>
      </c>
      <c r="H17" s="258">
        <f t="shared" si="5"/>
        <v>50.014516707167829</v>
      </c>
      <c r="I17" s="258">
        <f t="shared" si="5"/>
        <v>47.903230256500898</v>
      </c>
      <c r="J17" s="258">
        <f t="shared" si="5"/>
        <v>50.390482348121026</v>
      </c>
      <c r="K17" s="258">
        <f t="shared" si="5"/>
        <v>46.608304448144878</v>
      </c>
      <c r="L17" s="258">
        <f t="shared" si="5"/>
        <v>50.085365982971588</v>
      </c>
      <c r="M17" s="258">
        <f t="shared" si="5"/>
        <v>62.148700306177403</v>
      </c>
      <c r="N17" s="258">
        <f t="shared" si="5"/>
        <v>55.819406891735426</v>
      </c>
      <c r="O17" s="258">
        <f t="shared" si="5"/>
        <v>49.688105107677067</v>
      </c>
      <c r="P17" s="258">
        <f t="shared" si="5"/>
        <v>51.190885019687556</v>
      </c>
      <c r="Q17" s="258">
        <f t="shared" si="5"/>
        <v>60.293141911553121</v>
      </c>
      <c r="R17" s="258">
        <f t="shared" si="5"/>
        <v>60.104143509781906</v>
      </c>
      <c r="S17" s="258">
        <f t="shared" si="5"/>
        <v>56.870339189366682</v>
      </c>
      <c r="T17" s="258">
        <f t="shared" si="5"/>
        <v>52.479898932977811</v>
      </c>
      <c r="U17" s="258">
        <f t="shared" si="5"/>
        <v>49.089008910304592</v>
      </c>
      <c r="V17" s="258">
        <f t="shared" si="5"/>
        <v>52.30879329920981</v>
      </c>
      <c r="W17" s="258">
        <f t="shared" si="5"/>
        <v>54.040855668607847</v>
      </c>
      <c r="DA17" s="273"/>
    </row>
    <row r="18" spans="1:105" x14ac:dyDescent="0.25">
      <c r="A18" s="61" t="s">
        <v>29</v>
      </c>
      <c r="B18" s="55">
        <v>8.7626827171693353</v>
      </c>
      <c r="C18" s="55">
        <v>4.714101461759185</v>
      </c>
      <c r="D18" s="55">
        <v>3.1871883061362669</v>
      </c>
      <c r="E18" s="55">
        <v>3.1337919174760258</v>
      </c>
      <c r="F18" s="55">
        <v>1.9690455718114519</v>
      </c>
      <c r="G18" s="55">
        <v>1.762510748076304</v>
      </c>
      <c r="H18" s="55">
        <v>1.312467755814716</v>
      </c>
      <c r="I18" s="55">
        <v>1.329664660373657</v>
      </c>
      <c r="J18" s="55">
        <v>1.079707652630709</v>
      </c>
      <c r="K18" s="55">
        <v>0.79174548581851922</v>
      </c>
      <c r="L18" s="55">
        <v>0.79879621668638268</v>
      </c>
      <c r="M18" s="55">
        <v>0.52983662940345089</v>
      </c>
      <c r="N18" s="55">
        <v>0.5331900257913883</v>
      </c>
      <c r="O18" s="55">
        <v>1.1184866723927289</v>
      </c>
      <c r="P18" s="55">
        <v>0.89527085124276595</v>
      </c>
      <c r="Q18" s="55">
        <v>0.26861564918079911</v>
      </c>
      <c r="R18" s="55">
        <v>0.25606190885508501</v>
      </c>
      <c r="S18" s="55">
        <v>0.26646603611172331</v>
      </c>
      <c r="T18" s="55">
        <v>0.27300085984357592</v>
      </c>
      <c r="U18" s="55">
        <v>0.26706792777607741</v>
      </c>
      <c r="V18" s="55">
        <v>0.27437661220771842</v>
      </c>
      <c r="W18" s="55">
        <v>0.2673258813401338</v>
      </c>
      <c r="DA18" s="101" t="s">
        <v>1003</v>
      </c>
    </row>
    <row r="19" spans="1:105" x14ac:dyDescent="0.25">
      <c r="A19" s="61" t="s">
        <v>27</v>
      </c>
      <c r="B19" s="55">
        <v>3.296818572678899</v>
      </c>
      <c r="C19" s="55">
        <v>1.0987102321634079</v>
      </c>
      <c r="D19" s="55">
        <v>1.0987102321690241</v>
      </c>
      <c r="E19" s="55">
        <v>1.0987102321656319</v>
      </c>
      <c r="F19" s="55">
        <v>1.098710232166233</v>
      </c>
      <c r="G19" s="55">
        <v>1.098710232165041</v>
      </c>
      <c r="H19" s="55">
        <v>1.0987102321672191</v>
      </c>
      <c r="I19" s="55">
        <v>1.098710232168558</v>
      </c>
      <c r="J19" s="55">
        <v>1.0987102321665361</v>
      </c>
      <c r="K19" s="55">
        <v>1.098710232166489</v>
      </c>
      <c r="L19" s="55">
        <v>2.1974204643312381</v>
      </c>
      <c r="M19" s="55">
        <v>2.1974204643029198</v>
      </c>
      <c r="N19" s="55">
        <v>1.0987102321500331</v>
      </c>
      <c r="O19" s="55">
        <v>1.0987102321520821</v>
      </c>
      <c r="P19" s="55">
        <v>1.09871023215329</v>
      </c>
      <c r="Q19" s="55">
        <v>1.0987102321486071</v>
      </c>
      <c r="R19" s="55">
        <v>1.0987102321525439</v>
      </c>
      <c r="S19" s="55">
        <v>1.098710232150887</v>
      </c>
      <c r="T19" s="55">
        <v>1.0987102321515629</v>
      </c>
      <c r="U19" s="55">
        <v>1.0987102321708679</v>
      </c>
      <c r="V19" s="55">
        <v>2.197420464299733</v>
      </c>
      <c r="W19" s="55">
        <v>4.3947549440899261</v>
      </c>
      <c r="DA19" s="101" t="s">
        <v>1004</v>
      </c>
    </row>
    <row r="20" spans="1:105" x14ac:dyDescent="0.25">
      <c r="A20" s="61" t="s">
        <v>173</v>
      </c>
      <c r="B20" s="55">
        <v>20.316542687256021</v>
      </c>
      <c r="C20" s="55">
        <v>23.600417364467461</v>
      </c>
      <c r="D20" s="55">
        <v>19.80813968041112</v>
      </c>
      <c r="E20" s="55">
        <v>23.50662200640382</v>
      </c>
      <c r="F20" s="55">
        <v>21.851376438677441</v>
      </c>
      <c r="G20" s="55">
        <v>23.248959792801539</v>
      </c>
      <c r="H20" s="55">
        <v>24.256714074579349</v>
      </c>
      <c r="I20" s="55">
        <v>23.357880648711308</v>
      </c>
      <c r="J20" s="55">
        <v>23.94371439655573</v>
      </c>
      <c r="K20" s="55">
        <v>21.144065281047801</v>
      </c>
      <c r="L20" s="55">
        <v>20.70980476032404</v>
      </c>
      <c r="M20" s="55">
        <v>17.22731335772599</v>
      </c>
      <c r="N20" s="55">
        <v>18.5077877288015</v>
      </c>
      <c r="O20" s="55">
        <v>20.619439677401122</v>
      </c>
      <c r="P20" s="55">
        <v>24.849454750447169</v>
      </c>
      <c r="Q20" s="55">
        <v>17.091959928332411</v>
      </c>
      <c r="R20" s="55">
        <v>16.609095851808028</v>
      </c>
      <c r="S20" s="55">
        <v>15.18736353295203</v>
      </c>
      <c r="T20" s="55">
        <v>16.176070708167511</v>
      </c>
      <c r="U20" s="55">
        <v>15.50583334269025</v>
      </c>
      <c r="V20" s="55">
        <v>14.800733717265411</v>
      </c>
      <c r="W20" s="55">
        <v>12.51941059993969</v>
      </c>
      <c r="DA20" s="101" t="s">
        <v>1005</v>
      </c>
    </row>
    <row r="21" spans="1:105" x14ac:dyDescent="0.25">
      <c r="A21" s="61" t="s">
        <v>129</v>
      </c>
      <c r="B21" s="55">
        <v>7.2393809114842007</v>
      </c>
      <c r="C21" s="55">
        <v>1.045227858990327</v>
      </c>
      <c r="D21" s="55">
        <v>2.089939810854617</v>
      </c>
      <c r="E21" s="55">
        <v>1.0461736887430939</v>
      </c>
      <c r="F21" s="55">
        <v>8.3614789338529647</v>
      </c>
      <c r="G21" s="55">
        <v>5.2259673259138273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34.499202457428702</v>
      </c>
      <c r="C22" s="55">
        <v>31.47833922488109</v>
      </c>
      <c r="D22" s="55">
        <v>21.79318320752764</v>
      </c>
      <c r="E22" s="55">
        <v>23.21273106212951</v>
      </c>
      <c r="F22" s="55">
        <v>23.688438530453752</v>
      </c>
      <c r="G22" s="55">
        <v>27.441810197555011</v>
      </c>
      <c r="H22" s="55">
        <v>21.48460483300164</v>
      </c>
      <c r="I22" s="55">
        <v>19.47137977071116</v>
      </c>
      <c r="J22" s="55">
        <v>21.151476637442869</v>
      </c>
      <c r="K22" s="55">
        <v>19.376260300841011</v>
      </c>
      <c r="L22" s="55">
        <v>22.10443186089983</v>
      </c>
      <c r="M22" s="55">
        <v>31.848813265808861</v>
      </c>
      <c r="N22" s="55">
        <v>25.672989633764161</v>
      </c>
      <c r="O22" s="55">
        <v>23.50048958923632</v>
      </c>
      <c r="P22" s="55">
        <v>18.29901371915355</v>
      </c>
      <c r="Q22" s="55">
        <v>30.307196601455491</v>
      </c>
      <c r="R22" s="55">
        <v>29.880282845696481</v>
      </c>
      <c r="S22" s="55">
        <v>29.32365010854496</v>
      </c>
      <c r="T22" s="55">
        <v>26.005731819784941</v>
      </c>
      <c r="U22" s="55">
        <v>23.713235194071899</v>
      </c>
      <c r="V22" s="55">
        <v>26.500896697843441</v>
      </c>
      <c r="W22" s="55">
        <v>28.143007630727869</v>
      </c>
      <c r="DA22" s="101" t="s">
        <v>1007</v>
      </c>
    </row>
    <row r="23" spans="1:105" x14ac:dyDescent="0.25">
      <c r="A23" s="61" t="s">
        <v>171</v>
      </c>
      <c r="B23" s="55">
        <v>0.5016337059362761</v>
      </c>
      <c r="C23" s="55">
        <v>1.170335339644401</v>
      </c>
      <c r="D23" s="55">
        <v>1.0031814273529509</v>
      </c>
      <c r="E23" s="55">
        <v>1.313671539131831</v>
      </c>
      <c r="F23" s="55">
        <v>1.7674978503998351</v>
      </c>
      <c r="G23" s="55">
        <v>1.839122957879016</v>
      </c>
      <c r="H23" s="55">
        <v>1.5047291487655621</v>
      </c>
      <c r="I23" s="55">
        <v>2.2690455718184448</v>
      </c>
      <c r="J23" s="55">
        <v>2.7467755804163412</v>
      </c>
      <c r="K23" s="55">
        <v>3.8453998280599291</v>
      </c>
      <c r="L23" s="55">
        <v>3.9171109200608019</v>
      </c>
      <c r="M23" s="55">
        <v>10.03155631980078</v>
      </c>
      <c r="N23" s="55">
        <v>9.6493551160072872</v>
      </c>
      <c r="O23" s="55">
        <v>2.842304385194808</v>
      </c>
      <c r="P23" s="55">
        <v>5.5889939810583718</v>
      </c>
      <c r="Q23" s="55">
        <v>11.13018056740056</v>
      </c>
      <c r="R23" s="55">
        <v>11.775064488331351</v>
      </c>
      <c r="S23" s="55">
        <v>10.53310404120235</v>
      </c>
      <c r="T23" s="55">
        <v>8.4790197763889328</v>
      </c>
      <c r="U23" s="55">
        <v>8.0251934652687122</v>
      </c>
      <c r="V23" s="55">
        <v>8.0730008597839138</v>
      </c>
      <c r="W23" s="55">
        <v>8.2640584694376322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0.26090549885644859</v>
      </c>
      <c r="D24" s="55">
        <v>0.76005915344074304</v>
      </c>
      <c r="E24" s="55">
        <v>0.40996859365845317</v>
      </c>
      <c r="F24" s="55">
        <v>0.36326235347453661</v>
      </c>
      <c r="G24" s="55">
        <v>0.36141573732167809</v>
      </c>
      <c r="H24" s="55">
        <v>0.35729066283934019</v>
      </c>
      <c r="I24" s="55">
        <v>0.37654937271777178</v>
      </c>
      <c r="J24" s="55">
        <v>0.37009784890884267</v>
      </c>
      <c r="K24" s="55">
        <v>0.3521233202111263</v>
      </c>
      <c r="L24" s="55">
        <v>0.35780176066929831</v>
      </c>
      <c r="M24" s="55">
        <v>0.31376026913540761</v>
      </c>
      <c r="N24" s="55">
        <v>0.35737415522105759</v>
      </c>
      <c r="O24" s="55">
        <v>0.50867455130001127</v>
      </c>
      <c r="P24" s="55">
        <v>0.45944148563241088</v>
      </c>
      <c r="Q24" s="55">
        <v>0.39647893303525672</v>
      </c>
      <c r="R24" s="55">
        <v>0.48492818293841727</v>
      </c>
      <c r="S24" s="55">
        <v>0.46104523840472672</v>
      </c>
      <c r="T24" s="55">
        <v>0.44736553664128592</v>
      </c>
      <c r="U24" s="55">
        <v>0.47896874832678349</v>
      </c>
      <c r="V24" s="55">
        <v>0.46236494780958992</v>
      </c>
      <c r="W24" s="55">
        <v>0.45229814307259669</v>
      </c>
      <c r="DA24" s="101" t="s">
        <v>1009</v>
      </c>
    </row>
    <row r="25" spans="1:105" x14ac:dyDescent="0.25">
      <c r="A25" s="257" t="s">
        <v>174</v>
      </c>
      <c r="B25" s="258">
        <v>7.7040769044504582</v>
      </c>
      <c r="C25" s="258">
        <v>7.1917121933287946</v>
      </c>
      <c r="D25" s="258">
        <v>5.7185373255532399</v>
      </c>
      <c r="E25" s="258">
        <v>6.3453623483635484</v>
      </c>
      <c r="F25" s="258">
        <v>6.6589058383124051</v>
      </c>
      <c r="G25" s="258">
        <v>6.967524454832577</v>
      </c>
      <c r="H25" s="258">
        <v>6.0996007873762297</v>
      </c>
      <c r="I25" s="258">
        <v>5.8376525691987551</v>
      </c>
      <c r="J25" s="258">
        <v>6.108629621617526</v>
      </c>
      <c r="K25" s="258">
        <v>5.5748740737375826</v>
      </c>
      <c r="L25" s="258">
        <v>5.8581099186635077</v>
      </c>
      <c r="M25" s="258">
        <v>6.5323876427901189</v>
      </c>
      <c r="N25" s="258">
        <v>6.153350971009079</v>
      </c>
      <c r="O25" s="258">
        <v>5.8473495831363307</v>
      </c>
      <c r="P25" s="258">
        <v>6.2255948867387891</v>
      </c>
      <c r="Q25" s="258">
        <v>6.3883281093835054</v>
      </c>
      <c r="R25" s="258">
        <v>6.3207920670913138</v>
      </c>
      <c r="S25" s="258">
        <v>5.9265491883532393</v>
      </c>
      <c r="T25" s="258">
        <v>5.6903249796042479</v>
      </c>
      <c r="U25" s="258">
        <v>5.3401613351661359</v>
      </c>
      <c r="V25" s="258">
        <v>5.5384371448397172</v>
      </c>
      <c r="W25" s="258">
        <v>5.4115178675465501</v>
      </c>
      <c r="DA25" s="273" t="s">
        <v>1010</v>
      </c>
    </row>
    <row r="26" spans="1:105" x14ac:dyDescent="0.25">
      <c r="A26" s="257" t="s">
        <v>177</v>
      </c>
      <c r="B26" s="258">
        <v>7.5363805234881891</v>
      </c>
      <c r="C26" s="258">
        <v>6.5666705535756744</v>
      </c>
      <c r="D26" s="258">
        <v>5.9596395742624662</v>
      </c>
      <c r="E26" s="258">
        <v>6.0309408504618807</v>
      </c>
      <c r="F26" s="258">
        <v>5.4193117927454466</v>
      </c>
      <c r="G26" s="258">
        <v>5.2257786902257539</v>
      </c>
      <c r="H26" s="258">
        <v>4.7824338246868514</v>
      </c>
      <c r="I26" s="258">
        <v>4.6124977703259216</v>
      </c>
      <c r="J26" s="258">
        <v>4.4652464023495408</v>
      </c>
      <c r="K26" s="258">
        <v>4.2246357422733691</v>
      </c>
      <c r="L26" s="258">
        <v>3.9635932107288561</v>
      </c>
      <c r="M26" s="258">
        <v>4.2855334068868478</v>
      </c>
      <c r="N26" s="258">
        <v>3.9996880985953052</v>
      </c>
      <c r="O26" s="258">
        <v>3.606810168887594</v>
      </c>
      <c r="P26" s="258">
        <v>3.9385135703812941</v>
      </c>
      <c r="Q26" s="258">
        <v>3.831182101438289</v>
      </c>
      <c r="R26" s="258">
        <v>3.6997934409846409</v>
      </c>
      <c r="S26" s="258">
        <v>3.8575177962441249</v>
      </c>
      <c r="T26" s="258">
        <v>3.469395738496702</v>
      </c>
      <c r="U26" s="258">
        <v>4.0790541245169019</v>
      </c>
      <c r="V26" s="258">
        <v>3.552369970868654</v>
      </c>
      <c r="W26" s="258">
        <v>3.2959359464640379</v>
      </c>
      <c r="DA26" s="273" t="s">
        <v>1011</v>
      </c>
    </row>
    <row r="27" spans="1:105" x14ac:dyDescent="0.25">
      <c r="A27" s="129" t="s">
        <v>33</v>
      </c>
      <c r="B27" s="259">
        <v>10.92775175905787</v>
      </c>
      <c r="C27" s="259">
        <v>9.5216723026847259</v>
      </c>
      <c r="D27" s="259">
        <v>8.6414773826805806</v>
      </c>
      <c r="E27" s="259">
        <v>8.7448642331697268</v>
      </c>
      <c r="F27" s="259">
        <v>7.8580020994808999</v>
      </c>
      <c r="G27" s="259">
        <v>7.5773791008273426</v>
      </c>
      <c r="H27" s="259">
        <v>6.9345290457959328</v>
      </c>
      <c r="I27" s="259">
        <v>6.6881217669725874</v>
      </c>
      <c r="J27" s="259">
        <v>6.4746072834068311</v>
      </c>
      <c r="K27" s="259">
        <v>6.1257218262963873</v>
      </c>
      <c r="L27" s="259">
        <v>5.747210155556842</v>
      </c>
      <c r="M27" s="259">
        <v>6.2140234399859304</v>
      </c>
      <c r="N27" s="259">
        <v>5.7995477429631928</v>
      </c>
      <c r="O27" s="259">
        <v>5.2298747448870122</v>
      </c>
      <c r="P27" s="259">
        <v>5.7108446770528758</v>
      </c>
      <c r="Q27" s="259">
        <v>5.5552140470855198</v>
      </c>
      <c r="R27" s="259">
        <v>5.3647004894277286</v>
      </c>
      <c r="S27" s="259">
        <v>5.5934008045539816</v>
      </c>
      <c r="T27" s="259">
        <v>5.0306238208202183</v>
      </c>
      <c r="U27" s="259">
        <v>5.9146284805495082</v>
      </c>
      <c r="V27" s="259">
        <v>5.1509364577595482</v>
      </c>
      <c r="W27" s="259">
        <v>4.7791071223728574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0.99999999999999978</v>
      </c>
      <c r="C31" s="236">
        <f t="shared" si="6"/>
        <v>1</v>
      </c>
      <c r="D31" s="236">
        <f t="shared" si="6"/>
        <v>1</v>
      </c>
      <c r="E31" s="236">
        <f t="shared" si="6"/>
        <v>0.99999999999999989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1.0000000000000002</v>
      </c>
      <c r="J31" s="236">
        <f t="shared" si="6"/>
        <v>0.99999999999999989</v>
      </c>
      <c r="K31" s="236">
        <f t="shared" si="6"/>
        <v>0.99999999999999989</v>
      </c>
      <c r="L31" s="236">
        <f t="shared" si="6"/>
        <v>1.0000000000000004</v>
      </c>
      <c r="M31" s="236">
        <f t="shared" si="6"/>
        <v>0.99999999999999989</v>
      </c>
      <c r="N31" s="236">
        <f t="shared" si="6"/>
        <v>0.99999999999999989</v>
      </c>
      <c r="O31" s="236">
        <f t="shared" si="6"/>
        <v>1.0000000000000002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0.99999999999999989</v>
      </c>
      <c r="S31" s="236">
        <f t="shared" si="7"/>
        <v>0.99999999999999978</v>
      </c>
      <c r="T31" s="236">
        <f t="shared" si="7"/>
        <v>1</v>
      </c>
      <c r="U31" s="236">
        <f t="shared" si="7"/>
        <v>1</v>
      </c>
      <c r="V31" s="236">
        <f t="shared" si="7"/>
        <v>1.0000000000000002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3.6404565637487271E-2</v>
      </c>
      <c r="C32" s="245">
        <f t="shared" si="8"/>
        <v>3.6283188257401316E-2</v>
      </c>
      <c r="D32" s="245">
        <f t="shared" si="8"/>
        <v>3.9886865388720869E-2</v>
      </c>
      <c r="E32" s="245">
        <f t="shared" si="8"/>
        <v>3.788664127788121E-2</v>
      </c>
      <c r="F32" s="245">
        <f t="shared" si="8"/>
        <v>3.3499428969258685E-2</v>
      </c>
      <c r="G32" s="245">
        <f t="shared" si="8"/>
        <v>3.1602892070769537E-2</v>
      </c>
      <c r="H32" s="245">
        <f t="shared" si="8"/>
        <v>3.3649709257656445E-2</v>
      </c>
      <c r="I32" s="245">
        <f t="shared" si="8"/>
        <v>3.3736342834487461E-2</v>
      </c>
      <c r="J32" s="245">
        <f t="shared" si="8"/>
        <v>3.1715044017032401E-2</v>
      </c>
      <c r="K32" s="245">
        <f t="shared" si="8"/>
        <v>3.2492384012580491E-2</v>
      </c>
      <c r="L32" s="245">
        <f t="shared" si="8"/>
        <v>2.9438249208286624E-2</v>
      </c>
      <c r="M32" s="245">
        <f t="shared" si="8"/>
        <v>2.7183853952313378E-2</v>
      </c>
      <c r="N32" s="245">
        <f t="shared" si="8"/>
        <v>2.7876783987615915E-2</v>
      </c>
      <c r="O32" s="245">
        <f t="shared" si="8"/>
        <v>2.7521178460117045E-2</v>
      </c>
      <c r="P32" s="245">
        <f t="shared" si="8"/>
        <v>2.8704442271427464E-2</v>
      </c>
      <c r="Q32" s="245">
        <f t="shared" si="8"/>
        <v>2.5490758527104172E-2</v>
      </c>
      <c r="R32" s="245">
        <f t="shared" si="8"/>
        <v>2.4873675255090009E-2</v>
      </c>
      <c r="S32" s="245">
        <f t="shared" si="8"/>
        <v>2.7060372758704432E-2</v>
      </c>
      <c r="T32" s="245">
        <f t="shared" si="8"/>
        <v>2.6148619884111733E-2</v>
      </c>
      <c r="U32" s="245">
        <f t="shared" si="8"/>
        <v>3.1532467731409351E-2</v>
      </c>
      <c r="V32" s="245">
        <f t="shared" si="8"/>
        <v>2.695273119020223E-2</v>
      </c>
      <c r="W32" s="245">
        <f t="shared" si="8"/>
        <v>2.5018069275557525E-2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2.3662967664366721E-2</v>
      </c>
      <c r="C33" s="246">
        <f t="shared" si="9"/>
        <v>2.3584072367310853E-2</v>
      </c>
      <c r="D33" s="246">
        <f t="shared" si="9"/>
        <v>2.5926462502668571E-2</v>
      </c>
      <c r="E33" s="246">
        <f t="shared" si="9"/>
        <v>2.4626316830622778E-2</v>
      </c>
      <c r="F33" s="246">
        <f t="shared" si="9"/>
        <v>2.1774628830018142E-2</v>
      </c>
      <c r="G33" s="246">
        <f t="shared" si="9"/>
        <v>2.0541879846000193E-2</v>
      </c>
      <c r="H33" s="246">
        <f t="shared" si="9"/>
        <v>2.1872311017476678E-2</v>
      </c>
      <c r="I33" s="246">
        <f t="shared" si="9"/>
        <v>2.1928622842416843E-2</v>
      </c>
      <c r="J33" s="246">
        <f t="shared" si="9"/>
        <v>2.0614778611071055E-2</v>
      </c>
      <c r="K33" s="246">
        <f t="shared" si="9"/>
        <v>2.1120049608177319E-2</v>
      </c>
      <c r="L33" s="246">
        <f t="shared" si="9"/>
        <v>1.9134861985386296E-2</v>
      </c>
      <c r="M33" s="246">
        <f t="shared" si="9"/>
        <v>1.7669505069003694E-2</v>
      </c>
      <c r="N33" s="246">
        <f t="shared" si="9"/>
        <v>1.8119909591950343E-2</v>
      </c>
      <c r="O33" s="246">
        <f t="shared" si="9"/>
        <v>1.788876599907608E-2</v>
      </c>
      <c r="P33" s="246">
        <f t="shared" si="9"/>
        <v>1.865788747642785E-2</v>
      </c>
      <c r="Q33" s="246">
        <f t="shared" si="9"/>
        <v>1.6568993042617705E-2</v>
      </c>
      <c r="R33" s="246">
        <f t="shared" si="9"/>
        <v>1.6167888915808504E-2</v>
      </c>
      <c r="S33" s="246">
        <f t="shared" si="9"/>
        <v>1.7589242293157871E-2</v>
      </c>
      <c r="T33" s="246">
        <f t="shared" si="9"/>
        <v>1.6996602924672619E-2</v>
      </c>
      <c r="U33" s="246">
        <f t="shared" si="9"/>
        <v>2.049610402541608E-2</v>
      </c>
      <c r="V33" s="246">
        <f t="shared" si="9"/>
        <v>1.7519275273631441E-2</v>
      </c>
      <c r="W33" s="246">
        <f t="shared" si="9"/>
        <v>1.6261745029112384E-2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3.2764109073738543E-2</v>
      </c>
      <c r="C34" s="246">
        <f t="shared" si="10"/>
        <v>3.2654869431661182E-2</v>
      </c>
      <c r="D34" s="246">
        <f t="shared" si="10"/>
        <v>3.5898178849848784E-2</v>
      </c>
      <c r="E34" s="246">
        <f t="shared" si="10"/>
        <v>3.4097977150093092E-2</v>
      </c>
      <c r="F34" s="246">
        <f t="shared" si="10"/>
        <v>3.014948607233281E-2</v>
      </c>
      <c r="G34" s="246">
        <f t="shared" si="10"/>
        <v>2.8442602863692577E-2</v>
      </c>
      <c r="H34" s="246">
        <f t="shared" si="10"/>
        <v>3.0284738331890795E-2</v>
      </c>
      <c r="I34" s="246">
        <f t="shared" si="10"/>
        <v>3.0362708551038699E-2</v>
      </c>
      <c r="J34" s="246">
        <f t="shared" si="10"/>
        <v>2.8543539615329159E-2</v>
      </c>
      <c r="K34" s="246">
        <f t="shared" si="10"/>
        <v>2.9243145611322449E-2</v>
      </c>
      <c r="L34" s="246">
        <f t="shared" si="10"/>
        <v>2.6494424287457959E-2</v>
      </c>
      <c r="M34" s="246">
        <f t="shared" si="10"/>
        <v>2.4465468557082041E-2</v>
      </c>
      <c r="N34" s="246">
        <f t="shared" si="10"/>
        <v>2.5089105588854316E-2</v>
      </c>
      <c r="O34" s="246">
        <f t="shared" si="10"/>
        <v>2.4769060614105335E-2</v>
      </c>
      <c r="P34" s="246">
        <f t="shared" si="10"/>
        <v>2.5833998044284705E-2</v>
      </c>
      <c r="Q34" s="246">
        <f t="shared" si="10"/>
        <v>2.2941682674393751E-2</v>
      </c>
      <c r="R34" s="246">
        <f t="shared" si="10"/>
        <v>2.2386307729581008E-2</v>
      </c>
      <c r="S34" s="246">
        <f t="shared" si="10"/>
        <v>2.4354335482833982E-2</v>
      </c>
      <c r="T34" s="246">
        <f t="shared" si="10"/>
        <v>2.3533757895700565E-2</v>
      </c>
      <c r="U34" s="246">
        <f t="shared" si="10"/>
        <v>2.837922095826843E-2</v>
      </c>
      <c r="V34" s="246">
        <f t="shared" si="10"/>
        <v>2.4257458071182E-2</v>
      </c>
      <c r="W34" s="246">
        <f t="shared" si="10"/>
        <v>2.2516262348001772E-2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0.22666144800360921</v>
      </c>
      <c r="C35" s="247">
        <f t="shared" si="11"/>
        <v>0.22192458323542685</v>
      </c>
      <c r="D35" s="247">
        <f t="shared" si="11"/>
        <v>0.23021294323829081</v>
      </c>
      <c r="E35" s="247">
        <f t="shared" si="11"/>
        <v>0.22578026483161429</v>
      </c>
      <c r="F35" s="247">
        <f t="shared" si="11"/>
        <v>0.21180731635781275</v>
      </c>
      <c r="G35" s="247">
        <f t="shared" si="11"/>
        <v>0.21180401881079727</v>
      </c>
      <c r="H35" s="247">
        <f t="shared" si="11"/>
        <v>0.21358247344509709</v>
      </c>
      <c r="I35" s="247">
        <f t="shared" si="11"/>
        <v>0.21605288392847991</v>
      </c>
      <c r="J35" s="247">
        <f t="shared" si="11"/>
        <v>0.21434197464275206</v>
      </c>
      <c r="K35" s="247">
        <f t="shared" si="11"/>
        <v>0.21305324690838259</v>
      </c>
      <c r="L35" s="247">
        <f t="shared" si="11"/>
        <v>0.21088415022339344</v>
      </c>
      <c r="M35" s="247">
        <f t="shared" si="11"/>
        <v>0.21279031308095667</v>
      </c>
      <c r="N35" s="247">
        <f t="shared" si="11"/>
        <v>0.2054950462137273</v>
      </c>
      <c r="O35" s="247">
        <f t="shared" si="11"/>
        <v>0.2064498174193086</v>
      </c>
      <c r="P35" s="247">
        <f t="shared" si="11"/>
        <v>0.20189532863435955</v>
      </c>
      <c r="Q35" s="247">
        <f t="shared" si="11"/>
        <v>0.20768489968839701</v>
      </c>
      <c r="R35" s="247">
        <f t="shared" si="11"/>
        <v>0.20791363238192601</v>
      </c>
      <c r="S35" s="247">
        <f t="shared" si="11"/>
        <v>0.20782404775663685</v>
      </c>
      <c r="T35" s="247">
        <f t="shared" si="11"/>
        <v>0.20764254590136563</v>
      </c>
      <c r="U35" s="247">
        <f t="shared" si="11"/>
        <v>0.20675240435348619</v>
      </c>
      <c r="V35" s="247">
        <f t="shared" si="11"/>
        <v>0.20765296904271663</v>
      </c>
      <c r="W35" s="247">
        <f t="shared" si="11"/>
        <v>0.2098674237441007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0.19366646272215277</v>
      </c>
      <c r="C36" s="260">
        <f t="shared" si="12"/>
        <v>0.20679178807172818</v>
      </c>
      <c r="D36" s="260">
        <f t="shared" si="12"/>
        <v>0.19917537711894717</v>
      </c>
      <c r="E36" s="260">
        <f t="shared" si="12"/>
        <v>0.20744273993170151</v>
      </c>
      <c r="F36" s="260">
        <f t="shared" si="12"/>
        <v>0.21420860621210028</v>
      </c>
      <c r="G36" s="260">
        <f t="shared" si="12"/>
        <v>0.21927801540569991</v>
      </c>
      <c r="H36" s="260">
        <f t="shared" si="12"/>
        <v>0.22334412577634047</v>
      </c>
      <c r="I36" s="260">
        <f t="shared" si="12"/>
        <v>0.22219836154196346</v>
      </c>
      <c r="J36" s="260">
        <f t="shared" si="12"/>
        <v>0.22578987279233603</v>
      </c>
      <c r="K36" s="260">
        <f t="shared" si="12"/>
        <v>0.22313523060887844</v>
      </c>
      <c r="L36" s="260">
        <f t="shared" si="12"/>
        <v>0.22642334071144618</v>
      </c>
      <c r="M36" s="260">
        <f t="shared" si="12"/>
        <v>0.21563480866532689</v>
      </c>
      <c r="N36" s="260">
        <f t="shared" si="12"/>
        <v>0.22318705763057503</v>
      </c>
      <c r="O36" s="260">
        <f t="shared" si="12"/>
        <v>0.23219003434680699</v>
      </c>
      <c r="P36" s="260">
        <f t="shared" si="12"/>
        <v>0.23612305814257692</v>
      </c>
      <c r="Q36" s="260">
        <f t="shared" si="12"/>
        <v>0.2211963485247245</v>
      </c>
      <c r="R36" s="260">
        <f t="shared" si="12"/>
        <v>0.22114379666550052</v>
      </c>
      <c r="S36" s="260">
        <f t="shared" si="12"/>
        <v>0.21635578177024831</v>
      </c>
      <c r="T36" s="260">
        <f t="shared" si="12"/>
        <v>0.22318899524564068</v>
      </c>
      <c r="U36" s="260">
        <f t="shared" si="12"/>
        <v>0.21482936554466842</v>
      </c>
      <c r="V36" s="260">
        <f t="shared" si="12"/>
        <v>0.21868177831393906</v>
      </c>
      <c r="W36" s="260">
        <f t="shared" si="12"/>
        <v>0.21376416383452379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0.36043463631165745</v>
      </c>
      <c r="C37" s="260">
        <f t="shared" si="13"/>
        <v>0.35013092198191881</v>
      </c>
      <c r="D37" s="260">
        <f t="shared" si="13"/>
        <v>0.33290414411289082</v>
      </c>
      <c r="E37" s="260">
        <f t="shared" si="13"/>
        <v>0.33748193759861062</v>
      </c>
      <c r="F37" s="260">
        <f t="shared" si="13"/>
        <v>0.3653249637444772</v>
      </c>
      <c r="G37" s="260">
        <f t="shared" si="13"/>
        <v>0.36876740736672525</v>
      </c>
      <c r="H37" s="260">
        <f t="shared" si="13"/>
        <v>0.3519074194337854</v>
      </c>
      <c r="I37" s="260">
        <f t="shared" si="13"/>
        <v>0.35036977344674441</v>
      </c>
      <c r="J37" s="260">
        <f t="shared" si="13"/>
        <v>0.35790552675194787</v>
      </c>
      <c r="K37" s="260">
        <f t="shared" si="13"/>
        <v>0.35847230831064431</v>
      </c>
      <c r="L37" s="260">
        <f t="shared" si="13"/>
        <v>0.37199213115612095</v>
      </c>
      <c r="M37" s="260">
        <f t="shared" si="13"/>
        <v>0.39421958296586607</v>
      </c>
      <c r="N37" s="260">
        <f t="shared" si="13"/>
        <v>0.38904672311429472</v>
      </c>
      <c r="O37" s="260">
        <f t="shared" si="13"/>
        <v>0.37913700582561799</v>
      </c>
      <c r="P37" s="260">
        <f t="shared" si="13"/>
        <v>0.37308638845914821</v>
      </c>
      <c r="Q37" s="260">
        <f t="shared" si="13"/>
        <v>0.40116023739274626</v>
      </c>
      <c r="R37" s="260">
        <f t="shared" si="13"/>
        <v>0.40407957119621457</v>
      </c>
      <c r="S37" s="260">
        <f t="shared" si="13"/>
        <v>0.39894374016280676</v>
      </c>
      <c r="T37" s="260">
        <f t="shared" si="13"/>
        <v>0.39553773400022935</v>
      </c>
      <c r="U37" s="260">
        <f t="shared" si="13"/>
        <v>0.37947463852649155</v>
      </c>
      <c r="V37" s="260">
        <f t="shared" si="13"/>
        <v>0.39688007055546137</v>
      </c>
      <c r="W37" s="260">
        <f t="shared" si="13"/>
        <v>0.41020150051098342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3.7214624775144027E-2</v>
      </c>
      <c r="C38" s="260">
        <f t="shared" si="14"/>
        <v>3.9736765423919657E-2</v>
      </c>
      <c r="D38" s="260">
        <f t="shared" si="14"/>
        <v>3.8273208586266844E-2</v>
      </c>
      <c r="E38" s="260">
        <f t="shared" si="14"/>
        <v>3.9861851248667479E-2</v>
      </c>
      <c r="F38" s="260">
        <f t="shared" si="14"/>
        <v>4.1161968839316471E-2</v>
      </c>
      <c r="G38" s="260">
        <f t="shared" si="14"/>
        <v>4.2136098062929818E-2</v>
      </c>
      <c r="H38" s="260">
        <f t="shared" si="14"/>
        <v>4.2917435056494896E-2</v>
      </c>
      <c r="I38" s="260">
        <f t="shared" si="14"/>
        <v>4.2697266910375065E-2</v>
      </c>
      <c r="J38" s="260">
        <f t="shared" si="14"/>
        <v>4.3387405727802017E-2</v>
      </c>
      <c r="K38" s="260">
        <f t="shared" si="14"/>
        <v>4.2877294109192138E-2</v>
      </c>
      <c r="L38" s="260">
        <f t="shared" si="14"/>
        <v>4.3509131867606597E-2</v>
      </c>
      <c r="M38" s="260">
        <f t="shared" si="14"/>
        <v>4.1436025526283296E-2</v>
      </c>
      <c r="N38" s="260">
        <f t="shared" si="14"/>
        <v>4.2887253103323288E-2</v>
      </c>
      <c r="O38" s="260">
        <f t="shared" si="14"/>
        <v>4.4617250107681292E-2</v>
      </c>
      <c r="P38" s="260">
        <f t="shared" si="14"/>
        <v>4.5373013406778004E-2</v>
      </c>
      <c r="Q38" s="260">
        <f t="shared" si="14"/>
        <v>4.2504721758611468E-2</v>
      </c>
      <c r="R38" s="260">
        <f t="shared" si="14"/>
        <v>4.2494623480908843E-2</v>
      </c>
      <c r="S38" s="260">
        <f t="shared" si="14"/>
        <v>4.157456651678567E-2</v>
      </c>
      <c r="T38" s="260">
        <f t="shared" si="14"/>
        <v>4.2887625432205728E-2</v>
      </c>
      <c r="U38" s="260">
        <f t="shared" si="14"/>
        <v>4.1281252918307129E-2</v>
      </c>
      <c r="V38" s="260">
        <f t="shared" si="14"/>
        <v>4.2021526136871899E-2</v>
      </c>
      <c r="W38" s="260">
        <f t="shared" si="14"/>
        <v>4.1076565532604511E-2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3.6404565637487271E-2</v>
      </c>
      <c r="C39" s="260">
        <f t="shared" si="15"/>
        <v>3.6283188257401316E-2</v>
      </c>
      <c r="D39" s="260">
        <f t="shared" si="15"/>
        <v>3.9886865388720869E-2</v>
      </c>
      <c r="E39" s="260">
        <f t="shared" si="15"/>
        <v>3.788664127788121E-2</v>
      </c>
      <c r="F39" s="260">
        <f t="shared" si="15"/>
        <v>3.3499428969258685E-2</v>
      </c>
      <c r="G39" s="260">
        <f t="shared" si="15"/>
        <v>3.1602892070769537E-2</v>
      </c>
      <c r="H39" s="260">
        <f t="shared" si="15"/>
        <v>3.3649709257656445E-2</v>
      </c>
      <c r="I39" s="260">
        <f t="shared" si="15"/>
        <v>3.3736342834487461E-2</v>
      </c>
      <c r="J39" s="260">
        <f t="shared" si="15"/>
        <v>3.1715044017032401E-2</v>
      </c>
      <c r="K39" s="260">
        <f t="shared" si="15"/>
        <v>3.2492384012580491E-2</v>
      </c>
      <c r="L39" s="260">
        <f t="shared" si="15"/>
        <v>2.9438249208286624E-2</v>
      </c>
      <c r="M39" s="260">
        <f t="shared" si="15"/>
        <v>2.7183853952313378E-2</v>
      </c>
      <c r="N39" s="260">
        <f t="shared" si="15"/>
        <v>2.7876783987615915E-2</v>
      </c>
      <c r="O39" s="260">
        <f t="shared" si="15"/>
        <v>2.7521178460117045E-2</v>
      </c>
      <c r="P39" s="260">
        <f t="shared" si="15"/>
        <v>2.8704442271427464E-2</v>
      </c>
      <c r="Q39" s="260">
        <f t="shared" si="15"/>
        <v>2.5490758527104172E-2</v>
      </c>
      <c r="R39" s="260">
        <f t="shared" si="15"/>
        <v>2.4873675255090009E-2</v>
      </c>
      <c r="S39" s="260">
        <f t="shared" si="15"/>
        <v>2.7060372758704432E-2</v>
      </c>
      <c r="T39" s="260">
        <f t="shared" si="15"/>
        <v>2.6148619884111733E-2</v>
      </c>
      <c r="U39" s="260">
        <f t="shared" si="15"/>
        <v>3.1532467731409351E-2</v>
      </c>
      <c r="V39" s="260">
        <f t="shared" si="15"/>
        <v>2.695273119020223E-2</v>
      </c>
      <c r="W39" s="260">
        <f t="shared" si="15"/>
        <v>2.5018069275557525E-2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5.2786620174356522E-2</v>
      </c>
      <c r="C40" s="262">
        <f t="shared" si="16"/>
        <v>5.2610622973231901E-2</v>
      </c>
      <c r="D40" s="262">
        <f t="shared" si="16"/>
        <v>5.7835954813645285E-2</v>
      </c>
      <c r="E40" s="262">
        <f t="shared" si="16"/>
        <v>5.4935629852927749E-2</v>
      </c>
      <c r="F40" s="262">
        <f t="shared" si="16"/>
        <v>4.8574172005425104E-2</v>
      </c>
      <c r="G40" s="262">
        <f t="shared" si="16"/>
        <v>4.582419350261583E-2</v>
      </c>
      <c r="H40" s="262">
        <f t="shared" si="16"/>
        <v>4.879207842360183E-2</v>
      </c>
      <c r="I40" s="262">
        <f t="shared" si="16"/>
        <v>4.8917697110006826E-2</v>
      </c>
      <c r="J40" s="262">
        <f t="shared" si="16"/>
        <v>4.5986813824696958E-2</v>
      </c>
      <c r="K40" s="262">
        <f t="shared" si="16"/>
        <v>4.7113956818241723E-2</v>
      </c>
      <c r="L40" s="262">
        <f t="shared" si="16"/>
        <v>4.2685461352015605E-2</v>
      </c>
      <c r="M40" s="262">
        <f t="shared" si="16"/>
        <v>3.9416588230854407E-2</v>
      </c>
      <c r="N40" s="262">
        <f t="shared" si="16"/>
        <v>4.0421336782043078E-2</v>
      </c>
      <c r="O40" s="262">
        <f t="shared" si="16"/>
        <v>3.9905708767169722E-2</v>
      </c>
      <c r="P40" s="262">
        <f t="shared" si="16"/>
        <v>4.1621441293569816E-2</v>
      </c>
      <c r="Q40" s="262">
        <f t="shared" si="16"/>
        <v>3.6961599864301052E-2</v>
      </c>
      <c r="R40" s="262">
        <f t="shared" si="16"/>
        <v>3.606682911988051E-2</v>
      </c>
      <c r="S40" s="262">
        <f t="shared" si="16"/>
        <v>3.9237540500121425E-2</v>
      </c>
      <c r="T40" s="262">
        <f t="shared" si="16"/>
        <v>3.7915498831962019E-2</v>
      </c>
      <c r="U40" s="262">
        <f t="shared" si="16"/>
        <v>4.5722078210543568E-2</v>
      </c>
      <c r="V40" s="262">
        <f t="shared" si="16"/>
        <v>3.908146022579323E-2</v>
      </c>
      <c r="W40" s="262">
        <f t="shared" si="16"/>
        <v>3.6276200449558434E-2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126.45888445910974</v>
      </c>
      <c r="C44" s="237">
        <f t="shared" si="17"/>
        <v>122.34803499436495</v>
      </c>
      <c r="D44" s="237">
        <f t="shared" si="17"/>
        <v>127.81056238438661</v>
      </c>
      <c r="E44" s="237">
        <f t="shared" si="17"/>
        <v>135.4328803289018</v>
      </c>
      <c r="F44" s="237">
        <f t="shared" si="17"/>
        <v>134.84363036747553</v>
      </c>
      <c r="G44" s="237">
        <f t="shared" si="17"/>
        <v>154.42655608236757</v>
      </c>
      <c r="H44" s="237">
        <f t="shared" si="17"/>
        <v>146.93020171673029</v>
      </c>
      <c r="I44" s="237">
        <f t="shared" si="17"/>
        <v>137.2385115226293</v>
      </c>
      <c r="J44" s="237">
        <f t="shared" si="17"/>
        <v>139.32723127138397</v>
      </c>
      <c r="K44" s="237">
        <f t="shared" si="17"/>
        <v>156.36023356757104</v>
      </c>
      <c r="L44" s="237">
        <f t="shared" si="17"/>
        <v>144.5858594059342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132.95020410976795</v>
      </c>
      <c r="P44" s="237">
        <f t="shared" si="17"/>
        <v>130.15939664117727</v>
      </c>
      <c r="Q44" s="237">
        <f t="shared" si="17"/>
        <v>132.91816907674803</v>
      </c>
      <c r="R44" s="237">
        <f t="shared" si="17"/>
        <v>135.38540863538165</v>
      </c>
      <c r="S44" s="237">
        <f t="shared" si="17"/>
        <v>124.90211009173737</v>
      </c>
      <c r="T44" s="237">
        <f t="shared" si="17"/>
        <v>141.27985612939975</v>
      </c>
      <c r="U44" s="237">
        <f t="shared" si="17"/>
        <v>142.0119845958406</v>
      </c>
      <c r="V44" s="237">
        <f t="shared" si="17"/>
        <v>148.62601044661258</v>
      </c>
      <c r="W44" s="237">
        <f t="shared" si="17"/>
        <v>142.54014154785784</v>
      </c>
      <c r="DA44" s="281"/>
    </row>
    <row r="45" spans="1:105" x14ac:dyDescent="0.25">
      <c r="A45" s="239" t="s">
        <v>125</v>
      </c>
      <c r="B45" s="248">
        <f>IF(B$6=0,0,B$6/AGR!B$5*1000)</f>
        <v>4.6036807597350808</v>
      </c>
      <c r="C45" s="248">
        <f>IF(C$6=0,0,C$6/AGR!C$5*1000)</f>
        <v>4.4391767866236673</v>
      </c>
      <c r="D45" s="248">
        <f>IF(D$6=0,0,D$6/AGR!D$5*1000)</f>
        <v>5.0979626970827399</v>
      </c>
      <c r="E45" s="248">
        <f>IF(E$6=0,0,E$6/AGR!E$5*1000)</f>
        <v>5.1310969542513165</v>
      </c>
      <c r="F45" s="248">
        <f>IF(F$6=0,0,F$6/AGR!F$5*1000)</f>
        <v>4.5171846174522194</v>
      </c>
      <c r="G45" s="248">
        <f>IF(G$6=0,0,G$6/AGR!G$5*1000)</f>
        <v>4.8803257847317028</v>
      </c>
      <c r="H45" s="248">
        <f>IF(H$6=0,0,H$6/AGR!H$5*1000)</f>
        <v>4.9441585689367864</v>
      </c>
      <c r="I45" s="248">
        <f>IF(I$6=0,0,I$6/AGR!I$5*1000)</f>
        <v>4.6299254748221799</v>
      </c>
      <c r="J45" s="248">
        <f>IF(J$6=0,0,J$6/AGR!J$5*1000)</f>
        <v>4.4187692725431962</v>
      </c>
      <c r="K45" s="248">
        <f>IF(K$6=0,0,K$6/AGR!K$5*1000)</f>
        <v>5.0805167533742956</v>
      </c>
      <c r="L45" s="248">
        <f>IF(L$6=0,0,L$6/AGR!L$5*1000)</f>
        <v>4.2563545611861819</v>
      </c>
      <c r="M45" s="248">
        <f>IF(M$6=0,0,M$6/AGR!M$5*1000)</f>
        <v>3.6100230340845307</v>
      </c>
      <c r="N45" s="248">
        <f>IF(N$6=0,0,N$6/AGR!N$5*1000)</f>
        <v>3.7645649300640787</v>
      </c>
      <c r="O45" s="248">
        <f>IF(O$6=0,0,O$6/AGR!O$5*1000)</f>
        <v>3.6589462936139103</v>
      </c>
      <c r="P45" s="248">
        <f>IF(P$6=0,0,P$6/AGR!P$5*1000)</f>
        <v>3.7361528869705021</v>
      </c>
      <c r="Q45" s="248">
        <f>IF(Q$6=0,0,Q$6/AGR!Q$5*1000)</f>
        <v>3.3881849518001879</v>
      </c>
      <c r="R45" s="248">
        <f>IF(R$6=0,0,R$6/AGR!R$5*1000)</f>
        <v>3.3675326886741419</v>
      </c>
      <c r="S45" s="248">
        <f>IF(S$6=0,0,S$6/AGR!S$5*1000)</f>
        <v>3.3798976574311523</v>
      </c>
      <c r="T45" s="248">
        <f>IF(T$6=0,0,T$6/AGR!T$5*1000)</f>
        <v>3.6942732552096671</v>
      </c>
      <c r="U45" s="248">
        <f>IF(U$6=0,0,U$6/AGR!U$5*1000)</f>
        <v>4.477988321741746</v>
      </c>
      <c r="V45" s="248">
        <f>IF(V$6=0,0,V$6/AGR!V$5*1000)</f>
        <v>4.0058769074397365</v>
      </c>
      <c r="W45" s="248">
        <f>IF(W$6=0,0,W$6/AGR!W$5*1000)</f>
        <v>3.5660791357920836</v>
      </c>
      <c r="DA45" s="282"/>
    </row>
    <row r="46" spans="1:105" x14ac:dyDescent="0.25">
      <c r="A46" s="241" t="s">
        <v>124</v>
      </c>
      <c r="B46" s="249">
        <f>IF(B$7=0,0,B$7/AGR!B$5*1000)</f>
        <v>2.9923924938278015</v>
      </c>
      <c r="C46" s="249">
        <f>IF(C$7=0,0,C$7/AGR!C$5*1000)</f>
        <v>2.8854649113053834</v>
      </c>
      <c r="D46" s="249">
        <f>IF(D$7=0,0,D$7/AGR!D$5*1000)</f>
        <v>3.3136757531037819</v>
      </c>
      <c r="E46" s="249">
        <f>IF(E$7=0,0,E$7/AGR!E$5*1000)</f>
        <v>3.335213020263355</v>
      </c>
      <c r="F46" s="249">
        <f>IF(F$7=0,0,F$7/AGR!F$5*1000)</f>
        <v>2.936170001343942</v>
      </c>
      <c r="G46" s="249">
        <f>IF(G$7=0,0,G$7/AGR!G$5*1000)</f>
        <v>3.1722117600756055</v>
      </c>
      <c r="H46" s="249">
        <f>IF(H$7=0,0,H$7/AGR!H$5*1000)</f>
        <v>3.21370306980891</v>
      </c>
      <c r="I46" s="249">
        <f>IF(I$7=0,0,I$7/AGR!I$5*1000)</f>
        <v>3.0094515586344159</v>
      </c>
      <c r="J46" s="249">
        <f>IF(J$7=0,0,J$7/AGR!J$5*1000)</f>
        <v>2.8722000271530765</v>
      </c>
      <c r="K46" s="249">
        <f>IF(K$7=0,0,K$7/AGR!K$5*1000)</f>
        <v>3.3023358896932922</v>
      </c>
      <c r="L46" s="249">
        <f>IF(L$7=0,0,L$7/AGR!L$5*1000)</f>
        <v>2.7666304647710174</v>
      </c>
      <c r="M46" s="249">
        <f>IF(M$7=0,0,M$7/AGR!M$5*1000)</f>
        <v>2.3465149721549445</v>
      </c>
      <c r="N46" s="249">
        <f>IF(N$7=0,0,N$7/AGR!N$5*1000)</f>
        <v>2.4469672045416506</v>
      </c>
      <c r="O46" s="249">
        <f>IF(O$7=0,0,O$7/AGR!O$5*1000)</f>
        <v>2.3783150908490418</v>
      </c>
      <c r="P46" s="249">
        <f>IF(P$7=0,0,P$7/AGR!P$5*1000)</f>
        <v>2.428499376530826</v>
      </c>
      <c r="Q46" s="249">
        <f>IF(Q$7=0,0,Q$7/AGR!Q$5*1000)</f>
        <v>2.2023202186701218</v>
      </c>
      <c r="R46" s="249">
        <f>IF(R$7=0,0,R$7/AGR!R$5*1000)</f>
        <v>2.1888962476381923</v>
      </c>
      <c r="S46" s="249">
        <f>IF(S$7=0,0,S$7/AGR!S$5*1000)</f>
        <v>2.1969334773302478</v>
      </c>
      <c r="T46" s="249">
        <f>IF(T$7=0,0,T$7/AGR!T$5*1000)</f>
        <v>2.4012776158862823</v>
      </c>
      <c r="U46" s="249">
        <f>IF(U$7=0,0,U$7/AGR!U$5*1000)</f>
        <v>2.9106924091321345</v>
      </c>
      <c r="V46" s="249">
        <f>IF(V$7=0,0,V$7/AGR!V$5*1000)</f>
        <v>2.6038199898358272</v>
      </c>
      <c r="W46" s="249">
        <f>IF(W$7=0,0,W$7/AGR!W$5*1000)</f>
        <v>2.3179514382648532</v>
      </c>
      <c r="DA46" s="283"/>
    </row>
    <row r="47" spans="1:105" x14ac:dyDescent="0.25">
      <c r="A47" s="241" t="s">
        <v>123</v>
      </c>
      <c r="B47" s="249">
        <f>IF(B$8=0,0,B$8/AGR!B$5*1000)</f>
        <v>4.1433126837615726</v>
      </c>
      <c r="C47" s="249">
        <f>IF(C$8=0,0,C$8/AGR!C$5*1000)</f>
        <v>3.9952591079613007</v>
      </c>
      <c r="D47" s="249">
        <f>IF(D$8=0,0,D$8/AGR!D$5*1000)</f>
        <v>4.5881664273744658</v>
      </c>
      <c r="E47" s="249">
        <f>IF(E$8=0,0,E$8/AGR!E$5*1000)</f>
        <v>4.6179872588261857</v>
      </c>
      <c r="F47" s="249">
        <f>IF(F$8=0,0,F$8/AGR!F$5*1000)</f>
        <v>4.0654661557069964</v>
      </c>
      <c r="G47" s="249">
        <f>IF(G$8=0,0,G$8/AGR!G$5*1000)</f>
        <v>4.3922932062585316</v>
      </c>
      <c r="H47" s="249">
        <f>IF(H$8=0,0,H$8/AGR!H$5*1000)</f>
        <v>4.4497427120431068</v>
      </c>
      <c r="I47" s="249">
        <f>IF(I$8=0,0,I$8/AGR!I$5*1000)</f>
        <v>4.1669329273399587</v>
      </c>
      <c r="J47" s="249">
        <f>IF(J$8=0,0,J$8/AGR!J$5*1000)</f>
        <v>3.9768923452888765</v>
      </c>
      <c r="K47" s="249">
        <f>IF(K$8=0,0,K$8/AGR!K$5*1000)</f>
        <v>4.572465078036867</v>
      </c>
      <c r="L47" s="249">
        <f>IF(L$8=0,0,L$8/AGR!L$5*1000)</f>
        <v>3.8307191050675637</v>
      </c>
      <c r="M47" s="249">
        <f>IF(M$8=0,0,M$8/AGR!M$5*1000)</f>
        <v>3.2490207306760772</v>
      </c>
      <c r="N47" s="249">
        <f>IF(N$8=0,0,N$8/AGR!N$5*1000)</f>
        <v>3.38810843705767</v>
      </c>
      <c r="O47" s="249">
        <f>IF(O$8=0,0,O$8/AGR!O$5*1000)</f>
        <v>3.2930516642525185</v>
      </c>
      <c r="P47" s="249">
        <f>IF(P$8=0,0,P$8/AGR!P$5*1000)</f>
        <v>3.3625375982734504</v>
      </c>
      <c r="Q47" s="249">
        <f>IF(Q$8=0,0,Q$8/AGR!Q$5*1000)</f>
        <v>3.0493664566201693</v>
      </c>
      <c r="R47" s="249">
        <f>IF(R$8=0,0,R$8/AGR!R$5*1000)</f>
        <v>3.0307794198067279</v>
      </c>
      <c r="S47" s="249">
        <f>IF(S$8=0,0,S$8/AGR!S$5*1000)</f>
        <v>3.0419078916880369</v>
      </c>
      <c r="T47" s="249">
        <f>IF(T$8=0,0,T$8/AGR!T$5*1000)</f>
        <v>3.324845929688701</v>
      </c>
      <c r="U47" s="249">
        <f>IF(U$8=0,0,U$8/AGR!U$5*1000)</f>
        <v>4.0301894895675723</v>
      </c>
      <c r="V47" s="249">
        <f>IF(V$8=0,0,V$8/AGR!V$5*1000)</f>
        <v>3.6052892166957617</v>
      </c>
      <c r="W47" s="249">
        <f>IF(W$8=0,0,W$8/AGR!W$5*1000)</f>
        <v>3.209471222212875</v>
      </c>
      <c r="DA47" s="283"/>
    </row>
    <row r="48" spans="1:105" x14ac:dyDescent="0.25">
      <c r="A48" s="243" t="s">
        <v>122</v>
      </c>
      <c r="B48" s="250">
        <f>IF(B$9=0,0,B$9/AGR!B$5*1000)</f>
        <v>28.663353864422934</v>
      </c>
      <c r="C48" s="250">
        <f>IF(C$9=0,0,C$9/AGR!C$5*1000)</f>
        <v>27.152036675797859</v>
      </c>
      <c r="D48" s="250">
        <f>IF(D$9=0,0,D$9/AGR!D$5*1000)</f>
        <v>29.423645743450823</v>
      </c>
      <c r="E48" s="250">
        <f>IF(E$9=0,0,E$9/AGR!E$5*1000)</f>
        <v>30.578071587567774</v>
      </c>
      <c r="F48" s="250">
        <f>IF(F$9=0,0,F$9/AGR!F$5*1000)</f>
        <v>28.560867476079849</v>
      </c>
      <c r="G48" s="250">
        <f>IF(G$9=0,0,G$9/AGR!G$5*1000)</f>
        <v>32.708165189356421</v>
      </c>
      <c r="H48" s="250">
        <f>IF(H$9=0,0,H$9/AGR!H$5*1000)</f>
        <v>31.381715906446299</v>
      </c>
      <c r="I48" s="250">
        <f>IF(I$9=0,0,I$9/AGR!I$5*1000)</f>
        <v>29.650776200515978</v>
      </c>
      <c r="J48" s="250">
        <f>IF(J$9=0,0,J$9/AGR!J$5*1000)</f>
        <v>29.863673872215838</v>
      </c>
      <c r="K48" s="250">
        <f>IF(K$9=0,0,K$9/AGR!K$5*1000)</f>
        <v>33.313055448924082</v>
      </c>
      <c r="L48" s="250">
        <f>IF(L$9=0,0,L$9/AGR!L$5*1000)</f>
        <v>30.490866095139463</v>
      </c>
      <c r="M48" s="250">
        <f>IF(M$9=0,0,M$9/AGR!M$5*1000)</f>
        <v>28.258610166162235</v>
      </c>
      <c r="N48" s="250">
        <f>IF(N$9=0,0,N$9/AGR!N$5*1000)</f>
        <v>27.750670400924349</v>
      </c>
      <c r="O48" s="250">
        <f>IF(O$9=0,0,O$9/AGR!O$5*1000)</f>
        <v>27.447545364321403</v>
      </c>
      <c r="P48" s="250">
        <f>IF(P$9=0,0,P$9/AGR!P$5*1000)</f>
        <v>26.278574159720439</v>
      </c>
      <c r="Q48" s="250">
        <f>IF(Q$9=0,0,Q$9/AGR!Q$5*1000)</f>
        <v>27.605096611469804</v>
      </c>
      <c r="R48" s="250">
        <f>IF(R$9=0,0,R$9/AGR!R$5*1000)</f>
        <v>28.148472080893573</v>
      </c>
      <c r="S48" s="250">
        <f>IF(S$9=0,0,S$9/AGR!S$5*1000)</f>
        <v>25.957662092609944</v>
      </c>
      <c r="T48" s="250">
        <f>IF(T$9=0,0,T$9/AGR!T$5*1000)</f>
        <v>29.335709011287218</v>
      </c>
      <c r="U48" s="250">
        <f>IF(U$9=0,0,U$9/AGR!U$5*1000)</f>
        <v>29.361319262200283</v>
      </c>
      <c r="V48" s="250">
        <f>IF(V$9=0,0,V$9/AGR!V$5*1000)</f>
        <v>30.862632346212912</v>
      </c>
      <c r="W48" s="250">
        <f>IF(W$9=0,0,W$9/AGR!W$5*1000)</f>
        <v>29.914532286768381</v>
      </c>
      <c r="DA48" s="284"/>
    </row>
    <row r="49" spans="1:105" x14ac:dyDescent="0.25">
      <c r="A49" s="128" t="s">
        <v>175</v>
      </c>
      <c r="B49" s="263">
        <f>IF(B$16=0,0,B$16/AGR!B$5*1000)</f>
        <v>24.490844832985207</v>
      </c>
      <c r="C49" s="263">
        <f>IF(C$16=0,0,C$16/AGR!C$5*1000)</f>
        <v>25.3005689235471</v>
      </c>
      <c r="D49" s="263">
        <f>IF(D$16=0,0,D$16/AGR!D$5*1000)</f>
        <v>25.45671696269493</v>
      </c>
      <c r="E49" s="263">
        <f>IF(E$16=0,0,E$16/AGR!E$5*1000)</f>
        <v>28.094567772269631</v>
      </c>
      <c r="F49" s="263">
        <f>IF(F$16=0,0,F$16/AGR!F$5*1000)</f>
        <v>28.884666117596566</v>
      </c>
      <c r="G49" s="263">
        <f>IF(G$16=0,0,G$16/AGR!G$5*1000)</f>
        <v>33.862348743678581</v>
      </c>
      <c r="H49" s="263">
        <f>IF(H$16=0,0,H$16/AGR!H$5*1000)</f>
        <v>32.815997452564481</v>
      </c>
      <c r="I49" s="263">
        <f>IF(I$16=0,0,I$16/AGR!I$5*1000)</f>
        <v>30.494172400786102</v>
      </c>
      <c r="J49" s="263">
        <f>IF(J$16=0,0,J$16/AGR!J$5*1000)</f>
        <v>31.458677825274172</v>
      </c>
      <c r="K49" s="263">
        <f>IF(K$16=0,0,K$16/AGR!K$5*1000)</f>
        <v>34.889476775158052</v>
      </c>
      <c r="L49" s="263">
        <f>IF(L$16=0,0,L$16/AGR!L$5*1000)</f>
        <v>32.737613306327084</v>
      </c>
      <c r="M49" s="263">
        <f>IF(M$16=0,0,M$16/AGR!M$5*1000)</f>
        <v>28.636359936225816</v>
      </c>
      <c r="N49" s="263">
        <f>IF(N$16=0,0,N$16/AGR!N$5*1000)</f>
        <v>30.139852946218891</v>
      </c>
      <c r="O49" s="263">
        <f>IF(O$16=0,0,O$16/AGR!O$5*1000)</f>
        <v>30.869712458662018</v>
      </c>
      <c r="P49" s="263">
        <f>IF(P$16=0,0,P$16/AGR!P$5*1000)</f>
        <v>30.73363478090743</v>
      </c>
      <c r="Q49" s="263">
        <f>IF(Q$16=0,0,Q$16/AGR!Q$5*1000)</f>
        <v>29.401013652368611</v>
      </c>
      <c r="R49" s="263">
        <f>IF(R$16=0,0,R$16/AGR!R$5*1000)</f>
        <v>29.93964327873854</v>
      </c>
      <c r="S49" s="263">
        <f>IF(S$16=0,0,S$16/AGR!S$5*1000)</f>
        <v>27.023293673651462</v>
      </c>
      <c r="T49" s="263">
        <f>IF(T$16=0,0,T$16/AGR!T$5*1000)</f>
        <v>31.532109137969403</v>
      </c>
      <c r="U49" s="263">
        <f>IF(U$16=0,0,U$16/AGR!U$5*1000)</f>
        <v>30.508344550463658</v>
      </c>
      <c r="V49" s="263">
        <f>IF(V$16=0,0,V$16/AGR!V$5*1000)</f>
        <v>32.501800268171316</v>
      </c>
      <c r="W49" s="263">
        <f>IF(W$16=0,0,W$16/AGR!W$5*1000)</f>
        <v>30.469974170832497</v>
      </c>
      <c r="DA49" s="285"/>
    </row>
    <row r="50" spans="1:105" x14ac:dyDescent="0.25">
      <c r="A50" s="128" t="s">
        <v>121</v>
      </c>
      <c r="B50" s="263">
        <f>IF(B$17=0,0,B$17/AGR!B$5*1000)</f>
        <v>45.58016202839714</v>
      </c>
      <c r="C50" s="263">
        <f>IF(C$17=0,0,C$17/AGR!C$5*1000)</f>
        <v>42.837830295253056</v>
      </c>
      <c r="D50" s="263">
        <f>IF(D$17=0,0,D$17/AGR!D$5*1000)</f>
        <v>42.548665879161469</v>
      </c>
      <c r="E50" s="263">
        <f>IF(E$17=0,0,E$17/AGR!E$5*1000)</f>
        <v>45.706150867958542</v>
      </c>
      <c r="F50" s="263">
        <f>IF(F$17=0,0,F$17/AGR!F$5*1000)</f>
        <v>49.261744375171681</v>
      </c>
      <c r="G50" s="263">
        <f>IF(G$17=0,0,G$17/AGR!G$5*1000)</f>
        <v>56.947480715066895</v>
      </c>
      <c r="H50" s="263">
        <f>IF(H$17=0,0,H$17/AGR!H$5*1000)</f>
        <v>51.705828123020083</v>
      </c>
      <c r="I50" s="263">
        <f>IF(I$17=0,0,I$17/AGR!I$5*1000)</f>
        <v>48.084226190352048</v>
      </c>
      <c r="J50" s="263">
        <f>IF(J$17=0,0,J$17/AGR!J$5*1000)</f>
        <v>49.865986099075144</v>
      </c>
      <c r="K50" s="263">
        <f>IF(K$17=0,0,K$17/AGR!K$5*1000)</f>
        <v>56.050813854958669</v>
      </c>
      <c r="L50" s="263">
        <f>IF(L$17=0,0,L$17/AGR!L$5*1000)</f>
        <v>53.784801975452723</v>
      </c>
      <c r="M50" s="263">
        <f>IF(M$17=0,0,M$17/AGR!M$5*1000)</f>
        <v>52.352465455799098</v>
      </c>
      <c r="N50" s="263">
        <f>IF(N$17=0,0,N$17/AGR!N$5*1000)</f>
        <v>52.538042072681677</v>
      </c>
      <c r="O50" s="263">
        <f>IF(O$17=0,0,O$17/AGR!O$5*1000)</f>
        <v>50.406342310082188</v>
      </c>
      <c r="P50" s="263">
        <f>IF(P$17=0,0,P$17/AGR!P$5*1000)</f>
        <v>48.560699216878611</v>
      </c>
      <c r="Q50" s="263">
        <f>IF(Q$17=0,0,Q$17/AGR!Q$5*1000)</f>
        <v>53.321484260637419</v>
      </c>
      <c r="R50" s="263">
        <f>IF(R$17=0,0,R$17/AGR!R$5*1000)</f>
        <v>54.706477867609308</v>
      </c>
      <c r="S50" s="263">
        <f>IF(S$17=0,0,S$17/AGR!S$5*1000)</f>
        <v>49.828914954224366</v>
      </c>
      <c r="T50" s="263">
        <f>IF(T$17=0,0,T$17/AGR!T$5*1000)</f>
        <v>55.88151415330119</v>
      </c>
      <c r="U50" s="263">
        <f>IF(U$17=0,0,U$17/AGR!U$5*1000)</f>
        <v>53.889946520936292</v>
      </c>
      <c r="V50" s="263">
        <f>IF(V$17=0,0,V$17/AGR!V$5*1000)</f>
        <v>58.986701512428326</v>
      </c>
      <c r="W50" s="263">
        <f>IF(W$17=0,0,W$17/AGR!W$5*1000)</f>
        <v>58.470179945979268</v>
      </c>
      <c r="DA50" s="285"/>
    </row>
    <row r="51" spans="1:105" x14ac:dyDescent="0.25">
      <c r="A51" s="128" t="s">
        <v>174</v>
      </c>
      <c r="B51" s="263">
        <f>IF(B$25=0,0,B$25/AGR!B$5*1000)</f>
        <v>4.7061199346290623</v>
      </c>
      <c r="C51" s="263">
        <f>IF(C$25=0,0,C$25/AGR!C$5*1000)</f>
        <v>4.861715166648592</v>
      </c>
      <c r="D51" s="263">
        <f>IF(D$25=0,0,D$25/AGR!D$5*1000)</f>
        <v>4.8917203136657008</v>
      </c>
      <c r="E51" s="263">
        <f>IF(E$25=0,0,E$25/AGR!E$5*1000)</f>
        <v>5.3986053298492687</v>
      </c>
      <c r="F51" s="263">
        <f>IF(F$25=0,0,F$25/AGR!F$5*1000)</f>
        <v>5.5504293113663357</v>
      </c>
      <c r="G51" s="263">
        <f>IF(G$25=0,0,G$25/AGR!G$5*1000)</f>
        <v>6.5069325106071716</v>
      </c>
      <c r="H51" s="263">
        <f>IF(H$25=0,0,H$25/AGR!H$5*1000)</f>
        <v>6.3058673900154663</v>
      </c>
      <c r="I51" s="263">
        <f>IF(I$25=0,0,I$25/AGR!I$5*1000)</f>
        <v>5.8597093568642871</v>
      </c>
      <c r="J51" s="263">
        <f>IF(J$25=0,0,J$25/AGR!J$5*1000)</f>
        <v>6.0450471121028411</v>
      </c>
      <c r="K51" s="263">
        <f>IF(K$25=0,0,K$25/AGR!K$5*1000)</f>
        <v>6.7043037216587198</v>
      </c>
      <c r="L51" s="263">
        <f>IF(L$25=0,0,L$25/AGR!L$5*1000)</f>
        <v>6.2908052230840168</v>
      </c>
      <c r="M51" s="263">
        <f>IF(M$25=0,0,M$25/AGR!M$5*1000)</f>
        <v>5.5027152093004617</v>
      </c>
      <c r="N51" s="263">
        <f>IF(N$25=0,0,N$25/AGR!N$5*1000)</f>
        <v>5.7916239208682265</v>
      </c>
      <c r="O51" s="263">
        <f>IF(O$25=0,0,O$25/AGR!O$5*1000)</f>
        <v>5.931872508632793</v>
      </c>
      <c r="P51" s="263">
        <f>IF(P$25=0,0,P$25/AGR!P$5*1000)</f>
        <v>5.9057240488182714</v>
      </c>
      <c r="Q51" s="263">
        <f>IF(Q$25=0,0,Q$25/AGR!Q$5*1000)</f>
        <v>5.6496497932712488</v>
      </c>
      <c r="R51" s="263">
        <f>IF(R$25=0,0,R$25/AGR!R$5*1000)</f>
        <v>5.7531519647695282</v>
      </c>
      <c r="S51" s="263">
        <f>IF(S$25=0,0,S$25/AGR!S$5*1000)</f>
        <v>5.1927510840958231</v>
      </c>
      <c r="T51" s="263">
        <f>IF(T$25=0,0,T$25/AGR!T$5*1000)</f>
        <v>6.0591575507936115</v>
      </c>
      <c r="U51" s="263">
        <f>IF(U$25=0,0,U$25/AGR!U$5*1000)</f>
        <v>5.8624326535316307</v>
      </c>
      <c r="V51" s="263">
        <f>IF(V$25=0,0,V$25/AGR!V$5*1000)</f>
        <v>6.2454917826013254</v>
      </c>
      <c r="W51" s="263">
        <f>IF(W$25=0,0,W$25/AGR!W$5*1000)</f>
        <v>5.8550594653173063</v>
      </c>
      <c r="DA51" s="285"/>
    </row>
    <row r="52" spans="1:105" x14ac:dyDescent="0.25">
      <c r="A52" s="128" t="s">
        <v>177</v>
      </c>
      <c r="B52" s="263">
        <f>IF(B$26=0,0,B$26/AGR!B$5*1000)</f>
        <v>4.6036807597350808</v>
      </c>
      <c r="C52" s="263">
        <f>IF(C$26=0,0,C$26/AGR!C$5*1000)</f>
        <v>4.4391767866236673</v>
      </c>
      <c r="D52" s="263">
        <f>IF(D$26=0,0,D$26/AGR!D$5*1000)</f>
        <v>5.0979626970827399</v>
      </c>
      <c r="E52" s="263">
        <f>IF(E$26=0,0,E$26/AGR!E$5*1000)</f>
        <v>5.1310969542513165</v>
      </c>
      <c r="F52" s="263">
        <f>IF(F$26=0,0,F$26/AGR!F$5*1000)</f>
        <v>4.5171846174522194</v>
      </c>
      <c r="G52" s="263">
        <f>IF(G$26=0,0,G$26/AGR!G$5*1000)</f>
        <v>4.8803257847317028</v>
      </c>
      <c r="H52" s="263">
        <f>IF(H$26=0,0,H$26/AGR!H$5*1000)</f>
        <v>4.9441585689367864</v>
      </c>
      <c r="I52" s="263">
        <f>IF(I$26=0,0,I$26/AGR!I$5*1000)</f>
        <v>4.6299254748221799</v>
      </c>
      <c r="J52" s="263">
        <f>IF(J$26=0,0,J$26/AGR!J$5*1000)</f>
        <v>4.4187692725431962</v>
      </c>
      <c r="K52" s="263">
        <f>IF(K$26=0,0,K$26/AGR!K$5*1000)</f>
        <v>5.0805167533742956</v>
      </c>
      <c r="L52" s="263">
        <f>IF(L$26=0,0,L$26/AGR!L$5*1000)</f>
        <v>4.2563545611861819</v>
      </c>
      <c r="M52" s="263">
        <f>IF(M$26=0,0,M$26/AGR!M$5*1000)</f>
        <v>3.6100230340845307</v>
      </c>
      <c r="N52" s="263">
        <f>IF(N$26=0,0,N$26/AGR!N$5*1000)</f>
        <v>3.7645649300640787</v>
      </c>
      <c r="O52" s="263">
        <f>IF(O$26=0,0,O$26/AGR!O$5*1000)</f>
        <v>3.6589462936139103</v>
      </c>
      <c r="P52" s="263">
        <f>IF(P$26=0,0,P$26/AGR!P$5*1000)</f>
        <v>3.7361528869705021</v>
      </c>
      <c r="Q52" s="263">
        <f>IF(Q$26=0,0,Q$26/AGR!Q$5*1000)</f>
        <v>3.3881849518001879</v>
      </c>
      <c r="R52" s="263">
        <f>IF(R$26=0,0,R$26/AGR!R$5*1000)</f>
        <v>3.3675326886741419</v>
      </c>
      <c r="S52" s="263">
        <f>IF(S$26=0,0,S$26/AGR!S$5*1000)</f>
        <v>3.3798976574311523</v>
      </c>
      <c r="T52" s="263">
        <f>IF(T$26=0,0,T$26/AGR!T$5*1000)</f>
        <v>3.6942732552096671</v>
      </c>
      <c r="U52" s="263">
        <f>IF(U$26=0,0,U$26/AGR!U$5*1000)</f>
        <v>4.477988321741746</v>
      </c>
      <c r="V52" s="263">
        <f>IF(V$26=0,0,V$26/AGR!V$5*1000)</f>
        <v>4.0058769074397365</v>
      </c>
      <c r="W52" s="263">
        <f>IF(W$26=0,0,W$26/AGR!W$5*1000)</f>
        <v>3.5660791357920836</v>
      </c>
      <c r="DA52" s="285"/>
    </row>
    <row r="53" spans="1:105" x14ac:dyDescent="0.25">
      <c r="A53" s="261" t="s">
        <v>33</v>
      </c>
      <c r="B53" s="264">
        <f>IF(B$27=0,0,B$27/AGR!B$5*1000)</f>
        <v>6.675337101615864</v>
      </c>
      <c r="C53" s="264">
        <f>IF(C$27=0,0,C$27/AGR!C$5*1000)</f>
        <v>6.436806340604317</v>
      </c>
      <c r="D53" s="264">
        <f>IF(D$27=0,0,D$27/AGR!D$5*1000)</f>
        <v>7.3920459107699763</v>
      </c>
      <c r="E53" s="264">
        <f>IF(E$27=0,0,E$27/AGR!E$5*1000)</f>
        <v>7.4400905836644098</v>
      </c>
      <c r="F53" s="264">
        <f>IF(F$27=0,0,F$27/AGR!F$5*1000)</f>
        <v>6.5499176953057194</v>
      </c>
      <c r="G53" s="264">
        <f>IF(G$27=0,0,G$27/AGR!G$5*1000)</f>
        <v>7.0764723878609672</v>
      </c>
      <c r="H53" s="264">
        <f>IF(H$27=0,0,H$27/AGR!H$5*1000)</f>
        <v>7.1690299249583385</v>
      </c>
      <c r="I53" s="264">
        <f>IF(I$27=0,0,I$27/AGR!I$5*1000)</f>
        <v>6.7133919384921619</v>
      </c>
      <c r="J53" s="264">
        <f>IF(J$27=0,0,J$27/AGR!J$5*1000)</f>
        <v>6.4072154451876315</v>
      </c>
      <c r="K53" s="264">
        <f>IF(K$27=0,0,K$27/AGR!K$5*1000)</f>
        <v>7.3667492923927309</v>
      </c>
      <c r="L53" s="264">
        <f>IF(L$27=0,0,L$27/AGR!L$5*1000)</f>
        <v>6.1717141137199647</v>
      </c>
      <c r="M53" s="264">
        <f>IF(M$27=0,0,M$27/AGR!M$5*1000)</f>
        <v>5.2345333994225705</v>
      </c>
      <c r="N53" s="264">
        <f>IF(N$27=0,0,N$27/AGR!N$5*1000)</f>
        <v>5.4586191485929136</v>
      </c>
      <c r="O53" s="264">
        <f>IF(O$27=0,0,O$27/AGR!O$5*1000)</f>
        <v>5.3054721257401711</v>
      </c>
      <c r="P53" s="264">
        <f>IF(P$27=0,0,P$27/AGR!P$5*1000)</f>
        <v>5.417421686107228</v>
      </c>
      <c r="Q53" s="264">
        <f>IF(Q$27=0,0,Q$27/AGR!Q$5*1000)</f>
        <v>4.9128681801102729</v>
      </c>
      <c r="R53" s="264">
        <f>IF(R$27=0,0,R$27/AGR!R$5*1000)</f>
        <v>4.8829223985775059</v>
      </c>
      <c r="S53" s="264">
        <f>IF(S$27=0,0,S$27/AGR!S$5*1000)</f>
        <v>4.9008516032751714</v>
      </c>
      <c r="T53" s="264">
        <f>IF(T$27=0,0,T$27/AGR!T$5*1000)</f>
        <v>5.356696220054018</v>
      </c>
      <c r="U53" s="264">
        <f>IF(U$27=0,0,U$27/AGR!U$5*1000)</f>
        <v>6.4930830665255312</v>
      </c>
      <c r="V53" s="264">
        <f>IF(V$27=0,0,V$27/AGR!V$5*1000)</f>
        <v>5.8085215157876169</v>
      </c>
      <c r="W53" s="264">
        <f>IF(W$27=0,0,W$27/AGR!W$5*1000)</f>
        <v>5.1708147468985244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84.77389560423029</v>
      </c>
      <c r="C5" s="80">
        <f t="shared" ref="C5:W5" si="1">SUM(C6:C9,C16:C17,C25:C27)</f>
        <v>73.750916954613714</v>
      </c>
      <c r="D5" s="80">
        <f t="shared" si="1"/>
        <v>62.471412838375429</v>
      </c>
      <c r="E5" s="80">
        <f t="shared" si="1"/>
        <v>65.562127081984968</v>
      </c>
      <c r="F5" s="80">
        <f t="shared" si="1"/>
        <v>64.221820048833138</v>
      </c>
      <c r="G5" s="80">
        <f t="shared" si="1"/>
        <v>65.103261343660037</v>
      </c>
      <c r="H5" s="80">
        <f t="shared" si="1"/>
        <v>56.603189559644235</v>
      </c>
      <c r="I5" s="80">
        <f t="shared" si="1"/>
        <v>54.563350447216941</v>
      </c>
      <c r="J5" s="80">
        <f t="shared" si="1"/>
        <v>55.552530149072751</v>
      </c>
      <c r="K5" s="80">
        <f t="shared" si="1"/>
        <v>51.405081070336244</v>
      </c>
      <c r="L5" s="80">
        <f t="shared" si="1"/>
        <v>52.413486669254048</v>
      </c>
      <c r="M5" s="80">
        <f t="shared" si="1"/>
        <v>60.895322451105756</v>
      </c>
      <c r="N5" s="80">
        <f t="shared" si="1"/>
        <v>55.032452692710194</v>
      </c>
      <c r="O5" s="80">
        <f t="shared" si="1"/>
        <v>50.359006116813084</v>
      </c>
      <c r="P5" s="80">
        <f t="shared" si="1"/>
        <v>52.50465332735395</v>
      </c>
      <c r="Q5" s="80">
        <f t="shared" si="1"/>
        <v>57.237861950699674</v>
      </c>
      <c r="R5" s="80">
        <f t="shared" si="1"/>
        <v>56.485891596841505</v>
      </c>
      <c r="S5" s="80">
        <f t="shared" si="1"/>
        <v>54.686637614143507</v>
      </c>
      <c r="T5" s="80">
        <f t="shared" si="1"/>
        <v>50.686509901945428</v>
      </c>
      <c r="U5" s="80">
        <f t="shared" si="1"/>
        <v>50.600983017893796</v>
      </c>
      <c r="V5" s="80">
        <f t="shared" si="1"/>
        <v>50.577968956105792</v>
      </c>
      <c r="W5" s="80">
        <f t="shared" si="1"/>
        <v>50.32897765840255</v>
      </c>
      <c r="DA5" s="103"/>
    </row>
    <row r="6" spans="1:105" x14ac:dyDescent="0.25">
      <c r="A6" s="239" t="s">
        <v>125</v>
      </c>
      <c r="B6" s="240">
        <v>3.3789873233997381</v>
      </c>
      <c r="C6" s="240">
        <v>2.9442112813067691</v>
      </c>
      <c r="D6" s="240">
        <v>2.6720448245285371</v>
      </c>
      <c r="E6" s="240">
        <v>2.704013235315275</v>
      </c>
      <c r="F6" s="240">
        <v>2.4297851988983719</v>
      </c>
      <c r="G6" s="240">
        <v>2.343013319740447</v>
      </c>
      <c r="H6" s="240">
        <v>2.1442366422781811</v>
      </c>
      <c r="I6" s="240">
        <v>2.0680446597098192</v>
      </c>
      <c r="J6" s="240">
        <v>2.002023510141437</v>
      </c>
      <c r="K6" s="240">
        <v>1.8941440887483241</v>
      </c>
      <c r="L6" s="240">
        <v>1.77710389920269</v>
      </c>
      <c r="M6" s="240">
        <v>1.921447969717746</v>
      </c>
      <c r="N6" s="240">
        <v>1.793287286992113</v>
      </c>
      <c r="O6" s="240">
        <v>1.6171378025030461</v>
      </c>
      <c r="P6" s="240">
        <v>1.7658592723495581</v>
      </c>
      <c r="Q6" s="240">
        <v>1.7177364802705259</v>
      </c>
      <c r="R6" s="240">
        <v>1.6588274832091801</v>
      </c>
      <c r="S6" s="240">
        <v>1.729544267659247</v>
      </c>
      <c r="T6" s="240">
        <v>1.5555271106203981</v>
      </c>
      <c r="U6" s="240">
        <v>1.828871583016163</v>
      </c>
      <c r="V6" s="240">
        <v>1.5927291704792179</v>
      </c>
      <c r="W6" s="240">
        <v>1.4777552363670741</v>
      </c>
      <c r="DA6" s="268" t="s">
        <v>1014</v>
      </c>
    </row>
    <row r="7" spans="1:105" x14ac:dyDescent="0.25">
      <c r="A7" s="241" t="s">
        <v>124</v>
      </c>
      <c r="B7" s="242">
        <v>2.1779537975984189</v>
      </c>
      <c r="C7" s="242">
        <v>1.8977153588733939</v>
      </c>
      <c r="D7" s="242">
        <v>1.722288252647187</v>
      </c>
      <c r="E7" s="242">
        <v>1.742893752168893</v>
      </c>
      <c r="F7" s="242">
        <v>1.56613783799718</v>
      </c>
      <c r="G7" s="242">
        <v>1.5102083166201621</v>
      </c>
      <c r="H7" s="242">
        <v>1.382085190334694</v>
      </c>
      <c r="I7" s="242">
        <v>1.3329750274666221</v>
      </c>
      <c r="J7" s="242">
        <v>1.2904205578394321</v>
      </c>
      <c r="K7" s="242">
        <v>1.2208859982159741</v>
      </c>
      <c r="L7" s="242">
        <v>1.1454467908749759</v>
      </c>
      <c r="M7" s="242">
        <v>1.238484937056235</v>
      </c>
      <c r="N7" s="242">
        <v>1.155877925271338</v>
      </c>
      <c r="O7" s="242">
        <v>1.042339340491456</v>
      </c>
      <c r="P7" s="242">
        <v>1.1381989750611201</v>
      </c>
      <c r="Q7" s="242">
        <v>1.1071810375170059</v>
      </c>
      <c r="R7" s="242">
        <v>1.0692107637092361</v>
      </c>
      <c r="S7" s="242">
        <v>1.1147918430404271</v>
      </c>
      <c r="T7" s="242">
        <v>1.0026276672841501</v>
      </c>
      <c r="U7" s="242">
        <v>1.178814073070338</v>
      </c>
      <c r="V7" s="242">
        <v>1.0266065579378381</v>
      </c>
      <c r="W7" s="242">
        <v>0.95249917236397608</v>
      </c>
      <c r="DA7" s="269" t="s">
        <v>1015</v>
      </c>
    </row>
    <row r="8" spans="1:105" x14ac:dyDescent="0.25">
      <c r="A8" s="241" t="s">
        <v>123</v>
      </c>
      <c r="B8" s="242">
        <v>4.3280999873414654</v>
      </c>
      <c r="C8" s="242">
        <v>3.771201129139877</v>
      </c>
      <c r="D8" s="242">
        <v>3.4225867292043848</v>
      </c>
      <c r="E8" s="242">
        <v>3.46353464201934</v>
      </c>
      <c r="F8" s="242">
        <v>3.1122795921038229</v>
      </c>
      <c r="G8" s="242">
        <v>3.0011346444787601</v>
      </c>
      <c r="H8" s="242">
        <v>2.7465242382039579</v>
      </c>
      <c r="I8" s="242">
        <v>2.6489309396123981</v>
      </c>
      <c r="J8" s="242">
        <v>2.5643653259350789</v>
      </c>
      <c r="K8" s="242">
        <v>2.42618400778318</v>
      </c>
      <c r="L8" s="242">
        <v>2.276268783365814</v>
      </c>
      <c r="M8" s="242">
        <v>2.4611571863031951</v>
      </c>
      <c r="N8" s="242">
        <v>2.2969978698591218</v>
      </c>
      <c r="O8" s="242">
        <v>2.071370334559504</v>
      </c>
      <c r="P8" s="242">
        <v>2.261865690165767</v>
      </c>
      <c r="Q8" s="242">
        <v>2.2002258448944532</v>
      </c>
      <c r="R8" s="242">
        <v>2.1247700929092761</v>
      </c>
      <c r="S8" s="242">
        <v>2.2153502829453879</v>
      </c>
      <c r="T8" s="242">
        <v>1.992454017558027</v>
      </c>
      <c r="U8" s="242">
        <v>2.3425773220531871</v>
      </c>
      <c r="V8" s="242">
        <v>2.0401056419630659</v>
      </c>
      <c r="W8" s="242">
        <v>1.892837056689211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32.008166219587295</v>
      </c>
      <c r="C9" s="244">
        <f t="shared" ref="C9:W9" si="3">SUM(C10:C15)</f>
        <v>27.164971652056252</v>
      </c>
      <c r="D9" s="244">
        <f t="shared" si="3"/>
        <v>23.923501453703899</v>
      </c>
      <c r="E9" s="244">
        <f t="shared" si="3"/>
        <v>24.548162167464106</v>
      </c>
      <c r="F9" s="244">
        <f t="shared" si="3"/>
        <v>22.803202993805122</v>
      </c>
      <c r="G9" s="244">
        <f t="shared" si="3"/>
        <v>22.942899380389186</v>
      </c>
      <c r="H9" s="244">
        <f t="shared" si="3"/>
        <v>20.032080958476332</v>
      </c>
      <c r="I9" s="244">
        <f t="shared" si="3"/>
        <v>19.522276713751854</v>
      </c>
      <c r="J9" s="244">
        <f t="shared" si="3"/>
        <v>19.682044590332879</v>
      </c>
      <c r="K9" s="244">
        <f t="shared" si="3"/>
        <v>18.181345766698112</v>
      </c>
      <c r="L9" s="244">
        <f t="shared" si="3"/>
        <v>18.314835489860528</v>
      </c>
      <c r="M9" s="244">
        <f t="shared" si="3"/>
        <v>21.579503511520826</v>
      </c>
      <c r="N9" s="244">
        <f t="shared" si="3"/>
        <v>18.914622618231228</v>
      </c>
      <c r="O9" s="244">
        <f t="shared" si="3"/>
        <v>17.220572672253791</v>
      </c>
      <c r="P9" s="244">
        <f t="shared" si="3"/>
        <v>17.645023980120754</v>
      </c>
      <c r="Q9" s="244">
        <f t="shared" si="3"/>
        <v>19.866712591594897</v>
      </c>
      <c r="R9" s="244">
        <f t="shared" si="3"/>
        <v>19.649313368641927</v>
      </c>
      <c r="S9" s="244">
        <f t="shared" si="3"/>
        <v>19.023429695293128</v>
      </c>
      <c r="T9" s="244">
        <f t="shared" si="3"/>
        <v>17.560106931857984</v>
      </c>
      <c r="U9" s="244">
        <f t="shared" si="3"/>
        <v>17.573217492633862</v>
      </c>
      <c r="V9" s="244">
        <f t="shared" si="3"/>
        <v>17.545775422879942</v>
      </c>
      <c r="W9" s="244">
        <f t="shared" si="3"/>
        <v>17.65417809678264</v>
      </c>
      <c r="DA9" s="270"/>
    </row>
    <row r="10" spans="1:105" x14ac:dyDescent="0.25">
      <c r="A10" s="254" t="s">
        <v>173</v>
      </c>
      <c r="B10" s="255">
        <v>4.5327481913164247</v>
      </c>
      <c r="C10" s="255">
        <v>5.0624947716385051</v>
      </c>
      <c r="D10" s="255">
        <v>3.641043468043248</v>
      </c>
      <c r="E10" s="255">
        <v>4.5926699594668543</v>
      </c>
      <c r="F10" s="255">
        <v>5.6064092390825566</v>
      </c>
      <c r="G10" s="255">
        <v>6.0637266126885514</v>
      </c>
      <c r="H10" s="255">
        <v>5.6279754360221563</v>
      </c>
      <c r="I10" s="255">
        <v>5.3078298237600734</v>
      </c>
      <c r="J10" s="255">
        <v>5.7756520075238074</v>
      </c>
      <c r="K10" s="255">
        <v>5.1560847283177713</v>
      </c>
      <c r="L10" s="255">
        <v>5.5762344069715644</v>
      </c>
      <c r="M10" s="255">
        <v>5.1735437928367309</v>
      </c>
      <c r="N10" s="255">
        <v>5.7133962773265754</v>
      </c>
      <c r="O10" s="255">
        <v>5.9548887980448129</v>
      </c>
      <c r="P10" s="255">
        <v>7.2495793949128133</v>
      </c>
      <c r="Q10" s="255">
        <v>5.5615444201869719</v>
      </c>
      <c r="R10" s="255">
        <v>5.4989719813268669</v>
      </c>
      <c r="S10" s="255">
        <v>4.8358521779289942</v>
      </c>
      <c r="T10" s="255">
        <v>5.0975150523528843</v>
      </c>
      <c r="U10" s="255">
        <v>4.4190612072390767</v>
      </c>
      <c r="V10" s="255">
        <v>4.675016627926448</v>
      </c>
      <c r="W10" s="255">
        <v>4.202566586629505</v>
      </c>
      <c r="DA10" s="271" t="s">
        <v>1017</v>
      </c>
    </row>
    <row r="11" spans="1:105" x14ac:dyDescent="0.25">
      <c r="A11" s="254" t="s">
        <v>176</v>
      </c>
      <c r="B11" s="256">
        <v>8.539176628871326</v>
      </c>
      <c r="C11" s="256">
        <v>7.4912082242635361</v>
      </c>
      <c r="D11" s="256">
        <v>4.4442450458185716</v>
      </c>
      <c r="E11" s="256">
        <v>5.0314875954998293</v>
      </c>
      <c r="F11" s="256">
        <v>6.7427581809502888</v>
      </c>
      <c r="G11" s="256">
        <v>7.9404295268496252</v>
      </c>
      <c r="H11" s="256">
        <v>5.530224318075609</v>
      </c>
      <c r="I11" s="256">
        <v>4.9088011080371281</v>
      </c>
      <c r="J11" s="256">
        <v>5.6603767712876536</v>
      </c>
      <c r="K11" s="256">
        <v>5.2419957897715426</v>
      </c>
      <c r="L11" s="256">
        <v>6.602973090500214</v>
      </c>
      <c r="M11" s="256">
        <v>10.611065222295821</v>
      </c>
      <c r="N11" s="256">
        <v>8.79248095699303</v>
      </c>
      <c r="O11" s="256">
        <v>7.5295471957144109</v>
      </c>
      <c r="P11" s="256">
        <v>5.9226870112470422</v>
      </c>
      <c r="Q11" s="256">
        <v>10.94068373181315</v>
      </c>
      <c r="R11" s="256">
        <v>10.975274039160199</v>
      </c>
      <c r="S11" s="256">
        <v>10.358665530557969</v>
      </c>
      <c r="T11" s="256">
        <v>9.0917966407530013</v>
      </c>
      <c r="U11" s="256">
        <v>7.4975758335962457</v>
      </c>
      <c r="V11" s="256">
        <v>9.2865764242764115</v>
      </c>
      <c r="W11" s="256">
        <v>10.480847012646279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7.1092326402401027E-2</v>
      </c>
      <c r="D12" s="256">
        <v>0.1774696762030997</v>
      </c>
      <c r="E12" s="256">
        <v>0.1017466668266257</v>
      </c>
      <c r="F12" s="256">
        <v>0.1183916242426582</v>
      </c>
      <c r="G12" s="256">
        <v>0.11973958124152539</v>
      </c>
      <c r="H12" s="256">
        <v>0.10530196622257219</v>
      </c>
      <c r="I12" s="256">
        <v>0.1086926239629363</v>
      </c>
      <c r="J12" s="256">
        <v>0.1134019820274868</v>
      </c>
      <c r="K12" s="256">
        <v>0.1090739226471401</v>
      </c>
      <c r="L12" s="256">
        <v>0.1223776417369874</v>
      </c>
      <c r="M12" s="256">
        <v>0.1196914462072998</v>
      </c>
      <c r="N12" s="256">
        <v>0.14013853363781359</v>
      </c>
      <c r="O12" s="256">
        <v>0.18660848910521149</v>
      </c>
      <c r="P12" s="256">
        <v>0.17026318126467191</v>
      </c>
      <c r="Q12" s="256">
        <v>0.16387709235950779</v>
      </c>
      <c r="R12" s="256">
        <v>0.2039424019401799</v>
      </c>
      <c r="S12" s="256">
        <v>0.18647849643016379</v>
      </c>
      <c r="T12" s="256">
        <v>0.17907814800009811</v>
      </c>
      <c r="U12" s="256">
        <v>0.17339504072805551</v>
      </c>
      <c r="V12" s="256">
        <v>0.1855151605865035</v>
      </c>
      <c r="W12" s="256">
        <v>0.19286353121745001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6.7263566457539259</v>
      </c>
      <c r="C14" s="255">
        <v>4.489456184603922</v>
      </c>
      <c r="D14" s="255">
        <v>4.2235419814321489</v>
      </c>
      <c r="E14" s="255">
        <v>4.6928056525296196</v>
      </c>
      <c r="F14" s="255">
        <v>2.831349916577214</v>
      </c>
      <c r="G14" s="255">
        <v>2.800039392026092</v>
      </c>
      <c r="H14" s="255">
        <v>2.6280004486449449</v>
      </c>
      <c r="I14" s="255">
        <v>3.2693593769992919</v>
      </c>
      <c r="J14" s="255">
        <v>3.1911393795085652</v>
      </c>
      <c r="K14" s="255">
        <v>2.5966899240905938</v>
      </c>
      <c r="L14" s="255">
        <v>2.2212451988897408</v>
      </c>
      <c r="M14" s="255">
        <v>2.205646250505354</v>
      </c>
      <c r="N14" s="255">
        <v>0.688268401299165</v>
      </c>
      <c r="O14" s="255">
        <v>0.59444945541728345</v>
      </c>
      <c r="P14" s="255">
        <v>0.54748366858382869</v>
      </c>
      <c r="Q14" s="255">
        <v>0.45366472270147018</v>
      </c>
      <c r="R14" s="255">
        <v>0.4536647227016854</v>
      </c>
      <c r="S14" s="255">
        <v>0.45366472270198221</v>
      </c>
      <c r="T14" s="255">
        <v>0.57879419313915192</v>
      </c>
      <c r="U14" s="255">
        <v>0.57879419313792091</v>
      </c>
      <c r="V14" s="255">
        <v>0.50057419564266414</v>
      </c>
      <c r="W14" s="255">
        <v>0.50057419564252004</v>
      </c>
      <c r="DA14" s="271" t="s">
        <v>1021</v>
      </c>
    </row>
    <row r="15" spans="1:105" x14ac:dyDescent="0.25">
      <c r="A15" s="254" t="s">
        <v>24</v>
      </c>
      <c r="B15" s="256">
        <v>12.209884753645619</v>
      </c>
      <c r="C15" s="256">
        <v>10.05072014514789</v>
      </c>
      <c r="D15" s="256">
        <v>11.43720128220683</v>
      </c>
      <c r="E15" s="256">
        <v>10.129452293141179</v>
      </c>
      <c r="F15" s="256">
        <v>7.504294032952405</v>
      </c>
      <c r="G15" s="256">
        <v>6.0189642675833941</v>
      </c>
      <c r="H15" s="256">
        <v>6.1405787895110473</v>
      </c>
      <c r="I15" s="256">
        <v>5.9275937809924244</v>
      </c>
      <c r="J15" s="256">
        <v>4.9414744499853649</v>
      </c>
      <c r="K15" s="256">
        <v>5.0775014018710651</v>
      </c>
      <c r="L15" s="256">
        <v>3.792005151762019</v>
      </c>
      <c r="M15" s="256">
        <v>3.4695567996756189</v>
      </c>
      <c r="N15" s="256">
        <v>3.5803384489746448</v>
      </c>
      <c r="O15" s="256">
        <v>2.9550787339720719</v>
      </c>
      <c r="P15" s="256">
        <v>3.755010724112398</v>
      </c>
      <c r="Q15" s="256">
        <v>2.746942624533796</v>
      </c>
      <c r="R15" s="256">
        <v>2.517460223512999</v>
      </c>
      <c r="S15" s="256">
        <v>3.18876876767402</v>
      </c>
      <c r="T15" s="256">
        <v>2.61292289761285</v>
      </c>
      <c r="U15" s="256">
        <v>4.9043912179325648</v>
      </c>
      <c r="V15" s="256">
        <v>2.8980930144479169</v>
      </c>
      <c r="W15" s="256">
        <v>2.2773267706468872</v>
      </c>
      <c r="DA15" s="272" t="s">
        <v>1022</v>
      </c>
    </row>
    <row r="16" spans="1:105" x14ac:dyDescent="0.25">
      <c r="A16" s="257" t="s">
        <v>175</v>
      </c>
      <c r="B16" s="258">
        <v>12.863025988486591</v>
      </c>
      <c r="C16" s="258">
        <v>12.007561969048499</v>
      </c>
      <c r="D16" s="258">
        <v>9.5478919988752242</v>
      </c>
      <c r="E16" s="258">
        <v>10.59446339978958</v>
      </c>
      <c r="F16" s="258">
        <v>11.117967787109899</v>
      </c>
      <c r="G16" s="258">
        <v>11.633249414495589</v>
      </c>
      <c r="H16" s="258">
        <v>10.18413035338337</v>
      </c>
      <c r="I16" s="258">
        <v>9.7467714355215662</v>
      </c>
      <c r="J16" s="258">
        <v>10.19920524566858</v>
      </c>
      <c r="K16" s="258">
        <v>9.3080262544629679</v>
      </c>
      <c r="L16" s="258">
        <v>9.7809278206517067</v>
      </c>
      <c r="M16" s="258">
        <v>10.90672809451552</v>
      </c>
      <c r="N16" s="258">
        <v>10.27387374737207</v>
      </c>
      <c r="O16" s="258">
        <v>9.7629619465765227</v>
      </c>
      <c r="P16" s="258">
        <v>10.39449499467614</v>
      </c>
      <c r="Q16" s="258">
        <v>10.666200702969361</v>
      </c>
      <c r="R16" s="258">
        <v>10.55343990398743</v>
      </c>
      <c r="S16" s="258">
        <v>9.8951966831735163</v>
      </c>
      <c r="T16" s="258">
        <v>9.5007875704487077</v>
      </c>
      <c r="U16" s="258">
        <v>8.9161407510447326</v>
      </c>
      <c r="V16" s="258">
        <v>9.2471897429422736</v>
      </c>
      <c r="W16" s="258">
        <v>9.035280388647168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19.830066855536675</v>
      </c>
      <c r="C17" s="258">
        <f t="shared" ref="C17:W17" si="5">SUM(C18:C24)</f>
        <v>16.980944640094705</v>
      </c>
      <c r="D17" s="258">
        <f t="shared" si="5"/>
        <v>13.210855336128013</v>
      </c>
      <c r="E17" s="258">
        <f t="shared" si="5"/>
        <v>14.316025658112462</v>
      </c>
      <c r="F17" s="258">
        <f t="shared" si="5"/>
        <v>15.615369818821206</v>
      </c>
      <c r="G17" s="258">
        <f t="shared" si="5"/>
        <v>16.243552691690446</v>
      </c>
      <c r="H17" s="258">
        <f t="shared" si="5"/>
        <v>13.377375531370799</v>
      </c>
      <c r="I17" s="258">
        <f t="shared" si="5"/>
        <v>12.75712797032541</v>
      </c>
      <c r="J17" s="258">
        <f t="shared" si="5"/>
        <v>13.43163648733942</v>
      </c>
      <c r="K17" s="258">
        <f t="shared" si="5"/>
        <v>12.381548722000144</v>
      </c>
      <c r="L17" s="258">
        <f t="shared" si="5"/>
        <v>13.355291028847583</v>
      </c>
      <c r="M17" s="258">
        <f t="shared" si="5"/>
        <v>16.511672016001889</v>
      </c>
      <c r="N17" s="258">
        <f t="shared" si="5"/>
        <v>14.727367884672596</v>
      </c>
      <c r="O17" s="258">
        <f t="shared" si="5"/>
        <v>13.283812200717311</v>
      </c>
      <c r="P17" s="258">
        <f t="shared" si="5"/>
        <v>13.481210674784908</v>
      </c>
      <c r="Q17" s="258">
        <f t="shared" si="5"/>
        <v>15.945706319213151</v>
      </c>
      <c r="R17" s="258">
        <f t="shared" si="5"/>
        <v>15.858843835538501</v>
      </c>
      <c r="S17" s="258">
        <f t="shared" si="5"/>
        <v>15.048380159778665</v>
      </c>
      <c r="T17" s="258">
        <f t="shared" si="5"/>
        <v>13.903667515961716</v>
      </c>
      <c r="U17" s="258">
        <f t="shared" si="5"/>
        <v>12.984501121951535</v>
      </c>
      <c r="V17" s="258">
        <f t="shared" si="5"/>
        <v>13.895220721316496</v>
      </c>
      <c r="W17" s="258">
        <f t="shared" si="5"/>
        <v>14.402362173683622</v>
      </c>
      <c r="DA17" s="273"/>
    </row>
    <row r="18" spans="1:105" x14ac:dyDescent="0.25">
      <c r="A18" s="61" t="s">
        <v>29</v>
      </c>
      <c r="B18" s="55">
        <v>2.0551533990448041</v>
      </c>
      <c r="C18" s="55">
        <v>1.105620499483988</v>
      </c>
      <c r="D18" s="55">
        <v>0.7475063393448691</v>
      </c>
      <c r="E18" s="55">
        <v>0.73498303190652081</v>
      </c>
      <c r="F18" s="55">
        <v>0.46180956567712561</v>
      </c>
      <c r="G18" s="55">
        <v>0.41336997717202839</v>
      </c>
      <c r="H18" s="55">
        <v>0.3078192668341474</v>
      </c>
      <c r="I18" s="55">
        <v>0.31185253815048841</v>
      </c>
      <c r="J18" s="55">
        <v>0.25322893957245712</v>
      </c>
      <c r="K18" s="55">
        <v>0.18569181138672339</v>
      </c>
      <c r="L18" s="55">
        <v>0.18734545262611779</v>
      </c>
      <c r="M18" s="55">
        <v>0.12426508924297749</v>
      </c>
      <c r="N18" s="55">
        <v>0.12505157714941631</v>
      </c>
      <c r="O18" s="55">
        <v>0.26232396638649269</v>
      </c>
      <c r="P18" s="55">
        <v>0.2099721047062704</v>
      </c>
      <c r="Q18" s="55">
        <v>6.2999697954244399E-2</v>
      </c>
      <c r="R18" s="55">
        <v>6.0055409893857867E-2</v>
      </c>
      <c r="S18" s="55">
        <v>6.2495539039887492E-2</v>
      </c>
      <c r="T18" s="55">
        <v>6.4028182139969275E-2</v>
      </c>
      <c r="U18" s="55">
        <v>6.2636703537083116E-2</v>
      </c>
      <c r="V18" s="55">
        <v>6.4350843845142225E-2</v>
      </c>
      <c r="W18" s="55">
        <v>6.269720260581324E-2</v>
      </c>
      <c r="DA18" s="101" t="s">
        <v>1024</v>
      </c>
    </row>
    <row r="19" spans="1:105" x14ac:dyDescent="0.25">
      <c r="A19" s="61" t="s">
        <v>27</v>
      </c>
      <c r="B19" s="55">
        <v>0.89743707773592551</v>
      </c>
      <c r="C19" s="55">
        <v>0.29908327628416481</v>
      </c>
      <c r="D19" s="55">
        <v>0.29908327628569348</v>
      </c>
      <c r="E19" s="55">
        <v>0.29908327628477033</v>
      </c>
      <c r="F19" s="55">
        <v>0.29908327628493381</v>
      </c>
      <c r="G19" s="55">
        <v>0.29908327628460929</v>
      </c>
      <c r="H19" s="55">
        <v>0.29908327628520232</v>
      </c>
      <c r="I19" s="55">
        <v>0.29908327628556658</v>
      </c>
      <c r="J19" s="55">
        <v>0.2990832762850163</v>
      </c>
      <c r="K19" s="55">
        <v>0.29908327628500359</v>
      </c>
      <c r="L19" s="55">
        <v>0.59816655256953333</v>
      </c>
      <c r="M19" s="55">
        <v>0.59816655256182483</v>
      </c>
      <c r="N19" s="55">
        <v>0.29908327628052422</v>
      </c>
      <c r="O19" s="55">
        <v>0.29908327628108178</v>
      </c>
      <c r="P19" s="55">
        <v>0.29908327628141063</v>
      </c>
      <c r="Q19" s="55">
        <v>0.29908327628013581</v>
      </c>
      <c r="R19" s="55">
        <v>0.29908327628120751</v>
      </c>
      <c r="S19" s="55">
        <v>0.29908327628075643</v>
      </c>
      <c r="T19" s="55">
        <v>0.2990832762809405</v>
      </c>
      <c r="U19" s="55">
        <v>0.29908327628619558</v>
      </c>
      <c r="V19" s="55">
        <v>0.5981665525609573</v>
      </c>
      <c r="W19" s="55">
        <v>1.196309699015309</v>
      </c>
      <c r="DA19" s="101" t="s">
        <v>1025</v>
      </c>
    </row>
    <row r="20" spans="1:105" x14ac:dyDescent="0.25">
      <c r="A20" s="61" t="s">
        <v>173</v>
      </c>
      <c r="B20" s="55">
        <v>5.2866393564636764</v>
      </c>
      <c r="C20" s="55">
        <v>6.1411479890338354</v>
      </c>
      <c r="D20" s="55">
        <v>5.1543460137279213</v>
      </c>
      <c r="E20" s="55">
        <v>6.116741167507854</v>
      </c>
      <c r="F20" s="55">
        <v>5.6860238699017334</v>
      </c>
      <c r="G20" s="55">
        <v>6.0496939725164642</v>
      </c>
      <c r="H20" s="55">
        <v>6.3119252748449437</v>
      </c>
      <c r="I20" s="55">
        <v>6.0780366532794412</v>
      </c>
      <c r="J20" s="55">
        <v>6.2304785227143258</v>
      </c>
      <c r="K20" s="55">
        <v>5.5019719344542546</v>
      </c>
      <c r="L20" s="55">
        <v>5.3889714699974416</v>
      </c>
      <c r="M20" s="55">
        <v>4.4827800775480897</v>
      </c>
      <c r="N20" s="55">
        <v>4.8159768379061942</v>
      </c>
      <c r="O20" s="55">
        <v>5.3654572524859114</v>
      </c>
      <c r="P20" s="55">
        <v>6.4661644204248327</v>
      </c>
      <c r="Q20" s="55">
        <v>4.4475592834454947</v>
      </c>
      <c r="R20" s="55">
        <v>4.3219115160043584</v>
      </c>
      <c r="S20" s="55">
        <v>3.9519575259519462</v>
      </c>
      <c r="T20" s="55">
        <v>4.2092325133832924</v>
      </c>
      <c r="U20" s="55">
        <v>4.0348276803834704</v>
      </c>
      <c r="V20" s="55">
        <v>3.8513512155449439</v>
      </c>
      <c r="W20" s="55">
        <v>3.2577200666571091</v>
      </c>
      <c r="DA20" s="101" t="s">
        <v>1026</v>
      </c>
    </row>
    <row r="21" spans="1:105" x14ac:dyDescent="0.25">
      <c r="A21" s="61" t="s">
        <v>129</v>
      </c>
      <c r="B21" s="55">
        <v>1.7560437193374669</v>
      </c>
      <c r="C21" s="55">
        <v>0.25353905803531052</v>
      </c>
      <c r="D21" s="55">
        <v>0.50695297339895962</v>
      </c>
      <c r="E21" s="55">
        <v>0.25376848627195348</v>
      </c>
      <c r="F21" s="55">
        <v>2.028229035838196</v>
      </c>
      <c r="G21" s="55">
        <v>1.2676535759536851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9.720941537095225</v>
      </c>
      <c r="C22" s="55">
        <v>8.8697440373445424</v>
      </c>
      <c r="D22" s="55">
        <v>6.1407291988561292</v>
      </c>
      <c r="E22" s="55">
        <v>6.540719364446824</v>
      </c>
      <c r="F22" s="55">
        <v>6.6747608540738899</v>
      </c>
      <c r="G22" s="55">
        <v>7.7323594054579212</v>
      </c>
      <c r="H22" s="55">
        <v>6.053780164539158</v>
      </c>
      <c r="I22" s="55">
        <v>5.4865078296006864</v>
      </c>
      <c r="J22" s="55">
        <v>5.959913655092139</v>
      </c>
      <c r="K22" s="55">
        <v>5.4597057373845486</v>
      </c>
      <c r="L22" s="55">
        <v>6.2284306454812883</v>
      </c>
      <c r="M22" s="55">
        <v>8.9741335952572037</v>
      </c>
      <c r="N22" s="55">
        <v>7.2339536434279017</v>
      </c>
      <c r="O22" s="55">
        <v>6.6218019292469128</v>
      </c>
      <c r="P22" s="55">
        <v>5.1561668061718198</v>
      </c>
      <c r="Q22" s="55">
        <v>8.5397477428513913</v>
      </c>
      <c r="R22" s="55">
        <v>8.4194550008311619</v>
      </c>
      <c r="S22" s="55">
        <v>8.2626109606780513</v>
      </c>
      <c r="T22" s="55">
        <v>7.3277113858344007</v>
      </c>
      <c r="U22" s="55">
        <v>6.6817478827637418</v>
      </c>
      <c r="V22" s="55">
        <v>7.4672354469128921</v>
      </c>
      <c r="W22" s="55">
        <v>7.9299378643294176</v>
      </c>
      <c r="DA22" s="101" t="s">
        <v>1028</v>
      </c>
    </row>
    <row r="23" spans="1:105" x14ac:dyDescent="0.25">
      <c r="A23" s="61" t="s">
        <v>171</v>
      </c>
      <c r="B23" s="55">
        <v>0.1138517658595785</v>
      </c>
      <c r="C23" s="55">
        <v>0.26562159497972609</v>
      </c>
      <c r="D23" s="55">
        <v>0.2276840165046142</v>
      </c>
      <c r="E23" s="55">
        <v>0.29815345882804151</v>
      </c>
      <c r="F23" s="55">
        <v>0.40115476500016789</v>
      </c>
      <c r="G23" s="55">
        <v>0.41741093931597989</v>
      </c>
      <c r="H23" s="55">
        <v>0.34151626714872768</v>
      </c>
      <c r="I23" s="55">
        <v>0.51498701564564286</v>
      </c>
      <c r="J23" s="55">
        <v>0.62341355166053236</v>
      </c>
      <c r="K23" s="55">
        <v>0.87275945710944292</v>
      </c>
      <c r="L23" s="55">
        <v>0.88903514664027206</v>
      </c>
      <c r="M23" s="55">
        <v>2.276781619363947</v>
      </c>
      <c r="N23" s="55">
        <v>2.190036487506573</v>
      </c>
      <c r="O23" s="55">
        <v>0.64509495581216036</v>
      </c>
      <c r="P23" s="55">
        <v>1.26848899225062</v>
      </c>
      <c r="Q23" s="55">
        <v>2.526127524802916</v>
      </c>
      <c r="R23" s="55">
        <v>2.6724916393023221</v>
      </c>
      <c r="S23" s="55">
        <v>2.3906138700055548</v>
      </c>
      <c r="T23" s="55">
        <v>1.924414892532758</v>
      </c>
      <c r="U23" s="55">
        <v>1.8214135863941729</v>
      </c>
      <c r="V23" s="55">
        <v>1.8322640460468831</v>
      </c>
      <c r="W23" s="55">
        <v>1.875626854372106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4.6188184933136027E-2</v>
      </c>
      <c r="D24" s="55">
        <v>0.13455351800982629</v>
      </c>
      <c r="E24" s="55">
        <v>7.257687286649657E-2</v>
      </c>
      <c r="F24" s="55">
        <v>6.4308452045158684E-2</v>
      </c>
      <c r="G24" s="55">
        <v>6.3981544989758998E-2</v>
      </c>
      <c r="H24" s="55">
        <v>6.3251281718619559E-2</v>
      </c>
      <c r="I24" s="55">
        <v>6.6660657363584522E-2</v>
      </c>
      <c r="J24" s="55">
        <v>6.5518542014949041E-2</v>
      </c>
      <c r="K24" s="55">
        <v>6.2336505380171658E-2</v>
      </c>
      <c r="L24" s="55">
        <v>6.3341761532929683E-2</v>
      </c>
      <c r="M24" s="55">
        <v>5.5545082027843022E-2</v>
      </c>
      <c r="N24" s="55">
        <v>6.3266062401986414E-2</v>
      </c>
      <c r="O24" s="55">
        <v>9.0050820504752313E-2</v>
      </c>
      <c r="P24" s="55">
        <v>8.1335074949954664E-2</v>
      </c>
      <c r="Q24" s="55">
        <v>7.0188793878969147E-2</v>
      </c>
      <c r="R24" s="55">
        <v>8.5846993225591986E-2</v>
      </c>
      <c r="S24" s="55">
        <v>8.1618987822467584E-2</v>
      </c>
      <c r="T24" s="55">
        <v>7.9197265790355131E-2</v>
      </c>
      <c r="U24" s="55">
        <v>8.4791992586872145E-2</v>
      </c>
      <c r="V24" s="55">
        <v>8.1852616405678688E-2</v>
      </c>
      <c r="W24" s="55">
        <v>8.0070486703867252E-2</v>
      </c>
      <c r="DA24" s="101" t="s">
        <v>1030</v>
      </c>
    </row>
    <row r="25" spans="1:105" x14ac:dyDescent="0.25">
      <c r="A25" s="257" t="s">
        <v>174</v>
      </c>
      <c r="B25" s="258">
        <v>1.730216348428143</v>
      </c>
      <c r="C25" s="258">
        <v>1.6151471700521769</v>
      </c>
      <c r="D25" s="258">
        <v>1.2842949119644771</v>
      </c>
      <c r="E25" s="258">
        <v>1.4250701035313891</v>
      </c>
      <c r="F25" s="258">
        <v>1.495487115067105</v>
      </c>
      <c r="G25" s="258">
        <v>1.5647980763094591</v>
      </c>
      <c r="H25" s="258">
        <v>1.369875863402525</v>
      </c>
      <c r="I25" s="258">
        <v>1.311046350775195</v>
      </c>
      <c r="J25" s="258">
        <v>1.371903599730353</v>
      </c>
      <c r="K25" s="258">
        <v>1.2520303707296661</v>
      </c>
      <c r="L25" s="258">
        <v>1.315640754612075</v>
      </c>
      <c r="M25" s="258">
        <v>1.4670730879252121</v>
      </c>
      <c r="N25" s="258">
        <v>1.3819473221387231</v>
      </c>
      <c r="O25" s="258">
        <v>1.3132241499137309</v>
      </c>
      <c r="P25" s="258">
        <v>1.3981721866643879</v>
      </c>
      <c r="Q25" s="258">
        <v>1.4347195479828649</v>
      </c>
      <c r="R25" s="258">
        <v>1.4195519989135419</v>
      </c>
      <c r="S25" s="258">
        <v>1.3310111545652801</v>
      </c>
      <c r="T25" s="258">
        <v>1.2779588560302151</v>
      </c>
      <c r="U25" s="258">
        <v>1.199317524986127</v>
      </c>
      <c r="V25" s="258">
        <v>1.2438472008512369</v>
      </c>
      <c r="W25" s="258">
        <v>1.2153430969557439</v>
      </c>
      <c r="DA25" s="273" t="s">
        <v>1031</v>
      </c>
    </row>
    <row r="26" spans="1:105" x14ac:dyDescent="0.25">
      <c r="A26" s="257" t="s">
        <v>177</v>
      </c>
      <c r="B26" s="258">
        <v>3.3506981501514139</v>
      </c>
      <c r="C26" s="258">
        <v>2.9195620905744541</v>
      </c>
      <c r="D26" s="258">
        <v>2.6496742348418261</v>
      </c>
      <c r="E26" s="258">
        <v>2.681375003336758</v>
      </c>
      <c r="F26" s="258">
        <v>2.4094428276879691</v>
      </c>
      <c r="G26" s="258">
        <v>2.3233974101848651</v>
      </c>
      <c r="H26" s="258">
        <v>2.1262849082072228</v>
      </c>
      <c r="I26" s="258">
        <v>2.050730811487111</v>
      </c>
      <c r="J26" s="258">
        <v>1.9852623966760501</v>
      </c>
      <c r="K26" s="258">
        <v>1.8782861511014981</v>
      </c>
      <c r="L26" s="258">
        <v>1.762225832115349</v>
      </c>
      <c r="M26" s="258">
        <v>1.905361441624976</v>
      </c>
      <c r="N26" s="258">
        <v>1.7782737311866741</v>
      </c>
      <c r="O26" s="258">
        <v>1.6035989853714701</v>
      </c>
      <c r="P26" s="258">
        <v>1.7510753462478781</v>
      </c>
      <c r="Q26" s="258">
        <v>1.7033554423338559</v>
      </c>
      <c r="R26" s="258">
        <v>1.6449396364757489</v>
      </c>
      <c r="S26" s="258">
        <v>1.71506437390835</v>
      </c>
      <c r="T26" s="258">
        <v>1.542504103514077</v>
      </c>
      <c r="U26" s="258">
        <v>1.8135601124159051</v>
      </c>
      <c r="V26" s="258">
        <v>1.5793947045197509</v>
      </c>
      <c r="W26" s="258">
        <v>1.4653833420984259</v>
      </c>
      <c r="DA26" s="273" t="s">
        <v>1032</v>
      </c>
    </row>
    <row r="27" spans="1:105" x14ac:dyDescent="0.25">
      <c r="A27" s="129" t="s">
        <v>33</v>
      </c>
      <c r="B27" s="259">
        <v>5.1066809337005408</v>
      </c>
      <c r="C27" s="259">
        <v>4.4496016634675737</v>
      </c>
      <c r="D27" s="259">
        <v>4.0382750964818719</v>
      </c>
      <c r="E27" s="259">
        <v>4.086589120247158</v>
      </c>
      <c r="F27" s="259">
        <v>3.6721468773424588</v>
      </c>
      <c r="G27" s="259">
        <v>3.5410080897511191</v>
      </c>
      <c r="H27" s="259">
        <v>3.2405958739871439</v>
      </c>
      <c r="I27" s="259">
        <v>3.1254465385669641</v>
      </c>
      <c r="J27" s="259">
        <v>3.0256684354095249</v>
      </c>
      <c r="K27" s="259">
        <v>2.8626297105963889</v>
      </c>
      <c r="L27" s="259">
        <v>2.6857462697233299</v>
      </c>
      <c r="M27" s="259">
        <v>2.9038942064401581</v>
      </c>
      <c r="N27" s="259">
        <v>2.7102043069863351</v>
      </c>
      <c r="O27" s="259">
        <v>2.4439886844262499</v>
      </c>
      <c r="P27" s="259">
        <v>2.6687522072834362</v>
      </c>
      <c r="Q27" s="259">
        <v>2.5960239839235539</v>
      </c>
      <c r="R27" s="259">
        <v>2.506994513456668</v>
      </c>
      <c r="S27" s="259">
        <v>2.613869153779504</v>
      </c>
      <c r="T27" s="259">
        <v>2.3508761286701492</v>
      </c>
      <c r="U27" s="259">
        <v>2.7639830367219469</v>
      </c>
      <c r="V27" s="259">
        <v>2.407099793215973</v>
      </c>
      <c r="W27" s="259">
        <v>2.2333390948146881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0.99999999999999989</v>
      </c>
      <c r="C31" s="236">
        <f t="shared" si="6"/>
        <v>1</v>
      </c>
      <c r="D31" s="236">
        <f t="shared" si="6"/>
        <v>0.99999999999999989</v>
      </c>
      <c r="E31" s="236">
        <f t="shared" si="6"/>
        <v>1</v>
      </c>
      <c r="F31" s="236">
        <f t="shared" si="6"/>
        <v>0.99999999999999978</v>
      </c>
      <c r="G31" s="236">
        <f t="shared" si="6"/>
        <v>1</v>
      </c>
      <c r="H31" s="236">
        <f t="shared" si="6"/>
        <v>0.99999999999999989</v>
      </c>
      <c r="I31" s="236">
        <f t="shared" si="6"/>
        <v>1</v>
      </c>
      <c r="J31" s="236">
        <f t="shared" si="6"/>
        <v>1</v>
      </c>
      <c r="K31" s="236">
        <f t="shared" si="6"/>
        <v>1.0000000000000004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0.99999999999999989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3.9858818558659276E-2</v>
      </c>
      <c r="C32" s="245">
        <f t="shared" si="8"/>
        <v>3.9921012549832234E-2</v>
      </c>
      <c r="D32" s="245">
        <f t="shared" si="8"/>
        <v>4.2772281002217583E-2</v>
      </c>
      <c r="E32" s="245">
        <f t="shared" si="8"/>
        <v>4.1243525121354374E-2</v>
      </c>
      <c r="F32" s="245">
        <f t="shared" si="8"/>
        <v>3.7834262514684358E-2</v>
      </c>
      <c r="G32" s="245">
        <f t="shared" si="8"/>
        <v>3.5989185048232876E-2</v>
      </c>
      <c r="H32" s="245">
        <f t="shared" si="8"/>
        <v>3.7881904870727186E-2</v>
      </c>
      <c r="I32" s="245">
        <f t="shared" si="8"/>
        <v>3.7901716862317462E-2</v>
      </c>
      <c r="J32" s="245">
        <f t="shared" si="8"/>
        <v>3.6038385736330919E-2</v>
      </c>
      <c r="K32" s="245">
        <f t="shared" si="8"/>
        <v>3.6847409814539843E-2</v>
      </c>
      <c r="L32" s="245">
        <f t="shared" si="8"/>
        <v>3.3905469987463091E-2</v>
      </c>
      <c r="M32" s="245">
        <f t="shared" si="8"/>
        <v>3.1553293297042977E-2</v>
      </c>
      <c r="N32" s="245">
        <f t="shared" si="8"/>
        <v>3.2585996066820014E-2</v>
      </c>
      <c r="O32" s="245">
        <f t="shared" si="8"/>
        <v>3.2112186621632732E-2</v>
      </c>
      <c r="P32" s="245">
        <f t="shared" si="8"/>
        <v>3.3632433707158259E-2</v>
      </c>
      <c r="Q32" s="245">
        <f t="shared" si="8"/>
        <v>3.0010493434399297E-2</v>
      </c>
      <c r="R32" s="245">
        <f t="shared" si="8"/>
        <v>2.936711161521147E-2</v>
      </c>
      <c r="S32" s="245">
        <f t="shared" si="8"/>
        <v>3.1626451051215081E-2</v>
      </c>
      <c r="T32" s="245">
        <f t="shared" si="8"/>
        <v>3.0689173778774902E-2</v>
      </c>
      <c r="U32" s="245">
        <f t="shared" si="8"/>
        <v>3.6143005015721284E-2</v>
      </c>
      <c r="V32" s="245">
        <f t="shared" si="8"/>
        <v>3.1490571949646134E-2</v>
      </c>
      <c r="W32" s="245">
        <f t="shared" si="8"/>
        <v>2.9361916437028183E-2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2.5691326110177447E-2</v>
      </c>
      <c r="C33" s="246">
        <f t="shared" si="9"/>
        <v>2.5731413753692679E-2</v>
      </c>
      <c r="D33" s="246">
        <f t="shared" si="9"/>
        <v>2.7569222055263111E-2</v>
      </c>
      <c r="E33" s="246">
        <f t="shared" si="9"/>
        <v>2.6583850002142501E-2</v>
      </c>
      <c r="F33" s="246">
        <f t="shared" si="9"/>
        <v>2.4386382024151859E-2</v>
      </c>
      <c r="G33" s="246">
        <f t="shared" si="9"/>
        <v>2.3197122316933372E-2</v>
      </c>
      <c r="H33" s="246">
        <f t="shared" si="9"/>
        <v>2.4417090292736161E-2</v>
      </c>
      <c r="I33" s="246">
        <f t="shared" si="9"/>
        <v>2.4429860273263552E-2</v>
      </c>
      <c r="J33" s="246">
        <f t="shared" si="9"/>
        <v>2.3228835021134875E-2</v>
      </c>
      <c r="K33" s="246">
        <f t="shared" si="9"/>
        <v>2.3750298079395445E-2</v>
      </c>
      <c r="L33" s="246">
        <f t="shared" si="9"/>
        <v>2.1854046804844589E-2</v>
      </c>
      <c r="M33" s="246">
        <f t="shared" si="9"/>
        <v>2.0337932163026852E-2</v>
      </c>
      <c r="N33" s="246">
        <f t="shared" si="9"/>
        <v>2.1003569143565538E-2</v>
      </c>
      <c r="O33" s="246">
        <f t="shared" si="9"/>
        <v>2.0698171406990019E-2</v>
      </c>
      <c r="P33" s="246">
        <f t="shared" si="9"/>
        <v>2.1678059046780516E-2</v>
      </c>
      <c r="Q33" s="246">
        <f t="shared" si="9"/>
        <v>1.9343507947076136E-2</v>
      </c>
      <c r="R33" s="246">
        <f t="shared" si="9"/>
        <v>1.8928810955849772E-2</v>
      </c>
      <c r="S33" s="246">
        <f t="shared" si="9"/>
        <v>2.03850865892715E-2</v>
      </c>
      <c r="T33" s="246">
        <f t="shared" si="9"/>
        <v>1.9780956890181695E-2</v>
      </c>
      <c r="U33" s="246">
        <f t="shared" si="9"/>
        <v>2.329626822968003E-2</v>
      </c>
      <c r="V33" s="246">
        <f t="shared" si="9"/>
        <v>2.0297504607762737E-2</v>
      </c>
      <c r="W33" s="246">
        <f t="shared" si="9"/>
        <v>1.8925462361442463E-2</v>
      </c>
      <c r="DA33" s="277"/>
    </row>
    <row r="34" spans="1:105" x14ac:dyDescent="0.25">
      <c r="A34" s="241" t="s">
        <v>123</v>
      </c>
      <c r="B34" s="246">
        <f t="shared" ref="B34:W34" si="10">IF(B$8=0,0,B$8/B$5)</f>
        <v>5.1054631340139683E-2</v>
      </c>
      <c r="C34" s="246">
        <f t="shared" si="10"/>
        <v>5.1134294797455508E-2</v>
      </c>
      <c r="D34" s="246">
        <f t="shared" si="10"/>
        <v>5.4786446691372594E-2</v>
      </c>
      <c r="E34" s="246">
        <f t="shared" si="10"/>
        <v>5.2828283586470813E-2</v>
      </c>
      <c r="F34" s="246">
        <f t="shared" si="10"/>
        <v>4.8461404390864361E-2</v>
      </c>
      <c r="G34" s="246">
        <f t="shared" si="10"/>
        <v>4.6098069167943768E-2</v>
      </c>
      <c r="H34" s="246">
        <f t="shared" si="10"/>
        <v>4.8522428851997375E-2</v>
      </c>
      <c r="I34" s="246">
        <f t="shared" si="10"/>
        <v>4.8547805768908929E-2</v>
      </c>
      <c r="J34" s="246">
        <f t="shared" si="10"/>
        <v>4.6161089675910677E-2</v>
      </c>
      <c r="K34" s="246">
        <f t="shared" si="10"/>
        <v>4.7197357873310135E-2</v>
      </c>
      <c r="L34" s="246">
        <f t="shared" si="10"/>
        <v>4.3429066219727031E-2</v>
      </c>
      <c r="M34" s="246">
        <f t="shared" si="10"/>
        <v>4.0416194335440365E-2</v>
      </c>
      <c r="N34" s="246">
        <f t="shared" si="10"/>
        <v>4.1738969598267436E-2</v>
      </c>
      <c r="O34" s="246">
        <f t="shared" si="10"/>
        <v>4.1132073372431931E-2</v>
      </c>
      <c r="P34" s="246">
        <f t="shared" si="10"/>
        <v>4.3079337674388131E-2</v>
      </c>
      <c r="Q34" s="246">
        <f t="shared" si="10"/>
        <v>3.8440042480789374E-2</v>
      </c>
      <c r="R34" s="246">
        <f t="shared" si="10"/>
        <v>3.7615943253130592E-2</v>
      </c>
      <c r="S34" s="246">
        <f t="shared" si="10"/>
        <v>4.0509901131175703E-2</v>
      </c>
      <c r="T34" s="246">
        <f t="shared" si="10"/>
        <v>3.9309355120573285E-2</v>
      </c>
      <c r="U34" s="246">
        <f t="shared" si="10"/>
        <v>4.6295095121468136E-2</v>
      </c>
      <c r="V34" s="246">
        <f t="shared" si="10"/>
        <v>4.033585539454098E-2</v>
      </c>
      <c r="W34" s="246">
        <f t="shared" si="10"/>
        <v>3.7609288818391026E-2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0.37757101984576086</v>
      </c>
      <c r="C35" s="247">
        <f t="shared" si="11"/>
        <v>0.3683340190708892</v>
      </c>
      <c r="D35" s="247">
        <f t="shared" si="11"/>
        <v>0.38295118305709236</v>
      </c>
      <c r="E35" s="247">
        <f t="shared" si="11"/>
        <v>0.37442595687548097</v>
      </c>
      <c r="F35" s="247">
        <f t="shared" si="11"/>
        <v>0.35506939816507799</v>
      </c>
      <c r="G35" s="247">
        <f t="shared" si="11"/>
        <v>0.35240783498204026</v>
      </c>
      <c r="H35" s="247">
        <f t="shared" si="11"/>
        <v>0.35390374843396438</v>
      </c>
      <c r="I35" s="247">
        <f t="shared" si="11"/>
        <v>0.35779101821537074</v>
      </c>
      <c r="J35" s="247">
        <f t="shared" si="11"/>
        <v>0.35429609664072881</v>
      </c>
      <c r="K35" s="247">
        <f t="shared" si="11"/>
        <v>0.3536877170142198</v>
      </c>
      <c r="L35" s="247">
        <f t="shared" si="11"/>
        <v>0.34942982529349798</v>
      </c>
      <c r="M35" s="247">
        <f t="shared" si="11"/>
        <v>0.35437046135764372</v>
      </c>
      <c r="N35" s="247">
        <f t="shared" si="11"/>
        <v>0.34369942993176333</v>
      </c>
      <c r="O35" s="247">
        <f t="shared" si="11"/>
        <v>0.34195616633713616</v>
      </c>
      <c r="P35" s="247">
        <f t="shared" si="11"/>
        <v>0.33606590772265943</v>
      </c>
      <c r="Q35" s="247">
        <f t="shared" si="11"/>
        <v>0.34709040335410446</v>
      </c>
      <c r="R35" s="247">
        <f t="shared" si="11"/>
        <v>0.34786232124803085</v>
      </c>
      <c r="S35" s="247">
        <f t="shared" si="11"/>
        <v>0.34786248570479184</v>
      </c>
      <c r="T35" s="247">
        <f t="shared" si="11"/>
        <v>0.34644537502835637</v>
      </c>
      <c r="U35" s="247">
        <f t="shared" si="11"/>
        <v>0.34729004150807752</v>
      </c>
      <c r="V35" s="247">
        <f t="shared" si="11"/>
        <v>0.34690549630624912</v>
      </c>
      <c r="W35" s="247">
        <f t="shared" si="11"/>
        <v>0.35077561512587629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0.15173333603233299</v>
      </c>
      <c r="C36" s="260">
        <f t="shared" si="12"/>
        <v>0.16281237528799741</v>
      </c>
      <c r="D36" s="260">
        <f t="shared" si="12"/>
        <v>0.15283617842255795</v>
      </c>
      <c r="E36" s="260">
        <f t="shared" si="12"/>
        <v>0.16159425984671424</v>
      </c>
      <c r="F36" s="260">
        <f t="shared" si="12"/>
        <v>0.17311822957767303</v>
      </c>
      <c r="G36" s="260">
        <f t="shared" si="12"/>
        <v>0.17868919581597079</v>
      </c>
      <c r="H36" s="260">
        <f t="shared" si="12"/>
        <v>0.17992149263341584</v>
      </c>
      <c r="I36" s="260">
        <f t="shared" si="12"/>
        <v>0.17863220193837473</v>
      </c>
      <c r="J36" s="260">
        <f t="shared" si="12"/>
        <v>0.18359569255080668</v>
      </c>
      <c r="K36" s="260">
        <f t="shared" si="12"/>
        <v>0.1810721053377396</v>
      </c>
      <c r="L36" s="260">
        <f t="shared" si="12"/>
        <v>0.18661089811430606</v>
      </c>
      <c r="M36" s="260">
        <f t="shared" si="12"/>
        <v>0.17910617196046183</v>
      </c>
      <c r="N36" s="260">
        <f t="shared" si="12"/>
        <v>0.18668754970343138</v>
      </c>
      <c r="O36" s="260">
        <f t="shared" si="12"/>
        <v>0.19386724837123059</v>
      </c>
      <c r="P36" s="260">
        <f t="shared" si="12"/>
        <v>0.19797283356713075</v>
      </c>
      <c r="Q36" s="260">
        <f t="shared" si="12"/>
        <v>0.18634869192277678</v>
      </c>
      <c r="R36" s="260">
        <f t="shared" si="12"/>
        <v>0.18683320039118478</v>
      </c>
      <c r="S36" s="260">
        <f t="shared" si="12"/>
        <v>0.18094359271074181</v>
      </c>
      <c r="T36" s="260">
        <f t="shared" si="12"/>
        <v>0.18744213379118557</v>
      </c>
      <c r="U36" s="260">
        <f t="shared" si="12"/>
        <v>0.17620489206487863</v>
      </c>
      <c r="V36" s="260">
        <f t="shared" si="12"/>
        <v>0.18283038907646665</v>
      </c>
      <c r="W36" s="260">
        <f t="shared" si="12"/>
        <v>0.17952441732419544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0.23391713586118529</v>
      </c>
      <c r="C37" s="260">
        <f t="shared" si="13"/>
        <v>0.23024723408584563</v>
      </c>
      <c r="D37" s="260">
        <f t="shared" si="13"/>
        <v>0.21147041079904544</v>
      </c>
      <c r="E37" s="260">
        <f t="shared" si="13"/>
        <v>0.21835816339836525</v>
      </c>
      <c r="F37" s="260">
        <f t="shared" si="13"/>
        <v>0.24314741947437107</v>
      </c>
      <c r="G37" s="260">
        <f t="shared" si="13"/>
        <v>0.24950443889355622</v>
      </c>
      <c r="H37" s="260">
        <f t="shared" si="13"/>
        <v>0.23633607285106636</v>
      </c>
      <c r="I37" s="260">
        <f t="shared" si="13"/>
        <v>0.2338039703530724</v>
      </c>
      <c r="J37" s="260">
        <f t="shared" si="13"/>
        <v>0.24178262360501346</v>
      </c>
      <c r="K37" s="260">
        <f t="shared" si="13"/>
        <v>0.24086235181807789</v>
      </c>
      <c r="L37" s="260">
        <f t="shared" si="13"/>
        <v>0.25480638434004138</v>
      </c>
      <c r="M37" s="260">
        <f t="shared" si="13"/>
        <v>0.27114844542057376</v>
      </c>
      <c r="N37" s="260">
        <f t="shared" si="13"/>
        <v>0.26761242074575825</v>
      </c>
      <c r="O37" s="260">
        <f t="shared" si="13"/>
        <v>0.26378225515221831</v>
      </c>
      <c r="P37" s="260">
        <f t="shared" si="13"/>
        <v>0.2567622071653875</v>
      </c>
      <c r="Q37" s="260">
        <f t="shared" si="13"/>
        <v>0.27858668677994236</v>
      </c>
      <c r="R37" s="260">
        <f t="shared" si="13"/>
        <v>0.28075760844368564</v>
      </c>
      <c r="S37" s="260">
        <f t="shared" si="13"/>
        <v>0.27517471938861221</v>
      </c>
      <c r="T37" s="260">
        <f t="shared" si="13"/>
        <v>0.27430706006112432</v>
      </c>
      <c r="U37" s="260">
        <f t="shared" si="13"/>
        <v>0.25660570897130369</v>
      </c>
      <c r="V37" s="260">
        <f t="shared" si="13"/>
        <v>0.27472872098473339</v>
      </c>
      <c r="W37" s="260">
        <f t="shared" si="13"/>
        <v>0.28616440952638966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2.0409777515778143E-2</v>
      </c>
      <c r="C38" s="260">
        <f t="shared" si="14"/>
        <v>2.1900028321629381E-2</v>
      </c>
      <c r="D38" s="260">
        <f t="shared" si="14"/>
        <v>2.0558121765025143E-2</v>
      </c>
      <c r="E38" s="260">
        <f t="shared" si="14"/>
        <v>2.173617859819205E-2</v>
      </c>
      <c r="F38" s="260">
        <f t="shared" si="14"/>
        <v>2.3286277373172591E-2</v>
      </c>
      <c r="G38" s="260">
        <f t="shared" si="14"/>
        <v>2.4035632685886082E-2</v>
      </c>
      <c r="H38" s="260">
        <f t="shared" si="14"/>
        <v>2.4201389958052658E-2</v>
      </c>
      <c r="I38" s="260">
        <f t="shared" si="14"/>
        <v>2.4027966391900083E-2</v>
      </c>
      <c r="J38" s="260">
        <f t="shared" si="14"/>
        <v>2.4695609651782024E-2</v>
      </c>
      <c r="K38" s="260">
        <f t="shared" si="14"/>
        <v>2.4356159832070789E-2</v>
      </c>
      <c r="L38" s="260">
        <f t="shared" si="14"/>
        <v>2.510118746562676E-2</v>
      </c>
      <c r="M38" s="260">
        <f t="shared" si="14"/>
        <v>2.4091720494676064E-2</v>
      </c>
      <c r="N38" s="260">
        <f t="shared" si="14"/>
        <v>2.5111497934777328E-2</v>
      </c>
      <c r="O38" s="260">
        <f t="shared" si="14"/>
        <v>2.6077245187634709E-2</v>
      </c>
      <c r="P38" s="260">
        <f t="shared" si="14"/>
        <v>2.662949087478245E-2</v>
      </c>
      <c r="Q38" s="260">
        <f t="shared" si="14"/>
        <v>2.5065917892227053E-2</v>
      </c>
      <c r="R38" s="260">
        <f t="shared" si="14"/>
        <v>2.5131089530202589E-2</v>
      </c>
      <c r="S38" s="260">
        <f t="shared" si="14"/>
        <v>2.4338873491484198E-2</v>
      </c>
      <c r="T38" s="260">
        <f t="shared" si="14"/>
        <v>2.5212997669448237E-2</v>
      </c>
      <c r="U38" s="260">
        <f t="shared" si="14"/>
        <v>2.3701466917392056E-2</v>
      </c>
      <c r="V38" s="260">
        <f t="shared" si="14"/>
        <v>2.4592668043485744E-2</v>
      </c>
      <c r="W38" s="260">
        <f t="shared" si="14"/>
        <v>2.4147979027204405E-2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3.9525117092580692E-2</v>
      </c>
      <c r="C39" s="260">
        <f t="shared" si="15"/>
        <v>3.9586790390296459E-2</v>
      </c>
      <c r="D39" s="260">
        <f t="shared" si="15"/>
        <v>4.2414187777327861E-2</v>
      </c>
      <c r="E39" s="260">
        <f t="shared" si="15"/>
        <v>4.0898230772526918E-2</v>
      </c>
      <c r="F39" s="260">
        <f t="shared" si="15"/>
        <v>3.7517510806387475E-2</v>
      </c>
      <c r="G39" s="260">
        <f t="shared" si="15"/>
        <v>3.5687880487589814E-2</v>
      </c>
      <c r="H39" s="260">
        <f t="shared" si="15"/>
        <v>3.7564754296517192E-2</v>
      </c>
      <c r="I39" s="260">
        <f t="shared" si="15"/>
        <v>3.7584400420405464E-2</v>
      </c>
      <c r="J39" s="260">
        <f t="shared" si="15"/>
        <v>3.5736669263284435E-2</v>
      </c>
      <c r="K39" s="260">
        <f t="shared" si="15"/>
        <v>3.653892012214683E-2</v>
      </c>
      <c r="L39" s="260">
        <f t="shared" si="15"/>
        <v>3.3621610468991703E-2</v>
      </c>
      <c r="M39" s="260">
        <f t="shared" si="15"/>
        <v>3.1289126404656684E-2</v>
      </c>
      <c r="N39" s="260">
        <f t="shared" si="15"/>
        <v>3.231318329779314E-2</v>
      </c>
      <c r="O39" s="260">
        <f t="shared" si="15"/>
        <v>3.1843340626138472E-2</v>
      </c>
      <c r="P39" s="260">
        <f t="shared" si="15"/>
        <v>3.3350860071970044E-2</v>
      </c>
      <c r="Q39" s="260">
        <f t="shared" si="15"/>
        <v>2.9759242995501759E-2</v>
      </c>
      <c r="R39" s="260">
        <f t="shared" si="15"/>
        <v>2.9121247624384287E-2</v>
      </c>
      <c r="S39" s="260">
        <f t="shared" si="15"/>
        <v>3.1361671675802318E-2</v>
      </c>
      <c r="T39" s="260">
        <f t="shared" si="15"/>
        <v>3.0432241369510296E-2</v>
      </c>
      <c r="U39" s="260">
        <f t="shared" si="15"/>
        <v>3.5840412661046213E-2</v>
      </c>
      <c r="V39" s="260">
        <f t="shared" si="15"/>
        <v>3.1226930165788831E-2</v>
      </c>
      <c r="W39" s="260">
        <f t="shared" si="15"/>
        <v>2.9116095940680736E-2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6.0238837643385508E-2</v>
      </c>
      <c r="C40" s="262">
        <f t="shared" si="16"/>
        <v>6.0332831742361342E-2</v>
      </c>
      <c r="D40" s="262">
        <f t="shared" si="16"/>
        <v>6.4641968430097813E-2</v>
      </c>
      <c r="E40" s="262">
        <f t="shared" si="16"/>
        <v>6.2331551798752771E-2</v>
      </c>
      <c r="F40" s="262">
        <f t="shared" si="16"/>
        <v>5.7179115673617206E-2</v>
      </c>
      <c r="G40" s="262">
        <f t="shared" si="16"/>
        <v>5.4390640601846806E-2</v>
      </c>
      <c r="H40" s="262">
        <f t="shared" si="16"/>
        <v>5.72511178115227E-2</v>
      </c>
      <c r="I40" s="262">
        <f t="shared" si="16"/>
        <v>5.7281059776386603E-2</v>
      </c>
      <c r="J40" s="262">
        <f t="shared" si="16"/>
        <v>5.4464997855008183E-2</v>
      </c>
      <c r="K40" s="262">
        <f t="shared" si="16"/>
        <v>5.5687680108499907E-2</v>
      </c>
      <c r="L40" s="262">
        <f t="shared" si="16"/>
        <v>5.1241511305501433E-2</v>
      </c>
      <c r="M40" s="262">
        <f t="shared" si="16"/>
        <v>4.7686654566477762E-2</v>
      </c>
      <c r="N40" s="262">
        <f t="shared" si="16"/>
        <v>4.924738357782369E-2</v>
      </c>
      <c r="O40" s="262">
        <f t="shared" si="16"/>
        <v>4.8531312924587067E-2</v>
      </c>
      <c r="P40" s="262">
        <f t="shared" si="16"/>
        <v>5.0828870169742954E-2</v>
      </c>
      <c r="Q40" s="262">
        <f t="shared" si="16"/>
        <v>4.5355013193182706E-2</v>
      </c>
      <c r="R40" s="262">
        <f t="shared" si="16"/>
        <v>4.4382666938320055E-2</v>
      </c>
      <c r="S40" s="262">
        <f t="shared" si="16"/>
        <v>4.7797218256905298E-2</v>
      </c>
      <c r="T40" s="262">
        <f t="shared" si="16"/>
        <v>4.6380706290845224E-2</v>
      </c>
      <c r="U40" s="262">
        <f t="shared" si="16"/>
        <v>5.4623109510432477E-2</v>
      </c>
      <c r="V40" s="262">
        <f t="shared" si="16"/>
        <v>4.759186347132642E-2</v>
      </c>
      <c r="W40" s="262">
        <f t="shared" si="16"/>
        <v>4.4374815438791779E-2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0.40950119719290368</v>
      </c>
      <c r="C44" s="238">
        <f>IF(C$5=0,0,C$5/AGR_fec!C$5)</f>
        <v>0.40750002336619928</v>
      </c>
      <c r="D44" s="238">
        <f>IF(D$5=0,0,D$5/AGR_fec!D$5)</f>
        <v>0.418110659793694</v>
      </c>
      <c r="E44" s="238">
        <f>IF(E$5=0,0,E$5/AGR_fec!E$5)</f>
        <v>0.41186422678640483</v>
      </c>
      <c r="F44" s="238">
        <f>IF(F$5=0,0,F$5/AGR_fec!F$5)</f>
        <v>0.39698662510659743</v>
      </c>
      <c r="G44" s="238">
        <f>IF(G$5=0,0,G$5/AGR_fec!G$5)</f>
        <v>0.39371191618715656</v>
      </c>
      <c r="H44" s="238">
        <f>IF(H$5=0,0,H$5/AGR_fec!H$5)</f>
        <v>0.39826601717019255</v>
      </c>
      <c r="I44" s="238">
        <f>IF(I$5=0,0,I$5/AGR_fec!I$5)</f>
        <v>0.3990826637853368</v>
      </c>
      <c r="J44" s="238">
        <f>IF(J$5=0,0,J$5/AGR_fec!J$5)</f>
        <v>0.3945697012393995</v>
      </c>
      <c r="K44" s="238">
        <f>IF(K$5=0,0,K$5/AGR_fec!K$5)</f>
        <v>0.39536512405597046</v>
      </c>
      <c r="L44" s="238">
        <f>IF(L$5=0,0,L$5/AGR_fec!L$5)</f>
        <v>0.3892834608425868</v>
      </c>
      <c r="M44" s="238">
        <f>IF(M$5=0,0,M$5/AGR_fec!M$5)</f>
        <v>0.38626919795554776</v>
      </c>
      <c r="N44" s="238">
        <f>IF(N$5=0,0,N$5/AGR_fec!N$5)</f>
        <v>0.38356185737636922</v>
      </c>
      <c r="O44" s="238">
        <f>IF(O$5=0,0,O$5/AGR_fec!O$5)</f>
        <v>0.38425620687500384</v>
      </c>
      <c r="P44" s="238">
        <f>IF(P$5=0,0,P$5/AGR_fec!P$5)</f>
        <v>0.38266131714012014</v>
      </c>
      <c r="Q44" s="238">
        <f>IF(Q$5=0,0,Q$5/AGR_fec!Q$5)</f>
        <v>0.38083194141183285</v>
      </c>
      <c r="R44" s="238">
        <f>IF(R$5=0,0,R$5/AGR_fec!R$5)</f>
        <v>0.37975409883967243</v>
      </c>
      <c r="S44" s="238">
        <f>IF(S$5=0,0,S$5/AGR_fec!S$5)</f>
        <v>0.38362513847629115</v>
      </c>
      <c r="T44" s="238">
        <f>IF(T$5=0,0,T$5/AGR_fec!T$5)</f>
        <v>0.38202107242240635</v>
      </c>
      <c r="U44" s="238">
        <f>IF(U$5=0,0,U$5/AGR_fec!U$5)</f>
        <v>0.3911627096584061</v>
      </c>
      <c r="V44" s="238">
        <f>IF(V$5=0,0,V$5/AGR_fec!V$5)</f>
        <v>0.38374786764875407</v>
      </c>
      <c r="W44" s="238">
        <f>IF(W$5=0,0,W$5/AGR_fec!W$5)</f>
        <v>0.38202618924579895</v>
      </c>
      <c r="DA44" s="287"/>
    </row>
    <row r="45" spans="1:105" x14ac:dyDescent="0.25">
      <c r="A45" s="239" t="s">
        <v>125</v>
      </c>
      <c r="B45" s="251">
        <f>IF(B$6=0,0,B$6/AGR_fec!B$6)</f>
        <v>0.44835678252559691</v>
      </c>
      <c r="C45" s="251">
        <f>IF(C$6=0,0,C$6/AGR_fec!C$6)</f>
        <v>0.4483567825255968</v>
      </c>
      <c r="D45" s="251">
        <f>IF(D$6=0,0,D$6/AGR_fec!D$6)</f>
        <v>0.44835678252559685</v>
      </c>
      <c r="E45" s="251">
        <f>IF(E$6=0,0,E$6/AGR_fec!E$6)</f>
        <v>0.44835678252559674</v>
      </c>
      <c r="F45" s="251">
        <f>IF(F$6=0,0,F$6/AGR_fec!F$6)</f>
        <v>0.44835678252559669</v>
      </c>
      <c r="G45" s="251">
        <f>IF(G$6=0,0,G$6/AGR_fec!G$6)</f>
        <v>0.44835678252559691</v>
      </c>
      <c r="H45" s="251">
        <f>IF(H$6=0,0,H$6/AGR_fec!H$6)</f>
        <v>0.44835678252559685</v>
      </c>
      <c r="I45" s="251">
        <f>IF(I$6=0,0,I$6/AGR_fec!I$6)</f>
        <v>0.44835678252559674</v>
      </c>
      <c r="J45" s="251">
        <f>IF(J$6=0,0,J$6/AGR_fec!J$6)</f>
        <v>0.44835678252559691</v>
      </c>
      <c r="K45" s="251">
        <f>IF(K$6=0,0,K$6/AGR_fec!K$6)</f>
        <v>0.4483567825255968</v>
      </c>
      <c r="L45" s="251">
        <f>IF(L$6=0,0,L$6/AGR_fec!L$6)</f>
        <v>0.44835678252559685</v>
      </c>
      <c r="M45" s="251">
        <f>IF(M$6=0,0,M$6/AGR_fec!M$6)</f>
        <v>0.44835678252559674</v>
      </c>
      <c r="N45" s="251">
        <f>IF(N$6=0,0,N$6/AGR_fec!N$6)</f>
        <v>0.4483567825255968</v>
      </c>
      <c r="O45" s="251">
        <f>IF(O$6=0,0,O$6/AGR_fec!O$6)</f>
        <v>0.4483567825255968</v>
      </c>
      <c r="P45" s="251">
        <f>IF(P$6=0,0,P$6/AGR_fec!P$6)</f>
        <v>0.44835678252559691</v>
      </c>
      <c r="Q45" s="251">
        <f>IF(Q$6=0,0,Q$6/AGR_fec!Q$6)</f>
        <v>0.4483567825255968</v>
      </c>
      <c r="R45" s="251">
        <f>IF(R$6=0,0,R$6/AGR_fec!R$6)</f>
        <v>0.4483567825255968</v>
      </c>
      <c r="S45" s="251">
        <f>IF(S$6=0,0,S$6/AGR_fec!S$6)</f>
        <v>0.44835678252559691</v>
      </c>
      <c r="T45" s="251">
        <f>IF(T$6=0,0,T$6/AGR_fec!T$6)</f>
        <v>0.4483567825255968</v>
      </c>
      <c r="U45" s="251">
        <f>IF(U$6=0,0,U$6/AGR_fec!U$6)</f>
        <v>0.44835678252559674</v>
      </c>
      <c r="V45" s="251">
        <f>IF(V$6=0,0,V$6/AGR_fec!V$6)</f>
        <v>0.44835678252559685</v>
      </c>
      <c r="W45" s="251">
        <f>IF(W$6=0,0,W$6/AGR_fec!W$6)</f>
        <v>0.44835678252559691</v>
      </c>
      <c r="DA45" s="288"/>
    </row>
    <row r="46" spans="1:105" x14ac:dyDescent="0.25">
      <c r="A46" s="241" t="s">
        <v>124</v>
      </c>
      <c r="B46" s="252">
        <f>IF(B$7=0,0,B$7/AGR_fec!B$7)</f>
        <v>0.44460310087959237</v>
      </c>
      <c r="C46" s="252">
        <f>IF(C$7=0,0,C$7/AGR_fec!C$7)</f>
        <v>0.44460310087959215</v>
      </c>
      <c r="D46" s="252">
        <f>IF(D$7=0,0,D$7/AGR_fec!D$7)</f>
        <v>0.44460310087959226</v>
      </c>
      <c r="E46" s="252">
        <f>IF(E$7=0,0,E$7/AGR_fec!E$7)</f>
        <v>0.44460310087959259</v>
      </c>
      <c r="F46" s="252">
        <f>IF(F$7=0,0,F$7/AGR_fec!F$7)</f>
        <v>0.44460310087959254</v>
      </c>
      <c r="G46" s="252">
        <f>IF(G$7=0,0,G$7/AGR_fec!G$7)</f>
        <v>0.44460310087959248</v>
      </c>
      <c r="H46" s="252">
        <f>IF(H$7=0,0,H$7/AGR_fec!H$7)</f>
        <v>0.44460310087959226</v>
      </c>
      <c r="I46" s="252">
        <f>IF(I$7=0,0,I$7/AGR_fec!I$7)</f>
        <v>0.44460310087959254</v>
      </c>
      <c r="J46" s="252">
        <f>IF(J$7=0,0,J$7/AGR_fec!J$7)</f>
        <v>0.44460310087959232</v>
      </c>
      <c r="K46" s="252">
        <f>IF(K$7=0,0,K$7/AGR_fec!K$7)</f>
        <v>0.44460310087959243</v>
      </c>
      <c r="L46" s="252">
        <f>IF(L$7=0,0,L$7/AGR_fec!L$7)</f>
        <v>0.44460310087959221</v>
      </c>
      <c r="M46" s="252">
        <f>IF(M$7=0,0,M$7/AGR_fec!M$7)</f>
        <v>0.44460310087959254</v>
      </c>
      <c r="N46" s="252">
        <f>IF(N$7=0,0,N$7/AGR_fec!N$7)</f>
        <v>0.44460310087959254</v>
      </c>
      <c r="O46" s="252">
        <f>IF(O$7=0,0,O$7/AGR_fec!O$7)</f>
        <v>0.44460310087959248</v>
      </c>
      <c r="P46" s="252">
        <f>IF(P$7=0,0,P$7/AGR_fec!P$7)</f>
        <v>0.44460310087959215</v>
      </c>
      <c r="Q46" s="252">
        <f>IF(Q$7=0,0,Q$7/AGR_fec!Q$7)</f>
        <v>0.44460310087959221</v>
      </c>
      <c r="R46" s="252">
        <f>IF(R$7=0,0,R$7/AGR_fec!R$7)</f>
        <v>0.44460310087959226</v>
      </c>
      <c r="S46" s="252">
        <f>IF(S$7=0,0,S$7/AGR_fec!S$7)</f>
        <v>0.44460310087959254</v>
      </c>
      <c r="T46" s="252">
        <f>IF(T$7=0,0,T$7/AGR_fec!T$7)</f>
        <v>0.44460310087959259</v>
      </c>
      <c r="U46" s="252">
        <f>IF(U$7=0,0,U$7/AGR_fec!U$7)</f>
        <v>0.44460310087959221</v>
      </c>
      <c r="V46" s="252">
        <f>IF(V$7=0,0,V$7/AGR_fec!V$7)</f>
        <v>0.44460310087959259</v>
      </c>
      <c r="W46" s="252">
        <f>IF(W$7=0,0,W$7/AGR_fec!W$7)</f>
        <v>0.44460310087959232</v>
      </c>
      <c r="DA46" s="289"/>
    </row>
    <row r="47" spans="1:105" x14ac:dyDescent="0.25">
      <c r="A47" s="241" t="s">
        <v>123</v>
      </c>
      <c r="B47" s="252">
        <f>IF(B$8=0,0,B$8/AGR_fec!B$8)</f>
        <v>0.63810472028940657</v>
      </c>
      <c r="C47" s="252">
        <f>IF(C$8=0,0,C$8/AGR_fec!C$8)</f>
        <v>0.63810472028940624</v>
      </c>
      <c r="D47" s="252">
        <f>IF(D$8=0,0,D$8/AGR_fec!D$8)</f>
        <v>0.63810472028940624</v>
      </c>
      <c r="E47" s="252">
        <f>IF(E$8=0,0,E$8/AGR_fec!E$8)</f>
        <v>0.63810472028940635</v>
      </c>
      <c r="F47" s="252">
        <f>IF(F$8=0,0,F$8/AGR_fec!F$8)</f>
        <v>0.63810472028940646</v>
      </c>
      <c r="G47" s="252">
        <f>IF(G$8=0,0,G$8/AGR_fec!G$8)</f>
        <v>0.63810472028940646</v>
      </c>
      <c r="H47" s="252">
        <f>IF(H$8=0,0,H$8/AGR_fec!H$8)</f>
        <v>0.63810472028940612</v>
      </c>
      <c r="I47" s="252">
        <f>IF(I$8=0,0,I$8/AGR_fec!I$8)</f>
        <v>0.63810472028940635</v>
      </c>
      <c r="J47" s="252">
        <f>IF(J$8=0,0,J$8/AGR_fec!J$8)</f>
        <v>0.63810472028940646</v>
      </c>
      <c r="K47" s="252">
        <f>IF(K$8=0,0,K$8/AGR_fec!K$8)</f>
        <v>0.63810472028940646</v>
      </c>
      <c r="L47" s="252">
        <f>IF(L$8=0,0,L$8/AGR_fec!L$8)</f>
        <v>0.63810472028940635</v>
      </c>
      <c r="M47" s="252">
        <f>IF(M$8=0,0,M$8/AGR_fec!M$8)</f>
        <v>0.63810472028940646</v>
      </c>
      <c r="N47" s="252">
        <f>IF(N$8=0,0,N$8/AGR_fec!N$8)</f>
        <v>0.63810472028940635</v>
      </c>
      <c r="O47" s="252">
        <f>IF(O$8=0,0,O$8/AGR_fec!O$8)</f>
        <v>0.63810472028940646</v>
      </c>
      <c r="P47" s="252">
        <f>IF(P$8=0,0,P$8/AGR_fec!P$8)</f>
        <v>0.63810472028940635</v>
      </c>
      <c r="Q47" s="252">
        <f>IF(Q$8=0,0,Q$8/AGR_fec!Q$8)</f>
        <v>0.63810472028940635</v>
      </c>
      <c r="R47" s="252">
        <f>IF(R$8=0,0,R$8/AGR_fec!R$8)</f>
        <v>0.63810472028940635</v>
      </c>
      <c r="S47" s="252">
        <f>IF(S$8=0,0,S$8/AGR_fec!S$8)</f>
        <v>0.63810472028940635</v>
      </c>
      <c r="T47" s="252">
        <f>IF(T$8=0,0,T$8/AGR_fec!T$8)</f>
        <v>0.63810472028940635</v>
      </c>
      <c r="U47" s="252">
        <f>IF(U$8=0,0,U$8/AGR_fec!U$8)</f>
        <v>0.63810472028940635</v>
      </c>
      <c r="V47" s="252">
        <f>IF(V$8=0,0,V$8/AGR_fec!V$8)</f>
        <v>0.63810472028940635</v>
      </c>
      <c r="W47" s="252">
        <f>IF(W$8=0,0,W$8/AGR_fec!W$8)</f>
        <v>0.63810472028940624</v>
      </c>
      <c r="DA47" s="289"/>
    </row>
    <row r="48" spans="1:105" x14ac:dyDescent="0.25">
      <c r="A48" s="243" t="s">
        <v>122</v>
      </c>
      <c r="B48" s="253">
        <f>IF(B$9=0,0,B$9/AGR_fec!B$9)</f>
        <v>0.68214416705624614</v>
      </c>
      <c r="C48" s="253">
        <f>IF(C$9=0,0,C$9/AGR_fec!C$9)</f>
        <v>0.67633841726639732</v>
      </c>
      <c r="D48" s="253">
        <f>IF(D$9=0,0,D$9/AGR_fec!D$9)</f>
        <v>0.69551246582622572</v>
      </c>
      <c r="E48" s="253">
        <f>IF(E$9=0,0,E$9/AGR_fec!E$9)</f>
        <v>0.68302097764076364</v>
      </c>
      <c r="F48" s="253">
        <f>IF(F$9=0,0,F$9/AGR_fec!F$9)</f>
        <v>0.66550015589669509</v>
      </c>
      <c r="G48" s="253">
        <f>IF(G$9=0,0,G$9/AGR_fec!G$9)</f>
        <v>0.6550733303794769</v>
      </c>
      <c r="H48" s="253">
        <f>IF(H$9=0,0,H$9/AGR_fec!H$9)</f>
        <v>0.65992229641739963</v>
      </c>
      <c r="I48" s="253">
        <f>IF(I$9=0,0,I$9/AGR_fec!I$9)</f>
        <v>0.6608946385326907</v>
      </c>
      <c r="J48" s="253">
        <f>IF(J$9=0,0,J$9/AGR_fec!J$9)</f>
        <v>0.65220312183283746</v>
      </c>
      <c r="K48" s="253">
        <f>IF(K$9=0,0,K$9/AGR_fec!K$9)</f>
        <v>0.65634197151913065</v>
      </c>
      <c r="L48" s="253">
        <f>IF(L$9=0,0,L$9/AGR_fec!L$9)</f>
        <v>0.64503307416786515</v>
      </c>
      <c r="M48" s="253">
        <f>IF(M$9=0,0,M$9/AGR_fec!M$9)</f>
        <v>0.64327361478939693</v>
      </c>
      <c r="N48" s="253">
        <f>IF(N$9=0,0,N$9/AGR_fec!N$9)</f>
        <v>0.6415239401280517</v>
      </c>
      <c r="O48" s="253">
        <f>IF(O$9=0,0,O$9/AGR_fec!O$9)</f>
        <v>0.63646837297680503</v>
      </c>
      <c r="P48" s="253">
        <f>IF(P$9=0,0,P$9/AGR_fec!P$9)</f>
        <v>0.63696086365594706</v>
      </c>
      <c r="Q48" s="253">
        <f>IF(Q$9=0,0,Q$9/AGR_fec!Q$9)</f>
        <v>0.63645990802933938</v>
      </c>
      <c r="R48" s="253">
        <f>IF(R$9=0,0,R$9/AGR_fec!R$9)</f>
        <v>0.63537027761199505</v>
      </c>
      <c r="S48" s="253">
        <f>IF(S$9=0,0,S$9/AGR_fec!S$9)</f>
        <v>0.64212392978447297</v>
      </c>
      <c r="T48" s="253">
        <f>IF(T$9=0,0,T$9/AGR_fec!T$9)</f>
        <v>0.63739072900302474</v>
      </c>
      <c r="U48" s="253">
        <f>IF(U$9=0,0,U$9/AGR_fec!U$9)</f>
        <v>0.65705119173086579</v>
      </c>
      <c r="V48" s="253">
        <f>IF(V$9=0,0,V$9/AGR_fec!V$9)</f>
        <v>0.64109001232614515</v>
      </c>
      <c r="W48" s="253">
        <f>IF(W$9=0,0,W$9/AGR_fec!W$9)</f>
        <v>0.63852440334088012</v>
      </c>
      <c r="DA48" s="290"/>
    </row>
    <row r="49" spans="1:105" x14ac:dyDescent="0.25">
      <c r="A49" s="128" t="s">
        <v>175</v>
      </c>
      <c r="B49" s="265">
        <f>IF(B$16=0,0,B$16/AGR_fec!B$16)</f>
        <v>0.3208350164811789</v>
      </c>
      <c r="C49" s="265">
        <f>IF(C$16=0,0,C$16/AGR_fec!C$16)</f>
        <v>0.32083501648117885</v>
      </c>
      <c r="D49" s="265">
        <f>IF(D$16=0,0,D$16/AGR_fec!D$16)</f>
        <v>0.3208350164811789</v>
      </c>
      <c r="E49" s="265">
        <f>IF(E$16=0,0,E$16/AGR_fec!E$16)</f>
        <v>0.32083501648117879</v>
      </c>
      <c r="F49" s="265">
        <f>IF(F$16=0,0,F$16/AGR_fec!F$16)</f>
        <v>0.32083501648117885</v>
      </c>
      <c r="G49" s="265">
        <f>IF(G$16=0,0,G$16/AGR_fec!G$16)</f>
        <v>0.32083501648117874</v>
      </c>
      <c r="H49" s="265">
        <f>IF(H$16=0,0,H$16/AGR_fec!H$16)</f>
        <v>0.32083501648117879</v>
      </c>
      <c r="I49" s="265">
        <f>IF(I$16=0,0,I$16/AGR_fec!I$16)</f>
        <v>0.3208350164811789</v>
      </c>
      <c r="J49" s="265">
        <f>IF(J$16=0,0,J$16/AGR_fec!J$16)</f>
        <v>0.32083501648117901</v>
      </c>
      <c r="K49" s="265">
        <f>IF(K$16=0,0,K$16/AGR_fec!K$16)</f>
        <v>0.32083501648117885</v>
      </c>
      <c r="L49" s="265">
        <f>IF(L$16=0,0,L$16/AGR_fec!L$16)</f>
        <v>0.3208350164811789</v>
      </c>
      <c r="M49" s="265">
        <f>IF(M$16=0,0,M$16/AGR_fec!M$16)</f>
        <v>0.3208350164811789</v>
      </c>
      <c r="N49" s="265">
        <f>IF(N$16=0,0,N$16/AGR_fec!N$16)</f>
        <v>0.32083501648117896</v>
      </c>
      <c r="O49" s="265">
        <f>IF(O$16=0,0,O$16/AGR_fec!O$16)</f>
        <v>0.32083501648117896</v>
      </c>
      <c r="P49" s="265">
        <f>IF(P$16=0,0,P$16/AGR_fec!P$16)</f>
        <v>0.32083501648117896</v>
      </c>
      <c r="Q49" s="265">
        <f>IF(Q$16=0,0,Q$16/AGR_fec!Q$16)</f>
        <v>0.32083501648117907</v>
      </c>
      <c r="R49" s="265">
        <f>IF(R$16=0,0,R$16/AGR_fec!R$16)</f>
        <v>0.32083501648117885</v>
      </c>
      <c r="S49" s="265">
        <f>IF(S$16=0,0,S$16/AGR_fec!S$16)</f>
        <v>0.3208350164811789</v>
      </c>
      <c r="T49" s="265">
        <f>IF(T$16=0,0,T$16/AGR_fec!T$16)</f>
        <v>0.3208350164811789</v>
      </c>
      <c r="U49" s="265">
        <f>IF(U$16=0,0,U$16/AGR_fec!U$16)</f>
        <v>0.3208350164811789</v>
      </c>
      <c r="V49" s="265">
        <f>IF(V$16=0,0,V$16/AGR_fec!V$16)</f>
        <v>0.32083501648117885</v>
      </c>
      <c r="W49" s="265">
        <f>IF(W$16=0,0,W$16/AGR_fec!W$16)</f>
        <v>0.32083501648117896</v>
      </c>
      <c r="DA49" s="291"/>
    </row>
    <row r="50" spans="1:105" x14ac:dyDescent="0.25">
      <c r="A50" s="128" t="s">
        <v>121</v>
      </c>
      <c r="B50" s="265">
        <f>IF(B$17=0,0,B$17/AGR_fec!B$17)</f>
        <v>0.26576066096007539</v>
      </c>
      <c r="C50" s="265">
        <f>IF(C$17=0,0,C$17/AGR_fec!C$17)</f>
        <v>0.2679733419113155</v>
      </c>
      <c r="D50" s="265">
        <f>IF(D$17=0,0,D$17/AGR_fec!D$17)</f>
        <v>0.2655960718712142</v>
      </c>
      <c r="E50" s="265">
        <f>IF(E$17=0,0,E$17/AGR_fec!E$17)</f>
        <v>0.26648512442029254</v>
      </c>
      <c r="F50" s="265">
        <f>IF(F$17=0,0,F$17/AGR_fec!F$17)</f>
        <v>0.26422030531705754</v>
      </c>
      <c r="G50" s="265">
        <f>IF(G$17=0,0,G$17/AGR_fec!G$17)</f>
        <v>0.26638165079565845</v>
      </c>
      <c r="H50" s="265">
        <f>IF(H$17=0,0,H$17/AGR_fec!H$17)</f>
        <v>0.26746985499619197</v>
      </c>
      <c r="I50" s="265">
        <f>IF(I$17=0,0,I$17/AGR_fec!I$17)</f>
        <v>0.266310390802803</v>
      </c>
      <c r="J50" s="265">
        <f>IF(J$17=0,0,J$17/AGR_fec!J$17)</f>
        <v>0.26655106007018131</v>
      </c>
      <c r="K50" s="265">
        <f>IF(K$17=0,0,K$17/AGR_fec!K$17)</f>
        <v>0.26565112952726089</v>
      </c>
      <c r="L50" s="265">
        <f>IF(L$17=0,0,L$17/AGR_fec!L$17)</f>
        <v>0.26665056282883542</v>
      </c>
      <c r="M50" s="265">
        <f>IF(M$17=0,0,M$17/AGR_fec!M$17)</f>
        <v>0.26568008557953182</v>
      </c>
      <c r="N50" s="265">
        <f>IF(N$17=0,0,N$17/AGR_fec!N$17)</f>
        <v>0.26383956234499362</v>
      </c>
      <c r="O50" s="265">
        <f>IF(O$17=0,0,O$17/AGR_fec!O$17)</f>
        <v>0.26734390800233782</v>
      </c>
      <c r="P50" s="265">
        <f>IF(P$17=0,0,P$17/AGR_fec!P$17)</f>
        <v>0.26335177970844137</v>
      </c>
      <c r="Q50" s="265">
        <f>IF(Q$17=0,0,Q$17/AGR_fec!Q$17)</f>
        <v>0.26446965299311598</v>
      </c>
      <c r="R50" s="265">
        <f>IF(R$17=0,0,R$17/AGR_fec!R$17)</f>
        <v>0.26385608228420199</v>
      </c>
      <c r="S50" s="265">
        <f>IF(S$17=0,0,S$17/AGR_fec!S$17)</f>
        <v>0.2646085881371415</v>
      </c>
      <c r="T50" s="265">
        <f>IF(T$17=0,0,T$17/AGR_fec!T$17)</f>
        <v>0.26493319916103725</v>
      </c>
      <c r="U50" s="265">
        <f>IF(U$17=0,0,U$17/AGR_fec!U$17)</f>
        <v>0.26450933539271099</v>
      </c>
      <c r="V50" s="265">
        <f>IF(V$17=0,0,V$17/AGR_fec!V$17)</f>
        <v>0.26563833430136496</v>
      </c>
      <c r="W50" s="265">
        <f>IF(W$17=0,0,W$17/AGR_fec!W$17)</f>
        <v>0.26650877369526749</v>
      </c>
      <c r="DA50" s="291"/>
    </row>
    <row r="51" spans="1:105" x14ac:dyDescent="0.25">
      <c r="A51" s="128" t="s">
        <v>174</v>
      </c>
      <c r="B51" s="265">
        <f>IF(B$25=0,0,B$25/AGR_fec!B$25)</f>
        <v>0.22458451153682527</v>
      </c>
      <c r="C51" s="265">
        <f>IF(C$25=0,0,C$25/AGR_fec!C$25)</f>
        <v>0.22458451153682515</v>
      </c>
      <c r="D51" s="265">
        <f>IF(D$25=0,0,D$25/AGR_fec!D$25)</f>
        <v>0.22458451153682518</v>
      </c>
      <c r="E51" s="265">
        <f>IF(E$25=0,0,E$25/AGR_fec!E$25)</f>
        <v>0.22458451153682513</v>
      </c>
      <c r="F51" s="265">
        <f>IF(F$25=0,0,F$25/AGR_fec!F$25)</f>
        <v>0.22458451153682518</v>
      </c>
      <c r="G51" s="265">
        <f>IF(G$25=0,0,G$25/AGR_fec!G$25)</f>
        <v>0.22458451153682527</v>
      </c>
      <c r="H51" s="265">
        <f>IF(H$25=0,0,H$25/AGR_fec!H$25)</f>
        <v>0.22458451153682521</v>
      </c>
      <c r="I51" s="265">
        <f>IF(I$25=0,0,I$25/AGR_fec!I$25)</f>
        <v>0.22458451153682518</v>
      </c>
      <c r="J51" s="265">
        <f>IF(J$25=0,0,J$25/AGR_fec!J$25)</f>
        <v>0.22458451153682513</v>
      </c>
      <c r="K51" s="265">
        <f>IF(K$25=0,0,K$25/AGR_fec!K$25)</f>
        <v>0.22458451153682524</v>
      </c>
      <c r="L51" s="265">
        <f>IF(L$25=0,0,L$25/AGR_fec!L$25)</f>
        <v>0.22458451153682524</v>
      </c>
      <c r="M51" s="265">
        <f>IF(M$25=0,0,M$25/AGR_fec!M$25)</f>
        <v>0.22458451153682524</v>
      </c>
      <c r="N51" s="265">
        <f>IF(N$25=0,0,N$25/AGR_fec!N$25)</f>
        <v>0.22458451153682521</v>
      </c>
      <c r="O51" s="265">
        <f>IF(O$25=0,0,O$25/AGR_fec!O$25)</f>
        <v>0.22458451153682513</v>
      </c>
      <c r="P51" s="265">
        <f>IF(P$25=0,0,P$25/AGR_fec!P$25)</f>
        <v>0.22458451153682527</v>
      </c>
      <c r="Q51" s="265">
        <f>IF(Q$25=0,0,Q$25/AGR_fec!Q$25)</f>
        <v>0.22458451153682527</v>
      </c>
      <c r="R51" s="265">
        <f>IF(R$25=0,0,R$25/AGR_fec!R$25)</f>
        <v>0.22458451153682513</v>
      </c>
      <c r="S51" s="265">
        <f>IF(S$25=0,0,S$25/AGR_fec!S$25)</f>
        <v>0.22458451153682521</v>
      </c>
      <c r="T51" s="265">
        <f>IF(T$25=0,0,T$25/AGR_fec!T$25)</f>
        <v>0.22458451153682524</v>
      </c>
      <c r="U51" s="265">
        <f>IF(U$25=0,0,U$25/AGR_fec!U$25)</f>
        <v>0.22458451153682521</v>
      </c>
      <c r="V51" s="265">
        <f>IF(V$25=0,0,V$25/AGR_fec!V$25)</f>
        <v>0.22458451153682524</v>
      </c>
      <c r="W51" s="265">
        <f>IF(W$25=0,0,W$25/AGR_fec!W$25)</f>
        <v>0.22458451153682521</v>
      </c>
      <c r="DA51" s="291"/>
    </row>
    <row r="52" spans="1:105" x14ac:dyDescent="0.25">
      <c r="A52" s="128" t="s">
        <v>177</v>
      </c>
      <c r="B52" s="265">
        <f>IF(B$26=0,0,B$26/AGR_fec!B$26)</f>
        <v>0.44460310087959232</v>
      </c>
      <c r="C52" s="265">
        <f>IF(C$26=0,0,C$26/AGR_fec!C$26)</f>
        <v>0.44460310087959237</v>
      </c>
      <c r="D52" s="265">
        <f>IF(D$26=0,0,D$26/AGR_fec!D$26)</f>
        <v>0.44460310087959237</v>
      </c>
      <c r="E52" s="265">
        <f>IF(E$26=0,0,E$26/AGR_fec!E$26)</f>
        <v>0.44460310087959237</v>
      </c>
      <c r="F52" s="265">
        <f>IF(F$26=0,0,F$26/AGR_fec!F$26)</f>
        <v>0.44460310087959248</v>
      </c>
      <c r="G52" s="265">
        <f>IF(G$26=0,0,G$26/AGR_fec!G$26)</f>
        <v>0.44460310087959243</v>
      </c>
      <c r="H52" s="265">
        <f>IF(H$26=0,0,H$26/AGR_fec!H$26)</f>
        <v>0.44460310087959232</v>
      </c>
      <c r="I52" s="265">
        <f>IF(I$26=0,0,I$26/AGR_fec!I$26)</f>
        <v>0.44460310087959248</v>
      </c>
      <c r="J52" s="265">
        <f>IF(J$26=0,0,J$26/AGR_fec!J$26)</f>
        <v>0.44460310087959243</v>
      </c>
      <c r="K52" s="265">
        <f>IF(K$26=0,0,K$26/AGR_fec!K$26)</f>
        <v>0.44460310087959232</v>
      </c>
      <c r="L52" s="265">
        <f>IF(L$26=0,0,L$26/AGR_fec!L$26)</f>
        <v>0.44460310087959237</v>
      </c>
      <c r="M52" s="265">
        <f>IF(M$26=0,0,M$26/AGR_fec!M$26)</f>
        <v>0.44460310087959226</v>
      </c>
      <c r="N52" s="265">
        <f>IF(N$26=0,0,N$26/AGR_fec!N$26)</f>
        <v>0.44460310087959254</v>
      </c>
      <c r="O52" s="265">
        <f>IF(O$26=0,0,O$26/AGR_fec!O$26)</f>
        <v>0.44460310087959226</v>
      </c>
      <c r="P52" s="265">
        <f>IF(P$26=0,0,P$26/AGR_fec!P$26)</f>
        <v>0.44460310087959237</v>
      </c>
      <c r="Q52" s="265">
        <f>IF(Q$26=0,0,Q$26/AGR_fec!Q$26)</f>
        <v>0.44460310087959226</v>
      </c>
      <c r="R52" s="265">
        <f>IF(R$26=0,0,R$26/AGR_fec!R$26)</f>
        <v>0.44460310087959248</v>
      </c>
      <c r="S52" s="265">
        <f>IF(S$26=0,0,S$26/AGR_fec!S$26)</f>
        <v>0.44460310087959248</v>
      </c>
      <c r="T52" s="265">
        <f>IF(T$26=0,0,T$26/AGR_fec!T$26)</f>
        <v>0.44460310087959232</v>
      </c>
      <c r="U52" s="265">
        <f>IF(U$26=0,0,U$26/AGR_fec!U$26)</f>
        <v>0.44460310087959226</v>
      </c>
      <c r="V52" s="265">
        <f>IF(V$26=0,0,V$26/AGR_fec!V$26)</f>
        <v>0.44460310087959243</v>
      </c>
      <c r="W52" s="265">
        <f>IF(W$26=0,0,W$26/AGR_fec!W$26)</f>
        <v>0.44460310087959254</v>
      </c>
      <c r="DA52" s="291"/>
    </row>
    <row r="53" spans="1:105" x14ac:dyDescent="0.25">
      <c r="A53" s="261" t="s">
        <v>33</v>
      </c>
      <c r="B53" s="266">
        <f>IF(B$27=0,0,B$27/AGR_fec!B$27)</f>
        <v>0.46731304355149539</v>
      </c>
      <c r="C53" s="266">
        <f>IF(C$27=0,0,C$27/AGR_fec!C$27)</f>
        <v>0.46731304355149528</v>
      </c>
      <c r="D53" s="266">
        <f>IF(D$27=0,0,D$27/AGR_fec!D$27)</f>
        <v>0.46731304355149533</v>
      </c>
      <c r="E53" s="266">
        <f>IF(E$27=0,0,E$27/AGR_fec!E$27)</f>
        <v>0.46731304355149528</v>
      </c>
      <c r="F53" s="266">
        <f>IF(F$27=0,0,F$27/AGR_fec!F$27)</f>
        <v>0.46731304355149522</v>
      </c>
      <c r="G53" s="266">
        <f>IF(G$27=0,0,G$27/AGR_fec!G$27)</f>
        <v>0.46731304355149544</v>
      </c>
      <c r="H53" s="266">
        <f>IF(H$27=0,0,H$27/AGR_fec!H$27)</f>
        <v>0.46731304355149528</v>
      </c>
      <c r="I53" s="266">
        <f>IF(I$27=0,0,I$27/AGR_fec!I$27)</f>
        <v>0.46731304355149522</v>
      </c>
      <c r="J53" s="266">
        <f>IF(J$27=0,0,J$27/AGR_fec!J$27)</f>
        <v>0.46731304355149528</v>
      </c>
      <c r="K53" s="266">
        <f>IF(K$27=0,0,K$27/AGR_fec!K$27)</f>
        <v>0.46731304355149528</v>
      </c>
      <c r="L53" s="266">
        <f>IF(L$27=0,0,L$27/AGR_fec!L$27)</f>
        <v>0.46731304355149517</v>
      </c>
      <c r="M53" s="266">
        <f>IF(M$27=0,0,M$27/AGR_fec!M$27)</f>
        <v>0.46731304355149533</v>
      </c>
      <c r="N53" s="266">
        <f>IF(N$27=0,0,N$27/AGR_fec!N$27)</f>
        <v>0.46731304355149533</v>
      </c>
      <c r="O53" s="266">
        <f>IF(O$27=0,0,O$27/AGR_fec!O$27)</f>
        <v>0.46731304355149533</v>
      </c>
      <c r="P53" s="266">
        <f>IF(P$27=0,0,P$27/AGR_fec!P$27)</f>
        <v>0.46731304355149539</v>
      </c>
      <c r="Q53" s="266">
        <f>IF(Q$27=0,0,Q$27/AGR_fec!Q$27)</f>
        <v>0.46731304355149528</v>
      </c>
      <c r="R53" s="266">
        <f>IF(R$27=0,0,R$27/AGR_fec!R$27)</f>
        <v>0.46731304355149528</v>
      </c>
      <c r="S53" s="266">
        <f>IF(S$27=0,0,S$27/AGR_fec!S$27)</f>
        <v>0.46731304355149539</v>
      </c>
      <c r="T53" s="266">
        <f>IF(T$27=0,0,T$27/AGR_fec!T$27)</f>
        <v>0.46731304355149544</v>
      </c>
      <c r="U53" s="266">
        <f>IF(U$27=0,0,U$27/AGR_fec!U$27)</f>
        <v>0.46731304355149533</v>
      </c>
      <c r="V53" s="266">
        <f>IF(V$27=0,0,V$27/AGR_fec!V$27)</f>
        <v>0.46731304355149539</v>
      </c>
      <c r="W53" s="266">
        <f>IF(W$27=0,0,W$27/AGR_fec!W$27)</f>
        <v>0.46731304355149522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417.23983087130142</v>
      </c>
      <c r="C5" s="80">
        <f t="shared" ref="C5:W5" si="0">SUM(C6:C9,C16:C17,C25:C27)</f>
        <v>367.74294624755731</v>
      </c>
      <c r="D5" s="80">
        <f t="shared" si="0"/>
        <v>282.54036682536309</v>
      </c>
      <c r="E5" s="80">
        <f t="shared" si="0"/>
        <v>312.65063766793008</v>
      </c>
      <c r="F5" s="80">
        <f t="shared" si="0"/>
        <v>342.50541490219092</v>
      </c>
      <c r="G5" s="80">
        <f t="shared" si="0"/>
        <v>358.47563776464767</v>
      </c>
      <c r="H5" s="80">
        <f t="shared" si="0"/>
        <v>302.67910167112439</v>
      </c>
      <c r="I5" s="80">
        <f t="shared" si="0"/>
        <v>286.00718353358661</v>
      </c>
      <c r="J5" s="80">
        <f t="shared" si="0"/>
        <v>301.40225430591101</v>
      </c>
      <c r="K5" s="80">
        <f t="shared" si="0"/>
        <v>270.94842880434476</v>
      </c>
      <c r="L5" s="80">
        <f t="shared" si="0"/>
        <v>291.58834860865221</v>
      </c>
      <c r="M5" s="80">
        <f t="shared" si="0"/>
        <v>305.96176687624825</v>
      </c>
      <c r="N5" s="80">
        <f t="shared" si="0"/>
        <v>286.98265896735802</v>
      </c>
      <c r="O5" s="80">
        <f t="shared" si="0"/>
        <v>294.31248987444883</v>
      </c>
      <c r="P5" s="80">
        <f t="shared" si="0"/>
        <v>307.23286906366235</v>
      </c>
      <c r="Q5" s="80">
        <f t="shared" si="0"/>
        <v>263.38108798156708</v>
      </c>
      <c r="R5" s="80">
        <f t="shared" si="0"/>
        <v>270.05248563851205</v>
      </c>
      <c r="S5" s="80">
        <f t="shared" si="0"/>
        <v>244.33853500559059</v>
      </c>
      <c r="T5" s="80">
        <f t="shared" si="0"/>
        <v>236.25610221274684</v>
      </c>
      <c r="U5" s="80">
        <f t="shared" si="0"/>
        <v>230.1667925047104</v>
      </c>
      <c r="V5" s="80">
        <f t="shared" si="0"/>
        <v>240.53262642373969</v>
      </c>
      <c r="W5" s="80">
        <f t="shared" si="0"/>
        <v>240.16564448899177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55.931481516447171</v>
      </c>
      <c r="C9" s="244">
        <f t="shared" ref="C9:W9" si="1">SUM(C10:C15)</f>
        <v>54.930524444453454</v>
      </c>
      <c r="D9" s="244">
        <f t="shared" si="1"/>
        <v>36.017144212428903</v>
      </c>
      <c r="E9" s="244">
        <f t="shared" si="1"/>
        <v>43.331901264542132</v>
      </c>
      <c r="F9" s="244">
        <f t="shared" si="1"/>
        <v>55.109547065267648</v>
      </c>
      <c r="G9" s="244">
        <f t="shared" si="1"/>
        <v>61.990982957333784</v>
      </c>
      <c r="H9" s="244">
        <f t="shared" si="1"/>
        <v>50.758741339858467</v>
      </c>
      <c r="I9" s="244">
        <f t="shared" si="1"/>
        <v>46.740888269705252</v>
      </c>
      <c r="J9" s="244">
        <f t="shared" si="1"/>
        <v>52.03552438746847</v>
      </c>
      <c r="K9" s="244">
        <f t="shared" si="1"/>
        <v>46.865091951553978</v>
      </c>
      <c r="L9" s="244">
        <f t="shared" si="1"/>
        <v>54.091542698008425</v>
      </c>
      <c r="M9" s="244">
        <f t="shared" si="1"/>
        <v>59.071972098016531</v>
      </c>
      <c r="N9" s="244">
        <f t="shared" si="1"/>
        <v>57.082799799756813</v>
      </c>
      <c r="O9" s="244">
        <f t="shared" si="1"/>
        <v>58.257135882599414</v>
      </c>
      <c r="P9" s="244">
        <f t="shared" si="1"/>
        <v>60.883786634757179</v>
      </c>
      <c r="Q9" s="244">
        <f t="shared" si="1"/>
        <v>49.301262037668991</v>
      </c>
      <c r="R9" s="244">
        <f t="shared" si="1"/>
        <v>50.949183368059082</v>
      </c>
      <c r="S9" s="244">
        <f t="shared" si="1"/>
        <v>45.00946524421861</v>
      </c>
      <c r="T9" s="244">
        <f t="shared" si="1"/>
        <v>43.452669661394189</v>
      </c>
      <c r="U9" s="244">
        <f t="shared" si="1"/>
        <v>40.89763863980567</v>
      </c>
      <c r="V9" s="244">
        <f t="shared" si="1"/>
        <v>45.046605525956771</v>
      </c>
      <c r="W9" s="244">
        <f t="shared" si="1"/>
        <v>45.477086784566289</v>
      </c>
      <c r="DA9" s="270"/>
    </row>
    <row r="10" spans="1:105" x14ac:dyDescent="0.25">
      <c r="A10" s="254" t="s">
        <v>173</v>
      </c>
      <c r="B10" s="255">
        <v>24.471308852206271</v>
      </c>
      <c r="C10" s="255">
        <v>27.33129392821305</v>
      </c>
      <c r="D10" s="255">
        <v>19.65719150723821</v>
      </c>
      <c r="E10" s="255">
        <v>24.794813276782211</v>
      </c>
      <c r="F10" s="255">
        <v>30.267768305392391</v>
      </c>
      <c r="G10" s="255">
        <v>32.736724051584403</v>
      </c>
      <c r="H10" s="255">
        <v>30.384199451311218</v>
      </c>
      <c r="I10" s="255">
        <v>28.65580382360951</v>
      </c>
      <c r="J10" s="255">
        <v>31.181472725475221</v>
      </c>
      <c r="K10" s="255">
        <v>27.83656548504705</v>
      </c>
      <c r="L10" s="255">
        <v>30.104861034795238</v>
      </c>
      <c r="M10" s="255">
        <v>27.93082312788998</v>
      </c>
      <c r="N10" s="255">
        <v>30.845367754015609</v>
      </c>
      <c r="O10" s="255">
        <v>32.149132668933042</v>
      </c>
      <c r="P10" s="255">
        <v>39.138881961580729</v>
      </c>
      <c r="Q10" s="255">
        <v>30.02555303257061</v>
      </c>
      <c r="R10" s="255">
        <v>29.68773822081582</v>
      </c>
      <c r="S10" s="255">
        <v>26.1077004975531</v>
      </c>
      <c r="T10" s="255">
        <v>27.520360708294579</v>
      </c>
      <c r="U10" s="255">
        <v>23.857537872127921</v>
      </c>
      <c r="V10" s="255">
        <v>25.23938479758397</v>
      </c>
      <c r="W10" s="255">
        <v>22.68873111248319</v>
      </c>
      <c r="DA10" s="271" t="s">
        <v>1038</v>
      </c>
    </row>
    <row r="11" spans="1:105" x14ac:dyDescent="0.25">
      <c r="A11" s="254" t="s">
        <v>176</v>
      </c>
      <c r="B11" s="256">
        <v>31.460172664240901</v>
      </c>
      <c r="C11" s="256">
        <v>27.5992305162404</v>
      </c>
      <c r="D11" s="256">
        <v>16.35995270519069</v>
      </c>
      <c r="E11" s="256">
        <v>18.537087987759922</v>
      </c>
      <c r="F11" s="256">
        <v>24.841778759875261</v>
      </c>
      <c r="G11" s="256">
        <v>29.254258905749381</v>
      </c>
      <c r="H11" s="256">
        <v>20.374541888547249</v>
      </c>
      <c r="I11" s="256">
        <v>18.085084446095738</v>
      </c>
      <c r="J11" s="256">
        <v>20.85405166199325</v>
      </c>
      <c r="K11" s="256">
        <v>19.028526466506928</v>
      </c>
      <c r="L11" s="256">
        <v>23.98668166321319</v>
      </c>
      <c r="M11" s="256">
        <v>31.141148970126551</v>
      </c>
      <c r="N11" s="256">
        <v>26.237432045741201</v>
      </c>
      <c r="O11" s="256">
        <v>26.108003213666368</v>
      </c>
      <c r="P11" s="256">
        <v>21.74490467317645</v>
      </c>
      <c r="Q11" s="256">
        <v>19.275709005098381</v>
      </c>
      <c r="R11" s="256">
        <v>21.261445147243261</v>
      </c>
      <c r="S11" s="256">
        <v>18.90176474666551</v>
      </c>
      <c r="T11" s="256">
        <v>15.932308953099611</v>
      </c>
      <c r="U11" s="256">
        <v>17.04010076767775</v>
      </c>
      <c r="V11" s="256">
        <v>19.807220728372801</v>
      </c>
      <c r="W11" s="256">
        <v>22.7883556720831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124.3832237804081</v>
      </c>
      <c r="C16" s="258">
        <v>116.1110355207329</v>
      </c>
      <c r="D16" s="258">
        <v>92.326454769683039</v>
      </c>
      <c r="E16" s="258">
        <v>102.44661816503211</v>
      </c>
      <c r="F16" s="258">
        <v>107.50881452663251</v>
      </c>
      <c r="G16" s="258">
        <v>112.4914982300174</v>
      </c>
      <c r="H16" s="258">
        <v>98.47876898387338</v>
      </c>
      <c r="I16" s="258">
        <v>94.249584326899608</v>
      </c>
      <c r="J16" s="258">
        <v>98.624540569988056</v>
      </c>
      <c r="K16" s="258">
        <v>90.006994745953889</v>
      </c>
      <c r="L16" s="258">
        <v>94.579870629591881</v>
      </c>
      <c r="M16" s="258">
        <v>105.4661634444696</v>
      </c>
      <c r="N16" s="258">
        <v>99.346571992846563</v>
      </c>
      <c r="O16" s="258">
        <v>94.406143752455478</v>
      </c>
      <c r="P16" s="258">
        <v>100.5129584721652</v>
      </c>
      <c r="Q16" s="258">
        <v>103.1403054080494</v>
      </c>
      <c r="R16" s="258">
        <v>102.049928096678</v>
      </c>
      <c r="S16" s="258">
        <v>95.68483065306576</v>
      </c>
      <c r="T16" s="258">
        <v>91.870963140631844</v>
      </c>
      <c r="U16" s="258">
        <v>86.217530096531746</v>
      </c>
      <c r="V16" s="258">
        <v>89.418716262083066</v>
      </c>
      <c r="W16" s="258">
        <v>87.369589667762071</v>
      </c>
      <c r="DA16" s="273" t="s">
        <v>1044</v>
      </c>
    </row>
    <row r="17" spans="1:105" x14ac:dyDescent="0.25">
      <c r="A17" s="257" t="s">
        <v>121</v>
      </c>
      <c r="B17" s="258">
        <f>SUM(B18:B24)</f>
        <v>213.0238525494332</v>
      </c>
      <c r="C17" s="258">
        <f t="shared" ref="C17:W17" si="2">SUM(C18:C24)</f>
        <v>174.3896831695985</v>
      </c>
      <c r="D17" s="258">
        <f t="shared" si="2"/>
        <v>136.45547013595308</v>
      </c>
      <c r="E17" s="258">
        <f t="shared" si="2"/>
        <v>147.18614679598062</v>
      </c>
      <c r="F17" s="258">
        <f t="shared" si="2"/>
        <v>159.22833865008056</v>
      </c>
      <c r="G17" s="258">
        <f t="shared" si="2"/>
        <v>162.37697771916413</v>
      </c>
      <c r="H17" s="258">
        <f t="shared" si="2"/>
        <v>134.51807519214177</v>
      </c>
      <c r="I17" s="258">
        <f t="shared" si="2"/>
        <v>126.90586785843122</v>
      </c>
      <c r="J17" s="258">
        <f t="shared" si="2"/>
        <v>131.79066196811138</v>
      </c>
      <c r="K17" s="258">
        <f t="shared" si="2"/>
        <v>116.78074797284083</v>
      </c>
      <c r="L17" s="258">
        <f t="shared" si="2"/>
        <v>124.74262493692378</v>
      </c>
      <c r="M17" s="258">
        <f t="shared" si="2"/>
        <v>121.15742910188239</v>
      </c>
      <c r="N17" s="258">
        <f t="shared" si="2"/>
        <v>111.46301543929781</v>
      </c>
      <c r="O17" s="258">
        <f t="shared" si="2"/>
        <v>123.50828296249962</v>
      </c>
      <c r="P17" s="258">
        <f t="shared" si="2"/>
        <v>126.52172133893772</v>
      </c>
      <c r="Q17" s="258">
        <f t="shared" si="2"/>
        <v>91.120251308728868</v>
      </c>
      <c r="R17" s="258">
        <f t="shared" si="2"/>
        <v>97.443630033939982</v>
      </c>
      <c r="S17" s="258">
        <f t="shared" si="2"/>
        <v>85.257601487234382</v>
      </c>
      <c r="T17" s="258">
        <f t="shared" si="2"/>
        <v>83.278698215886976</v>
      </c>
      <c r="U17" s="258">
        <f t="shared" si="2"/>
        <v>86.484206847120475</v>
      </c>
      <c r="V17" s="258">
        <f t="shared" si="2"/>
        <v>88.884753114930788</v>
      </c>
      <c r="W17" s="258">
        <f t="shared" si="2"/>
        <v>90.530173267851097</v>
      </c>
      <c r="DA17" s="273"/>
    </row>
    <row r="18" spans="1:105" x14ac:dyDescent="0.25">
      <c r="A18" s="61" t="s">
        <v>29</v>
      </c>
      <c r="B18" s="55">
        <v>38.389221789128023</v>
      </c>
      <c r="C18" s="55">
        <v>20.727873006160682</v>
      </c>
      <c r="D18" s="55">
        <v>14.03246494312914</v>
      </c>
      <c r="E18" s="55">
        <v>13.7987451062513</v>
      </c>
      <c r="F18" s="55">
        <v>8.6338527402028884</v>
      </c>
      <c r="G18" s="55">
        <v>7.7282407628160179</v>
      </c>
      <c r="H18" s="55">
        <v>5.7548964291080891</v>
      </c>
      <c r="I18" s="55">
        <v>5.6598993714127932</v>
      </c>
      <c r="J18" s="55">
        <v>4.7809890640358468</v>
      </c>
      <c r="K18" s="55">
        <v>3.4390283226808198</v>
      </c>
      <c r="L18" s="55">
        <v>3.493908007006731</v>
      </c>
      <c r="M18" s="55">
        <v>2.3164062779205641</v>
      </c>
      <c r="N18" s="55">
        <v>2.3002584091817231</v>
      </c>
      <c r="O18" s="55">
        <v>4.6859583958516744</v>
      </c>
      <c r="P18" s="55">
        <v>3.6938499447794571</v>
      </c>
      <c r="Q18" s="55">
        <v>1.149452023675809</v>
      </c>
      <c r="R18" s="55">
        <v>1.1046878797869419</v>
      </c>
      <c r="S18" s="55">
        <v>1.124653607090667</v>
      </c>
      <c r="T18" s="55">
        <v>1.137628654045908</v>
      </c>
      <c r="U18" s="55">
        <v>1.116844342391297</v>
      </c>
      <c r="V18" s="55">
        <v>1.1260524653955779</v>
      </c>
      <c r="W18" s="55">
        <v>1.0683432900145979</v>
      </c>
      <c r="DA18" s="101" t="s">
        <v>1045</v>
      </c>
    </row>
    <row r="19" spans="1:105" x14ac:dyDescent="0.25">
      <c r="A19" s="61" t="s">
        <v>27</v>
      </c>
      <c r="B19" s="55">
        <v>8.7097687200580616</v>
      </c>
      <c r="C19" s="55">
        <v>2.9026504800137292</v>
      </c>
      <c r="D19" s="55">
        <v>2.9026504800285648</v>
      </c>
      <c r="E19" s="55">
        <v>2.9026504800196049</v>
      </c>
      <c r="F19" s="55">
        <v>2.9026504800211921</v>
      </c>
      <c r="G19" s="55">
        <v>2.902650480018043</v>
      </c>
      <c r="H19" s="55">
        <v>2.902650480023798</v>
      </c>
      <c r="I19" s="55">
        <v>2.9026504800273329</v>
      </c>
      <c r="J19" s="55">
        <v>2.9026504800219919</v>
      </c>
      <c r="K19" s="55">
        <v>2.9026504800218689</v>
      </c>
      <c r="L19" s="55">
        <v>5.8053009600391388</v>
      </c>
      <c r="M19" s="55">
        <v>5.8053009599643266</v>
      </c>
      <c r="N19" s="55">
        <v>2.9026504799783952</v>
      </c>
      <c r="O19" s="55">
        <v>2.9026504799838082</v>
      </c>
      <c r="P19" s="55">
        <v>2.902650479986999</v>
      </c>
      <c r="Q19" s="55">
        <v>2.9026504799746271</v>
      </c>
      <c r="R19" s="55">
        <v>2.9026504799850268</v>
      </c>
      <c r="S19" s="55">
        <v>2.902650479980649</v>
      </c>
      <c r="T19" s="55">
        <v>2.902650479982436</v>
      </c>
      <c r="U19" s="55">
        <v>2.902650480033437</v>
      </c>
      <c r="V19" s="55">
        <v>5.8053009599559076</v>
      </c>
      <c r="W19" s="55">
        <v>11.61037475994681</v>
      </c>
      <c r="DA19" s="101" t="s">
        <v>1046</v>
      </c>
    </row>
    <row r="20" spans="1:105" x14ac:dyDescent="0.25">
      <c r="A20" s="61" t="s">
        <v>173</v>
      </c>
      <c r="B20" s="55">
        <v>63.030423983945617</v>
      </c>
      <c r="C20" s="55">
        <v>73.21837851937029</v>
      </c>
      <c r="D20" s="55">
        <v>61.453144937533452</v>
      </c>
      <c r="E20" s="55">
        <v>72.927386037160929</v>
      </c>
      <c r="F20" s="55">
        <v>67.79212106922995</v>
      </c>
      <c r="G20" s="55">
        <v>72.128009941631618</v>
      </c>
      <c r="H20" s="55">
        <v>75.254485771199569</v>
      </c>
      <c r="I20" s="55">
        <v>72.465928052718169</v>
      </c>
      <c r="J20" s="55">
        <v>74.283429685705173</v>
      </c>
      <c r="K20" s="55">
        <v>65.597745636349984</v>
      </c>
      <c r="L20" s="55">
        <v>64.250487632758805</v>
      </c>
      <c r="M20" s="55">
        <v>53.446340834500248</v>
      </c>
      <c r="N20" s="55">
        <v>57.418908596243078</v>
      </c>
      <c r="O20" s="55">
        <v>63.970137300635173</v>
      </c>
      <c r="P20" s="55">
        <v>77.093415587536612</v>
      </c>
      <c r="Q20" s="55">
        <v>53.026417810505137</v>
      </c>
      <c r="R20" s="55">
        <v>51.528371221651263</v>
      </c>
      <c r="S20" s="55">
        <v>47.11756214706481</v>
      </c>
      <c r="T20" s="55">
        <v>50.184945875148202</v>
      </c>
      <c r="U20" s="55">
        <v>48.105588872029067</v>
      </c>
      <c r="V20" s="55">
        <v>45.918074538238088</v>
      </c>
      <c r="W20" s="55">
        <v>38.840454810172183</v>
      </c>
      <c r="DA20" s="101" t="s">
        <v>1047</v>
      </c>
    </row>
    <row r="21" spans="1:105" x14ac:dyDescent="0.25">
      <c r="A21" s="61" t="s">
        <v>129</v>
      </c>
      <c r="B21" s="55">
        <v>21.00471912014002</v>
      </c>
      <c r="C21" s="55">
        <v>3.032678880014346</v>
      </c>
      <c r="D21" s="55">
        <v>6.0638608800596758</v>
      </c>
      <c r="E21" s="55">
        <v>3.0354231600205019</v>
      </c>
      <c r="F21" s="55">
        <v>24.260433120177129</v>
      </c>
      <c r="G21" s="55">
        <v>15.16289544009426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81.031547336155768</v>
      </c>
      <c r="C22" s="55">
        <v>73.936159484036736</v>
      </c>
      <c r="D22" s="55">
        <v>51.145177295193811</v>
      </c>
      <c r="E22" s="55">
        <v>54.521942012528292</v>
      </c>
      <c r="F22" s="55">
        <v>55.639281240449421</v>
      </c>
      <c r="G22" s="55">
        <v>64.455181094604185</v>
      </c>
      <c r="H22" s="55">
        <v>50.462928111809127</v>
      </c>
      <c r="I22" s="55">
        <v>45.734275554271569</v>
      </c>
      <c r="J22" s="55">
        <v>49.680478338347292</v>
      </c>
      <c r="K22" s="55">
        <v>44.841323533788149</v>
      </c>
      <c r="L22" s="55">
        <v>51.192928337119099</v>
      </c>
      <c r="M22" s="55">
        <v>59.589381029497247</v>
      </c>
      <c r="N22" s="55">
        <v>48.8411979538946</v>
      </c>
      <c r="O22" s="55">
        <v>51.949536786028958</v>
      </c>
      <c r="P22" s="55">
        <v>42.831805326634651</v>
      </c>
      <c r="Q22" s="55">
        <v>34.041730994573292</v>
      </c>
      <c r="R22" s="55">
        <v>36.903034852542561</v>
      </c>
      <c r="S22" s="55">
        <v>34.112735253098258</v>
      </c>
      <c r="T22" s="55">
        <v>29.053473206710429</v>
      </c>
      <c r="U22" s="55">
        <v>34.359123152666683</v>
      </c>
      <c r="V22" s="55">
        <v>36.035325151341212</v>
      </c>
      <c r="W22" s="55">
        <v>39.011000407717503</v>
      </c>
      <c r="DA22" s="101" t="s">
        <v>1049</v>
      </c>
    </row>
    <row r="23" spans="1:105" x14ac:dyDescent="0.25">
      <c r="A23" s="61" t="s">
        <v>171</v>
      </c>
      <c r="B23" s="55">
        <v>0.85817160000572057</v>
      </c>
      <c r="C23" s="55">
        <v>0.57194280000270548</v>
      </c>
      <c r="D23" s="55">
        <v>0.85817160000844517</v>
      </c>
      <c r="E23" s="55">
        <v>0</v>
      </c>
      <c r="F23" s="55">
        <v>0</v>
      </c>
      <c r="G23" s="55">
        <v>0</v>
      </c>
      <c r="H23" s="55">
        <v>0.1431144000011734</v>
      </c>
      <c r="I23" s="55">
        <v>0.1431144000013477</v>
      </c>
      <c r="J23" s="55">
        <v>0.1431144000010843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5.004885599974183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23.901273025012909</v>
      </c>
      <c r="C25" s="258">
        <v>22.311703112772491</v>
      </c>
      <c r="D25" s="258">
        <v>17.741297707298092</v>
      </c>
      <c r="E25" s="258">
        <v>19.685971442375219</v>
      </c>
      <c r="F25" s="258">
        <v>20.658714660210169</v>
      </c>
      <c r="G25" s="258">
        <v>21.61617885813234</v>
      </c>
      <c r="H25" s="258">
        <v>18.92351615525082</v>
      </c>
      <c r="I25" s="258">
        <v>18.11084307855052</v>
      </c>
      <c r="J25" s="258">
        <v>18.951527380343101</v>
      </c>
      <c r="K25" s="258">
        <v>17.295594133996069</v>
      </c>
      <c r="L25" s="258">
        <v>18.174310344128141</v>
      </c>
      <c r="M25" s="258">
        <v>20.266202231879749</v>
      </c>
      <c r="N25" s="258">
        <v>19.09027173545682</v>
      </c>
      <c r="O25" s="258">
        <v>18.14092727689432</v>
      </c>
      <c r="P25" s="258">
        <v>19.314402617802291</v>
      </c>
      <c r="Q25" s="258">
        <v>19.81926922711984</v>
      </c>
      <c r="R25" s="258">
        <v>19.609744139834959</v>
      </c>
      <c r="S25" s="258">
        <v>18.386637621071831</v>
      </c>
      <c r="T25" s="258">
        <v>17.65377119483384</v>
      </c>
      <c r="U25" s="258">
        <v>16.567416921252519</v>
      </c>
      <c r="V25" s="258">
        <v>17.18255152076906</v>
      </c>
      <c r="W25" s="258">
        <v>16.78879476881233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1</v>
      </c>
      <c r="E31" s="236">
        <f t="shared" si="3"/>
        <v>0.99999999999999989</v>
      </c>
      <c r="F31" s="236">
        <f t="shared" si="3"/>
        <v>1</v>
      </c>
      <c r="G31" s="236">
        <f t="shared" si="3"/>
        <v>0.99999999999999989</v>
      </c>
      <c r="H31" s="236">
        <f t="shared" si="3"/>
        <v>1.0000000000000002</v>
      </c>
      <c r="I31" s="236">
        <f t="shared" si="3"/>
        <v>1</v>
      </c>
      <c r="J31" s="236">
        <f t="shared" si="3"/>
        <v>0.99999999999999989</v>
      </c>
      <c r="K31" s="236">
        <f t="shared" si="3"/>
        <v>1</v>
      </c>
      <c r="L31" s="236">
        <f t="shared" si="3"/>
        <v>1.0000000000000002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0.99999999999999989</v>
      </c>
      <c r="S31" s="236">
        <f t="shared" si="4"/>
        <v>0.99999999999999989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0.13405115566183654</v>
      </c>
      <c r="C35" s="247">
        <f t="shared" si="8"/>
        <v>0.14937206819318652</v>
      </c>
      <c r="D35" s="247">
        <f t="shared" si="8"/>
        <v>0.12747610055553915</v>
      </c>
      <c r="E35" s="247">
        <f t="shared" si="8"/>
        <v>0.13859527550545236</v>
      </c>
      <c r="F35" s="247">
        <f t="shared" si="8"/>
        <v>0.16090124321393648</v>
      </c>
      <c r="G35" s="247">
        <f t="shared" si="8"/>
        <v>0.17292941674890924</v>
      </c>
      <c r="H35" s="247">
        <f t="shared" si="8"/>
        <v>0.16769820268268906</v>
      </c>
      <c r="I35" s="247">
        <f t="shared" si="8"/>
        <v>0.163425574463644</v>
      </c>
      <c r="J35" s="247">
        <f t="shared" si="8"/>
        <v>0.17264477502764305</v>
      </c>
      <c r="K35" s="247">
        <f t="shared" si="8"/>
        <v>0.17296683416236322</v>
      </c>
      <c r="L35" s="247">
        <f t="shared" si="8"/>
        <v>0.18550652986003222</v>
      </c>
      <c r="M35" s="247">
        <f t="shared" si="8"/>
        <v>0.19306978352595688</v>
      </c>
      <c r="N35" s="247">
        <f t="shared" si="8"/>
        <v>0.19890679111119924</v>
      </c>
      <c r="O35" s="247">
        <f t="shared" si="8"/>
        <v>0.1979431314907886</v>
      </c>
      <c r="P35" s="247">
        <f t="shared" si="8"/>
        <v>0.19816820648229966</v>
      </c>
      <c r="Q35" s="247">
        <f t="shared" si="8"/>
        <v>0.18718603683921062</v>
      </c>
      <c r="R35" s="247">
        <f t="shared" si="8"/>
        <v>0.18866400450858595</v>
      </c>
      <c r="S35" s="247">
        <f t="shared" si="8"/>
        <v>0.18420944221176072</v>
      </c>
      <c r="T35" s="247">
        <f t="shared" si="8"/>
        <v>0.18392189346400623</v>
      </c>
      <c r="U35" s="247">
        <f t="shared" si="8"/>
        <v>0.17768696428686034</v>
      </c>
      <c r="V35" s="247">
        <f t="shared" si="8"/>
        <v>0.18727856671967408</v>
      </c>
      <c r="W35" s="247">
        <f t="shared" si="8"/>
        <v>0.18935717005373254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0.2981096591872946</v>
      </c>
      <c r="C36" s="260">
        <f t="shared" si="9"/>
        <v>0.31573966735603742</v>
      </c>
      <c r="D36" s="260">
        <f t="shared" si="9"/>
        <v>0.32677261591703671</v>
      </c>
      <c r="E36" s="260">
        <f t="shared" si="9"/>
        <v>0.32767122731360576</v>
      </c>
      <c r="F36" s="260">
        <f t="shared" si="9"/>
        <v>0.31388938641257319</v>
      </c>
      <c r="G36" s="260">
        <f t="shared" si="9"/>
        <v>0.31380514149157374</v>
      </c>
      <c r="H36" s="260">
        <f t="shared" si="9"/>
        <v>0.3253570148720587</v>
      </c>
      <c r="I36" s="260">
        <f t="shared" si="9"/>
        <v>0.32953572411173937</v>
      </c>
      <c r="J36" s="260">
        <f t="shared" si="9"/>
        <v>0.32721898778463737</v>
      </c>
      <c r="K36" s="260">
        <f t="shared" si="9"/>
        <v>0.33219234797980346</v>
      </c>
      <c r="L36" s="260">
        <f t="shared" si="9"/>
        <v>0.32436093925182796</v>
      </c>
      <c r="M36" s="260">
        <f t="shared" si="9"/>
        <v>0.34470373380713054</v>
      </c>
      <c r="N36" s="260">
        <f t="shared" si="9"/>
        <v>0.34617621967237555</v>
      </c>
      <c r="O36" s="260">
        <f t="shared" si="9"/>
        <v>0.32076839074253466</v>
      </c>
      <c r="P36" s="260">
        <f t="shared" si="9"/>
        <v>0.32715561579883468</v>
      </c>
      <c r="Q36" s="260">
        <f t="shared" si="9"/>
        <v>0.39160103027316734</v>
      </c>
      <c r="R36" s="260">
        <f t="shared" si="9"/>
        <v>0.37788923829155346</v>
      </c>
      <c r="S36" s="260">
        <f t="shared" si="9"/>
        <v>0.39160761380056747</v>
      </c>
      <c r="T36" s="260">
        <f t="shared" si="9"/>
        <v>0.38886175755961105</v>
      </c>
      <c r="U36" s="260">
        <f t="shared" si="9"/>
        <v>0.37458718157514964</v>
      </c>
      <c r="V36" s="260">
        <f t="shared" si="9"/>
        <v>0.37175296171487598</v>
      </c>
      <c r="W36" s="260">
        <f t="shared" si="9"/>
        <v>0.36378887518929354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0.51055492977404859</v>
      </c>
      <c r="C37" s="260">
        <f t="shared" si="10"/>
        <v>0.47421625608068846</v>
      </c>
      <c r="D37" s="260">
        <f t="shared" si="10"/>
        <v>0.48295920214577898</v>
      </c>
      <c r="E37" s="260">
        <f t="shared" si="10"/>
        <v>0.47076874013066544</v>
      </c>
      <c r="F37" s="260">
        <f t="shared" si="10"/>
        <v>0.46489290890642215</v>
      </c>
      <c r="G37" s="260">
        <f t="shared" si="10"/>
        <v>0.45296516865609299</v>
      </c>
      <c r="H37" s="260">
        <f t="shared" si="10"/>
        <v>0.44442472060162985</v>
      </c>
      <c r="I37" s="260">
        <f t="shared" si="10"/>
        <v>0.44371566577637489</v>
      </c>
      <c r="J37" s="260">
        <f t="shared" si="10"/>
        <v>0.43725838173177439</v>
      </c>
      <c r="K37" s="260">
        <f t="shared" si="10"/>
        <v>0.43100728979376979</v>
      </c>
      <c r="L37" s="260">
        <f t="shared" si="10"/>
        <v>0.42780387327596509</v>
      </c>
      <c r="M37" s="260">
        <f t="shared" si="10"/>
        <v>0.3959887875496767</v>
      </c>
      <c r="N37" s="260">
        <f t="shared" si="10"/>
        <v>0.38839634366888987</v>
      </c>
      <c r="O37" s="260">
        <f t="shared" si="10"/>
        <v>0.41965015828987479</v>
      </c>
      <c r="P37" s="260">
        <f t="shared" si="10"/>
        <v>0.4118104997181174</v>
      </c>
      <c r="Q37" s="260">
        <f t="shared" si="10"/>
        <v>0.34596353142525549</v>
      </c>
      <c r="R37" s="260">
        <f t="shared" si="10"/>
        <v>0.36083219083706741</v>
      </c>
      <c r="S37" s="260">
        <f t="shared" si="10"/>
        <v>0.34893227744564992</v>
      </c>
      <c r="T37" s="260">
        <f t="shared" si="10"/>
        <v>0.35249332159427205</v>
      </c>
      <c r="U37" s="260">
        <f t="shared" si="10"/>
        <v>0.37574580549168735</v>
      </c>
      <c r="V37" s="260">
        <f t="shared" si="10"/>
        <v>0.36953304188490826</v>
      </c>
      <c r="W37" s="260">
        <f t="shared" si="10"/>
        <v>0.3769488906728316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5.728425537682022E-2</v>
      </c>
      <c r="C38" s="260">
        <f t="shared" si="11"/>
        <v>6.0672008370087654E-2</v>
      </c>
      <c r="D38" s="260">
        <f t="shared" si="11"/>
        <v>6.2792081381645215E-2</v>
      </c>
      <c r="E38" s="260">
        <f t="shared" si="11"/>
        <v>6.2964757050276418E-2</v>
      </c>
      <c r="F38" s="260">
        <f t="shared" si="11"/>
        <v>6.0316461467068094E-2</v>
      </c>
      <c r="G38" s="260">
        <f t="shared" si="11"/>
        <v>6.0300273103423972E-2</v>
      </c>
      <c r="H38" s="260">
        <f t="shared" si="11"/>
        <v>6.2520061843622562E-2</v>
      </c>
      <c r="I38" s="260">
        <f t="shared" si="11"/>
        <v>6.3323035648241724E-2</v>
      </c>
      <c r="J38" s="260">
        <f t="shared" si="11"/>
        <v>6.2877855455945167E-2</v>
      </c>
      <c r="K38" s="260">
        <f t="shared" si="11"/>
        <v>6.3833528064063561E-2</v>
      </c>
      <c r="L38" s="260">
        <f t="shared" si="11"/>
        <v>6.2328657612174772E-2</v>
      </c>
      <c r="M38" s="260">
        <f t="shared" si="11"/>
        <v>6.6237695117235942E-2</v>
      </c>
      <c r="N38" s="260">
        <f t="shared" si="11"/>
        <v>6.6520645547535284E-2</v>
      </c>
      <c r="O38" s="260">
        <f t="shared" si="11"/>
        <v>6.1638319476801963E-2</v>
      </c>
      <c r="P38" s="260">
        <f t="shared" si="11"/>
        <v>6.2865678000748396E-2</v>
      </c>
      <c r="Q38" s="260">
        <f t="shared" si="11"/>
        <v>7.5249401462366597E-2</v>
      </c>
      <c r="R38" s="260">
        <f t="shared" si="11"/>
        <v>7.2614566362793079E-2</v>
      </c>
      <c r="S38" s="260">
        <f t="shared" si="11"/>
        <v>7.5250666542021852E-2</v>
      </c>
      <c r="T38" s="260">
        <f t="shared" si="11"/>
        <v>7.4723027382110757E-2</v>
      </c>
      <c r="U38" s="260">
        <f t="shared" si="11"/>
        <v>7.1980048646302724E-2</v>
      </c>
      <c r="V38" s="260">
        <f t="shared" si="11"/>
        <v>7.1435429680541687E-2</v>
      </c>
      <c r="W38" s="260">
        <f t="shared" si="11"/>
        <v>6.9905064084142404E-2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2.0154814054556258</v>
      </c>
      <c r="C44" s="238">
        <f>IF(C$5=0,0,C$5/AGR_fec!C$5)</f>
        <v>2.0319104544944904</v>
      </c>
      <c r="D44" s="238">
        <f>IF(D$5=0,0,D$5/AGR_fec!D$5)</f>
        <v>1.8909951580146933</v>
      </c>
      <c r="E44" s="238">
        <f>IF(E$5=0,0,E$5/AGR_fec!E$5)</f>
        <v>1.9640853472669206</v>
      </c>
      <c r="F44" s="238">
        <f>IF(F$5=0,0,F$5/AGR_fec!F$5)</f>
        <v>2.1171942595112756</v>
      </c>
      <c r="G44" s="238">
        <f>IF(G$5=0,0,G$5/AGR_fec!G$5)</f>
        <v>2.1678811066886245</v>
      </c>
      <c r="H44" s="238">
        <f>IF(H$5=0,0,H$5/AGR_fec!H$5)</f>
        <v>2.1296821122807437</v>
      </c>
      <c r="I44" s="238">
        <f>IF(I$5=0,0,I$5/AGR_fec!I$5)</f>
        <v>2.0918896609316868</v>
      </c>
      <c r="J44" s="238">
        <f>IF(J$5=0,0,J$5/AGR_fec!J$5)</f>
        <v>2.1407521334354529</v>
      </c>
      <c r="K44" s="238">
        <f>IF(K$5=0,0,K$5/AGR_fec!K$5)</f>
        <v>2.0839099352926929</v>
      </c>
      <c r="L44" s="238">
        <f>IF(L$5=0,0,L$5/AGR_fec!L$5)</f>
        <v>2.1656739267135325</v>
      </c>
      <c r="M44" s="238">
        <f>IF(M$5=0,0,M$5/AGR_fec!M$5)</f>
        <v>1.9407665735121611</v>
      </c>
      <c r="N44" s="238">
        <f>IF(N$5=0,0,N$5/AGR_fec!N$5)</f>
        <v>2.0001943639141131</v>
      </c>
      <c r="O44" s="238">
        <f>IF(O$5=0,0,O$5/AGR_fec!O$5)</f>
        <v>2.2457035933704907</v>
      </c>
      <c r="P44" s="238">
        <f>IF(P$5=0,0,P$5/AGR_fec!P$5)</f>
        <v>2.2391564726966653</v>
      </c>
      <c r="Q44" s="238">
        <f>IF(Q$5=0,0,Q$5/AGR_fec!Q$5)</f>
        <v>1.7524052724676384</v>
      </c>
      <c r="R44" s="238">
        <f>IF(R$5=0,0,R$5/AGR_fec!R$5)</f>
        <v>1.8155602297123192</v>
      </c>
      <c r="S44" s="238">
        <f>IF(S$5=0,0,S$5/AGR_fec!S$5)</f>
        <v>1.7140275653438866</v>
      </c>
      <c r="T44" s="238">
        <f>IF(T$5=0,0,T$5/AGR_fec!T$5)</f>
        <v>1.7806475472123022</v>
      </c>
      <c r="U44" s="238">
        <f>IF(U$5=0,0,U$5/AGR_fec!U$5)</f>
        <v>1.7792671379069611</v>
      </c>
      <c r="V44" s="238">
        <f>IF(V$5=0,0,V$5/AGR_fec!V$5)</f>
        <v>1.8249819910754148</v>
      </c>
      <c r="W44" s="238">
        <f>IF(W$5=0,0,W$5/AGR_fec!W$5)</f>
        <v>1.8229968145711581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1.1919874949884157</v>
      </c>
      <c r="C48" s="253">
        <f>IF(C$9=0,0,C$9/AGR_fec!C$9)</f>
        <v>1.3676297710976115</v>
      </c>
      <c r="D48" s="253">
        <f>IF(D$9=0,0,D$9/AGR_fec!D$9)</f>
        <v>1.0471031103737884</v>
      </c>
      <c r="E48" s="253">
        <f>IF(E$9=0,0,E$9/AGR_fec!E$9)</f>
        <v>1.2056543118314433</v>
      </c>
      <c r="F48" s="253">
        <f>IF(F$9=0,0,F$9/AGR_fec!F$9)</f>
        <v>1.6083447651321339</v>
      </c>
      <c r="G48" s="253">
        <f>IF(G$9=0,0,G$9/AGR_fec!G$9)</f>
        <v>1.7699872621186199</v>
      </c>
      <c r="H48" s="253">
        <f>IF(H$9=0,0,H$9/AGR_fec!H$9)</f>
        <v>1.6721590341857331</v>
      </c>
      <c r="I48" s="253">
        <f>IF(I$9=0,0,I$9/AGR_fec!I$9)</f>
        <v>1.5823360620610241</v>
      </c>
      <c r="J48" s="253">
        <f>IF(J$9=0,0,J$9/AGR_fec!J$9)</f>
        <v>1.7242990836625118</v>
      </c>
      <c r="K48" s="253">
        <f>IF(K$9=0,0,K$9/AGR_fec!K$9)</f>
        <v>1.6918179348004598</v>
      </c>
      <c r="L48" s="253">
        <f>IF(L$9=0,0,L$9/AGR_fec!L$9)</f>
        <v>1.9050585571623071</v>
      </c>
      <c r="M48" s="253">
        <f>IF(M$9=0,0,M$9/AGR_fec!M$9)</f>
        <v>1.7609043231204282</v>
      </c>
      <c r="N48" s="253">
        <f>IF(N$9=0,0,N$9/AGR_fec!N$9)</f>
        <v>1.9360673157593886</v>
      </c>
      <c r="O48" s="253">
        <f>IF(O$9=0,0,O$9/AGR_fec!O$9)</f>
        <v>2.1531702339509886</v>
      </c>
      <c r="P48" s="253">
        <f>IF(P$9=0,0,P$9/AGR_fec!P$9)</f>
        <v>2.1978201537844519</v>
      </c>
      <c r="Q48" s="253">
        <f>IF(Q$9=0,0,Q$9/AGR_fec!Q$9)</f>
        <v>1.5794398070418816</v>
      </c>
      <c r="R48" s="253">
        <f>IF(R$9=0,0,R$9/AGR_fec!R$9)</f>
        <v>1.6474670729374967</v>
      </c>
      <c r="S48" s="253">
        <f>IF(S$9=0,0,S$9/AGR_fec!S$9)</f>
        <v>1.5192662502527765</v>
      </c>
      <c r="T48" s="253">
        <f>IF(T$9=0,0,T$9/AGR_fec!T$9)</f>
        <v>1.577230076108266</v>
      </c>
      <c r="U48" s="253">
        <f>IF(U$9=0,0,U$9/AGR_fec!U$9)</f>
        <v>1.5291361538390136</v>
      </c>
      <c r="V48" s="253">
        <f>IF(V$9=0,0,V$9/AGR_fec!V$9)</f>
        <v>1.6459192139338619</v>
      </c>
      <c r="W48" s="253">
        <f>IF(W$9=0,0,W$9/AGR_fec!W$9)</f>
        <v>1.644836114465654</v>
      </c>
      <c r="DA48" s="290"/>
    </row>
    <row r="49" spans="1:105" x14ac:dyDescent="0.25">
      <c r="A49" s="128" t="s">
        <v>175</v>
      </c>
      <c r="B49" s="265">
        <f>IF(B$16=0,0,B$16/AGR_fec!B$16)</f>
        <v>3.102418800000001</v>
      </c>
      <c r="C49" s="265">
        <f>IF(C$16=0,0,C$16/AGR_fec!C$16)</f>
        <v>3.1024187999999997</v>
      </c>
      <c r="D49" s="265">
        <f>IF(D$16=0,0,D$16/AGR_fec!D$16)</f>
        <v>3.1024188000000001</v>
      </c>
      <c r="E49" s="265">
        <f>IF(E$16=0,0,E$16/AGR_fec!E$16)</f>
        <v>3.1024187999999997</v>
      </c>
      <c r="F49" s="265">
        <f>IF(F$16=0,0,F$16/AGR_fec!F$16)</f>
        <v>3.1024187999999993</v>
      </c>
      <c r="G49" s="265">
        <f>IF(G$16=0,0,G$16/AGR_fec!G$16)</f>
        <v>3.102418800000001</v>
      </c>
      <c r="H49" s="265">
        <f>IF(H$16=0,0,H$16/AGR_fec!H$16)</f>
        <v>3.1024188000000001</v>
      </c>
      <c r="I49" s="265">
        <f>IF(I$16=0,0,I$16/AGR_fec!I$16)</f>
        <v>3.1024188000000001</v>
      </c>
      <c r="J49" s="265">
        <f>IF(J$16=0,0,J$16/AGR_fec!J$16)</f>
        <v>3.1024188000000006</v>
      </c>
      <c r="K49" s="265">
        <f>IF(K$16=0,0,K$16/AGR_fec!K$16)</f>
        <v>3.1024188000000001</v>
      </c>
      <c r="L49" s="265">
        <f>IF(L$16=0,0,L$16/AGR_fec!L$16)</f>
        <v>3.1024187999999997</v>
      </c>
      <c r="M49" s="265">
        <f>IF(M$16=0,0,M$16/AGR_fec!M$16)</f>
        <v>3.1024187999999988</v>
      </c>
      <c r="N49" s="265">
        <f>IF(N$16=0,0,N$16/AGR_fec!N$16)</f>
        <v>3.1024188000000001</v>
      </c>
      <c r="O49" s="265">
        <f>IF(O$16=0,0,O$16/AGR_fec!O$16)</f>
        <v>3.1024188000000006</v>
      </c>
      <c r="P49" s="265">
        <f>IF(P$16=0,0,P$16/AGR_fec!P$16)</f>
        <v>3.1024188000000015</v>
      </c>
      <c r="Q49" s="265">
        <f>IF(Q$16=0,0,Q$16/AGR_fec!Q$16)</f>
        <v>3.102418800000001</v>
      </c>
      <c r="R49" s="265">
        <f>IF(R$16=0,0,R$16/AGR_fec!R$16)</f>
        <v>3.1024188000000001</v>
      </c>
      <c r="S49" s="265">
        <f>IF(S$16=0,0,S$16/AGR_fec!S$16)</f>
        <v>3.1024188000000006</v>
      </c>
      <c r="T49" s="265">
        <f>IF(T$16=0,0,T$16/AGR_fec!T$16)</f>
        <v>3.1024188000000001</v>
      </c>
      <c r="U49" s="265">
        <f>IF(U$16=0,0,U$16/AGR_fec!U$16)</f>
        <v>3.1024188000000006</v>
      </c>
      <c r="V49" s="265">
        <f>IF(V$16=0,0,V$16/AGR_fec!V$16)</f>
        <v>3.1024187999999997</v>
      </c>
      <c r="W49" s="265">
        <f>IF(W$16=0,0,W$16/AGR_fec!W$16)</f>
        <v>3.1024188000000006</v>
      </c>
      <c r="DA49" s="291"/>
    </row>
    <row r="50" spans="1:105" x14ac:dyDescent="0.25">
      <c r="A50" s="128" t="s">
        <v>121</v>
      </c>
      <c r="B50" s="265">
        <f>IF(B$17=0,0,B$17/AGR_fec!B$17)</f>
        <v>2.8549253144848685</v>
      </c>
      <c r="C50" s="265">
        <f>IF(C$17=0,0,C$17/AGR_fec!C$17)</f>
        <v>2.7520133410877294</v>
      </c>
      <c r="D50" s="265">
        <f>IF(D$17=0,0,D$17/AGR_fec!D$17)</f>
        <v>2.7433527906657966</v>
      </c>
      <c r="E50" s="265">
        <f>IF(E$17=0,0,E$17/AGR_fec!E$17)</f>
        <v>2.7397910271028252</v>
      </c>
      <c r="F50" s="265">
        <f>IF(F$17=0,0,F$17/AGR_fec!F$17)</f>
        <v>2.6942275937995079</v>
      </c>
      <c r="G50" s="265">
        <f>IF(G$17=0,0,G$17/AGR_fec!G$17)</f>
        <v>2.662856346577922</v>
      </c>
      <c r="H50" s="265">
        <f>IF(H$17=0,0,H$17/AGR_fec!H$17)</f>
        <v>2.689580626755578</v>
      </c>
      <c r="I50" s="265">
        <f>IF(I$17=0,0,I$17/AGR_fec!I$17)</f>
        <v>2.6492131570022663</v>
      </c>
      <c r="J50" s="265">
        <f>IF(J$17=0,0,J$17/AGR_fec!J$17)</f>
        <v>2.6153879825487647</v>
      </c>
      <c r="K50" s="265">
        <f>IF(K$17=0,0,K$17/AGR_fec!K$17)</f>
        <v>2.5055781229451908</v>
      </c>
      <c r="L50" s="265">
        <f>IF(L$17=0,0,L$17/AGR_fec!L$17)</f>
        <v>2.4906002479713285</v>
      </c>
      <c r="M50" s="265">
        <f>IF(M$17=0,0,M$17/AGR_fec!M$17)</f>
        <v>1.9494764734418699</v>
      </c>
      <c r="N50" s="265">
        <f>IF(N$17=0,0,N$17/AGR_fec!N$17)</f>
        <v>1.9968505873859603</v>
      </c>
      <c r="O50" s="265">
        <f>IF(O$17=0,0,O$17/AGR_fec!O$17)</f>
        <v>2.4856710211598902</v>
      </c>
      <c r="P50" s="265">
        <f>IF(P$17=0,0,P$17/AGR_fec!P$17)</f>
        <v>2.4715673755255181</v>
      </c>
      <c r="Q50" s="265">
        <f>IF(Q$17=0,0,Q$17/AGR_fec!Q$17)</f>
        <v>1.5112871616874353</v>
      </c>
      <c r="R50" s="265">
        <f>IF(R$17=0,0,R$17/AGR_fec!R$17)</f>
        <v>1.6212464622856011</v>
      </c>
      <c r="S50" s="265">
        <f>IF(S$17=0,0,S$17/AGR_fec!S$17)</f>
        <v>1.4991576048692778</v>
      </c>
      <c r="T50" s="265">
        <f>IF(T$17=0,0,T$17/AGR_fec!T$17)</f>
        <v>1.5868684945876588</v>
      </c>
      <c r="U50" s="265">
        <f>IF(U$17=0,0,U$17/AGR_fec!U$17)</f>
        <v>1.76178351869243</v>
      </c>
      <c r="V50" s="265">
        <f>IF(V$17=0,0,V$17/AGR_fec!V$17)</f>
        <v>1.6992315729117289</v>
      </c>
      <c r="W50" s="265">
        <f>IF(W$17=0,0,W$17/AGR_fec!W$17)</f>
        <v>1.6752172434686259</v>
      </c>
      <c r="DA50" s="291"/>
    </row>
    <row r="51" spans="1:105" x14ac:dyDescent="0.25">
      <c r="A51" s="128" t="s">
        <v>174</v>
      </c>
      <c r="B51" s="265">
        <f>IF(B$25=0,0,B$25/AGR_fec!B$25)</f>
        <v>3.1024188000000006</v>
      </c>
      <c r="C51" s="265">
        <f>IF(C$25=0,0,C$25/AGR_fec!C$25)</f>
        <v>3.1024188000000006</v>
      </c>
      <c r="D51" s="265">
        <f>IF(D$25=0,0,D$25/AGR_fec!D$25)</f>
        <v>3.1024188000000001</v>
      </c>
      <c r="E51" s="265">
        <f>IF(E$25=0,0,E$25/AGR_fec!E$25)</f>
        <v>3.1024187999999997</v>
      </c>
      <c r="F51" s="265">
        <f>IF(F$25=0,0,F$25/AGR_fec!F$25)</f>
        <v>3.1024188000000006</v>
      </c>
      <c r="G51" s="265">
        <f>IF(G$25=0,0,G$25/AGR_fec!G$25)</f>
        <v>3.1024188000000001</v>
      </c>
      <c r="H51" s="265">
        <f>IF(H$25=0,0,H$25/AGR_fec!H$25)</f>
        <v>3.1024188000000001</v>
      </c>
      <c r="I51" s="265">
        <f>IF(I$25=0,0,I$25/AGR_fec!I$25)</f>
        <v>3.1024188000000001</v>
      </c>
      <c r="J51" s="265">
        <f>IF(J$25=0,0,J$25/AGR_fec!J$25)</f>
        <v>3.1024188000000006</v>
      </c>
      <c r="K51" s="265">
        <f>IF(K$25=0,0,K$25/AGR_fec!K$25)</f>
        <v>3.102418800000001</v>
      </c>
      <c r="L51" s="265">
        <f>IF(L$25=0,0,L$25/AGR_fec!L$25)</f>
        <v>3.1024188000000006</v>
      </c>
      <c r="M51" s="265">
        <f>IF(M$25=0,0,M$25/AGR_fec!M$25)</f>
        <v>3.1024188000000001</v>
      </c>
      <c r="N51" s="265">
        <f>IF(N$25=0,0,N$25/AGR_fec!N$25)</f>
        <v>3.1024187999999997</v>
      </c>
      <c r="O51" s="265">
        <f>IF(O$25=0,0,O$25/AGR_fec!O$25)</f>
        <v>3.102418800000001</v>
      </c>
      <c r="P51" s="265">
        <f>IF(P$25=0,0,P$25/AGR_fec!P$25)</f>
        <v>3.1024188000000001</v>
      </c>
      <c r="Q51" s="265">
        <f>IF(Q$25=0,0,Q$25/AGR_fec!Q$25)</f>
        <v>3.1024187999999993</v>
      </c>
      <c r="R51" s="265">
        <f>IF(R$25=0,0,R$25/AGR_fec!R$25)</f>
        <v>3.102418800000001</v>
      </c>
      <c r="S51" s="265">
        <f>IF(S$25=0,0,S$25/AGR_fec!S$25)</f>
        <v>3.1024188000000001</v>
      </c>
      <c r="T51" s="265">
        <f>IF(T$25=0,0,T$25/AGR_fec!T$25)</f>
        <v>3.102418800000001</v>
      </c>
      <c r="U51" s="265">
        <f>IF(U$25=0,0,U$25/AGR_fec!U$25)</f>
        <v>3.1024187999999997</v>
      </c>
      <c r="V51" s="265">
        <f>IF(V$25=0,0,V$25/AGR_fec!V$25)</f>
        <v>3.1024187999999997</v>
      </c>
      <c r="W51" s="265">
        <f>IF(W$25=0,0,W$25/AGR_fec!W$25)</f>
        <v>3.1024188000000006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E55BDE-0061-4E29-A099-302787A05ED5}"/>
</file>

<file path=customXml/itemProps2.xml><?xml version="1.0" encoding="utf-8"?>
<ds:datastoreItem xmlns:ds="http://schemas.openxmlformats.org/officeDocument/2006/customXml" ds:itemID="{65D3F72C-9A68-42E2-A8E6-F40533F4F051}"/>
</file>

<file path=customXml/itemProps3.xml><?xml version="1.0" encoding="utf-8"?>
<ds:datastoreItem xmlns:ds="http://schemas.openxmlformats.org/officeDocument/2006/customXml" ds:itemID="{FDC258C4-7A53-4256-A457-5C5856890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2024-05-20T16:56:42Z</dcterms:created>
  <dcterms:modified xsi:type="dcterms:W3CDTF">2024-05-20T16:56:42Z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