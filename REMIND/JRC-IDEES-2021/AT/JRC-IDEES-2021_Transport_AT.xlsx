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orksheets/sheet15.xml" ContentType="application/vnd.openxmlformats-officedocument.spreadsheetml.worksheet+xml"/>
  <Override PartName="/xl/worksheets/sheet1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AT\"/>
    </mc:Choice>
  </mc:AlternateContent>
  <bookViews>
    <workbookView xWindow="0" yWindow="0" windowWidth="22260" windowHeight="12645" tabRatio="752"/>
  </bookViews>
  <sheets>
    <sheet name="cover" sheetId="2" r:id="rId1"/>
    <sheet name="index" sheetId="1" r:id="rId2"/>
    <sheet name="Transport" sheetId="3" r:id="rId3"/>
    <sheet name="TrRoad_act" sheetId="4" r:id="rId4"/>
    <sheet name="TrRoad_ene" sheetId="5" r:id="rId5"/>
    <sheet name="TrRoad_emi" sheetId="6" r:id="rId6"/>
    <sheet name="TrRoad_tech" sheetId="7" r:id="rId7"/>
    <sheet name="TrRail_act" sheetId="8" r:id="rId8"/>
    <sheet name="TrRail_ene" sheetId="9" r:id="rId9"/>
    <sheet name="TrRail_emi" sheetId="10" r:id="rId10"/>
    <sheet name="TrAvia_act" sheetId="11" r:id="rId11"/>
    <sheet name="TrAvia_ene" sheetId="12" r:id="rId12"/>
    <sheet name="TrAvia_emi" sheetId="13" r:id="rId13"/>
    <sheet name="TrAvia_png" sheetId="14" r:id="rId14"/>
    <sheet name="TrNavi_act" sheetId="15" r:id="rId15"/>
    <sheet name="TrNavi_ene" sheetId="16" r:id="rId16"/>
    <sheet name="TrNavi_emi" sheetId="17" r:id="rId17"/>
    <sheet name="MBunk_act" sheetId="18" r:id="rId18"/>
    <sheet name="MBunk_ene" sheetId="19" r:id="rId19"/>
    <sheet name="MBunk_emi" sheetId="20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36" i="3" l="1"/>
  <c r="A61" i="3"/>
  <c r="A60" i="3"/>
  <c r="A207" i="3"/>
  <c r="K29" i="13"/>
  <c r="Q23" i="13"/>
  <c r="W91" i="3"/>
  <c r="T91" i="3"/>
  <c r="S91" i="3"/>
  <c r="R91" i="3"/>
  <c r="Q91" i="3"/>
  <c r="P91" i="3"/>
  <c r="O91" i="3"/>
  <c r="N91" i="3"/>
  <c r="L91" i="3"/>
  <c r="K91" i="3"/>
  <c r="J91" i="3"/>
  <c r="I91" i="3"/>
  <c r="H91" i="3"/>
  <c r="E91" i="3"/>
  <c r="D91" i="3"/>
  <c r="C91" i="3"/>
  <c r="B91" i="3"/>
  <c r="W90" i="3"/>
  <c r="V90" i="3"/>
  <c r="U90" i="3"/>
  <c r="S90" i="3"/>
  <c r="R90" i="3"/>
  <c r="Q90" i="3"/>
  <c r="P90" i="3"/>
  <c r="O90" i="3"/>
  <c r="N90" i="3"/>
  <c r="L90" i="3"/>
  <c r="J90" i="3"/>
  <c r="I90" i="3"/>
  <c r="H90" i="3"/>
  <c r="G90" i="3"/>
  <c r="F90" i="3"/>
  <c r="E3" i="20"/>
  <c r="E22" i="20" s="1"/>
  <c r="C90" i="3"/>
  <c r="B90" i="3"/>
  <c r="M15" i="20"/>
  <c r="G15" i="20"/>
  <c r="E15" i="20"/>
  <c r="W31" i="3"/>
  <c r="U31" i="3"/>
  <c r="T31" i="3"/>
  <c r="S31" i="3"/>
  <c r="R31" i="3"/>
  <c r="Q31" i="3"/>
  <c r="P31" i="3"/>
  <c r="O31" i="3"/>
  <c r="M31" i="3"/>
  <c r="L31" i="3"/>
  <c r="K31" i="3"/>
  <c r="H31" i="3"/>
  <c r="F31" i="3"/>
  <c r="E31" i="3"/>
  <c r="D31" i="3"/>
  <c r="C31" i="3"/>
  <c r="B31" i="3"/>
  <c r="W30" i="3"/>
  <c r="S30" i="3"/>
  <c r="S242" i="3" s="1"/>
  <c r="Q14" i="18"/>
  <c r="P18" i="20"/>
  <c r="N30" i="3"/>
  <c r="M30" i="3"/>
  <c r="K30" i="3"/>
  <c r="J30" i="3"/>
  <c r="I30" i="3"/>
  <c r="H30" i="3"/>
  <c r="G30" i="3"/>
  <c r="C30" i="3"/>
  <c r="C242" i="3" s="1"/>
  <c r="B30" i="3"/>
  <c r="C18" i="20"/>
  <c r="B25" i="1"/>
  <c r="B26" i="1"/>
  <c r="B24" i="1"/>
  <c r="W14" i="18" l="1"/>
  <c r="O14" i="18"/>
  <c r="I15" i="18"/>
  <c r="E3" i="18"/>
  <c r="E17" i="18" s="1"/>
  <c r="I7" i="18"/>
  <c r="I23" i="18" s="1"/>
  <c r="U3" i="18"/>
  <c r="U17" i="18" s="1"/>
  <c r="I23" i="13"/>
  <c r="C29" i="13"/>
  <c r="F3" i="18"/>
  <c r="F17" i="18" s="1"/>
  <c r="V3" i="18"/>
  <c r="V19" i="18" s="1"/>
  <c r="R7" i="18"/>
  <c r="R21" i="18" s="1"/>
  <c r="O25" i="13"/>
  <c r="W3" i="20"/>
  <c r="W22" i="20" s="1"/>
  <c r="J15" i="18"/>
  <c r="F15" i="18"/>
  <c r="I24" i="13"/>
  <c r="U27" i="13"/>
  <c r="F23" i="13"/>
  <c r="N7" i="18"/>
  <c r="N21" i="18" s="1"/>
  <c r="E27" i="13"/>
  <c r="D14" i="18"/>
  <c r="L14" i="18"/>
  <c r="T14" i="18"/>
  <c r="N15" i="18"/>
  <c r="V15" i="18"/>
  <c r="S29" i="13"/>
  <c r="N23" i="13"/>
  <c r="U14" i="20"/>
  <c r="G15" i="18"/>
  <c r="O243" i="3"/>
  <c r="W243" i="3"/>
  <c r="B23" i="13"/>
  <c r="J23" i="13"/>
  <c r="R23" i="13"/>
  <c r="D24" i="13"/>
  <c r="L24" i="13"/>
  <c r="T24" i="13"/>
  <c r="D29" i="13"/>
  <c r="L29" i="13"/>
  <c r="T29" i="13"/>
  <c r="V23" i="13"/>
  <c r="Q24" i="13"/>
  <c r="M27" i="13"/>
  <c r="E24" i="13"/>
  <c r="M24" i="13"/>
  <c r="U24" i="13"/>
  <c r="G25" i="13"/>
  <c r="W25" i="13"/>
  <c r="T7" i="18"/>
  <c r="T21" i="18" s="1"/>
  <c r="K14" i="18"/>
  <c r="S14" i="18"/>
  <c r="M4" i="19"/>
  <c r="M10" i="20" s="1"/>
  <c r="H25" i="13"/>
  <c r="P25" i="13"/>
  <c r="B27" i="13"/>
  <c r="J27" i="13"/>
  <c r="R27" i="13"/>
  <c r="H29" i="13"/>
  <c r="P29" i="13"/>
  <c r="N242" i="3"/>
  <c r="H243" i="3"/>
  <c r="C25" i="13"/>
  <c r="O28" i="13"/>
  <c r="M15" i="18"/>
  <c r="H242" i="3"/>
  <c r="H23" i="13"/>
  <c r="P23" i="13"/>
  <c r="B24" i="13"/>
  <c r="J24" i="13"/>
  <c r="R24" i="13"/>
  <c r="D25" i="13"/>
  <c r="L25" i="13"/>
  <c r="T25" i="13"/>
  <c r="F27" i="13"/>
  <c r="N27" i="13"/>
  <c r="V27" i="13"/>
  <c r="H28" i="13"/>
  <c r="P28" i="13"/>
  <c r="B29" i="13"/>
  <c r="J29" i="13"/>
  <c r="R29" i="13"/>
  <c r="W23" i="13"/>
  <c r="G28" i="13"/>
  <c r="C243" i="3"/>
  <c r="K243" i="3"/>
  <c r="S243" i="3"/>
  <c r="E7" i="18"/>
  <c r="E21" i="18" s="1"/>
  <c r="M7" i="18"/>
  <c r="M21" i="18" s="1"/>
  <c r="U7" i="18"/>
  <c r="U21" i="18" s="1"/>
  <c r="I4" i="19"/>
  <c r="I60" i="3" s="1"/>
  <c r="I212" i="3" s="1"/>
  <c r="K4" i="19"/>
  <c r="K24" i="19" s="1"/>
  <c r="W4" i="19"/>
  <c r="W20" i="19" s="1"/>
  <c r="G10" i="19"/>
  <c r="G11" i="20" s="1"/>
  <c r="O10" i="19"/>
  <c r="O61" i="3" s="1"/>
  <c r="O213" i="3" s="1"/>
  <c r="Q10" i="19"/>
  <c r="Q61" i="3" s="1"/>
  <c r="Q213" i="3" s="1"/>
  <c r="D3" i="20"/>
  <c r="T3" i="20"/>
  <c r="T22" i="20" s="1"/>
  <c r="F3" i="20"/>
  <c r="F23" i="20" s="1"/>
  <c r="C24" i="13"/>
  <c r="K24" i="13"/>
  <c r="S24" i="13"/>
  <c r="E25" i="13"/>
  <c r="M25" i="13"/>
  <c r="U25" i="13"/>
  <c r="G27" i="13"/>
  <c r="O27" i="13"/>
  <c r="W27" i="13"/>
  <c r="I28" i="13"/>
  <c r="Q28" i="13"/>
  <c r="Q15" i="18"/>
  <c r="R18" i="20"/>
  <c r="T243" i="3"/>
  <c r="M14" i="20"/>
  <c r="F25" i="13"/>
  <c r="N25" i="13"/>
  <c r="V25" i="13"/>
  <c r="H27" i="13"/>
  <c r="P27" i="13"/>
  <c r="B28" i="13"/>
  <c r="J28" i="13"/>
  <c r="R28" i="13"/>
  <c r="R30" i="3"/>
  <c r="R242" i="3" s="1"/>
  <c r="K25" i="13"/>
  <c r="I29" i="13"/>
  <c r="B242" i="3"/>
  <c r="L243" i="3"/>
  <c r="H89" i="3"/>
  <c r="H181" i="3" s="1"/>
  <c r="C23" i="13"/>
  <c r="K23" i="13"/>
  <c r="S23" i="13"/>
  <c r="I27" i="13"/>
  <c r="Q27" i="13"/>
  <c r="C28" i="13"/>
  <c r="K28" i="13"/>
  <c r="S28" i="13"/>
  <c r="E29" i="13"/>
  <c r="M29" i="13"/>
  <c r="U29" i="13"/>
  <c r="O23" i="13"/>
  <c r="S25" i="13"/>
  <c r="Q29" i="13"/>
  <c r="D243" i="3"/>
  <c r="M3" i="18"/>
  <c r="M18" i="18" s="1"/>
  <c r="G14" i="18"/>
  <c r="D23" i="13"/>
  <c r="L23" i="13"/>
  <c r="T23" i="13"/>
  <c r="F24" i="13"/>
  <c r="N24" i="13"/>
  <c r="V24" i="13"/>
  <c r="D28" i="13"/>
  <c r="L28" i="13"/>
  <c r="T28" i="13"/>
  <c r="F29" i="13"/>
  <c r="N29" i="13"/>
  <c r="V29" i="13"/>
  <c r="C7" i="18"/>
  <c r="C21" i="18" s="1"/>
  <c r="E23" i="13"/>
  <c r="M23" i="13"/>
  <c r="U23" i="13"/>
  <c r="G24" i="13"/>
  <c r="O24" i="13"/>
  <c r="W24" i="13"/>
  <c r="I25" i="13"/>
  <c r="Q25" i="13"/>
  <c r="C27" i="13"/>
  <c r="K27" i="13"/>
  <c r="S27" i="13"/>
  <c r="E28" i="13"/>
  <c r="M28" i="13"/>
  <c r="U28" i="13"/>
  <c r="G29" i="13"/>
  <c r="O29" i="13"/>
  <c r="W29" i="13"/>
  <c r="G23" i="13"/>
  <c r="W28" i="13"/>
  <c r="L15" i="20"/>
  <c r="F4" i="19"/>
  <c r="F60" i="3" s="1"/>
  <c r="N4" i="19"/>
  <c r="N60" i="3" s="1"/>
  <c r="N212" i="3" s="1"/>
  <c r="V4" i="19"/>
  <c r="V60" i="3" s="1"/>
  <c r="H4" i="19"/>
  <c r="H60" i="3" s="1"/>
  <c r="H212" i="3" s="1"/>
  <c r="P4" i="19"/>
  <c r="P20" i="19" s="1"/>
  <c r="J10" i="19"/>
  <c r="J61" i="3" s="1"/>
  <c r="S19" i="20"/>
  <c r="H24" i="13"/>
  <c r="P24" i="13"/>
  <c r="B25" i="13"/>
  <c r="J25" i="13"/>
  <c r="R25" i="13"/>
  <c r="D27" i="13"/>
  <c r="L27" i="13"/>
  <c r="T27" i="13"/>
  <c r="F28" i="13"/>
  <c r="N28" i="13"/>
  <c r="V28" i="13"/>
  <c r="R243" i="3"/>
  <c r="I242" i="3"/>
  <c r="E243" i="3"/>
  <c r="G242" i="3"/>
  <c r="W242" i="3"/>
  <c r="Q243" i="3"/>
  <c r="K15" i="18"/>
  <c r="L19" i="20"/>
  <c r="D7" i="18"/>
  <c r="D21" i="18" s="1"/>
  <c r="K14" i="20"/>
  <c r="M3" i="20"/>
  <c r="M21" i="20" s="1"/>
  <c r="U19" i="20"/>
  <c r="Q30" i="3"/>
  <c r="Q242" i="3" s="1"/>
  <c r="A242" i="3"/>
  <c r="N31" i="3"/>
  <c r="N243" i="3" s="1"/>
  <c r="V31" i="3"/>
  <c r="J242" i="3"/>
  <c r="A243" i="3"/>
  <c r="H10" i="19"/>
  <c r="H25" i="19" s="1"/>
  <c r="E14" i="20"/>
  <c r="L7" i="18"/>
  <c r="L21" i="18" s="1"/>
  <c r="G3" i="20"/>
  <c r="G22" i="20" s="1"/>
  <c r="C4" i="19"/>
  <c r="C20" i="19" s="1"/>
  <c r="S4" i="19"/>
  <c r="S20" i="19" s="1"/>
  <c r="U4" i="19"/>
  <c r="U20" i="19" s="1"/>
  <c r="Q4" i="19"/>
  <c r="Q60" i="3" s="1"/>
  <c r="D30" i="3"/>
  <c r="L30" i="3"/>
  <c r="L242" i="3" s="1"/>
  <c r="T30" i="3"/>
  <c r="G31" i="3"/>
  <c r="G29" i="3" s="1"/>
  <c r="G122" i="3" s="1"/>
  <c r="M91" i="3"/>
  <c r="M243" i="3" s="1"/>
  <c r="U91" i="3"/>
  <c r="U243" i="3" s="1"/>
  <c r="P10" i="19"/>
  <c r="P61" i="3" s="1"/>
  <c r="P213" i="3" s="1"/>
  <c r="U3" i="20"/>
  <c r="U22" i="20" s="1"/>
  <c r="H7" i="18"/>
  <c r="H23" i="18" s="1"/>
  <c r="D4" i="19"/>
  <c r="D60" i="3" s="1"/>
  <c r="L4" i="19"/>
  <c r="L60" i="3" s="1"/>
  <c r="T4" i="19"/>
  <c r="T60" i="3" s="1"/>
  <c r="R10" i="19"/>
  <c r="R61" i="3" s="1"/>
  <c r="R213" i="3" s="1"/>
  <c r="E30" i="3"/>
  <c r="E29" i="3" s="1"/>
  <c r="U30" i="3"/>
  <c r="U242" i="3" s="1"/>
  <c r="K90" i="3"/>
  <c r="K242" i="3" s="1"/>
  <c r="F91" i="3"/>
  <c r="F243" i="3" s="1"/>
  <c r="V91" i="3"/>
  <c r="V89" i="3" s="1"/>
  <c r="B243" i="3"/>
  <c r="B10" i="19"/>
  <c r="B61" i="3" s="1"/>
  <c r="B213" i="3" s="1"/>
  <c r="O15" i="20"/>
  <c r="V3" i="20"/>
  <c r="O15" i="18"/>
  <c r="W15" i="18"/>
  <c r="E4" i="19"/>
  <c r="E60" i="3" s="1"/>
  <c r="G4" i="19"/>
  <c r="G60" i="3" s="1"/>
  <c r="G212" i="3" s="1"/>
  <c r="W10" i="19"/>
  <c r="W25" i="19" s="1"/>
  <c r="F30" i="3"/>
  <c r="F242" i="3" s="1"/>
  <c r="V30" i="3"/>
  <c r="V242" i="3" s="1"/>
  <c r="I31" i="3"/>
  <c r="I243" i="3" s="1"/>
  <c r="D90" i="3"/>
  <c r="D89" i="3" s="1"/>
  <c r="D183" i="3" s="1"/>
  <c r="T90" i="3"/>
  <c r="T89" i="3" s="1"/>
  <c r="T183" i="3" s="1"/>
  <c r="G91" i="3"/>
  <c r="G89" i="3" s="1"/>
  <c r="O30" i="3"/>
  <c r="O29" i="3" s="1"/>
  <c r="J31" i="3"/>
  <c r="J29" i="3" s="1"/>
  <c r="J122" i="3" s="1"/>
  <c r="E90" i="3"/>
  <c r="E89" i="3" s="1"/>
  <c r="M90" i="3"/>
  <c r="M242" i="3" s="1"/>
  <c r="G3" i="18"/>
  <c r="G17" i="18" s="1"/>
  <c r="W3" i="18"/>
  <c r="W18" i="18" s="1"/>
  <c r="C14" i="18"/>
  <c r="K7" i="18"/>
  <c r="K21" i="18" s="1"/>
  <c r="S7" i="18"/>
  <c r="S21" i="18" s="1"/>
  <c r="E15" i="18"/>
  <c r="O4" i="19"/>
  <c r="O24" i="19" s="1"/>
  <c r="I10" i="19"/>
  <c r="I61" i="3" s="1"/>
  <c r="B18" i="20"/>
  <c r="J18" i="20"/>
  <c r="D19" i="20"/>
  <c r="L3" i="20"/>
  <c r="L23" i="20" s="1"/>
  <c r="T19" i="20"/>
  <c r="P30" i="3"/>
  <c r="P242" i="3" s="1"/>
  <c r="O89" i="3"/>
  <c r="O181" i="3" s="1"/>
  <c r="A212" i="3"/>
  <c r="A213" i="3"/>
  <c r="K29" i="3"/>
  <c r="K123" i="3" s="1"/>
  <c r="P243" i="3"/>
  <c r="H29" i="3"/>
  <c r="C29" i="3"/>
  <c r="S29" i="3"/>
  <c r="S121" i="3" s="1"/>
  <c r="A182" i="3"/>
  <c r="A183" i="3"/>
  <c r="W89" i="3"/>
  <c r="N89" i="3"/>
  <c r="N181" i="3" s="1"/>
  <c r="A122" i="3"/>
  <c r="A91" i="3"/>
  <c r="B89" i="3"/>
  <c r="B181" i="3" s="1"/>
  <c r="J89" i="3"/>
  <c r="R89" i="3"/>
  <c r="R182" i="3" s="1"/>
  <c r="A123" i="3"/>
  <c r="I89" i="3"/>
  <c r="I181" i="3" s="1"/>
  <c r="Q89" i="3"/>
  <c r="Q181" i="3" s="1"/>
  <c r="A152" i="3"/>
  <c r="A153" i="3"/>
  <c r="M29" i="3"/>
  <c r="C89" i="3"/>
  <c r="C181" i="3" s="1"/>
  <c r="S89" i="3"/>
  <c r="S181" i="3" s="1"/>
  <c r="A90" i="3"/>
  <c r="P89" i="3"/>
  <c r="P182" i="3" s="1"/>
  <c r="A237" i="3"/>
  <c r="L89" i="3"/>
  <c r="L183" i="3" s="1"/>
  <c r="B29" i="3"/>
  <c r="W29" i="3"/>
  <c r="A117" i="3"/>
  <c r="A147" i="3"/>
  <c r="A54" i="3"/>
  <c r="A176" i="3"/>
  <c r="A55" i="3"/>
  <c r="A177" i="3"/>
  <c r="A84" i="3"/>
  <c r="A206" i="3"/>
  <c r="A85" i="3"/>
  <c r="A146" i="3"/>
  <c r="A116" i="3"/>
  <c r="D21" i="20"/>
  <c r="D22" i="20"/>
  <c r="E18" i="18"/>
  <c r="I21" i="18"/>
  <c r="N3" i="18"/>
  <c r="N17" i="18" s="1"/>
  <c r="U14" i="18"/>
  <c r="E21" i="20"/>
  <c r="F22" i="20"/>
  <c r="P14" i="18"/>
  <c r="J14" i="20"/>
  <c r="O3" i="20"/>
  <c r="O23" i="20" s="1"/>
  <c r="O3" i="18"/>
  <c r="O18" i="18" s="1"/>
  <c r="N3" i="20"/>
  <c r="N13" i="20" s="1"/>
  <c r="L20" i="19"/>
  <c r="L10" i="20"/>
  <c r="R23" i="18"/>
  <c r="N20" i="19"/>
  <c r="O11" i="20"/>
  <c r="Q14" i="20"/>
  <c r="Q10" i="20"/>
  <c r="Q3" i="20"/>
  <c r="Q22" i="20" s="1"/>
  <c r="C19" i="20"/>
  <c r="E14" i="18"/>
  <c r="M14" i="18"/>
  <c r="E19" i="18"/>
  <c r="U19" i="18"/>
  <c r="I22" i="18"/>
  <c r="S23" i="18"/>
  <c r="H18" i="20"/>
  <c r="E19" i="20"/>
  <c r="P3" i="18"/>
  <c r="P18" i="18" s="1"/>
  <c r="F7" i="18"/>
  <c r="F21" i="18" s="1"/>
  <c r="V7" i="18"/>
  <c r="V21" i="18" s="1"/>
  <c r="F14" i="18"/>
  <c r="N14" i="18"/>
  <c r="V14" i="18"/>
  <c r="H15" i="18"/>
  <c r="P15" i="18"/>
  <c r="N22" i="18"/>
  <c r="K20" i="19"/>
  <c r="B4" i="19"/>
  <c r="B60" i="3" s="1"/>
  <c r="J4" i="19"/>
  <c r="J60" i="3" s="1"/>
  <c r="J212" i="3" s="1"/>
  <c r="R4" i="19"/>
  <c r="R60" i="3" s="1"/>
  <c r="R212" i="3" s="1"/>
  <c r="S10" i="20"/>
  <c r="I18" i="20"/>
  <c r="J19" i="20"/>
  <c r="H3" i="18"/>
  <c r="H18" i="18" s="1"/>
  <c r="I3" i="18"/>
  <c r="G7" i="18"/>
  <c r="G21" i="18" s="1"/>
  <c r="O7" i="18"/>
  <c r="O21" i="18" s="1"/>
  <c r="W7" i="18"/>
  <c r="W21" i="18" s="1"/>
  <c r="E13" i="18"/>
  <c r="C10" i="19"/>
  <c r="C61" i="3" s="1"/>
  <c r="C213" i="3" s="1"/>
  <c r="K10" i="19"/>
  <c r="S10" i="19"/>
  <c r="S61" i="3" s="1"/>
  <c r="S213" i="3" s="1"/>
  <c r="E10" i="19"/>
  <c r="E61" i="3" s="1"/>
  <c r="E213" i="3" s="1"/>
  <c r="M10" i="19"/>
  <c r="M61" i="3" s="1"/>
  <c r="M213" i="3" s="1"/>
  <c r="U10" i="19"/>
  <c r="U61" i="3" s="1"/>
  <c r="U213" i="3" s="1"/>
  <c r="K18" i="20"/>
  <c r="K19" i="20"/>
  <c r="I14" i="20"/>
  <c r="I3" i="20"/>
  <c r="I23" i="20" s="1"/>
  <c r="B3" i="18"/>
  <c r="B18" i="18" s="1"/>
  <c r="R3" i="18"/>
  <c r="R19" i="18" s="1"/>
  <c r="F19" i="18"/>
  <c r="P7" i="18"/>
  <c r="P21" i="18" s="1"/>
  <c r="R22" i="18"/>
  <c r="L23" i="18"/>
  <c r="T23" i="18"/>
  <c r="H14" i="18"/>
  <c r="B15" i="18"/>
  <c r="R15" i="18"/>
  <c r="D10" i="19"/>
  <c r="L10" i="19"/>
  <c r="T10" i="19"/>
  <c r="M22" i="20"/>
  <c r="G23" i="20"/>
  <c r="W23" i="20"/>
  <c r="R14" i="20"/>
  <c r="M19" i="20"/>
  <c r="K15" i="20"/>
  <c r="K3" i="20"/>
  <c r="K22" i="20" s="1"/>
  <c r="Q3" i="18"/>
  <c r="Q18" i="18" s="1"/>
  <c r="C3" i="18"/>
  <c r="C19" i="18" s="1"/>
  <c r="U18" i="18"/>
  <c r="Q7" i="18"/>
  <c r="Q21" i="18" s="1"/>
  <c r="S22" i="18"/>
  <c r="E23" i="18"/>
  <c r="M23" i="18"/>
  <c r="I14" i="18"/>
  <c r="C15" i="18"/>
  <c r="S15" i="18"/>
  <c r="K23" i="18"/>
  <c r="F18" i="20"/>
  <c r="F14" i="20"/>
  <c r="N18" i="20"/>
  <c r="N14" i="20"/>
  <c r="N10" i="20"/>
  <c r="V18" i="20"/>
  <c r="V14" i="20"/>
  <c r="H19" i="20"/>
  <c r="H15" i="20"/>
  <c r="P19" i="20"/>
  <c r="P15" i="20"/>
  <c r="S14" i="20"/>
  <c r="T15" i="20"/>
  <c r="Q18" i="20"/>
  <c r="R19" i="20"/>
  <c r="C15" i="20"/>
  <c r="C3" i="20"/>
  <c r="C23" i="20" s="1"/>
  <c r="J3" i="18"/>
  <c r="J18" i="18" s="1"/>
  <c r="K3" i="18"/>
  <c r="K19" i="18" s="1"/>
  <c r="S3" i="18"/>
  <c r="S18" i="18" s="1"/>
  <c r="D3" i="18"/>
  <c r="D18" i="18" s="1"/>
  <c r="L3" i="18"/>
  <c r="T3" i="18"/>
  <c r="T18" i="18" s="1"/>
  <c r="F18" i="18"/>
  <c r="B7" i="18"/>
  <c r="B22" i="18" s="1"/>
  <c r="J7" i="18"/>
  <c r="J21" i="18" s="1"/>
  <c r="D14" i="20"/>
  <c r="L14" i="20"/>
  <c r="T22" i="18"/>
  <c r="T14" i="20"/>
  <c r="F15" i="20"/>
  <c r="N23" i="18"/>
  <c r="N15" i="20"/>
  <c r="V15" i="20"/>
  <c r="B14" i="18"/>
  <c r="J14" i="18"/>
  <c r="R14" i="18"/>
  <c r="D15" i="18"/>
  <c r="L15" i="18"/>
  <c r="T15" i="18"/>
  <c r="F10" i="19"/>
  <c r="F61" i="3" s="1"/>
  <c r="N10" i="19"/>
  <c r="V10" i="19"/>
  <c r="E17" i="20"/>
  <c r="E13" i="20"/>
  <c r="G18" i="20"/>
  <c r="G14" i="20"/>
  <c r="O18" i="20"/>
  <c r="O14" i="20"/>
  <c r="W18" i="20"/>
  <c r="W14" i="20"/>
  <c r="I19" i="20"/>
  <c r="I15" i="20"/>
  <c r="Q19" i="20"/>
  <c r="Q15" i="20"/>
  <c r="W10" i="20"/>
  <c r="B14" i="20"/>
  <c r="U15" i="20"/>
  <c r="S18" i="20"/>
  <c r="S15" i="20"/>
  <c r="S3" i="20"/>
  <c r="S23" i="20" s="1"/>
  <c r="G18" i="18"/>
  <c r="I19" i="18"/>
  <c r="E22" i="18"/>
  <c r="M22" i="18"/>
  <c r="U15" i="18"/>
  <c r="W24" i="19"/>
  <c r="H14" i="20"/>
  <c r="H3" i="20"/>
  <c r="H22" i="20" s="1"/>
  <c r="P14" i="20"/>
  <c r="P10" i="20"/>
  <c r="P3" i="20"/>
  <c r="P22" i="20" s="1"/>
  <c r="B15" i="20"/>
  <c r="B3" i="20"/>
  <c r="J15" i="20"/>
  <c r="J3" i="20"/>
  <c r="J23" i="20" s="1"/>
  <c r="R15" i="20"/>
  <c r="C14" i="20"/>
  <c r="D15" i="20"/>
  <c r="W15" i="20"/>
  <c r="W17" i="20"/>
  <c r="B19" i="20"/>
  <c r="V22" i="20"/>
  <c r="D18" i="20"/>
  <c r="L18" i="20"/>
  <c r="T18" i="20"/>
  <c r="F19" i="20"/>
  <c r="N19" i="20"/>
  <c r="V19" i="20"/>
  <c r="D23" i="20"/>
  <c r="E18" i="20"/>
  <c r="M18" i="20"/>
  <c r="U18" i="20"/>
  <c r="G19" i="20"/>
  <c r="O19" i="20"/>
  <c r="W19" i="20"/>
  <c r="E23" i="20"/>
  <c r="M23" i="20"/>
  <c r="R3" i="20"/>
  <c r="H20" i="19" l="1"/>
  <c r="Q24" i="19"/>
  <c r="R29" i="3"/>
  <c r="R123" i="3" s="1"/>
  <c r="F20" i="19"/>
  <c r="F24" i="19"/>
  <c r="G24" i="19"/>
  <c r="O21" i="19"/>
  <c r="N24" i="19"/>
  <c r="R21" i="19"/>
  <c r="R25" i="19"/>
  <c r="P24" i="19"/>
  <c r="U24" i="19"/>
  <c r="M24" i="19"/>
  <c r="T24" i="19"/>
  <c r="W3" i="19"/>
  <c r="W28" i="19" s="1"/>
  <c r="G25" i="19"/>
  <c r="T20" i="19"/>
  <c r="U29" i="3"/>
  <c r="F89" i="3"/>
  <c r="F181" i="3" s="1"/>
  <c r="L21" i="20"/>
  <c r="H11" i="20"/>
  <c r="J21" i="19"/>
  <c r="H3" i="19"/>
  <c r="H23" i="19" s="1"/>
  <c r="Q11" i="20"/>
  <c r="J11" i="20"/>
  <c r="Q21" i="19"/>
  <c r="Q25" i="19"/>
  <c r="I213" i="3"/>
  <c r="N29" i="3"/>
  <c r="N241" i="3" s="1"/>
  <c r="W19" i="18"/>
  <c r="G19" i="18"/>
  <c r="H19" i="18"/>
  <c r="V17" i="18"/>
  <c r="V17" i="20"/>
  <c r="Q212" i="3"/>
  <c r="V18" i="18"/>
  <c r="W17" i="18"/>
  <c r="Q20" i="19"/>
  <c r="P3" i="19"/>
  <c r="P23" i="19" s="1"/>
  <c r="F10" i="20"/>
  <c r="W21" i="20"/>
  <c r="K10" i="20"/>
  <c r="O25" i="19"/>
  <c r="Q3" i="19"/>
  <c r="Q29" i="19" s="1"/>
  <c r="M20" i="19"/>
  <c r="G20" i="19"/>
  <c r="F23" i="18"/>
  <c r="R11" i="20"/>
  <c r="F59" i="3"/>
  <c r="F151" i="3" s="1"/>
  <c r="M3" i="19"/>
  <c r="M19" i="19" s="1"/>
  <c r="G21" i="20"/>
  <c r="Q29" i="3"/>
  <c r="Q121" i="3" s="1"/>
  <c r="R18" i="18"/>
  <c r="C22" i="20"/>
  <c r="W11" i="20"/>
  <c r="B11" i="20"/>
  <c r="B25" i="19"/>
  <c r="M13" i="20"/>
  <c r="J25" i="19"/>
  <c r="I25" i="19"/>
  <c r="W60" i="3"/>
  <c r="W212" i="3" s="1"/>
  <c r="B21" i="19"/>
  <c r="M17" i="18"/>
  <c r="T10" i="20"/>
  <c r="L24" i="19"/>
  <c r="M60" i="3"/>
  <c r="M212" i="3" s="1"/>
  <c r="K60" i="3"/>
  <c r="K212" i="3" s="1"/>
  <c r="P29" i="3"/>
  <c r="P123" i="3" s="1"/>
  <c r="T212" i="3"/>
  <c r="G61" i="3"/>
  <c r="G213" i="3" s="1"/>
  <c r="K122" i="3"/>
  <c r="G21" i="19"/>
  <c r="H10" i="20"/>
  <c r="E24" i="19"/>
  <c r="C22" i="18"/>
  <c r="D10" i="20"/>
  <c r="V20" i="19"/>
  <c r="H183" i="3"/>
  <c r="D24" i="19"/>
  <c r="I20" i="19"/>
  <c r="O23" i="18"/>
  <c r="N17" i="20"/>
  <c r="D20" i="19"/>
  <c r="V24" i="19"/>
  <c r="T29" i="3"/>
  <c r="T122" i="3" s="1"/>
  <c r="G3" i="19"/>
  <c r="G9" i="20" s="1"/>
  <c r="M19" i="18"/>
  <c r="E20" i="19"/>
  <c r="N23" i="20"/>
  <c r="C23" i="18"/>
  <c r="L17" i="20"/>
  <c r="U23" i="18"/>
  <c r="L22" i="20"/>
  <c r="F17" i="20"/>
  <c r="C10" i="20"/>
  <c r="H22" i="18"/>
  <c r="M13" i="18"/>
  <c r="I24" i="19"/>
  <c r="E10" i="20"/>
  <c r="V10" i="20"/>
  <c r="I10" i="20"/>
  <c r="N21" i="20"/>
  <c r="U13" i="18"/>
  <c r="H21" i="18"/>
  <c r="G17" i="20"/>
  <c r="K22" i="18"/>
  <c r="F21" i="20"/>
  <c r="U22" i="18"/>
  <c r="F13" i="20"/>
  <c r="T23" i="20"/>
  <c r="T21" i="20"/>
  <c r="T13" i="20"/>
  <c r="M17" i="20"/>
  <c r="H24" i="19"/>
  <c r="G10" i="20"/>
  <c r="M89" i="3"/>
  <c r="M241" i="3" s="1"/>
  <c r="H182" i="3"/>
  <c r="Q183" i="3"/>
  <c r="S19" i="18"/>
  <c r="O242" i="3"/>
  <c r="P60" i="3"/>
  <c r="P212" i="3" s="1"/>
  <c r="G243" i="3"/>
  <c r="F13" i="18"/>
  <c r="Q59" i="3"/>
  <c r="Q153" i="3" s="1"/>
  <c r="J241" i="3"/>
  <c r="S122" i="3"/>
  <c r="J243" i="3"/>
  <c r="S22" i="20"/>
  <c r="Q19" i="18"/>
  <c r="S123" i="3"/>
  <c r="J121" i="3"/>
  <c r="N22" i="20"/>
  <c r="U89" i="3"/>
  <c r="U183" i="3" s="1"/>
  <c r="J123" i="3"/>
  <c r="D242" i="3"/>
  <c r="V181" i="3"/>
  <c r="V182" i="3"/>
  <c r="Q23" i="20"/>
  <c r="O17" i="20"/>
  <c r="L13" i="20"/>
  <c r="P25" i="19"/>
  <c r="I21" i="19"/>
  <c r="V21" i="20"/>
  <c r="D22" i="18"/>
  <c r="D11" i="20"/>
  <c r="D61" i="3"/>
  <c r="D213" i="3" s="1"/>
  <c r="N13" i="18"/>
  <c r="I3" i="19"/>
  <c r="I27" i="19" s="1"/>
  <c r="F29" i="3"/>
  <c r="F122" i="3" s="1"/>
  <c r="P122" i="3"/>
  <c r="R59" i="3"/>
  <c r="R153" i="3" s="1"/>
  <c r="S182" i="3"/>
  <c r="T242" i="3"/>
  <c r="V243" i="3"/>
  <c r="B212" i="3"/>
  <c r="B59" i="3"/>
  <c r="B152" i="3" s="1"/>
  <c r="D23" i="18"/>
  <c r="E59" i="3"/>
  <c r="E211" i="3" s="1"/>
  <c r="F213" i="3"/>
  <c r="O10" i="20"/>
  <c r="O60" i="3"/>
  <c r="U21" i="20"/>
  <c r="G23" i="18"/>
  <c r="N3" i="19"/>
  <c r="N28" i="19" s="1"/>
  <c r="N61" i="3"/>
  <c r="G13" i="18"/>
  <c r="O17" i="18"/>
  <c r="K11" i="20"/>
  <c r="K61" i="3"/>
  <c r="D29" i="3"/>
  <c r="D241" i="3" s="1"/>
  <c r="E242" i="3"/>
  <c r="U13" i="20"/>
  <c r="L29" i="3"/>
  <c r="L241" i="3" s="1"/>
  <c r="K89" i="3"/>
  <c r="K181" i="3" s="1"/>
  <c r="W21" i="19"/>
  <c r="W61" i="3"/>
  <c r="W213" i="3" s="1"/>
  <c r="H21" i="19"/>
  <c r="H61" i="3"/>
  <c r="V23" i="20"/>
  <c r="N122" i="3"/>
  <c r="O3" i="19"/>
  <c r="O19" i="19" s="1"/>
  <c r="S11" i="20"/>
  <c r="U17" i="20"/>
  <c r="N18" i="18"/>
  <c r="C11" i="20"/>
  <c r="P11" i="20"/>
  <c r="D13" i="20"/>
  <c r="E3" i="19"/>
  <c r="E9" i="20" s="1"/>
  <c r="E11" i="20"/>
  <c r="I29" i="3"/>
  <c r="I241" i="3" s="1"/>
  <c r="U10" i="20"/>
  <c r="U60" i="3"/>
  <c r="V3" i="19"/>
  <c r="V28" i="19" s="1"/>
  <c r="V61" i="3"/>
  <c r="U23" i="20"/>
  <c r="O19" i="18"/>
  <c r="V23" i="18"/>
  <c r="L22" i="18"/>
  <c r="T3" i="19"/>
  <c r="T23" i="19" s="1"/>
  <c r="T61" i="3"/>
  <c r="T59" i="3" s="1"/>
  <c r="N19" i="18"/>
  <c r="C18" i="18"/>
  <c r="O20" i="19"/>
  <c r="P21" i="19"/>
  <c r="I11" i="20"/>
  <c r="V29" i="3"/>
  <c r="V123" i="3" s="1"/>
  <c r="I59" i="3"/>
  <c r="I152" i="3" s="1"/>
  <c r="Q182" i="3"/>
  <c r="L212" i="3"/>
  <c r="E212" i="3"/>
  <c r="F212" i="3"/>
  <c r="S24" i="19"/>
  <c r="S60" i="3"/>
  <c r="J213" i="3"/>
  <c r="L11" i="20"/>
  <c r="L61" i="3"/>
  <c r="J59" i="3"/>
  <c r="J151" i="3" s="1"/>
  <c r="D212" i="3"/>
  <c r="C24" i="19"/>
  <c r="C60" i="3"/>
  <c r="V212" i="3"/>
  <c r="H121" i="3"/>
  <c r="H241" i="3"/>
  <c r="D123" i="3"/>
  <c r="H122" i="3"/>
  <c r="G121" i="3"/>
  <c r="G241" i="3"/>
  <c r="K121" i="3"/>
  <c r="V183" i="3"/>
  <c r="B121" i="3"/>
  <c r="B241" i="3"/>
  <c r="I183" i="3"/>
  <c r="Q123" i="3"/>
  <c r="Q241" i="3"/>
  <c r="O121" i="3"/>
  <c r="O241" i="3"/>
  <c r="E121" i="3"/>
  <c r="E241" i="3"/>
  <c r="S241" i="3"/>
  <c r="B182" i="3"/>
  <c r="N182" i="3"/>
  <c r="O182" i="3"/>
  <c r="O183" i="3"/>
  <c r="U121" i="3"/>
  <c r="W121" i="3"/>
  <c r="W241" i="3"/>
  <c r="B122" i="3"/>
  <c r="R241" i="3"/>
  <c r="C123" i="3"/>
  <c r="C241" i="3"/>
  <c r="B183" i="3"/>
  <c r="H123" i="3"/>
  <c r="F183" i="3"/>
  <c r="U122" i="3"/>
  <c r="C122" i="3"/>
  <c r="C182" i="3"/>
  <c r="F182" i="3"/>
  <c r="E181" i="3"/>
  <c r="E182" i="3"/>
  <c r="C121" i="3"/>
  <c r="G181" i="3"/>
  <c r="G183" i="3"/>
  <c r="G182" i="3"/>
  <c r="T181" i="3"/>
  <c r="T182" i="3"/>
  <c r="S183" i="3"/>
  <c r="N183" i="3"/>
  <c r="J183" i="3"/>
  <c r="J181" i="3"/>
  <c r="P181" i="3"/>
  <c r="P183" i="3"/>
  <c r="T123" i="3"/>
  <c r="L181" i="3"/>
  <c r="L182" i="3"/>
  <c r="W181" i="3"/>
  <c r="W182" i="3"/>
  <c r="W183" i="3"/>
  <c r="U182" i="3"/>
  <c r="K183" i="3"/>
  <c r="E183" i="3"/>
  <c r="D181" i="3"/>
  <c r="D182" i="3"/>
  <c r="R183" i="3"/>
  <c r="R181" i="3"/>
  <c r="M182" i="3"/>
  <c r="I182" i="3"/>
  <c r="C183" i="3"/>
  <c r="J182" i="3"/>
  <c r="M123" i="3"/>
  <c r="M121" i="3"/>
  <c r="Q122" i="3"/>
  <c r="O123" i="3"/>
  <c r="E123" i="3"/>
  <c r="W123" i="3"/>
  <c r="G123" i="3"/>
  <c r="B123" i="3"/>
  <c r="R122" i="3"/>
  <c r="R121" i="3"/>
  <c r="U123" i="3"/>
  <c r="W122" i="3"/>
  <c r="M122" i="3"/>
  <c r="N123" i="3"/>
  <c r="E122" i="3"/>
  <c r="O122" i="3"/>
  <c r="F153" i="3"/>
  <c r="F152" i="3"/>
  <c r="P23" i="20"/>
  <c r="D17" i="20"/>
  <c r="J22" i="18"/>
  <c r="P19" i="18"/>
  <c r="O21" i="20"/>
  <c r="O22" i="20"/>
  <c r="J23" i="18"/>
  <c r="B19" i="18"/>
  <c r="V13" i="20"/>
  <c r="G28" i="19"/>
  <c r="T17" i="20"/>
  <c r="L18" i="18"/>
  <c r="E23" i="19"/>
  <c r="J17" i="18"/>
  <c r="J13" i="18"/>
  <c r="E28" i="19"/>
  <c r="N9" i="20"/>
  <c r="C25" i="19"/>
  <c r="C21" i="19"/>
  <c r="C3" i="19"/>
  <c r="C9" i="20" s="1"/>
  <c r="J19" i="18"/>
  <c r="T11" i="20"/>
  <c r="W22" i="18"/>
  <c r="L3" i="19"/>
  <c r="L29" i="19" s="1"/>
  <c r="F21" i="19"/>
  <c r="F11" i="20"/>
  <c r="F25" i="19"/>
  <c r="W23" i="18"/>
  <c r="K21" i="20"/>
  <c r="K17" i="20"/>
  <c r="K13" i="20"/>
  <c r="T25" i="19"/>
  <c r="T21" i="19"/>
  <c r="W29" i="19"/>
  <c r="H28" i="19"/>
  <c r="Q22" i="18"/>
  <c r="K25" i="19"/>
  <c r="K21" i="19"/>
  <c r="K3" i="19"/>
  <c r="P9" i="20"/>
  <c r="P21" i="20"/>
  <c r="P17" i="20"/>
  <c r="P13" i="20"/>
  <c r="C21" i="20"/>
  <c r="C17" i="20"/>
  <c r="C13" i="20"/>
  <c r="L25" i="19"/>
  <c r="L21" i="19"/>
  <c r="R17" i="18"/>
  <c r="R13" i="18"/>
  <c r="I13" i="18"/>
  <c r="I17" i="18"/>
  <c r="H29" i="19"/>
  <c r="W13" i="18"/>
  <c r="F22" i="18"/>
  <c r="R21" i="20"/>
  <c r="R17" i="20"/>
  <c r="R13" i="20"/>
  <c r="R22" i="20"/>
  <c r="J21" i="20"/>
  <c r="J17" i="20"/>
  <c r="J13" i="20"/>
  <c r="T17" i="18"/>
  <c r="T19" i="18"/>
  <c r="T13" i="18"/>
  <c r="D25" i="19"/>
  <c r="D21" i="19"/>
  <c r="B17" i="18"/>
  <c r="B13" i="18"/>
  <c r="U21" i="19"/>
  <c r="U25" i="19"/>
  <c r="H17" i="18"/>
  <c r="H13" i="18"/>
  <c r="R24" i="19"/>
  <c r="R20" i="19"/>
  <c r="R3" i="19"/>
  <c r="R9" i="20" s="1"/>
  <c r="P13" i="18"/>
  <c r="P17" i="18"/>
  <c r="R10" i="20"/>
  <c r="P23" i="18"/>
  <c r="O13" i="18"/>
  <c r="B21" i="20"/>
  <c r="B17" i="20"/>
  <c r="B13" i="20"/>
  <c r="J22" i="20"/>
  <c r="L17" i="18"/>
  <c r="L13" i="18"/>
  <c r="M23" i="19"/>
  <c r="I21" i="20"/>
  <c r="I17" i="20"/>
  <c r="I13" i="20"/>
  <c r="M21" i="19"/>
  <c r="M29" i="19"/>
  <c r="M25" i="19"/>
  <c r="M9" i="20"/>
  <c r="J24" i="19"/>
  <c r="J20" i="19"/>
  <c r="J3" i="19"/>
  <c r="J9" i="20" s="1"/>
  <c r="J10" i="20"/>
  <c r="Q21" i="20"/>
  <c r="Q17" i="20"/>
  <c r="Q13" i="20"/>
  <c r="D3" i="19"/>
  <c r="D29" i="19" s="1"/>
  <c r="P22" i="18"/>
  <c r="K23" i="20"/>
  <c r="I22" i="20"/>
  <c r="K18" i="18"/>
  <c r="K17" i="18"/>
  <c r="K13" i="18"/>
  <c r="B22" i="20"/>
  <c r="R23" i="20"/>
  <c r="B23" i="20"/>
  <c r="V21" i="19"/>
  <c r="V11" i="20"/>
  <c r="V25" i="19"/>
  <c r="B21" i="18"/>
  <c r="B23" i="18"/>
  <c r="D17" i="18"/>
  <c r="D13" i="18"/>
  <c r="D19" i="18"/>
  <c r="C17" i="18"/>
  <c r="C13" i="18"/>
  <c r="M28" i="19"/>
  <c r="E21" i="19"/>
  <c r="E25" i="19"/>
  <c r="W9" i="20"/>
  <c r="U11" i="20"/>
  <c r="B24" i="19"/>
  <c r="B20" i="19"/>
  <c r="B3" i="19"/>
  <c r="B9" i="20" s="1"/>
  <c r="G13" i="20"/>
  <c r="B10" i="20"/>
  <c r="Q23" i="18"/>
  <c r="O22" i="18"/>
  <c r="G22" i="18"/>
  <c r="F3" i="19"/>
  <c r="H9" i="20"/>
  <c r="H21" i="20"/>
  <c r="H17" i="20"/>
  <c r="H13" i="20"/>
  <c r="H23" i="20"/>
  <c r="S21" i="20"/>
  <c r="S17" i="20"/>
  <c r="S13" i="20"/>
  <c r="N21" i="19"/>
  <c r="N29" i="19"/>
  <c r="N25" i="19"/>
  <c r="N11" i="20"/>
  <c r="S17" i="18"/>
  <c r="S13" i="18"/>
  <c r="U3" i="19"/>
  <c r="Q13" i="18"/>
  <c r="Q17" i="18"/>
  <c r="O13" i="20"/>
  <c r="L19" i="18"/>
  <c r="S25" i="19"/>
  <c r="S21" i="19"/>
  <c r="S3" i="19"/>
  <c r="S9" i="20" s="1"/>
  <c r="W13" i="20"/>
  <c r="M11" i="20"/>
  <c r="V22" i="18"/>
  <c r="V13" i="18"/>
  <c r="I18" i="18"/>
  <c r="F241" i="3" l="1"/>
  <c r="T241" i="3"/>
  <c r="M27" i="19"/>
  <c r="L121" i="3"/>
  <c r="P121" i="3"/>
  <c r="E27" i="19"/>
  <c r="W27" i="19"/>
  <c r="W19" i="19"/>
  <c r="G27" i="19"/>
  <c r="H27" i="19"/>
  <c r="H19" i="19"/>
  <c r="W23" i="19"/>
  <c r="P27" i="19"/>
  <c r="N121" i="3"/>
  <c r="Q9" i="20"/>
  <c r="N19" i="19"/>
  <c r="N27" i="19"/>
  <c r="Q23" i="19"/>
  <c r="Q27" i="19"/>
  <c r="E153" i="3"/>
  <c r="Q28" i="19"/>
  <c r="P59" i="3"/>
  <c r="P211" i="3" s="1"/>
  <c r="Q19" i="19"/>
  <c r="L123" i="3"/>
  <c r="M59" i="3"/>
  <c r="M152" i="3" s="1"/>
  <c r="O9" i="20"/>
  <c r="Q151" i="3"/>
  <c r="P29" i="19"/>
  <c r="P28" i="19"/>
  <c r="Q152" i="3"/>
  <c r="G59" i="3"/>
  <c r="M181" i="3"/>
  <c r="O27" i="19"/>
  <c r="E152" i="3"/>
  <c r="T121" i="3"/>
  <c r="E151" i="3"/>
  <c r="I122" i="3"/>
  <c r="M183" i="3"/>
  <c r="Q211" i="3"/>
  <c r="P19" i="19"/>
  <c r="I121" i="3"/>
  <c r="R211" i="3"/>
  <c r="O23" i="19"/>
  <c r="K182" i="3"/>
  <c r="E29" i="19"/>
  <c r="O28" i="19"/>
  <c r="E19" i="19"/>
  <c r="P241" i="3"/>
  <c r="F121" i="3"/>
  <c r="D122" i="3"/>
  <c r="J211" i="3"/>
  <c r="V19" i="19"/>
  <c r="J153" i="3"/>
  <c r="D121" i="3"/>
  <c r="F211" i="3"/>
  <c r="J152" i="3"/>
  <c r="G29" i="19"/>
  <c r="F123" i="3"/>
  <c r="V27" i="19"/>
  <c r="U181" i="3"/>
  <c r="G19" i="19"/>
  <c r="I153" i="3"/>
  <c r="U241" i="3"/>
  <c r="I211" i="3"/>
  <c r="G23" i="19"/>
  <c r="I23" i="19"/>
  <c r="I151" i="3"/>
  <c r="I28" i="19"/>
  <c r="T19" i="19"/>
  <c r="T27" i="19"/>
  <c r="I123" i="3"/>
  <c r="W59" i="3"/>
  <c r="W211" i="3" s="1"/>
  <c r="K241" i="3"/>
  <c r="L122" i="3"/>
  <c r="T151" i="3"/>
  <c r="T152" i="3"/>
  <c r="T211" i="3"/>
  <c r="O29" i="19"/>
  <c r="I19" i="19"/>
  <c r="V121" i="3"/>
  <c r="C212" i="3"/>
  <c r="C59" i="3"/>
  <c r="T29" i="19"/>
  <c r="T28" i="19"/>
  <c r="V241" i="3"/>
  <c r="R152" i="3"/>
  <c r="R151" i="3"/>
  <c r="I9" i="20"/>
  <c r="T9" i="20"/>
  <c r="V122" i="3"/>
  <c r="V59" i="3"/>
  <c r="V213" i="3"/>
  <c r="H213" i="3"/>
  <c r="H59" i="3"/>
  <c r="N59" i="3"/>
  <c r="N213" i="3"/>
  <c r="L59" i="3"/>
  <c r="L213" i="3"/>
  <c r="V23" i="19"/>
  <c r="N23" i="19"/>
  <c r="T213" i="3"/>
  <c r="T153" i="3"/>
  <c r="U212" i="3"/>
  <c r="U59" i="3"/>
  <c r="B151" i="3"/>
  <c r="B211" i="3"/>
  <c r="B153" i="3"/>
  <c r="D59" i="3"/>
  <c r="I29" i="19"/>
  <c r="V29" i="19"/>
  <c r="V9" i="20"/>
  <c r="S59" i="3"/>
  <c r="S212" i="3"/>
  <c r="K59" i="3"/>
  <c r="K213" i="3"/>
  <c r="O59" i="3"/>
  <c r="O212" i="3"/>
  <c r="C29" i="19"/>
  <c r="K27" i="19"/>
  <c r="K23" i="19"/>
  <c r="K19" i="19"/>
  <c r="K28" i="19"/>
  <c r="F27" i="19"/>
  <c r="F23" i="19"/>
  <c r="F19" i="19"/>
  <c r="F28" i="19"/>
  <c r="F9" i="20"/>
  <c r="K29" i="19"/>
  <c r="U27" i="19"/>
  <c r="U23" i="19"/>
  <c r="U19" i="19"/>
  <c r="U9" i="20"/>
  <c r="U28" i="19"/>
  <c r="K9" i="20"/>
  <c r="U29" i="19"/>
  <c r="D27" i="19"/>
  <c r="D23" i="19"/>
  <c r="D19" i="19"/>
  <c r="D28" i="19"/>
  <c r="D9" i="20"/>
  <c r="L27" i="19"/>
  <c r="L23" i="19"/>
  <c r="L19" i="19"/>
  <c r="L9" i="20"/>
  <c r="L28" i="19"/>
  <c r="B19" i="19"/>
  <c r="B27" i="19"/>
  <c r="B23" i="19"/>
  <c r="B29" i="19"/>
  <c r="B28" i="19"/>
  <c r="R19" i="19"/>
  <c r="R27" i="19"/>
  <c r="R23" i="19"/>
  <c r="R29" i="19"/>
  <c r="C27" i="19"/>
  <c r="C19" i="19"/>
  <c r="C23" i="19"/>
  <c r="C28" i="19"/>
  <c r="J19" i="19"/>
  <c r="J27" i="19"/>
  <c r="J23" i="19"/>
  <c r="J29" i="19"/>
  <c r="S27" i="19"/>
  <c r="S19" i="19"/>
  <c r="S23" i="19"/>
  <c r="S28" i="19"/>
  <c r="S29" i="19"/>
  <c r="J28" i="19"/>
  <c r="R28" i="19"/>
  <c r="F29" i="19"/>
  <c r="M211" i="3" l="1"/>
  <c r="M151" i="3"/>
  <c r="P153" i="3"/>
  <c r="P151" i="3"/>
  <c r="P152" i="3"/>
  <c r="M153" i="3"/>
  <c r="G211" i="3"/>
  <c r="G152" i="3"/>
  <c r="G151" i="3"/>
  <c r="G153" i="3"/>
  <c r="W153" i="3"/>
  <c r="W151" i="3"/>
  <c r="W152" i="3"/>
  <c r="N152" i="3"/>
  <c r="N151" i="3"/>
  <c r="N211" i="3"/>
  <c r="N153" i="3"/>
  <c r="H153" i="3"/>
  <c r="H211" i="3"/>
  <c r="H151" i="3"/>
  <c r="H152" i="3"/>
  <c r="C153" i="3"/>
  <c r="C151" i="3"/>
  <c r="C211" i="3"/>
  <c r="C152" i="3"/>
  <c r="O152" i="3"/>
  <c r="O151" i="3"/>
  <c r="O153" i="3"/>
  <c r="O211" i="3"/>
  <c r="D151" i="3"/>
  <c r="D211" i="3"/>
  <c r="D152" i="3"/>
  <c r="D153" i="3"/>
  <c r="V151" i="3"/>
  <c r="V211" i="3"/>
  <c r="V153" i="3"/>
  <c r="V152" i="3"/>
  <c r="K152" i="3"/>
  <c r="K151" i="3"/>
  <c r="K211" i="3"/>
  <c r="K153" i="3"/>
  <c r="L153" i="3"/>
  <c r="L152" i="3"/>
  <c r="L151" i="3"/>
  <c r="L211" i="3"/>
  <c r="S152" i="3"/>
  <c r="S151" i="3"/>
  <c r="S211" i="3"/>
  <c r="S153" i="3"/>
  <c r="U152" i="3"/>
  <c r="U153" i="3"/>
  <c r="U151" i="3"/>
  <c r="U211" i="3"/>
  <c r="W35" i="10" l="1"/>
  <c r="V35" i="10"/>
  <c r="U35" i="10"/>
  <c r="S35" i="10"/>
  <c r="R35" i="10"/>
  <c r="Q35" i="10"/>
  <c r="P35" i="10"/>
  <c r="O35" i="10"/>
  <c r="N35" i="10"/>
  <c r="M35" i="10"/>
  <c r="K35" i="10"/>
  <c r="J35" i="10"/>
  <c r="I35" i="10"/>
  <c r="H35" i="10"/>
  <c r="G35" i="10"/>
  <c r="F35" i="10"/>
  <c r="E35" i="10"/>
  <c r="C35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G31" i="10"/>
  <c r="F31" i="10"/>
  <c r="E31" i="10"/>
  <c r="D31" i="10"/>
  <c r="C31" i="10"/>
  <c r="V11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35" i="10"/>
  <c r="B32" i="10"/>
  <c r="B31" i="10"/>
  <c r="B28" i="10"/>
  <c r="W24" i="10"/>
  <c r="V24" i="10"/>
  <c r="U24" i="10"/>
  <c r="T24" i="10"/>
  <c r="S24" i="10"/>
  <c r="Q24" i="10"/>
  <c r="P24" i="10"/>
  <c r="O24" i="10"/>
  <c r="N24" i="10"/>
  <c r="M24" i="10"/>
  <c r="L24" i="10"/>
  <c r="K24" i="10"/>
  <c r="I24" i="10"/>
  <c r="H24" i="10"/>
  <c r="G24" i="10"/>
  <c r="F24" i="10"/>
  <c r="E24" i="10"/>
  <c r="D24" i="10"/>
  <c r="C24" i="10"/>
  <c r="S4" i="10"/>
  <c r="K4" i="10"/>
  <c r="C4" i="10"/>
  <c r="B24" i="10"/>
  <c r="P17" i="9" l="1"/>
  <c r="T4" i="10"/>
  <c r="H17" i="9"/>
  <c r="Q17" i="9"/>
  <c r="E4" i="10"/>
  <c r="M4" i="10"/>
  <c r="U4" i="10"/>
  <c r="I17" i="9"/>
  <c r="F17" i="9"/>
  <c r="N17" i="9"/>
  <c r="G11" i="10"/>
  <c r="G9" i="10" s="1"/>
  <c r="O11" i="10"/>
  <c r="O9" i="10" s="1"/>
  <c r="V17" i="9"/>
  <c r="I11" i="10"/>
  <c r="Q11" i="10"/>
  <c r="Q9" i="10" s="1"/>
  <c r="G15" i="10"/>
  <c r="O15" i="10"/>
  <c r="W15" i="10"/>
  <c r="V9" i="10"/>
  <c r="F15" i="10"/>
  <c r="C11" i="10"/>
  <c r="C9" i="10" s="1"/>
  <c r="K11" i="10"/>
  <c r="K9" i="10" s="1"/>
  <c r="S11" i="10"/>
  <c r="S9" i="10" s="1"/>
  <c r="J15" i="10"/>
  <c r="D15" i="10"/>
  <c r="D35" i="10"/>
  <c r="L15" i="10"/>
  <c r="L35" i="10"/>
  <c r="T15" i="10"/>
  <c r="T35" i="10"/>
  <c r="R15" i="10"/>
  <c r="H11" i="10"/>
  <c r="H31" i="10"/>
  <c r="J11" i="10"/>
  <c r="R11" i="10"/>
  <c r="F11" i="10"/>
  <c r="N11" i="10"/>
  <c r="P11" i="10"/>
  <c r="M17" i="9"/>
  <c r="U17" i="9"/>
  <c r="J17" i="9"/>
  <c r="R17" i="9"/>
  <c r="C15" i="10"/>
  <c r="K15" i="10"/>
  <c r="S15" i="10"/>
  <c r="D4" i="10"/>
  <c r="L4" i="10"/>
  <c r="W11" i="10"/>
  <c r="E15" i="10"/>
  <c r="M15" i="10"/>
  <c r="U15" i="10"/>
  <c r="H15" i="10"/>
  <c r="P15" i="10"/>
  <c r="E17" i="9"/>
  <c r="N15" i="10"/>
  <c r="V15" i="10"/>
  <c r="J4" i="10"/>
  <c r="R4" i="10"/>
  <c r="D11" i="10"/>
  <c r="L11" i="10"/>
  <c r="T11" i="10"/>
  <c r="J24" i="10"/>
  <c r="R24" i="10"/>
  <c r="F4" i="10"/>
  <c r="N4" i="10"/>
  <c r="V4" i="10"/>
  <c r="I4" i="10"/>
  <c r="Q4" i="10"/>
  <c r="C17" i="9"/>
  <c r="O4" i="10"/>
  <c r="M11" i="10"/>
  <c r="I15" i="10"/>
  <c r="Q15" i="10"/>
  <c r="K17" i="9"/>
  <c r="S17" i="9"/>
  <c r="G4" i="10"/>
  <c r="W4" i="10"/>
  <c r="E11" i="10"/>
  <c r="E9" i="10" s="1"/>
  <c r="U11" i="10"/>
  <c r="D17" i="9"/>
  <c r="L17" i="9"/>
  <c r="T17" i="9"/>
  <c r="G17" i="9"/>
  <c r="O17" i="9"/>
  <c r="W17" i="9"/>
  <c r="H4" i="10"/>
  <c r="P4" i="10"/>
  <c r="O8" i="10" l="1"/>
  <c r="N9" i="10"/>
  <c r="N8" i="10" s="1"/>
  <c r="M9" i="10"/>
  <c r="G8" i="10"/>
  <c r="F9" i="10"/>
  <c r="W9" i="10"/>
  <c r="R9" i="10"/>
  <c r="E8" i="10"/>
  <c r="Q8" i="10"/>
  <c r="T9" i="10"/>
  <c r="J9" i="10"/>
  <c r="V8" i="10"/>
  <c r="L9" i="10"/>
  <c r="S8" i="10"/>
  <c r="I9" i="10"/>
  <c r="U9" i="10"/>
  <c r="U8" i="10" s="1"/>
  <c r="H9" i="10"/>
  <c r="D9" i="10"/>
  <c r="P9" i="10"/>
  <c r="K8" i="10"/>
  <c r="C8" i="10"/>
  <c r="M8" i="10" l="1"/>
  <c r="J8" i="10"/>
  <c r="D8" i="10"/>
  <c r="H8" i="10"/>
  <c r="R8" i="10"/>
  <c r="L8" i="10"/>
  <c r="W8" i="10"/>
  <c r="P8" i="10"/>
  <c r="I8" i="10"/>
  <c r="T8" i="10"/>
  <c r="F8" i="10"/>
  <c r="W30" i="10" l="1"/>
  <c r="W34" i="10" l="1"/>
  <c r="U30" i="10" l="1"/>
  <c r="U34" i="10"/>
  <c r="V34" i="10" l="1"/>
  <c r="T30" i="10" l="1"/>
  <c r="T34" i="10"/>
  <c r="S34" i="10" l="1"/>
  <c r="S30" i="10" l="1"/>
  <c r="V30" i="10" l="1"/>
  <c r="I34" i="10" l="1"/>
  <c r="I30" i="10"/>
  <c r="J34" i="10" l="1"/>
  <c r="H30" i="10" l="1"/>
  <c r="H34" i="10"/>
  <c r="K34" i="10" l="1"/>
  <c r="J30" i="10"/>
  <c r="K30" i="10" l="1"/>
  <c r="G30" i="10"/>
  <c r="G34" i="10" l="1"/>
  <c r="F30" i="10" l="1"/>
  <c r="F34" i="10"/>
  <c r="L34" i="10" l="1"/>
  <c r="M34" i="10"/>
  <c r="L30" i="10"/>
  <c r="E34" i="10" l="1"/>
  <c r="M30" i="10"/>
  <c r="E30" i="10" l="1"/>
  <c r="N34" i="10" l="1"/>
  <c r="D34" i="10" l="1"/>
  <c r="D30" i="10"/>
  <c r="N30" i="10"/>
  <c r="C30" i="10" l="1"/>
  <c r="C34" i="10"/>
  <c r="O34" i="10"/>
  <c r="O30" i="10" l="1"/>
  <c r="B30" i="10" l="1"/>
  <c r="P30" i="10" l="1"/>
  <c r="B34" i="10"/>
  <c r="P34" i="10" l="1"/>
  <c r="Q30" i="10" l="1"/>
  <c r="Q34" i="10"/>
  <c r="R34" i="10" l="1"/>
  <c r="R30" i="10" l="1"/>
  <c r="V10" i="5" l="1"/>
  <c r="U10" i="5"/>
  <c r="Q10" i="5"/>
  <c r="N10" i="5"/>
  <c r="M10" i="5"/>
  <c r="J10" i="5"/>
  <c r="I10" i="5"/>
  <c r="H10" i="5"/>
  <c r="F10" i="5"/>
  <c r="E10" i="5"/>
  <c r="R10" i="5" l="1"/>
  <c r="B10" i="5"/>
  <c r="C10" i="5"/>
  <c r="K10" i="5"/>
  <c r="S10" i="5"/>
  <c r="D10" i="5"/>
  <c r="L10" i="5"/>
  <c r="T10" i="5"/>
  <c r="G10" i="5"/>
  <c r="O10" i="5"/>
  <c r="W10" i="5"/>
  <c r="P10" i="5"/>
  <c r="I15" i="17" l="1"/>
  <c r="Q15" i="17"/>
  <c r="G14" i="17"/>
  <c r="O14" i="17"/>
  <c r="W14" i="17"/>
  <c r="F14" i="17"/>
  <c r="N14" i="17"/>
  <c r="V14" i="17"/>
  <c r="H15" i="17"/>
  <c r="P15" i="17"/>
  <c r="H14" i="17"/>
  <c r="P14" i="17"/>
  <c r="B15" i="17"/>
  <c r="J15" i="17"/>
  <c r="R15" i="17"/>
  <c r="I14" i="17"/>
  <c r="Q14" i="17"/>
  <c r="C15" i="17"/>
  <c r="K15" i="17"/>
  <c r="S15" i="17"/>
  <c r="B14" i="17"/>
  <c r="J14" i="17"/>
  <c r="R14" i="17"/>
  <c r="D15" i="17"/>
  <c r="L15" i="17"/>
  <c r="T15" i="17"/>
  <c r="C14" i="17"/>
  <c r="K14" i="17"/>
  <c r="S14" i="17"/>
  <c r="E15" i="17"/>
  <c r="M15" i="17"/>
  <c r="U15" i="17"/>
  <c r="D14" i="17"/>
  <c r="L14" i="17"/>
  <c r="T14" i="17"/>
  <c r="F15" i="17"/>
  <c r="N15" i="17"/>
  <c r="V15" i="17"/>
  <c r="E14" i="17"/>
  <c r="M14" i="17"/>
  <c r="U14" i="17"/>
  <c r="G15" i="17"/>
  <c r="O15" i="17"/>
  <c r="W15" i="17"/>
  <c r="W99" i="8"/>
  <c r="W98" i="8"/>
  <c r="W97" i="8"/>
  <c r="W90" i="8"/>
  <c r="W87" i="8"/>
  <c r="W58" i="8"/>
  <c r="W80" i="8" s="1"/>
  <c r="W53" i="8"/>
  <c r="W75" i="8" s="1"/>
  <c r="W51" i="8"/>
  <c r="W73" i="8" s="1"/>
  <c r="W43" i="8"/>
  <c r="W39" i="8"/>
  <c r="W37" i="8"/>
  <c r="W32" i="8"/>
  <c r="W67" i="8" s="1"/>
  <c r="W28" i="8"/>
  <c r="W21" i="8"/>
  <c r="W86" i="8"/>
  <c r="W17" i="8"/>
  <c r="W29" i="10" s="1"/>
  <c r="W84" i="8"/>
  <c r="W57" i="8"/>
  <c r="W79" i="8" s="1"/>
  <c r="W55" i="8"/>
  <c r="W77" i="8" s="1"/>
  <c r="W54" i="8"/>
  <c r="W76" i="8" s="1"/>
  <c r="W6" i="8"/>
  <c r="W4" i="8" s="1"/>
  <c r="W105" i="8" s="1"/>
  <c r="W218" i="7"/>
  <c r="W211" i="7"/>
  <c r="W205" i="7"/>
  <c r="W82" i="7"/>
  <c r="W76" i="7"/>
  <c r="W69" i="7"/>
  <c r="W62" i="7"/>
  <c r="W55" i="7"/>
  <c r="W54" i="7"/>
  <c r="W52" i="7"/>
  <c r="W51" i="7"/>
  <c r="W50" i="7"/>
  <c r="W49" i="7"/>
  <c r="W48" i="7"/>
  <c r="W45" i="7"/>
  <c r="W44" i="7"/>
  <c r="W43" i="7"/>
  <c r="W42" i="7"/>
  <c r="W41" i="7"/>
  <c r="W39" i="7"/>
  <c r="W38" i="7"/>
  <c r="W37" i="7"/>
  <c r="W36" i="7"/>
  <c r="W35" i="7"/>
  <c r="W34" i="7"/>
  <c r="W32" i="7"/>
  <c r="W28" i="7"/>
  <c r="W27" i="7"/>
  <c r="W25" i="7"/>
  <c r="W24" i="7"/>
  <c r="W23" i="7"/>
  <c r="W22" i="7"/>
  <c r="W21" i="7"/>
  <c r="W18" i="7"/>
  <c r="W17" i="7"/>
  <c r="W16" i="7"/>
  <c r="W15" i="7"/>
  <c r="W14" i="7"/>
  <c r="W12" i="7"/>
  <c r="W11" i="7"/>
  <c r="W10" i="7"/>
  <c r="W9" i="7"/>
  <c r="W8" i="7"/>
  <c r="W7" i="7"/>
  <c r="W5" i="7"/>
  <c r="W150" i="6"/>
  <c r="W120" i="6"/>
  <c r="W116" i="6"/>
  <c r="W112" i="6"/>
  <c r="W110" i="6"/>
  <c r="W79" i="6"/>
  <c r="W221" i="7" s="1"/>
  <c r="W78" i="6"/>
  <c r="W220" i="7" s="1"/>
  <c r="W76" i="6"/>
  <c r="W75" i="6"/>
  <c r="W217" i="7" s="1"/>
  <c r="W74" i="6"/>
  <c r="W216" i="7" s="1"/>
  <c r="W73" i="6"/>
  <c r="W215" i="7" s="1"/>
  <c r="W72" i="6"/>
  <c r="W214" i="7" s="1"/>
  <c r="W69" i="6"/>
  <c r="W68" i="6"/>
  <c r="W210" i="7" s="1"/>
  <c r="W67" i="6"/>
  <c r="W209" i="7" s="1"/>
  <c r="W66" i="6"/>
  <c r="W208" i="7" s="1"/>
  <c r="W65" i="6"/>
  <c r="W207" i="7" s="1"/>
  <c r="W63" i="6"/>
  <c r="W62" i="6"/>
  <c r="W204" i="7" s="1"/>
  <c r="W61" i="6"/>
  <c r="W203" i="7" s="1"/>
  <c r="W60" i="6"/>
  <c r="W202" i="7" s="1"/>
  <c r="W59" i="6"/>
  <c r="W201" i="7" s="1"/>
  <c r="W58" i="6"/>
  <c r="W200" i="7" s="1"/>
  <c r="W56" i="6"/>
  <c r="W198" i="7" s="1"/>
  <c r="W50" i="6"/>
  <c r="W48" i="6"/>
  <c r="W133" i="6"/>
  <c r="W157" i="6"/>
  <c r="W129" i="6"/>
  <c r="W126" i="6"/>
  <c r="W34" i="6"/>
  <c r="W123" i="6"/>
  <c r="W27" i="6"/>
  <c r="W117" i="6"/>
  <c r="W115" i="6"/>
  <c r="W52" i="6"/>
  <c r="W10" i="6"/>
  <c r="W51" i="6"/>
  <c r="W49" i="6"/>
  <c r="W5" i="6"/>
  <c r="W135" i="5"/>
  <c r="W134" i="5"/>
  <c r="W128" i="5"/>
  <c r="W126" i="5"/>
  <c r="W125" i="5"/>
  <c r="W120" i="5"/>
  <c r="W81" i="5"/>
  <c r="W136" i="7" s="1"/>
  <c r="W80" i="5"/>
  <c r="W135" i="7" s="1"/>
  <c r="W75" i="5"/>
  <c r="W130" i="7" s="1"/>
  <c r="W73" i="5"/>
  <c r="W128" i="7" s="1"/>
  <c r="W72" i="5"/>
  <c r="W127" i="7" s="1"/>
  <c r="W67" i="5"/>
  <c r="W122" i="7" s="1"/>
  <c r="W65" i="5"/>
  <c r="W120" i="7" s="1"/>
  <c r="W64" i="5"/>
  <c r="W119" i="7" s="1"/>
  <c r="W52" i="5"/>
  <c r="W133" i="5"/>
  <c r="W132" i="5"/>
  <c r="W71" i="5"/>
  <c r="W126" i="7" s="1"/>
  <c r="W116" i="5"/>
  <c r="W5" i="5"/>
  <c r="W188" i="4"/>
  <c r="W187" i="4"/>
  <c r="W180" i="4"/>
  <c r="W179" i="4"/>
  <c r="W172" i="4"/>
  <c r="W171" i="4"/>
  <c r="W134" i="4"/>
  <c r="W128" i="4"/>
  <c r="W47" i="7" s="1"/>
  <c r="W121" i="4"/>
  <c r="W40" i="7" s="1"/>
  <c r="W114" i="4"/>
  <c r="W107" i="4"/>
  <c r="W101" i="4"/>
  <c r="W94" i="4"/>
  <c r="W87" i="4"/>
  <c r="W80" i="4"/>
  <c r="W26" i="7" s="1"/>
  <c r="W74" i="4"/>
  <c r="W67" i="4"/>
  <c r="W13" i="7" s="1"/>
  <c r="W60" i="4"/>
  <c r="W53" i="4"/>
  <c r="W25" i="4"/>
  <c r="W103" i="6" s="1"/>
  <c r="W186" i="4"/>
  <c r="W185" i="4"/>
  <c r="W18" i="4"/>
  <c r="W96" i="6" s="1"/>
  <c r="W17" i="4"/>
  <c r="W95" i="6" s="1"/>
  <c r="W178" i="4"/>
  <c r="W10" i="4"/>
  <c r="W88" i="6" s="1"/>
  <c r="W173" i="4"/>
  <c r="W33" i="4"/>
  <c r="W169" i="4"/>
  <c r="W28" i="4"/>
  <c r="W112" i="5" s="1"/>
  <c r="W27" i="4"/>
  <c r="W24" i="4"/>
  <c r="W23" i="4"/>
  <c r="W21" i="4"/>
  <c r="W99" i="6" s="1"/>
  <c r="W16" i="4"/>
  <c r="W207" i="4" s="1"/>
  <c r="W15" i="4"/>
  <c r="W206" i="4" s="1"/>
  <c r="W12" i="4"/>
  <c r="W11" i="4"/>
  <c r="W89" i="6" s="1"/>
  <c r="W8" i="4"/>
  <c r="W199" i="4" s="1"/>
  <c r="W7" i="4"/>
  <c r="W198" i="4" s="1"/>
  <c r="W5" i="4"/>
  <c r="W83" i="6" s="1"/>
  <c r="W88" i="3"/>
  <c r="W87" i="3"/>
  <c r="W85" i="3"/>
  <c r="W84" i="3"/>
  <c r="W83" i="3"/>
  <c r="W76" i="3"/>
  <c r="W75" i="3"/>
  <c r="W74" i="3"/>
  <c r="W72" i="3"/>
  <c r="W164" i="3" s="1"/>
  <c r="W70" i="3"/>
  <c r="W162" i="3" s="1"/>
  <c r="W66" i="3"/>
  <c r="W55" i="3"/>
  <c r="W54" i="3"/>
  <c r="W53" i="3"/>
  <c r="W46" i="3"/>
  <c r="W45" i="3"/>
  <c r="W44" i="3"/>
  <c r="W42" i="3"/>
  <c r="W40" i="3"/>
  <c r="W36" i="3"/>
  <c r="W28" i="3"/>
  <c r="W27" i="3"/>
  <c r="W25" i="3"/>
  <c r="W24" i="3"/>
  <c r="W23" i="3"/>
  <c r="W16" i="3"/>
  <c r="W15" i="3"/>
  <c r="W14" i="3"/>
  <c r="W12" i="3"/>
  <c r="W11" i="3"/>
  <c r="W10" i="3"/>
  <c r="W6" i="3"/>
  <c r="W53" i="9"/>
  <c r="W51" i="9"/>
  <c r="W50" i="9"/>
  <c r="W49" i="9"/>
  <c r="W47" i="9"/>
  <c r="W42" i="9"/>
  <c r="W40" i="9"/>
  <c r="W38" i="9"/>
  <c r="W31" i="9"/>
  <c r="W28" i="9"/>
  <c r="W51" i="3"/>
  <c r="W29" i="9"/>
  <c r="W27" i="9"/>
  <c r="W13" i="9"/>
  <c r="W37" i="9" s="1"/>
  <c r="W36" i="9"/>
  <c r="W5" i="9"/>
  <c r="W68" i="10"/>
  <c r="W43" i="10"/>
  <c r="W42" i="10"/>
  <c r="W41" i="10"/>
  <c r="W46" i="10"/>
  <c r="W56" i="10"/>
  <c r="W54" i="10"/>
  <c r="W64" i="10"/>
  <c r="W39" i="10"/>
  <c r="W101" i="11"/>
  <c r="W92" i="11"/>
  <c r="W82" i="11"/>
  <c r="W73" i="11"/>
  <c r="W71" i="11"/>
  <c r="W58" i="11"/>
  <c r="W54" i="11"/>
  <c r="W48" i="11"/>
  <c r="W44" i="11"/>
  <c r="W38" i="11"/>
  <c r="W72" i="11"/>
  <c r="W69" i="11"/>
  <c r="W68" i="11"/>
  <c r="W28" i="11"/>
  <c r="W102" i="11"/>
  <c r="W99" i="11"/>
  <c r="W98" i="11"/>
  <c r="W97" i="11"/>
  <c r="W83" i="11"/>
  <c r="W81" i="11"/>
  <c r="W18" i="11"/>
  <c r="W79" i="11"/>
  <c r="W14" i="11"/>
  <c r="W117" i="11" s="1"/>
  <c r="W93" i="11"/>
  <c r="W8" i="11"/>
  <c r="W4" i="11"/>
  <c r="W44" i="12"/>
  <c r="W35" i="12"/>
  <c r="W33" i="12"/>
  <c r="W29" i="12"/>
  <c r="W25" i="12"/>
  <c r="W75" i="12" s="1"/>
  <c r="W23" i="12"/>
  <c r="W73" i="12" s="1"/>
  <c r="W19" i="12"/>
  <c r="W69" i="12" s="1"/>
  <c r="W45" i="12"/>
  <c r="W41" i="12"/>
  <c r="W6" i="12"/>
  <c r="W4" i="12"/>
  <c r="W39" i="13"/>
  <c r="W37" i="13"/>
  <c r="W47" i="13"/>
  <c r="W45" i="13"/>
  <c r="W34" i="13"/>
  <c r="W43" i="13"/>
  <c r="W6" i="13"/>
  <c r="W22" i="13" s="1"/>
  <c r="W4" i="13"/>
  <c r="W15" i="14"/>
  <c r="W14" i="14"/>
  <c r="W20" i="14" s="1"/>
  <c r="W4" i="14"/>
  <c r="W14" i="15"/>
  <c r="W10" i="16"/>
  <c r="W58" i="3" s="1"/>
  <c r="W4" i="16"/>
  <c r="W57" i="3" s="1"/>
  <c r="W19" i="17"/>
  <c r="W85" i="4" l="1"/>
  <c r="W80" i="11"/>
  <c r="W53" i="11"/>
  <c r="W70" i="11"/>
  <c r="W73" i="4"/>
  <c r="W19" i="7" s="1"/>
  <c r="W26" i="4"/>
  <c r="W100" i="11"/>
  <c r="W122" i="8"/>
  <c r="W33" i="10"/>
  <c r="W224" i="3"/>
  <c r="W240" i="3"/>
  <c r="W36" i="8"/>
  <c r="W43" i="11"/>
  <c r="W239" i="3"/>
  <c r="W226" i="3"/>
  <c r="W73" i="3"/>
  <c r="W218" i="3"/>
  <c r="W82" i="3"/>
  <c r="W60" i="7"/>
  <c r="W86" i="3"/>
  <c r="W235" i="3"/>
  <c r="W127" i="4"/>
  <c r="W46" i="7" s="1"/>
  <c r="W4" i="5"/>
  <c r="W209" i="3"/>
  <c r="W210" i="3"/>
  <c r="W190" i="4"/>
  <c r="W112" i="4"/>
  <c r="W31" i="7" s="1"/>
  <c r="W192" i="3"/>
  <c r="W11" i="9"/>
  <c r="W35" i="9" s="1"/>
  <c r="W194" i="3"/>
  <c r="W123" i="8"/>
  <c r="W4" i="9"/>
  <c r="W22" i="10" s="1"/>
  <c r="W23" i="10"/>
  <c r="W41" i="3"/>
  <c r="W107" i="8"/>
  <c r="W124" i="8"/>
  <c r="W108" i="8"/>
  <c r="W110" i="8"/>
  <c r="W85" i="8"/>
  <c r="W106" i="8"/>
  <c r="W96" i="8"/>
  <c r="W214" i="4"/>
  <c r="W6" i="7"/>
  <c r="W215" i="4"/>
  <c r="W91" i="5"/>
  <c r="W99" i="5"/>
  <c r="W107" i="5"/>
  <c r="W92" i="5"/>
  <c r="W100" i="5"/>
  <c r="W108" i="5"/>
  <c r="W85" i="6"/>
  <c r="W93" i="6"/>
  <c r="W101" i="6"/>
  <c r="W33" i="7"/>
  <c r="W101" i="5"/>
  <c r="W109" i="5"/>
  <c r="W86" i="6"/>
  <c r="W94" i="6"/>
  <c r="W102" i="6"/>
  <c r="W94" i="5"/>
  <c r="W102" i="5"/>
  <c r="W110" i="5"/>
  <c r="W95" i="5"/>
  <c r="W111" i="5"/>
  <c r="W96" i="5"/>
  <c r="W125" i="6"/>
  <c r="W105" i="6"/>
  <c r="W20" i="7"/>
  <c r="W53" i="7"/>
  <c r="W89" i="5"/>
  <c r="W105" i="5"/>
  <c r="W90" i="6"/>
  <c r="W106" i="6"/>
  <c r="W227" i="3"/>
  <c r="W26" i="3"/>
  <c r="W18" i="13"/>
  <c r="W43" i="3"/>
  <c r="W122" i="11"/>
  <c r="W207" i="3"/>
  <c r="W22" i="3"/>
  <c r="W121" i="11"/>
  <c r="W63" i="8"/>
  <c r="W26" i="8"/>
  <c r="W94" i="8" s="1"/>
  <c r="W88" i="8"/>
  <c r="W52" i="8"/>
  <c r="W89" i="8"/>
  <c r="W109" i="8"/>
  <c r="W15" i="8"/>
  <c r="W91" i="8"/>
  <c r="W101" i="8"/>
  <c r="W102" i="8"/>
  <c r="W95" i="8"/>
  <c r="W9" i="3"/>
  <c r="W10" i="8"/>
  <c r="W113" i="8" s="1"/>
  <c r="W75" i="7"/>
  <c r="W68" i="3"/>
  <c r="W118" i="6"/>
  <c r="W4" i="6"/>
  <c r="W20" i="6"/>
  <c r="W57" i="6" s="1"/>
  <c r="W199" i="7" s="1"/>
  <c r="W127" i="6"/>
  <c r="W144" i="6"/>
  <c r="W119" i="6"/>
  <c r="W128" i="6"/>
  <c r="W113" i="6"/>
  <c r="W121" i="6"/>
  <c r="W130" i="6"/>
  <c r="W79" i="3"/>
  <c r="W40" i="6"/>
  <c r="W33" i="6" s="1"/>
  <c r="W114" i="6"/>
  <c r="W122" i="6"/>
  <c r="W132" i="6"/>
  <c r="W137" i="5"/>
  <c r="W50" i="3"/>
  <c r="W83" i="5"/>
  <c r="W138" i="7" s="1"/>
  <c r="W118" i="5"/>
  <c r="W66" i="5"/>
  <c r="W121" i="7" s="1"/>
  <c r="W74" i="5"/>
  <c r="W129" i="7" s="1"/>
  <c r="W82" i="5"/>
  <c r="W137" i="7" s="1"/>
  <c r="W119" i="5"/>
  <c r="W127" i="5"/>
  <c r="W136" i="5"/>
  <c r="W33" i="5"/>
  <c r="W68" i="5"/>
  <c r="W123" i="7" s="1"/>
  <c r="W84" i="5"/>
  <c r="W139" i="7" s="1"/>
  <c r="W121" i="5"/>
  <c r="W129" i="5"/>
  <c r="W138" i="5"/>
  <c r="W69" i="5"/>
  <c r="W124" i="7" s="1"/>
  <c r="W85" i="5"/>
  <c r="W140" i="7" s="1"/>
  <c r="W122" i="5"/>
  <c r="W139" i="5"/>
  <c r="W21" i="5"/>
  <c r="W43" i="5"/>
  <c r="W62" i="5"/>
  <c r="W117" i="7" s="1"/>
  <c r="W78" i="5"/>
  <c r="W133" i="7" s="1"/>
  <c r="W123" i="5"/>
  <c r="W79" i="5"/>
  <c r="W134" i="7" s="1"/>
  <c r="W201" i="4"/>
  <c r="W58" i="4"/>
  <c r="W100" i="4"/>
  <c r="W84" i="4" s="1"/>
  <c r="W20" i="3"/>
  <c r="W163" i="4"/>
  <c r="W217" i="4"/>
  <c r="W216" i="4"/>
  <c r="W209" i="4"/>
  <c r="W170" i="4"/>
  <c r="W208" i="4"/>
  <c r="W14" i="4"/>
  <c r="W22" i="4"/>
  <c r="W47" i="4"/>
  <c r="W71" i="6" s="1"/>
  <c r="W213" i="7" s="1"/>
  <c r="W175" i="4"/>
  <c r="W191" i="4"/>
  <c r="W181" i="4"/>
  <c r="W174" i="4"/>
  <c r="W40" i="4"/>
  <c r="W176" i="4"/>
  <c r="W192" i="4"/>
  <c r="W202" i="4"/>
  <c r="W218" i="4"/>
  <c r="W189" i="4"/>
  <c r="W182" i="4"/>
  <c r="W203" i="4"/>
  <c r="W219" i="4"/>
  <c r="W9" i="4"/>
  <c r="W196" i="4"/>
  <c r="W212" i="4"/>
  <c r="W52" i="3"/>
  <c r="W188" i="3"/>
  <c r="W196" i="3"/>
  <c r="W206" i="3"/>
  <c r="W228" i="3"/>
  <c r="W236" i="3"/>
  <c r="W197" i="3"/>
  <c r="W205" i="3"/>
  <c r="W198" i="3"/>
  <c r="W56" i="3"/>
  <c r="W237" i="3"/>
  <c r="W13" i="3"/>
  <c r="W222" i="3"/>
  <c r="W21" i="14"/>
  <c r="W27" i="14"/>
  <c r="W108" i="11"/>
  <c r="W109" i="11"/>
  <c r="W90" i="11"/>
  <c r="W113" i="11"/>
  <c r="W111" i="11"/>
  <c r="W110" i="11"/>
  <c r="W106" i="11"/>
  <c r="W112" i="11"/>
  <c r="W52" i="9"/>
  <c r="W30" i="9"/>
  <c r="W20" i="16"/>
  <c r="W3" i="16"/>
  <c r="W29" i="16" s="1"/>
  <c r="W24" i="16"/>
  <c r="W10" i="17"/>
  <c r="W25" i="16"/>
  <c r="W21" i="16"/>
  <c r="W11" i="17"/>
  <c r="W119" i="11"/>
  <c r="W13" i="11"/>
  <c r="W116" i="11"/>
  <c r="W3" i="15"/>
  <c r="W19" i="15" s="1"/>
  <c r="W15" i="15"/>
  <c r="W44" i="13"/>
  <c r="W5" i="13"/>
  <c r="W3" i="13" s="1"/>
  <c r="W5" i="12"/>
  <c r="W24" i="12"/>
  <c r="W74" i="12" s="1"/>
  <c r="W34" i="12"/>
  <c r="W43" i="12"/>
  <c r="W24" i="11"/>
  <c r="W86" i="11" s="1"/>
  <c r="W34" i="11"/>
  <c r="W91" i="11"/>
  <c r="W120" i="11"/>
  <c r="W57" i="10"/>
  <c r="W39" i="9"/>
  <c r="W48" i="9"/>
  <c r="W3" i="17"/>
  <c r="W7" i="15"/>
  <c r="W21" i="15" s="1"/>
  <c r="W38" i="13"/>
  <c r="W18" i="12"/>
  <c r="W68" i="12" s="1"/>
  <c r="W28" i="12"/>
  <c r="W71" i="3"/>
  <c r="W13" i="14"/>
  <c r="W25" i="14" s="1"/>
  <c r="W67" i="11"/>
  <c r="W103" i="11"/>
  <c r="W123" i="11"/>
  <c r="W52" i="10"/>
  <c r="W32" i="9"/>
  <c r="W18" i="17"/>
  <c r="W26" i="14"/>
  <c r="W32" i="13"/>
  <c r="W49" i="13"/>
  <c r="W20" i="12"/>
  <c r="W70" i="12" s="1"/>
  <c r="W30" i="12"/>
  <c r="W39" i="12"/>
  <c r="W77" i="11"/>
  <c r="W87" i="11"/>
  <c r="W53" i="10"/>
  <c r="W25" i="9"/>
  <c r="W43" i="9"/>
  <c r="W10" i="13"/>
  <c r="W26" i="13" s="1"/>
  <c r="W33" i="13"/>
  <c r="W10" i="12"/>
  <c r="W21" i="12"/>
  <c r="W71" i="12" s="1"/>
  <c r="W31" i="12"/>
  <c r="W40" i="12"/>
  <c r="W78" i="11"/>
  <c r="W88" i="11"/>
  <c r="W107" i="11"/>
  <c r="W45" i="10"/>
  <c r="W26" i="9"/>
  <c r="W50" i="10"/>
  <c r="W48" i="13"/>
  <c r="W89" i="11"/>
  <c r="W118" i="11"/>
  <c r="W81" i="3"/>
  <c r="W54" i="9"/>
  <c r="W35" i="13"/>
  <c r="Q107" i="4"/>
  <c r="I107" i="4"/>
  <c r="V107" i="4"/>
  <c r="U107" i="4"/>
  <c r="N107" i="4"/>
  <c r="M107" i="4"/>
  <c r="E107" i="4"/>
  <c r="P107" i="4"/>
  <c r="H107" i="4"/>
  <c r="F107" i="4"/>
  <c r="Q101" i="4"/>
  <c r="I101" i="4"/>
  <c r="T101" i="4"/>
  <c r="L101" i="4"/>
  <c r="D101" i="4"/>
  <c r="O101" i="4"/>
  <c r="U94" i="4"/>
  <c r="M94" i="4"/>
  <c r="E94" i="4"/>
  <c r="P94" i="4"/>
  <c r="H94" i="4"/>
  <c r="S94" i="4"/>
  <c r="K94" i="4"/>
  <c r="V94" i="4"/>
  <c r="N94" i="4"/>
  <c r="F94" i="4"/>
  <c r="T94" i="4"/>
  <c r="Q94" i="4"/>
  <c r="L94" i="4"/>
  <c r="I94" i="4"/>
  <c r="D94" i="4"/>
  <c r="R87" i="4"/>
  <c r="J87" i="4"/>
  <c r="V218" i="7"/>
  <c r="U218" i="7"/>
  <c r="T218" i="7"/>
  <c r="S218" i="7"/>
  <c r="R218" i="7"/>
  <c r="Q218" i="7"/>
  <c r="P218" i="7"/>
  <c r="O218" i="7"/>
  <c r="N218" i="7"/>
  <c r="M218" i="7"/>
  <c r="L218" i="7"/>
  <c r="J218" i="7"/>
  <c r="I218" i="7"/>
  <c r="H218" i="7"/>
  <c r="G218" i="7"/>
  <c r="F218" i="7"/>
  <c r="E218" i="7"/>
  <c r="D218" i="7"/>
  <c r="C218" i="7"/>
  <c r="B218" i="7"/>
  <c r="V211" i="7"/>
  <c r="U211" i="7"/>
  <c r="T211" i="7"/>
  <c r="S211" i="7"/>
  <c r="R211" i="7"/>
  <c r="Q211" i="7"/>
  <c r="P211" i="7"/>
  <c r="O211" i="7"/>
  <c r="N211" i="7"/>
  <c r="M211" i="7"/>
  <c r="L211" i="7"/>
  <c r="J211" i="7"/>
  <c r="I211" i="7"/>
  <c r="H211" i="7"/>
  <c r="G211" i="7"/>
  <c r="F211" i="7"/>
  <c r="E211" i="7"/>
  <c r="D211" i="7"/>
  <c r="C211" i="7"/>
  <c r="B211" i="7"/>
  <c r="V205" i="7"/>
  <c r="U205" i="7"/>
  <c r="T205" i="7"/>
  <c r="S205" i="7"/>
  <c r="R205" i="7"/>
  <c r="Q205" i="7"/>
  <c r="P205" i="7"/>
  <c r="O205" i="7"/>
  <c r="N205" i="7"/>
  <c r="M205" i="7"/>
  <c r="L205" i="7"/>
  <c r="J205" i="7"/>
  <c r="I205" i="7"/>
  <c r="H205" i="7"/>
  <c r="G205" i="7"/>
  <c r="F205" i="7"/>
  <c r="E205" i="7"/>
  <c r="D205" i="7"/>
  <c r="C205" i="7"/>
  <c r="B205" i="7"/>
  <c r="K205" i="7"/>
  <c r="K211" i="7"/>
  <c r="I100" i="4" l="1"/>
  <c r="W10" i="9"/>
  <c r="W60" i="9" s="1"/>
  <c r="Q100" i="4"/>
  <c r="W38" i="12"/>
  <c r="W59" i="7"/>
  <c r="W42" i="13"/>
  <c r="W21" i="13"/>
  <c r="W23" i="17"/>
  <c r="W13" i="17"/>
  <c r="W118" i="8"/>
  <c r="W27" i="10"/>
  <c r="W234" i="3"/>
  <c r="W39" i="3"/>
  <c r="W191" i="3" s="1"/>
  <c r="W195" i="3"/>
  <c r="W238" i="3"/>
  <c r="W47" i="6"/>
  <c r="W77" i="6"/>
  <c r="W219" i="7" s="1"/>
  <c r="W104" i="6"/>
  <c r="W111" i="4"/>
  <c r="W30" i="7" s="1"/>
  <c r="W41" i="9"/>
  <c r="W24" i="9"/>
  <c r="W46" i="9"/>
  <c r="W69" i="3"/>
  <c r="W223" i="3"/>
  <c r="W58" i="9"/>
  <c r="W61" i="9"/>
  <c r="W62" i="9"/>
  <c r="W59" i="9"/>
  <c r="W65" i="9"/>
  <c r="W193" i="3"/>
  <c r="W63" i="9"/>
  <c r="W120" i="8"/>
  <c r="W121" i="8"/>
  <c r="W119" i="8"/>
  <c r="W117" i="8"/>
  <c r="W112" i="8"/>
  <c r="W74" i="8"/>
  <c r="W50" i="8"/>
  <c r="W100" i="6"/>
  <c r="W106" i="5"/>
  <c r="W87" i="6"/>
  <c r="W93" i="5"/>
  <c r="W31" i="4"/>
  <c r="W64" i="6"/>
  <c r="W206" i="7" s="1"/>
  <c r="W92" i="6"/>
  <c r="W98" i="5"/>
  <c r="W57" i="4"/>
  <c r="W3" i="7" s="1"/>
  <c r="W4" i="7"/>
  <c r="W28" i="16"/>
  <c r="W54" i="13"/>
  <c r="W52" i="13"/>
  <c r="W12" i="14"/>
  <c r="W24" i="14" s="1"/>
  <c r="W116" i="8"/>
  <c r="W83" i="8"/>
  <c r="W14" i="8"/>
  <c r="W56" i="8"/>
  <c r="W78" i="8" s="1"/>
  <c r="W21" i="3"/>
  <c r="W203" i="3" s="1"/>
  <c r="W111" i="8"/>
  <c r="W100" i="8"/>
  <c r="W25" i="8"/>
  <c r="W45" i="9" s="1"/>
  <c r="W61" i="8"/>
  <c r="W18" i="6"/>
  <c r="W111" i="6"/>
  <c r="W67" i="3"/>
  <c r="W80" i="3"/>
  <c r="W131" i="6"/>
  <c r="W63" i="5"/>
  <c r="W118" i="7" s="1"/>
  <c r="W18" i="5"/>
  <c r="W37" i="3"/>
  <c r="W117" i="5"/>
  <c r="W202" i="3"/>
  <c r="W124" i="5"/>
  <c r="W70" i="5"/>
  <c r="W125" i="7" s="1"/>
  <c r="W38" i="3"/>
  <c r="W131" i="5"/>
  <c r="W77" i="5"/>
  <c r="W132" i="7" s="1"/>
  <c r="W42" i="5"/>
  <c r="W49" i="3"/>
  <c r="W184" i="4"/>
  <c r="W46" i="4"/>
  <c r="W200" i="4"/>
  <c r="W177" i="4"/>
  <c r="W213" i="4"/>
  <c r="W20" i="4"/>
  <c r="W205" i="4"/>
  <c r="W13" i="4"/>
  <c r="W6" i="4"/>
  <c r="W208" i="3"/>
  <c r="W225" i="3"/>
  <c r="W204" i="3"/>
  <c r="W19" i="14"/>
  <c r="W55" i="10"/>
  <c r="W44" i="10"/>
  <c r="W38" i="10"/>
  <c r="W49" i="10"/>
  <c r="W59" i="13"/>
  <c r="W46" i="13"/>
  <c r="W56" i="13"/>
  <c r="W36" i="13"/>
  <c r="W42" i="12"/>
  <c r="W32" i="12"/>
  <c r="W22" i="12"/>
  <c r="W72" i="12" s="1"/>
  <c r="W3" i="12"/>
  <c r="W62" i="10"/>
  <c r="W51" i="10"/>
  <c r="W40" i="10"/>
  <c r="W66" i="11"/>
  <c r="W19" i="13"/>
  <c r="W23" i="15"/>
  <c r="W53" i="13"/>
  <c r="W51" i="13"/>
  <c r="W57" i="13"/>
  <c r="W55" i="13"/>
  <c r="W23" i="11"/>
  <c r="W95" i="11" s="1"/>
  <c r="W96" i="11"/>
  <c r="W76" i="11"/>
  <c r="W22" i="17"/>
  <c r="W21" i="17"/>
  <c r="W17" i="17"/>
  <c r="W9" i="17"/>
  <c r="W58" i="13"/>
  <c r="W56" i="9"/>
  <c r="W13" i="15"/>
  <c r="W18" i="15"/>
  <c r="W17" i="15"/>
  <c r="W19" i="16"/>
  <c r="W27" i="16"/>
  <c r="W23" i="16"/>
  <c r="W22" i="15"/>
  <c r="I87" i="4"/>
  <c r="I85" i="4" s="1"/>
  <c r="I84" i="4" s="1"/>
  <c r="Q87" i="4"/>
  <c r="Q85" i="4" s="1"/>
  <c r="Q84" i="4" s="1"/>
  <c r="F87" i="4"/>
  <c r="F85" i="4" s="1"/>
  <c r="F84" i="4" s="1"/>
  <c r="N87" i="4"/>
  <c r="N85" i="4" s="1"/>
  <c r="N84" i="4" s="1"/>
  <c r="V87" i="4"/>
  <c r="V85" i="4" s="1"/>
  <c r="E87" i="4"/>
  <c r="E85" i="4" s="1"/>
  <c r="M87" i="4"/>
  <c r="M85" i="4" s="1"/>
  <c r="U87" i="4"/>
  <c r="U85" i="4" s="1"/>
  <c r="F101" i="4"/>
  <c r="F100" i="4" s="1"/>
  <c r="N101" i="4"/>
  <c r="N100" i="4" s="1"/>
  <c r="V101" i="4"/>
  <c r="V100" i="4" s="1"/>
  <c r="K101" i="4"/>
  <c r="S101" i="4"/>
  <c r="H101" i="4"/>
  <c r="H100" i="4" s="1"/>
  <c r="P101" i="4"/>
  <c r="P100" i="4" s="1"/>
  <c r="K87" i="4"/>
  <c r="K85" i="4" s="1"/>
  <c r="S87" i="4"/>
  <c r="S85" i="4" s="1"/>
  <c r="D107" i="4"/>
  <c r="D100" i="4" s="1"/>
  <c r="L107" i="4"/>
  <c r="L100" i="4" s="1"/>
  <c r="T107" i="4"/>
  <c r="T100" i="4" s="1"/>
  <c r="E101" i="4"/>
  <c r="E100" i="4" s="1"/>
  <c r="M101" i="4"/>
  <c r="M100" i="4" s="1"/>
  <c r="U101" i="4"/>
  <c r="U100" i="4" s="1"/>
  <c r="J101" i="4"/>
  <c r="G101" i="4"/>
  <c r="R101" i="4"/>
  <c r="G87" i="4"/>
  <c r="O87" i="4"/>
  <c r="D87" i="4"/>
  <c r="D85" i="4" s="1"/>
  <c r="L87" i="4"/>
  <c r="L85" i="4" s="1"/>
  <c r="T87" i="4"/>
  <c r="T85" i="4" s="1"/>
  <c r="J94" i="4"/>
  <c r="J85" i="4" s="1"/>
  <c r="R94" i="4"/>
  <c r="R85" i="4" s="1"/>
  <c r="G94" i="4"/>
  <c r="O94" i="4"/>
  <c r="J107" i="4"/>
  <c r="R107" i="4"/>
  <c r="G107" i="4"/>
  <c r="O107" i="4"/>
  <c r="O100" i="4" s="1"/>
  <c r="H87" i="4"/>
  <c r="H85" i="4" s="1"/>
  <c r="P87" i="4"/>
  <c r="P85" i="4" s="1"/>
  <c r="K107" i="4"/>
  <c r="S107" i="4"/>
  <c r="K218" i="7"/>
  <c r="R82" i="7"/>
  <c r="M82" i="7"/>
  <c r="I82" i="7"/>
  <c r="V82" i="7"/>
  <c r="P82" i="7"/>
  <c r="O82" i="7"/>
  <c r="N82" i="7"/>
  <c r="F82" i="7"/>
  <c r="E82" i="7"/>
  <c r="U82" i="7"/>
  <c r="S82" i="7"/>
  <c r="Q82" i="7"/>
  <c r="J82" i="7"/>
  <c r="H82" i="7"/>
  <c r="D82" i="7"/>
  <c r="B82" i="7"/>
  <c r="E76" i="7"/>
  <c r="E75" i="7" s="1"/>
  <c r="R76" i="7"/>
  <c r="P76" i="7"/>
  <c r="N76" i="7"/>
  <c r="I76" i="7"/>
  <c r="G76" i="7"/>
  <c r="B76" i="7"/>
  <c r="V76" i="7"/>
  <c r="U76" i="7"/>
  <c r="S76" i="7"/>
  <c r="Q76" i="7"/>
  <c r="M76" i="7"/>
  <c r="J76" i="7"/>
  <c r="J75" i="7" s="1"/>
  <c r="H76" i="7"/>
  <c r="H75" i="7" s="1"/>
  <c r="D76" i="7"/>
  <c r="D75" i="7" s="1"/>
  <c r="Q69" i="7"/>
  <c r="K69" i="7"/>
  <c r="H69" i="7"/>
  <c r="C69" i="7"/>
  <c r="U69" i="7"/>
  <c r="P69" i="7"/>
  <c r="O69" i="7"/>
  <c r="M69" i="7"/>
  <c r="G69" i="7"/>
  <c r="V69" i="7"/>
  <c r="T69" i="7"/>
  <c r="R69" i="7"/>
  <c r="N69" i="7"/>
  <c r="I69" i="7"/>
  <c r="F69" i="7"/>
  <c r="E69" i="7"/>
  <c r="D69" i="7"/>
  <c r="S62" i="7"/>
  <c r="R62" i="7"/>
  <c r="R60" i="7" s="1"/>
  <c r="P62" i="7"/>
  <c r="G62" i="7"/>
  <c r="V62" i="7"/>
  <c r="T62" i="7"/>
  <c r="O62" i="7"/>
  <c r="N62" i="7"/>
  <c r="K62" i="7"/>
  <c r="I62" i="7"/>
  <c r="F62" i="7"/>
  <c r="C62" i="7"/>
  <c r="U62" i="7"/>
  <c r="Q62" i="7"/>
  <c r="M62" i="7"/>
  <c r="J62" i="7"/>
  <c r="H62" i="7"/>
  <c r="E62" i="7"/>
  <c r="D62" i="7"/>
  <c r="B62" i="7"/>
  <c r="N157" i="6"/>
  <c r="H157" i="6"/>
  <c r="V52" i="6"/>
  <c r="U52" i="6"/>
  <c r="M52" i="6"/>
  <c r="E52" i="6"/>
  <c r="D52" i="6"/>
  <c r="V40" i="6"/>
  <c r="O40" i="6"/>
  <c r="F40" i="6"/>
  <c r="D40" i="6"/>
  <c r="V130" i="6"/>
  <c r="S130" i="6"/>
  <c r="Q130" i="6"/>
  <c r="N130" i="6"/>
  <c r="J130" i="6"/>
  <c r="H130" i="6"/>
  <c r="E130" i="6"/>
  <c r="B130" i="6"/>
  <c r="V34" i="6"/>
  <c r="T34" i="6"/>
  <c r="O34" i="6"/>
  <c r="N34" i="6"/>
  <c r="G34" i="6"/>
  <c r="F34" i="6"/>
  <c r="E34" i="6"/>
  <c r="Q27" i="6"/>
  <c r="T27" i="6"/>
  <c r="S27" i="6"/>
  <c r="P27" i="6"/>
  <c r="K27" i="6"/>
  <c r="H27" i="6"/>
  <c r="G27" i="6"/>
  <c r="C27" i="6"/>
  <c r="B27" i="6"/>
  <c r="T20" i="6"/>
  <c r="N20" i="6"/>
  <c r="P20" i="6"/>
  <c r="K20" i="6"/>
  <c r="G20" i="6"/>
  <c r="C20" i="6"/>
  <c r="T52" i="6"/>
  <c r="S52" i="6"/>
  <c r="R52" i="6"/>
  <c r="Q52" i="6"/>
  <c r="P52" i="6"/>
  <c r="O52" i="6"/>
  <c r="N52" i="6"/>
  <c r="K52" i="6"/>
  <c r="J52" i="6"/>
  <c r="I52" i="6"/>
  <c r="H52" i="6"/>
  <c r="G52" i="6"/>
  <c r="F52" i="6"/>
  <c r="C52" i="6"/>
  <c r="B52" i="6"/>
  <c r="T10" i="6"/>
  <c r="S10" i="6"/>
  <c r="R10" i="6"/>
  <c r="P10" i="6"/>
  <c r="K10" i="6"/>
  <c r="J10" i="6"/>
  <c r="I10" i="6"/>
  <c r="H10" i="6"/>
  <c r="C10" i="6"/>
  <c r="B10" i="6"/>
  <c r="V10" i="6"/>
  <c r="U10" i="6"/>
  <c r="Q10" i="6"/>
  <c r="N10" i="6"/>
  <c r="M10" i="6"/>
  <c r="G10" i="6"/>
  <c r="E10" i="6"/>
  <c r="D10" i="6"/>
  <c r="T5" i="6"/>
  <c r="S5" i="6"/>
  <c r="K5" i="6"/>
  <c r="K4" i="6" s="1"/>
  <c r="J5" i="6"/>
  <c r="B5" i="6"/>
  <c r="R5" i="6"/>
  <c r="O5" i="6"/>
  <c r="I5" i="6"/>
  <c r="F5" i="6"/>
  <c r="L5" i="6"/>
  <c r="B150" i="5"/>
  <c r="F149" i="5"/>
  <c r="B69" i="5"/>
  <c r="F68" i="5"/>
  <c r="R52" i="5"/>
  <c r="U52" i="5"/>
  <c r="P52" i="5"/>
  <c r="O52" i="5"/>
  <c r="N52" i="5"/>
  <c r="I52" i="5"/>
  <c r="G52" i="5"/>
  <c r="F52" i="5"/>
  <c r="R43" i="5"/>
  <c r="V43" i="5"/>
  <c r="T43" i="5"/>
  <c r="K43" i="5"/>
  <c r="H43" i="5"/>
  <c r="C43" i="5"/>
  <c r="J33" i="5"/>
  <c r="R33" i="5"/>
  <c r="I33" i="5"/>
  <c r="H33" i="5"/>
  <c r="D123" i="5"/>
  <c r="C123" i="5"/>
  <c r="B123" i="5"/>
  <c r="R68" i="5"/>
  <c r="R123" i="7" s="1"/>
  <c r="H122" i="5"/>
  <c r="G122" i="5"/>
  <c r="F122" i="5"/>
  <c r="D68" i="5"/>
  <c r="C122" i="5"/>
  <c r="N65" i="5"/>
  <c r="N120" i="7" s="1"/>
  <c r="T21" i="5"/>
  <c r="R21" i="5"/>
  <c r="Q21" i="5"/>
  <c r="V62" i="5"/>
  <c r="V117" i="7" s="1"/>
  <c r="E62" i="5"/>
  <c r="E117" i="7" s="1"/>
  <c r="H51" i="6"/>
  <c r="Q48" i="6"/>
  <c r="I5" i="5"/>
  <c r="V5" i="5"/>
  <c r="T5" i="5"/>
  <c r="S5" i="5"/>
  <c r="K5" i="5"/>
  <c r="J5" i="5"/>
  <c r="H5" i="5"/>
  <c r="G5" i="5"/>
  <c r="E5" i="5"/>
  <c r="C5" i="5"/>
  <c r="B5" i="5"/>
  <c r="R5" i="5"/>
  <c r="P5" i="5"/>
  <c r="O5" i="5"/>
  <c r="N5" i="5"/>
  <c r="F5" i="5"/>
  <c r="V55" i="7"/>
  <c r="U55" i="7"/>
  <c r="T55" i="7"/>
  <c r="S55" i="7"/>
  <c r="R55" i="7"/>
  <c r="Q55" i="7"/>
  <c r="P55" i="7"/>
  <c r="O55" i="7"/>
  <c r="N55" i="7"/>
  <c r="M55" i="7"/>
  <c r="K55" i="7"/>
  <c r="J55" i="7"/>
  <c r="I55" i="7"/>
  <c r="H55" i="7"/>
  <c r="G55" i="7"/>
  <c r="F55" i="7"/>
  <c r="E55" i="7"/>
  <c r="D55" i="7"/>
  <c r="C55" i="7"/>
  <c r="B55" i="7"/>
  <c r="V54" i="7"/>
  <c r="U54" i="7"/>
  <c r="T54" i="7"/>
  <c r="O54" i="7"/>
  <c r="N54" i="7"/>
  <c r="M54" i="7"/>
  <c r="K54" i="7"/>
  <c r="G54" i="7"/>
  <c r="F54" i="7"/>
  <c r="E54" i="7"/>
  <c r="C54" i="7"/>
  <c r="V134" i="4"/>
  <c r="V53" i="7" s="1"/>
  <c r="U134" i="4"/>
  <c r="U53" i="7" s="1"/>
  <c r="M134" i="4"/>
  <c r="M53" i="7" s="1"/>
  <c r="K134" i="4"/>
  <c r="K53" i="7" s="1"/>
  <c r="G134" i="4"/>
  <c r="G53" i="7" s="1"/>
  <c r="F134" i="4"/>
  <c r="F53" i="7" s="1"/>
  <c r="V52" i="7"/>
  <c r="U52" i="7"/>
  <c r="T52" i="7"/>
  <c r="S52" i="7"/>
  <c r="R52" i="7"/>
  <c r="Q52" i="7"/>
  <c r="P52" i="7"/>
  <c r="O52" i="7"/>
  <c r="N52" i="7"/>
  <c r="M52" i="7"/>
  <c r="K52" i="7"/>
  <c r="J52" i="7"/>
  <c r="I52" i="7"/>
  <c r="H52" i="7"/>
  <c r="G52" i="7"/>
  <c r="F52" i="7"/>
  <c r="E52" i="7"/>
  <c r="D52" i="7"/>
  <c r="C52" i="7"/>
  <c r="B52" i="7"/>
  <c r="V51" i="7"/>
  <c r="U51" i="7"/>
  <c r="T51" i="7"/>
  <c r="S51" i="7"/>
  <c r="R51" i="7"/>
  <c r="Q51" i="7"/>
  <c r="P51" i="7"/>
  <c r="O51" i="7"/>
  <c r="N51" i="7"/>
  <c r="M51" i="7"/>
  <c r="K51" i="7"/>
  <c r="J51" i="7"/>
  <c r="I51" i="7"/>
  <c r="H51" i="7"/>
  <c r="G51" i="7"/>
  <c r="F51" i="7"/>
  <c r="E51" i="7"/>
  <c r="D51" i="7"/>
  <c r="C51" i="7"/>
  <c r="B51" i="7"/>
  <c r="V50" i="7"/>
  <c r="U50" i="7"/>
  <c r="T50" i="7"/>
  <c r="S50" i="7"/>
  <c r="R50" i="7"/>
  <c r="Q50" i="7"/>
  <c r="P50" i="7"/>
  <c r="O50" i="7"/>
  <c r="N50" i="7"/>
  <c r="M50" i="7"/>
  <c r="K50" i="7"/>
  <c r="J50" i="7"/>
  <c r="I50" i="7"/>
  <c r="H50" i="7"/>
  <c r="G50" i="7"/>
  <c r="F50" i="7"/>
  <c r="E50" i="7"/>
  <c r="D50" i="7"/>
  <c r="C50" i="7"/>
  <c r="B50" i="7"/>
  <c r="V49" i="7"/>
  <c r="U49" i="7"/>
  <c r="T49" i="7"/>
  <c r="S49" i="7"/>
  <c r="R49" i="7"/>
  <c r="Q49" i="7"/>
  <c r="P49" i="7"/>
  <c r="O49" i="7"/>
  <c r="N49" i="7"/>
  <c r="M49" i="7"/>
  <c r="K49" i="7"/>
  <c r="J49" i="7"/>
  <c r="I49" i="7"/>
  <c r="H49" i="7"/>
  <c r="G49" i="7"/>
  <c r="F49" i="7"/>
  <c r="E49" i="7"/>
  <c r="D49" i="7"/>
  <c r="C49" i="7"/>
  <c r="B49" i="7"/>
  <c r="V48" i="7"/>
  <c r="U48" i="7"/>
  <c r="T48" i="7"/>
  <c r="P48" i="7"/>
  <c r="O48" i="7"/>
  <c r="N48" i="7"/>
  <c r="M48" i="7"/>
  <c r="K48" i="7"/>
  <c r="G48" i="7"/>
  <c r="F48" i="7"/>
  <c r="E48" i="7"/>
  <c r="D48" i="7"/>
  <c r="C48" i="7"/>
  <c r="V128" i="4"/>
  <c r="U128" i="4"/>
  <c r="P128" i="4"/>
  <c r="P47" i="7" s="1"/>
  <c r="O128" i="4"/>
  <c r="N128" i="4"/>
  <c r="K128" i="4"/>
  <c r="K47" i="7" s="1"/>
  <c r="G128" i="4"/>
  <c r="G47" i="7" s="1"/>
  <c r="F128" i="4"/>
  <c r="C128" i="4"/>
  <c r="C47" i="7" s="1"/>
  <c r="V45" i="7"/>
  <c r="U45" i="7"/>
  <c r="T45" i="7"/>
  <c r="S45" i="7"/>
  <c r="R45" i="7"/>
  <c r="Q45" i="7"/>
  <c r="P45" i="7"/>
  <c r="O45" i="7"/>
  <c r="N45" i="7"/>
  <c r="M45" i="7"/>
  <c r="K45" i="7"/>
  <c r="J45" i="7"/>
  <c r="I45" i="7"/>
  <c r="H45" i="7"/>
  <c r="G45" i="7"/>
  <c r="F45" i="7"/>
  <c r="E45" i="7"/>
  <c r="D45" i="7"/>
  <c r="C45" i="7"/>
  <c r="B45" i="7"/>
  <c r="V44" i="7"/>
  <c r="U44" i="7"/>
  <c r="T44" i="7"/>
  <c r="S44" i="7"/>
  <c r="R44" i="7"/>
  <c r="Q44" i="7"/>
  <c r="P44" i="7"/>
  <c r="O44" i="7"/>
  <c r="N44" i="7"/>
  <c r="M44" i="7"/>
  <c r="K44" i="7"/>
  <c r="J44" i="7"/>
  <c r="I44" i="7"/>
  <c r="H44" i="7"/>
  <c r="G44" i="7"/>
  <c r="F44" i="7"/>
  <c r="E44" i="7"/>
  <c r="D44" i="7"/>
  <c r="C44" i="7"/>
  <c r="B44" i="7"/>
  <c r="V43" i="7"/>
  <c r="U43" i="7"/>
  <c r="T43" i="7"/>
  <c r="S43" i="7"/>
  <c r="R43" i="7"/>
  <c r="Q43" i="7"/>
  <c r="P43" i="7"/>
  <c r="O43" i="7"/>
  <c r="N43" i="7"/>
  <c r="M43" i="7"/>
  <c r="K43" i="7"/>
  <c r="J43" i="7"/>
  <c r="I43" i="7"/>
  <c r="H43" i="7"/>
  <c r="G43" i="7"/>
  <c r="F43" i="7"/>
  <c r="E43" i="7"/>
  <c r="D43" i="7"/>
  <c r="C43" i="7"/>
  <c r="B43" i="7"/>
  <c r="V42" i="7"/>
  <c r="U42" i="7"/>
  <c r="T42" i="7"/>
  <c r="S42" i="7"/>
  <c r="R42" i="7"/>
  <c r="Q42" i="7"/>
  <c r="P42" i="7"/>
  <c r="O42" i="7"/>
  <c r="N42" i="7"/>
  <c r="M42" i="7"/>
  <c r="K42" i="7"/>
  <c r="J42" i="7"/>
  <c r="I42" i="7"/>
  <c r="H42" i="7"/>
  <c r="G42" i="7"/>
  <c r="F42" i="7"/>
  <c r="E42" i="7"/>
  <c r="D42" i="7"/>
  <c r="C42" i="7"/>
  <c r="B42" i="7"/>
  <c r="T41" i="7"/>
  <c r="S41" i="7"/>
  <c r="R41" i="7"/>
  <c r="Q41" i="7"/>
  <c r="P41" i="7"/>
  <c r="K41" i="7"/>
  <c r="J41" i="7"/>
  <c r="I41" i="7"/>
  <c r="H41" i="7"/>
  <c r="G41" i="7"/>
  <c r="C41" i="7"/>
  <c r="B41" i="7"/>
  <c r="T121" i="4"/>
  <c r="T40" i="7" s="1"/>
  <c r="Q121" i="4"/>
  <c r="Q40" i="7" s="1"/>
  <c r="P121" i="4"/>
  <c r="P40" i="7" s="1"/>
  <c r="H121" i="4"/>
  <c r="H40" i="7" s="1"/>
  <c r="C121" i="4"/>
  <c r="C40" i="7" s="1"/>
  <c r="B121" i="4"/>
  <c r="B40" i="7" s="1"/>
  <c r="V39" i="7"/>
  <c r="U39" i="7"/>
  <c r="T39" i="7"/>
  <c r="S39" i="7"/>
  <c r="R39" i="7"/>
  <c r="Q39" i="7"/>
  <c r="P39" i="7"/>
  <c r="O39" i="7"/>
  <c r="N39" i="7"/>
  <c r="M39" i="7"/>
  <c r="K39" i="7"/>
  <c r="J39" i="7"/>
  <c r="I39" i="7"/>
  <c r="H39" i="7"/>
  <c r="G39" i="7"/>
  <c r="F39" i="7"/>
  <c r="E39" i="7"/>
  <c r="D39" i="7"/>
  <c r="C39" i="7"/>
  <c r="B39" i="7"/>
  <c r="V38" i="7"/>
  <c r="U38" i="7"/>
  <c r="T38" i="7"/>
  <c r="S38" i="7"/>
  <c r="R38" i="7"/>
  <c r="Q38" i="7"/>
  <c r="P38" i="7"/>
  <c r="O38" i="7"/>
  <c r="N38" i="7"/>
  <c r="M38" i="7"/>
  <c r="K38" i="7"/>
  <c r="J38" i="7"/>
  <c r="I38" i="7"/>
  <c r="H38" i="7"/>
  <c r="G38" i="7"/>
  <c r="F38" i="7"/>
  <c r="E38" i="7"/>
  <c r="D38" i="7"/>
  <c r="C38" i="7"/>
  <c r="B38" i="7"/>
  <c r="V37" i="7"/>
  <c r="U37" i="7"/>
  <c r="T37" i="7"/>
  <c r="S37" i="7"/>
  <c r="R37" i="7"/>
  <c r="Q37" i="7"/>
  <c r="P37" i="7"/>
  <c r="O37" i="7"/>
  <c r="N37" i="7"/>
  <c r="M37" i="7"/>
  <c r="K37" i="7"/>
  <c r="J37" i="7"/>
  <c r="I37" i="7"/>
  <c r="H37" i="7"/>
  <c r="G37" i="7"/>
  <c r="F37" i="7"/>
  <c r="E37" i="7"/>
  <c r="D37" i="7"/>
  <c r="C37" i="7"/>
  <c r="B37" i="7"/>
  <c r="V36" i="7"/>
  <c r="U36" i="7"/>
  <c r="T36" i="7"/>
  <c r="S36" i="7"/>
  <c r="R36" i="7"/>
  <c r="Q36" i="7"/>
  <c r="P36" i="7"/>
  <c r="O36" i="7"/>
  <c r="N36" i="7"/>
  <c r="M36" i="7"/>
  <c r="K36" i="7"/>
  <c r="J36" i="7"/>
  <c r="I36" i="7"/>
  <c r="H36" i="7"/>
  <c r="G36" i="7"/>
  <c r="F36" i="7"/>
  <c r="E36" i="7"/>
  <c r="D36" i="7"/>
  <c r="C36" i="7"/>
  <c r="B36" i="7"/>
  <c r="V35" i="7"/>
  <c r="U35" i="7"/>
  <c r="T35" i="7"/>
  <c r="S35" i="7"/>
  <c r="R35" i="7"/>
  <c r="Q35" i="7"/>
  <c r="P35" i="7"/>
  <c r="O35" i="7"/>
  <c r="N35" i="7"/>
  <c r="M35" i="7"/>
  <c r="K35" i="7"/>
  <c r="J35" i="7"/>
  <c r="I35" i="7"/>
  <c r="H35" i="7"/>
  <c r="G35" i="7"/>
  <c r="F35" i="7"/>
  <c r="E35" i="7"/>
  <c r="D35" i="7"/>
  <c r="C35" i="7"/>
  <c r="B35" i="7"/>
  <c r="V34" i="7"/>
  <c r="U34" i="7"/>
  <c r="T34" i="7"/>
  <c r="P34" i="7"/>
  <c r="O34" i="7"/>
  <c r="N34" i="7"/>
  <c r="M34" i="7"/>
  <c r="K34" i="7"/>
  <c r="G34" i="7"/>
  <c r="F34" i="7"/>
  <c r="E34" i="7"/>
  <c r="D34" i="7"/>
  <c r="C34" i="7"/>
  <c r="V114" i="4"/>
  <c r="V33" i="7" s="1"/>
  <c r="P114" i="4"/>
  <c r="P33" i="7" s="1"/>
  <c r="O114" i="4"/>
  <c r="O33" i="7" s="1"/>
  <c r="M114" i="4"/>
  <c r="M33" i="7" s="1"/>
  <c r="K114" i="4"/>
  <c r="K33" i="7" s="1"/>
  <c r="G114" i="4"/>
  <c r="G33" i="7" s="1"/>
  <c r="D114" i="4"/>
  <c r="D33" i="7" s="1"/>
  <c r="C114" i="4"/>
  <c r="C33" i="7" s="1"/>
  <c r="V32" i="7"/>
  <c r="U32" i="7"/>
  <c r="T32" i="7"/>
  <c r="S32" i="7"/>
  <c r="P32" i="7"/>
  <c r="O32" i="7"/>
  <c r="N32" i="7"/>
  <c r="M32" i="7"/>
  <c r="K32" i="7"/>
  <c r="J32" i="7"/>
  <c r="G32" i="7"/>
  <c r="F32" i="7"/>
  <c r="E32" i="7"/>
  <c r="D32" i="7"/>
  <c r="C32" i="7"/>
  <c r="B32" i="7"/>
  <c r="B107" i="4"/>
  <c r="B101" i="4"/>
  <c r="C101" i="4"/>
  <c r="C94" i="4"/>
  <c r="B94" i="4"/>
  <c r="B87" i="4"/>
  <c r="V28" i="7"/>
  <c r="U28" i="7"/>
  <c r="T28" i="7"/>
  <c r="S28" i="7"/>
  <c r="R28" i="7"/>
  <c r="Q28" i="7"/>
  <c r="P28" i="7"/>
  <c r="O28" i="7"/>
  <c r="N28" i="7"/>
  <c r="M28" i="7"/>
  <c r="K28" i="7"/>
  <c r="J28" i="7"/>
  <c r="H28" i="7"/>
  <c r="G28" i="7"/>
  <c r="F28" i="7"/>
  <c r="E28" i="7"/>
  <c r="D28" i="7"/>
  <c r="C28" i="7"/>
  <c r="B28" i="7"/>
  <c r="R27" i="7"/>
  <c r="Q27" i="7"/>
  <c r="P27" i="7"/>
  <c r="O27" i="7"/>
  <c r="I27" i="7"/>
  <c r="H27" i="7"/>
  <c r="G27" i="7"/>
  <c r="F27" i="7"/>
  <c r="R80" i="4"/>
  <c r="R26" i="7" s="1"/>
  <c r="Q80" i="4"/>
  <c r="Q26" i="7" s="1"/>
  <c r="P80" i="4"/>
  <c r="P26" i="7" s="1"/>
  <c r="F80" i="4"/>
  <c r="F26" i="7" s="1"/>
  <c r="V25" i="7"/>
  <c r="U25" i="7"/>
  <c r="T25" i="7"/>
  <c r="S25" i="7"/>
  <c r="R25" i="7"/>
  <c r="Q25" i="7"/>
  <c r="P25" i="7"/>
  <c r="O25" i="7"/>
  <c r="N25" i="7"/>
  <c r="M25" i="7"/>
  <c r="K25" i="7"/>
  <c r="J25" i="7"/>
  <c r="I25" i="7"/>
  <c r="H25" i="7"/>
  <c r="G25" i="7"/>
  <c r="F25" i="7"/>
  <c r="E25" i="7"/>
  <c r="D25" i="7"/>
  <c r="C25" i="7"/>
  <c r="B25" i="7"/>
  <c r="V24" i="7"/>
  <c r="U24" i="7"/>
  <c r="T24" i="7"/>
  <c r="S24" i="7"/>
  <c r="R24" i="7"/>
  <c r="Q24" i="7"/>
  <c r="P24" i="7"/>
  <c r="O24" i="7"/>
  <c r="N24" i="7"/>
  <c r="M24" i="7"/>
  <c r="K24" i="7"/>
  <c r="J24" i="7"/>
  <c r="I24" i="7"/>
  <c r="H24" i="7"/>
  <c r="G24" i="7"/>
  <c r="F24" i="7"/>
  <c r="E24" i="7"/>
  <c r="D24" i="7"/>
  <c r="C24" i="7"/>
  <c r="B24" i="7"/>
  <c r="V23" i="7"/>
  <c r="U23" i="7"/>
  <c r="T23" i="7"/>
  <c r="S23" i="7"/>
  <c r="R23" i="7"/>
  <c r="Q23" i="7"/>
  <c r="P23" i="7"/>
  <c r="O23" i="7"/>
  <c r="N23" i="7"/>
  <c r="M23" i="7"/>
  <c r="K23" i="7"/>
  <c r="J23" i="7"/>
  <c r="I23" i="7"/>
  <c r="H23" i="7"/>
  <c r="G23" i="7"/>
  <c r="F23" i="7"/>
  <c r="E23" i="7"/>
  <c r="D23" i="7"/>
  <c r="C23" i="7"/>
  <c r="B23" i="7"/>
  <c r="V22" i="7"/>
  <c r="U22" i="7"/>
  <c r="T22" i="7"/>
  <c r="S22" i="7"/>
  <c r="R22" i="7"/>
  <c r="Q22" i="7"/>
  <c r="P22" i="7"/>
  <c r="O22" i="7"/>
  <c r="N22" i="7"/>
  <c r="M22" i="7"/>
  <c r="K22" i="7"/>
  <c r="J22" i="7"/>
  <c r="I22" i="7"/>
  <c r="H22" i="7"/>
  <c r="G22" i="7"/>
  <c r="F22" i="7"/>
  <c r="E22" i="7"/>
  <c r="D22" i="7"/>
  <c r="C22" i="7"/>
  <c r="B22" i="7"/>
  <c r="U21" i="7"/>
  <c r="R21" i="7"/>
  <c r="Q21" i="7"/>
  <c r="P21" i="7"/>
  <c r="O21" i="7"/>
  <c r="M21" i="7"/>
  <c r="I21" i="7"/>
  <c r="H21" i="7"/>
  <c r="G21" i="7"/>
  <c r="F21" i="7"/>
  <c r="D21" i="7"/>
  <c r="R74" i="4"/>
  <c r="Q74" i="4"/>
  <c r="Q20" i="7" s="1"/>
  <c r="P74" i="4"/>
  <c r="M74" i="4"/>
  <c r="M20" i="7" s="1"/>
  <c r="I74" i="4"/>
  <c r="I20" i="7" s="1"/>
  <c r="H74" i="4"/>
  <c r="H20" i="7" s="1"/>
  <c r="D74" i="4"/>
  <c r="D20" i="7" s="1"/>
  <c r="V18" i="7"/>
  <c r="U18" i="7"/>
  <c r="T18" i="7"/>
  <c r="S18" i="7"/>
  <c r="R18" i="7"/>
  <c r="Q18" i="7"/>
  <c r="P18" i="7"/>
  <c r="O18" i="7"/>
  <c r="N18" i="7"/>
  <c r="M18" i="7"/>
  <c r="K18" i="7"/>
  <c r="J18" i="7"/>
  <c r="I18" i="7"/>
  <c r="H18" i="7"/>
  <c r="G18" i="7"/>
  <c r="F18" i="7"/>
  <c r="E18" i="7"/>
  <c r="D18" i="7"/>
  <c r="C18" i="7"/>
  <c r="B18" i="7"/>
  <c r="V17" i="7"/>
  <c r="U17" i="7"/>
  <c r="T17" i="7"/>
  <c r="S17" i="7"/>
  <c r="R17" i="7"/>
  <c r="Q17" i="7"/>
  <c r="P17" i="7"/>
  <c r="O17" i="7"/>
  <c r="N17" i="7"/>
  <c r="M17" i="7"/>
  <c r="K17" i="7"/>
  <c r="J17" i="7"/>
  <c r="I17" i="7"/>
  <c r="H17" i="7"/>
  <c r="G17" i="7"/>
  <c r="F17" i="7"/>
  <c r="E17" i="7"/>
  <c r="D17" i="7"/>
  <c r="C17" i="7"/>
  <c r="B17" i="7"/>
  <c r="V16" i="7"/>
  <c r="U16" i="7"/>
  <c r="T16" i="7"/>
  <c r="S16" i="7"/>
  <c r="R16" i="7"/>
  <c r="Q16" i="7"/>
  <c r="P16" i="7"/>
  <c r="O16" i="7"/>
  <c r="N16" i="7"/>
  <c r="M16" i="7"/>
  <c r="K16" i="7"/>
  <c r="J16" i="7"/>
  <c r="I16" i="7"/>
  <c r="H16" i="7"/>
  <c r="G16" i="7"/>
  <c r="F16" i="7"/>
  <c r="E16" i="7"/>
  <c r="D16" i="7"/>
  <c r="C16" i="7"/>
  <c r="B16" i="7"/>
  <c r="V15" i="7"/>
  <c r="U15" i="7"/>
  <c r="T15" i="7"/>
  <c r="S15" i="7"/>
  <c r="R15" i="7"/>
  <c r="Q15" i="7"/>
  <c r="P15" i="7"/>
  <c r="O15" i="7"/>
  <c r="N15" i="7"/>
  <c r="M15" i="7"/>
  <c r="K15" i="7"/>
  <c r="J15" i="7"/>
  <c r="I15" i="7"/>
  <c r="H15" i="7"/>
  <c r="G15" i="7"/>
  <c r="F15" i="7"/>
  <c r="E15" i="7"/>
  <c r="D15" i="7"/>
  <c r="C15" i="7"/>
  <c r="B15" i="7"/>
  <c r="V14" i="7"/>
  <c r="U14" i="7"/>
  <c r="T14" i="7"/>
  <c r="S14" i="7"/>
  <c r="Q14" i="7"/>
  <c r="N14" i="7"/>
  <c r="M14" i="7"/>
  <c r="K14" i="7"/>
  <c r="J14" i="7"/>
  <c r="H14" i="7"/>
  <c r="E14" i="7"/>
  <c r="D14" i="7"/>
  <c r="C14" i="7"/>
  <c r="B14" i="7"/>
  <c r="N67" i="4"/>
  <c r="N13" i="7" s="1"/>
  <c r="M67" i="4"/>
  <c r="M13" i="7" s="1"/>
  <c r="K67" i="4"/>
  <c r="K13" i="7" s="1"/>
  <c r="E67" i="4"/>
  <c r="E13" i="7" s="1"/>
  <c r="D67" i="4"/>
  <c r="D13" i="7" s="1"/>
  <c r="V12" i="7"/>
  <c r="U12" i="7"/>
  <c r="T12" i="7"/>
  <c r="S12" i="7"/>
  <c r="R12" i="7"/>
  <c r="Q12" i="7"/>
  <c r="P12" i="7"/>
  <c r="O12" i="7"/>
  <c r="N12" i="7"/>
  <c r="M12" i="7"/>
  <c r="K12" i="7"/>
  <c r="J12" i="7"/>
  <c r="I12" i="7"/>
  <c r="H12" i="7"/>
  <c r="G12" i="7"/>
  <c r="F12" i="7"/>
  <c r="E12" i="7"/>
  <c r="V11" i="7"/>
  <c r="U11" i="7"/>
  <c r="T11" i="7"/>
  <c r="S11" i="7"/>
  <c r="R11" i="7"/>
  <c r="Q11" i="7"/>
  <c r="P11" i="7"/>
  <c r="O11" i="7"/>
  <c r="N11" i="7"/>
  <c r="M11" i="7"/>
  <c r="K11" i="7"/>
  <c r="J11" i="7"/>
  <c r="V10" i="7"/>
  <c r="U10" i="7"/>
  <c r="T10" i="7"/>
  <c r="S10" i="7"/>
  <c r="R10" i="7"/>
  <c r="Q10" i="7"/>
  <c r="P10" i="7"/>
  <c r="O10" i="7"/>
  <c r="N10" i="7"/>
  <c r="M10" i="7"/>
  <c r="K10" i="7"/>
  <c r="J10" i="7"/>
  <c r="I10" i="7"/>
  <c r="H10" i="7"/>
  <c r="G10" i="7"/>
  <c r="F10" i="7"/>
  <c r="E10" i="7"/>
  <c r="D10" i="7"/>
  <c r="C10" i="7"/>
  <c r="B10" i="7"/>
  <c r="V9" i="7"/>
  <c r="U9" i="7"/>
  <c r="T9" i="7"/>
  <c r="S9" i="7"/>
  <c r="R9" i="7"/>
  <c r="Q9" i="7"/>
  <c r="P9" i="7"/>
  <c r="O9" i="7"/>
  <c r="N9" i="7"/>
  <c r="M9" i="7"/>
  <c r="K9" i="7"/>
  <c r="J9" i="7"/>
  <c r="I9" i="7"/>
  <c r="H9" i="7"/>
  <c r="G9" i="7"/>
  <c r="F9" i="7"/>
  <c r="E9" i="7"/>
  <c r="D9" i="7"/>
  <c r="C9" i="7"/>
  <c r="B9" i="7"/>
  <c r="V8" i="7"/>
  <c r="U8" i="7"/>
  <c r="T8" i="7"/>
  <c r="S8" i="7"/>
  <c r="R8" i="7"/>
  <c r="Q8" i="7"/>
  <c r="P8" i="7"/>
  <c r="O8" i="7"/>
  <c r="N8" i="7"/>
  <c r="M8" i="7"/>
  <c r="K8" i="7"/>
  <c r="J8" i="7"/>
  <c r="I8" i="7"/>
  <c r="H8" i="7"/>
  <c r="G8" i="7"/>
  <c r="F8" i="7"/>
  <c r="E8" i="7"/>
  <c r="D8" i="7"/>
  <c r="C8" i="7"/>
  <c r="B8" i="7"/>
  <c r="U7" i="7"/>
  <c r="R7" i="7"/>
  <c r="Q7" i="7"/>
  <c r="P7" i="7"/>
  <c r="O7" i="7"/>
  <c r="M7" i="7"/>
  <c r="I7" i="7"/>
  <c r="H7" i="7"/>
  <c r="G7" i="7"/>
  <c r="F7" i="7"/>
  <c r="D7" i="7"/>
  <c r="R60" i="4"/>
  <c r="R6" i="7" s="1"/>
  <c r="P60" i="4"/>
  <c r="P6" i="7" s="1"/>
  <c r="O60" i="4"/>
  <c r="O6" i="7" s="1"/>
  <c r="G60" i="4"/>
  <c r="G6" i="7" s="1"/>
  <c r="F60" i="4"/>
  <c r="F6" i="7" s="1"/>
  <c r="V5" i="7"/>
  <c r="U5" i="7"/>
  <c r="S5" i="7"/>
  <c r="R5" i="7"/>
  <c r="Q5" i="7"/>
  <c r="P5" i="7"/>
  <c r="O5" i="7"/>
  <c r="N5" i="7"/>
  <c r="M5" i="7"/>
  <c r="J5" i="7"/>
  <c r="I5" i="7"/>
  <c r="H5" i="7"/>
  <c r="G5" i="7"/>
  <c r="F5" i="7"/>
  <c r="E5" i="7"/>
  <c r="D5" i="7"/>
  <c r="B5" i="7"/>
  <c r="V28" i="4"/>
  <c r="R28" i="4"/>
  <c r="J28" i="4"/>
  <c r="V27" i="4"/>
  <c r="R53" i="4"/>
  <c r="N53" i="4"/>
  <c r="V53" i="4"/>
  <c r="Q53" i="4"/>
  <c r="P53" i="4"/>
  <c r="O53" i="4"/>
  <c r="I53" i="4"/>
  <c r="G53" i="4"/>
  <c r="U25" i="4"/>
  <c r="I25" i="4"/>
  <c r="E25" i="4"/>
  <c r="M24" i="4"/>
  <c r="E24" i="4"/>
  <c r="D24" i="4"/>
  <c r="Q23" i="4"/>
  <c r="U22" i="4"/>
  <c r="E22" i="4"/>
  <c r="V78" i="5"/>
  <c r="V133" i="7" s="1"/>
  <c r="Q47" i="4"/>
  <c r="M47" i="4"/>
  <c r="E78" i="5"/>
  <c r="E133" i="7" s="1"/>
  <c r="V47" i="4"/>
  <c r="U47" i="4"/>
  <c r="R47" i="4"/>
  <c r="O47" i="4"/>
  <c r="N47" i="4"/>
  <c r="N46" i="4" s="1"/>
  <c r="J47" i="4"/>
  <c r="I47" i="4"/>
  <c r="H47" i="4"/>
  <c r="M18" i="4"/>
  <c r="J18" i="4"/>
  <c r="I75" i="5"/>
  <c r="I130" i="7" s="1"/>
  <c r="V17" i="4"/>
  <c r="U17" i="4"/>
  <c r="I17" i="4"/>
  <c r="V16" i="4"/>
  <c r="U16" i="4"/>
  <c r="N16" i="4"/>
  <c r="J16" i="4"/>
  <c r="I16" i="4"/>
  <c r="U15" i="4"/>
  <c r="R15" i="4"/>
  <c r="J15" i="4"/>
  <c r="E15" i="4"/>
  <c r="V40" i="4"/>
  <c r="U40" i="4"/>
  <c r="N40" i="4"/>
  <c r="J40" i="4"/>
  <c r="I71" i="5"/>
  <c r="I126" i="7" s="1"/>
  <c r="E14" i="4"/>
  <c r="T40" i="4"/>
  <c r="S40" i="4"/>
  <c r="R40" i="4"/>
  <c r="Q40" i="4"/>
  <c r="L40" i="4"/>
  <c r="K40" i="4"/>
  <c r="F40" i="4"/>
  <c r="E40" i="4"/>
  <c r="N69" i="5"/>
  <c r="N124" i="7" s="1"/>
  <c r="I12" i="4"/>
  <c r="V11" i="4"/>
  <c r="H256" i="4"/>
  <c r="E11" i="4"/>
  <c r="R10" i="4"/>
  <c r="J9" i="4"/>
  <c r="I66" i="5"/>
  <c r="I121" i="7" s="1"/>
  <c r="Q8" i="4"/>
  <c r="N8" i="4"/>
  <c r="M8" i="4"/>
  <c r="V33" i="4"/>
  <c r="R33" i="4"/>
  <c r="Q33" i="4"/>
  <c r="M33" i="4"/>
  <c r="J33" i="4"/>
  <c r="I7" i="4"/>
  <c r="F7" i="4"/>
  <c r="P33" i="4"/>
  <c r="O33" i="4"/>
  <c r="H33" i="4"/>
  <c r="G33" i="4"/>
  <c r="F33" i="4"/>
  <c r="F31" i="4" s="1"/>
  <c r="E33" i="4"/>
  <c r="E31" i="4" s="1"/>
  <c r="E254" i="4" s="1"/>
  <c r="O5" i="4"/>
  <c r="E28" i="4"/>
  <c r="J27" i="4"/>
  <c r="I27" i="4"/>
  <c r="H27" i="4"/>
  <c r="B53" i="4"/>
  <c r="J24" i="4"/>
  <c r="F24" i="4"/>
  <c r="G23" i="4"/>
  <c r="K22" i="4"/>
  <c r="I22" i="4"/>
  <c r="F22" i="4"/>
  <c r="C22" i="4"/>
  <c r="E21" i="4"/>
  <c r="G15" i="4"/>
  <c r="B15" i="4"/>
  <c r="J12" i="4"/>
  <c r="E12" i="4"/>
  <c r="B257" i="4"/>
  <c r="H11" i="4"/>
  <c r="G11" i="4"/>
  <c r="K10" i="4"/>
  <c r="C10" i="4"/>
  <c r="H9" i="4"/>
  <c r="J8" i="4"/>
  <c r="E8" i="4"/>
  <c r="H7" i="4"/>
  <c r="E5" i="4"/>
  <c r="B5" i="4"/>
  <c r="K28" i="4"/>
  <c r="I28" i="4"/>
  <c r="D28" i="4"/>
  <c r="C28" i="4"/>
  <c r="E27" i="4"/>
  <c r="J25" i="4"/>
  <c r="G25" i="4"/>
  <c r="F25" i="4"/>
  <c r="B25" i="4"/>
  <c r="K24" i="4"/>
  <c r="C24" i="4"/>
  <c r="J23" i="4"/>
  <c r="F23" i="4"/>
  <c r="E23" i="4"/>
  <c r="B23" i="4"/>
  <c r="J21" i="4"/>
  <c r="I21" i="4"/>
  <c r="G21" i="4"/>
  <c r="F21" i="4"/>
  <c r="B21" i="4"/>
  <c r="K18" i="4"/>
  <c r="D18" i="4"/>
  <c r="C18" i="4"/>
  <c r="H17" i="4"/>
  <c r="G17" i="4"/>
  <c r="B17" i="4"/>
  <c r="K16" i="4"/>
  <c r="D16" i="4"/>
  <c r="C16" i="4"/>
  <c r="F15" i="4"/>
  <c r="K14" i="4"/>
  <c r="F14" i="4"/>
  <c r="D14" i="4"/>
  <c r="C14" i="4"/>
  <c r="K12" i="4"/>
  <c r="D12" i="4"/>
  <c r="C12" i="4"/>
  <c r="J11" i="4"/>
  <c r="B11" i="4"/>
  <c r="B229" i="4" s="1"/>
  <c r="D10" i="4"/>
  <c r="G9" i="4"/>
  <c r="F9" i="4"/>
  <c r="K8" i="4"/>
  <c r="K92" i="5" s="1"/>
  <c r="D8" i="4"/>
  <c r="C8" i="4"/>
  <c r="B7" i="4"/>
  <c r="J5" i="4"/>
  <c r="I5" i="4"/>
  <c r="F5" i="4"/>
  <c r="U28" i="4"/>
  <c r="T28" i="4"/>
  <c r="M28" i="4"/>
  <c r="U27" i="4"/>
  <c r="Q27" i="4"/>
  <c r="P27" i="4"/>
  <c r="O27" i="4"/>
  <c r="V25" i="4"/>
  <c r="R25" i="4"/>
  <c r="Q25" i="4"/>
  <c r="P25" i="4"/>
  <c r="O25" i="4"/>
  <c r="N25" i="4"/>
  <c r="V24" i="4"/>
  <c r="U24" i="4"/>
  <c r="S24" i="4"/>
  <c r="R24" i="4"/>
  <c r="N24" i="4"/>
  <c r="V23" i="4"/>
  <c r="U23" i="4"/>
  <c r="R23" i="4"/>
  <c r="O23" i="4"/>
  <c r="N23" i="4"/>
  <c r="N107" i="5" s="1"/>
  <c r="V22" i="4"/>
  <c r="S22" i="4"/>
  <c r="R22" i="4"/>
  <c r="N22" i="4"/>
  <c r="M22" i="4"/>
  <c r="V21" i="4"/>
  <c r="R21" i="4"/>
  <c r="Q21" i="4"/>
  <c r="P21" i="4"/>
  <c r="O21" i="4"/>
  <c r="N21" i="4"/>
  <c r="V18" i="4"/>
  <c r="U18" i="4"/>
  <c r="T18" i="4"/>
  <c r="S18" i="4"/>
  <c r="R18" i="4"/>
  <c r="N18" i="4"/>
  <c r="R17" i="4"/>
  <c r="P17" i="4"/>
  <c r="O17" i="4"/>
  <c r="N17" i="4"/>
  <c r="T16" i="4"/>
  <c r="S16" i="4"/>
  <c r="V15" i="4"/>
  <c r="P15" i="4"/>
  <c r="O15" i="4"/>
  <c r="V14" i="4"/>
  <c r="T14" i="4"/>
  <c r="S14" i="4"/>
  <c r="R14" i="4"/>
  <c r="V12" i="4"/>
  <c r="U12" i="4"/>
  <c r="T12" i="4"/>
  <c r="S12" i="4"/>
  <c r="R12" i="4"/>
  <c r="N12" i="4"/>
  <c r="R11" i="4"/>
  <c r="Q11" i="4"/>
  <c r="P11" i="4"/>
  <c r="O11" i="4"/>
  <c r="N11" i="4"/>
  <c r="M11" i="4"/>
  <c r="T10" i="4"/>
  <c r="S10" i="4"/>
  <c r="O10" i="4"/>
  <c r="N10" i="4"/>
  <c r="M10" i="4"/>
  <c r="P9" i="4"/>
  <c r="O9" i="4"/>
  <c r="V8" i="4"/>
  <c r="U8" i="4"/>
  <c r="T8" i="4"/>
  <c r="S8" i="4"/>
  <c r="R8" i="4"/>
  <c r="V7" i="4"/>
  <c r="R7" i="4"/>
  <c r="P7" i="4"/>
  <c r="O7" i="4"/>
  <c r="N7" i="4"/>
  <c r="V5" i="4"/>
  <c r="R5" i="4"/>
  <c r="Q5" i="4"/>
  <c r="P5" i="4"/>
  <c r="N5" i="4"/>
  <c r="L28" i="4"/>
  <c r="W64" i="9" l="1"/>
  <c r="H60" i="7"/>
  <c r="W57" i="9"/>
  <c r="Q75" i="7"/>
  <c r="R75" i="7"/>
  <c r="R59" i="7" s="1"/>
  <c r="I60" i="7"/>
  <c r="W52" i="12"/>
  <c r="V75" i="7"/>
  <c r="U60" i="7"/>
  <c r="D60" i="7"/>
  <c r="D59" i="7" s="1"/>
  <c r="O85" i="4"/>
  <c r="O84" i="4" s="1"/>
  <c r="S100" i="4"/>
  <c r="S84" i="4" s="1"/>
  <c r="B4" i="6"/>
  <c r="Q60" i="7"/>
  <c r="G60" i="7"/>
  <c r="I75" i="7"/>
  <c r="I59" i="7" s="1"/>
  <c r="V60" i="7"/>
  <c r="W23" i="9"/>
  <c r="W26" i="10"/>
  <c r="W232" i="3"/>
  <c r="R100" i="4"/>
  <c r="R31" i="4"/>
  <c r="T4" i="6"/>
  <c r="J100" i="4"/>
  <c r="K100" i="4"/>
  <c r="K84" i="4" s="1"/>
  <c r="V31" i="4"/>
  <c r="V260" i="4" s="1"/>
  <c r="U75" i="7"/>
  <c r="D84" i="4"/>
  <c r="L84" i="4"/>
  <c r="Q59" i="7"/>
  <c r="W18" i="14"/>
  <c r="Q73" i="4"/>
  <c r="Q19" i="7" s="1"/>
  <c r="B75" i="7"/>
  <c r="G100" i="4"/>
  <c r="I4" i="6"/>
  <c r="I4" i="5"/>
  <c r="U84" i="4"/>
  <c r="W60" i="10"/>
  <c r="W65" i="10"/>
  <c r="W61" i="10"/>
  <c r="W63" i="10"/>
  <c r="W67" i="10"/>
  <c r="W221" i="3"/>
  <c r="W66" i="10"/>
  <c r="W72" i="8"/>
  <c r="W82" i="8"/>
  <c r="M84" i="4"/>
  <c r="I46" i="4"/>
  <c r="I264" i="4" s="1"/>
  <c r="G127" i="4"/>
  <c r="G46" i="7" s="1"/>
  <c r="W272" i="4"/>
  <c r="W268" i="4"/>
  <c r="W70" i="6"/>
  <c r="W267" i="4"/>
  <c r="W266" i="4"/>
  <c r="W269" i="4"/>
  <c r="W273" i="4"/>
  <c r="W270" i="4"/>
  <c r="W271" i="4"/>
  <c r="K127" i="4"/>
  <c r="K46" i="7" s="1"/>
  <c r="W261" i="4"/>
  <c r="W55" i="6"/>
  <c r="W257" i="4"/>
  <c r="W256" i="4"/>
  <c r="W260" i="4"/>
  <c r="W259" i="4"/>
  <c r="W252" i="4"/>
  <c r="W250" i="4"/>
  <c r="W262" i="4"/>
  <c r="W263" i="4"/>
  <c r="W251" i="4"/>
  <c r="W253" i="4"/>
  <c r="W254" i="4"/>
  <c r="W255" i="4"/>
  <c r="W98" i="6"/>
  <c r="W104" i="5"/>
  <c r="W265" i="4"/>
  <c r="P84" i="4"/>
  <c r="W84" i="6"/>
  <c r="W90" i="5"/>
  <c r="W168" i="4"/>
  <c r="E84" i="4"/>
  <c r="W258" i="4"/>
  <c r="W30" i="4"/>
  <c r="W97" i="5"/>
  <c r="W91" i="6"/>
  <c r="W249" i="4"/>
  <c r="B4" i="5"/>
  <c r="R4" i="6"/>
  <c r="E60" i="7"/>
  <c r="E59" i="7" s="1"/>
  <c r="P75" i="7"/>
  <c r="H59" i="7"/>
  <c r="N60" i="7"/>
  <c r="N75" i="7"/>
  <c r="M60" i="7"/>
  <c r="M75" i="7"/>
  <c r="G18" i="6"/>
  <c r="N4" i="5"/>
  <c r="E4" i="5"/>
  <c r="R4" i="5"/>
  <c r="S4" i="5"/>
  <c r="V4" i="5"/>
  <c r="W41" i="13"/>
  <c r="W233" i="3"/>
  <c r="W65" i="3"/>
  <c r="W17" i="6"/>
  <c r="W136" i="6" s="1"/>
  <c r="W78" i="3"/>
  <c r="W76" i="5"/>
  <c r="W48" i="3"/>
  <c r="W35" i="3"/>
  <c r="W61" i="5"/>
  <c r="W17" i="5"/>
  <c r="W142" i="5" s="1"/>
  <c r="W264" i="4"/>
  <c r="W183" i="4"/>
  <c r="W19" i="4"/>
  <c r="W238" i="4" s="1"/>
  <c r="W211" i="4"/>
  <c r="W157" i="4"/>
  <c r="W19" i="3"/>
  <c r="W201" i="3" s="1"/>
  <c r="W197" i="4"/>
  <c r="W7" i="3"/>
  <c r="W189" i="3" s="1"/>
  <c r="W143" i="4"/>
  <c r="W4" i="4"/>
  <c r="W224" i="4" s="1"/>
  <c r="W204" i="4"/>
  <c r="W150" i="4"/>
  <c r="W8" i="3"/>
  <c r="W190" i="3" s="1"/>
  <c r="W48" i="10"/>
  <c r="W59" i="10"/>
  <c r="W51" i="12"/>
  <c r="W17" i="12"/>
  <c r="W67" i="12" s="1"/>
  <c r="W53" i="12"/>
  <c r="W55" i="12"/>
  <c r="W47" i="12"/>
  <c r="W37" i="12"/>
  <c r="W54" i="12"/>
  <c r="W50" i="12"/>
  <c r="W48" i="12"/>
  <c r="W49" i="12"/>
  <c r="W75" i="11"/>
  <c r="R46" i="4"/>
  <c r="R131" i="5"/>
  <c r="R42" i="5"/>
  <c r="B18" i="4"/>
  <c r="B209" i="4" s="1"/>
  <c r="B182" i="4"/>
  <c r="B69" i="6"/>
  <c r="G169" i="4"/>
  <c r="G56" i="6"/>
  <c r="G198" i="7" s="1"/>
  <c r="U171" i="4"/>
  <c r="U58" i="6"/>
  <c r="U200" i="7" s="1"/>
  <c r="U173" i="4"/>
  <c r="U60" i="6"/>
  <c r="U202" i="7" s="1"/>
  <c r="U66" i="5"/>
  <c r="U121" i="7" s="1"/>
  <c r="M175" i="4"/>
  <c r="M62" i="6"/>
  <c r="M204" i="7" s="1"/>
  <c r="M68" i="5"/>
  <c r="M123" i="7" s="1"/>
  <c r="Q176" i="4"/>
  <c r="Q63" i="6"/>
  <c r="M178" i="4"/>
  <c r="M65" i="6"/>
  <c r="M207" i="7" s="1"/>
  <c r="M180" i="4"/>
  <c r="M67" i="6"/>
  <c r="M209" i="7" s="1"/>
  <c r="M73" i="5"/>
  <c r="M128" i="7" s="1"/>
  <c r="Q181" i="4"/>
  <c r="Q68" i="6"/>
  <c r="Q210" i="7" s="1"/>
  <c r="Q74" i="5"/>
  <c r="Q129" i="7" s="1"/>
  <c r="P185" i="4"/>
  <c r="P72" i="6"/>
  <c r="P214" i="7" s="1"/>
  <c r="T186" i="4"/>
  <c r="T73" i="6"/>
  <c r="T215" i="7" s="1"/>
  <c r="P187" i="4"/>
  <c r="P74" i="6"/>
  <c r="P216" i="7" s="1"/>
  <c r="H189" i="4"/>
  <c r="H76" i="6"/>
  <c r="J191" i="4"/>
  <c r="J78" i="6"/>
  <c r="J220" i="7" s="1"/>
  <c r="N192" i="4"/>
  <c r="N79" i="6"/>
  <c r="N221" i="7" s="1"/>
  <c r="N85" i="5"/>
  <c r="N140" i="7" s="1"/>
  <c r="R27" i="4"/>
  <c r="I18" i="4"/>
  <c r="I209" i="4" s="1"/>
  <c r="B189" i="4"/>
  <c r="B76" i="6"/>
  <c r="B82" i="5"/>
  <c r="B137" i="7" s="1"/>
  <c r="H169" i="4"/>
  <c r="H56" i="6"/>
  <c r="H198" i="7" s="1"/>
  <c r="N171" i="4"/>
  <c r="N58" i="6"/>
  <c r="N200" i="7" s="1"/>
  <c r="R172" i="4"/>
  <c r="R59" i="6"/>
  <c r="R201" i="7" s="1"/>
  <c r="N173" i="4"/>
  <c r="N60" i="6"/>
  <c r="N202" i="7" s="1"/>
  <c r="F175" i="4"/>
  <c r="F62" i="6"/>
  <c r="J176" i="4"/>
  <c r="J63" i="6"/>
  <c r="J69" i="5"/>
  <c r="J124" i="7" s="1"/>
  <c r="J181" i="4"/>
  <c r="J68" i="6"/>
  <c r="J210" i="7" s="1"/>
  <c r="N9" i="4"/>
  <c r="N87" i="6" s="1"/>
  <c r="P23" i="4"/>
  <c r="P214" i="4" s="1"/>
  <c r="I9" i="4"/>
  <c r="B14" i="4"/>
  <c r="B178" i="4"/>
  <c r="B65" i="6"/>
  <c r="B207" i="7" s="1"/>
  <c r="B187" i="4"/>
  <c r="B74" i="6"/>
  <c r="B216" i="7" s="1"/>
  <c r="B80" i="5"/>
  <c r="B135" i="7" s="1"/>
  <c r="I169" i="4"/>
  <c r="I56" i="6"/>
  <c r="I198" i="7" s="1"/>
  <c r="Q169" i="4"/>
  <c r="Q56" i="6"/>
  <c r="Q198" i="7" s="1"/>
  <c r="G171" i="4"/>
  <c r="G58" i="6"/>
  <c r="G200" i="7" s="1"/>
  <c r="O171" i="4"/>
  <c r="O58" i="6"/>
  <c r="O200" i="7" s="1"/>
  <c r="C172" i="4"/>
  <c r="C59" i="6"/>
  <c r="C201" i="7" s="1"/>
  <c r="K172" i="4"/>
  <c r="K59" i="6"/>
  <c r="K201" i="7" s="1"/>
  <c r="S172" i="4"/>
  <c r="S59" i="6"/>
  <c r="S201" i="7" s="1"/>
  <c r="G173" i="4"/>
  <c r="G60" i="6"/>
  <c r="G202" i="7" s="1"/>
  <c r="O173" i="4"/>
  <c r="O60" i="6"/>
  <c r="O202" i="7" s="1"/>
  <c r="C174" i="4"/>
  <c r="C61" i="6"/>
  <c r="C203" i="7" s="1"/>
  <c r="K174" i="4"/>
  <c r="K61" i="6"/>
  <c r="K203" i="7" s="1"/>
  <c r="S174" i="4"/>
  <c r="S61" i="6"/>
  <c r="S203" i="7" s="1"/>
  <c r="G175" i="4"/>
  <c r="G62" i="6"/>
  <c r="G256" i="4"/>
  <c r="O175" i="4"/>
  <c r="O62" i="6"/>
  <c r="O204" i="7" s="1"/>
  <c r="O68" i="5"/>
  <c r="O123" i="7" s="1"/>
  <c r="C176" i="4"/>
  <c r="C63" i="6"/>
  <c r="K176" i="4"/>
  <c r="K63" i="6"/>
  <c r="S176" i="4"/>
  <c r="S63" i="6"/>
  <c r="S69" i="5"/>
  <c r="S124" i="7" s="1"/>
  <c r="I40" i="4"/>
  <c r="G40" i="4"/>
  <c r="G31" i="4" s="1"/>
  <c r="G251" i="4" s="1"/>
  <c r="G178" i="4"/>
  <c r="G65" i="6"/>
  <c r="G207" i="7" s="1"/>
  <c r="O40" i="4"/>
  <c r="O178" i="4"/>
  <c r="O65" i="6"/>
  <c r="O207" i="7" s="1"/>
  <c r="C179" i="4"/>
  <c r="C66" i="6"/>
  <c r="C208" i="7" s="1"/>
  <c r="K179" i="4"/>
  <c r="K66" i="6"/>
  <c r="K208" i="7" s="1"/>
  <c r="S15" i="4"/>
  <c r="S206" i="4" s="1"/>
  <c r="S179" i="4"/>
  <c r="S66" i="6"/>
  <c r="S208" i="7" s="1"/>
  <c r="G180" i="4"/>
  <c r="G67" i="6"/>
  <c r="G209" i="7" s="1"/>
  <c r="O16" i="4"/>
  <c r="O94" i="6" s="1"/>
  <c r="O180" i="4"/>
  <c r="O67" i="6"/>
  <c r="O209" i="7" s="1"/>
  <c r="C181" i="4"/>
  <c r="C68" i="6"/>
  <c r="C210" i="7" s="1"/>
  <c r="K181" i="4"/>
  <c r="K68" i="6"/>
  <c r="K210" i="7" s="1"/>
  <c r="S17" i="4"/>
  <c r="S181" i="4"/>
  <c r="S68" i="6"/>
  <c r="S210" i="7" s="1"/>
  <c r="G182" i="4"/>
  <c r="G69" i="6"/>
  <c r="O18" i="4"/>
  <c r="O182" i="4"/>
  <c r="O69" i="6"/>
  <c r="J185" i="4"/>
  <c r="J72" i="6"/>
  <c r="J214" i="7" s="1"/>
  <c r="J78" i="5"/>
  <c r="J133" i="7" s="1"/>
  <c r="R185" i="4"/>
  <c r="R72" i="6"/>
  <c r="R214" i="7" s="1"/>
  <c r="F186" i="4"/>
  <c r="F73" i="6"/>
  <c r="F215" i="7" s="1"/>
  <c r="F79" i="5"/>
  <c r="F134" i="7" s="1"/>
  <c r="N186" i="4"/>
  <c r="N73" i="6"/>
  <c r="N215" i="7" s="1"/>
  <c r="V186" i="4"/>
  <c r="V73" i="6"/>
  <c r="V215" i="7" s="1"/>
  <c r="J187" i="4"/>
  <c r="J74" i="6"/>
  <c r="J216" i="7" s="1"/>
  <c r="J80" i="5"/>
  <c r="J135" i="7" s="1"/>
  <c r="R187" i="4"/>
  <c r="R74" i="6"/>
  <c r="R216" i="7" s="1"/>
  <c r="F188" i="4"/>
  <c r="F75" i="6"/>
  <c r="F217" i="7" s="1"/>
  <c r="F81" i="5"/>
  <c r="F136" i="7" s="1"/>
  <c r="N188" i="4"/>
  <c r="N75" i="6"/>
  <c r="N217" i="7" s="1"/>
  <c r="V188" i="4"/>
  <c r="V75" i="6"/>
  <c r="V217" i="7" s="1"/>
  <c r="J189" i="4"/>
  <c r="J76" i="6"/>
  <c r="R189" i="4"/>
  <c r="R76" i="6"/>
  <c r="J53" i="4"/>
  <c r="J46" i="4" s="1"/>
  <c r="D27" i="4"/>
  <c r="D191" i="4"/>
  <c r="D78" i="6"/>
  <c r="D220" i="7" s="1"/>
  <c r="L53" i="4"/>
  <c r="T191" i="4"/>
  <c r="T78" i="6"/>
  <c r="T220" i="7" s="1"/>
  <c r="H28" i="4"/>
  <c r="H26" i="4" s="1"/>
  <c r="H192" i="4"/>
  <c r="H79" i="6"/>
  <c r="H221" i="7" s="1"/>
  <c r="P192" i="4"/>
  <c r="P79" i="6"/>
  <c r="P221" i="7" s="1"/>
  <c r="H60" i="4"/>
  <c r="H6" i="7" s="1"/>
  <c r="B60" i="4"/>
  <c r="B6" i="7" s="1"/>
  <c r="B7" i="7"/>
  <c r="J60" i="4"/>
  <c r="J6" i="7" s="1"/>
  <c r="J7" i="7"/>
  <c r="S60" i="4"/>
  <c r="S6" i="7" s="1"/>
  <c r="S7" i="7"/>
  <c r="B123" i="7"/>
  <c r="B204" i="7"/>
  <c r="B11" i="7"/>
  <c r="B67" i="4"/>
  <c r="B13" i="7" s="1"/>
  <c r="R121" i="4"/>
  <c r="R40" i="7" s="1"/>
  <c r="B128" i="4"/>
  <c r="B47" i="7" s="1"/>
  <c r="B48" i="7"/>
  <c r="J128" i="4"/>
  <c r="J48" i="7"/>
  <c r="S128" i="4"/>
  <c r="S48" i="7"/>
  <c r="T15" i="4"/>
  <c r="T93" i="6" s="1"/>
  <c r="C17" i="4"/>
  <c r="C208" i="4" s="1"/>
  <c r="P22" i="4"/>
  <c r="P100" i="6" s="1"/>
  <c r="G116" i="5"/>
  <c r="G62" i="5"/>
  <c r="G117" i="7" s="1"/>
  <c r="P116" i="5"/>
  <c r="P62" i="5"/>
  <c r="P117" i="7" s="1"/>
  <c r="I118" i="5"/>
  <c r="I64" i="5"/>
  <c r="I119" i="7" s="1"/>
  <c r="R118" i="5"/>
  <c r="I119" i="5"/>
  <c r="I65" i="5"/>
  <c r="I120" i="7" s="1"/>
  <c r="R119" i="5"/>
  <c r="R65" i="5"/>
  <c r="R120" i="7" s="1"/>
  <c r="I120" i="5"/>
  <c r="R120" i="5"/>
  <c r="R66" i="5"/>
  <c r="R121" i="7" s="1"/>
  <c r="E121" i="5"/>
  <c r="N121" i="5"/>
  <c r="N67" i="5"/>
  <c r="N122" i="7" s="1"/>
  <c r="V121" i="5"/>
  <c r="E122" i="5"/>
  <c r="E149" i="5"/>
  <c r="E68" i="5"/>
  <c r="N122" i="5"/>
  <c r="N68" i="5"/>
  <c r="N123" i="7" s="1"/>
  <c r="V122" i="5"/>
  <c r="V68" i="5"/>
  <c r="V123" i="7" s="1"/>
  <c r="I123" i="5"/>
  <c r="I69" i="5"/>
  <c r="I124" i="7" s="1"/>
  <c r="R123" i="5"/>
  <c r="R69" i="5"/>
  <c r="R124" i="7" s="1"/>
  <c r="H125" i="5"/>
  <c r="H71" i="5"/>
  <c r="H126" i="7" s="1"/>
  <c r="Q125" i="5"/>
  <c r="Q71" i="5"/>
  <c r="Q126" i="7" s="1"/>
  <c r="Q33" i="5"/>
  <c r="H126" i="5"/>
  <c r="H72" i="5"/>
  <c r="H127" i="7" s="1"/>
  <c r="Q126" i="5"/>
  <c r="Q72" i="5"/>
  <c r="Q127" i="7" s="1"/>
  <c r="H127" i="5"/>
  <c r="H73" i="5"/>
  <c r="H128" i="7" s="1"/>
  <c r="Q127" i="5"/>
  <c r="Q73" i="5"/>
  <c r="Q128" i="7" s="1"/>
  <c r="D128" i="5"/>
  <c r="D74" i="5"/>
  <c r="D129" i="7" s="1"/>
  <c r="M128" i="5"/>
  <c r="M74" i="5"/>
  <c r="M129" i="7" s="1"/>
  <c r="U128" i="5"/>
  <c r="U74" i="5"/>
  <c r="U129" i="7" s="1"/>
  <c r="D129" i="5"/>
  <c r="D75" i="5"/>
  <c r="D130" i="7" s="1"/>
  <c r="M129" i="5"/>
  <c r="M75" i="5"/>
  <c r="M130" i="7" s="1"/>
  <c r="U129" i="5"/>
  <c r="U75" i="5"/>
  <c r="U130" i="7" s="1"/>
  <c r="G78" i="5"/>
  <c r="G133" i="7" s="1"/>
  <c r="P78" i="5"/>
  <c r="P133" i="7" s="1"/>
  <c r="G80" i="5"/>
  <c r="G135" i="7" s="1"/>
  <c r="P80" i="5"/>
  <c r="P135" i="7" s="1"/>
  <c r="C81" i="5"/>
  <c r="C136" i="7" s="1"/>
  <c r="K81" i="5"/>
  <c r="K136" i="7" s="1"/>
  <c r="T81" i="5"/>
  <c r="T136" i="7" s="1"/>
  <c r="H52" i="5"/>
  <c r="H42" i="5" s="1"/>
  <c r="H138" i="5"/>
  <c r="Q52" i="5"/>
  <c r="Q83" i="5" s="1"/>
  <c r="Q138" i="7" s="1"/>
  <c r="Q138" i="5"/>
  <c r="Q84" i="5"/>
  <c r="Q139" i="7" s="1"/>
  <c r="H139" i="5"/>
  <c r="H85" i="5"/>
  <c r="H140" i="7" s="1"/>
  <c r="Q139" i="5"/>
  <c r="Q85" i="5"/>
  <c r="Q140" i="7" s="1"/>
  <c r="J85" i="5"/>
  <c r="J140" i="7" s="1"/>
  <c r="E173" i="4"/>
  <c r="E60" i="6"/>
  <c r="E202" i="7" s="1"/>
  <c r="Q174" i="4"/>
  <c r="Q61" i="6"/>
  <c r="Q203" i="7" s="1"/>
  <c r="Q67" i="5"/>
  <c r="Q122" i="7" s="1"/>
  <c r="I179" i="4"/>
  <c r="I66" i="6"/>
  <c r="I208" i="7" s="1"/>
  <c r="U180" i="4"/>
  <c r="U67" i="6"/>
  <c r="U209" i="7" s="1"/>
  <c r="U73" i="5"/>
  <c r="U128" i="7" s="1"/>
  <c r="E182" i="4"/>
  <c r="E69" i="6"/>
  <c r="D186" i="4"/>
  <c r="D73" i="6"/>
  <c r="D215" i="7" s="1"/>
  <c r="H187" i="4"/>
  <c r="H74" i="6"/>
  <c r="H216" i="7" s="1"/>
  <c r="T188" i="4"/>
  <c r="T75" i="6"/>
  <c r="T217" i="7" s="1"/>
  <c r="F192" i="4"/>
  <c r="F79" i="6"/>
  <c r="F221" i="7" s="1"/>
  <c r="B192" i="4"/>
  <c r="B79" i="6"/>
  <c r="B221" i="7" s="1"/>
  <c r="P169" i="4"/>
  <c r="P56" i="6"/>
  <c r="P198" i="7" s="1"/>
  <c r="F171" i="4"/>
  <c r="F58" i="6"/>
  <c r="F200" i="7" s="1"/>
  <c r="J172" i="4"/>
  <c r="J59" i="6"/>
  <c r="J201" i="7" s="1"/>
  <c r="J65" i="5"/>
  <c r="J120" i="7" s="1"/>
  <c r="V173" i="4"/>
  <c r="V60" i="6"/>
  <c r="V202" i="7" s="1"/>
  <c r="N175" i="4"/>
  <c r="N62" i="6"/>
  <c r="N204" i="7" s="1"/>
  <c r="R176" i="4"/>
  <c r="R63" i="6"/>
  <c r="F182" i="4"/>
  <c r="F69" i="6"/>
  <c r="U14" i="4"/>
  <c r="U13" i="4" s="1"/>
  <c r="T24" i="4"/>
  <c r="T215" i="4" s="1"/>
  <c r="J7" i="4"/>
  <c r="J85" i="6" s="1"/>
  <c r="J17" i="4"/>
  <c r="J208" i="4" s="1"/>
  <c r="B8" i="4"/>
  <c r="B172" i="4"/>
  <c r="B59" i="6"/>
  <c r="B201" i="7" s="1"/>
  <c r="B175" i="4"/>
  <c r="B62" i="6"/>
  <c r="I14" i="4"/>
  <c r="I92" i="6" s="1"/>
  <c r="B185" i="4"/>
  <c r="B72" i="6"/>
  <c r="B214" i="7" s="1"/>
  <c r="B78" i="5"/>
  <c r="B133" i="7" s="1"/>
  <c r="H25" i="4"/>
  <c r="J169" i="4"/>
  <c r="J56" i="6"/>
  <c r="J198" i="7" s="1"/>
  <c r="R169" i="4"/>
  <c r="R56" i="6"/>
  <c r="R198" i="7" s="1"/>
  <c r="H171" i="4"/>
  <c r="H58" i="6"/>
  <c r="H200" i="7" s="1"/>
  <c r="P171" i="4"/>
  <c r="P58" i="6"/>
  <c r="P200" i="7" s="1"/>
  <c r="D172" i="4"/>
  <c r="D59" i="6"/>
  <c r="D201" i="7" s="1"/>
  <c r="T172" i="4"/>
  <c r="T59" i="6"/>
  <c r="T201" i="7" s="1"/>
  <c r="H173" i="4"/>
  <c r="H60" i="6"/>
  <c r="H202" i="7" s="1"/>
  <c r="P173" i="4"/>
  <c r="P60" i="6"/>
  <c r="P202" i="7" s="1"/>
  <c r="D174" i="4"/>
  <c r="D61" i="6"/>
  <c r="D203" i="7" s="1"/>
  <c r="T174" i="4"/>
  <c r="T61" i="6"/>
  <c r="T203" i="7" s="1"/>
  <c r="H175" i="4"/>
  <c r="H62" i="6"/>
  <c r="P175" i="4"/>
  <c r="P62" i="6"/>
  <c r="P204" i="7" s="1"/>
  <c r="D176" i="4"/>
  <c r="D63" i="6"/>
  <c r="T176" i="4"/>
  <c r="T63" i="6"/>
  <c r="H40" i="4"/>
  <c r="H64" i="6" s="1"/>
  <c r="H178" i="4"/>
  <c r="H65" i="6"/>
  <c r="H207" i="7" s="1"/>
  <c r="P40" i="4"/>
  <c r="P178" i="4"/>
  <c r="P65" i="6"/>
  <c r="P207" i="7" s="1"/>
  <c r="D179" i="4"/>
  <c r="D66" i="6"/>
  <c r="D208" i="7" s="1"/>
  <c r="T179" i="4"/>
  <c r="T66" i="6"/>
  <c r="T208" i="7" s="1"/>
  <c r="H180" i="4"/>
  <c r="H67" i="6"/>
  <c r="H209" i="7" s="1"/>
  <c r="P180" i="4"/>
  <c r="P67" i="6"/>
  <c r="P209" i="7" s="1"/>
  <c r="D181" i="4"/>
  <c r="D68" i="6"/>
  <c r="D210" i="7" s="1"/>
  <c r="T181" i="4"/>
  <c r="T68" i="6"/>
  <c r="T210" i="7" s="1"/>
  <c r="H182" i="4"/>
  <c r="H69" i="6"/>
  <c r="H75" i="5"/>
  <c r="H130" i="7" s="1"/>
  <c r="P182" i="4"/>
  <c r="P69" i="6"/>
  <c r="C185" i="4"/>
  <c r="C72" i="6"/>
  <c r="C214" i="7" s="1"/>
  <c r="K47" i="4"/>
  <c r="K185" i="4"/>
  <c r="K72" i="6"/>
  <c r="K214" i="7" s="1"/>
  <c r="S21" i="4"/>
  <c r="S185" i="4"/>
  <c r="S72" i="6"/>
  <c r="S214" i="7" s="1"/>
  <c r="S78" i="5"/>
  <c r="S133" i="7" s="1"/>
  <c r="G186" i="4"/>
  <c r="G73" i="6"/>
  <c r="G215" i="7" s="1"/>
  <c r="O22" i="4"/>
  <c r="O186" i="4"/>
  <c r="O73" i="6"/>
  <c r="O215" i="7" s="1"/>
  <c r="O79" i="5"/>
  <c r="O134" i="7" s="1"/>
  <c r="C187" i="4"/>
  <c r="C74" i="6"/>
  <c r="C216" i="7" s="1"/>
  <c r="K187" i="4"/>
  <c r="K74" i="6"/>
  <c r="K216" i="7" s="1"/>
  <c r="S23" i="4"/>
  <c r="S187" i="4"/>
  <c r="S74" i="6"/>
  <c r="S216" i="7" s="1"/>
  <c r="S80" i="5"/>
  <c r="S135" i="7" s="1"/>
  <c r="G188" i="4"/>
  <c r="G75" i="6"/>
  <c r="G217" i="7" s="1"/>
  <c r="O24" i="4"/>
  <c r="O215" i="4" s="1"/>
  <c r="O188" i="4"/>
  <c r="O75" i="6"/>
  <c r="O217" i="7" s="1"/>
  <c r="O81" i="5"/>
  <c r="O136" i="7" s="1"/>
  <c r="C189" i="4"/>
  <c r="C76" i="6"/>
  <c r="K189" i="4"/>
  <c r="K76" i="6"/>
  <c r="S25" i="4"/>
  <c r="S103" i="6" s="1"/>
  <c r="S189" i="4"/>
  <c r="S76" i="6"/>
  <c r="S82" i="5"/>
  <c r="S137" i="7" s="1"/>
  <c r="E53" i="4"/>
  <c r="E191" i="4"/>
  <c r="E78" i="6"/>
  <c r="E220" i="7" s="1"/>
  <c r="M53" i="4"/>
  <c r="M191" i="4"/>
  <c r="M78" i="6"/>
  <c r="M220" i="7" s="1"/>
  <c r="U53" i="4"/>
  <c r="U191" i="4"/>
  <c r="U78" i="6"/>
  <c r="U220" i="7" s="1"/>
  <c r="I192" i="4"/>
  <c r="I79" i="6"/>
  <c r="I221" i="7" s="1"/>
  <c r="Q192" i="4"/>
  <c r="Q79" i="6"/>
  <c r="Q221" i="7" s="1"/>
  <c r="I60" i="4"/>
  <c r="I6" i="7" s="1"/>
  <c r="C60" i="4"/>
  <c r="C6" i="7" s="1"/>
  <c r="C7" i="7"/>
  <c r="K60" i="4"/>
  <c r="K58" i="4" s="1"/>
  <c r="K4" i="7" s="1"/>
  <c r="K7" i="7"/>
  <c r="T60" i="4"/>
  <c r="T6" i="7" s="1"/>
  <c r="T7" i="7"/>
  <c r="C123" i="7"/>
  <c r="C204" i="7"/>
  <c r="C11" i="7"/>
  <c r="C67" i="4"/>
  <c r="C13" i="7" s="1"/>
  <c r="Q67" i="4"/>
  <c r="O74" i="4"/>
  <c r="E74" i="4"/>
  <c r="E125" i="6" s="1"/>
  <c r="E21" i="7"/>
  <c r="N74" i="4"/>
  <c r="N184" i="4" s="1"/>
  <c r="N21" i="7"/>
  <c r="V74" i="4"/>
  <c r="V21" i="7"/>
  <c r="B80" i="4"/>
  <c r="B26" i="7" s="1"/>
  <c r="B27" i="7"/>
  <c r="J80" i="4"/>
  <c r="J26" i="7" s="1"/>
  <c r="J27" i="7"/>
  <c r="S80" i="4"/>
  <c r="S26" i="7" s="1"/>
  <c r="S27" i="7"/>
  <c r="C107" i="4"/>
  <c r="N114" i="4"/>
  <c r="N33" i="7" s="1"/>
  <c r="G121" i="4"/>
  <c r="G40" i="7" s="1"/>
  <c r="S121" i="4"/>
  <c r="S40" i="7" s="1"/>
  <c r="M128" i="4"/>
  <c r="M127" i="4" s="1"/>
  <c r="M46" i="7" s="1"/>
  <c r="D54" i="7"/>
  <c r="D134" i="4"/>
  <c r="D53" i="7" s="1"/>
  <c r="M5" i="4"/>
  <c r="M89" i="5" s="1"/>
  <c r="U5" i="4"/>
  <c r="Q14" i="4"/>
  <c r="D15" i="4"/>
  <c r="Q16" i="4"/>
  <c r="Q207" i="4" s="1"/>
  <c r="D17" i="4"/>
  <c r="J4" i="5"/>
  <c r="H116" i="5"/>
  <c r="H62" i="5"/>
  <c r="H117" i="7" s="1"/>
  <c r="Q18" i="5"/>
  <c r="Q116" i="5"/>
  <c r="Q62" i="5"/>
  <c r="Q117" i="7" s="1"/>
  <c r="H132" i="5"/>
  <c r="H78" i="5"/>
  <c r="H133" i="7" s="1"/>
  <c r="Q132" i="5"/>
  <c r="Q43" i="5"/>
  <c r="Q77" i="5" s="1"/>
  <c r="Q132" i="7" s="1"/>
  <c r="Q78" i="5"/>
  <c r="Q133" i="7" s="1"/>
  <c r="H133" i="5"/>
  <c r="H79" i="5"/>
  <c r="H134" i="7" s="1"/>
  <c r="Q133" i="5"/>
  <c r="Q79" i="5"/>
  <c r="Q134" i="7" s="1"/>
  <c r="H134" i="5"/>
  <c r="H80" i="5"/>
  <c r="H135" i="7" s="1"/>
  <c r="Q134" i="5"/>
  <c r="Q80" i="5"/>
  <c r="Q135" i="7" s="1"/>
  <c r="D135" i="5"/>
  <c r="D81" i="5"/>
  <c r="D136" i="7" s="1"/>
  <c r="M135" i="5"/>
  <c r="M81" i="5"/>
  <c r="M136" i="7" s="1"/>
  <c r="U135" i="5"/>
  <c r="U81" i="5"/>
  <c r="U136" i="7" s="1"/>
  <c r="D136" i="5"/>
  <c r="D82" i="5"/>
  <c r="D137" i="7" s="1"/>
  <c r="M136" i="5"/>
  <c r="M82" i="5"/>
  <c r="M137" i="7" s="1"/>
  <c r="U136" i="5"/>
  <c r="U82" i="5"/>
  <c r="U137" i="7" s="1"/>
  <c r="R137" i="5"/>
  <c r="S65" i="5"/>
  <c r="S120" i="7" s="1"/>
  <c r="B179" i="4"/>
  <c r="B66" i="6"/>
  <c r="B208" i="7" s="1"/>
  <c r="K169" i="4"/>
  <c r="K56" i="6"/>
  <c r="K198" i="7" s="1"/>
  <c r="I171" i="4"/>
  <c r="I58" i="6"/>
  <c r="I200" i="7" s="1"/>
  <c r="Q173" i="4"/>
  <c r="Q60" i="6"/>
  <c r="Q202" i="7" s="1"/>
  <c r="Q175" i="4"/>
  <c r="Q62" i="6"/>
  <c r="Q204" i="7" s="1"/>
  <c r="U179" i="4"/>
  <c r="U66" i="6"/>
  <c r="U208" i="7" s="1"/>
  <c r="U72" i="5"/>
  <c r="U127" i="7" s="1"/>
  <c r="U181" i="4"/>
  <c r="U68" i="6"/>
  <c r="U210" i="7" s="1"/>
  <c r="L47" i="4"/>
  <c r="D189" i="4"/>
  <c r="D76" i="6"/>
  <c r="T189" i="4"/>
  <c r="T76" i="6"/>
  <c r="F191" i="4"/>
  <c r="F78" i="6"/>
  <c r="F220" i="7" s="1"/>
  <c r="F84" i="5"/>
  <c r="F139" i="7" s="1"/>
  <c r="N191" i="4"/>
  <c r="N78" i="6"/>
  <c r="N220" i="7" s="1"/>
  <c r="V191" i="4"/>
  <c r="V78" i="6"/>
  <c r="V220" i="7" s="1"/>
  <c r="K5" i="7"/>
  <c r="T5" i="7"/>
  <c r="M60" i="4"/>
  <c r="M6" i="7" s="1"/>
  <c r="D123" i="7"/>
  <c r="D204" i="7"/>
  <c r="D11" i="7"/>
  <c r="S67" i="4"/>
  <c r="S13" i="7" s="1"/>
  <c r="F67" i="4"/>
  <c r="F14" i="7"/>
  <c r="O67" i="4"/>
  <c r="O58" i="4" s="1"/>
  <c r="O14" i="7"/>
  <c r="C80" i="4"/>
  <c r="C26" i="7" s="1"/>
  <c r="C27" i="7"/>
  <c r="K80" i="4"/>
  <c r="K26" i="7" s="1"/>
  <c r="K27" i="7"/>
  <c r="T80" i="4"/>
  <c r="T26" i="7" s="1"/>
  <c r="T27" i="7"/>
  <c r="N134" i="4"/>
  <c r="N53" i="7" s="1"/>
  <c r="E10" i="4"/>
  <c r="E201" i="4" s="1"/>
  <c r="C257" i="4"/>
  <c r="I116" i="5"/>
  <c r="I62" i="5"/>
  <c r="I117" i="7" s="1"/>
  <c r="R18" i="5"/>
  <c r="R61" i="5" s="1"/>
  <c r="R116" i="5"/>
  <c r="R62" i="5"/>
  <c r="R117" i="7" s="1"/>
  <c r="C118" i="5"/>
  <c r="C64" i="5"/>
  <c r="C119" i="7" s="1"/>
  <c r="K118" i="5"/>
  <c r="K64" i="5"/>
  <c r="K119" i="7" s="1"/>
  <c r="T118" i="5"/>
  <c r="T64" i="5"/>
  <c r="T119" i="7" s="1"/>
  <c r="C119" i="5"/>
  <c r="C65" i="5"/>
  <c r="C120" i="7" s="1"/>
  <c r="K119" i="5"/>
  <c r="K65" i="5"/>
  <c r="K120" i="7" s="1"/>
  <c r="T119" i="5"/>
  <c r="T65" i="5"/>
  <c r="T120" i="7" s="1"/>
  <c r="C120" i="5"/>
  <c r="C66" i="5"/>
  <c r="C121" i="7" s="1"/>
  <c r="K120" i="5"/>
  <c r="K66" i="5"/>
  <c r="K121" i="7" s="1"/>
  <c r="T120" i="5"/>
  <c r="T66" i="5"/>
  <c r="T121" i="7" s="1"/>
  <c r="B125" i="5"/>
  <c r="B71" i="5"/>
  <c r="B126" i="7" s="1"/>
  <c r="J125" i="5"/>
  <c r="J71" i="5"/>
  <c r="J126" i="7" s="1"/>
  <c r="S125" i="5"/>
  <c r="S71" i="5"/>
  <c r="S126" i="7" s="1"/>
  <c r="S33" i="5"/>
  <c r="B126" i="5"/>
  <c r="B72" i="5"/>
  <c r="B127" i="7" s="1"/>
  <c r="J126" i="5"/>
  <c r="J72" i="5"/>
  <c r="J127" i="7" s="1"/>
  <c r="S126" i="5"/>
  <c r="S72" i="5"/>
  <c r="S127" i="7" s="1"/>
  <c r="B127" i="5"/>
  <c r="B73" i="5"/>
  <c r="B128" i="7" s="1"/>
  <c r="J127" i="5"/>
  <c r="J73" i="5"/>
  <c r="J128" i="7" s="1"/>
  <c r="S127" i="5"/>
  <c r="S73" i="5"/>
  <c r="S128" i="7" s="1"/>
  <c r="F128" i="5"/>
  <c r="F74" i="5"/>
  <c r="F129" i="7" s="1"/>
  <c r="O128" i="5"/>
  <c r="O74" i="5"/>
  <c r="O129" i="7" s="1"/>
  <c r="F129" i="5"/>
  <c r="F75" i="5"/>
  <c r="F130" i="7" s="1"/>
  <c r="O129" i="5"/>
  <c r="O75" i="5"/>
  <c r="O130" i="7" s="1"/>
  <c r="V131" i="5"/>
  <c r="I132" i="5"/>
  <c r="I78" i="5"/>
  <c r="I133" i="7" s="1"/>
  <c r="I43" i="5"/>
  <c r="I77" i="5" s="1"/>
  <c r="I132" i="7" s="1"/>
  <c r="R132" i="5"/>
  <c r="R78" i="5"/>
  <c r="R133" i="7" s="1"/>
  <c r="I133" i="5"/>
  <c r="I79" i="5"/>
  <c r="I134" i="7" s="1"/>
  <c r="R133" i="5"/>
  <c r="I134" i="5"/>
  <c r="I80" i="5"/>
  <c r="I135" i="7" s="1"/>
  <c r="R134" i="5"/>
  <c r="R80" i="5"/>
  <c r="R135" i="7" s="1"/>
  <c r="E135" i="5"/>
  <c r="E81" i="5"/>
  <c r="E136" i="7" s="1"/>
  <c r="N135" i="5"/>
  <c r="N81" i="5"/>
  <c r="N136" i="7" s="1"/>
  <c r="N43" i="5"/>
  <c r="V135" i="5"/>
  <c r="V81" i="5"/>
  <c r="V136" i="7" s="1"/>
  <c r="E136" i="5"/>
  <c r="N136" i="5"/>
  <c r="N82" i="5"/>
  <c r="N137" i="7" s="1"/>
  <c r="V136" i="5"/>
  <c r="V82" i="5"/>
  <c r="V137" i="7" s="1"/>
  <c r="B52" i="5"/>
  <c r="B138" i="5"/>
  <c r="B84" i="5"/>
  <c r="B139" i="7" s="1"/>
  <c r="J52" i="5"/>
  <c r="J138" i="5"/>
  <c r="J84" i="5"/>
  <c r="J139" i="7" s="1"/>
  <c r="S52" i="5"/>
  <c r="S138" i="5"/>
  <c r="S84" i="5"/>
  <c r="S139" i="7" s="1"/>
  <c r="B139" i="5"/>
  <c r="B85" i="5"/>
  <c r="B140" i="7" s="1"/>
  <c r="S85" i="5"/>
  <c r="S140" i="7" s="1"/>
  <c r="B171" i="4"/>
  <c r="B58" i="6"/>
  <c r="B200" i="7" s="1"/>
  <c r="S169" i="4"/>
  <c r="S56" i="6"/>
  <c r="S198" i="7" s="1"/>
  <c r="S62" i="5"/>
  <c r="S117" i="7" s="1"/>
  <c r="Q171" i="4"/>
  <c r="Q58" i="6"/>
  <c r="Q200" i="7" s="1"/>
  <c r="I173" i="4"/>
  <c r="I60" i="6"/>
  <c r="I202" i="7" s="1"/>
  <c r="M174" i="4"/>
  <c r="M61" i="6"/>
  <c r="M203" i="7" s="1"/>
  <c r="E176" i="4"/>
  <c r="E63" i="6"/>
  <c r="U176" i="4"/>
  <c r="U63" i="6"/>
  <c r="E179" i="4"/>
  <c r="E66" i="6"/>
  <c r="E208" i="7" s="1"/>
  <c r="Q180" i="4"/>
  <c r="Q67" i="6"/>
  <c r="Q209" i="7" s="1"/>
  <c r="I182" i="4"/>
  <c r="I69" i="6"/>
  <c r="D47" i="4"/>
  <c r="D185" i="4"/>
  <c r="D72" i="6"/>
  <c r="D214" i="7" s="1"/>
  <c r="D78" i="5"/>
  <c r="D133" i="7" s="1"/>
  <c r="H186" i="4"/>
  <c r="H73" i="6"/>
  <c r="H215" i="7" s="1"/>
  <c r="D187" i="4"/>
  <c r="D74" i="6"/>
  <c r="D216" i="7" s="1"/>
  <c r="D80" i="5"/>
  <c r="D135" i="7" s="1"/>
  <c r="P188" i="4"/>
  <c r="P75" i="6"/>
  <c r="P217" i="7" s="1"/>
  <c r="J192" i="4"/>
  <c r="J79" i="6"/>
  <c r="J221" i="7" s="1"/>
  <c r="Q9" i="4"/>
  <c r="Q200" i="4" s="1"/>
  <c r="M16" i="4"/>
  <c r="M207" i="4" s="1"/>
  <c r="N27" i="4"/>
  <c r="B24" i="4"/>
  <c r="B215" i="4" s="1"/>
  <c r="B188" i="4"/>
  <c r="B75" i="6"/>
  <c r="B217" i="7" s="1"/>
  <c r="D169" i="4"/>
  <c r="D56" i="6"/>
  <c r="D198" i="7" s="1"/>
  <c r="D62" i="5"/>
  <c r="D117" i="7" s="1"/>
  <c r="R171" i="4"/>
  <c r="R58" i="6"/>
  <c r="R200" i="7" s="1"/>
  <c r="V172" i="4"/>
  <c r="V59" i="6"/>
  <c r="V201" i="7" s="1"/>
  <c r="J173" i="4"/>
  <c r="J60" i="6"/>
  <c r="J202" i="7" s="1"/>
  <c r="F10" i="4"/>
  <c r="F201" i="4" s="1"/>
  <c r="F174" i="4"/>
  <c r="F61" i="6"/>
  <c r="F203" i="7" s="1"/>
  <c r="V174" i="4"/>
  <c r="V61" i="6"/>
  <c r="V203" i="7" s="1"/>
  <c r="J175" i="4"/>
  <c r="J62" i="6"/>
  <c r="J204" i="7" s="1"/>
  <c r="R175" i="4"/>
  <c r="R62" i="6"/>
  <c r="R204" i="7" s="1"/>
  <c r="F12" i="4"/>
  <c r="F203" i="4" s="1"/>
  <c r="F176" i="4"/>
  <c r="F63" i="6"/>
  <c r="N176" i="4"/>
  <c r="N63" i="6"/>
  <c r="V176" i="4"/>
  <c r="V63" i="6"/>
  <c r="R178" i="4"/>
  <c r="R65" i="6"/>
  <c r="R207" i="7" s="1"/>
  <c r="R71" i="5"/>
  <c r="R126" i="7" s="1"/>
  <c r="N179" i="4"/>
  <c r="N66" i="6"/>
  <c r="N208" i="7" s="1"/>
  <c r="N72" i="5"/>
  <c r="N127" i="7" s="1"/>
  <c r="V179" i="4"/>
  <c r="V66" i="6"/>
  <c r="V208" i="7" s="1"/>
  <c r="J180" i="4"/>
  <c r="J67" i="6"/>
  <c r="J209" i="7" s="1"/>
  <c r="R180" i="4"/>
  <c r="R67" i="6"/>
  <c r="R209" i="7" s="1"/>
  <c r="F181" i="4"/>
  <c r="F68" i="6"/>
  <c r="F210" i="7" s="1"/>
  <c r="N181" i="4"/>
  <c r="N68" i="6"/>
  <c r="N210" i="7" s="1"/>
  <c r="V181" i="4"/>
  <c r="V68" i="6"/>
  <c r="V210" i="7" s="1"/>
  <c r="V74" i="5"/>
  <c r="V129" i="7" s="1"/>
  <c r="J182" i="4"/>
  <c r="J69" i="6"/>
  <c r="R182" i="4"/>
  <c r="R69" i="6"/>
  <c r="R75" i="5"/>
  <c r="R130" i="7" s="1"/>
  <c r="E47" i="4"/>
  <c r="E184" i="4" s="1"/>
  <c r="E185" i="4"/>
  <c r="E72" i="6"/>
  <c r="E214" i="7" s="1"/>
  <c r="M185" i="4"/>
  <c r="M72" i="6"/>
  <c r="M214" i="7" s="1"/>
  <c r="M78" i="5"/>
  <c r="M133" i="7" s="1"/>
  <c r="U185" i="4"/>
  <c r="U72" i="6"/>
  <c r="U214" i="7" s="1"/>
  <c r="U78" i="5"/>
  <c r="U133" i="7" s="1"/>
  <c r="I186" i="4"/>
  <c r="I73" i="6"/>
  <c r="I215" i="7" s="1"/>
  <c r="Q186" i="4"/>
  <c r="Q73" i="6"/>
  <c r="Q215" i="7" s="1"/>
  <c r="E187" i="4"/>
  <c r="E74" i="6"/>
  <c r="E216" i="7" s="1"/>
  <c r="E80" i="5"/>
  <c r="E135" i="7" s="1"/>
  <c r="M187" i="4"/>
  <c r="M74" i="6"/>
  <c r="M216" i="7" s="1"/>
  <c r="M80" i="5"/>
  <c r="M135" i="7" s="1"/>
  <c r="U187" i="4"/>
  <c r="U74" i="6"/>
  <c r="U216" i="7" s="1"/>
  <c r="U80" i="5"/>
  <c r="U135" i="7" s="1"/>
  <c r="I188" i="4"/>
  <c r="I75" i="6"/>
  <c r="I217" i="7" s="1"/>
  <c r="Q188" i="4"/>
  <c r="Q75" i="6"/>
  <c r="Q217" i="7" s="1"/>
  <c r="Q81" i="5"/>
  <c r="Q136" i="7" s="1"/>
  <c r="E189" i="4"/>
  <c r="E76" i="6"/>
  <c r="M189" i="4"/>
  <c r="M76" i="6"/>
  <c r="U189" i="4"/>
  <c r="U76" i="6"/>
  <c r="G191" i="4"/>
  <c r="G78" i="6"/>
  <c r="G220" i="7" s="1"/>
  <c r="O191" i="4"/>
  <c r="O78" i="6"/>
  <c r="O220" i="7" s="1"/>
  <c r="O84" i="5"/>
  <c r="O139" i="7" s="1"/>
  <c r="C192" i="4"/>
  <c r="C79" i="6"/>
  <c r="C221" i="7" s="1"/>
  <c r="K192" i="4"/>
  <c r="K79" i="6"/>
  <c r="K221" i="7" s="1"/>
  <c r="S192" i="4"/>
  <c r="S79" i="6"/>
  <c r="S221" i="7" s="1"/>
  <c r="E60" i="4"/>
  <c r="E6" i="7" s="1"/>
  <c r="E7" i="7"/>
  <c r="N60" i="4"/>
  <c r="N6" i="7" s="1"/>
  <c r="N7" i="7"/>
  <c r="V60" i="4"/>
  <c r="V6" i="7" s="1"/>
  <c r="V7" i="7"/>
  <c r="E204" i="7"/>
  <c r="E123" i="7"/>
  <c r="E11" i="7"/>
  <c r="T67" i="4"/>
  <c r="T13" i="7" s="1"/>
  <c r="G67" i="4"/>
  <c r="G118" i="6" s="1"/>
  <c r="G14" i="7"/>
  <c r="P67" i="4"/>
  <c r="P118" i="6" s="1"/>
  <c r="P14" i="7"/>
  <c r="G80" i="4"/>
  <c r="G26" i="7" s="1"/>
  <c r="D80" i="4"/>
  <c r="D27" i="7"/>
  <c r="M80" i="4"/>
  <c r="M27" i="7"/>
  <c r="U80" i="4"/>
  <c r="U137" i="5" s="1"/>
  <c r="U27" i="7"/>
  <c r="I121" i="4"/>
  <c r="I40" i="7" s="1"/>
  <c r="O134" i="4"/>
  <c r="O53" i="7" s="1"/>
  <c r="D257" i="4"/>
  <c r="D5" i="5"/>
  <c r="D4" i="5" s="1"/>
  <c r="D50" i="6"/>
  <c r="M5" i="5"/>
  <c r="M4" i="5" s="1"/>
  <c r="M50" i="6"/>
  <c r="U5" i="5"/>
  <c r="U4" i="5" s="1"/>
  <c r="U50" i="6"/>
  <c r="C21" i="5"/>
  <c r="D64" i="5"/>
  <c r="D119" i="7" s="1"/>
  <c r="U64" i="5"/>
  <c r="U119" i="7" s="1"/>
  <c r="M66" i="5"/>
  <c r="M121" i="7" s="1"/>
  <c r="H67" i="5"/>
  <c r="H122" i="7" s="1"/>
  <c r="C125" i="5"/>
  <c r="C33" i="5"/>
  <c r="C71" i="5"/>
  <c r="C126" i="7" s="1"/>
  <c r="K125" i="5"/>
  <c r="K71" i="5"/>
  <c r="K126" i="7" s="1"/>
  <c r="K33" i="5"/>
  <c r="T125" i="5"/>
  <c r="T33" i="5"/>
  <c r="T70" i="5" s="1"/>
  <c r="T71" i="5"/>
  <c r="T126" i="7" s="1"/>
  <c r="C126" i="5"/>
  <c r="C72" i="5"/>
  <c r="C127" i="7" s="1"/>
  <c r="K126" i="5"/>
  <c r="K72" i="5"/>
  <c r="K127" i="7" s="1"/>
  <c r="T126" i="5"/>
  <c r="T72" i="5"/>
  <c r="T127" i="7" s="1"/>
  <c r="C127" i="5"/>
  <c r="C73" i="5"/>
  <c r="C128" i="7" s="1"/>
  <c r="K127" i="5"/>
  <c r="K73" i="5"/>
  <c r="K128" i="7" s="1"/>
  <c r="T127" i="5"/>
  <c r="T73" i="5"/>
  <c r="T128" i="7" s="1"/>
  <c r="G128" i="5"/>
  <c r="G74" i="5"/>
  <c r="G129" i="7" s="1"/>
  <c r="P128" i="5"/>
  <c r="P74" i="5"/>
  <c r="P129" i="7" s="1"/>
  <c r="G129" i="5"/>
  <c r="G75" i="5"/>
  <c r="G130" i="7" s="1"/>
  <c r="P129" i="5"/>
  <c r="P75" i="5"/>
  <c r="P130" i="7" s="1"/>
  <c r="J62" i="5"/>
  <c r="J117" i="7" s="1"/>
  <c r="O66" i="5"/>
  <c r="O121" i="7" s="1"/>
  <c r="R79" i="5"/>
  <c r="R134" i="7" s="1"/>
  <c r="B10" i="4"/>
  <c r="B94" i="5" s="1"/>
  <c r="B174" i="4"/>
  <c r="B61" i="6"/>
  <c r="B203" i="7" s="1"/>
  <c r="I172" i="4"/>
  <c r="I59" i="6"/>
  <c r="I201" i="7" s="1"/>
  <c r="C169" i="4"/>
  <c r="C56" i="6"/>
  <c r="C198" i="7" s="1"/>
  <c r="U33" i="4"/>
  <c r="U31" i="4" s="1"/>
  <c r="U261" i="4" s="1"/>
  <c r="M172" i="4"/>
  <c r="M59" i="6"/>
  <c r="M201" i="7" s="1"/>
  <c r="E174" i="4"/>
  <c r="E61" i="6"/>
  <c r="E203" i="7" s="1"/>
  <c r="I175" i="4"/>
  <c r="I62" i="6"/>
  <c r="I256" i="4"/>
  <c r="M176" i="4"/>
  <c r="M63" i="6"/>
  <c r="I178" i="4"/>
  <c r="I65" i="6"/>
  <c r="I207" i="7" s="1"/>
  <c r="M179" i="4"/>
  <c r="M66" i="6"/>
  <c r="M208" i="7" s="1"/>
  <c r="M72" i="5"/>
  <c r="M127" i="7" s="1"/>
  <c r="E181" i="4"/>
  <c r="E68" i="6"/>
  <c r="E210" i="7" s="1"/>
  <c r="E74" i="5"/>
  <c r="E129" i="7" s="1"/>
  <c r="Q182" i="4"/>
  <c r="Q69" i="6"/>
  <c r="Q75" i="5"/>
  <c r="Q130" i="7" s="1"/>
  <c r="P186" i="4"/>
  <c r="P73" i="6"/>
  <c r="P215" i="7" s="1"/>
  <c r="H188" i="4"/>
  <c r="H75" i="6"/>
  <c r="H217" i="7" s="1"/>
  <c r="H81" i="5"/>
  <c r="H136" i="7" s="1"/>
  <c r="C58" i="4"/>
  <c r="C4" i="7" s="1"/>
  <c r="C5" i="7"/>
  <c r="M15" i="4"/>
  <c r="N28" i="4"/>
  <c r="I15" i="4"/>
  <c r="B47" i="4"/>
  <c r="B46" i="4" s="1"/>
  <c r="B186" i="4"/>
  <c r="B73" i="6"/>
  <c r="B215" i="7" s="1"/>
  <c r="T169" i="4"/>
  <c r="T56" i="6"/>
  <c r="T198" i="7" s="1"/>
  <c r="J171" i="4"/>
  <c r="J58" i="6"/>
  <c r="J200" i="7" s="1"/>
  <c r="F172" i="4"/>
  <c r="F59" i="6"/>
  <c r="F201" i="7" s="1"/>
  <c r="R173" i="4"/>
  <c r="R60" i="6"/>
  <c r="R202" i="7" s="1"/>
  <c r="J14" i="4"/>
  <c r="J178" i="4"/>
  <c r="J65" i="6"/>
  <c r="J207" i="7" s="1"/>
  <c r="R9" i="4"/>
  <c r="M14" i="4"/>
  <c r="E17" i="4"/>
  <c r="E208" i="4" s="1"/>
  <c r="E18" i="4"/>
  <c r="E102" i="5" s="1"/>
  <c r="D22" i="4"/>
  <c r="D213" i="4" s="1"/>
  <c r="I24" i="4"/>
  <c r="F27" i="4"/>
  <c r="F105" i="6" s="1"/>
  <c r="B173" i="4"/>
  <c r="B60" i="6"/>
  <c r="B202" i="7" s="1"/>
  <c r="I11" i="4"/>
  <c r="I229" i="4" s="1"/>
  <c r="B180" i="4"/>
  <c r="B67" i="6"/>
  <c r="B209" i="7" s="1"/>
  <c r="E169" i="4"/>
  <c r="E56" i="6"/>
  <c r="E198" i="7" s="1"/>
  <c r="M169" i="4"/>
  <c r="M56" i="6"/>
  <c r="M198" i="7" s="1"/>
  <c r="M62" i="5"/>
  <c r="M117" i="7" s="1"/>
  <c r="U169" i="4"/>
  <c r="U56" i="6"/>
  <c r="U198" i="7" s="1"/>
  <c r="U62" i="5"/>
  <c r="U117" i="7" s="1"/>
  <c r="C33" i="4"/>
  <c r="C171" i="4"/>
  <c r="C58" i="6"/>
  <c r="C200" i="7" s="1"/>
  <c r="K171" i="4"/>
  <c r="K58" i="6"/>
  <c r="K200" i="7" s="1"/>
  <c r="S7" i="4"/>
  <c r="S171" i="4"/>
  <c r="S58" i="6"/>
  <c r="S200" i="7" s="1"/>
  <c r="G172" i="4"/>
  <c r="G59" i="6"/>
  <c r="G201" i="7" s="1"/>
  <c r="O8" i="4"/>
  <c r="O172" i="4"/>
  <c r="O59" i="6"/>
  <c r="O201" i="7" s="1"/>
  <c r="C173" i="4"/>
  <c r="C60" i="6"/>
  <c r="C202" i="7" s="1"/>
  <c r="K173" i="4"/>
  <c r="K60" i="6"/>
  <c r="K202" i="7" s="1"/>
  <c r="S9" i="4"/>
  <c r="S173" i="4"/>
  <c r="S60" i="6"/>
  <c r="S202" i="7" s="1"/>
  <c r="G174" i="4"/>
  <c r="G61" i="6"/>
  <c r="G203" i="7" s="1"/>
  <c r="O174" i="4"/>
  <c r="O61" i="6"/>
  <c r="O203" i="7" s="1"/>
  <c r="C11" i="4"/>
  <c r="C229" i="4" s="1"/>
  <c r="C175" i="4"/>
  <c r="C62" i="6"/>
  <c r="K175" i="4"/>
  <c r="K62" i="6"/>
  <c r="K204" i="7" s="1"/>
  <c r="S11" i="4"/>
  <c r="S175" i="4"/>
  <c r="S62" i="6"/>
  <c r="S204" i="7" s="1"/>
  <c r="G176" i="4"/>
  <c r="G63" i="6"/>
  <c r="O12" i="4"/>
  <c r="O203" i="4" s="1"/>
  <c r="O176" i="4"/>
  <c r="O63" i="6"/>
  <c r="C40" i="4"/>
  <c r="M40" i="4"/>
  <c r="C178" i="4"/>
  <c r="C65" i="6"/>
  <c r="C207" i="7" s="1"/>
  <c r="K178" i="4"/>
  <c r="K65" i="6"/>
  <c r="K207" i="7" s="1"/>
  <c r="S178" i="4"/>
  <c r="S65" i="6"/>
  <c r="S207" i="7" s="1"/>
  <c r="G179" i="4"/>
  <c r="G66" i="6"/>
  <c r="G208" i="7" s="1"/>
  <c r="O179" i="4"/>
  <c r="O66" i="6"/>
  <c r="O208" i="7" s="1"/>
  <c r="C180" i="4"/>
  <c r="C67" i="6"/>
  <c r="C209" i="7" s="1"/>
  <c r="K180" i="4"/>
  <c r="K67" i="6"/>
  <c r="K209" i="7" s="1"/>
  <c r="S180" i="4"/>
  <c r="S67" i="6"/>
  <c r="S209" i="7" s="1"/>
  <c r="G181" i="4"/>
  <c r="G68" i="6"/>
  <c r="G210" i="7" s="1"/>
  <c r="O181" i="4"/>
  <c r="O68" i="6"/>
  <c r="O210" i="7" s="1"/>
  <c r="C182" i="4"/>
  <c r="C69" i="6"/>
  <c r="K182" i="4"/>
  <c r="K69" i="6"/>
  <c r="S182" i="4"/>
  <c r="S69" i="6"/>
  <c r="F47" i="4"/>
  <c r="P47" i="4"/>
  <c r="F185" i="4"/>
  <c r="F72" i="6"/>
  <c r="F214" i="7" s="1"/>
  <c r="N185" i="4"/>
  <c r="N72" i="6"/>
  <c r="N214" i="7" s="1"/>
  <c r="N78" i="5"/>
  <c r="N133" i="7" s="1"/>
  <c r="V185" i="4"/>
  <c r="V72" i="6"/>
  <c r="V214" i="7" s="1"/>
  <c r="J186" i="4"/>
  <c r="J73" i="6"/>
  <c r="J215" i="7" s="1"/>
  <c r="R186" i="4"/>
  <c r="R73" i="6"/>
  <c r="R215" i="7" s="1"/>
  <c r="F187" i="4"/>
  <c r="F74" i="6"/>
  <c r="F216" i="7" s="1"/>
  <c r="N187" i="4"/>
  <c r="N74" i="6"/>
  <c r="N216" i="7" s="1"/>
  <c r="V187" i="4"/>
  <c r="V74" i="6"/>
  <c r="V216" i="7" s="1"/>
  <c r="V80" i="5"/>
  <c r="V135" i="7" s="1"/>
  <c r="J188" i="4"/>
  <c r="J75" i="6"/>
  <c r="J217" i="7" s="1"/>
  <c r="R188" i="4"/>
  <c r="R75" i="6"/>
  <c r="R217" i="7" s="1"/>
  <c r="R81" i="5"/>
  <c r="R136" i="7" s="1"/>
  <c r="F189" i="4"/>
  <c r="F76" i="6"/>
  <c r="N189" i="4"/>
  <c r="N76" i="6"/>
  <c r="V189" i="4"/>
  <c r="V76" i="6"/>
  <c r="H191" i="4"/>
  <c r="H78" i="6"/>
  <c r="H220" i="7" s="1"/>
  <c r="P191" i="4"/>
  <c r="P78" i="6"/>
  <c r="P220" i="7" s="1"/>
  <c r="D192" i="4"/>
  <c r="D79" i="6"/>
  <c r="D221" i="7" s="1"/>
  <c r="T192" i="4"/>
  <c r="T79" i="6"/>
  <c r="T221" i="7" s="1"/>
  <c r="F204" i="7"/>
  <c r="F123" i="7"/>
  <c r="F11" i="7"/>
  <c r="B124" i="7"/>
  <c r="B12" i="7"/>
  <c r="H67" i="4"/>
  <c r="U67" i="4"/>
  <c r="U13" i="7" s="1"/>
  <c r="F74" i="4"/>
  <c r="F73" i="4" s="1"/>
  <c r="F19" i="7" s="1"/>
  <c r="H80" i="4"/>
  <c r="H26" i="7" s="1"/>
  <c r="E80" i="4"/>
  <c r="E26" i="7" s="1"/>
  <c r="E27" i="7"/>
  <c r="N80" i="4"/>
  <c r="N26" i="7" s="1"/>
  <c r="N27" i="7"/>
  <c r="V80" i="4"/>
  <c r="V27" i="7"/>
  <c r="I80" i="4"/>
  <c r="I26" i="7" s="1"/>
  <c r="I28" i="7"/>
  <c r="C112" i="4"/>
  <c r="C31" i="7" s="1"/>
  <c r="H32" i="7"/>
  <c r="Q32" i="7"/>
  <c r="E114" i="4"/>
  <c r="E33" i="7" s="1"/>
  <c r="T114" i="4"/>
  <c r="T33" i="7" s="1"/>
  <c r="J121" i="4"/>
  <c r="J40" i="7" s="1"/>
  <c r="D128" i="4"/>
  <c r="C134" i="4"/>
  <c r="C53" i="7" s="1"/>
  <c r="T134" i="4"/>
  <c r="T53" i="7" s="1"/>
  <c r="P54" i="7"/>
  <c r="P134" i="4"/>
  <c r="P10" i="4"/>
  <c r="B256" i="4"/>
  <c r="G4" i="5"/>
  <c r="P4" i="5"/>
  <c r="C4" i="5"/>
  <c r="K4" i="5"/>
  <c r="K47" i="6" s="1"/>
  <c r="T4" i="5"/>
  <c r="T47" i="6" s="1"/>
  <c r="C116" i="5"/>
  <c r="C62" i="5"/>
  <c r="C117" i="7" s="1"/>
  <c r="K116" i="5"/>
  <c r="K62" i="5"/>
  <c r="K117" i="7" s="1"/>
  <c r="T18" i="5"/>
  <c r="T116" i="5"/>
  <c r="T62" i="5"/>
  <c r="T117" i="7" s="1"/>
  <c r="I21" i="5"/>
  <c r="I18" i="5" s="1"/>
  <c r="E21" i="5"/>
  <c r="E63" i="5" s="1"/>
  <c r="E118" i="5"/>
  <c r="E64" i="5"/>
  <c r="E119" i="7" s="1"/>
  <c r="N21" i="5"/>
  <c r="N118" i="5"/>
  <c r="N64" i="5"/>
  <c r="N119" i="7" s="1"/>
  <c r="V21" i="5"/>
  <c r="V118" i="5"/>
  <c r="V64" i="5"/>
  <c r="V119" i="7" s="1"/>
  <c r="E119" i="5"/>
  <c r="E65" i="5"/>
  <c r="E120" i="7" s="1"/>
  <c r="N119" i="5"/>
  <c r="V119" i="5"/>
  <c r="V65" i="5"/>
  <c r="V120" i="7" s="1"/>
  <c r="E120" i="5"/>
  <c r="E66" i="5"/>
  <c r="E121" i="7" s="1"/>
  <c r="N120" i="5"/>
  <c r="N66" i="5"/>
  <c r="N121" i="7" s="1"/>
  <c r="V120" i="5"/>
  <c r="V66" i="5"/>
  <c r="V121" i="7" s="1"/>
  <c r="I121" i="5"/>
  <c r="I67" i="5"/>
  <c r="I122" i="7" s="1"/>
  <c r="R121" i="5"/>
  <c r="R67" i="5"/>
  <c r="R122" i="7" s="1"/>
  <c r="I122" i="5"/>
  <c r="I149" i="5"/>
  <c r="I68" i="5"/>
  <c r="R122" i="5"/>
  <c r="E123" i="5"/>
  <c r="E69" i="5"/>
  <c r="E124" i="7" s="1"/>
  <c r="N123" i="5"/>
  <c r="V123" i="5"/>
  <c r="V69" i="5"/>
  <c r="V124" i="7" s="1"/>
  <c r="D33" i="5"/>
  <c r="D125" i="5"/>
  <c r="D71" i="5"/>
  <c r="D126" i="7" s="1"/>
  <c r="M33" i="5"/>
  <c r="M125" i="5"/>
  <c r="M71" i="5"/>
  <c r="M126" i="7" s="1"/>
  <c r="U33" i="5"/>
  <c r="U70" i="5" s="1"/>
  <c r="U125" i="5"/>
  <c r="U71" i="5"/>
  <c r="U126" i="7" s="1"/>
  <c r="D126" i="5"/>
  <c r="D72" i="5"/>
  <c r="D127" i="7" s="1"/>
  <c r="M126" i="5"/>
  <c r="D138" i="5"/>
  <c r="D84" i="5"/>
  <c r="D139" i="7" s="1"/>
  <c r="D52" i="5"/>
  <c r="M138" i="5"/>
  <c r="M52" i="5"/>
  <c r="M84" i="5"/>
  <c r="M139" i="7" s="1"/>
  <c r="U138" i="5"/>
  <c r="U84" i="5"/>
  <c r="U139" i="7" s="1"/>
  <c r="D139" i="5"/>
  <c r="D85" i="5"/>
  <c r="D140" i="7" s="1"/>
  <c r="M139" i="5"/>
  <c r="M85" i="5"/>
  <c r="M140" i="7" s="1"/>
  <c r="U139" i="5"/>
  <c r="U85" i="5"/>
  <c r="U140" i="7" s="1"/>
  <c r="E67" i="5"/>
  <c r="E122" i="7" s="1"/>
  <c r="E72" i="5"/>
  <c r="E127" i="7" s="1"/>
  <c r="N80" i="5"/>
  <c r="N135" i="7" s="1"/>
  <c r="M171" i="4"/>
  <c r="M58" i="6"/>
  <c r="M200" i="7" s="1"/>
  <c r="M64" i="5"/>
  <c r="M119" i="7" s="1"/>
  <c r="H23" i="4"/>
  <c r="I33" i="4"/>
  <c r="E172" i="4"/>
  <c r="E59" i="6"/>
  <c r="E201" i="7" s="1"/>
  <c r="U172" i="4"/>
  <c r="U59" i="6"/>
  <c r="U201" i="7" s="1"/>
  <c r="U174" i="4"/>
  <c r="U61" i="6"/>
  <c r="U203" i="7" s="1"/>
  <c r="Q178" i="4"/>
  <c r="Q65" i="6"/>
  <c r="Q207" i="7" s="1"/>
  <c r="I180" i="4"/>
  <c r="I67" i="6"/>
  <c r="I209" i="7" s="1"/>
  <c r="I73" i="5"/>
  <c r="I128" i="7" s="1"/>
  <c r="M181" i="4"/>
  <c r="M68" i="6"/>
  <c r="M210" i="7" s="1"/>
  <c r="T47" i="4"/>
  <c r="T71" i="6" s="1"/>
  <c r="T185" i="4"/>
  <c r="T72" i="6"/>
  <c r="T214" i="7" s="1"/>
  <c r="T187" i="4"/>
  <c r="T74" i="6"/>
  <c r="T216" i="7" s="1"/>
  <c r="R192" i="4"/>
  <c r="R79" i="6"/>
  <c r="R221" i="7" s="1"/>
  <c r="T22" i="4"/>
  <c r="T213" i="4" s="1"/>
  <c r="G5" i="4"/>
  <c r="G196" i="4" s="1"/>
  <c r="B169" i="4"/>
  <c r="B56" i="6"/>
  <c r="B198" i="7" s="1"/>
  <c r="B62" i="5"/>
  <c r="B117" i="7" s="1"/>
  <c r="B27" i="4"/>
  <c r="B218" i="4" s="1"/>
  <c r="B191" i="4"/>
  <c r="B78" i="6"/>
  <c r="B220" i="7" s="1"/>
  <c r="L5" i="4"/>
  <c r="N172" i="4"/>
  <c r="N59" i="6"/>
  <c r="N201" i="7" s="1"/>
  <c r="N174" i="4"/>
  <c r="N61" i="6"/>
  <c r="N203" i="7" s="1"/>
  <c r="F179" i="4"/>
  <c r="F66" i="6"/>
  <c r="F208" i="7" s="1"/>
  <c r="U10" i="4"/>
  <c r="N15" i="4"/>
  <c r="N99" i="5" s="1"/>
  <c r="Q7" i="4"/>
  <c r="Q198" i="4" s="1"/>
  <c r="V9" i="4"/>
  <c r="V10" i="4"/>
  <c r="M12" i="4"/>
  <c r="M90" i="6" s="1"/>
  <c r="N14" i="4"/>
  <c r="N205" i="4" s="1"/>
  <c r="R16" i="4"/>
  <c r="R207" i="4" s="1"/>
  <c r="Q17" i="4"/>
  <c r="U21" i="4"/>
  <c r="U105" i="5" s="1"/>
  <c r="S28" i="4"/>
  <c r="S112" i="5" s="1"/>
  <c r="B9" i="4"/>
  <c r="F11" i="4"/>
  <c r="F202" i="4" s="1"/>
  <c r="B16" i="4"/>
  <c r="B94" i="6" s="1"/>
  <c r="F17" i="4"/>
  <c r="F208" i="4" s="1"/>
  <c r="F18" i="4"/>
  <c r="F209" i="4" s="1"/>
  <c r="B28" i="4"/>
  <c r="B33" i="4"/>
  <c r="B12" i="4"/>
  <c r="B203" i="4" s="1"/>
  <c r="B176" i="4"/>
  <c r="B63" i="6"/>
  <c r="B181" i="4"/>
  <c r="B68" i="6"/>
  <c r="B210" i="7" s="1"/>
  <c r="J31" i="4"/>
  <c r="J262" i="4" s="1"/>
  <c r="F169" i="4"/>
  <c r="F56" i="6"/>
  <c r="F198" i="7" s="1"/>
  <c r="N169" i="4"/>
  <c r="N56" i="6"/>
  <c r="N198" i="7" s="1"/>
  <c r="V169" i="4"/>
  <c r="V56" i="6"/>
  <c r="V198" i="7" s="1"/>
  <c r="N33" i="4"/>
  <c r="N31" i="4" s="1"/>
  <c r="N252" i="4" s="1"/>
  <c r="D33" i="4"/>
  <c r="D171" i="4"/>
  <c r="D58" i="6"/>
  <c r="D200" i="7" s="1"/>
  <c r="L33" i="4"/>
  <c r="T171" i="4"/>
  <c r="T58" i="6"/>
  <c r="T200" i="7" s="1"/>
  <c r="H172" i="4"/>
  <c r="H59" i="6"/>
  <c r="H201" i="7" s="1"/>
  <c r="H65" i="5"/>
  <c r="H120" i="7" s="1"/>
  <c r="P172" i="4"/>
  <c r="P59" i="6"/>
  <c r="P201" i="7" s="1"/>
  <c r="D173" i="4"/>
  <c r="D60" i="6"/>
  <c r="D202" i="7" s="1"/>
  <c r="D66" i="5"/>
  <c r="D121" i="7" s="1"/>
  <c r="T173" i="4"/>
  <c r="T60" i="6"/>
  <c r="T202" i="7" s="1"/>
  <c r="H174" i="4"/>
  <c r="H61" i="6"/>
  <c r="H203" i="7" s="1"/>
  <c r="P174" i="4"/>
  <c r="P61" i="6"/>
  <c r="P203" i="7" s="1"/>
  <c r="D11" i="4"/>
  <c r="D175" i="4"/>
  <c r="D62" i="6"/>
  <c r="T175" i="4"/>
  <c r="T62" i="6"/>
  <c r="T204" i="7" s="1"/>
  <c r="H176" i="4"/>
  <c r="H63" i="6"/>
  <c r="H69" i="5"/>
  <c r="H124" i="7" s="1"/>
  <c r="P176" i="4"/>
  <c r="P63" i="6"/>
  <c r="D40" i="4"/>
  <c r="D177" i="4" s="1"/>
  <c r="D178" i="4"/>
  <c r="D65" i="6"/>
  <c r="D207" i="7" s="1"/>
  <c r="T178" i="4"/>
  <c r="T65" i="6"/>
  <c r="T207" i="7" s="1"/>
  <c r="H179" i="4"/>
  <c r="H66" i="6"/>
  <c r="H208" i="7" s="1"/>
  <c r="P179" i="4"/>
  <c r="P66" i="6"/>
  <c r="P208" i="7" s="1"/>
  <c r="D180" i="4"/>
  <c r="D67" i="6"/>
  <c r="D209" i="7" s="1"/>
  <c r="D73" i="5"/>
  <c r="D128" i="7" s="1"/>
  <c r="T180" i="4"/>
  <c r="T67" i="6"/>
  <c r="T209" i="7" s="1"/>
  <c r="H181" i="4"/>
  <c r="H68" i="6"/>
  <c r="H210" i="7" s="1"/>
  <c r="H74" i="5"/>
  <c r="H129" i="7" s="1"/>
  <c r="P181" i="4"/>
  <c r="P68" i="6"/>
  <c r="P210" i="7" s="1"/>
  <c r="D182" i="4"/>
  <c r="D69" i="6"/>
  <c r="T182" i="4"/>
  <c r="T69" i="6"/>
  <c r="G47" i="4"/>
  <c r="G71" i="6" s="1"/>
  <c r="G185" i="4"/>
  <c r="G72" i="6"/>
  <c r="G214" i="7" s="1"/>
  <c r="O185" i="4"/>
  <c r="O72" i="6"/>
  <c r="O214" i="7" s="1"/>
  <c r="C186" i="4"/>
  <c r="C73" i="6"/>
  <c r="C215" i="7" s="1"/>
  <c r="K186" i="4"/>
  <c r="K73" i="6"/>
  <c r="K215" i="7" s="1"/>
  <c r="S186" i="4"/>
  <c r="S73" i="6"/>
  <c r="S215" i="7" s="1"/>
  <c r="G187" i="4"/>
  <c r="G74" i="6"/>
  <c r="G216" i="7" s="1"/>
  <c r="O187" i="4"/>
  <c r="O74" i="6"/>
  <c r="O216" i="7" s="1"/>
  <c r="C188" i="4"/>
  <c r="C75" i="6"/>
  <c r="C217" i="7" s="1"/>
  <c r="K188" i="4"/>
  <c r="K75" i="6"/>
  <c r="K217" i="7" s="1"/>
  <c r="S188" i="4"/>
  <c r="S75" i="6"/>
  <c r="S217" i="7" s="1"/>
  <c r="G189" i="4"/>
  <c r="G76" i="6"/>
  <c r="O189" i="4"/>
  <c r="O76" i="6"/>
  <c r="F53" i="4"/>
  <c r="F190" i="4" s="1"/>
  <c r="I191" i="4"/>
  <c r="I78" i="6"/>
  <c r="I220" i="7" s="1"/>
  <c r="I84" i="5"/>
  <c r="I139" i="7" s="1"/>
  <c r="Q191" i="4"/>
  <c r="Q78" i="6"/>
  <c r="Q220" i="7" s="1"/>
  <c r="E192" i="4"/>
  <c r="E79" i="6"/>
  <c r="E221" i="7" s="1"/>
  <c r="E85" i="5"/>
  <c r="E140" i="7" s="1"/>
  <c r="M192" i="4"/>
  <c r="M79" i="6"/>
  <c r="M221" i="7" s="1"/>
  <c r="U192" i="4"/>
  <c r="U79" i="6"/>
  <c r="U221" i="7" s="1"/>
  <c r="D60" i="4"/>
  <c r="Q60" i="4"/>
  <c r="Q6" i="7" s="1"/>
  <c r="G204" i="7"/>
  <c r="G123" i="7"/>
  <c r="G11" i="7"/>
  <c r="C124" i="7"/>
  <c r="C12" i="7"/>
  <c r="J67" i="4"/>
  <c r="J13" i="7" s="1"/>
  <c r="V67" i="4"/>
  <c r="V13" i="7" s="1"/>
  <c r="I67" i="4"/>
  <c r="I14" i="7"/>
  <c r="R67" i="4"/>
  <c r="R124" i="5" s="1"/>
  <c r="R14" i="7"/>
  <c r="G74" i="4"/>
  <c r="G125" i="6" s="1"/>
  <c r="U74" i="4"/>
  <c r="U20" i="7" s="1"/>
  <c r="O80" i="4"/>
  <c r="O26" i="7" s="1"/>
  <c r="C87" i="4"/>
  <c r="C85" i="4" s="1"/>
  <c r="P112" i="4"/>
  <c r="P31" i="7" s="1"/>
  <c r="I32" i="7"/>
  <c r="R32" i="7"/>
  <c r="F114" i="4"/>
  <c r="F33" i="7" s="1"/>
  <c r="U114" i="4"/>
  <c r="U33" i="7" s="1"/>
  <c r="H114" i="4"/>
  <c r="H33" i="7" s="1"/>
  <c r="H34" i="7"/>
  <c r="Q114" i="4"/>
  <c r="Q34" i="7"/>
  <c r="K121" i="4"/>
  <c r="K40" i="7" s="1"/>
  <c r="D121" i="4"/>
  <c r="D112" i="4" s="1"/>
  <c r="D41" i="7"/>
  <c r="M121" i="4"/>
  <c r="M112" i="4" s="1"/>
  <c r="M41" i="7"/>
  <c r="U121" i="4"/>
  <c r="U40" i="7" s="1"/>
  <c r="U41" i="7"/>
  <c r="E128" i="4"/>
  <c r="T128" i="4"/>
  <c r="E134" i="4"/>
  <c r="E53" i="7" s="1"/>
  <c r="H134" i="4"/>
  <c r="H53" i="7" s="1"/>
  <c r="H54" i="7"/>
  <c r="Q134" i="4"/>
  <c r="Q53" i="7" s="1"/>
  <c r="Q54" i="7"/>
  <c r="M7" i="4"/>
  <c r="M198" i="4" s="1"/>
  <c r="U7" i="4"/>
  <c r="H8" i="4"/>
  <c r="H92" i="5" s="1"/>
  <c r="M9" i="4"/>
  <c r="M87" i="6" s="1"/>
  <c r="U9" i="4"/>
  <c r="Q10" i="4"/>
  <c r="Q201" i="4" s="1"/>
  <c r="U11" i="4"/>
  <c r="Q12" i="4"/>
  <c r="Q96" i="5" s="1"/>
  <c r="M27" i="4"/>
  <c r="M218" i="4" s="1"/>
  <c r="C256" i="4"/>
  <c r="K21" i="5"/>
  <c r="K18" i="5" s="1"/>
  <c r="F21" i="5"/>
  <c r="F63" i="5" s="1"/>
  <c r="F118" i="7" s="1"/>
  <c r="F118" i="5"/>
  <c r="O21" i="5"/>
  <c r="O63" i="5" s="1"/>
  <c r="O118" i="7" s="1"/>
  <c r="O118" i="5"/>
  <c r="O64" i="5"/>
  <c r="O119" i="7" s="1"/>
  <c r="F119" i="5"/>
  <c r="F65" i="5"/>
  <c r="F120" i="7" s="1"/>
  <c r="O119" i="5"/>
  <c r="O65" i="5"/>
  <c r="O120" i="7" s="1"/>
  <c r="F120" i="5"/>
  <c r="F66" i="5"/>
  <c r="F121" i="7" s="1"/>
  <c r="O120" i="5"/>
  <c r="B121" i="5"/>
  <c r="B21" i="5"/>
  <c r="B63" i="5" s="1"/>
  <c r="B67" i="5"/>
  <c r="B122" i="7" s="1"/>
  <c r="J121" i="5"/>
  <c r="J21" i="5"/>
  <c r="J63" i="5" s="1"/>
  <c r="S121" i="5"/>
  <c r="S21" i="5"/>
  <c r="S67" i="5"/>
  <c r="S122" i="7" s="1"/>
  <c r="B122" i="5"/>
  <c r="B149" i="5"/>
  <c r="B68" i="5"/>
  <c r="J122" i="5"/>
  <c r="J68" i="5"/>
  <c r="J123" i="7" s="1"/>
  <c r="S122" i="5"/>
  <c r="S68" i="5"/>
  <c r="S123" i="7" s="1"/>
  <c r="F123" i="5"/>
  <c r="F69" i="5"/>
  <c r="F124" i="7" s="1"/>
  <c r="O123" i="5"/>
  <c r="O69" i="5"/>
  <c r="O124" i="7" s="1"/>
  <c r="B33" i="5"/>
  <c r="F64" i="5"/>
  <c r="F119" i="7" s="1"/>
  <c r="J67" i="5"/>
  <c r="J122" i="7" s="1"/>
  <c r="V72" i="5"/>
  <c r="V127" i="7" s="1"/>
  <c r="I81" i="5"/>
  <c r="I136" i="7" s="1"/>
  <c r="Q49" i="6"/>
  <c r="O169" i="4"/>
  <c r="O56" i="6"/>
  <c r="O198" i="7" s="1"/>
  <c r="Q172" i="4"/>
  <c r="Q59" i="6"/>
  <c r="Q201" i="7" s="1"/>
  <c r="I174" i="4"/>
  <c r="I61" i="6"/>
  <c r="I203" i="7" s="1"/>
  <c r="U175" i="4"/>
  <c r="U62" i="6"/>
  <c r="U204" i="7" s="1"/>
  <c r="Q179" i="4"/>
  <c r="Q66" i="6"/>
  <c r="Q208" i="7" s="1"/>
  <c r="M182" i="4"/>
  <c r="M69" i="6"/>
  <c r="D188" i="4"/>
  <c r="D75" i="6"/>
  <c r="D217" i="7" s="1"/>
  <c r="H123" i="7"/>
  <c r="H204" i="7"/>
  <c r="H11" i="7"/>
  <c r="D124" i="7"/>
  <c r="D12" i="7"/>
  <c r="B74" i="4"/>
  <c r="B20" i="7" s="1"/>
  <c r="B21" i="7"/>
  <c r="J74" i="4"/>
  <c r="J20" i="7" s="1"/>
  <c r="J21" i="7"/>
  <c r="S74" i="4"/>
  <c r="S20" i="7" s="1"/>
  <c r="S21" i="7"/>
  <c r="I114" i="4"/>
  <c r="I33" i="7" s="1"/>
  <c r="I34" i="7"/>
  <c r="R114" i="4"/>
  <c r="R33" i="7" s="1"/>
  <c r="R34" i="7"/>
  <c r="E121" i="4"/>
  <c r="E40" i="7" s="1"/>
  <c r="E41" i="7"/>
  <c r="N121" i="4"/>
  <c r="N41" i="7"/>
  <c r="V121" i="4"/>
  <c r="V41" i="7"/>
  <c r="H128" i="4"/>
  <c r="H48" i="7"/>
  <c r="Q128" i="4"/>
  <c r="Q47" i="7" s="1"/>
  <c r="Q48" i="7"/>
  <c r="I134" i="4"/>
  <c r="I53" i="7" s="1"/>
  <c r="I54" i="7"/>
  <c r="R134" i="4"/>
  <c r="R53" i="7" s="1"/>
  <c r="R54" i="7"/>
  <c r="I8" i="4"/>
  <c r="I86" i="6" s="1"/>
  <c r="E9" i="4"/>
  <c r="E200" i="4" s="1"/>
  <c r="I10" i="4"/>
  <c r="I94" i="5" s="1"/>
  <c r="I23" i="4"/>
  <c r="D256" i="4"/>
  <c r="E116" i="5"/>
  <c r="N116" i="5"/>
  <c r="N62" i="5"/>
  <c r="N117" i="7" s="1"/>
  <c r="V116" i="5"/>
  <c r="Q117" i="5"/>
  <c r="G21" i="5"/>
  <c r="G118" i="5"/>
  <c r="G64" i="5"/>
  <c r="G119" i="7" s="1"/>
  <c r="P21" i="5"/>
  <c r="P63" i="5" s="1"/>
  <c r="P118" i="7" s="1"/>
  <c r="P118" i="5"/>
  <c r="P64" i="5"/>
  <c r="P119" i="7" s="1"/>
  <c r="G119" i="5"/>
  <c r="G65" i="5"/>
  <c r="G120" i="7" s="1"/>
  <c r="P119" i="5"/>
  <c r="P65" i="5"/>
  <c r="P120" i="7" s="1"/>
  <c r="G120" i="5"/>
  <c r="G66" i="5"/>
  <c r="G121" i="7" s="1"/>
  <c r="P120" i="5"/>
  <c r="P66" i="5"/>
  <c r="P121" i="7" s="1"/>
  <c r="C121" i="5"/>
  <c r="F33" i="5"/>
  <c r="F70" i="5" s="1"/>
  <c r="F125" i="7" s="1"/>
  <c r="F125" i="5"/>
  <c r="F71" i="5"/>
  <c r="F126" i="7" s="1"/>
  <c r="O33" i="5"/>
  <c r="O70" i="5" s="1"/>
  <c r="O125" i="7" s="1"/>
  <c r="O125" i="5"/>
  <c r="O71" i="5"/>
  <c r="O126" i="7" s="1"/>
  <c r="F126" i="5"/>
  <c r="F72" i="5"/>
  <c r="F127" i="7" s="1"/>
  <c r="O126" i="5"/>
  <c r="O72" i="5"/>
  <c r="O127" i="7" s="1"/>
  <c r="F127" i="5"/>
  <c r="F73" i="5"/>
  <c r="F128" i="7" s="1"/>
  <c r="O127" i="5"/>
  <c r="O73" i="5"/>
  <c r="O128" i="7" s="1"/>
  <c r="B128" i="5"/>
  <c r="B74" i="5"/>
  <c r="B129" i="7" s="1"/>
  <c r="J128" i="5"/>
  <c r="J74" i="5"/>
  <c r="J129" i="7" s="1"/>
  <c r="S128" i="5"/>
  <c r="S74" i="5"/>
  <c r="S129" i="7" s="1"/>
  <c r="B129" i="5"/>
  <c r="B75" i="5"/>
  <c r="B130" i="7" s="1"/>
  <c r="J129" i="5"/>
  <c r="J75" i="5"/>
  <c r="J130" i="7" s="1"/>
  <c r="S129" i="5"/>
  <c r="S75" i="5"/>
  <c r="S130" i="7" s="1"/>
  <c r="H131" i="5"/>
  <c r="R64" i="5"/>
  <c r="R119" i="7" s="1"/>
  <c r="V67" i="5"/>
  <c r="V122" i="7" s="1"/>
  <c r="R73" i="5"/>
  <c r="R128" i="7" s="1"/>
  <c r="E82" i="5"/>
  <c r="E137" i="7" s="1"/>
  <c r="E171" i="4"/>
  <c r="E58" i="6"/>
  <c r="E200" i="7" s="1"/>
  <c r="M173" i="4"/>
  <c r="M60" i="6"/>
  <c r="M202" i="7" s="1"/>
  <c r="E175" i="4"/>
  <c r="E62" i="6"/>
  <c r="E256" i="4"/>
  <c r="I176" i="4"/>
  <c r="I63" i="6"/>
  <c r="E178" i="4"/>
  <c r="E65" i="6"/>
  <c r="E207" i="7" s="1"/>
  <c r="U178" i="4"/>
  <c r="U65" i="6"/>
  <c r="U207" i="7" s="1"/>
  <c r="E180" i="4"/>
  <c r="E67" i="6"/>
  <c r="E209" i="7" s="1"/>
  <c r="I181" i="4"/>
  <c r="I68" i="6"/>
  <c r="I210" i="7" s="1"/>
  <c r="U182" i="4"/>
  <c r="U69" i="6"/>
  <c r="H185" i="4"/>
  <c r="H72" i="6"/>
  <c r="H214" i="7" s="1"/>
  <c r="P189" i="4"/>
  <c r="P76" i="6"/>
  <c r="R191" i="4"/>
  <c r="R78" i="6"/>
  <c r="R220" i="7" s="1"/>
  <c r="R84" i="5"/>
  <c r="R139" i="7" s="1"/>
  <c r="V192" i="4"/>
  <c r="V79" i="6"/>
  <c r="V221" i="7" s="1"/>
  <c r="V85" i="5"/>
  <c r="V140" i="7" s="1"/>
  <c r="Q15" i="4"/>
  <c r="Q206" i="4" s="1"/>
  <c r="E7" i="4"/>
  <c r="E198" i="4" s="1"/>
  <c r="V171" i="4"/>
  <c r="V58" i="6"/>
  <c r="V200" i="7" s="1"/>
  <c r="F173" i="4"/>
  <c r="F60" i="6"/>
  <c r="F202" i="7" s="1"/>
  <c r="J10" i="4"/>
  <c r="J201" i="4" s="1"/>
  <c r="J174" i="4"/>
  <c r="J61" i="6"/>
  <c r="J203" i="7" s="1"/>
  <c r="R174" i="4"/>
  <c r="R61" i="6"/>
  <c r="R203" i="7" s="1"/>
  <c r="R255" i="4"/>
  <c r="V175" i="4"/>
  <c r="V62" i="6"/>
  <c r="V204" i="7" s="1"/>
  <c r="F178" i="4"/>
  <c r="F65" i="6"/>
  <c r="F207" i="7" s="1"/>
  <c r="N178" i="4"/>
  <c r="N65" i="6"/>
  <c r="N207" i="7" s="1"/>
  <c r="V178" i="4"/>
  <c r="V65" i="6"/>
  <c r="V207" i="7" s="1"/>
  <c r="J179" i="4"/>
  <c r="J66" i="6"/>
  <c r="J208" i="7" s="1"/>
  <c r="R179" i="4"/>
  <c r="R66" i="6"/>
  <c r="R208" i="7" s="1"/>
  <c r="F16" i="4"/>
  <c r="F207" i="4" s="1"/>
  <c r="F180" i="4"/>
  <c r="F67" i="6"/>
  <c r="F209" i="7" s="1"/>
  <c r="N180" i="4"/>
  <c r="N67" i="6"/>
  <c r="N209" i="7" s="1"/>
  <c r="V180" i="4"/>
  <c r="V67" i="6"/>
  <c r="V209" i="7" s="1"/>
  <c r="R181" i="4"/>
  <c r="R68" i="6"/>
  <c r="R210" i="7" s="1"/>
  <c r="N182" i="4"/>
  <c r="N69" i="6"/>
  <c r="V182" i="4"/>
  <c r="V69" i="6"/>
  <c r="I185" i="4"/>
  <c r="I72" i="6"/>
  <c r="I214" i="7" s="1"/>
  <c r="Q185" i="4"/>
  <c r="Q72" i="6"/>
  <c r="Q214" i="7" s="1"/>
  <c r="E186" i="4"/>
  <c r="E73" i="6"/>
  <c r="E215" i="7" s="1"/>
  <c r="M186" i="4"/>
  <c r="M73" i="6"/>
  <c r="M215" i="7" s="1"/>
  <c r="M79" i="5"/>
  <c r="M134" i="7" s="1"/>
  <c r="U186" i="4"/>
  <c r="U73" i="6"/>
  <c r="U215" i="7" s="1"/>
  <c r="I187" i="4"/>
  <c r="I74" i="6"/>
  <c r="I216" i="7" s="1"/>
  <c r="Q187" i="4"/>
  <c r="Q74" i="6"/>
  <c r="Q216" i="7" s="1"/>
  <c r="E188" i="4"/>
  <c r="E75" i="6"/>
  <c r="E217" i="7" s="1"/>
  <c r="M188" i="4"/>
  <c r="M75" i="6"/>
  <c r="M217" i="7" s="1"/>
  <c r="U188" i="4"/>
  <c r="U75" i="6"/>
  <c r="U217" i="7" s="1"/>
  <c r="I189" i="4"/>
  <c r="I76" i="6"/>
  <c r="Q189" i="4"/>
  <c r="Q76" i="6"/>
  <c r="C27" i="4"/>
  <c r="C26" i="4" s="1"/>
  <c r="C191" i="4"/>
  <c r="C78" i="6"/>
  <c r="C220" i="7" s="1"/>
  <c r="K27" i="4"/>
  <c r="K111" i="5" s="1"/>
  <c r="K191" i="4"/>
  <c r="K78" i="6"/>
  <c r="K220" i="7" s="1"/>
  <c r="S27" i="4"/>
  <c r="S191" i="4"/>
  <c r="S78" i="6"/>
  <c r="S220" i="7" s="1"/>
  <c r="G28" i="4"/>
  <c r="G219" i="4" s="1"/>
  <c r="G192" i="4"/>
  <c r="G79" i="6"/>
  <c r="G221" i="7" s="1"/>
  <c r="O28" i="4"/>
  <c r="O192" i="4"/>
  <c r="O79" i="6"/>
  <c r="O221" i="7" s="1"/>
  <c r="U60" i="4"/>
  <c r="U6" i="7" s="1"/>
  <c r="I123" i="7"/>
  <c r="I204" i="7"/>
  <c r="I11" i="7"/>
  <c r="C74" i="4"/>
  <c r="C20" i="7" s="1"/>
  <c r="C21" i="7"/>
  <c r="K74" i="4"/>
  <c r="K20" i="7" s="1"/>
  <c r="K21" i="7"/>
  <c r="T74" i="4"/>
  <c r="T20" i="7" s="1"/>
  <c r="T21" i="7"/>
  <c r="B114" i="4"/>
  <c r="B33" i="7" s="1"/>
  <c r="B34" i="7"/>
  <c r="J114" i="4"/>
  <c r="J33" i="7" s="1"/>
  <c r="J34" i="7"/>
  <c r="S114" i="4"/>
  <c r="S33" i="7" s="1"/>
  <c r="S34" i="7"/>
  <c r="F121" i="4"/>
  <c r="F41" i="7"/>
  <c r="O121" i="4"/>
  <c r="O112" i="4" s="1"/>
  <c r="O41" i="7"/>
  <c r="I128" i="4"/>
  <c r="I48" i="7"/>
  <c r="R128" i="4"/>
  <c r="R127" i="4" s="1"/>
  <c r="R46" i="7" s="1"/>
  <c r="R48" i="7"/>
  <c r="B134" i="4"/>
  <c r="B53" i="7" s="1"/>
  <c r="B54" i="7"/>
  <c r="J134" i="4"/>
  <c r="J53" i="7" s="1"/>
  <c r="J54" i="7"/>
  <c r="S134" i="4"/>
  <c r="S53" i="7" s="1"/>
  <c r="S54" i="7"/>
  <c r="F256" i="4"/>
  <c r="Q5" i="5"/>
  <c r="R117" i="5"/>
  <c r="H64" i="5"/>
  <c r="H119" i="7" s="1"/>
  <c r="Q65" i="5"/>
  <c r="Q120" i="7" s="1"/>
  <c r="Q66" i="5"/>
  <c r="Q121" i="7" s="1"/>
  <c r="M67" i="5"/>
  <c r="M122" i="7" s="1"/>
  <c r="U68" i="5"/>
  <c r="U123" i="7" s="1"/>
  <c r="Q69" i="5"/>
  <c r="Q124" i="7" s="1"/>
  <c r="J82" i="5"/>
  <c r="J137" i="7" s="1"/>
  <c r="B65" i="5"/>
  <c r="B120" i="7" s="1"/>
  <c r="N74" i="5"/>
  <c r="N129" i="7" s="1"/>
  <c r="H84" i="5"/>
  <c r="H139" i="7" s="1"/>
  <c r="E48" i="6"/>
  <c r="V48" i="6"/>
  <c r="R49" i="6"/>
  <c r="H4" i="5"/>
  <c r="D116" i="5"/>
  <c r="M116" i="5"/>
  <c r="U116" i="5"/>
  <c r="H21" i="5"/>
  <c r="H63" i="5" s="1"/>
  <c r="H118" i="7" s="1"/>
  <c r="B118" i="5"/>
  <c r="B64" i="5"/>
  <c r="B119" i="7" s="1"/>
  <c r="J118" i="5"/>
  <c r="J64" i="5"/>
  <c r="J119" i="7" s="1"/>
  <c r="S118" i="5"/>
  <c r="S64" i="5"/>
  <c r="S119" i="7" s="1"/>
  <c r="B119" i="5"/>
  <c r="J119" i="5"/>
  <c r="S119" i="5"/>
  <c r="B120" i="5"/>
  <c r="B66" i="5"/>
  <c r="B121" i="7" s="1"/>
  <c r="J120" i="5"/>
  <c r="J66" i="5"/>
  <c r="J121" i="7" s="1"/>
  <c r="S120" i="5"/>
  <c r="S66" i="5"/>
  <c r="S121" i="7" s="1"/>
  <c r="F121" i="5"/>
  <c r="F67" i="5"/>
  <c r="F122" i="7" s="1"/>
  <c r="O121" i="5"/>
  <c r="O67" i="5"/>
  <c r="O122" i="7" s="1"/>
  <c r="O122" i="5"/>
  <c r="J123" i="5"/>
  <c r="S123" i="5"/>
  <c r="G33" i="5"/>
  <c r="G125" i="5"/>
  <c r="G71" i="5"/>
  <c r="G126" i="7" s="1"/>
  <c r="P33" i="5"/>
  <c r="P125" i="5"/>
  <c r="P71" i="5"/>
  <c r="P126" i="7" s="1"/>
  <c r="G126" i="5"/>
  <c r="P72" i="5"/>
  <c r="P127" i="7" s="1"/>
  <c r="C75" i="5"/>
  <c r="C130" i="7" s="1"/>
  <c r="K75" i="5"/>
  <c r="K130" i="7" s="1"/>
  <c r="T75" i="5"/>
  <c r="T130" i="7" s="1"/>
  <c r="D43" i="5"/>
  <c r="D132" i="5"/>
  <c r="M43" i="5"/>
  <c r="M132" i="5"/>
  <c r="U43" i="5"/>
  <c r="U77" i="5" s="1"/>
  <c r="U132" i="7" s="1"/>
  <c r="U132" i="5"/>
  <c r="D133" i="5"/>
  <c r="M133" i="5"/>
  <c r="U133" i="5"/>
  <c r="D134" i="5"/>
  <c r="M134" i="5"/>
  <c r="U134" i="5"/>
  <c r="H135" i="5"/>
  <c r="Q135" i="5"/>
  <c r="H136" i="5"/>
  <c r="H82" i="5"/>
  <c r="H137" i="7" s="1"/>
  <c r="Q136" i="5"/>
  <c r="Q82" i="5"/>
  <c r="Q137" i="7" s="1"/>
  <c r="E138" i="5"/>
  <c r="E84" i="5"/>
  <c r="E139" i="7" s="1"/>
  <c r="E52" i="5"/>
  <c r="N138" i="5"/>
  <c r="N84" i="5"/>
  <c r="N139" i="7" s="1"/>
  <c r="V138" i="5"/>
  <c r="V84" i="5"/>
  <c r="V139" i="7" s="1"/>
  <c r="V52" i="5"/>
  <c r="V83" i="5" s="1"/>
  <c r="V138" i="7" s="1"/>
  <c r="E139" i="5"/>
  <c r="N139" i="5"/>
  <c r="V139" i="5"/>
  <c r="D79" i="5"/>
  <c r="D134" i="7" s="1"/>
  <c r="U79" i="5"/>
  <c r="U134" i="7" s="1"/>
  <c r="D150" i="5"/>
  <c r="T118" i="6"/>
  <c r="T18" i="6"/>
  <c r="I119" i="6"/>
  <c r="I27" i="6"/>
  <c r="I64" i="6" s="1"/>
  <c r="R119" i="6"/>
  <c r="R27" i="6"/>
  <c r="R64" i="6" s="1"/>
  <c r="E120" i="6"/>
  <c r="N120" i="6"/>
  <c r="V120" i="6"/>
  <c r="I121" i="6"/>
  <c r="R121" i="6"/>
  <c r="E122" i="6"/>
  <c r="N122" i="6"/>
  <c r="V122" i="6"/>
  <c r="I123" i="6"/>
  <c r="I150" i="6"/>
  <c r="R123" i="6"/>
  <c r="R150" i="6"/>
  <c r="H50" i="6"/>
  <c r="H5" i="6"/>
  <c r="H4" i="6" s="1"/>
  <c r="Q5" i="6"/>
  <c r="Q4" i="6" s="1"/>
  <c r="Q50" i="6"/>
  <c r="D5" i="6"/>
  <c r="D4" i="6" s="1"/>
  <c r="D47" i="6" s="1"/>
  <c r="D48" i="6"/>
  <c r="M5" i="6"/>
  <c r="M4" i="6" s="1"/>
  <c r="M48" i="6"/>
  <c r="U5" i="6"/>
  <c r="U4" i="6" s="1"/>
  <c r="U48" i="6"/>
  <c r="H49" i="6"/>
  <c r="D51" i="6"/>
  <c r="M51" i="6"/>
  <c r="U51" i="6"/>
  <c r="B20" i="6"/>
  <c r="B18" i="6" s="1"/>
  <c r="B112" i="6"/>
  <c r="J20" i="6"/>
  <c r="J112" i="6"/>
  <c r="S20" i="6"/>
  <c r="S18" i="6" s="1"/>
  <c r="S112" i="6"/>
  <c r="F113" i="6"/>
  <c r="F20" i="6"/>
  <c r="O113" i="6"/>
  <c r="O20" i="6"/>
  <c r="O57" i="6" s="1"/>
  <c r="O199" i="7" s="1"/>
  <c r="B114" i="6"/>
  <c r="J114" i="6"/>
  <c r="S114" i="6"/>
  <c r="F115" i="6"/>
  <c r="O115" i="6"/>
  <c r="B116" i="6"/>
  <c r="B143" i="6"/>
  <c r="J116" i="6"/>
  <c r="S116" i="6"/>
  <c r="F117" i="6"/>
  <c r="F144" i="6"/>
  <c r="O117" i="6"/>
  <c r="O144" i="6"/>
  <c r="G132" i="6"/>
  <c r="G40" i="6"/>
  <c r="P132" i="6"/>
  <c r="P40" i="6"/>
  <c r="P77" i="6" s="1"/>
  <c r="P219" i="7" s="1"/>
  <c r="C133" i="6"/>
  <c r="K133" i="6"/>
  <c r="K40" i="6"/>
  <c r="T133" i="6"/>
  <c r="Q28" i="4"/>
  <c r="Q112" i="5" s="1"/>
  <c r="F116" i="5"/>
  <c r="F62" i="5"/>
  <c r="F117" i="7" s="1"/>
  <c r="O116" i="5"/>
  <c r="O62" i="5"/>
  <c r="O117" i="7" s="1"/>
  <c r="D21" i="5"/>
  <c r="D118" i="5"/>
  <c r="M21" i="5"/>
  <c r="M63" i="5" s="1"/>
  <c r="M118" i="5"/>
  <c r="U21" i="5"/>
  <c r="U63" i="5" s="1"/>
  <c r="U118" i="5"/>
  <c r="D119" i="5"/>
  <c r="M119" i="5"/>
  <c r="U119" i="5"/>
  <c r="D120" i="5"/>
  <c r="M120" i="5"/>
  <c r="U120" i="5"/>
  <c r="H121" i="5"/>
  <c r="Q121" i="5"/>
  <c r="Q122" i="5"/>
  <c r="M123" i="5"/>
  <c r="U123" i="5"/>
  <c r="I72" i="5"/>
  <c r="I127" i="7" s="1"/>
  <c r="R72" i="5"/>
  <c r="R127" i="7" s="1"/>
  <c r="E75" i="5"/>
  <c r="E130" i="7" s="1"/>
  <c r="N75" i="5"/>
  <c r="N130" i="7" s="1"/>
  <c r="V75" i="5"/>
  <c r="V130" i="7" s="1"/>
  <c r="F43" i="5"/>
  <c r="F132" i="5"/>
  <c r="F78" i="5"/>
  <c r="F133" i="7" s="1"/>
  <c r="O43" i="5"/>
  <c r="O132" i="5"/>
  <c r="O78" i="5"/>
  <c r="O133" i="7" s="1"/>
  <c r="F133" i="5"/>
  <c r="O133" i="5"/>
  <c r="F134" i="5"/>
  <c r="F80" i="5"/>
  <c r="F135" i="7" s="1"/>
  <c r="O134" i="5"/>
  <c r="O80" i="5"/>
  <c r="O135" i="7" s="1"/>
  <c r="B135" i="5"/>
  <c r="B43" i="5"/>
  <c r="B77" i="5" s="1"/>
  <c r="B132" i="7" s="1"/>
  <c r="B81" i="5"/>
  <c r="B136" i="7" s="1"/>
  <c r="J135" i="5"/>
  <c r="J81" i="5"/>
  <c r="J136" i="7" s="1"/>
  <c r="J43" i="5"/>
  <c r="J77" i="5" s="1"/>
  <c r="S135" i="5"/>
  <c r="S81" i="5"/>
  <c r="S136" i="7" s="1"/>
  <c r="B136" i="5"/>
  <c r="J136" i="5"/>
  <c r="S136" i="5"/>
  <c r="D65" i="5"/>
  <c r="D120" i="7" s="1"/>
  <c r="U65" i="5"/>
  <c r="U120" i="7" s="1"/>
  <c r="H68" i="5"/>
  <c r="D69" i="5"/>
  <c r="U69" i="5"/>
  <c r="U124" i="7" s="1"/>
  <c r="H149" i="5"/>
  <c r="B47" i="6"/>
  <c r="F51" i="6"/>
  <c r="O51" i="6"/>
  <c r="D112" i="6"/>
  <c r="D20" i="6"/>
  <c r="M112" i="6"/>
  <c r="M20" i="6"/>
  <c r="M57" i="6" s="1"/>
  <c r="M199" i="7" s="1"/>
  <c r="U112" i="6"/>
  <c r="U20" i="6"/>
  <c r="H113" i="6"/>
  <c r="Q113" i="6"/>
  <c r="D114" i="6"/>
  <c r="M114" i="6"/>
  <c r="U114" i="6"/>
  <c r="H115" i="6"/>
  <c r="Q115" i="6"/>
  <c r="D116" i="6"/>
  <c r="D143" i="6"/>
  <c r="M116" i="6"/>
  <c r="U116" i="6"/>
  <c r="H117" i="6"/>
  <c r="H144" i="6"/>
  <c r="Q117" i="6"/>
  <c r="Q144" i="6"/>
  <c r="I40" i="6"/>
  <c r="I132" i="6"/>
  <c r="R40" i="6"/>
  <c r="R132" i="6"/>
  <c r="E133" i="6"/>
  <c r="E40" i="6"/>
  <c r="E33" i="6" s="1"/>
  <c r="N133" i="6"/>
  <c r="N40" i="6"/>
  <c r="V133" i="6"/>
  <c r="J139" i="5"/>
  <c r="S139" i="5"/>
  <c r="F110" i="6"/>
  <c r="O110" i="6"/>
  <c r="C111" i="6"/>
  <c r="M17" i="4"/>
  <c r="M208" i="4" s="1"/>
  <c r="Q18" i="4"/>
  <c r="Q102" i="5" s="1"/>
  <c r="D21" i="4"/>
  <c r="M21" i="4"/>
  <c r="Q22" i="4"/>
  <c r="Q106" i="5" s="1"/>
  <c r="D23" i="4"/>
  <c r="D214" i="4" s="1"/>
  <c r="M23" i="4"/>
  <c r="M214" i="4" s="1"/>
  <c r="Q24" i="4"/>
  <c r="M25" i="4"/>
  <c r="M103" i="6" s="1"/>
  <c r="O4" i="5"/>
  <c r="B116" i="5"/>
  <c r="J116" i="5"/>
  <c r="S116" i="5"/>
  <c r="H118" i="5"/>
  <c r="Q118" i="5"/>
  <c r="H119" i="5"/>
  <c r="Q119" i="5"/>
  <c r="H120" i="5"/>
  <c r="Q120" i="5"/>
  <c r="D121" i="5"/>
  <c r="M121" i="5"/>
  <c r="U121" i="5"/>
  <c r="D122" i="5"/>
  <c r="D149" i="5"/>
  <c r="M122" i="5"/>
  <c r="U122" i="5"/>
  <c r="H123" i="5"/>
  <c r="Q123" i="5"/>
  <c r="I124" i="5"/>
  <c r="F137" i="5"/>
  <c r="K84" i="5"/>
  <c r="K139" i="7" s="1"/>
  <c r="T84" i="5"/>
  <c r="T139" i="7" s="1"/>
  <c r="Q64" i="5"/>
  <c r="Q119" i="7" s="1"/>
  <c r="M65" i="5"/>
  <c r="M120" i="7" s="1"/>
  <c r="H66" i="5"/>
  <c r="H121" i="7" s="1"/>
  <c r="D67" i="5"/>
  <c r="D122" i="7" s="1"/>
  <c r="U67" i="5"/>
  <c r="U122" i="7" s="1"/>
  <c r="Q68" i="5"/>
  <c r="Q123" i="7" s="1"/>
  <c r="M69" i="5"/>
  <c r="M124" i="7" s="1"/>
  <c r="D126" i="6"/>
  <c r="D34" i="6"/>
  <c r="D71" i="6" s="1"/>
  <c r="D213" i="7" s="1"/>
  <c r="M126" i="6"/>
  <c r="M34" i="6"/>
  <c r="U126" i="6"/>
  <c r="U34" i="6"/>
  <c r="U71" i="6" s="1"/>
  <c r="U213" i="7" s="1"/>
  <c r="H127" i="6"/>
  <c r="Q127" i="6"/>
  <c r="D128" i="6"/>
  <c r="M128" i="6"/>
  <c r="U128" i="6"/>
  <c r="H129" i="6"/>
  <c r="Q129" i="6"/>
  <c r="D130" i="6"/>
  <c r="D157" i="6"/>
  <c r="M130" i="6"/>
  <c r="M157" i="6"/>
  <c r="U130" i="6"/>
  <c r="U157" i="6"/>
  <c r="U126" i="5"/>
  <c r="D127" i="5"/>
  <c r="M127" i="5"/>
  <c r="U127" i="5"/>
  <c r="H128" i="5"/>
  <c r="Q128" i="5"/>
  <c r="H129" i="5"/>
  <c r="Q129" i="5"/>
  <c r="B132" i="5"/>
  <c r="J132" i="5"/>
  <c r="S132" i="5"/>
  <c r="B133" i="5"/>
  <c r="J133" i="5"/>
  <c r="S133" i="5"/>
  <c r="B134" i="5"/>
  <c r="J134" i="5"/>
  <c r="S134" i="5"/>
  <c r="F135" i="5"/>
  <c r="O135" i="5"/>
  <c r="F136" i="5"/>
  <c r="O136" i="5"/>
  <c r="P137" i="5"/>
  <c r="F138" i="5"/>
  <c r="O138" i="5"/>
  <c r="F139" i="5"/>
  <c r="O139" i="5"/>
  <c r="B79" i="5"/>
  <c r="B134" i="7" s="1"/>
  <c r="J79" i="5"/>
  <c r="J134" i="7" s="1"/>
  <c r="S79" i="5"/>
  <c r="S134" i="7" s="1"/>
  <c r="F82" i="5"/>
  <c r="F137" i="7" s="1"/>
  <c r="O82" i="5"/>
  <c r="O137" i="7" s="1"/>
  <c r="F85" i="5"/>
  <c r="F140" i="7" s="1"/>
  <c r="O85" i="5"/>
  <c r="O140" i="7" s="1"/>
  <c r="H48" i="6"/>
  <c r="D49" i="6"/>
  <c r="U49" i="6"/>
  <c r="K118" i="6"/>
  <c r="D131" i="6"/>
  <c r="C132" i="6"/>
  <c r="C40" i="6"/>
  <c r="K132" i="6"/>
  <c r="T40" i="6"/>
  <c r="T132" i="6"/>
  <c r="G133" i="6"/>
  <c r="P133" i="6"/>
  <c r="G121" i="5"/>
  <c r="P121" i="5"/>
  <c r="P122" i="5"/>
  <c r="K123" i="5"/>
  <c r="T123" i="5"/>
  <c r="E33" i="5"/>
  <c r="E125" i="5"/>
  <c r="N33" i="5"/>
  <c r="N125" i="5"/>
  <c r="V33" i="5"/>
  <c r="V70" i="5" s="1"/>
  <c r="V125" i="5"/>
  <c r="E126" i="5"/>
  <c r="N126" i="5"/>
  <c r="V126" i="5"/>
  <c r="E127" i="5"/>
  <c r="N127" i="5"/>
  <c r="V127" i="5"/>
  <c r="I128" i="5"/>
  <c r="R128" i="5"/>
  <c r="I129" i="5"/>
  <c r="R129" i="5"/>
  <c r="C132" i="5"/>
  <c r="K132" i="5"/>
  <c r="T132" i="5"/>
  <c r="C133" i="5"/>
  <c r="K133" i="5"/>
  <c r="T133" i="5"/>
  <c r="C134" i="5"/>
  <c r="K134" i="5"/>
  <c r="T134" i="5"/>
  <c r="G135" i="5"/>
  <c r="P135" i="5"/>
  <c r="G136" i="5"/>
  <c r="P136" i="5"/>
  <c r="G138" i="5"/>
  <c r="P138" i="5"/>
  <c r="G139" i="5"/>
  <c r="P139" i="5"/>
  <c r="G67" i="5"/>
  <c r="G122" i="7" s="1"/>
  <c r="P67" i="5"/>
  <c r="P122" i="7" s="1"/>
  <c r="C68" i="5"/>
  <c r="K68" i="5"/>
  <c r="K123" i="7" s="1"/>
  <c r="T68" i="5"/>
  <c r="T123" i="7" s="1"/>
  <c r="G69" i="5"/>
  <c r="G124" i="7" s="1"/>
  <c r="P69" i="5"/>
  <c r="P124" i="7" s="1"/>
  <c r="G72" i="5"/>
  <c r="G127" i="7" s="1"/>
  <c r="C79" i="5"/>
  <c r="C134" i="7" s="1"/>
  <c r="K79" i="5"/>
  <c r="K134" i="7" s="1"/>
  <c r="T79" i="5"/>
  <c r="T134" i="7" s="1"/>
  <c r="G82" i="5"/>
  <c r="G137" i="7" s="1"/>
  <c r="P82" i="5"/>
  <c r="P137" i="7" s="1"/>
  <c r="C84" i="5"/>
  <c r="C139" i="7" s="1"/>
  <c r="G85" i="5"/>
  <c r="G140" i="7" s="1"/>
  <c r="P85" i="5"/>
  <c r="P140" i="7" s="1"/>
  <c r="C149" i="5"/>
  <c r="E5" i="6"/>
  <c r="E4" i="6" s="1"/>
  <c r="E47" i="6" s="1"/>
  <c r="E50" i="6"/>
  <c r="N5" i="6"/>
  <c r="N4" i="6" s="1"/>
  <c r="N50" i="6"/>
  <c r="V5" i="6"/>
  <c r="V4" i="6" s="1"/>
  <c r="V47" i="6" s="1"/>
  <c r="V50" i="6"/>
  <c r="I48" i="6"/>
  <c r="R48" i="6"/>
  <c r="E49" i="6"/>
  <c r="N49" i="6"/>
  <c r="V49" i="6"/>
  <c r="I51" i="6"/>
  <c r="R51" i="6"/>
  <c r="C110" i="6"/>
  <c r="K110" i="6"/>
  <c r="K18" i="6"/>
  <c r="T110" i="6"/>
  <c r="F27" i="6"/>
  <c r="F64" i="6" s="1"/>
  <c r="F206" i="7" s="1"/>
  <c r="F119" i="6"/>
  <c r="O27" i="6"/>
  <c r="O64" i="6" s="1"/>
  <c r="O206" i="7" s="1"/>
  <c r="O119" i="6"/>
  <c r="B120" i="6"/>
  <c r="J120" i="6"/>
  <c r="S120" i="6"/>
  <c r="F121" i="6"/>
  <c r="O121" i="6"/>
  <c r="B122" i="6"/>
  <c r="J122" i="6"/>
  <c r="S122" i="6"/>
  <c r="F123" i="6"/>
  <c r="F150" i="6"/>
  <c r="O123" i="6"/>
  <c r="O150" i="6"/>
  <c r="G126" i="6"/>
  <c r="P126" i="6"/>
  <c r="P34" i="6"/>
  <c r="C127" i="6"/>
  <c r="K127" i="6"/>
  <c r="T127" i="6"/>
  <c r="G128" i="6"/>
  <c r="P128" i="6"/>
  <c r="C129" i="6"/>
  <c r="K129" i="6"/>
  <c r="T129" i="6"/>
  <c r="G130" i="6"/>
  <c r="G157" i="6"/>
  <c r="P130" i="6"/>
  <c r="P157" i="6"/>
  <c r="F131" i="6"/>
  <c r="D132" i="6"/>
  <c r="M132" i="6"/>
  <c r="U132" i="6"/>
  <c r="U40" i="6"/>
  <c r="U77" i="6" s="1"/>
  <c r="H133" i="6"/>
  <c r="Q133" i="6"/>
  <c r="B48" i="6"/>
  <c r="J48" i="6"/>
  <c r="S48" i="6"/>
  <c r="F49" i="6"/>
  <c r="O49" i="6"/>
  <c r="H20" i="6"/>
  <c r="H57" i="6" s="1"/>
  <c r="H199" i="7" s="1"/>
  <c r="H112" i="6"/>
  <c r="Q20" i="6"/>
  <c r="Q18" i="6" s="1"/>
  <c r="Q112" i="6"/>
  <c r="D113" i="6"/>
  <c r="M113" i="6"/>
  <c r="U113" i="6"/>
  <c r="H114" i="6"/>
  <c r="Q114" i="6"/>
  <c r="D115" i="6"/>
  <c r="M115" i="6"/>
  <c r="U115" i="6"/>
  <c r="H116" i="6"/>
  <c r="H143" i="6"/>
  <c r="Q116" i="6"/>
  <c r="D117" i="6"/>
  <c r="D144" i="6"/>
  <c r="M117" i="6"/>
  <c r="M144" i="6"/>
  <c r="U117" i="6"/>
  <c r="U144" i="6"/>
  <c r="T125" i="6"/>
  <c r="P126" i="5"/>
  <c r="G127" i="5"/>
  <c r="P127" i="5"/>
  <c r="C128" i="5"/>
  <c r="K128" i="5"/>
  <c r="T128" i="5"/>
  <c r="C129" i="5"/>
  <c r="K129" i="5"/>
  <c r="T129" i="5"/>
  <c r="E132" i="5"/>
  <c r="N132" i="5"/>
  <c r="V132" i="5"/>
  <c r="E133" i="5"/>
  <c r="N133" i="5"/>
  <c r="V133" i="5"/>
  <c r="E134" i="5"/>
  <c r="N134" i="5"/>
  <c r="V134" i="5"/>
  <c r="I135" i="5"/>
  <c r="R135" i="5"/>
  <c r="I136" i="5"/>
  <c r="R136" i="5"/>
  <c r="I138" i="5"/>
  <c r="R138" i="5"/>
  <c r="I139" i="5"/>
  <c r="R139" i="5"/>
  <c r="E71" i="5"/>
  <c r="E126" i="7" s="1"/>
  <c r="N71" i="5"/>
  <c r="N126" i="7" s="1"/>
  <c r="V71" i="5"/>
  <c r="V126" i="7" s="1"/>
  <c r="E73" i="5"/>
  <c r="E128" i="7" s="1"/>
  <c r="N73" i="5"/>
  <c r="N128" i="7" s="1"/>
  <c r="V73" i="5"/>
  <c r="V128" i="7" s="1"/>
  <c r="I74" i="5"/>
  <c r="I129" i="7" s="1"/>
  <c r="R74" i="5"/>
  <c r="R129" i="7" s="1"/>
  <c r="E79" i="5"/>
  <c r="E134" i="7" s="1"/>
  <c r="N79" i="5"/>
  <c r="N134" i="7" s="1"/>
  <c r="V79" i="5"/>
  <c r="V134" i="7" s="1"/>
  <c r="I82" i="5"/>
  <c r="I137" i="7" s="1"/>
  <c r="R82" i="5"/>
  <c r="R137" i="7" s="1"/>
  <c r="I85" i="5"/>
  <c r="I140" i="7" s="1"/>
  <c r="R85" i="5"/>
  <c r="R140" i="7" s="1"/>
  <c r="G5" i="6"/>
  <c r="G4" i="6" s="1"/>
  <c r="G50" i="6"/>
  <c r="P5" i="6"/>
  <c r="P4" i="6" s="1"/>
  <c r="P50" i="6"/>
  <c r="C48" i="6"/>
  <c r="K48" i="6"/>
  <c r="T48" i="6"/>
  <c r="G49" i="6"/>
  <c r="P49" i="6"/>
  <c r="C51" i="6"/>
  <c r="K51" i="6"/>
  <c r="T51" i="6"/>
  <c r="F10" i="6"/>
  <c r="F4" i="6" s="1"/>
  <c r="O10" i="6"/>
  <c r="E110" i="6"/>
  <c r="N110" i="6"/>
  <c r="V110" i="6"/>
  <c r="H119" i="6"/>
  <c r="Q119" i="6"/>
  <c r="D120" i="6"/>
  <c r="M120" i="6"/>
  <c r="U120" i="6"/>
  <c r="H121" i="6"/>
  <c r="Q121" i="6"/>
  <c r="D122" i="6"/>
  <c r="M122" i="6"/>
  <c r="U122" i="6"/>
  <c r="H123" i="6"/>
  <c r="H150" i="6"/>
  <c r="Q123" i="6"/>
  <c r="Q150" i="6"/>
  <c r="V33" i="6"/>
  <c r="V125" i="6"/>
  <c r="I34" i="6"/>
  <c r="I71" i="6" s="1"/>
  <c r="I213" i="7" s="1"/>
  <c r="I126" i="6"/>
  <c r="R34" i="6"/>
  <c r="R71" i="6" s="1"/>
  <c r="R213" i="7" s="1"/>
  <c r="R126" i="6"/>
  <c r="E127" i="6"/>
  <c r="N127" i="6"/>
  <c r="V127" i="6"/>
  <c r="I128" i="6"/>
  <c r="R128" i="6"/>
  <c r="E129" i="6"/>
  <c r="N129" i="6"/>
  <c r="V129" i="6"/>
  <c r="I130" i="6"/>
  <c r="I157" i="6"/>
  <c r="R130" i="6"/>
  <c r="R157" i="6"/>
  <c r="M40" i="6"/>
  <c r="K121" i="5"/>
  <c r="T121" i="5"/>
  <c r="K122" i="5"/>
  <c r="T122" i="5"/>
  <c r="G123" i="5"/>
  <c r="P123" i="5"/>
  <c r="I125" i="5"/>
  <c r="R125" i="5"/>
  <c r="I126" i="5"/>
  <c r="R126" i="5"/>
  <c r="I127" i="5"/>
  <c r="R127" i="5"/>
  <c r="E128" i="5"/>
  <c r="N128" i="5"/>
  <c r="V128" i="5"/>
  <c r="E129" i="5"/>
  <c r="N129" i="5"/>
  <c r="V129" i="5"/>
  <c r="E43" i="5"/>
  <c r="S43" i="5"/>
  <c r="G43" i="5"/>
  <c r="G77" i="5" s="1"/>
  <c r="G132" i="7" s="1"/>
  <c r="G132" i="5"/>
  <c r="P43" i="5"/>
  <c r="P132" i="5"/>
  <c r="G133" i="5"/>
  <c r="P133" i="5"/>
  <c r="G134" i="5"/>
  <c r="P134" i="5"/>
  <c r="C135" i="5"/>
  <c r="K135" i="5"/>
  <c r="T135" i="5"/>
  <c r="C136" i="5"/>
  <c r="K136" i="5"/>
  <c r="T136" i="5"/>
  <c r="C52" i="5"/>
  <c r="C138" i="5"/>
  <c r="K52" i="5"/>
  <c r="K42" i="5" s="1"/>
  <c r="K138" i="5"/>
  <c r="T52" i="5"/>
  <c r="T138" i="5"/>
  <c r="C139" i="5"/>
  <c r="K139" i="5"/>
  <c r="T139" i="5"/>
  <c r="C67" i="5"/>
  <c r="C122" i="7" s="1"/>
  <c r="K67" i="5"/>
  <c r="K122" i="7" s="1"/>
  <c r="T67" i="5"/>
  <c r="T122" i="7" s="1"/>
  <c r="G68" i="5"/>
  <c r="P68" i="5"/>
  <c r="P123" i="7" s="1"/>
  <c r="C69" i="5"/>
  <c r="K69" i="5"/>
  <c r="K124" i="7" s="1"/>
  <c r="T69" i="5"/>
  <c r="T124" i="7" s="1"/>
  <c r="G73" i="5"/>
  <c r="G128" i="7" s="1"/>
  <c r="P73" i="5"/>
  <c r="P128" i="7" s="1"/>
  <c r="C74" i="5"/>
  <c r="C129" i="7" s="1"/>
  <c r="K74" i="5"/>
  <c r="K129" i="7" s="1"/>
  <c r="T74" i="5"/>
  <c r="T129" i="7" s="1"/>
  <c r="C78" i="5"/>
  <c r="C133" i="7" s="1"/>
  <c r="K78" i="5"/>
  <c r="K133" i="7" s="1"/>
  <c r="T78" i="5"/>
  <c r="T133" i="7" s="1"/>
  <c r="G79" i="5"/>
  <c r="G134" i="7" s="1"/>
  <c r="P79" i="5"/>
  <c r="P134" i="7" s="1"/>
  <c r="C80" i="5"/>
  <c r="C135" i="7" s="1"/>
  <c r="K80" i="5"/>
  <c r="K135" i="7" s="1"/>
  <c r="T80" i="5"/>
  <c r="T135" i="7" s="1"/>
  <c r="G81" i="5"/>
  <c r="G136" i="7" s="1"/>
  <c r="P81" i="5"/>
  <c r="P136" i="7" s="1"/>
  <c r="C82" i="5"/>
  <c r="C137" i="7" s="1"/>
  <c r="K82" i="5"/>
  <c r="K137" i="7" s="1"/>
  <c r="T82" i="5"/>
  <c r="T137" i="7" s="1"/>
  <c r="G84" i="5"/>
  <c r="G139" i="7" s="1"/>
  <c r="P84" i="5"/>
  <c r="P139" i="7" s="1"/>
  <c r="C85" i="5"/>
  <c r="C140" i="7" s="1"/>
  <c r="K85" i="5"/>
  <c r="K140" i="7" s="1"/>
  <c r="T85" i="5"/>
  <c r="T140" i="7" s="1"/>
  <c r="G149" i="5"/>
  <c r="C150" i="5"/>
  <c r="L10" i="6"/>
  <c r="N48" i="6"/>
  <c r="I49" i="6"/>
  <c r="Q51" i="6"/>
  <c r="M49" i="6"/>
  <c r="C18" i="6"/>
  <c r="T111" i="6"/>
  <c r="C126" i="6"/>
  <c r="C34" i="6"/>
  <c r="K126" i="6"/>
  <c r="K34" i="6"/>
  <c r="T126" i="6"/>
  <c r="G127" i="6"/>
  <c r="P127" i="6"/>
  <c r="C128" i="6"/>
  <c r="K128" i="6"/>
  <c r="T128" i="6"/>
  <c r="G129" i="6"/>
  <c r="P129" i="6"/>
  <c r="C130" i="6"/>
  <c r="C157" i="6"/>
  <c r="K130" i="6"/>
  <c r="K157" i="6"/>
  <c r="T130" i="6"/>
  <c r="T157" i="6"/>
  <c r="C50" i="6"/>
  <c r="C5" i="6"/>
  <c r="C4" i="6" s="1"/>
  <c r="K50" i="6"/>
  <c r="T50" i="6"/>
  <c r="G48" i="6"/>
  <c r="P48" i="6"/>
  <c r="C49" i="6"/>
  <c r="K49" i="6"/>
  <c r="T49" i="6"/>
  <c r="G51" i="6"/>
  <c r="P51" i="6"/>
  <c r="I110" i="6"/>
  <c r="R110" i="6"/>
  <c r="E112" i="6"/>
  <c r="E20" i="6"/>
  <c r="N112" i="6"/>
  <c r="V112" i="6"/>
  <c r="V20" i="6"/>
  <c r="I113" i="6"/>
  <c r="R113" i="6"/>
  <c r="E114" i="6"/>
  <c r="N114" i="6"/>
  <c r="V114" i="6"/>
  <c r="I115" i="6"/>
  <c r="R115" i="6"/>
  <c r="E116" i="6"/>
  <c r="E143" i="6"/>
  <c r="N116" i="6"/>
  <c r="V116" i="6"/>
  <c r="I117" i="6"/>
  <c r="I144" i="6"/>
  <c r="R117" i="6"/>
  <c r="R144" i="6"/>
  <c r="D27" i="6"/>
  <c r="D119" i="6"/>
  <c r="M27" i="6"/>
  <c r="M64" i="6" s="1"/>
  <c r="M206" i="7" s="1"/>
  <c r="M119" i="6"/>
  <c r="U27" i="6"/>
  <c r="U64" i="6" s="1"/>
  <c r="U206" i="7" s="1"/>
  <c r="U119" i="6"/>
  <c r="H120" i="6"/>
  <c r="Q120" i="6"/>
  <c r="D121" i="6"/>
  <c r="M121" i="6"/>
  <c r="U121" i="6"/>
  <c r="H122" i="6"/>
  <c r="Q122" i="6"/>
  <c r="D123" i="6"/>
  <c r="D150" i="6"/>
  <c r="M123" i="6"/>
  <c r="M150" i="6"/>
  <c r="U123" i="6"/>
  <c r="U150" i="6"/>
  <c r="I50" i="6"/>
  <c r="R50" i="6"/>
  <c r="E51" i="6"/>
  <c r="N51" i="6"/>
  <c r="V51" i="6"/>
  <c r="G110" i="6"/>
  <c r="P110" i="6"/>
  <c r="P111" i="6"/>
  <c r="F112" i="6"/>
  <c r="O112" i="6"/>
  <c r="B113" i="6"/>
  <c r="J113" i="6"/>
  <c r="S113" i="6"/>
  <c r="F114" i="6"/>
  <c r="O114" i="6"/>
  <c r="B115" i="6"/>
  <c r="J115" i="6"/>
  <c r="S115" i="6"/>
  <c r="F116" i="6"/>
  <c r="F143" i="6"/>
  <c r="O116" i="6"/>
  <c r="B117" i="6"/>
  <c r="B144" i="6"/>
  <c r="J117" i="6"/>
  <c r="J144" i="6"/>
  <c r="S117" i="6"/>
  <c r="S144" i="6"/>
  <c r="B119" i="6"/>
  <c r="J119" i="6"/>
  <c r="S119" i="6"/>
  <c r="F120" i="6"/>
  <c r="O120" i="6"/>
  <c r="B121" i="6"/>
  <c r="J121" i="6"/>
  <c r="S121" i="6"/>
  <c r="F122" i="6"/>
  <c r="O122" i="6"/>
  <c r="B123" i="6"/>
  <c r="B150" i="6"/>
  <c r="J123" i="6"/>
  <c r="J150" i="6"/>
  <c r="S123" i="6"/>
  <c r="S150" i="6"/>
  <c r="O33" i="6"/>
  <c r="O125" i="6"/>
  <c r="E126" i="6"/>
  <c r="N126" i="6"/>
  <c r="V126" i="6"/>
  <c r="I127" i="6"/>
  <c r="R127" i="6"/>
  <c r="E128" i="6"/>
  <c r="N128" i="6"/>
  <c r="V128" i="6"/>
  <c r="I129" i="6"/>
  <c r="R129" i="6"/>
  <c r="E132" i="6"/>
  <c r="N132" i="6"/>
  <c r="V132" i="6"/>
  <c r="I133" i="6"/>
  <c r="R133" i="6"/>
  <c r="Q157" i="6"/>
  <c r="J4" i="6"/>
  <c r="S4" i="6"/>
  <c r="S47" i="6" s="1"/>
  <c r="F48" i="6"/>
  <c r="O48" i="6"/>
  <c r="B49" i="6"/>
  <c r="J49" i="6"/>
  <c r="S49" i="6"/>
  <c r="P18" i="6"/>
  <c r="H110" i="6"/>
  <c r="Q110" i="6"/>
  <c r="G112" i="6"/>
  <c r="P112" i="6"/>
  <c r="C113" i="6"/>
  <c r="K113" i="6"/>
  <c r="T113" i="6"/>
  <c r="G114" i="6"/>
  <c r="P114" i="6"/>
  <c r="C115" i="6"/>
  <c r="K115" i="6"/>
  <c r="T115" i="6"/>
  <c r="G116" i="6"/>
  <c r="G143" i="6"/>
  <c r="P116" i="6"/>
  <c r="C117" i="6"/>
  <c r="C144" i="6"/>
  <c r="K117" i="6"/>
  <c r="K144" i="6"/>
  <c r="T117" i="6"/>
  <c r="T144" i="6"/>
  <c r="J27" i="6"/>
  <c r="J18" i="6" s="1"/>
  <c r="C119" i="6"/>
  <c r="K119" i="6"/>
  <c r="T119" i="6"/>
  <c r="G120" i="6"/>
  <c r="P120" i="6"/>
  <c r="C121" i="6"/>
  <c r="K121" i="6"/>
  <c r="T121" i="6"/>
  <c r="G122" i="6"/>
  <c r="P122" i="6"/>
  <c r="C123" i="6"/>
  <c r="C150" i="6"/>
  <c r="K123" i="6"/>
  <c r="K150" i="6"/>
  <c r="T123" i="6"/>
  <c r="T150" i="6"/>
  <c r="F126" i="6"/>
  <c r="O126" i="6"/>
  <c r="B127" i="6"/>
  <c r="J127" i="6"/>
  <c r="S127" i="6"/>
  <c r="F128" i="6"/>
  <c r="O128" i="6"/>
  <c r="B129" i="6"/>
  <c r="J129" i="6"/>
  <c r="S129" i="6"/>
  <c r="F130" i="6"/>
  <c r="F157" i="6"/>
  <c r="O130" i="6"/>
  <c r="O157" i="6"/>
  <c r="F132" i="6"/>
  <c r="O132" i="6"/>
  <c r="B133" i="6"/>
  <c r="J133" i="6"/>
  <c r="S133" i="6"/>
  <c r="B50" i="6"/>
  <c r="S50" i="6"/>
  <c r="B157" i="6"/>
  <c r="S157" i="6"/>
  <c r="B110" i="6"/>
  <c r="J110" i="6"/>
  <c r="S110" i="6"/>
  <c r="G111" i="6"/>
  <c r="I20" i="6"/>
  <c r="I112" i="6"/>
  <c r="R20" i="6"/>
  <c r="R112" i="6"/>
  <c r="E113" i="6"/>
  <c r="N113" i="6"/>
  <c r="V113" i="6"/>
  <c r="I114" i="6"/>
  <c r="R114" i="6"/>
  <c r="E115" i="6"/>
  <c r="N115" i="6"/>
  <c r="V115" i="6"/>
  <c r="I116" i="6"/>
  <c r="I143" i="6"/>
  <c r="R116" i="6"/>
  <c r="E117" i="6"/>
  <c r="E144" i="6"/>
  <c r="N117" i="6"/>
  <c r="N144" i="6"/>
  <c r="V117" i="6"/>
  <c r="V144" i="6"/>
  <c r="E27" i="6"/>
  <c r="E119" i="6"/>
  <c r="N27" i="6"/>
  <c r="N64" i="6" s="1"/>
  <c r="N206" i="7" s="1"/>
  <c r="N119" i="6"/>
  <c r="V27" i="6"/>
  <c r="V64" i="6" s="1"/>
  <c r="V119" i="6"/>
  <c r="I120" i="6"/>
  <c r="R120" i="6"/>
  <c r="E121" i="6"/>
  <c r="N121" i="6"/>
  <c r="V121" i="6"/>
  <c r="I122" i="6"/>
  <c r="R122" i="6"/>
  <c r="E123" i="6"/>
  <c r="E150" i="6"/>
  <c r="N123" i="6"/>
  <c r="N150" i="6"/>
  <c r="V123" i="6"/>
  <c r="V150" i="6"/>
  <c r="F33" i="6"/>
  <c r="H34" i="6"/>
  <c r="H126" i="6"/>
  <c r="Q34" i="6"/>
  <c r="Q71" i="6" s="1"/>
  <c r="Q213" i="7" s="1"/>
  <c r="Q126" i="6"/>
  <c r="D127" i="6"/>
  <c r="M127" i="6"/>
  <c r="U127" i="6"/>
  <c r="H128" i="6"/>
  <c r="Q128" i="6"/>
  <c r="D129" i="6"/>
  <c r="M129" i="6"/>
  <c r="U129" i="6"/>
  <c r="H40" i="6"/>
  <c r="H132" i="6"/>
  <c r="Q40" i="6"/>
  <c r="Q77" i="6" s="1"/>
  <c r="Q219" i="7" s="1"/>
  <c r="Q132" i="6"/>
  <c r="D133" i="6"/>
  <c r="M133" i="6"/>
  <c r="U133" i="6"/>
  <c r="E157" i="6"/>
  <c r="V157" i="6"/>
  <c r="F50" i="6"/>
  <c r="O50" i="6"/>
  <c r="B51" i="6"/>
  <c r="J51" i="6"/>
  <c r="S51" i="6"/>
  <c r="D110" i="6"/>
  <c r="M110" i="6"/>
  <c r="U110" i="6"/>
  <c r="C112" i="6"/>
  <c r="K112" i="6"/>
  <c r="T112" i="6"/>
  <c r="G113" i="6"/>
  <c r="P113" i="6"/>
  <c r="C114" i="6"/>
  <c r="K114" i="6"/>
  <c r="T114" i="6"/>
  <c r="G115" i="6"/>
  <c r="P115" i="6"/>
  <c r="C116" i="6"/>
  <c r="C143" i="6"/>
  <c r="K116" i="6"/>
  <c r="T116" i="6"/>
  <c r="G117" i="6"/>
  <c r="G144" i="6"/>
  <c r="P117" i="6"/>
  <c r="P144" i="6"/>
  <c r="C118" i="6"/>
  <c r="G119" i="6"/>
  <c r="P119" i="6"/>
  <c r="C120" i="6"/>
  <c r="K120" i="6"/>
  <c r="T120" i="6"/>
  <c r="G121" i="6"/>
  <c r="P121" i="6"/>
  <c r="C122" i="6"/>
  <c r="K122" i="6"/>
  <c r="T122" i="6"/>
  <c r="G123" i="6"/>
  <c r="G150" i="6"/>
  <c r="P123" i="6"/>
  <c r="P150" i="6"/>
  <c r="B34" i="6"/>
  <c r="B71" i="6" s="1"/>
  <c r="B213" i="7" s="1"/>
  <c r="B126" i="6"/>
  <c r="J34" i="6"/>
  <c r="J71" i="6" s="1"/>
  <c r="J213" i="7" s="1"/>
  <c r="J126" i="6"/>
  <c r="S34" i="6"/>
  <c r="S126" i="6"/>
  <c r="F127" i="6"/>
  <c r="O127" i="6"/>
  <c r="B128" i="6"/>
  <c r="J128" i="6"/>
  <c r="S128" i="6"/>
  <c r="F129" i="6"/>
  <c r="O129" i="6"/>
  <c r="B40" i="6"/>
  <c r="B132" i="6"/>
  <c r="J40" i="6"/>
  <c r="J132" i="6"/>
  <c r="S40" i="6"/>
  <c r="S132" i="6"/>
  <c r="F133" i="6"/>
  <c r="O133" i="6"/>
  <c r="J50" i="6"/>
  <c r="J157" i="6"/>
  <c r="V59" i="7"/>
  <c r="V84" i="4"/>
  <c r="C76" i="7"/>
  <c r="K76" i="7"/>
  <c r="T76" i="7"/>
  <c r="C60" i="7"/>
  <c r="K60" i="7"/>
  <c r="T60" i="7"/>
  <c r="T84" i="4"/>
  <c r="B69" i="7"/>
  <c r="B60" i="7" s="1"/>
  <c r="B59" i="7" s="1"/>
  <c r="J69" i="7"/>
  <c r="J60" i="7" s="1"/>
  <c r="J59" i="7" s="1"/>
  <c r="S69" i="7"/>
  <c r="S60" i="7" s="1"/>
  <c r="C82" i="7"/>
  <c r="K82" i="7"/>
  <c r="T82" i="7"/>
  <c r="G82" i="7"/>
  <c r="G75" i="7" s="1"/>
  <c r="G59" i="7" s="1"/>
  <c r="F76" i="7"/>
  <c r="F75" i="7" s="1"/>
  <c r="O76" i="7"/>
  <c r="O75" i="7" s="1"/>
  <c r="F60" i="7"/>
  <c r="O60" i="7"/>
  <c r="S75" i="7"/>
  <c r="H84" i="4"/>
  <c r="G85" i="4"/>
  <c r="P60" i="7"/>
  <c r="R84" i="4"/>
  <c r="J84" i="4"/>
  <c r="I272" i="4"/>
  <c r="I270" i="4"/>
  <c r="I268" i="4"/>
  <c r="I266" i="4"/>
  <c r="V257" i="4"/>
  <c r="V262" i="4"/>
  <c r="V250" i="4"/>
  <c r="V252" i="4"/>
  <c r="R206" i="4"/>
  <c r="R93" i="6"/>
  <c r="R99" i="5"/>
  <c r="I200" i="4"/>
  <c r="I87" i="6"/>
  <c r="I93" i="5"/>
  <c r="I219" i="4"/>
  <c r="I106" i="6"/>
  <c r="I112" i="5"/>
  <c r="E219" i="4"/>
  <c r="E106" i="6"/>
  <c r="E112" i="5"/>
  <c r="D206" i="4"/>
  <c r="D93" i="6"/>
  <c r="D99" i="5"/>
  <c r="Q209" i="4"/>
  <c r="Q196" i="4"/>
  <c r="Q83" i="6"/>
  <c r="Q89" i="5"/>
  <c r="V198" i="4"/>
  <c r="V85" i="6"/>
  <c r="V91" i="5"/>
  <c r="V199" i="4"/>
  <c r="V86" i="6"/>
  <c r="V92" i="5"/>
  <c r="N201" i="4"/>
  <c r="N88" i="6"/>
  <c r="N94" i="5"/>
  <c r="N202" i="4"/>
  <c r="N89" i="6"/>
  <c r="N95" i="5"/>
  <c r="R203" i="4"/>
  <c r="R90" i="6"/>
  <c r="R96" i="5"/>
  <c r="S205" i="4"/>
  <c r="S92" i="6"/>
  <c r="S98" i="5"/>
  <c r="T207" i="4"/>
  <c r="T94" i="6"/>
  <c r="T100" i="5"/>
  <c r="U208" i="4"/>
  <c r="U95" i="6"/>
  <c r="U101" i="5"/>
  <c r="V209" i="4"/>
  <c r="V96" i="6"/>
  <c r="V102" i="5"/>
  <c r="M213" i="4"/>
  <c r="M100" i="6"/>
  <c r="M106" i="5"/>
  <c r="O214" i="4"/>
  <c r="O101" i="6"/>
  <c r="O107" i="5"/>
  <c r="R215" i="4"/>
  <c r="R102" i="6"/>
  <c r="R108" i="5"/>
  <c r="Q216" i="4"/>
  <c r="Q103" i="6"/>
  <c r="Q109" i="5"/>
  <c r="R218" i="4"/>
  <c r="R105" i="6"/>
  <c r="R111" i="5"/>
  <c r="U219" i="4"/>
  <c r="U106" i="6"/>
  <c r="U112" i="5"/>
  <c r="G200" i="4"/>
  <c r="G87" i="6"/>
  <c r="G93" i="5"/>
  <c r="C203" i="4"/>
  <c r="C90" i="6"/>
  <c r="C96" i="5"/>
  <c r="C230" i="4"/>
  <c r="K205" i="4"/>
  <c r="K92" i="6"/>
  <c r="K98" i="5"/>
  <c r="D207" i="4"/>
  <c r="D94" i="6"/>
  <c r="D100" i="5"/>
  <c r="H208" i="4"/>
  <c r="H95" i="6"/>
  <c r="H101" i="5"/>
  <c r="B212" i="4"/>
  <c r="B99" i="6"/>
  <c r="B105" i="5"/>
  <c r="E214" i="4"/>
  <c r="E101" i="6"/>
  <c r="E107" i="5"/>
  <c r="F216" i="4"/>
  <c r="F103" i="6"/>
  <c r="F109" i="5"/>
  <c r="D219" i="4"/>
  <c r="D106" i="6"/>
  <c r="D112" i="5"/>
  <c r="H198" i="4"/>
  <c r="H85" i="6"/>
  <c r="H91" i="5"/>
  <c r="C201" i="4"/>
  <c r="C88" i="6"/>
  <c r="C94" i="5"/>
  <c r="J203" i="4"/>
  <c r="J90" i="6"/>
  <c r="J96" i="5"/>
  <c r="K213" i="4"/>
  <c r="K100" i="6"/>
  <c r="K106" i="5"/>
  <c r="R262" i="4"/>
  <c r="R260" i="4"/>
  <c r="R263" i="4"/>
  <c r="R261" i="4"/>
  <c r="R259" i="4"/>
  <c r="R257" i="4"/>
  <c r="R256" i="4"/>
  <c r="R254" i="4"/>
  <c r="R252" i="4"/>
  <c r="R250" i="4"/>
  <c r="F170" i="4"/>
  <c r="F57" i="6"/>
  <c r="F199" i="7" s="1"/>
  <c r="F251" i="4"/>
  <c r="P170" i="4"/>
  <c r="P57" i="6"/>
  <c r="P199" i="7" s="1"/>
  <c r="F177" i="4"/>
  <c r="F258" i="4"/>
  <c r="R177" i="4"/>
  <c r="R258" i="4"/>
  <c r="R70" i="5"/>
  <c r="O46" i="4"/>
  <c r="O265" i="4" s="1"/>
  <c r="O184" i="4"/>
  <c r="O71" i="6"/>
  <c r="O213" i="7" s="1"/>
  <c r="O77" i="5"/>
  <c r="O132" i="7" s="1"/>
  <c r="P190" i="4"/>
  <c r="P83" i="5"/>
  <c r="P138" i="7" s="1"/>
  <c r="M58" i="4"/>
  <c r="M4" i="7" s="1"/>
  <c r="K112" i="4"/>
  <c r="N127" i="4"/>
  <c r="N46" i="7" s="1"/>
  <c r="N47" i="7"/>
  <c r="P106" i="5"/>
  <c r="G216" i="4"/>
  <c r="G103" i="6"/>
  <c r="G109" i="5"/>
  <c r="Q170" i="4"/>
  <c r="Q63" i="5"/>
  <c r="Q118" i="7" s="1"/>
  <c r="Q205" i="4"/>
  <c r="Q92" i="6"/>
  <c r="Q98" i="5"/>
  <c r="Q213" i="4"/>
  <c r="Q100" i="6"/>
  <c r="V196" i="4"/>
  <c r="V89" i="5"/>
  <c r="N199" i="4"/>
  <c r="N86" i="6"/>
  <c r="N92" i="5"/>
  <c r="O200" i="4"/>
  <c r="O87" i="6"/>
  <c r="O93" i="5"/>
  <c r="R201" i="4"/>
  <c r="R88" i="6"/>
  <c r="R94" i="5"/>
  <c r="P202" i="4"/>
  <c r="P89" i="6"/>
  <c r="P95" i="5"/>
  <c r="T203" i="4"/>
  <c r="T90" i="6"/>
  <c r="T96" i="5"/>
  <c r="U98" i="5"/>
  <c r="U206" i="4"/>
  <c r="U93" i="6"/>
  <c r="U99" i="5"/>
  <c r="V207" i="4"/>
  <c r="V94" i="6"/>
  <c r="V100" i="5"/>
  <c r="M209" i="4"/>
  <c r="M96" i="6"/>
  <c r="M102" i="5"/>
  <c r="O212" i="4"/>
  <c r="O99" i="6"/>
  <c r="O105" i="5"/>
  <c r="R213" i="4"/>
  <c r="R100" i="6"/>
  <c r="R106" i="5"/>
  <c r="Q214" i="4"/>
  <c r="Q101" i="6"/>
  <c r="Q107" i="5"/>
  <c r="U216" i="4"/>
  <c r="U103" i="6"/>
  <c r="U109" i="5"/>
  <c r="V26" i="4"/>
  <c r="V218" i="4"/>
  <c r="V105" i="6"/>
  <c r="V111" i="5"/>
  <c r="B196" i="4"/>
  <c r="B83" i="6"/>
  <c r="B89" i="5"/>
  <c r="J200" i="4"/>
  <c r="J87" i="6"/>
  <c r="J93" i="5"/>
  <c r="I203" i="4"/>
  <c r="I96" i="5"/>
  <c r="I90" i="6"/>
  <c r="E206" i="4"/>
  <c r="E93" i="6"/>
  <c r="E99" i="5"/>
  <c r="J207" i="4"/>
  <c r="J94" i="6"/>
  <c r="J100" i="5"/>
  <c r="G212" i="4"/>
  <c r="G99" i="6"/>
  <c r="G105" i="5"/>
  <c r="J214" i="4"/>
  <c r="J101" i="6"/>
  <c r="J107" i="5"/>
  <c r="I216" i="4"/>
  <c r="I103" i="6"/>
  <c r="I109" i="5"/>
  <c r="J219" i="4"/>
  <c r="J106" i="6"/>
  <c r="J112" i="5"/>
  <c r="B199" i="4"/>
  <c r="B86" i="6"/>
  <c r="B92" i="5"/>
  <c r="G214" i="4"/>
  <c r="G101" i="6"/>
  <c r="G107" i="5"/>
  <c r="H216" i="4"/>
  <c r="H103" i="6"/>
  <c r="H109" i="5"/>
  <c r="F263" i="4"/>
  <c r="F261" i="4"/>
  <c r="F259" i="4"/>
  <c r="F257" i="4"/>
  <c r="F262" i="4"/>
  <c r="F260" i="4"/>
  <c r="F255" i="4"/>
  <c r="F253" i="4"/>
  <c r="F249" i="4"/>
  <c r="F254" i="4"/>
  <c r="F252" i="4"/>
  <c r="F250" i="4"/>
  <c r="R170" i="4"/>
  <c r="R57" i="6"/>
  <c r="R199" i="7" s="1"/>
  <c r="R63" i="5"/>
  <c r="R118" i="7" s="1"/>
  <c r="J70" i="5"/>
  <c r="T177" i="4"/>
  <c r="T64" i="6"/>
  <c r="T206" i="7" s="1"/>
  <c r="P31" i="4"/>
  <c r="P64" i="6"/>
  <c r="P70" i="5"/>
  <c r="G46" i="4"/>
  <c r="G271" i="4" s="1"/>
  <c r="G184" i="4"/>
  <c r="Q184" i="4"/>
  <c r="R190" i="4"/>
  <c r="R77" i="6"/>
  <c r="R219" i="7" s="1"/>
  <c r="R83" i="5"/>
  <c r="R138" i="7" s="1"/>
  <c r="T112" i="4"/>
  <c r="O201" i="4"/>
  <c r="O88" i="6"/>
  <c r="O94" i="5"/>
  <c r="V208" i="4"/>
  <c r="V95" i="6"/>
  <c r="V101" i="5"/>
  <c r="V219" i="4"/>
  <c r="V106" i="6"/>
  <c r="V112" i="5"/>
  <c r="I207" i="4"/>
  <c r="I94" i="6"/>
  <c r="I100" i="5"/>
  <c r="I198" i="4"/>
  <c r="I85" i="6"/>
  <c r="I91" i="5"/>
  <c r="E216" i="4"/>
  <c r="E103" i="6"/>
  <c r="E109" i="5"/>
  <c r="O207" i="4"/>
  <c r="Q190" i="4"/>
  <c r="D212" i="4"/>
  <c r="D99" i="6"/>
  <c r="D105" i="5"/>
  <c r="N198" i="4"/>
  <c r="N85" i="6"/>
  <c r="N91" i="5"/>
  <c r="Q199" i="4"/>
  <c r="Q86" i="6"/>
  <c r="Q92" i="5"/>
  <c r="P200" i="4"/>
  <c r="P87" i="6"/>
  <c r="P93" i="5"/>
  <c r="S201" i="4"/>
  <c r="S88" i="6"/>
  <c r="S94" i="5"/>
  <c r="Q202" i="4"/>
  <c r="Q89" i="6"/>
  <c r="Q95" i="5"/>
  <c r="U203" i="4"/>
  <c r="U90" i="6"/>
  <c r="U96" i="5"/>
  <c r="V13" i="4"/>
  <c r="V205" i="4"/>
  <c r="V92" i="6"/>
  <c r="V98" i="5"/>
  <c r="V206" i="4"/>
  <c r="V93" i="6"/>
  <c r="V99" i="5"/>
  <c r="N208" i="4"/>
  <c r="N95" i="6"/>
  <c r="N101" i="5"/>
  <c r="N209" i="4"/>
  <c r="N96" i="6"/>
  <c r="N102" i="5"/>
  <c r="P212" i="4"/>
  <c r="P99" i="6"/>
  <c r="P105" i="5"/>
  <c r="S213" i="4"/>
  <c r="S100" i="6"/>
  <c r="S106" i="5"/>
  <c r="R214" i="4"/>
  <c r="R101" i="6"/>
  <c r="R107" i="5"/>
  <c r="U215" i="4"/>
  <c r="U102" i="6"/>
  <c r="U108" i="5"/>
  <c r="V216" i="4"/>
  <c r="V103" i="6"/>
  <c r="V109" i="5"/>
  <c r="M219" i="4"/>
  <c r="M106" i="6"/>
  <c r="M112" i="5"/>
  <c r="F196" i="4"/>
  <c r="F83" i="6"/>
  <c r="F89" i="5"/>
  <c r="C199" i="4"/>
  <c r="C86" i="6"/>
  <c r="C92" i="5"/>
  <c r="D201" i="4"/>
  <c r="D88" i="6"/>
  <c r="D94" i="5"/>
  <c r="K203" i="4"/>
  <c r="K90" i="6"/>
  <c r="K96" i="5"/>
  <c r="F206" i="4"/>
  <c r="F93" i="6"/>
  <c r="F99" i="5"/>
  <c r="K207" i="4"/>
  <c r="K94" i="6"/>
  <c r="K100" i="5"/>
  <c r="C209" i="4"/>
  <c r="C96" i="6"/>
  <c r="C102" i="5"/>
  <c r="I212" i="4"/>
  <c r="I99" i="6"/>
  <c r="I105" i="5"/>
  <c r="C215" i="4"/>
  <c r="C102" i="6"/>
  <c r="C108" i="5"/>
  <c r="J216" i="4"/>
  <c r="J103" i="6"/>
  <c r="J109" i="5"/>
  <c r="K219" i="4"/>
  <c r="K106" i="6"/>
  <c r="K112" i="5"/>
  <c r="E199" i="4"/>
  <c r="E86" i="6"/>
  <c r="E92" i="5"/>
  <c r="G202" i="4"/>
  <c r="G89" i="6"/>
  <c r="G95" i="5"/>
  <c r="G229" i="4"/>
  <c r="E212" i="4"/>
  <c r="E99" i="6"/>
  <c r="E105" i="5"/>
  <c r="H214" i="4"/>
  <c r="H101" i="6"/>
  <c r="H107" i="5"/>
  <c r="B190" i="4"/>
  <c r="B77" i="6"/>
  <c r="B219" i="7" s="1"/>
  <c r="B83" i="5"/>
  <c r="B138" i="7" s="1"/>
  <c r="U170" i="4"/>
  <c r="K177" i="4"/>
  <c r="K64" i="6"/>
  <c r="K206" i="7" s="1"/>
  <c r="K70" i="5"/>
  <c r="K125" i="7" s="1"/>
  <c r="H184" i="4"/>
  <c r="H71" i="6"/>
  <c r="H213" i="7" s="1"/>
  <c r="H77" i="5"/>
  <c r="H132" i="7" s="1"/>
  <c r="R184" i="4"/>
  <c r="R77" i="5"/>
  <c r="R132" i="7" s="1"/>
  <c r="G77" i="6"/>
  <c r="G83" i="5"/>
  <c r="V190" i="4"/>
  <c r="V77" i="6"/>
  <c r="V219" i="7" s="1"/>
  <c r="N112" i="4"/>
  <c r="N31" i="7" s="1"/>
  <c r="N40" i="7"/>
  <c r="V112" i="4"/>
  <c r="V31" i="7" s="1"/>
  <c r="V40" i="7"/>
  <c r="E47" i="7"/>
  <c r="R249" i="4"/>
  <c r="T205" i="4"/>
  <c r="T92" i="6"/>
  <c r="U218" i="4"/>
  <c r="U105" i="6"/>
  <c r="U111" i="5"/>
  <c r="K201" i="4"/>
  <c r="K88" i="6"/>
  <c r="K94" i="5"/>
  <c r="G170" i="4"/>
  <c r="G57" i="6"/>
  <c r="G199" i="7" s="1"/>
  <c r="G63" i="5"/>
  <c r="G118" i="7" s="1"/>
  <c r="O209" i="4"/>
  <c r="O96" i="6"/>
  <c r="O102" i="5"/>
  <c r="M212" i="4"/>
  <c r="M99" i="6"/>
  <c r="M105" i="5"/>
  <c r="R199" i="4"/>
  <c r="R86" i="6"/>
  <c r="R92" i="5"/>
  <c r="N219" i="4"/>
  <c r="N106" i="6"/>
  <c r="N112" i="5"/>
  <c r="B202" i="4"/>
  <c r="B89" i="6"/>
  <c r="B95" i="5"/>
  <c r="I206" i="4"/>
  <c r="I93" i="6"/>
  <c r="I99" i="5"/>
  <c r="B208" i="4"/>
  <c r="B95" i="6"/>
  <c r="B101" i="5"/>
  <c r="D209" i="4"/>
  <c r="D96" i="6"/>
  <c r="D102" i="5"/>
  <c r="J212" i="4"/>
  <c r="J99" i="6"/>
  <c r="J105" i="5"/>
  <c r="D215" i="4"/>
  <c r="D102" i="6"/>
  <c r="D108" i="5"/>
  <c r="E218" i="4"/>
  <c r="E105" i="6"/>
  <c r="E111" i="5"/>
  <c r="J199" i="4"/>
  <c r="J86" i="6"/>
  <c r="J92" i="5"/>
  <c r="H202" i="4"/>
  <c r="H89" i="6"/>
  <c r="H95" i="5"/>
  <c r="H229" i="4"/>
  <c r="G206" i="4"/>
  <c r="G93" i="6"/>
  <c r="G99" i="5"/>
  <c r="B184" i="4"/>
  <c r="J254" i="4"/>
  <c r="J57" i="6"/>
  <c r="J251" i="4"/>
  <c r="V57" i="6"/>
  <c r="V63" i="5"/>
  <c r="V251" i="4"/>
  <c r="J98" i="5"/>
  <c r="N273" i="4"/>
  <c r="N269" i="4"/>
  <c r="N267" i="4"/>
  <c r="N272" i="4"/>
  <c r="N270" i="4"/>
  <c r="N268" i="4"/>
  <c r="N266" i="4"/>
  <c r="N264" i="4"/>
  <c r="I184" i="4"/>
  <c r="U184" i="4"/>
  <c r="I77" i="6"/>
  <c r="I83" i="5"/>
  <c r="I138" i="7" s="1"/>
  <c r="C111" i="5"/>
  <c r="S26" i="4"/>
  <c r="S218" i="4"/>
  <c r="S105" i="6"/>
  <c r="S111" i="5"/>
  <c r="O219" i="4"/>
  <c r="O106" i="6"/>
  <c r="O112" i="5"/>
  <c r="F58" i="4"/>
  <c r="F13" i="7"/>
  <c r="O20" i="7"/>
  <c r="V73" i="4"/>
  <c r="V19" i="7" s="1"/>
  <c r="V20" i="7"/>
  <c r="B85" i="4"/>
  <c r="B100" i="4"/>
  <c r="F40" i="7"/>
  <c r="F127" i="4"/>
  <c r="F46" i="7" s="1"/>
  <c r="F47" i="7"/>
  <c r="U127" i="4"/>
  <c r="U46" i="7" s="1"/>
  <c r="U47" i="7"/>
  <c r="P201" i="4"/>
  <c r="P88" i="6"/>
  <c r="P94" i="5"/>
  <c r="T98" i="5"/>
  <c r="U207" i="4"/>
  <c r="U94" i="6"/>
  <c r="U100" i="5"/>
  <c r="F198" i="4"/>
  <c r="F85" i="6"/>
  <c r="F91" i="5"/>
  <c r="I208" i="4"/>
  <c r="I95" i="6"/>
  <c r="I101" i="5"/>
  <c r="E263" i="4"/>
  <c r="E261" i="4"/>
  <c r="E259" i="4"/>
  <c r="E257" i="4"/>
  <c r="E262" i="4"/>
  <c r="E260" i="4"/>
  <c r="E255" i="4"/>
  <c r="E253" i="4"/>
  <c r="E249" i="4"/>
  <c r="S64" i="6"/>
  <c r="S70" i="5"/>
  <c r="S125" i="7" s="1"/>
  <c r="S208" i="4"/>
  <c r="S95" i="6"/>
  <c r="S101" i="5"/>
  <c r="U196" i="4"/>
  <c r="U83" i="6"/>
  <c r="U89" i="5"/>
  <c r="D101" i="5"/>
  <c r="T201" i="4"/>
  <c r="T88" i="6"/>
  <c r="T94" i="5"/>
  <c r="Q212" i="4"/>
  <c r="Q99" i="6"/>
  <c r="Q105" i="5"/>
  <c r="P198" i="4"/>
  <c r="P85" i="6"/>
  <c r="P91" i="5"/>
  <c r="U201" i="4"/>
  <c r="U88" i="6"/>
  <c r="U94" i="5"/>
  <c r="V202" i="4"/>
  <c r="V89" i="6"/>
  <c r="V95" i="5"/>
  <c r="M205" i="4"/>
  <c r="M92" i="6"/>
  <c r="M98" i="5"/>
  <c r="N206" i="4"/>
  <c r="N207" i="4"/>
  <c r="N94" i="6"/>
  <c r="N100" i="5"/>
  <c r="P208" i="4"/>
  <c r="P95" i="6"/>
  <c r="P101" i="5"/>
  <c r="S209" i="4"/>
  <c r="S96" i="6"/>
  <c r="S102" i="5"/>
  <c r="R212" i="4"/>
  <c r="R99" i="6"/>
  <c r="R105" i="5"/>
  <c r="U213" i="4"/>
  <c r="U100" i="6"/>
  <c r="U106" i="5"/>
  <c r="V214" i="4"/>
  <c r="V101" i="6"/>
  <c r="V107" i="5"/>
  <c r="N216" i="4"/>
  <c r="N103" i="6"/>
  <c r="N109" i="5"/>
  <c r="O218" i="4"/>
  <c r="O105" i="6"/>
  <c r="O111" i="5"/>
  <c r="R219" i="4"/>
  <c r="R106" i="6"/>
  <c r="R112" i="5"/>
  <c r="I196" i="4"/>
  <c r="I83" i="6"/>
  <c r="I89" i="5"/>
  <c r="K199" i="4"/>
  <c r="K86" i="6"/>
  <c r="E202" i="4"/>
  <c r="E89" i="6"/>
  <c r="E95" i="5"/>
  <c r="E229" i="4"/>
  <c r="D205" i="4"/>
  <c r="D92" i="6"/>
  <c r="D98" i="5"/>
  <c r="J206" i="4"/>
  <c r="J93" i="6"/>
  <c r="J99" i="5"/>
  <c r="E209" i="4"/>
  <c r="E96" i="6"/>
  <c r="I108" i="5"/>
  <c r="F218" i="4"/>
  <c r="E196" i="4"/>
  <c r="E83" i="6"/>
  <c r="E89" i="5"/>
  <c r="I202" i="4"/>
  <c r="I89" i="6"/>
  <c r="I95" i="5"/>
  <c r="C213" i="4"/>
  <c r="C100" i="6"/>
  <c r="C106" i="5"/>
  <c r="E215" i="4"/>
  <c r="E102" i="6"/>
  <c r="E108" i="5"/>
  <c r="H218" i="4"/>
  <c r="H105" i="6"/>
  <c r="H111" i="5"/>
  <c r="S198" i="4"/>
  <c r="S85" i="6"/>
  <c r="S91" i="5"/>
  <c r="O92" i="5"/>
  <c r="S202" i="4"/>
  <c r="S89" i="6"/>
  <c r="S95" i="5"/>
  <c r="C177" i="4"/>
  <c r="C64" i="6"/>
  <c r="C206" i="7" s="1"/>
  <c r="M177" i="4"/>
  <c r="Q46" i="4"/>
  <c r="Q265" i="4" s="1"/>
  <c r="V184" i="4"/>
  <c r="V71" i="6"/>
  <c r="V213" i="7" s="1"/>
  <c r="V77" i="5"/>
  <c r="V132" i="7" s="1"/>
  <c r="J77" i="6"/>
  <c r="J219" i="7" s="1"/>
  <c r="D26" i="4"/>
  <c r="D218" i="4"/>
  <c r="D105" i="6"/>
  <c r="D111" i="5"/>
  <c r="P73" i="4"/>
  <c r="P19" i="7" s="1"/>
  <c r="P20" i="7"/>
  <c r="V127" i="4"/>
  <c r="V46" i="7" s="1"/>
  <c r="V47" i="7"/>
  <c r="R47" i="7"/>
  <c r="U198" i="4"/>
  <c r="U85" i="6"/>
  <c r="U91" i="5"/>
  <c r="H199" i="4"/>
  <c r="H86" i="6"/>
  <c r="M200" i="4"/>
  <c r="U202" i="4"/>
  <c r="U89" i="6"/>
  <c r="U95" i="5"/>
  <c r="Q203" i="4"/>
  <c r="Q90" i="6"/>
  <c r="Q219" i="4"/>
  <c r="Q106" i="6"/>
  <c r="E250" i="4"/>
  <c r="R251" i="4"/>
  <c r="M199" i="4"/>
  <c r="M86" i="6"/>
  <c r="M92" i="5"/>
  <c r="S203" i="4"/>
  <c r="S90" i="6"/>
  <c r="S96" i="5"/>
  <c r="N212" i="4"/>
  <c r="N99" i="6"/>
  <c r="N105" i="5"/>
  <c r="S215" i="4"/>
  <c r="S102" i="6"/>
  <c r="S108" i="5"/>
  <c r="D203" i="4"/>
  <c r="D90" i="6"/>
  <c r="D96" i="5"/>
  <c r="D230" i="4"/>
  <c r="F212" i="4"/>
  <c r="F99" i="6"/>
  <c r="F105" i="5"/>
  <c r="B205" i="4"/>
  <c r="B92" i="6"/>
  <c r="B98" i="5"/>
  <c r="U263" i="4"/>
  <c r="U250" i="4"/>
  <c r="U256" i="4"/>
  <c r="O47" i="7"/>
  <c r="M83" i="6"/>
  <c r="V203" i="4"/>
  <c r="V90" i="6"/>
  <c r="V96" i="5"/>
  <c r="R209" i="4"/>
  <c r="R96" i="6"/>
  <c r="R102" i="5"/>
  <c r="V215" i="4"/>
  <c r="V102" i="6"/>
  <c r="V108" i="5"/>
  <c r="C205" i="4"/>
  <c r="C92" i="6"/>
  <c r="C98" i="5"/>
  <c r="S199" i="4"/>
  <c r="S86" i="6"/>
  <c r="S92" i="5"/>
  <c r="O196" i="4"/>
  <c r="O83" i="6"/>
  <c r="O89" i="5"/>
  <c r="T199" i="4"/>
  <c r="T86" i="6"/>
  <c r="T92" i="5"/>
  <c r="V201" i="4"/>
  <c r="V88" i="6"/>
  <c r="V94" i="5"/>
  <c r="M203" i="4"/>
  <c r="O206" i="4"/>
  <c r="O93" i="6"/>
  <c r="O99" i="5"/>
  <c r="Q208" i="4"/>
  <c r="Q95" i="6"/>
  <c r="Q101" i="5"/>
  <c r="T209" i="4"/>
  <c r="T96" i="6"/>
  <c r="T102" i="5"/>
  <c r="U212" i="4"/>
  <c r="U99" i="6"/>
  <c r="V213" i="4"/>
  <c r="V100" i="6"/>
  <c r="V106" i="5"/>
  <c r="M215" i="4"/>
  <c r="M102" i="6"/>
  <c r="M108" i="5"/>
  <c r="O216" i="4"/>
  <c r="O103" i="6"/>
  <c r="P218" i="4"/>
  <c r="P105" i="6"/>
  <c r="P111" i="5"/>
  <c r="J196" i="4"/>
  <c r="J83" i="6"/>
  <c r="J89" i="5"/>
  <c r="B200" i="4"/>
  <c r="B87" i="6"/>
  <c r="B93" i="5"/>
  <c r="F89" i="6"/>
  <c r="F95" i="5"/>
  <c r="F229" i="4"/>
  <c r="E205" i="4"/>
  <c r="E92" i="6"/>
  <c r="E98" i="5"/>
  <c r="B207" i="4"/>
  <c r="E213" i="4"/>
  <c r="E100" i="6"/>
  <c r="E106" i="5"/>
  <c r="K215" i="4"/>
  <c r="K102" i="6"/>
  <c r="K108" i="5"/>
  <c r="B219" i="4"/>
  <c r="B106" i="6"/>
  <c r="B112" i="5"/>
  <c r="H200" i="4"/>
  <c r="H87" i="6"/>
  <c r="H93" i="5"/>
  <c r="F213" i="4"/>
  <c r="F100" i="6"/>
  <c r="F106" i="5"/>
  <c r="F215" i="4"/>
  <c r="F102" i="6"/>
  <c r="F108" i="5"/>
  <c r="I218" i="4"/>
  <c r="I105" i="6"/>
  <c r="I111" i="5"/>
  <c r="D202" i="4"/>
  <c r="D89" i="6"/>
  <c r="D95" i="5"/>
  <c r="D229" i="4"/>
  <c r="N177" i="4"/>
  <c r="N70" i="5"/>
  <c r="N125" i="7" s="1"/>
  <c r="R272" i="4"/>
  <c r="R270" i="4"/>
  <c r="R268" i="4"/>
  <c r="R266" i="4"/>
  <c r="M184" i="4"/>
  <c r="M71" i="6"/>
  <c r="M213" i="7" s="1"/>
  <c r="M77" i="5"/>
  <c r="M132" i="7" s="1"/>
  <c r="S212" i="4"/>
  <c r="S99" i="6"/>
  <c r="S105" i="5"/>
  <c r="O213" i="4"/>
  <c r="O100" i="6"/>
  <c r="O106" i="5"/>
  <c r="S214" i="4"/>
  <c r="S101" i="6"/>
  <c r="S107" i="5"/>
  <c r="N77" i="6"/>
  <c r="N271" i="4"/>
  <c r="N83" i="5"/>
  <c r="E190" i="4"/>
  <c r="U46" i="4"/>
  <c r="U265" i="4" s="1"/>
  <c r="U83" i="5"/>
  <c r="D73" i="4"/>
  <c r="D26" i="7"/>
  <c r="M73" i="4"/>
  <c r="M26" i="7"/>
  <c r="U73" i="4"/>
  <c r="J127" i="4"/>
  <c r="J46" i="7" s="1"/>
  <c r="J47" i="7"/>
  <c r="S47" i="7"/>
  <c r="I199" i="4"/>
  <c r="I88" i="6"/>
  <c r="I214" i="4"/>
  <c r="I101" i="6"/>
  <c r="I107" i="5"/>
  <c r="R196" i="4"/>
  <c r="R83" i="6"/>
  <c r="R89" i="5"/>
  <c r="O202" i="4"/>
  <c r="O89" i="6"/>
  <c r="O95" i="5"/>
  <c r="N213" i="4"/>
  <c r="N100" i="6"/>
  <c r="N106" i="5"/>
  <c r="R216" i="4"/>
  <c r="R103" i="6"/>
  <c r="R109" i="5"/>
  <c r="B206" i="4"/>
  <c r="B93" i="6"/>
  <c r="B99" i="5"/>
  <c r="F214" i="4"/>
  <c r="F101" i="6"/>
  <c r="F107" i="5"/>
  <c r="J209" i="4"/>
  <c r="J96" i="6"/>
  <c r="J102" i="5"/>
  <c r="O31" i="4"/>
  <c r="P46" i="4"/>
  <c r="P265" i="4" s="1"/>
  <c r="P184" i="4"/>
  <c r="O198" i="4"/>
  <c r="O85" i="6"/>
  <c r="O91" i="5"/>
  <c r="R202" i="4"/>
  <c r="R89" i="6"/>
  <c r="R95" i="5"/>
  <c r="O208" i="4"/>
  <c r="O95" i="6"/>
  <c r="O101" i="5"/>
  <c r="U214" i="4"/>
  <c r="U101" i="6"/>
  <c r="U107" i="5"/>
  <c r="N26" i="4"/>
  <c r="N218" i="4"/>
  <c r="N105" i="6"/>
  <c r="N111" i="5"/>
  <c r="D199" i="4"/>
  <c r="D86" i="6"/>
  <c r="D92" i="5"/>
  <c r="N196" i="4"/>
  <c r="N83" i="6"/>
  <c r="N89" i="5"/>
  <c r="R200" i="4"/>
  <c r="R87" i="6"/>
  <c r="R93" i="5"/>
  <c r="V200" i="4"/>
  <c r="V87" i="6"/>
  <c r="V93" i="5"/>
  <c r="P196" i="4"/>
  <c r="P83" i="6"/>
  <c r="P89" i="5"/>
  <c r="R198" i="4"/>
  <c r="R85" i="6"/>
  <c r="R91" i="5"/>
  <c r="U199" i="4"/>
  <c r="U86" i="6"/>
  <c r="U92" i="5"/>
  <c r="M201" i="4"/>
  <c r="M88" i="6"/>
  <c r="M94" i="5"/>
  <c r="M202" i="4"/>
  <c r="M89" i="6"/>
  <c r="M95" i="5"/>
  <c r="N203" i="4"/>
  <c r="N90" i="6"/>
  <c r="N96" i="5"/>
  <c r="R205" i="4"/>
  <c r="R92" i="6"/>
  <c r="R98" i="5"/>
  <c r="P206" i="4"/>
  <c r="P93" i="6"/>
  <c r="P99" i="5"/>
  <c r="S207" i="4"/>
  <c r="S94" i="6"/>
  <c r="S100" i="5"/>
  <c r="R208" i="4"/>
  <c r="R95" i="6"/>
  <c r="R101" i="5"/>
  <c r="U209" i="4"/>
  <c r="U96" i="6"/>
  <c r="U102" i="5"/>
  <c r="V212" i="4"/>
  <c r="V99" i="6"/>
  <c r="V105" i="5"/>
  <c r="N214" i="4"/>
  <c r="N101" i="6"/>
  <c r="N215" i="4"/>
  <c r="N102" i="6"/>
  <c r="N108" i="5"/>
  <c r="P216" i="4"/>
  <c r="P103" i="6"/>
  <c r="P109" i="5"/>
  <c r="Q218" i="4"/>
  <c r="Q105" i="6"/>
  <c r="Q111" i="5"/>
  <c r="T219" i="4"/>
  <c r="T106" i="6"/>
  <c r="T112" i="5"/>
  <c r="B198" i="4"/>
  <c r="B85" i="6"/>
  <c r="B91" i="5"/>
  <c r="F200" i="4"/>
  <c r="F87" i="6"/>
  <c r="F93" i="5"/>
  <c r="J202" i="4"/>
  <c r="J89" i="6"/>
  <c r="J95" i="5"/>
  <c r="F205" i="4"/>
  <c r="F92" i="6"/>
  <c r="F98" i="5"/>
  <c r="C207" i="4"/>
  <c r="C94" i="6"/>
  <c r="C100" i="5"/>
  <c r="G208" i="4"/>
  <c r="G95" i="6"/>
  <c r="G101" i="5"/>
  <c r="K209" i="4"/>
  <c r="K96" i="6"/>
  <c r="K102" i="5"/>
  <c r="B214" i="4"/>
  <c r="B101" i="6"/>
  <c r="B107" i="5"/>
  <c r="B216" i="4"/>
  <c r="B103" i="6"/>
  <c r="B109" i="5"/>
  <c r="C219" i="4"/>
  <c r="C106" i="6"/>
  <c r="C112" i="5"/>
  <c r="B88" i="6"/>
  <c r="E203" i="4"/>
  <c r="E90" i="6"/>
  <c r="E96" i="5"/>
  <c r="I213" i="4"/>
  <c r="I100" i="6"/>
  <c r="I106" i="5"/>
  <c r="J215" i="4"/>
  <c r="J102" i="6"/>
  <c r="J108" i="5"/>
  <c r="J218" i="4"/>
  <c r="J105" i="6"/>
  <c r="J111" i="5"/>
  <c r="Q31" i="4"/>
  <c r="Q258" i="4" s="1"/>
  <c r="E57" i="6"/>
  <c r="E251" i="4"/>
  <c r="O170" i="4"/>
  <c r="E177" i="4"/>
  <c r="E64" i="6"/>
  <c r="E206" i="7" s="1"/>
  <c r="E70" i="5"/>
  <c r="E125" i="7" s="1"/>
  <c r="E258" i="4"/>
  <c r="Q177" i="4"/>
  <c r="Q64" i="6"/>
  <c r="Q206" i="7" s="1"/>
  <c r="Q70" i="5"/>
  <c r="Q125" i="7" s="1"/>
  <c r="V46" i="4"/>
  <c r="N71" i="6"/>
  <c r="N265" i="4"/>
  <c r="N77" i="5"/>
  <c r="T184" i="4"/>
  <c r="O77" i="6"/>
  <c r="O271" i="4"/>
  <c r="O83" i="5"/>
  <c r="H58" i="4"/>
  <c r="I58" i="4"/>
  <c r="I4" i="7" s="1"/>
  <c r="I13" i="7"/>
  <c r="R58" i="4"/>
  <c r="R13" i="7"/>
  <c r="R73" i="4"/>
  <c r="R19" i="7" s="1"/>
  <c r="R20" i="7"/>
  <c r="G112" i="4"/>
  <c r="M47" i="7"/>
  <c r="N250" i="4"/>
  <c r="E252" i="4"/>
  <c r="R253" i="4"/>
  <c r="O109" i="5"/>
  <c r="V83" i="6"/>
  <c r="Q215" i="4"/>
  <c r="Q102" i="6"/>
  <c r="Q108" i="5"/>
  <c r="M216" i="4"/>
  <c r="O4" i="6"/>
  <c r="O47" i="6" s="1"/>
  <c r="L4" i="6"/>
  <c r="T42" i="5"/>
  <c r="N18" i="5"/>
  <c r="Q4" i="5"/>
  <c r="F4" i="5"/>
  <c r="G10" i="4"/>
  <c r="P28" i="4"/>
  <c r="R20" i="4"/>
  <c r="P8" i="4"/>
  <c r="T9" i="4"/>
  <c r="H12" i="4"/>
  <c r="P12" i="4"/>
  <c r="C21" i="4"/>
  <c r="G22" i="4"/>
  <c r="C23" i="4"/>
  <c r="K23" i="4"/>
  <c r="C25" i="4"/>
  <c r="K25" i="4"/>
  <c r="K7" i="4"/>
  <c r="G12" i="4"/>
  <c r="D9" i="4"/>
  <c r="H10" i="4"/>
  <c r="T11" i="4"/>
  <c r="G24" i="4"/>
  <c r="H22" i="4"/>
  <c r="T23" i="4"/>
  <c r="H24" i="4"/>
  <c r="P24" i="4"/>
  <c r="D25" i="4"/>
  <c r="T25" i="4"/>
  <c r="G8" i="4"/>
  <c r="T7" i="4"/>
  <c r="T27" i="4"/>
  <c r="O26" i="4"/>
  <c r="E20" i="4"/>
  <c r="C15" i="4"/>
  <c r="K15" i="4"/>
  <c r="G16" i="4"/>
  <c r="K17" i="4"/>
  <c r="G18" i="4"/>
  <c r="K11" i="4"/>
  <c r="H16" i="4"/>
  <c r="P16" i="4"/>
  <c r="T17" i="4"/>
  <c r="H18" i="4"/>
  <c r="P18" i="4"/>
  <c r="J112" i="4"/>
  <c r="S112" i="4"/>
  <c r="C100" i="4"/>
  <c r="E58" i="4"/>
  <c r="E168" i="4" s="1"/>
  <c r="B73" i="4"/>
  <c r="B19" i="7" s="1"/>
  <c r="T73" i="4"/>
  <c r="H53" i="4"/>
  <c r="P14" i="4"/>
  <c r="T21" i="4"/>
  <c r="D5" i="4"/>
  <c r="I26" i="4"/>
  <c r="O14" i="4"/>
  <c r="L27" i="4"/>
  <c r="S5" i="4"/>
  <c r="G14" i="4"/>
  <c r="C7" i="4"/>
  <c r="C5" i="4"/>
  <c r="T5" i="4"/>
  <c r="N20" i="4"/>
  <c r="V20" i="4"/>
  <c r="R26" i="4"/>
  <c r="H14" i="4"/>
  <c r="K33" i="4"/>
  <c r="S33" i="4"/>
  <c r="C47" i="4"/>
  <c r="S47" i="4"/>
  <c r="C53" i="4"/>
  <c r="K53" i="4"/>
  <c r="S53" i="4"/>
  <c r="R6" i="4"/>
  <c r="Q26" i="4"/>
  <c r="L31" i="4"/>
  <c r="T33" i="4"/>
  <c r="D53" i="4"/>
  <c r="T53" i="4"/>
  <c r="U26" i="4"/>
  <c r="F20" i="4"/>
  <c r="H5" i="4"/>
  <c r="D7" i="4"/>
  <c r="H21" i="4"/>
  <c r="B40" i="4"/>
  <c r="G7" i="4"/>
  <c r="K9" i="4"/>
  <c r="K5" i="4"/>
  <c r="E26" i="4"/>
  <c r="E16" i="4"/>
  <c r="B22" i="4"/>
  <c r="J26" i="4"/>
  <c r="C9" i="4"/>
  <c r="K21" i="4"/>
  <c r="F8" i="4"/>
  <c r="J22" i="4"/>
  <c r="H15" i="4"/>
  <c r="G27" i="4"/>
  <c r="F28" i="4"/>
  <c r="U125" i="7" l="1"/>
  <c r="U59" i="7"/>
  <c r="U118" i="7"/>
  <c r="T213" i="7"/>
  <c r="M13" i="4"/>
  <c r="K184" i="4"/>
  <c r="B57" i="6"/>
  <c r="P71" i="6"/>
  <c r="P213" i="7" s="1"/>
  <c r="O6" i="4"/>
  <c r="S42" i="5"/>
  <c r="W231" i="4"/>
  <c r="Q91" i="5"/>
  <c r="M196" i="4"/>
  <c r="U20" i="4"/>
  <c r="O138" i="7"/>
  <c r="Q85" i="6"/>
  <c r="B127" i="4"/>
  <c r="B46" i="7" s="1"/>
  <c r="K71" i="6"/>
  <c r="K213" i="7" s="1"/>
  <c r="B230" i="4"/>
  <c r="S106" i="6"/>
  <c r="O86" i="6"/>
  <c r="S177" i="4"/>
  <c r="G112" i="5"/>
  <c r="C105" i="6"/>
  <c r="T106" i="5"/>
  <c r="I63" i="5"/>
  <c r="I118" i="7" s="1"/>
  <c r="H177" i="4"/>
  <c r="J198" i="4"/>
  <c r="P213" i="4"/>
  <c r="V254" i="4"/>
  <c r="V259" i="4"/>
  <c r="S118" i="6"/>
  <c r="J13" i="4"/>
  <c r="K77" i="5"/>
  <c r="K132" i="7" s="1"/>
  <c r="J190" i="4"/>
  <c r="S206" i="7"/>
  <c r="M26" i="4"/>
  <c r="O20" i="4"/>
  <c r="N138" i="7"/>
  <c r="B96" i="5"/>
  <c r="S219" i="4"/>
  <c r="O127" i="4"/>
  <c r="O46" i="7" s="1"/>
  <c r="M91" i="5"/>
  <c r="H112" i="5"/>
  <c r="O96" i="5"/>
  <c r="O199" i="4"/>
  <c r="M99" i="5"/>
  <c r="G106" i="6"/>
  <c r="C218" i="4"/>
  <c r="V258" i="4"/>
  <c r="T100" i="6"/>
  <c r="I170" i="4"/>
  <c r="J101" i="5"/>
  <c r="J94" i="5"/>
  <c r="V249" i="4"/>
  <c r="V261" i="4"/>
  <c r="O137" i="5"/>
  <c r="E18" i="5"/>
  <c r="E61" i="5" s="1"/>
  <c r="B112" i="4"/>
  <c r="B31" i="7" s="1"/>
  <c r="O219" i="7"/>
  <c r="V30" i="4"/>
  <c r="B90" i="6"/>
  <c r="Q93" i="5"/>
  <c r="S99" i="5"/>
  <c r="M111" i="5"/>
  <c r="M85" i="6"/>
  <c r="O90" i="6"/>
  <c r="M93" i="6"/>
  <c r="V177" i="4"/>
  <c r="J95" i="6"/>
  <c r="P107" i="5"/>
  <c r="J88" i="6"/>
  <c r="V253" i="4"/>
  <c r="V263" i="4"/>
  <c r="J83" i="5"/>
  <c r="J138" i="7" s="1"/>
  <c r="S13" i="4"/>
  <c r="S58" i="4"/>
  <c r="O190" i="4"/>
  <c r="D107" i="5"/>
  <c r="N219" i="7"/>
  <c r="Q87" i="6"/>
  <c r="S93" i="6"/>
  <c r="M105" i="6"/>
  <c r="G89" i="5"/>
  <c r="M206" i="4"/>
  <c r="O40" i="7"/>
  <c r="F96" i="5"/>
  <c r="M100" i="5"/>
  <c r="G138" i="7"/>
  <c r="J125" i="7"/>
  <c r="P101" i="6"/>
  <c r="V255" i="4"/>
  <c r="V125" i="7"/>
  <c r="N137" i="5"/>
  <c r="R18" i="6"/>
  <c r="R55" i="6" s="1"/>
  <c r="T77" i="5"/>
  <c r="T132" i="7" s="1"/>
  <c r="P77" i="5"/>
  <c r="P132" i="7" s="1"/>
  <c r="N190" i="4"/>
  <c r="F111" i="5"/>
  <c r="N93" i="6"/>
  <c r="G83" i="6"/>
  <c r="F90" i="6"/>
  <c r="M94" i="6"/>
  <c r="G219" i="7"/>
  <c r="J177" i="4"/>
  <c r="V256" i="4"/>
  <c r="O131" i="6"/>
  <c r="I127" i="4"/>
  <c r="I46" i="7" s="1"/>
  <c r="B18" i="5"/>
  <c r="T46" i="4"/>
  <c r="S216" i="4"/>
  <c r="G190" i="4"/>
  <c r="Q57" i="6"/>
  <c r="Q199" i="7" s="1"/>
  <c r="N200" i="4"/>
  <c r="V206" i="7"/>
  <c r="G137" i="5"/>
  <c r="V6" i="4"/>
  <c r="U6" i="4"/>
  <c r="G213" i="7"/>
  <c r="Q96" i="6"/>
  <c r="O73" i="4"/>
  <c r="O19" i="7" s="1"/>
  <c r="R30" i="4"/>
  <c r="Q20" i="4"/>
  <c r="Q98" i="6" s="1"/>
  <c r="K13" i="4"/>
  <c r="H206" i="7"/>
  <c r="J18" i="5"/>
  <c r="J61" i="5" s="1"/>
  <c r="F77" i="5"/>
  <c r="F132" i="7" s="1"/>
  <c r="S6" i="4"/>
  <c r="S90" i="5" s="1"/>
  <c r="I20" i="4"/>
  <c r="C70" i="5"/>
  <c r="C125" i="7" s="1"/>
  <c r="M83" i="5"/>
  <c r="M138" i="7" s="1"/>
  <c r="R47" i="6"/>
  <c r="S18" i="5"/>
  <c r="D57" i="6"/>
  <c r="D199" i="7" s="1"/>
  <c r="C31" i="4"/>
  <c r="C251" i="4" s="1"/>
  <c r="R13" i="4"/>
  <c r="R97" i="5" s="1"/>
  <c r="E46" i="4"/>
  <c r="E265" i="4" s="1"/>
  <c r="I102" i="6"/>
  <c r="N20" i="7"/>
  <c r="J92" i="6"/>
  <c r="F94" i="5"/>
  <c r="J199" i="7"/>
  <c r="J256" i="4"/>
  <c r="U112" i="4"/>
  <c r="U31" i="7" s="1"/>
  <c r="H31" i="4"/>
  <c r="H258" i="4" s="1"/>
  <c r="M70" i="5"/>
  <c r="M125" i="7" s="1"/>
  <c r="L46" i="4"/>
  <c r="L30" i="4" s="1"/>
  <c r="R76" i="5"/>
  <c r="I47" i="6"/>
  <c r="J6" i="4"/>
  <c r="J197" i="4" s="1"/>
  <c r="Q6" i="4"/>
  <c r="Q42" i="5"/>
  <c r="Q17" i="5" s="1"/>
  <c r="Q157" i="5" s="1"/>
  <c r="O102" i="6"/>
  <c r="D63" i="5"/>
  <c r="D118" i="7" s="1"/>
  <c r="J205" i="4"/>
  <c r="F88" i="6"/>
  <c r="J170" i="4"/>
  <c r="J257" i="4"/>
  <c r="M40" i="7"/>
  <c r="P125" i="7"/>
  <c r="J55" i="6"/>
  <c r="N47" i="6"/>
  <c r="H127" i="4"/>
  <c r="H46" i="7" s="1"/>
  <c r="J118" i="7"/>
  <c r="D127" i="4"/>
  <c r="D46" i="7" s="1"/>
  <c r="T125" i="7"/>
  <c r="D13" i="4"/>
  <c r="I177" i="4"/>
  <c r="H106" i="6"/>
  <c r="S73" i="4"/>
  <c r="S19" i="7" s="1"/>
  <c r="R100" i="5"/>
  <c r="H219" i="4"/>
  <c r="H18" i="6"/>
  <c r="R94" i="6"/>
  <c r="S93" i="5"/>
  <c r="J249" i="4"/>
  <c r="P206" i="7"/>
  <c r="G20" i="7"/>
  <c r="E77" i="5"/>
  <c r="E132" i="7" s="1"/>
  <c r="O59" i="7"/>
  <c r="D170" i="4"/>
  <c r="C101" i="5"/>
  <c r="G73" i="4"/>
  <c r="G19" i="7" s="1"/>
  <c r="E71" i="6"/>
  <c r="E213" i="7" s="1"/>
  <c r="I102" i="5"/>
  <c r="I267" i="4"/>
  <c r="I57" i="6"/>
  <c r="I199" i="7" s="1"/>
  <c r="K73" i="4"/>
  <c r="K57" i="4" s="1"/>
  <c r="K3" i="7" s="1"/>
  <c r="O108" i="5"/>
  <c r="N73" i="4"/>
  <c r="N19" i="7" s="1"/>
  <c r="N213" i="7"/>
  <c r="F96" i="6"/>
  <c r="Q94" i="5"/>
  <c r="V58" i="4"/>
  <c r="V168" i="4" s="1"/>
  <c r="Q100" i="5"/>
  <c r="M101" i="5"/>
  <c r="Q88" i="6"/>
  <c r="J261" i="4"/>
  <c r="P30" i="4"/>
  <c r="B102" i="5"/>
  <c r="Q94" i="6"/>
  <c r="O177" i="4"/>
  <c r="S20" i="4"/>
  <c r="S19" i="4" s="1"/>
  <c r="S246" i="4" s="1"/>
  <c r="R269" i="4"/>
  <c r="N63" i="5"/>
  <c r="N118" i="7" s="1"/>
  <c r="M95" i="6"/>
  <c r="F71" i="6"/>
  <c r="F213" i="7" s="1"/>
  <c r="S200" i="4"/>
  <c r="E95" i="6"/>
  <c r="Q127" i="4"/>
  <c r="Q46" i="7" s="1"/>
  <c r="O13" i="7"/>
  <c r="I265" i="4"/>
  <c r="V118" i="7"/>
  <c r="J255" i="4"/>
  <c r="J263" i="4"/>
  <c r="E112" i="4"/>
  <c r="E31" i="7" s="1"/>
  <c r="R265" i="4"/>
  <c r="U177" i="4"/>
  <c r="U58" i="4"/>
  <c r="U57" i="4" s="1"/>
  <c r="U3" i="7" s="1"/>
  <c r="G265" i="4"/>
  <c r="J258" i="4"/>
  <c r="C95" i="6"/>
  <c r="I96" i="6"/>
  <c r="I269" i="4"/>
  <c r="F59" i="7"/>
  <c r="N125" i="6"/>
  <c r="E83" i="5"/>
  <c r="E138" i="7" s="1"/>
  <c r="I201" i="4"/>
  <c r="O30" i="4"/>
  <c r="E101" i="5"/>
  <c r="S87" i="6"/>
  <c r="J253" i="4"/>
  <c r="M109" i="5"/>
  <c r="B96" i="6"/>
  <c r="S109" i="5"/>
  <c r="R273" i="4"/>
  <c r="N257" i="4"/>
  <c r="F184" i="4"/>
  <c r="P13" i="7"/>
  <c r="J184" i="4"/>
  <c r="V199" i="7"/>
  <c r="J250" i="4"/>
  <c r="J260" i="4"/>
  <c r="N6" i="4"/>
  <c r="N143" i="4" s="1"/>
  <c r="R271" i="4"/>
  <c r="H70" i="5"/>
  <c r="H125" i="7" s="1"/>
  <c r="J64" i="6"/>
  <c r="J206" i="7" s="1"/>
  <c r="J91" i="5"/>
  <c r="N93" i="5"/>
  <c r="I273" i="4"/>
  <c r="I206" i="7"/>
  <c r="C18" i="5"/>
  <c r="N132" i="7"/>
  <c r="F102" i="5"/>
  <c r="I215" i="4"/>
  <c r="J259" i="4"/>
  <c r="R267" i="4"/>
  <c r="J132" i="7"/>
  <c r="P177" i="4"/>
  <c r="H170" i="4"/>
  <c r="J58" i="4"/>
  <c r="N111" i="4"/>
  <c r="N30" i="7" s="1"/>
  <c r="R264" i="4"/>
  <c r="P58" i="4"/>
  <c r="P57" i="4" s="1"/>
  <c r="I271" i="4"/>
  <c r="V170" i="4"/>
  <c r="J252" i="4"/>
  <c r="I205" i="4"/>
  <c r="T99" i="5"/>
  <c r="K131" i="5"/>
  <c r="U47" i="6"/>
  <c r="B58" i="4"/>
  <c r="B57" i="4" s="1"/>
  <c r="B3" i="7" s="1"/>
  <c r="N258" i="4"/>
  <c r="N58" i="4"/>
  <c r="N13" i="4"/>
  <c r="D101" i="6"/>
  <c r="S127" i="4"/>
  <c r="S46" i="7" s="1"/>
  <c r="M190" i="4"/>
  <c r="N170" i="4"/>
  <c r="N261" i="4"/>
  <c r="U252" i="4"/>
  <c r="C63" i="5"/>
  <c r="C118" i="7" s="1"/>
  <c r="D95" i="6"/>
  <c r="H73" i="4"/>
  <c r="H19" i="7" s="1"/>
  <c r="K105" i="6"/>
  <c r="I219" i="7"/>
  <c r="E127" i="4"/>
  <c r="E46" i="7" s="1"/>
  <c r="U92" i="6"/>
  <c r="T206" i="4"/>
  <c r="F100" i="5"/>
  <c r="G258" i="4"/>
  <c r="G84" i="4"/>
  <c r="F13" i="4"/>
  <c r="F91" i="6" s="1"/>
  <c r="J42" i="5"/>
  <c r="E87" i="6"/>
  <c r="M46" i="4"/>
  <c r="M271" i="4" s="1"/>
  <c r="N249" i="4"/>
  <c r="N263" i="4"/>
  <c r="F101" i="5"/>
  <c r="N98" i="5"/>
  <c r="U254" i="4"/>
  <c r="U93" i="5"/>
  <c r="M6" i="4"/>
  <c r="M4" i="4" s="1"/>
  <c r="M231" i="4" s="1"/>
  <c r="C57" i="6"/>
  <c r="C199" i="7" s="1"/>
  <c r="D208" i="4"/>
  <c r="C127" i="4"/>
  <c r="C46" i="7" s="1"/>
  <c r="K218" i="4"/>
  <c r="I190" i="4"/>
  <c r="E94" i="5"/>
  <c r="U205" i="4"/>
  <c r="Q13" i="4"/>
  <c r="Q204" i="4" s="1"/>
  <c r="F94" i="6"/>
  <c r="Q99" i="5"/>
  <c r="G64" i="6"/>
  <c r="G206" i="7" s="1"/>
  <c r="M77" i="6"/>
  <c r="M219" i="7" s="1"/>
  <c r="P47" i="6"/>
  <c r="I13" i="4"/>
  <c r="I150" i="4" s="1"/>
  <c r="N259" i="4"/>
  <c r="P59" i="7"/>
  <c r="D31" i="4"/>
  <c r="D258" i="4" s="1"/>
  <c r="C73" i="4"/>
  <c r="C19" i="7" s="1"/>
  <c r="C84" i="4"/>
  <c r="K26" i="4"/>
  <c r="E93" i="5"/>
  <c r="N253" i="4"/>
  <c r="B118" i="7"/>
  <c r="F95" i="6"/>
  <c r="N92" i="6"/>
  <c r="M107" i="5"/>
  <c r="U262" i="4"/>
  <c r="U87" i="6"/>
  <c r="C170" i="4"/>
  <c r="D106" i="5"/>
  <c r="I31" i="4"/>
  <c r="I168" i="4" s="1"/>
  <c r="E88" i="6"/>
  <c r="D40" i="7"/>
  <c r="F83" i="5"/>
  <c r="F138" i="7" s="1"/>
  <c r="T108" i="5"/>
  <c r="I70" i="5"/>
  <c r="I125" i="7" s="1"/>
  <c r="Q93" i="6"/>
  <c r="G177" i="4"/>
  <c r="J47" i="6"/>
  <c r="C47" i="6"/>
  <c r="M47" i="6"/>
  <c r="I137" i="5"/>
  <c r="B26" i="4"/>
  <c r="B163" i="4" s="1"/>
  <c r="K6" i="4"/>
  <c r="B6" i="4"/>
  <c r="M20" i="4"/>
  <c r="M211" i="4" s="1"/>
  <c r="I73" i="4"/>
  <c r="I183" i="4" s="1"/>
  <c r="V111" i="4"/>
  <c r="V30" i="7" s="1"/>
  <c r="T13" i="4"/>
  <c r="T97" i="5" s="1"/>
  <c r="G20" i="4"/>
  <c r="G211" i="4" s="1"/>
  <c r="U138" i="7"/>
  <c r="D70" i="5"/>
  <c r="D125" i="7" s="1"/>
  <c r="N255" i="4"/>
  <c r="B199" i="7"/>
  <c r="M101" i="6"/>
  <c r="U249" i="4"/>
  <c r="U257" i="4"/>
  <c r="B13" i="4"/>
  <c r="B91" i="6" s="1"/>
  <c r="U200" i="4"/>
  <c r="C95" i="5"/>
  <c r="M118" i="7"/>
  <c r="D100" i="6"/>
  <c r="H47" i="7"/>
  <c r="B111" i="5"/>
  <c r="U251" i="4"/>
  <c r="F77" i="6"/>
  <c r="F219" i="7" s="1"/>
  <c r="T102" i="6"/>
  <c r="R125" i="7"/>
  <c r="E91" i="5"/>
  <c r="C131" i="5"/>
  <c r="N111" i="6"/>
  <c r="B118" i="6"/>
  <c r="B201" i="4"/>
  <c r="N57" i="6"/>
  <c r="N199" i="7" s="1"/>
  <c r="G70" i="5"/>
  <c r="G125" i="7" s="1"/>
  <c r="F20" i="7"/>
  <c r="I92" i="5"/>
  <c r="U219" i="7"/>
  <c r="D64" i="6"/>
  <c r="D206" i="7" s="1"/>
  <c r="N260" i="4"/>
  <c r="B170" i="4"/>
  <c r="B100" i="5"/>
  <c r="M96" i="5"/>
  <c r="U253" i="4"/>
  <c r="U259" i="4"/>
  <c r="M93" i="5"/>
  <c r="I47" i="7"/>
  <c r="G13" i="7"/>
  <c r="C89" i="6"/>
  <c r="M170" i="4"/>
  <c r="E20" i="7"/>
  <c r="B105" i="6"/>
  <c r="O100" i="5"/>
  <c r="D47" i="7"/>
  <c r="I98" i="5"/>
  <c r="E85" i="6"/>
  <c r="F125" i="6"/>
  <c r="N59" i="7"/>
  <c r="I6" i="4"/>
  <c r="I143" i="4" s="1"/>
  <c r="E6" i="4"/>
  <c r="J73" i="4"/>
  <c r="J19" i="7" s="1"/>
  <c r="D20" i="4"/>
  <c r="D98" i="6" s="1"/>
  <c r="V18" i="5"/>
  <c r="V61" i="5" s="1"/>
  <c r="U26" i="7"/>
  <c r="U190" i="4"/>
  <c r="N251" i="4"/>
  <c r="N262" i="4"/>
  <c r="U255" i="4"/>
  <c r="G58" i="4"/>
  <c r="G4" i="7" s="1"/>
  <c r="C202" i="4"/>
  <c r="F112" i="4"/>
  <c r="E73" i="4"/>
  <c r="E19" i="7" s="1"/>
  <c r="N254" i="4"/>
  <c r="U57" i="6"/>
  <c r="U199" i="7" s="1"/>
  <c r="R206" i="7"/>
  <c r="J268" i="4"/>
  <c r="J271" i="4"/>
  <c r="J266" i="4"/>
  <c r="J265" i="4"/>
  <c r="J264" i="4"/>
  <c r="J273" i="4"/>
  <c r="J269" i="4"/>
  <c r="J267" i="4"/>
  <c r="J272" i="4"/>
  <c r="J30" i="4"/>
  <c r="J270" i="4"/>
  <c r="W167" i="4"/>
  <c r="W54" i="6"/>
  <c r="W82" i="6"/>
  <c r="W88" i="5"/>
  <c r="W228" i="4"/>
  <c r="W235" i="4"/>
  <c r="W230" i="4"/>
  <c r="W236" i="4"/>
  <c r="W225" i="4"/>
  <c r="W234" i="4"/>
  <c r="W223" i="4"/>
  <c r="W226" i="4"/>
  <c r="W233" i="4"/>
  <c r="W229" i="4"/>
  <c r="W232" i="4"/>
  <c r="W227" i="4"/>
  <c r="W97" i="6"/>
  <c r="W103" i="5"/>
  <c r="W242" i="4"/>
  <c r="W243" i="4"/>
  <c r="W241" i="4"/>
  <c r="W239" i="4"/>
  <c r="W244" i="4"/>
  <c r="W245" i="4"/>
  <c r="W246" i="4"/>
  <c r="W240" i="4"/>
  <c r="Q58" i="4"/>
  <c r="Q168" i="4" s="1"/>
  <c r="E77" i="6"/>
  <c r="E219" i="7" s="1"/>
  <c r="B42" i="5"/>
  <c r="B76" i="5" s="1"/>
  <c r="W157" i="5"/>
  <c r="M59" i="7"/>
  <c r="W135" i="6"/>
  <c r="W155" i="6"/>
  <c r="W154" i="6"/>
  <c r="W142" i="6"/>
  <c r="W143" i="6"/>
  <c r="W141" i="6"/>
  <c r="W159" i="6"/>
  <c r="W149" i="6"/>
  <c r="W140" i="6"/>
  <c r="W148" i="6"/>
  <c r="W139" i="6"/>
  <c r="W147" i="6"/>
  <c r="W137" i="6"/>
  <c r="W152" i="6"/>
  <c r="W160" i="6"/>
  <c r="W146" i="6"/>
  <c r="W145" i="6"/>
  <c r="W153" i="6"/>
  <c r="W156" i="6"/>
  <c r="W151" i="6"/>
  <c r="W138" i="6"/>
  <c r="W158" i="6"/>
  <c r="D77" i="5"/>
  <c r="D132" i="7" s="1"/>
  <c r="W161" i="5"/>
  <c r="W150" i="5"/>
  <c r="W149" i="5"/>
  <c r="W162" i="5"/>
  <c r="W148" i="5"/>
  <c r="W159" i="5"/>
  <c r="W156" i="5"/>
  <c r="W147" i="5"/>
  <c r="W152" i="5"/>
  <c r="W155" i="5"/>
  <c r="W146" i="5"/>
  <c r="W143" i="5"/>
  <c r="W166" i="5"/>
  <c r="W154" i="5"/>
  <c r="W145" i="5"/>
  <c r="W153" i="5"/>
  <c r="W163" i="5"/>
  <c r="W164" i="5"/>
  <c r="W165" i="5"/>
  <c r="W160" i="5"/>
  <c r="W144" i="5"/>
  <c r="W158" i="5"/>
  <c r="W151" i="5"/>
  <c r="W77" i="3"/>
  <c r="W64" i="3"/>
  <c r="W34" i="3"/>
  <c r="W47" i="3"/>
  <c r="W140" i="3" s="1"/>
  <c r="W141" i="5"/>
  <c r="W60" i="5"/>
  <c r="W231" i="3"/>
  <c r="W18" i="3"/>
  <c r="W200" i="3" s="1"/>
  <c r="W5" i="3"/>
  <c r="W187" i="3" s="1"/>
  <c r="W220" i="3"/>
  <c r="W222" i="4"/>
  <c r="W195" i="4"/>
  <c r="W141" i="4"/>
  <c r="W237" i="4"/>
  <c r="W210" i="4"/>
  <c r="W156" i="4"/>
  <c r="W219" i="3"/>
  <c r="B131" i="6"/>
  <c r="E137" i="5"/>
  <c r="P53" i="7"/>
  <c r="P127" i="4"/>
  <c r="B108" i="5"/>
  <c r="Q271" i="4"/>
  <c r="M18" i="6"/>
  <c r="M118" i="6"/>
  <c r="M111" i="6"/>
  <c r="H117" i="5"/>
  <c r="H18" i="5"/>
  <c r="H61" i="5" s="1"/>
  <c r="Q47" i="6"/>
  <c r="F47" i="6"/>
  <c r="E118" i="7"/>
  <c r="B102" i="6"/>
  <c r="H251" i="4"/>
  <c r="T75" i="7"/>
  <c r="T59" i="7" s="1"/>
  <c r="R111" i="6"/>
  <c r="R33" i="6"/>
  <c r="R17" i="6" s="1"/>
  <c r="R136" i="6" s="1"/>
  <c r="R125" i="6"/>
  <c r="C131" i="6"/>
  <c r="I112" i="4"/>
  <c r="B17" i="5"/>
  <c r="B144" i="5" s="1"/>
  <c r="D184" i="4"/>
  <c r="K17" i="5"/>
  <c r="K142" i="5" s="1"/>
  <c r="E199" i="7"/>
  <c r="S59" i="7"/>
  <c r="K75" i="7"/>
  <c r="K59" i="7" s="1"/>
  <c r="Q33" i="7"/>
  <c r="Q112" i="4"/>
  <c r="E170" i="4"/>
  <c r="S131" i="6"/>
  <c r="E18" i="6"/>
  <c r="E118" i="6"/>
  <c r="M33" i="6"/>
  <c r="M125" i="6"/>
  <c r="D137" i="5"/>
  <c r="U260" i="4"/>
  <c r="U258" i="4"/>
  <c r="Q13" i="7"/>
  <c r="Q118" i="6"/>
  <c r="K6" i="7"/>
  <c r="K111" i="6"/>
  <c r="T17" i="5"/>
  <c r="T151" i="5" s="1"/>
  <c r="N61" i="5"/>
  <c r="J131" i="6"/>
  <c r="Q33" i="6"/>
  <c r="Q125" i="6"/>
  <c r="R118" i="6"/>
  <c r="V26" i="7"/>
  <c r="V131" i="6"/>
  <c r="H13" i="7"/>
  <c r="H124" i="5"/>
  <c r="H118" i="6"/>
  <c r="M31" i="4"/>
  <c r="M258" i="4" s="1"/>
  <c r="K125" i="6"/>
  <c r="K33" i="6"/>
  <c r="M131" i="6"/>
  <c r="Q111" i="6"/>
  <c r="E124" i="5"/>
  <c r="F111" i="6"/>
  <c r="J111" i="6"/>
  <c r="H47" i="6"/>
  <c r="U42" i="5"/>
  <c r="U131" i="5"/>
  <c r="G124" i="5"/>
  <c r="B124" i="5"/>
  <c r="M124" i="5"/>
  <c r="T124" i="5"/>
  <c r="C124" i="5"/>
  <c r="C117" i="5"/>
  <c r="S137" i="5"/>
  <c r="B137" i="5"/>
  <c r="T131" i="5"/>
  <c r="Q124" i="5"/>
  <c r="T137" i="5"/>
  <c r="P42" i="5"/>
  <c r="P131" i="5"/>
  <c r="U131" i="6"/>
  <c r="O18" i="6"/>
  <c r="O55" i="6" s="1"/>
  <c r="O118" i="6"/>
  <c r="N131" i="6"/>
  <c r="R131" i="6"/>
  <c r="D111" i="6"/>
  <c r="J131" i="5"/>
  <c r="O42" i="5"/>
  <c r="O76" i="5" s="1"/>
  <c r="O131" i="5"/>
  <c r="D18" i="5"/>
  <c r="D117" i="5"/>
  <c r="P131" i="6"/>
  <c r="I118" i="6"/>
  <c r="V137" i="5"/>
  <c r="P18" i="5"/>
  <c r="P61" i="5" s="1"/>
  <c r="P117" i="5"/>
  <c r="S117" i="5"/>
  <c r="B117" i="5"/>
  <c r="O18" i="5"/>
  <c r="O61" i="5" s="1"/>
  <c r="O117" i="5"/>
  <c r="D6" i="7"/>
  <c r="D58" i="4"/>
  <c r="D4" i="7" s="1"/>
  <c r="I131" i="5"/>
  <c r="I42" i="5"/>
  <c r="I17" i="5" s="1"/>
  <c r="J124" i="5"/>
  <c r="S33" i="6"/>
  <c r="S17" i="6" s="1"/>
  <c r="S125" i="6"/>
  <c r="H33" i="6"/>
  <c r="H125" i="6"/>
  <c r="D18" i="6"/>
  <c r="D118" i="6"/>
  <c r="E111" i="6"/>
  <c r="I33" i="6"/>
  <c r="I125" i="6"/>
  <c r="D33" i="6"/>
  <c r="D125" i="6"/>
  <c r="F124" i="5"/>
  <c r="V117" i="5"/>
  <c r="E117" i="5"/>
  <c r="H112" i="4"/>
  <c r="Q131" i="5"/>
  <c r="Q137" i="5"/>
  <c r="C75" i="7"/>
  <c r="C59" i="7" s="1"/>
  <c r="V18" i="6"/>
  <c r="V118" i="6"/>
  <c r="I111" i="6"/>
  <c r="I18" i="6"/>
  <c r="C125" i="6"/>
  <c r="C33" i="6"/>
  <c r="K137" i="5"/>
  <c r="G42" i="5"/>
  <c r="G76" i="5" s="1"/>
  <c r="G131" i="5"/>
  <c r="G47" i="6"/>
  <c r="H111" i="6"/>
  <c r="U111" i="6"/>
  <c r="U18" i="5"/>
  <c r="U117" i="5"/>
  <c r="B111" i="6"/>
  <c r="M42" i="5"/>
  <c r="M131" i="5"/>
  <c r="N256" i="4"/>
  <c r="N30" i="4"/>
  <c r="D124" i="5"/>
  <c r="I117" i="5"/>
  <c r="K124" i="5"/>
  <c r="J33" i="6"/>
  <c r="J125" i="6"/>
  <c r="Q131" i="6"/>
  <c r="U18" i="6"/>
  <c r="U118" i="6"/>
  <c r="S131" i="5"/>
  <c r="F18" i="6"/>
  <c r="F118" i="6"/>
  <c r="V124" i="5"/>
  <c r="T33" i="6"/>
  <c r="T131" i="6"/>
  <c r="E131" i="6"/>
  <c r="I131" i="6"/>
  <c r="F42" i="5"/>
  <c r="F131" i="5"/>
  <c r="K131" i="6"/>
  <c r="G131" i="6"/>
  <c r="P124" i="5"/>
  <c r="J117" i="5"/>
  <c r="F18" i="5"/>
  <c r="F117" i="5"/>
  <c r="V42" i="5"/>
  <c r="V76" i="5" s="1"/>
  <c r="U124" i="5"/>
  <c r="F46" i="4"/>
  <c r="J137" i="5"/>
  <c r="N131" i="5"/>
  <c r="N42" i="5"/>
  <c r="N17" i="5" s="1"/>
  <c r="V111" i="6"/>
  <c r="C137" i="5"/>
  <c r="E131" i="5"/>
  <c r="E42" i="5"/>
  <c r="E76" i="5" s="1"/>
  <c r="U33" i="6"/>
  <c r="U125" i="6"/>
  <c r="B131" i="5"/>
  <c r="O111" i="6"/>
  <c r="S111" i="6"/>
  <c r="G18" i="5"/>
  <c r="G61" i="5" s="1"/>
  <c r="G117" i="5"/>
  <c r="K117" i="5"/>
  <c r="T47" i="7"/>
  <c r="T127" i="4"/>
  <c r="T46" i="7" s="1"/>
  <c r="R112" i="4"/>
  <c r="M137" i="5"/>
  <c r="G33" i="6"/>
  <c r="S124" i="5"/>
  <c r="R17" i="5"/>
  <c r="R142" i="5" s="1"/>
  <c r="T58" i="4"/>
  <c r="T4" i="7" s="1"/>
  <c r="H137" i="5"/>
  <c r="B33" i="6"/>
  <c r="B17" i="6" s="1"/>
  <c r="B125" i="6"/>
  <c r="H131" i="6"/>
  <c r="N18" i="6"/>
  <c r="N118" i="6"/>
  <c r="J118" i="6"/>
  <c r="P125" i="6"/>
  <c r="P33" i="6"/>
  <c r="P70" i="6" s="1"/>
  <c r="N124" i="5"/>
  <c r="N33" i="6"/>
  <c r="C42" i="5"/>
  <c r="M18" i="5"/>
  <c r="M117" i="5"/>
  <c r="D42" i="5"/>
  <c r="D131" i="5"/>
  <c r="O124" i="5"/>
  <c r="N117" i="5"/>
  <c r="T117" i="5"/>
  <c r="F26" i="4"/>
  <c r="F219" i="4"/>
  <c r="F106" i="6"/>
  <c r="F112" i="5"/>
  <c r="K190" i="4"/>
  <c r="K77" i="6"/>
  <c r="K219" i="7" s="1"/>
  <c r="K83" i="5"/>
  <c r="K138" i="7" s="1"/>
  <c r="C214" i="4"/>
  <c r="C101" i="6"/>
  <c r="C107" i="5"/>
  <c r="G98" i="6"/>
  <c r="C200" i="4"/>
  <c r="C87" i="6"/>
  <c r="C93" i="5"/>
  <c r="D150" i="4"/>
  <c r="D204" i="4"/>
  <c r="D91" i="6"/>
  <c r="D97" i="5"/>
  <c r="B197" i="4"/>
  <c r="B84" i="6"/>
  <c r="B90" i="5"/>
  <c r="M204" i="4"/>
  <c r="M91" i="6"/>
  <c r="M97" i="5"/>
  <c r="U211" i="4"/>
  <c r="U98" i="6"/>
  <c r="U104" i="5"/>
  <c r="C190" i="4"/>
  <c r="C77" i="6"/>
  <c r="C219" i="7" s="1"/>
  <c r="C83" i="5"/>
  <c r="C138" i="7" s="1"/>
  <c r="N211" i="4"/>
  <c r="N98" i="6"/>
  <c r="N104" i="5"/>
  <c r="O13" i="4"/>
  <c r="O4" i="4" s="1"/>
  <c r="O232" i="4" s="1"/>
  <c r="O205" i="4"/>
  <c r="O92" i="6"/>
  <c r="O98" i="5"/>
  <c r="J57" i="4"/>
  <c r="J3" i="7" s="1"/>
  <c r="J4" i="7"/>
  <c r="G209" i="4"/>
  <c r="G96" i="6"/>
  <c r="G102" i="5"/>
  <c r="N150" i="4"/>
  <c r="N204" i="4"/>
  <c r="N91" i="6"/>
  <c r="N97" i="5"/>
  <c r="H215" i="4"/>
  <c r="H102" i="6"/>
  <c r="H108" i="5"/>
  <c r="D200" i="4"/>
  <c r="D87" i="6"/>
  <c r="D93" i="5"/>
  <c r="G213" i="4"/>
  <c r="G100" i="6"/>
  <c r="G106" i="5"/>
  <c r="P26" i="4"/>
  <c r="P219" i="4"/>
  <c r="P106" i="6"/>
  <c r="P112" i="5"/>
  <c r="O168" i="4"/>
  <c r="O263" i="4"/>
  <c r="O261" i="4"/>
  <c r="O259" i="4"/>
  <c r="O257" i="4"/>
  <c r="O262" i="4"/>
  <c r="O260" i="4"/>
  <c r="O255" i="4"/>
  <c r="O253" i="4"/>
  <c r="O249" i="4"/>
  <c r="O256" i="4"/>
  <c r="O254" i="4"/>
  <c r="O252" i="4"/>
  <c r="O250" i="4"/>
  <c r="M57" i="4"/>
  <c r="M3" i="7" s="1"/>
  <c r="M19" i="7"/>
  <c r="D163" i="4"/>
  <c r="D217" i="4"/>
  <c r="D104" i="6"/>
  <c r="D110" i="5"/>
  <c r="J150" i="4"/>
  <c r="J204" i="4"/>
  <c r="J91" i="6"/>
  <c r="J97" i="5"/>
  <c r="T31" i="7"/>
  <c r="P20" i="4"/>
  <c r="P157" i="4" s="1"/>
  <c r="P215" i="4"/>
  <c r="P102" i="6"/>
  <c r="P108" i="5"/>
  <c r="S84" i="6"/>
  <c r="O57" i="4"/>
  <c r="O3" i="7" s="1"/>
  <c r="O4" i="7"/>
  <c r="F204" i="4"/>
  <c r="J163" i="4"/>
  <c r="J217" i="4"/>
  <c r="J104" i="6"/>
  <c r="J110" i="5"/>
  <c r="B177" i="4"/>
  <c r="B64" i="6"/>
  <c r="B206" i="7" s="1"/>
  <c r="B70" i="5"/>
  <c r="B125" i="7" s="1"/>
  <c r="I90" i="5"/>
  <c r="R91" i="6"/>
  <c r="S46" i="4"/>
  <c r="S156" i="4" s="1"/>
  <c r="S184" i="4"/>
  <c r="S71" i="6"/>
  <c r="S213" i="7" s="1"/>
  <c r="S77" i="5"/>
  <c r="S132" i="7" s="1"/>
  <c r="T196" i="4"/>
  <c r="T83" i="6"/>
  <c r="T89" i="5"/>
  <c r="I163" i="4"/>
  <c r="I217" i="4"/>
  <c r="I104" i="6"/>
  <c r="I110" i="5"/>
  <c r="S31" i="7"/>
  <c r="P209" i="4"/>
  <c r="P96" i="6"/>
  <c r="P102" i="5"/>
  <c r="K208" i="4"/>
  <c r="K95" i="6"/>
  <c r="K101" i="5"/>
  <c r="T26" i="4"/>
  <c r="T218" i="4"/>
  <c r="T105" i="6"/>
  <c r="T111" i="5"/>
  <c r="T214" i="4"/>
  <c r="T101" i="6"/>
  <c r="T107" i="5"/>
  <c r="G203" i="4"/>
  <c r="G90" i="6"/>
  <c r="G96" i="5"/>
  <c r="C212" i="4"/>
  <c r="C99" i="6"/>
  <c r="C105" i="5"/>
  <c r="G201" i="4"/>
  <c r="G88" i="6"/>
  <c r="G94" i="5"/>
  <c r="H4" i="7"/>
  <c r="H57" i="4"/>
  <c r="H3" i="7" s="1"/>
  <c r="E30" i="4"/>
  <c r="E70" i="6"/>
  <c r="E273" i="4"/>
  <c r="E269" i="4"/>
  <c r="E267" i="4"/>
  <c r="E272" i="4"/>
  <c r="E270" i="4"/>
  <c r="E268" i="4"/>
  <c r="E266" i="4"/>
  <c r="E264" i="4"/>
  <c r="C258" i="4"/>
  <c r="F111" i="4"/>
  <c r="F30" i="7" s="1"/>
  <c r="F31" i="7"/>
  <c r="F57" i="4"/>
  <c r="F3" i="7" s="1"/>
  <c r="F4" i="7"/>
  <c r="P55" i="6"/>
  <c r="P262" i="4"/>
  <c r="P260" i="4"/>
  <c r="P263" i="4"/>
  <c r="P261" i="4"/>
  <c r="P259" i="4"/>
  <c r="P257" i="4"/>
  <c r="P255" i="4"/>
  <c r="P253" i="4"/>
  <c r="P249" i="4"/>
  <c r="P256" i="4"/>
  <c r="P254" i="4"/>
  <c r="P252" i="4"/>
  <c r="P250" i="4"/>
  <c r="K31" i="7"/>
  <c r="K111" i="4"/>
  <c r="K30" i="7" s="1"/>
  <c r="J183" i="4"/>
  <c r="U150" i="4"/>
  <c r="U204" i="4"/>
  <c r="U91" i="6"/>
  <c r="U97" i="5"/>
  <c r="S4" i="7"/>
  <c r="O163" i="4"/>
  <c r="O217" i="4"/>
  <c r="O104" i="6"/>
  <c r="O110" i="5"/>
  <c r="U143" i="4"/>
  <c r="U197" i="4"/>
  <c r="U84" i="6"/>
  <c r="U90" i="5"/>
  <c r="K143" i="4"/>
  <c r="K197" i="4"/>
  <c r="K84" i="6"/>
  <c r="K90" i="5"/>
  <c r="B20" i="4"/>
  <c r="B213" i="4"/>
  <c r="B100" i="6"/>
  <c r="B106" i="5"/>
  <c r="H20" i="4"/>
  <c r="H212" i="4"/>
  <c r="H99" i="6"/>
  <c r="H105" i="5"/>
  <c r="F157" i="4"/>
  <c r="F211" i="4"/>
  <c r="F98" i="6"/>
  <c r="F104" i="5"/>
  <c r="O211" i="4"/>
  <c r="O98" i="6"/>
  <c r="O104" i="5"/>
  <c r="C184" i="4"/>
  <c r="C71" i="6"/>
  <c r="C213" i="7" s="1"/>
  <c r="C77" i="5"/>
  <c r="C132" i="7" s="1"/>
  <c r="C196" i="4"/>
  <c r="C83" i="6"/>
  <c r="C89" i="5"/>
  <c r="B183" i="4"/>
  <c r="B272" i="4"/>
  <c r="B270" i="4"/>
  <c r="B268" i="4"/>
  <c r="B266" i="4"/>
  <c r="B264" i="4"/>
  <c r="B273" i="4"/>
  <c r="B269" i="4"/>
  <c r="B267" i="4"/>
  <c r="K46" i="4"/>
  <c r="K271" i="4" s="1"/>
  <c r="T19" i="7"/>
  <c r="J111" i="4"/>
  <c r="J30" i="7" s="1"/>
  <c r="J31" i="7"/>
  <c r="H209" i="4"/>
  <c r="H96" i="6"/>
  <c r="H102" i="5"/>
  <c r="G207" i="4"/>
  <c r="G94" i="6"/>
  <c r="G100" i="5"/>
  <c r="T198" i="4"/>
  <c r="T85" i="6"/>
  <c r="T91" i="5"/>
  <c r="H213" i="4"/>
  <c r="H100" i="6"/>
  <c r="H106" i="5"/>
  <c r="K198" i="4"/>
  <c r="K85" i="6"/>
  <c r="K91" i="5"/>
  <c r="P203" i="4"/>
  <c r="P90" i="6"/>
  <c r="P96" i="5"/>
  <c r="D19" i="7"/>
  <c r="V163" i="4"/>
  <c r="V217" i="4"/>
  <c r="V104" i="6"/>
  <c r="V110" i="5"/>
  <c r="P251" i="4"/>
  <c r="U30" i="4"/>
  <c r="U183" i="4"/>
  <c r="U70" i="6"/>
  <c r="U76" i="5"/>
  <c r="U273" i="4"/>
  <c r="U269" i="4"/>
  <c r="U267" i="4"/>
  <c r="U268" i="4"/>
  <c r="U264" i="4"/>
  <c r="U270" i="4"/>
  <c r="U266" i="4"/>
  <c r="U272" i="4"/>
  <c r="O31" i="7"/>
  <c r="G26" i="4"/>
  <c r="G218" i="4"/>
  <c r="G105" i="6"/>
  <c r="G111" i="5"/>
  <c r="E13" i="4"/>
  <c r="E4" i="4" s="1"/>
  <c r="E207" i="4"/>
  <c r="E94" i="6"/>
  <c r="E100" i="5"/>
  <c r="D6" i="4"/>
  <c r="D198" i="4"/>
  <c r="D85" i="6"/>
  <c r="D91" i="5"/>
  <c r="K150" i="4"/>
  <c r="K204" i="4"/>
  <c r="K91" i="6"/>
  <c r="K97" i="5"/>
  <c r="T190" i="4"/>
  <c r="T77" i="6"/>
  <c r="T219" i="7" s="1"/>
  <c r="T271" i="4"/>
  <c r="T83" i="5"/>
  <c r="T138" i="7" s="1"/>
  <c r="R197" i="4"/>
  <c r="R84" i="6"/>
  <c r="R90" i="5"/>
  <c r="S170" i="4"/>
  <c r="S57" i="6"/>
  <c r="S199" i="7" s="1"/>
  <c r="S63" i="5"/>
  <c r="S118" i="7" s="1"/>
  <c r="C198" i="4"/>
  <c r="C85" i="6"/>
  <c r="C91" i="5"/>
  <c r="D196" i="4"/>
  <c r="D83" i="6"/>
  <c r="D89" i="5"/>
  <c r="E4" i="7"/>
  <c r="T208" i="4"/>
  <c r="T95" i="6"/>
  <c r="T101" i="5"/>
  <c r="S150" i="4"/>
  <c r="S204" i="4"/>
  <c r="S91" i="6"/>
  <c r="S97" i="5"/>
  <c r="G199" i="4"/>
  <c r="G86" i="6"/>
  <c r="G92" i="5"/>
  <c r="Q143" i="4"/>
  <c r="Q197" i="4"/>
  <c r="Q84" i="6"/>
  <c r="Q90" i="5"/>
  <c r="K163" i="4"/>
  <c r="K217" i="4"/>
  <c r="K104" i="6"/>
  <c r="K110" i="5"/>
  <c r="H6" i="4"/>
  <c r="H203" i="4"/>
  <c r="H90" i="6"/>
  <c r="H96" i="5"/>
  <c r="G31" i="7"/>
  <c r="G111" i="4"/>
  <c r="G30" i="7" s="1"/>
  <c r="V183" i="4"/>
  <c r="V70" i="6"/>
  <c r="V273" i="4"/>
  <c r="V269" i="4"/>
  <c r="V267" i="4"/>
  <c r="V272" i="4"/>
  <c r="V270" i="4"/>
  <c r="V268" i="4"/>
  <c r="V266" i="4"/>
  <c r="V264" i="4"/>
  <c r="N163" i="4"/>
  <c r="N217" i="4"/>
  <c r="N104" i="6"/>
  <c r="N110" i="5"/>
  <c r="P183" i="4"/>
  <c r="P272" i="4"/>
  <c r="P270" i="4"/>
  <c r="P268" i="4"/>
  <c r="P266" i="4"/>
  <c r="P264" i="4"/>
  <c r="P273" i="4"/>
  <c r="P269" i="4"/>
  <c r="P267" i="4"/>
  <c r="P76" i="5"/>
  <c r="N183" i="4"/>
  <c r="J168" i="4"/>
  <c r="G30" i="4"/>
  <c r="G55" i="6"/>
  <c r="G262" i="4"/>
  <c r="G260" i="4"/>
  <c r="G263" i="4"/>
  <c r="G261" i="4"/>
  <c r="G259" i="4"/>
  <c r="G257" i="4"/>
  <c r="G255" i="4"/>
  <c r="G253" i="4"/>
  <c r="G249" i="4"/>
  <c r="G250" i="4"/>
  <c r="G254" i="4"/>
  <c r="G252" i="4"/>
  <c r="K20" i="4"/>
  <c r="K157" i="4" s="1"/>
  <c r="K212" i="4"/>
  <c r="K99" i="6"/>
  <c r="K105" i="5"/>
  <c r="V211" i="4"/>
  <c r="V98" i="6"/>
  <c r="V104" i="5"/>
  <c r="V143" i="4"/>
  <c r="V197" i="4"/>
  <c r="V84" i="6"/>
  <c r="V90" i="5"/>
  <c r="D31" i="7"/>
  <c r="H206" i="4"/>
  <c r="H93" i="6"/>
  <c r="H99" i="5"/>
  <c r="E163" i="4"/>
  <c r="E217" i="4"/>
  <c r="E104" i="6"/>
  <c r="E110" i="5"/>
  <c r="H196" i="4"/>
  <c r="H83" i="6"/>
  <c r="H89" i="5"/>
  <c r="U163" i="4"/>
  <c r="U217" i="4"/>
  <c r="U104" i="6"/>
  <c r="U110" i="5"/>
  <c r="D46" i="4"/>
  <c r="D190" i="4"/>
  <c r="D77" i="6"/>
  <c r="D219" i="7" s="1"/>
  <c r="D83" i="5"/>
  <c r="D138" i="7" s="1"/>
  <c r="H163" i="4"/>
  <c r="H217" i="4"/>
  <c r="H104" i="6"/>
  <c r="H110" i="5"/>
  <c r="K31" i="4"/>
  <c r="K251" i="4" s="1"/>
  <c r="K170" i="4"/>
  <c r="K57" i="6"/>
  <c r="K199" i="7" s="1"/>
  <c r="K63" i="5"/>
  <c r="K118" i="7" s="1"/>
  <c r="T212" i="4"/>
  <c r="T99" i="6"/>
  <c r="T105" i="5"/>
  <c r="S31" i="4"/>
  <c r="C57" i="4"/>
  <c r="C3" i="7" s="1"/>
  <c r="P207" i="4"/>
  <c r="P94" i="6"/>
  <c r="P100" i="5"/>
  <c r="K206" i="4"/>
  <c r="K93" i="6"/>
  <c r="K99" i="5"/>
  <c r="G215" i="4"/>
  <c r="G102" i="6"/>
  <c r="G108" i="5"/>
  <c r="K216" i="4"/>
  <c r="K103" i="6"/>
  <c r="K109" i="5"/>
  <c r="T200" i="4"/>
  <c r="T87" i="6"/>
  <c r="T93" i="5"/>
  <c r="O251" i="4"/>
  <c r="Q55" i="6"/>
  <c r="Q61" i="5"/>
  <c r="Q262" i="4"/>
  <c r="Q260" i="4"/>
  <c r="Q255" i="4"/>
  <c r="Q253" i="4"/>
  <c r="Q249" i="4"/>
  <c r="Q259" i="4"/>
  <c r="Q261" i="4"/>
  <c r="Q257" i="4"/>
  <c r="Q256" i="4"/>
  <c r="Q254" i="4"/>
  <c r="Q252" i="4"/>
  <c r="Q250" i="4"/>
  <c r="Q263" i="4"/>
  <c r="Q30" i="4"/>
  <c r="U271" i="4"/>
  <c r="B84" i="4"/>
  <c r="C163" i="4"/>
  <c r="C217" i="4"/>
  <c r="C104" i="6"/>
  <c r="C110" i="5"/>
  <c r="B271" i="4"/>
  <c r="G183" i="4"/>
  <c r="G70" i="6"/>
  <c r="G272" i="4"/>
  <c r="G270" i="4"/>
  <c r="G268" i="4"/>
  <c r="G266" i="4"/>
  <c r="G264" i="4"/>
  <c r="G273" i="4"/>
  <c r="G269" i="4"/>
  <c r="G267" i="4"/>
  <c r="F168" i="4"/>
  <c r="Q150" i="4"/>
  <c r="I157" i="4"/>
  <c r="I211" i="4"/>
  <c r="I98" i="6"/>
  <c r="I104" i="5"/>
  <c r="J20" i="4"/>
  <c r="J19" i="4" s="1"/>
  <c r="J244" i="4" s="1"/>
  <c r="J213" i="4"/>
  <c r="J100" i="6"/>
  <c r="J106" i="5"/>
  <c r="K196" i="4"/>
  <c r="K83" i="6"/>
  <c r="K89" i="5"/>
  <c r="C20" i="4"/>
  <c r="C19" i="4" s="1"/>
  <c r="C241" i="4" s="1"/>
  <c r="M163" i="4"/>
  <c r="M217" i="4"/>
  <c r="M104" i="6"/>
  <c r="M110" i="5"/>
  <c r="T31" i="4"/>
  <c r="T251" i="4" s="1"/>
  <c r="T170" i="4"/>
  <c r="T57" i="6"/>
  <c r="T199" i="7" s="1"/>
  <c r="T63" i="5"/>
  <c r="T118" i="7" s="1"/>
  <c r="O143" i="4"/>
  <c r="O197" i="4"/>
  <c r="O84" i="6"/>
  <c r="O90" i="5"/>
  <c r="H205" i="4"/>
  <c r="H92" i="6"/>
  <c r="H98" i="5"/>
  <c r="G13" i="4"/>
  <c r="G205" i="4"/>
  <c r="G92" i="6"/>
  <c r="G98" i="5"/>
  <c r="P205" i="4"/>
  <c r="P92" i="6"/>
  <c r="P98" i="5"/>
  <c r="C262" i="4"/>
  <c r="C61" i="5"/>
  <c r="H207" i="4"/>
  <c r="H94" i="6"/>
  <c r="H100" i="5"/>
  <c r="C13" i="4"/>
  <c r="C206" i="4"/>
  <c r="C93" i="6"/>
  <c r="C99" i="5"/>
  <c r="T216" i="4"/>
  <c r="T103" i="6"/>
  <c r="T109" i="5"/>
  <c r="C216" i="4"/>
  <c r="C103" i="6"/>
  <c r="C109" i="5"/>
  <c r="P6" i="4"/>
  <c r="P199" i="4"/>
  <c r="P86" i="6"/>
  <c r="P92" i="5"/>
  <c r="O258" i="4"/>
  <c r="R183" i="4"/>
  <c r="B204" i="4"/>
  <c r="Q183" i="4"/>
  <c r="Q70" i="6"/>
  <c r="Q272" i="4"/>
  <c r="Q270" i="4"/>
  <c r="Q268" i="4"/>
  <c r="Q266" i="4"/>
  <c r="Q264" i="4"/>
  <c r="Q76" i="5"/>
  <c r="Q267" i="4"/>
  <c r="Q273" i="4"/>
  <c r="Q269" i="4"/>
  <c r="S163" i="4"/>
  <c r="S217" i="4"/>
  <c r="S104" i="6"/>
  <c r="S110" i="5"/>
  <c r="S244" i="4"/>
  <c r="B265" i="4"/>
  <c r="V271" i="4"/>
  <c r="V150" i="4"/>
  <c r="V204" i="4"/>
  <c r="V91" i="6"/>
  <c r="V97" i="5"/>
  <c r="M111" i="4"/>
  <c r="M30" i="7" s="1"/>
  <c r="M31" i="7"/>
  <c r="P258" i="4"/>
  <c r="Q251" i="4"/>
  <c r="P271" i="4"/>
  <c r="O183" i="4"/>
  <c r="O70" i="6"/>
  <c r="O273" i="4"/>
  <c r="O269" i="4"/>
  <c r="O267" i="4"/>
  <c r="O272" i="4"/>
  <c r="O270" i="4"/>
  <c r="O268" i="4"/>
  <c r="O266" i="4"/>
  <c r="O264" i="4"/>
  <c r="G6" i="4"/>
  <c r="G143" i="4" s="1"/>
  <c r="G198" i="4"/>
  <c r="G85" i="6"/>
  <c r="G91" i="5"/>
  <c r="Q163" i="4"/>
  <c r="Q217" i="4"/>
  <c r="Q104" i="6"/>
  <c r="Q110" i="5"/>
  <c r="T183" i="4"/>
  <c r="T76" i="5"/>
  <c r="T273" i="4"/>
  <c r="T269" i="4"/>
  <c r="T267" i="4"/>
  <c r="T272" i="4"/>
  <c r="T270" i="4"/>
  <c r="T268" i="4"/>
  <c r="T266" i="4"/>
  <c r="T264" i="4"/>
  <c r="H201" i="4"/>
  <c r="H88" i="6"/>
  <c r="H94" i="5"/>
  <c r="T265" i="4"/>
  <c r="E143" i="4"/>
  <c r="E197" i="4"/>
  <c r="E84" i="6"/>
  <c r="E90" i="5"/>
  <c r="F6" i="4"/>
  <c r="F4" i="4" s="1"/>
  <c r="F231" i="4" s="1"/>
  <c r="F199" i="4"/>
  <c r="F86" i="6"/>
  <c r="F92" i="5"/>
  <c r="K200" i="4"/>
  <c r="K87" i="6"/>
  <c r="K93" i="5"/>
  <c r="B31" i="4"/>
  <c r="B258" i="4" s="1"/>
  <c r="Q211" i="4"/>
  <c r="S190" i="4"/>
  <c r="S77" i="6"/>
  <c r="S219" i="7" s="1"/>
  <c r="S83" i="5"/>
  <c r="S138" i="7" s="1"/>
  <c r="R163" i="4"/>
  <c r="R217" i="4"/>
  <c r="R104" i="6"/>
  <c r="R110" i="5"/>
  <c r="S196" i="4"/>
  <c r="S83" i="6"/>
  <c r="S89" i="5"/>
  <c r="H46" i="4"/>
  <c r="H271" i="4" s="1"/>
  <c r="H190" i="4"/>
  <c r="H77" i="6"/>
  <c r="H219" i="7" s="1"/>
  <c r="H83" i="5"/>
  <c r="H138" i="7" s="1"/>
  <c r="K202" i="4"/>
  <c r="K89" i="6"/>
  <c r="K95" i="5"/>
  <c r="E157" i="4"/>
  <c r="E211" i="4"/>
  <c r="E98" i="6"/>
  <c r="E104" i="5"/>
  <c r="D216" i="4"/>
  <c r="D103" i="6"/>
  <c r="D109" i="5"/>
  <c r="T202" i="4"/>
  <c r="T89" i="6"/>
  <c r="T95" i="5"/>
  <c r="K214" i="4"/>
  <c r="K101" i="6"/>
  <c r="K107" i="5"/>
  <c r="R157" i="4"/>
  <c r="R211" i="4"/>
  <c r="R98" i="6"/>
  <c r="R104" i="5"/>
  <c r="R57" i="4"/>
  <c r="R4" i="7"/>
  <c r="U19" i="7"/>
  <c r="E271" i="4"/>
  <c r="S242" i="4"/>
  <c r="V265" i="4"/>
  <c r="H168" i="4"/>
  <c r="H262" i="4"/>
  <c r="H260" i="4"/>
  <c r="H255" i="4"/>
  <c r="H253" i="4"/>
  <c r="H249" i="4"/>
  <c r="H259" i="4"/>
  <c r="H261" i="4"/>
  <c r="H254" i="4"/>
  <c r="H252" i="4"/>
  <c r="H250" i="4"/>
  <c r="H263" i="4"/>
  <c r="H257" i="4"/>
  <c r="R168" i="4"/>
  <c r="F183" i="4"/>
  <c r="C6" i="4"/>
  <c r="T20" i="4"/>
  <c r="R143" i="4"/>
  <c r="B4" i="4"/>
  <c r="B231" i="4" s="1"/>
  <c r="B143" i="4"/>
  <c r="P13" i="4"/>
  <c r="H19" i="4"/>
  <c r="H242" i="4" s="1"/>
  <c r="H157" i="4"/>
  <c r="M150" i="4"/>
  <c r="V19" i="4"/>
  <c r="V157" i="4"/>
  <c r="U4" i="4"/>
  <c r="H13" i="4"/>
  <c r="U19" i="4"/>
  <c r="U244" i="4" s="1"/>
  <c r="U157" i="4"/>
  <c r="N19" i="4"/>
  <c r="N244" i="4" s="1"/>
  <c r="N157" i="4"/>
  <c r="V4" i="4"/>
  <c r="V231" i="4" s="1"/>
  <c r="Q4" i="4"/>
  <c r="O19" i="4"/>
  <c r="O157" i="4"/>
  <c r="T6" i="4"/>
  <c r="K4" i="4"/>
  <c r="K223" i="4" s="1"/>
  <c r="C46" i="4"/>
  <c r="C271" i="4" s="1"/>
  <c r="R19" i="4"/>
  <c r="R244" i="4" s="1"/>
  <c r="I19" i="4"/>
  <c r="I244" i="4" s="1"/>
  <c r="D4" i="4"/>
  <c r="D225" i="4" s="1"/>
  <c r="F19" i="4"/>
  <c r="F238" i="4" s="1"/>
  <c r="E19" i="4"/>
  <c r="E238" i="4" s="1"/>
  <c r="R204" i="4" l="1"/>
  <c r="S197" i="4"/>
  <c r="M76" i="5"/>
  <c r="R150" i="4"/>
  <c r="S143" i="4"/>
  <c r="S4" i="4"/>
  <c r="R4" i="4"/>
  <c r="N57" i="4"/>
  <c r="C111" i="4"/>
  <c r="C30" i="7" s="1"/>
  <c r="D57" i="4"/>
  <c r="D3" i="7" s="1"/>
  <c r="I84" i="6"/>
  <c r="B110" i="5"/>
  <c r="I197" i="4"/>
  <c r="B104" i="6"/>
  <c r="B164" i="5"/>
  <c r="B217" i="4"/>
  <c r="S17" i="5"/>
  <c r="O111" i="4"/>
  <c r="O30" i="7" s="1"/>
  <c r="B19" i="4"/>
  <c r="P3" i="7"/>
  <c r="P167" i="4"/>
  <c r="C157" i="4"/>
  <c r="S241" i="4"/>
  <c r="M90" i="5"/>
  <c r="B111" i="4"/>
  <c r="B30" i="7" s="1"/>
  <c r="T91" i="6"/>
  <c r="P168" i="4"/>
  <c r="S240" i="4"/>
  <c r="S243" i="4"/>
  <c r="S271" i="4"/>
  <c r="M84" i="6"/>
  <c r="E111" i="4"/>
  <c r="E30" i="7" s="1"/>
  <c r="S238" i="4"/>
  <c r="T204" i="4"/>
  <c r="S245" i="4"/>
  <c r="S237" i="4"/>
  <c r="D253" i="4"/>
  <c r="S104" i="5"/>
  <c r="B4" i="7"/>
  <c r="Q157" i="4"/>
  <c r="S103" i="5"/>
  <c r="Q97" i="5"/>
  <c r="M143" i="4"/>
  <c r="D30" i="4"/>
  <c r="D255" i="4"/>
  <c r="S98" i="6"/>
  <c r="S239" i="4"/>
  <c r="M197" i="4"/>
  <c r="S97" i="6"/>
  <c r="Q91" i="6"/>
  <c r="M270" i="4"/>
  <c r="S157" i="4"/>
  <c r="P4" i="7"/>
  <c r="D263" i="4"/>
  <c r="S211" i="4"/>
  <c r="U111" i="4"/>
  <c r="U30" i="7" s="1"/>
  <c r="M70" i="6"/>
  <c r="Q19" i="4"/>
  <c r="Q244" i="4" s="1"/>
  <c r="Q104" i="5"/>
  <c r="M266" i="4"/>
  <c r="D55" i="6"/>
  <c r="B151" i="5"/>
  <c r="H55" i="6"/>
  <c r="S156" i="5"/>
  <c r="S160" i="5"/>
  <c r="S154" i="5"/>
  <c r="S162" i="5"/>
  <c r="S147" i="5"/>
  <c r="S146" i="5"/>
  <c r="S148" i="5"/>
  <c r="S152" i="5"/>
  <c r="S166" i="5"/>
  <c r="S145" i="5"/>
  <c r="S142" i="5"/>
  <c r="S153" i="5"/>
  <c r="S163" i="5"/>
  <c r="S165" i="5"/>
  <c r="S161" i="5"/>
  <c r="S164" i="5"/>
  <c r="S158" i="5"/>
  <c r="S151" i="5"/>
  <c r="S141" i="5"/>
  <c r="S143" i="5"/>
  <c r="S149" i="5"/>
  <c r="S157" i="5"/>
  <c r="S144" i="5"/>
  <c r="S150" i="5"/>
  <c r="S159" i="5"/>
  <c r="S155" i="5"/>
  <c r="B157" i="5"/>
  <c r="C253" i="4"/>
  <c r="G19" i="4"/>
  <c r="G240" i="4" s="1"/>
  <c r="C255" i="4"/>
  <c r="C263" i="4"/>
  <c r="M264" i="4"/>
  <c r="M183" i="4"/>
  <c r="D262" i="4"/>
  <c r="D168" i="4"/>
  <c r="J143" i="4"/>
  <c r="T150" i="4"/>
  <c r="G157" i="4"/>
  <c r="N84" i="6"/>
  <c r="C259" i="4"/>
  <c r="C55" i="6"/>
  <c r="M268" i="4"/>
  <c r="M30" i="4"/>
  <c r="M167" i="4" s="1"/>
  <c r="E57" i="4"/>
  <c r="E3" i="7" s="1"/>
  <c r="D250" i="4"/>
  <c r="N4" i="4"/>
  <c r="N224" i="4" s="1"/>
  <c r="E183" i="4"/>
  <c r="J17" i="5"/>
  <c r="J164" i="5" s="1"/>
  <c r="C261" i="4"/>
  <c r="K19" i="4"/>
  <c r="K243" i="4" s="1"/>
  <c r="N197" i="4"/>
  <c r="C250" i="4"/>
  <c r="C168" i="4"/>
  <c r="M272" i="4"/>
  <c r="K19" i="7"/>
  <c r="D252" i="4"/>
  <c r="J167" i="4"/>
  <c r="C252" i="4"/>
  <c r="M267" i="4"/>
  <c r="D111" i="4"/>
  <c r="D30" i="7" s="1"/>
  <c r="D251" i="4"/>
  <c r="D254" i="4"/>
  <c r="H17" i="6"/>
  <c r="J90" i="5"/>
  <c r="C254" i="4"/>
  <c r="M269" i="4"/>
  <c r="D260" i="4"/>
  <c r="D259" i="4"/>
  <c r="O150" i="4"/>
  <c r="C249" i="4"/>
  <c r="C260" i="4"/>
  <c r="M273" i="4"/>
  <c r="D249" i="4"/>
  <c r="D261" i="4"/>
  <c r="G104" i="5"/>
  <c r="K144" i="5"/>
  <c r="W156" i="3"/>
  <c r="W167" i="3"/>
  <c r="W166" i="3"/>
  <c r="W168" i="3"/>
  <c r="W158" i="3"/>
  <c r="W160" i="3"/>
  <c r="W163" i="3"/>
  <c r="W165" i="3"/>
  <c r="W159" i="3"/>
  <c r="W161" i="3"/>
  <c r="W169" i="3"/>
  <c r="W180" i="3"/>
  <c r="W175" i="3"/>
  <c r="W176" i="3"/>
  <c r="W177" i="3"/>
  <c r="W179" i="3"/>
  <c r="W171" i="3"/>
  <c r="W178" i="3"/>
  <c r="W174" i="3"/>
  <c r="W173" i="3"/>
  <c r="W172" i="3"/>
  <c r="W157" i="3"/>
  <c r="W170" i="3"/>
  <c r="W126" i="3"/>
  <c r="W138" i="3"/>
  <c r="W137" i="3"/>
  <c r="W132" i="3"/>
  <c r="W134" i="3"/>
  <c r="W136" i="3"/>
  <c r="W128" i="3"/>
  <c r="W135" i="3"/>
  <c r="W133" i="3"/>
  <c r="W131" i="3"/>
  <c r="W130" i="3"/>
  <c r="W129" i="3"/>
  <c r="W139" i="3"/>
  <c r="W150" i="3"/>
  <c r="W143" i="3"/>
  <c r="W146" i="3"/>
  <c r="W145" i="3"/>
  <c r="W149" i="3"/>
  <c r="W147" i="3"/>
  <c r="W148" i="3"/>
  <c r="W144" i="3"/>
  <c r="W142" i="3"/>
  <c r="W141" i="3"/>
  <c r="W127" i="3"/>
  <c r="N168" i="4"/>
  <c r="B150" i="4"/>
  <c r="J4" i="4"/>
  <c r="J231" i="4" s="1"/>
  <c r="J84" i="6"/>
  <c r="I30" i="4"/>
  <c r="S265" i="4"/>
  <c r="Q142" i="5"/>
  <c r="I4" i="4"/>
  <c r="I231" i="4" s="1"/>
  <c r="D211" i="4"/>
  <c r="N90" i="5"/>
  <c r="I259" i="4"/>
  <c r="S57" i="4"/>
  <c r="S3" i="7" s="1"/>
  <c r="U4" i="7"/>
  <c r="U168" i="4"/>
  <c r="P19" i="4"/>
  <c r="P242" i="4" s="1"/>
  <c r="G57" i="4"/>
  <c r="G3" i="7" s="1"/>
  <c r="N4" i="7"/>
  <c r="V4" i="7"/>
  <c r="F150" i="4"/>
  <c r="J76" i="5"/>
  <c r="V57" i="4"/>
  <c r="V3" i="7" s="1"/>
  <c r="D61" i="5"/>
  <c r="I251" i="4"/>
  <c r="B97" i="5"/>
  <c r="S210" i="4"/>
  <c r="D19" i="4"/>
  <c r="D243" i="4" s="1"/>
  <c r="M265" i="4"/>
  <c r="J144" i="5"/>
  <c r="I97" i="5"/>
  <c r="I249" i="4"/>
  <c r="I263" i="4"/>
  <c r="I261" i="4"/>
  <c r="G168" i="4"/>
  <c r="I91" i="6"/>
  <c r="I258" i="4"/>
  <c r="I255" i="4"/>
  <c r="I260" i="4"/>
  <c r="S111" i="4"/>
  <c r="S30" i="7" s="1"/>
  <c r="M19" i="4"/>
  <c r="M244" i="4" s="1"/>
  <c r="I204" i="4"/>
  <c r="I250" i="4"/>
  <c r="I262" i="4"/>
  <c r="M104" i="5"/>
  <c r="M157" i="4"/>
  <c r="I19" i="7"/>
  <c r="I252" i="4"/>
  <c r="I61" i="5"/>
  <c r="M98" i="6"/>
  <c r="T111" i="4"/>
  <c r="T30" i="7" s="1"/>
  <c r="Q164" i="5"/>
  <c r="I57" i="4"/>
  <c r="I3" i="7" s="1"/>
  <c r="D104" i="5"/>
  <c r="I254" i="4"/>
  <c r="I55" i="6"/>
  <c r="F97" i="5"/>
  <c r="V17" i="5"/>
  <c r="V150" i="5" s="1"/>
  <c r="I253" i="4"/>
  <c r="D157" i="4"/>
  <c r="I257" i="4"/>
  <c r="B70" i="6"/>
  <c r="Q158" i="5"/>
  <c r="Q4" i="7"/>
  <c r="Q57" i="4"/>
  <c r="Q3" i="7" s="1"/>
  <c r="K229" i="4"/>
  <c r="Q151" i="5"/>
  <c r="R158" i="6"/>
  <c r="R145" i="6"/>
  <c r="K151" i="5"/>
  <c r="K164" i="5"/>
  <c r="K157" i="5"/>
  <c r="B158" i="5"/>
  <c r="B142" i="5"/>
  <c r="W4" i="3"/>
  <c r="W217" i="3"/>
  <c r="W230" i="3"/>
  <c r="W17" i="3"/>
  <c r="S135" i="6"/>
  <c r="S145" i="6"/>
  <c r="S143" i="6"/>
  <c r="S142" i="6"/>
  <c r="S146" i="6"/>
  <c r="S139" i="6"/>
  <c r="S148" i="6"/>
  <c r="S155" i="6"/>
  <c r="S154" i="6"/>
  <c r="S153" i="6"/>
  <c r="S137" i="6"/>
  <c r="S147" i="6"/>
  <c r="S141" i="6"/>
  <c r="S156" i="6"/>
  <c r="S149" i="6"/>
  <c r="S140" i="6"/>
  <c r="S160" i="6"/>
  <c r="S159" i="6"/>
  <c r="S138" i="6"/>
  <c r="S136" i="6"/>
  <c r="S158" i="6"/>
  <c r="S152" i="6"/>
  <c r="E234" i="4"/>
  <c r="E224" i="4"/>
  <c r="I163" i="5"/>
  <c r="I165" i="5"/>
  <c r="I153" i="5"/>
  <c r="I155" i="5"/>
  <c r="I141" i="5"/>
  <c r="I143" i="5"/>
  <c r="I161" i="5"/>
  <c r="I146" i="5"/>
  <c r="I160" i="5"/>
  <c r="I148" i="5"/>
  <c r="I154" i="5"/>
  <c r="I150" i="5"/>
  <c r="I164" i="5"/>
  <c r="I145" i="5"/>
  <c r="I159" i="5"/>
  <c r="I152" i="5"/>
  <c r="I151" i="5"/>
  <c r="I147" i="5"/>
  <c r="I166" i="5"/>
  <c r="I156" i="5"/>
  <c r="I162" i="5"/>
  <c r="I142" i="5"/>
  <c r="I144" i="5"/>
  <c r="I158" i="5"/>
  <c r="B135" i="6"/>
  <c r="B154" i="6"/>
  <c r="B147" i="6"/>
  <c r="B156" i="6"/>
  <c r="B155" i="6"/>
  <c r="B141" i="6"/>
  <c r="B149" i="6"/>
  <c r="B140" i="6"/>
  <c r="B153" i="6"/>
  <c r="B137" i="6"/>
  <c r="B139" i="6"/>
  <c r="B142" i="6"/>
  <c r="B146" i="6"/>
  <c r="B160" i="6"/>
  <c r="B148" i="6"/>
  <c r="B145" i="6"/>
  <c r="B159" i="6"/>
  <c r="B158" i="6"/>
  <c r="B138" i="6"/>
  <c r="B152" i="6"/>
  <c r="B136" i="6"/>
  <c r="V147" i="5"/>
  <c r="N141" i="5"/>
  <c r="N152" i="5"/>
  <c r="N154" i="5"/>
  <c r="N156" i="5"/>
  <c r="N160" i="5"/>
  <c r="N150" i="5"/>
  <c r="N162" i="5"/>
  <c r="N163" i="5"/>
  <c r="N166" i="5"/>
  <c r="N145" i="5"/>
  <c r="N165" i="5"/>
  <c r="N159" i="5"/>
  <c r="N143" i="5"/>
  <c r="N146" i="5"/>
  <c r="N147" i="5"/>
  <c r="N164" i="5"/>
  <c r="N148" i="5"/>
  <c r="N149" i="5"/>
  <c r="N155" i="5"/>
  <c r="N153" i="5"/>
  <c r="N161" i="5"/>
  <c r="N60" i="5"/>
  <c r="N158" i="5"/>
  <c r="N144" i="5"/>
  <c r="N142" i="5"/>
  <c r="N151" i="5"/>
  <c r="R31" i="7"/>
  <c r="R111" i="4"/>
  <c r="R30" i="7" s="1"/>
  <c r="T17" i="6"/>
  <c r="T151" i="6" s="1"/>
  <c r="H153" i="6"/>
  <c r="H137" i="6"/>
  <c r="H135" i="6"/>
  <c r="H141" i="6"/>
  <c r="H149" i="6"/>
  <c r="H146" i="6"/>
  <c r="H145" i="6"/>
  <c r="H154" i="6"/>
  <c r="H148" i="6"/>
  <c r="H140" i="6"/>
  <c r="H139" i="6"/>
  <c r="H159" i="6"/>
  <c r="H156" i="6"/>
  <c r="H147" i="6"/>
  <c r="H142" i="6"/>
  <c r="H155" i="6"/>
  <c r="H160" i="6"/>
  <c r="T70" i="6"/>
  <c r="G17" i="5"/>
  <c r="G60" i="5" s="1"/>
  <c r="F266" i="4"/>
  <c r="F70" i="6"/>
  <c r="F264" i="4"/>
  <c r="F273" i="4"/>
  <c r="F30" i="4"/>
  <c r="F271" i="4"/>
  <c r="F269" i="4"/>
  <c r="F268" i="4"/>
  <c r="F265" i="4"/>
  <c r="F267" i="4"/>
  <c r="F272" i="4"/>
  <c r="F270" i="4"/>
  <c r="I17" i="6"/>
  <c r="I136" i="6" s="1"/>
  <c r="H152" i="6"/>
  <c r="T157" i="5"/>
  <c r="J141" i="5"/>
  <c r="J146" i="5"/>
  <c r="J148" i="5"/>
  <c r="J159" i="5"/>
  <c r="J155" i="5"/>
  <c r="J161" i="5"/>
  <c r="J152" i="5"/>
  <c r="J153" i="5"/>
  <c r="K17" i="6"/>
  <c r="K151" i="6" s="1"/>
  <c r="H136" i="6"/>
  <c r="N17" i="6"/>
  <c r="N136" i="6" s="1"/>
  <c r="N55" i="6"/>
  <c r="T57" i="4"/>
  <c r="T3" i="7" s="1"/>
  <c r="H158" i="6"/>
  <c r="F76" i="5"/>
  <c r="I70" i="6"/>
  <c r="H151" i="6"/>
  <c r="E17" i="6"/>
  <c r="E136" i="6" s="1"/>
  <c r="E55" i="6"/>
  <c r="R152" i="6"/>
  <c r="U17" i="5"/>
  <c r="U61" i="5"/>
  <c r="T141" i="5"/>
  <c r="T165" i="5"/>
  <c r="T163" i="5"/>
  <c r="T153" i="5"/>
  <c r="T154" i="5"/>
  <c r="T156" i="5"/>
  <c r="T144" i="5"/>
  <c r="T143" i="5"/>
  <c r="T161" i="5"/>
  <c r="T150" i="5"/>
  <c r="T162" i="5"/>
  <c r="T145" i="5"/>
  <c r="T155" i="5"/>
  <c r="T166" i="5"/>
  <c r="T146" i="5"/>
  <c r="T152" i="5"/>
  <c r="T147" i="5"/>
  <c r="T148" i="5"/>
  <c r="T160" i="5"/>
  <c r="T158" i="5"/>
  <c r="T149" i="5"/>
  <c r="T159" i="5"/>
  <c r="R153" i="5"/>
  <c r="R166" i="5"/>
  <c r="R155" i="5"/>
  <c r="R141" i="5"/>
  <c r="R163" i="5"/>
  <c r="R147" i="5"/>
  <c r="R159" i="5"/>
  <c r="R144" i="5"/>
  <c r="R156" i="5"/>
  <c r="R162" i="5"/>
  <c r="R161" i="5"/>
  <c r="R149" i="5"/>
  <c r="R154" i="5"/>
  <c r="R146" i="5"/>
  <c r="R143" i="5"/>
  <c r="R151" i="5"/>
  <c r="R160" i="5"/>
  <c r="R148" i="5"/>
  <c r="R158" i="5"/>
  <c r="R150" i="5"/>
  <c r="R164" i="5"/>
  <c r="R165" i="5"/>
  <c r="R60" i="5"/>
  <c r="R145" i="5"/>
  <c r="R152" i="5"/>
  <c r="U17" i="6"/>
  <c r="U136" i="6" s="1"/>
  <c r="U55" i="6"/>
  <c r="T164" i="5"/>
  <c r="Q163" i="5"/>
  <c r="Q149" i="5"/>
  <c r="Q155" i="5"/>
  <c r="Q141" i="5"/>
  <c r="Q145" i="5"/>
  <c r="Q144" i="5"/>
  <c r="Q154" i="5"/>
  <c r="Q148" i="5"/>
  <c r="Q143" i="5"/>
  <c r="Q160" i="5"/>
  <c r="Q161" i="5"/>
  <c r="Q152" i="5"/>
  <c r="Q153" i="5"/>
  <c r="Q166" i="5"/>
  <c r="Q162" i="5"/>
  <c r="Q156" i="5"/>
  <c r="Q165" i="5"/>
  <c r="Q159" i="5"/>
  <c r="Q150" i="5"/>
  <c r="Q146" i="5"/>
  <c r="Q147" i="5"/>
  <c r="Q17" i="6"/>
  <c r="Q54" i="6" s="1"/>
  <c r="I238" i="4"/>
  <c r="N157" i="5"/>
  <c r="N76" i="5"/>
  <c r="J142" i="5"/>
  <c r="U157" i="5"/>
  <c r="M256" i="4"/>
  <c r="M260" i="4"/>
  <c r="M168" i="4"/>
  <c r="M254" i="4"/>
  <c r="M55" i="6"/>
  <c r="M252" i="4"/>
  <c r="M263" i="4"/>
  <c r="M250" i="4"/>
  <c r="M261" i="4"/>
  <c r="M262" i="4"/>
  <c r="M251" i="4"/>
  <c r="M249" i="4"/>
  <c r="M259" i="4"/>
  <c r="M255" i="4"/>
  <c r="M257" i="4"/>
  <c r="M253" i="4"/>
  <c r="T142" i="5"/>
  <c r="R151" i="6"/>
  <c r="R70" i="6"/>
  <c r="P46" i="7"/>
  <c r="P111" i="4"/>
  <c r="P30" i="7" s="1"/>
  <c r="M17" i="5"/>
  <c r="M142" i="5" s="1"/>
  <c r="M61" i="5"/>
  <c r="H138" i="6"/>
  <c r="H31" i="7"/>
  <c r="H111" i="4"/>
  <c r="H30" i="7" s="1"/>
  <c r="S151" i="6"/>
  <c r="O17" i="6"/>
  <c r="O136" i="6" s="1"/>
  <c r="C17" i="6"/>
  <c r="C151" i="6" s="1"/>
  <c r="Q31" i="7"/>
  <c r="Q111" i="4"/>
  <c r="Q30" i="7" s="1"/>
  <c r="B141" i="5"/>
  <c r="B160" i="5"/>
  <c r="B162" i="5"/>
  <c r="B146" i="5"/>
  <c r="B165" i="5"/>
  <c r="B155" i="5"/>
  <c r="B159" i="5"/>
  <c r="B145" i="5"/>
  <c r="B163" i="5"/>
  <c r="B152" i="5"/>
  <c r="B156" i="5"/>
  <c r="B153" i="5"/>
  <c r="B166" i="5"/>
  <c r="B143" i="5"/>
  <c r="B161" i="5"/>
  <c r="B154" i="5"/>
  <c r="B147" i="5"/>
  <c r="B148" i="5"/>
  <c r="M17" i="6"/>
  <c r="M151" i="6" s="1"/>
  <c r="J70" i="6"/>
  <c r="G4" i="4"/>
  <c r="G236" i="4" s="1"/>
  <c r="R238" i="4"/>
  <c r="K227" i="4"/>
  <c r="C17" i="5"/>
  <c r="C157" i="5" s="1"/>
  <c r="B151" i="6"/>
  <c r="G17" i="6"/>
  <c r="F17" i="5"/>
  <c r="F142" i="5" s="1"/>
  <c r="F61" i="5"/>
  <c r="F17" i="6"/>
  <c r="F136" i="6" s="1"/>
  <c r="F55" i="6"/>
  <c r="P17" i="5"/>
  <c r="P142" i="5" s="1"/>
  <c r="P17" i="6"/>
  <c r="P151" i="6" s="1"/>
  <c r="R157" i="5"/>
  <c r="J17" i="6"/>
  <c r="H17" i="5"/>
  <c r="J240" i="4"/>
  <c r="N70" i="6"/>
  <c r="V17" i="6"/>
  <c r="V136" i="6" s="1"/>
  <c r="V55" i="6"/>
  <c r="D17" i="6"/>
  <c r="D151" i="6" s="1"/>
  <c r="I157" i="5"/>
  <c r="I76" i="5"/>
  <c r="O17" i="5"/>
  <c r="O142" i="5" s="1"/>
  <c r="D17" i="5"/>
  <c r="D142" i="5" s="1"/>
  <c r="R135" i="6"/>
  <c r="R160" i="6"/>
  <c r="R156" i="6"/>
  <c r="R146" i="6"/>
  <c r="R139" i="6"/>
  <c r="R153" i="6"/>
  <c r="R148" i="6"/>
  <c r="R141" i="6"/>
  <c r="R155" i="6"/>
  <c r="R149" i="6"/>
  <c r="R143" i="6"/>
  <c r="R140" i="6"/>
  <c r="R159" i="6"/>
  <c r="R142" i="6"/>
  <c r="R154" i="6"/>
  <c r="R137" i="6"/>
  <c r="R147" i="6"/>
  <c r="R54" i="6"/>
  <c r="K141" i="5"/>
  <c r="K165" i="5"/>
  <c r="K145" i="5"/>
  <c r="K152" i="5"/>
  <c r="K161" i="5"/>
  <c r="K158" i="5"/>
  <c r="K146" i="5"/>
  <c r="K166" i="5"/>
  <c r="K150" i="5"/>
  <c r="K162" i="5"/>
  <c r="K147" i="5"/>
  <c r="K155" i="5"/>
  <c r="K153" i="5"/>
  <c r="K154" i="5"/>
  <c r="K148" i="5"/>
  <c r="K160" i="5"/>
  <c r="K143" i="5"/>
  <c r="K149" i="5"/>
  <c r="K159" i="5"/>
  <c r="K156" i="5"/>
  <c r="K163" i="5"/>
  <c r="I31" i="7"/>
  <c r="I111" i="4"/>
  <c r="I30" i="7" s="1"/>
  <c r="R138" i="6"/>
  <c r="E17" i="5"/>
  <c r="E157" i="5" s="1"/>
  <c r="D167" i="4"/>
  <c r="D143" i="4"/>
  <c r="D197" i="4"/>
  <c r="D84" i="6"/>
  <c r="D90" i="5"/>
  <c r="D224" i="4"/>
  <c r="C265" i="4"/>
  <c r="N141" i="4"/>
  <c r="N195" i="4"/>
  <c r="N82" i="6"/>
  <c r="N88" i="5"/>
  <c r="N234" i="4"/>
  <c r="N222" i="4"/>
  <c r="N230" i="4"/>
  <c r="N226" i="4"/>
  <c r="N225" i="4"/>
  <c r="N223" i="4"/>
  <c r="N235" i="4"/>
  <c r="N233" i="4"/>
  <c r="N232" i="4"/>
  <c r="N229" i="4"/>
  <c r="N227" i="4"/>
  <c r="N236" i="4"/>
  <c r="N228" i="4"/>
  <c r="B156" i="4"/>
  <c r="B210" i="4"/>
  <c r="B97" i="6"/>
  <c r="B103" i="5"/>
  <c r="B237" i="4"/>
  <c r="B245" i="4"/>
  <c r="B239" i="4"/>
  <c r="B243" i="4"/>
  <c r="B241" i="4"/>
  <c r="B246" i="4"/>
  <c r="B242" i="4"/>
  <c r="R141" i="4"/>
  <c r="R195" i="4"/>
  <c r="R82" i="6"/>
  <c r="R88" i="5"/>
  <c r="R222" i="4"/>
  <c r="R228" i="4"/>
  <c r="R233" i="4"/>
  <c r="R227" i="4"/>
  <c r="R230" i="4"/>
  <c r="R236" i="4"/>
  <c r="R225" i="4"/>
  <c r="R223" i="4"/>
  <c r="R229" i="4"/>
  <c r="R232" i="4"/>
  <c r="R226" i="4"/>
  <c r="R235" i="4"/>
  <c r="R234" i="4"/>
  <c r="C197" i="4"/>
  <c r="C84" i="6"/>
  <c r="C90" i="5"/>
  <c r="F143" i="4"/>
  <c r="F197" i="4"/>
  <c r="F84" i="6"/>
  <c r="F90" i="5"/>
  <c r="F224" i="4"/>
  <c r="G242" i="4"/>
  <c r="S168" i="4"/>
  <c r="S55" i="6"/>
  <c r="S262" i="4"/>
  <c r="S260" i="4"/>
  <c r="S256" i="4"/>
  <c r="S263" i="4"/>
  <c r="S261" i="4"/>
  <c r="S259" i="4"/>
  <c r="S257" i="4"/>
  <c r="S61" i="5"/>
  <c r="S254" i="4"/>
  <c r="S252" i="4"/>
  <c r="S250" i="4"/>
  <c r="S255" i="4"/>
  <c r="S253" i="4"/>
  <c r="S249" i="4"/>
  <c r="S258" i="4"/>
  <c r="C30" i="4"/>
  <c r="R3" i="7"/>
  <c r="R167" i="4"/>
  <c r="G150" i="4"/>
  <c r="G204" i="4"/>
  <c r="G91" i="6"/>
  <c r="G97" i="5"/>
  <c r="E244" i="4"/>
  <c r="V224" i="4"/>
  <c r="U167" i="4"/>
  <c r="U54" i="6"/>
  <c r="U60" i="5"/>
  <c r="H240" i="4"/>
  <c r="H239" i="4"/>
  <c r="P163" i="4"/>
  <c r="P217" i="4"/>
  <c r="P104" i="6"/>
  <c r="P110" i="5"/>
  <c r="G228" i="4"/>
  <c r="R231" i="4"/>
  <c r="S141" i="4"/>
  <c r="S195" i="4"/>
  <c r="S82" i="6"/>
  <c r="S88" i="5"/>
  <c r="S222" i="4"/>
  <c r="S225" i="4"/>
  <c r="S228" i="4"/>
  <c r="S230" i="4"/>
  <c r="S233" i="4"/>
  <c r="S229" i="4"/>
  <c r="S234" i="4"/>
  <c r="S227" i="4"/>
  <c r="S232" i="4"/>
  <c r="S226" i="4"/>
  <c r="S235" i="4"/>
  <c r="S236" i="4"/>
  <c r="T143" i="4"/>
  <c r="T197" i="4"/>
  <c r="T84" i="6"/>
  <c r="T90" i="5"/>
  <c r="O156" i="4"/>
  <c r="O210" i="4"/>
  <c r="O97" i="6"/>
  <c r="O103" i="5"/>
  <c r="O237" i="4"/>
  <c r="O245" i="4"/>
  <c r="O239" i="4"/>
  <c r="O241" i="4"/>
  <c r="O246" i="4"/>
  <c r="O243" i="4"/>
  <c r="O240" i="4"/>
  <c r="O242" i="4"/>
  <c r="G156" i="4"/>
  <c r="G210" i="4"/>
  <c r="G97" i="6"/>
  <c r="G103" i="5"/>
  <c r="G237" i="4"/>
  <c r="G241" i="4"/>
  <c r="G243" i="4"/>
  <c r="G239" i="4"/>
  <c r="G246" i="4"/>
  <c r="P143" i="4"/>
  <c r="P197" i="4"/>
  <c r="P84" i="6"/>
  <c r="P90" i="5"/>
  <c r="E141" i="4"/>
  <c r="E195" i="4"/>
  <c r="E82" i="6"/>
  <c r="E88" i="5"/>
  <c r="E222" i="4"/>
  <c r="E236" i="4"/>
  <c r="E230" i="4"/>
  <c r="E227" i="4"/>
  <c r="E233" i="4"/>
  <c r="E228" i="4"/>
  <c r="E226" i="4"/>
  <c r="E235" i="4"/>
  <c r="E232" i="4"/>
  <c r="E225" i="4"/>
  <c r="E223" i="4"/>
  <c r="I156" i="4"/>
  <c r="I210" i="4"/>
  <c r="I97" i="6"/>
  <c r="I103" i="5"/>
  <c r="I237" i="4"/>
  <c r="I239" i="4"/>
  <c r="I245" i="4"/>
  <c r="I241" i="4"/>
  <c r="I243" i="4"/>
  <c r="I242" i="4"/>
  <c r="I240" i="4"/>
  <c r="I246" i="4"/>
  <c r="Q141" i="4"/>
  <c r="Q195" i="4"/>
  <c r="Q82" i="6"/>
  <c r="Q88" i="5"/>
  <c r="Q222" i="4"/>
  <c r="Q226" i="4"/>
  <c r="Q233" i="4"/>
  <c r="Q235" i="4"/>
  <c r="Q236" i="4"/>
  <c r="Q228" i="4"/>
  <c r="Q230" i="4"/>
  <c r="Q227" i="4"/>
  <c r="Q229" i="4"/>
  <c r="Q234" i="4"/>
  <c r="Q232" i="4"/>
  <c r="Q225" i="4"/>
  <c r="Q223" i="4"/>
  <c r="P204" i="4"/>
  <c r="P91" i="6"/>
  <c r="P97" i="5"/>
  <c r="T211" i="4"/>
  <c r="T98" i="6"/>
  <c r="T104" i="5"/>
  <c r="P103" i="5"/>
  <c r="H30" i="4"/>
  <c r="H183" i="4"/>
  <c r="H70" i="6"/>
  <c r="H272" i="4"/>
  <c r="H270" i="4"/>
  <c r="H268" i="4"/>
  <c r="H266" i="4"/>
  <c r="H264" i="4"/>
  <c r="H76" i="5"/>
  <c r="H269" i="4"/>
  <c r="H273" i="4"/>
  <c r="H267" i="4"/>
  <c r="H265" i="4"/>
  <c r="Q238" i="4"/>
  <c r="C243" i="4"/>
  <c r="D223" i="4"/>
  <c r="S251" i="4"/>
  <c r="J141" i="4"/>
  <c r="J195" i="4"/>
  <c r="J82" i="6"/>
  <c r="J88" i="5"/>
  <c r="J222" i="4"/>
  <c r="J229" i="4"/>
  <c r="J228" i="4"/>
  <c r="J233" i="4"/>
  <c r="J225" i="4"/>
  <c r="J235" i="4"/>
  <c r="J232" i="4"/>
  <c r="J223" i="4"/>
  <c r="J234" i="4"/>
  <c r="J227" i="4"/>
  <c r="J236" i="4"/>
  <c r="J230" i="4"/>
  <c r="J226" i="4"/>
  <c r="O238" i="4"/>
  <c r="K224" i="4"/>
  <c r="D231" i="4"/>
  <c r="F246" i="4"/>
  <c r="V156" i="4"/>
  <c r="V210" i="4"/>
  <c r="V97" i="6"/>
  <c r="V103" i="5"/>
  <c r="V237" i="4"/>
  <c r="V240" i="4"/>
  <c r="V245" i="4"/>
  <c r="V239" i="4"/>
  <c r="V243" i="4"/>
  <c r="V241" i="4"/>
  <c r="V246" i="4"/>
  <c r="V242" i="4"/>
  <c r="J156" i="4"/>
  <c r="J210" i="4"/>
  <c r="J97" i="6"/>
  <c r="J103" i="5"/>
  <c r="J237" i="4"/>
  <c r="J246" i="4"/>
  <c r="J241" i="4"/>
  <c r="J239" i="4"/>
  <c r="J242" i="4"/>
  <c r="J243" i="4"/>
  <c r="J245" i="4"/>
  <c r="R156" i="4"/>
  <c r="R210" i="4"/>
  <c r="R97" i="6"/>
  <c r="R103" i="5"/>
  <c r="R237" i="4"/>
  <c r="R245" i="4"/>
  <c r="R242" i="4"/>
  <c r="R243" i="4"/>
  <c r="R239" i="4"/>
  <c r="R241" i="4"/>
  <c r="R246" i="4"/>
  <c r="R240" i="4"/>
  <c r="V141" i="4"/>
  <c r="V195" i="4"/>
  <c r="V82" i="6"/>
  <c r="V88" i="5"/>
  <c r="V226" i="4"/>
  <c r="V222" i="4"/>
  <c r="V232" i="4"/>
  <c r="V233" i="4"/>
  <c r="V235" i="4"/>
  <c r="V228" i="4"/>
  <c r="V236" i="4"/>
  <c r="V227" i="4"/>
  <c r="V225" i="4"/>
  <c r="V230" i="4"/>
  <c r="V234" i="4"/>
  <c r="V229" i="4"/>
  <c r="V223" i="4"/>
  <c r="N156" i="4"/>
  <c r="N210" i="4"/>
  <c r="N97" i="6"/>
  <c r="N103" i="5"/>
  <c r="N237" i="4"/>
  <c r="N242" i="4"/>
  <c r="N241" i="4"/>
  <c r="N239" i="4"/>
  <c r="N246" i="4"/>
  <c r="N245" i="4"/>
  <c r="N243" i="4"/>
  <c r="N240" i="4"/>
  <c r="M141" i="4"/>
  <c r="M195" i="4"/>
  <c r="M82" i="6"/>
  <c r="M88" i="5"/>
  <c r="M222" i="4"/>
  <c r="M233" i="4"/>
  <c r="M232" i="4"/>
  <c r="M234" i="4"/>
  <c r="M228" i="4"/>
  <c r="M236" i="4"/>
  <c r="M227" i="4"/>
  <c r="M235" i="4"/>
  <c r="M230" i="4"/>
  <c r="M226" i="4"/>
  <c r="M229" i="4"/>
  <c r="M225" i="4"/>
  <c r="M223" i="4"/>
  <c r="F226" i="4"/>
  <c r="C150" i="4"/>
  <c r="C204" i="4"/>
  <c r="C91" i="6"/>
  <c r="C97" i="5"/>
  <c r="Q231" i="4"/>
  <c r="M224" i="4"/>
  <c r="D271" i="4"/>
  <c r="N3" i="7"/>
  <c r="N167" i="4"/>
  <c r="G238" i="4"/>
  <c r="C156" i="4"/>
  <c r="C210" i="4"/>
  <c r="C97" i="6"/>
  <c r="C103" i="5"/>
  <c r="C237" i="4"/>
  <c r="C242" i="4"/>
  <c r="C245" i="4"/>
  <c r="C240" i="4"/>
  <c r="C246" i="4"/>
  <c r="D141" i="4"/>
  <c r="D195" i="4"/>
  <c r="D82" i="6"/>
  <c r="D88" i="5"/>
  <c r="D222" i="4"/>
  <c r="D235" i="4"/>
  <c r="D228" i="4"/>
  <c r="D233" i="4"/>
  <c r="D226" i="4"/>
  <c r="D232" i="4"/>
  <c r="D234" i="4"/>
  <c r="D236" i="4"/>
  <c r="G88" i="5"/>
  <c r="G222" i="4"/>
  <c r="E156" i="4"/>
  <c r="E210" i="4"/>
  <c r="E97" i="6"/>
  <c r="E103" i="5"/>
  <c r="E237" i="4"/>
  <c r="E245" i="4"/>
  <c r="E242" i="4"/>
  <c r="E241" i="4"/>
  <c r="E239" i="4"/>
  <c r="E240" i="4"/>
  <c r="E246" i="4"/>
  <c r="E243" i="4"/>
  <c r="B141" i="4"/>
  <c r="B195" i="4"/>
  <c r="B82" i="6"/>
  <c r="B88" i="5"/>
  <c r="B222" i="4"/>
  <c r="B235" i="4"/>
  <c r="B236" i="4"/>
  <c r="B225" i="4"/>
  <c r="B228" i="4"/>
  <c r="B227" i="4"/>
  <c r="B226" i="4"/>
  <c r="B234" i="4"/>
  <c r="B232" i="4"/>
  <c r="B233" i="4"/>
  <c r="B223" i="4"/>
  <c r="D156" i="4"/>
  <c r="D210" i="4"/>
  <c r="D97" i="6"/>
  <c r="D103" i="5"/>
  <c r="D237" i="4"/>
  <c r="D240" i="4"/>
  <c r="D245" i="4"/>
  <c r="D246" i="4"/>
  <c r="D241" i="4"/>
  <c r="D239" i="4"/>
  <c r="D242" i="4"/>
  <c r="C211" i="4"/>
  <c r="C98" i="6"/>
  <c r="C104" i="5"/>
  <c r="C238" i="4"/>
  <c r="K233" i="4"/>
  <c r="D238" i="4"/>
  <c r="K30" i="4"/>
  <c r="K168" i="4"/>
  <c r="K55" i="6"/>
  <c r="K263" i="4"/>
  <c r="K261" i="4"/>
  <c r="K262" i="4"/>
  <c r="K260" i="4"/>
  <c r="K256" i="4"/>
  <c r="K254" i="4"/>
  <c r="K252" i="4"/>
  <c r="K250" i="4"/>
  <c r="K259" i="4"/>
  <c r="K61" i="5"/>
  <c r="K257" i="4"/>
  <c r="K253" i="4"/>
  <c r="K249" i="4"/>
  <c r="K255" i="4"/>
  <c r="K258" i="4"/>
  <c r="Q224" i="4"/>
  <c r="E150" i="4"/>
  <c r="E204" i="4"/>
  <c r="E91" i="6"/>
  <c r="E97" i="5"/>
  <c r="E231" i="4"/>
  <c r="K225" i="4"/>
  <c r="H211" i="4"/>
  <c r="H98" i="6"/>
  <c r="H104" i="5"/>
  <c r="H238" i="4"/>
  <c r="S183" i="4"/>
  <c r="S70" i="6"/>
  <c r="S272" i="4"/>
  <c r="S270" i="4"/>
  <c r="S268" i="4"/>
  <c r="S266" i="4"/>
  <c r="S264" i="4"/>
  <c r="S76" i="5"/>
  <c r="S273" i="4"/>
  <c r="S269" i="4"/>
  <c r="S267" i="4"/>
  <c r="S224" i="4"/>
  <c r="P246" i="4"/>
  <c r="U141" i="4"/>
  <c r="U195" i="4"/>
  <c r="U82" i="6"/>
  <c r="U88" i="5"/>
  <c r="U222" i="4"/>
  <c r="U233" i="4"/>
  <c r="U230" i="4"/>
  <c r="U228" i="4"/>
  <c r="U235" i="4"/>
  <c r="U225" i="4"/>
  <c r="U236" i="4"/>
  <c r="U227" i="4"/>
  <c r="U232" i="4"/>
  <c r="U234" i="4"/>
  <c r="U223" i="4"/>
  <c r="U226" i="4"/>
  <c r="U229" i="4"/>
  <c r="O141" i="4"/>
  <c r="O195" i="4"/>
  <c r="O82" i="6"/>
  <c r="O88" i="5"/>
  <c r="O222" i="4"/>
  <c r="O230" i="4"/>
  <c r="O225" i="4"/>
  <c r="O223" i="4"/>
  <c r="O233" i="4"/>
  <c r="O228" i="4"/>
  <c r="O227" i="4"/>
  <c r="O234" i="4"/>
  <c r="O229" i="4"/>
  <c r="O236" i="4"/>
  <c r="O235" i="4"/>
  <c r="O226" i="4"/>
  <c r="B244" i="4"/>
  <c r="G163" i="4"/>
  <c r="G217" i="4"/>
  <c r="G104" i="6"/>
  <c r="G110" i="5"/>
  <c r="G244" i="4"/>
  <c r="U224" i="4"/>
  <c r="S30" i="4"/>
  <c r="C183" i="4"/>
  <c r="C70" i="6"/>
  <c r="C76" i="5"/>
  <c r="C273" i="4"/>
  <c r="C269" i="4"/>
  <c r="C267" i="4"/>
  <c r="C272" i="4"/>
  <c r="C270" i="4"/>
  <c r="C268" i="4"/>
  <c r="C266" i="4"/>
  <c r="C264" i="4"/>
  <c r="M156" i="4"/>
  <c r="M239" i="4"/>
  <c r="M242" i="4"/>
  <c r="U156" i="4"/>
  <c r="U210" i="4"/>
  <c r="U97" i="6"/>
  <c r="U103" i="5"/>
  <c r="U237" i="4"/>
  <c r="U245" i="4"/>
  <c r="U239" i="4"/>
  <c r="U241" i="4"/>
  <c r="U246" i="4"/>
  <c r="U243" i="4"/>
  <c r="U242" i="4"/>
  <c r="U240" i="4"/>
  <c r="H156" i="4"/>
  <c r="H210" i="4"/>
  <c r="H97" i="6"/>
  <c r="H103" i="5"/>
  <c r="H237" i="4"/>
  <c r="H243" i="4"/>
  <c r="H241" i="4"/>
  <c r="H245" i="4"/>
  <c r="H246" i="4"/>
  <c r="I141" i="4"/>
  <c r="I195" i="4"/>
  <c r="I88" i="5"/>
  <c r="I235" i="4"/>
  <c r="I223" i="4"/>
  <c r="I236" i="4"/>
  <c r="I226" i="4"/>
  <c r="I233" i="4"/>
  <c r="O224" i="4"/>
  <c r="J157" i="4"/>
  <c r="J211" i="4"/>
  <c r="J98" i="6"/>
  <c r="J104" i="5"/>
  <c r="J238" i="4"/>
  <c r="C244" i="4"/>
  <c r="Q167" i="4"/>
  <c r="Q60" i="5"/>
  <c r="H244" i="4"/>
  <c r="V238" i="4"/>
  <c r="K211" i="4"/>
  <c r="K98" i="6"/>
  <c r="K104" i="5"/>
  <c r="G54" i="6"/>
  <c r="G245" i="4"/>
  <c r="V244" i="4"/>
  <c r="B240" i="4"/>
  <c r="U231" i="4"/>
  <c r="C239" i="4"/>
  <c r="T163" i="4"/>
  <c r="T217" i="4"/>
  <c r="T104" i="6"/>
  <c r="T110" i="5"/>
  <c r="P211" i="4"/>
  <c r="P98" i="6"/>
  <c r="P104" i="5"/>
  <c r="D244" i="4"/>
  <c r="D227" i="4"/>
  <c r="N231" i="4"/>
  <c r="O204" i="4"/>
  <c r="O91" i="6"/>
  <c r="O97" i="5"/>
  <c r="O231" i="4"/>
  <c r="F141" i="4"/>
  <c r="F195" i="4"/>
  <c r="F82" i="6"/>
  <c r="F88" i="5"/>
  <c r="F223" i="4"/>
  <c r="F222" i="4"/>
  <c r="F228" i="4"/>
  <c r="F225" i="4"/>
  <c r="F227" i="4"/>
  <c r="F230" i="4"/>
  <c r="F233" i="4"/>
  <c r="F235" i="4"/>
  <c r="F232" i="4"/>
  <c r="F234" i="4"/>
  <c r="F236" i="4"/>
  <c r="K245" i="4"/>
  <c r="K240" i="4"/>
  <c r="B211" i="4"/>
  <c r="B98" i="6"/>
  <c r="B104" i="5"/>
  <c r="B238" i="4"/>
  <c r="F156" i="4"/>
  <c r="F210" i="4"/>
  <c r="F97" i="6"/>
  <c r="F237" i="4"/>
  <c r="F103" i="5"/>
  <c r="F239" i="4"/>
  <c r="F240" i="4"/>
  <c r="F241" i="4"/>
  <c r="F245" i="4"/>
  <c r="F243" i="4"/>
  <c r="F242" i="4"/>
  <c r="K141" i="4"/>
  <c r="K195" i="4"/>
  <c r="K82" i="6"/>
  <c r="K88" i="5"/>
  <c r="K222" i="4"/>
  <c r="K232" i="4"/>
  <c r="K236" i="4"/>
  <c r="K228" i="4"/>
  <c r="K226" i="4"/>
  <c r="K230" i="4"/>
  <c r="K234" i="4"/>
  <c r="H204" i="4"/>
  <c r="H91" i="6"/>
  <c r="H97" i="5"/>
  <c r="B157" i="4"/>
  <c r="Q156" i="4"/>
  <c r="Q210" i="4"/>
  <c r="Q97" i="6"/>
  <c r="Q103" i="5"/>
  <c r="Q237" i="4"/>
  <c r="Q240" i="4"/>
  <c r="Q241" i="4"/>
  <c r="Q246" i="4"/>
  <c r="Q243" i="4"/>
  <c r="Q239" i="4"/>
  <c r="Q245" i="4"/>
  <c r="Q242" i="4"/>
  <c r="B30" i="4"/>
  <c r="B168" i="4"/>
  <c r="B55" i="6"/>
  <c r="B262" i="4"/>
  <c r="B260" i="4"/>
  <c r="B263" i="4"/>
  <c r="B261" i="4"/>
  <c r="B259" i="4"/>
  <c r="B61" i="5"/>
  <c r="B254" i="4"/>
  <c r="B252" i="4"/>
  <c r="B250" i="4"/>
  <c r="B255" i="4"/>
  <c r="B253" i="4"/>
  <c r="B249" i="4"/>
  <c r="B251" i="4"/>
  <c r="G197" i="4"/>
  <c r="G84" i="6"/>
  <c r="G90" i="5"/>
  <c r="G224" i="4"/>
  <c r="T30" i="4"/>
  <c r="T168" i="4"/>
  <c r="T55" i="6"/>
  <c r="T263" i="4"/>
  <c r="T261" i="4"/>
  <c r="T262" i="4"/>
  <c r="T260" i="4"/>
  <c r="T259" i="4"/>
  <c r="T254" i="4"/>
  <c r="T252" i="4"/>
  <c r="T250" i="4"/>
  <c r="T257" i="4"/>
  <c r="T256" i="4"/>
  <c r="T61" i="5"/>
  <c r="T249" i="4"/>
  <c r="T255" i="4"/>
  <c r="T253" i="4"/>
  <c r="T258" i="4"/>
  <c r="D183" i="4"/>
  <c r="D70" i="6"/>
  <c r="D76" i="5"/>
  <c r="D273" i="4"/>
  <c r="D269" i="4"/>
  <c r="D267" i="4"/>
  <c r="D266" i="4"/>
  <c r="D272" i="4"/>
  <c r="D268" i="4"/>
  <c r="D270" i="4"/>
  <c r="D264" i="4"/>
  <c r="D265" i="4"/>
  <c r="H143" i="4"/>
  <c r="H197" i="4"/>
  <c r="H84" i="6"/>
  <c r="H90" i="5"/>
  <c r="R224" i="4"/>
  <c r="K231" i="4"/>
  <c r="K183" i="4"/>
  <c r="K70" i="6"/>
  <c r="K76" i="5"/>
  <c r="K273" i="4"/>
  <c r="K269" i="4"/>
  <c r="K267" i="4"/>
  <c r="K272" i="4"/>
  <c r="K270" i="4"/>
  <c r="K268" i="4"/>
  <c r="K266" i="4"/>
  <c r="K264" i="4"/>
  <c r="K265" i="4"/>
  <c r="O244" i="4"/>
  <c r="E167" i="4"/>
  <c r="E54" i="6"/>
  <c r="K235" i="4"/>
  <c r="O167" i="4"/>
  <c r="I224" i="4"/>
  <c r="N238" i="4"/>
  <c r="U238" i="4"/>
  <c r="B224" i="4"/>
  <c r="F163" i="4"/>
  <c r="F217" i="4"/>
  <c r="F104" i="6"/>
  <c r="F110" i="5"/>
  <c r="F244" i="4"/>
  <c r="H4" i="4"/>
  <c r="H224" i="4" s="1"/>
  <c r="H150" i="4"/>
  <c r="C4" i="4"/>
  <c r="C231" i="4" s="1"/>
  <c r="C143" i="4"/>
  <c r="P4" i="4"/>
  <c r="P150" i="4"/>
  <c r="T19" i="4"/>
  <c r="T238" i="4" s="1"/>
  <c r="T157" i="4"/>
  <c r="T4" i="4"/>
  <c r="T224" i="4" s="1"/>
  <c r="S223" i="4" l="1"/>
  <c r="S231" i="4"/>
  <c r="I167" i="4"/>
  <c r="J224" i="4"/>
  <c r="I225" i="4"/>
  <c r="I82" i="6"/>
  <c r="V167" i="4"/>
  <c r="J151" i="5"/>
  <c r="J149" i="5"/>
  <c r="J162" i="5"/>
  <c r="J165" i="5"/>
  <c r="J166" i="5"/>
  <c r="J160" i="5"/>
  <c r="V163" i="5"/>
  <c r="G167" i="4"/>
  <c r="I227" i="4"/>
  <c r="I234" i="4"/>
  <c r="I60" i="5"/>
  <c r="J157" i="5"/>
  <c r="J145" i="5"/>
  <c r="J147" i="5"/>
  <c r="V156" i="5"/>
  <c r="I230" i="4"/>
  <c r="J156" i="5"/>
  <c r="J154" i="5"/>
  <c r="I232" i="4"/>
  <c r="I228" i="4"/>
  <c r="I222" i="4"/>
  <c r="J158" i="5"/>
  <c r="J143" i="5"/>
  <c r="J163" i="5"/>
  <c r="J150" i="5"/>
  <c r="J60" i="5"/>
  <c r="K246" i="4"/>
  <c r="P239" i="4"/>
  <c r="P210" i="4"/>
  <c r="P97" i="6"/>
  <c r="K237" i="4"/>
  <c r="P243" i="4"/>
  <c r="P156" i="4"/>
  <c r="E60" i="5"/>
  <c r="K241" i="4"/>
  <c r="K103" i="5"/>
  <c r="P241" i="4"/>
  <c r="K97" i="6"/>
  <c r="K238" i="4"/>
  <c r="P240" i="4"/>
  <c r="K210" i="4"/>
  <c r="P238" i="4"/>
  <c r="P245" i="4"/>
  <c r="K239" i="4"/>
  <c r="K242" i="4"/>
  <c r="K156" i="4"/>
  <c r="P237" i="4"/>
  <c r="P244" i="4"/>
  <c r="K244" i="4"/>
  <c r="W113" i="3"/>
  <c r="M54" i="6"/>
  <c r="M243" i="4"/>
  <c r="M210" i="4"/>
  <c r="G223" i="4"/>
  <c r="G230" i="4"/>
  <c r="G234" i="4"/>
  <c r="V146" i="5"/>
  <c r="V162" i="5"/>
  <c r="V160" i="5"/>
  <c r="M241" i="4"/>
  <c r="G82" i="6"/>
  <c r="V144" i="5"/>
  <c r="V153" i="5"/>
  <c r="V166" i="5"/>
  <c r="V152" i="5"/>
  <c r="V159" i="5"/>
  <c r="M238" i="4"/>
  <c r="M240" i="4"/>
  <c r="G195" i="4"/>
  <c r="G225" i="4"/>
  <c r="V142" i="5"/>
  <c r="V155" i="5"/>
  <c r="V158" i="5"/>
  <c r="V141" i="5"/>
  <c r="M237" i="4"/>
  <c r="G233" i="4"/>
  <c r="G141" i="4"/>
  <c r="V151" i="5"/>
  <c r="V165" i="5"/>
  <c r="V149" i="5"/>
  <c r="V154" i="5"/>
  <c r="M245" i="4"/>
  <c r="M103" i="5"/>
  <c r="G232" i="4"/>
  <c r="G227" i="4"/>
  <c r="V60" i="5"/>
  <c r="V143" i="5"/>
  <c r="V148" i="5"/>
  <c r="V161" i="5"/>
  <c r="M246" i="4"/>
  <c r="M97" i="6"/>
  <c r="G235" i="4"/>
  <c r="M60" i="5"/>
  <c r="G226" i="4"/>
  <c r="G231" i="4"/>
  <c r="V157" i="5"/>
  <c r="V164" i="5"/>
  <c r="V145" i="5"/>
  <c r="W97" i="3"/>
  <c r="W102" i="3"/>
  <c r="W103" i="3"/>
  <c r="W104" i="3"/>
  <c r="W101" i="3"/>
  <c r="W98" i="3"/>
  <c r="W100" i="3"/>
  <c r="W99" i="3"/>
  <c r="W112" i="3"/>
  <c r="W111" i="3"/>
  <c r="W110" i="3"/>
  <c r="D54" i="6"/>
  <c r="N151" i="6"/>
  <c r="N54" i="6"/>
  <c r="D136" i="6"/>
  <c r="D60" i="5"/>
  <c r="W116" i="3"/>
  <c r="W114" i="3"/>
  <c r="W119" i="3"/>
  <c r="W117" i="3"/>
  <c r="W115" i="3"/>
  <c r="W120" i="3"/>
  <c r="W109" i="3"/>
  <c r="W118" i="3"/>
  <c r="W229" i="3"/>
  <c r="W199" i="3"/>
  <c r="W105" i="3"/>
  <c r="W108" i="3"/>
  <c r="W106" i="3"/>
  <c r="W96" i="3"/>
  <c r="W107" i="3"/>
  <c r="W216" i="3"/>
  <c r="W186" i="3"/>
  <c r="J135" i="6"/>
  <c r="J139" i="6"/>
  <c r="J159" i="6"/>
  <c r="J148" i="6"/>
  <c r="J154" i="6"/>
  <c r="J147" i="6"/>
  <c r="J160" i="6"/>
  <c r="J156" i="6"/>
  <c r="J141" i="6"/>
  <c r="J149" i="6"/>
  <c r="J140" i="6"/>
  <c r="J142" i="6"/>
  <c r="J153" i="6"/>
  <c r="J155" i="6"/>
  <c r="J137" i="6"/>
  <c r="J143" i="6"/>
  <c r="J146" i="6"/>
  <c r="J152" i="6"/>
  <c r="J138" i="6"/>
  <c r="J136" i="6"/>
  <c r="J145" i="6"/>
  <c r="J158" i="6"/>
  <c r="J54" i="6"/>
  <c r="H141" i="5"/>
  <c r="H145" i="5"/>
  <c r="H163" i="5"/>
  <c r="H147" i="5"/>
  <c r="H155" i="5"/>
  <c r="H153" i="5"/>
  <c r="H160" i="5"/>
  <c r="H148" i="5"/>
  <c r="H152" i="5"/>
  <c r="H159" i="5"/>
  <c r="H166" i="5"/>
  <c r="H158" i="5"/>
  <c r="H165" i="5"/>
  <c r="H151" i="5"/>
  <c r="H162" i="5"/>
  <c r="H150" i="5"/>
  <c r="H156" i="5"/>
  <c r="H146" i="5"/>
  <c r="H154" i="5"/>
  <c r="H143" i="5"/>
  <c r="H161" i="5"/>
  <c r="H144" i="5"/>
  <c r="H164" i="5"/>
  <c r="H157" i="5"/>
  <c r="U141" i="5"/>
  <c r="U154" i="5"/>
  <c r="U160" i="5"/>
  <c r="U148" i="5"/>
  <c r="U159" i="5"/>
  <c r="U150" i="5"/>
  <c r="U146" i="5"/>
  <c r="U161" i="5"/>
  <c r="U164" i="5"/>
  <c r="U155" i="5"/>
  <c r="U162" i="5"/>
  <c r="U163" i="5"/>
  <c r="U149" i="5"/>
  <c r="U153" i="5"/>
  <c r="U156" i="5"/>
  <c r="U152" i="5"/>
  <c r="U145" i="5"/>
  <c r="U165" i="5"/>
  <c r="U166" i="5"/>
  <c r="U143" i="5"/>
  <c r="U147" i="5"/>
  <c r="U144" i="5"/>
  <c r="U151" i="5"/>
  <c r="U158" i="5"/>
  <c r="G141" i="5"/>
  <c r="G166" i="5"/>
  <c r="G147" i="5"/>
  <c r="G150" i="5"/>
  <c r="G154" i="5"/>
  <c r="G152" i="5"/>
  <c r="G156" i="5"/>
  <c r="G146" i="5"/>
  <c r="G148" i="5"/>
  <c r="G159" i="5"/>
  <c r="G155" i="5"/>
  <c r="G164" i="5"/>
  <c r="G145" i="5"/>
  <c r="G162" i="5"/>
  <c r="G153" i="5"/>
  <c r="G163" i="5"/>
  <c r="G165" i="5"/>
  <c r="G143" i="5"/>
  <c r="G161" i="5"/>
  <c r="G160" i="5"/>
  <c r="G144" i="5"/>
  <c r="G151" i="5"/>
  <c r="G158" i="5"/>
  <c r="I135" i="6"/>
  <c r="I154" i="6"/>
  <c r="I148" i="6"/>
  <c r="I141" i="6"/>
  <c r="I155" i="6"/>
  <c r="I140" i="6"/>
  <c r="I156" i="6"/>
  <c r="I146" i="6"/>
  <c r="I159" i="6"/>
  <c r="I137" i="6"/>
  <c r="I142" i="6"/>
  <c r="I153" i="6"/>
  <c r="I139" i="6"/>
  <c r="I147" i="6"/>
  <c r="I149" i="6"/>
  <c r="I160" i="6"/>
  <c r="I138" i="6"/>
  <c r="I158" i="6"/>
  <c r="I145" i="6"/>
  <c r="I152" i="6"/>
  <c r="I151" i="6"/>
  <c r="F167" i="4"/>
  <c r="F54" i="6"/>
  <c r="D141" i="5"/>
  <c r="D154" i="5"/>
  <c r="D160" i="5"/>
  <c r="D148" i="5"/>
  <c r="D166" i="5"/>
  <c r="D143" i="5"/>
  <c r="D159" i="5"/>
  <c r="D147" i="5"/>
  <c r="D152" i="5"/>
  <c r="D155" i="5"/>
  <c r="D162" i="5"/>
  <c r="D163" i="5"/>
  <c r="D156" i="5"/>
  <c r="D165" i="5"/>
  <c r="D161" i="5"/>
  <c r="D146" i="5"/>
  <c r="D145" i="5"/>
  <c r="D153" i="5"/>
  <c r="D151" i="5"/>
  <c r="D144" i="5"/>
  <c r="D164" i="5"/>
  <c r="D158" i="5"/>
  <c r="D157" i="5"/>
  <c r="H231" i="4"/>
  <c r="E141" i="5"/>
  <c r="E156" i="5"/>
  <c r="E160" i="5"/>
  <c r="E152" i="5"/>
  <c r="E154" i="5"/>
  <c r="E166" i="5"/>
  <c r="E146" i="5"/>
  <c r="E147" i="5"/>
  <c r="E143" i="5"/>
  <c r="E159" i="5"/>
  <c r="E148" i="5"/>
  <c r="E155" i="5"/>
  <c r="E153" i="5"/>
  <c r="E161" i="5"/>
  <c r="E165" i="5"/>
  <c r="E162" i="5"/>
  <c r="E145" i="5"/>
  <c r="E150" i="5"/>
  <c r="E163" i="5"/>
  <c r="E142" i="5"/>
  <c r="E144" i="5"/>
  <c r="E164" i="5"/>
  <c r="E158" i="5"/>
  <c r="E151" i="5"/>
  <c r="O163" i="5"/>
  <c r="O149" i="5"/>
  <c r="O141" i="5"/>
  <c r="O159" i="5"/>
  <c r="O143" i="5"/>
  <c r="O153" i="5"/>
  <c r="O155" i="5"/>
  <c r="O148" i="5"/>
  <c r="O161" i="5"/>
  <c r="O165" i="5"/>
  <c r="O152" i="5"/>
  <c r="O166" i="5"/>
  <c r="O147" i="5"/>
  <c r="O160" i="5"/>
  <c r="O150" i="5"/>
  <c r="O146" i="5"/>
  <c r="O154" i="5"/>
  <c r="O156" i="5"/>
  <c r="O145" i="5"/>
  <c r="O162" i="5"/>
  <c r="O164" i="5"/>
  <c r="O60" i="5"/>
  <c r="O144" i="5"/>
  <c r="O151" i="5"/>
  <c r="O158" i="5"/>
  <c r="V159" i="6"/>
  <c r="V155" i="6"/>
  <c r="V135" i="6"/>
  <c r="V149" i="6"/>
  <c r="V139" i="6"/>
  <c r="V142" i="6"/>
  <c r="V153" i="6"/>
  <c r="V158" i="6"/>
  <c r="V156" i="6"/>
  <c r="V152" i="6"/>
  <c r="V141" i="6"/>
  <c r="V143" i="6"/>
  <c r="V147" i="6"/>
  <c r="V137" i="6"/>
  <c r="V154" i="6"/>
  <c r="V140" i="6"/>
  <c r="V146" i="6"/>
  <c r="V148" i="6"/>
  <c r="V160" i="6"/>
  <c r="V145" i="6"/>
  <c r="V54" i="6"/>
  <c r="V138" i="6"/>
  <c r="V151" i="6"/>
  <c r="P135" i="6"/>
  <c r="P160" i="6"/>
  <c r="P143" i="6"/>
  <c r="P155" i="6"/>
  <c r="P147" i="6"/>
  <c r="P137" i="6"/>
  <c r="P142" i="6"/>
  <c r="P146" i="6"/>
  <c r="P159" i="6"/>
  <c r="P154" i="6"/>
  <c r="P149" i="6"/>
  <c r="P145" i="6"/>
  <c r="P138" i="6"/>
  <c r="P139" i="6"/>
  <c r="P156" i="6"/>
  <c r="P153" i="6"/>
  <c r="P148" i="6"/>
  <c r="P141" i="6"/>
  <c r="P140" i="6"/>
  <c r="P136" i="6"/>
  <c r="P54" i="6"/>
  <c r="P158" i="6"/>
  <c r="P152" i="6"/>
  <c r="F141" i="5"/>
  <c r="F159" i="5"/>
  <c r="F143" i="5"/>
  <c r="F161" i="5"/>
  <c r="F163" i="5"/>
  <c r="F165" i="5"/>
  <c r="F147" i="5"/>
  <c r="F150" i="5"/>
  <c r="F160" i="5"/>
  <c r="F146" i="5"/>
  <c r="F154" i="5"/>
  <c r="F153" i="5"/>
  <c r="F156" i="5"/>
  <c r="F145" i="5"/>
  <c r="F164" i="5"/>
  <c r="F155" i="5"/>
  <c r="F152" i="5"/>
  <c r="F148" i="5"/>
  <c r="F162" i="5"/>
  <c r="F166" i="5"/>
  <c r="F60" i="5"/>
  <c r="F144" i="5"/>
  <c r="F151" i="5"/>
  <c r="F158" i="5"/>
  <c r="Q159" i="6"/>
  <c r="Q155" i="6"/>
  <c r="Q135" i="6"/>
  <c r="Q156" i="6"/>
  <c r="Q139" i="6"/>
  <c r="Q147" i="6"/>
  <c r="Q142" i="6"/>
  <c r="Q160" i="6"/>
  <c r="Q141" i="6"/>
  <c r="Q149" i="6"/>
  <c r="Q143" i="6"/>
  <c r="Q146" i="6"/>
  <c r="Q153" i="6"/>
  <c r="Q137" i="6"/>
  <c r="Q154" i="6"/>
  <c r="Q148" i="6"/>
  <c r="Q140" i="6"/>
  <c r="Q145" i="6"/>
  <c r="Q158" i="6"/>
  <c r="Q138" i="6"/>
  <c r="Q136" i="6"/>
  <c r="Q152" i="6"/>
  <c r="G157" i="5"/>
  <c r="G135" i="6"/>
  <c r="G152" i="6"/>
  <c r="G155" i="6"/>
  <c r="G147" i="6"/>
  <c r="G136" i="6"/>
  <c r="G159" i="6"/>
  <c r="G137" i="6"/>
  <c r="G154" i="6"/>
  <c r="G149" i="6"/>
  <c r="G138" i="6"/>
  <c r="G139" i="6"/>
  <c r="G148" i="6"/>
  <c r="G156" i="6"/>
  <c r="G145" i="6"/>
  <c r="G153" i="6"/>
  <c r="G160" i="6"/>
  <c r="G141" i="6"/>
  <c r="G140" i="6"/>
  <c r="G146" i="6"/>
  <c r="G142" i="6"/>
  <c r="G158" i="6"/>
  <c r="C135" i="6"/>
  <c r="C142" i="6"/>
  <c r="C138" i="6"/>
  <c r="C154" i="6"/>
  <c r="C153" i="6"/>
  <c r="C146" i="6"/>
  <c r="C141" i="6"/>
  <c r="C137" i="6"/>
  <c r="C156" i="6"/>
  <c r="C148" i="6"/>
  <c r="C159" i="6"/>
  <c r="C155" i="6"/>
  <c r="C139" i="6"/>
  <c r="C147" i="6"/>
  <c r="C149" i="6"/>
  <c r="C160" i="6"/>
  <c r="C145" i="6"/>
  <c r="C140" i="6"/>
  <c r="C136" i="6"/>
  <c r="C152" i="6"/>
  <c r="C158" i="6"/>
  <c r="E159" i="6"/>
  <c r="E155" i="6"/>
  <c r="E135" i="6"/>
  <c r="E160" i="6"/>
  <c r="E147" i="6"/>
  <c r="E137" i="6"/>
  <c r="E140" i="6"/>
  <c r="E154" i="6"/>
  <c r="E139" i="6"/>
  <c r="E148" i="6"/>
  <c r="E149" i="6"/>
  <c r="E142" i="6"/>
  <c r="E152" i="6"/>
  <c r="E156" i="6"/>
  <c r="E153" i="6"/>
  <c r="E146" i="6"/>
  <c r="E141" i="6"/>
  <c r="E158" i="6"/>
  <c r="E151" i="6"/>
  <c r="E138" i="6"/>
  <c r="E145" i="6"/>
  <c r="T135" i="6"/>
  <c r="T156" i="6"/>
  <c r="T153" i="6"/>
  <c r="T148" i="6"/>
  <c r="T145" i="6"/>
  <c r="T137" i="6"/>
  <c r="T155" i="6"/>
  <c r="T140" i="6"/>
  <c r="T149" i="6"/>
  <c r="T160" i="6"/>
  <c r="T159" i="6"/>
  <c r="T152" i="6"/>
  <c r="T154" i="6"/>
  <c r="T146" i="6"/>
  <c r="T142" i="6"/>
  <c r="T138" i="6"/>
  <c r="T139" i="6"/>
  <c r="T141" i="6"/>
  <c r="T147" i="6"/>
  <c r="T143" i="6"/>
  <c r="T158" i="6"/>
  <c r="T136" i="6"/>
  <c r="P141" i="5"/>
  <c r="P166" i="5"/>
  <c r="P160" i="5"/>
  <c r="P149" i="5"/>
  <c r="P161" i="5"/>
  <c r="P143" i="5"/>
  <c r="P150" i="5"/>
  <c r="P154" i="5"/>
  <c r="P147" i="5"/>
  <c r="P148" i="5"/>
  <c r="P159" i="5"/>
  <c r="P162" i="5"/>
  <c r="P156" i="5"/>
  <c r="P146" i="5"/>
  <c r="P152" i="5"/>
  <c r="P164" i="5"/>
  <c r="P153" i="5"/>
  <c r="P163" i="5"/>
  <c r="P155" i="5"/>
  <c r="P145" i="5"/>
  <c r="P165" i="5"/>
  <c r="P60" i="5"/>
  <c r="P144" i="5"/>
  <c r="P151" i="5"/>
  <c r="P158" i="5"/>
  <c r="G151" i="6"/>
  <c r="J151" i="6"/>
  <c r="U135" i="6"/>
  <c r="U154" i="6"/>
  <c r="U137" i="6"/>
  <c r="U142" i="6"/>
  <c r="U156" i="6"/>
  <c r="U139" i="6"/>
  <c r="U153" i="6"/>
  <c r="U147" i="6"/>
  <c r="U155" i="6"/>
  <c r="U159" i="6"/>
  <c r="U149" i="6"/>
  <c r="U146" i="6"/>
  <c r="U141" i="6"/>
  <c r="U140" i="6"/>
  <c r="U148" i="6"/>
  <c r="U143" i="6"/>
  <c r="U160" i="6"/>
  <c r="U145" i="6"/>
  <c r="U158" i="6"/>
  <c r="U138" i="6"/>
  <c r="U152" i="6"/>
  <c r="Q151" i="6"/>
  <c r="F157" i="5"/>
  <c r="N153" i="6"/>
  <c r="N135" i="6"/>
  <c r="N141" i="6"/>
  <c r="N152" i="6"/>
  <c r="N146" i="6"/>
  <c r="N155" i="6"/>
  <c r="N138" i="6"/>
  <c r="N143" i="6"/>
  <c r="N147" i="6"/>
  <c r="N160" i="6"/>
  <c r="N137" i="6"/>
  <c r="N140" i="6"/>
  <c r="N154" i="6"/>
  <c r="N149" i="6"/>
  <c r="N139" i="6"/>
  <c r="N148" i="6"/>
  <c r="N159" i="6"/>
  <c r="N156" i="6"/>
  <c r="N142" i="6"/>
  <c r="N145" i="6"/>
  <c r="N158" i="6"/>
  <c r="M137" i="6"/>
  <c r="M160" i="6"/>
  <c r="M156" i="6"/>
  <c r="M135" i="6"/>
  <c r="M139" i="6"/>
  <c r="M147" i="6"/>
  <c r="M146" i="6"/>
  <c r="M155" i="6"/>
  <c r="M159" i="6"/>
  <c r="M149" i="6"/>
  <c r="M141" i="6"/>
  <c r="M140" i="6"/>
  <c r="M148" i="6"/>
  <c r="M143" i="6"/>
  <c r="M153" i="6"/>
  <c r="M142" i="6"/>
  <c r="M154" i="6"/>
  <c r="M158" i="6"/>
  <c r="M152" i="6"/>
  <c r="M145" i="6"/>
  <c r="M138" i="6"/>
  <c r="O135" i="6"/>
  <c r="O140" i="6"/>
  <c r="O137" i="6"/>
  <c r="O155" i="6"/>
  <c r="O148" i="6"/>
  <c r="O139" i="6"/>
  <c r="O158" i="6"/>
  <c r="O142" i="6"/>
  <c r="O141" i="6"/>
  <c r="O143" i="6"/>
  <c r="O147" i="6"/>
  <c r="O154" i="6"/>
  <c r="O149" i="6"/>
  <c r="O159" i="6"/>
  <c r="O152" i="6"/>
  <c r="O146" i="6"/>
  <c r="O160" i="6"/>
  <c r="O156" i="6"/>
  <c r="O153" i="6"/>
  <c r="O54" i="6"/>
  <c r="O151" i="6"/>
  <c r="O145" i="6"/>
  <c r="O138" i="6"/>
  <c r="M141" i="5"/>
  <c r="M160" i="5"/>
  <c r="M146" i="5"/>
  <c r="M148" i="5"/>
  <c r="M150" i="5"/>
  <c r="M154" i="5"/>
  <c r="M156" i="5"/>
  <c r="M152" i="5"/>
  <c r="M149" i="5"/>
  <c r="M145" i="5"/>
  <c r="M153" i="5"/>
  <c r="M165" i="5"/>
  <c r="M166" i="5"/>
  <c r="M143" i="5"/>
  <c r="M147" i="5"/>
  <c r="M159" i="5"/>
  <c r="M162" i="5"/>
  <c r="M155" i="5"/>
  <c r="M163" i="5"/>
  <c r="M161" i="5"/>
  <c r="M164" i="5"/>
  <c r="M151" i="5"/>
  <c r="M144" i="5"/>
  <c r="M158" i="5"/>
  <c r="M157" i="5"/>
  <c r="P157" i="5"/>
  <c r="U151" i="6"/>
  <c r="I54" i="6"/>
  <c r="D135" i="6"/>
  <c r="D154" i="6"/>
  <c r="D137" i="6"/>
  <c r="D155" i="6"/>
  <c r="D159" i="6"/>
  <c r="D156" i="6"/>
  <c r="D149" i="6"/>
  <c r="D141" i="6"/>
  <c r="D140" i="6"/>
  <c r="D148" i="6"/>
  <c r="D153" i="6"/>
  <c r="D139" i="6"/>
  <c r="D158" i="6"/>
  <c r="D142" i="6"/>
  <c r="D147" i="6"/>
  <c r="D160" i="6"/>
  <c r="D146" i="6"/>
  <c r="D138" i="6"/>
  <c r="D145" i="6"/>
  <c r="D152" i="6"/>
  <c r="H142" i="5"/>
  <c r="F135" i="6"/>
  <c r="F156" i="6"/>
  <c r="F152" i="6"/>
  <c r="F142" i="6"/>
  <c r="F141" i="6"/>
  <c r="F160" i="6"/>
  <c r="F147" i="6"/>
  <c r="F146" i="6"/>
  <c r="F153" i="6"/>
  <c r="F140" i="6"/>
  <c r="F149" i="6"/>
  <c r="F137" i="6"/>
  <c r="F158" i="6"/>
  <c r="F155" i="6"/>
  <c r="F154" i="6"/>
  <c r="F139" i="6"/>
  <c r="F148" i="6"/>
  <c r="F159" i="6"/>
  <c r="F151" i="6"/>
  <c r="F145" i="6"/>
  <c r="F138" i="6"/>
  <c r="C141" i="5"/>
  <c r="C147" i="5"/>
  <c r="C161" i="5"/>
  <c r="C166" i="5"/>
  <c r="C162" i="5"/>
  <c r="C153" i="5"/>
  <c r="C154" i="5"/>
  <c r="C143" i="5"/>
  <c r="C155" i="5"/>
  <c r="C158" i="5"/>
  <c r="C148" i="5"/>
  <c r="C160" i="5"/>
  <c r="C152" i="5"/>
  <c r="C165" i="5"/>
  <c r="C159" i="5"/>
  <c r="C163" i="5"/>
  <c r="C145" i="5"/>
  <c r="C156" i="5"/>
  <c r="C146" i="5"/>
  <c r="C164" i="5"/>
  <c r="C142" i="5"/>
  <c r="C144" i="5"/>
  <c r="C151" i="5"/>
  <c r="M136" i="6"/>
  <c r="U142" i="5"/>
  <c r="O157" i="5"/>
  <c r="K135" i="6"/>
  <c r="K155" i="6"/>
  <c r="K160" i="6"/>
  <c r="K159" i="6"/>
  <c r="K138" i="6"/>
  <c r="K140" i="6"/>
  <c r="K142" i="6"/>
  <c r="K139" i="6"/>
  <c r="K154" i="6"/>
  <c r="K146" i="6"/>
  <c r="K153" i="6"/>
  <c r="K137" i="6"/>
  <c r="K156" i="6"/>
  <c r="K148" i="6"/>
  <c r="K145" i="6"/>
  <c r="K141" i="6"/>
  <c r="K147" i="6"/>
  <c r="K143" i="6"/>
  <c r="K149" i="6"/>
  <c r="K158" i="6"/>
  <c r="K136" i="6"/>
  <c r="K152" i="6"/>
  <c r="G142" i="5"/>
  <c r="T156" i="4"/>
  <c r="T210" i="4"/>
  <c r="T97" i="6"/>
  <c r="T103" i="5"/>
  <c r="T237" i="4"/>
  <c r="T246" i="4"/>
  <c r="T242" i="4"/>
  <c r="T240" i="4"/>
  <c r="T241" i="4"/>
  <c r="T243" i="4"/>
  <c r="T245" i="4"/>
  <c r="T239" i="4"/>
  <c r="P141" i="4"/>
  <c r="P195" i="4"/>
  <c r="P82" i="6"/>
  <c r="P88" i="5"/>
  <c r="P222" i="4"/>
  <c r="P233" i="4"/>
  <c r="P228" i="4"/>
  <c r="P229" i="4"/>
  <c r="P235" i="4"/>
  <c r="P227" i="4"/>
  <c r="P225" i="4"/>
  <c r="P223" i="4"/>
  <c r="P226" i="4"/>
  <c r="P236" i="4"/>
  <c r="P230" i="4"/>
  <c r="P234" i="4"/>
  <c r="P232" i="4"/>
  <c r="B167" i="4"/>
  <c r="B54" i="6"/>
  <c r="B60" i="5"/>
  <c r="T244" i="4"/>
  <c r="P231" i="4"/>
  <c r="C141" i="4"/>
  <c r="C195" i="4"/>
  <c r="C82" i="6"/>
  <c r="C88" i="5"/>
  <c r="C222" i="4"/>
  <c r="C236" i="4"/>
  <c r="C232" i="4"/>
  <c r="C228" i="4"/>
  <c r="C234" i="4"/>
  <c r="C226" i="4"/>
  <c r="C235" i="4"/>
  <c r="C225" i="4"/>
  <c r="C223" i="4"/>
  <c r="C233" i="4"/>
  <c r="C227" i="4"/>
  <c r="S167" i="4"/>
  <c r="S54" i="6"/>
  <c r="S60" i="5"/>
  <c r="H167" i="4"/>
  <c r="H54" i="6"/>
  <c r="H60" i="5"/>
  <c r="C167" i="4"/>
  <c r="C60" i="5"/>
  <c r="C54" i="6"/>
  <c r="C224" i="4"/>
  <c r="P224" i="4"/>
  <c r="T141" i="4"/>
  <c r="T195" i="4"/>
  <c r="T82" i="6"/>
  <c r="T88" i="5"/>
  <c r="T222" i="4"/>
  <c r="T230" i="4"/>
  <c r="T233" i="4"/>
  <c r="T232" i="4"/>
  <c r="T228" i="4"/>
  <c r="T226" i="4"/>
  <c r="T234" i="4"/>
  <c r="T236" i="4"/>
  <c r="T231" i="4"/>
  <c r="T223" i="4"/>
  <c r="T225" i="4"/>
  <c r="T235" i="4"/>
  <c r="T229" i="4"/>
  <c r="T227" i="4"/>
  <c r="H141" i="4"/>
  <c r="H195" i="4"/>
  <c r="H82" i="6"/>
  <c r="H88" i="5"/>
  <c r="H222" i="4"/>
  <c r="H227" i="4"/>
  <c r="H226" i="4"/>
  <c r="H235" i="4"/>
  <c r="H225" i="4"/>
  <c r="H228" i="4"/>
  <c r="H233" i="4"/>
  <c r="H232" i="4"/>
  <c r="H236" i="4"/>
  <c r="H223" i="4"/>
  <c r="H234" i="4"/>
  <c r="H230" i="4"/>
  <c r="T167" i="4"/>
  <c r="T54" i="6"/>
  <c r="T60" i="5"/>
  <c r="K167" i="4"/>
  <c r="K54" i="6"/>
  <c r="K60" i="5"/>
  <c r="L114" i="6" l="1"/>
  <c r="L116" i="6"/>
  <c r="L117" i="6"/>
  <c r="L119" i="6"/>
  <c r="L123" i="6"/>
  <c r="L127" i="6"/>
  <c r="L128" i="6"/>
  <c r="L129" i="6"/>
  <c r="L130" i="6"/>
  <c r="L52" i="6"/>
  <c r="L150" i="6"/>
  <c r="L157" i="6"/>
  <c r="L50" i="6"/>
  <c r="L120" i="5"/>
  <c r="L121" i="5"/>
  <c r="L122" i="5"/>
  <c r="L125" i="5"/>
  <c r="L126" i="5"/>
  <c r="L129" i="5"/>
  <c r="L132" i="5"/>
  <c r="L133" i="5"/>
  <c r="L83" i="6"/>
  <c r="L106" i="6"/>
  <c r="L61" i="6"/>
  <c r="L203" i="7" s="1"/>
  <c r="L62" i="6"/>
  <c r="L204" i="7" s="1"/>
  <c r="L69" i="6"/>
  <c r="L78" i="5"/>
  <c r="L133" i="7" s="1"/>
  <c r="L78" i="6"/>
  <c r="L79" i="6"/>
  <c r="L171" i="4"/>
  <c r="L172" i="4"/>
  <c r="L173" i="4"/>
  <c r="L174" i="4"/>
  <c r="L175" i="4"/>
  <c r="L176" i="4"/>
  <c r="L178" i="4"/>
  <c r="L179" i="4"/>
  <c r="L180" i="4"/>
  <c r="L181" i="4"/>
  <c r="L182" i="4"/>
  <c r="L185" i="4"/>
  <c r="L186" i="4"/>
  <c r="L187" i="4"/>
  <c r="L188" i="4"/>
  <c r="L189" i="4"/>
  <c r="L32" i="7"/>
  <c r="L34" i="7"/>
  <c r="L35" i="7"/>
  <c r="L36" i="7"/>
  <c r="L37" i="7"/>
  <c r="L38" i="7"/>
  <c r="L39" i="7"/>
  <c r="L41" i="7"/>
  <c r="L42" i="7"/>
  <c r="L43" i="7"/>
  <c r="L44" i="7"/>
  <c r="L45" i="7"/>
  <c r="L48" i="7"/>
  <c r="L49" i="7"/>
  <c r="L50" i="7"/>
  <c r="L51" i="7"/>
  <c r="L52" i="7"/>
  <c r="L54" i="7"/>
  <c r="L55" i="7"/>
  <c r="L192" i="4" l="1"/>
  <c r="L219" i="4"/>
  <c r="L138" i="5"/>
  <c r="L221" i="7"/>
  <c r="L136" i="5"/>
  <c r="L123" i="5"/>
  <c r="L119" i="5"/>
  <c r="L144" i="6"/>
  <c r="L126" i="6"/>
  <c r="L115" i="6"/>
  <c r="L169" i="4"/>
  <c r="L196" i="4"/>
  <c r="L220" i="7"/>
  <c r="L82" i="5"/>
  <c r="L137" i="7" s="1"/>
  <c r="L135" i="5"/>
  <c r="L128" i="5"/>
  <c r="L118" i="5"/>
  <c r="L133" i="6"/>
  <c r="L122" i="6"/>
  <c r="L113" i="6"/>
  <c r="L80" i="4"/>
  <c r="L190" i="4" s="1"/>
  <c r="L191" i="4"/>
  <c r="L218" i="4"/>
  <c r="L52" i="5"/>
  <c r="L137" i="5" s="1"/>
  <c r="L75" i="6"/>
  <c r="L217" i="7" s="1"/>
  <c r="L134" i="5"/>
  <c r="L127" i="5"/>
  <c r="L132" i="6"/>
  <c r="L121" i="6"/>
  <c r="L112" i="6"/>
  <c r="L73" i="6"/>
  <c r="L215" i="7" s="1"/>
  <c r="L139" i="5"/>
  <c r="L116" i="5"/>
  <c r="L120" i="6"/>
  <c r="L110" i="6"/>
  <c r="L51" i="6"/>
  <c r="L43" i="5"/>
  <c r="L77" i="5" s="1"/>
  <c r="L33" i="5"/>
  <c r="L124" i="5" s="1"/>
  <c r="L121" i="4"/>
  <c r="L40" i="7" s="1"/>
  <c r="L134" i="4"/>
  <c r="L53" i="7" s="1"/>
  <c r="L67" i="4"/>
  <c r="L177" i="4" s="1"/>
  <c r="L67" i="6"/>
  <c r="L209" i="7" s="1"/>
  <c r="L73" i="5"/>
  <c r="L128" i="7" s="1"/>
  <c r="L65" i="6"/>
  <c r="L207" i="7" s="1"/>
  <c r="L71" i="5"/>
  <c r="L126" i="7" s="1"/>
  <c r="L60" i="6"/>
  <c r="L202" i="7" s="1"/>
  <c r="L66" i="5"/>
  <c r="L121" i="7" s="1"/>
  <c r="L58" i="6"/>
  <c r="L200" i="7" s="1"/>
  <c r="L64" i="5"/>
  <c r="L119" i="7" s="1"/>
  <c r="L85" i="5"/>
  <c r="L140" i="7" s="1"/>
  <c r="L81" i="5"/>
  <c r="L136" i="7" s="1"/>
  <c r="L79" i="5"/>
  <c r="L134" i="7" s="1"/>
  <c r="L68" i="6"/>
  <c r="L210" i="7" s="1"/>
  <c r="L74" i="5"/>
  <c r="L129" i="7" s="1"/>
  <c r="L66" i="6"/>
  <c r="L208" i="7" s="1"/>
  <c r="L72" i="5"/>
  <c r="L127" i="7" s="1"/>
  <c r="L112" i="5"/>
  <c r="L63" i="6"/>
  <c r="L69" i="5"/>
  <c r="L124" i="7" s="1"/>
  <c r="L59" i="6"/>
  <c r="L201" i="7" s="1"/>
  <c r="L65" i="5"/>
  <c r="L120" i="7" s="1"/>
  <c r="L25" i="4"/>
  <c r="L216" i="4" s="1"/>
  <c r="L76" i="6"/>
  <c r="L23" i="4"/>
  <c r="L214" i="4" s="1"/>
  <c r="L74" i="6"/>
  <c r="L216" i="7" s="1"/>
  <c r="L21" i="4"/>
  <c r="L212" i="4" s="1"/>
  <c r="L72" i="6"/>
  <c r="L214" i="7" s="1"/>
  <c r="L84" i="5"/>
  <c r="L139" i="7" s="1"/>
  <c r="L56" i="6"/>
  <c r="L198" i="7" s="1"/>
  <c r="L62" i="5"/>
  <c r="L117" i="7" s="1"/>
  <c r="L26" i="4"/>
  <c r="L217" i="4" s="1"/>
  <c r="L105" i="6"/>
  <c r="L111" i="5"/>
  <c r="L89" i="5"/>
  <c r="L80" i="5"/>
  <c r="L135" i="7" s="1"/>
  <c r="L49" i="6"/>
  <c r="L75" i="5"/>
  <c r="L130" i="7" s="1"/>
  <c r="L48" i="6"/>
  <c r="L27" i="6"/>
  <c r="L20" i="6"/>
  <c r="L34" i="6"/>
  <c r="L40" i="6"/>
  <c r="L82" i="7"/>
  <c r="L62" i="7"/>
  <c r="L76" i="7"/>
  <c r="L69" i="7"/>
  <c r="L33" i="6"/>
  <c r="L42" i="5"/>
  <c r="L68" i="5"/>
  <c r="L123" i="7" s="1"/>
  <c r="L21" i="5"/>
  <c r="L67" i="5"/>
  <c r="L122" i="7" s="1"/>
  <c r="L5" i="5"/>
  <c r="L4" i="5" s="1"/>
  <c r="L128" i="4"/>
  <c r="L74" i="4"/>
  <c r="L114" i="4"/>
  <c r="L18" i="4"/>
  <c r="L16" i="4"/>
  <c r="L207" i="4" s="1"/>
  <c r="L14" i="4"/>
  <c r="L205" i="4" s="1"/>
  <c r="L17" i="4"/>
  <c r="L208" i="4" s="1"/>
  <c r="L15" i="4"/>
  <c r="L206" i="4" s="1"/>
  <c r="L11" i="4"/>
  <c r="L9" i="4"/>
  <c r="L200" i="4" s="1"/>
  <c r="L7" i="4"/>
  <c r="L198" i="4" s="1"/>
  <c r="L60" i="4"/>
  <c r="L24" i="4"/>
  <c r="L215" i="4" s="1"/>
  <c r="L22" i="4"/>
  <c r="L213" i="4" s="1"/>
  <c r="L12" i="4"/>
  <c r="L203" i="4" s="1"/>
  <c r="L10" i="4"/>
  <c r="L201" i="4" s="1"/>
  <c r="L8" i="4"/>
  <c r="L199" i="4" s="1"/>
  <c r="L60" i="7" l="1"/>
  <c r="L111" i="6"/>
  <c r="L131" i="6"/>
  <c r="L18" i="5"/>
  <c r="L17" i="5" s="1"/>
  <c r="L144" i="5" s="1"/>
  <c r="L18" i="6"/>
  <c r="L118" i="6"/>
  <c r="L131" i="5"/>
  <c r="L83" i="5"/>
  <c r="L138" i="7" s="1"/>
  <c r="L117" i="5"/>
  <c r="L132" i="7"/>
  <c r="L57" i="6"/>
  <c r="L199" i="7" s="1"/>
  <c r="L125" i="6"/>
  <c r="L73" i="4"/>
  <c r="L183" i="4" s="1"/>
  <c r="L184" i="4"/>
  <c r="L89" i="6"/>
  <c r="L202" i="4"/>
  <c r="L127" i="4"/>
  <c r="L46" i="7" s="1"/>
  <c r="L47" i="7"/>
  <c r="L58" i="4"/>
  <c r="L170" i="4"/>
  <c r="L96" i="6"/>
  <c r="L209" i="4"/>
  <c r="L112" i="4"/>
  <c r="L33" i="7"/>
  <c r="L64" i="6"/>
  <c r="L206" i="7" s="1"/>
  <c r="L75" i="7"/>
  <c r="L59" i="7" s="1"/>
  <c r="L95" i="5"/>
  <c r="L104" i="6"/>
  <c r="L110" i="5"/>
  <c r="L85" i="6"/>
  <c r="L91" i="5"/>
  <c r="L93" i="6"/>
  <c r="L99" i="5"/>
  <c r="L47" i="6"/>
  <c r="L103" i="6"/>
  <c r="L109" i="5"/>
  <c r="L100" i="6"/>
  <c r="L106" i="5"/>
  <c r="L71" i="6"/>
  <c r="L213" i="7" s="1"/>
  <c r="L77" i="6"/>
  <c r="L219" i="7" s="1"/>
  <c r="L88" i="6"/>
  <c r="L94" i="5"/>
  <c r="L99" i="6"/>
  <c r="L105" i="5"/>
  <c r="L87" i="6"/>
  <c r="L93" i="5"/>
  <c r="L95" i="6"/>
  <c r="L101" i="5"/>
  <c r="L92" i="6"/>
  <c r="L98" i="5"/>
  <c r="L94" i="6"/>
  <c r="L100" i="5"/>
  <c r="L86" i="6"/>
  <c r="L92" i="5"/>
  <c r="L90" i="6"/>
  <c r="L96" i="5"/>
  <c r="L102" i="6"/>
  <c r="L108" i="5"/>
  <c r="L102" i="5"/>
  <c r="L70" i="5"/>
  <c r="L125" i="7" s="1"/>
  <c r="L101" i="6"/>
  <c r="L107" i="5"/>
  <c r="L17" i="6"/>
  <c r="L151" i="6" s="1"/>
  <c r="L63" i="5"/>
  <c r="L118" i="7" s="1"/>
  <c r="L76" i="5"/>
  <c r="L265" i="4"/>
  <c r="L20" i="4"/>
  <c r="L211" i="4" s="1"/>
  <c r="L13" i="4"/>
  <c r="L55" i="6"/>
  <c r="L6" i="4"/>
  <c r="L271" i="4"/>
  <c r="L163" i="4"/>
  <c r="L57" i="4" l="1"/>
  <c r="L167" i="4" s="1"/>
  <c r="L168" i="4"/>
  <c r="L111" i="4"/>
  <c r="L30" i="7" s="1"/>
  <c r="L31" i="7"/>
  <c r="L84" i="6"/>
  <c r="L197" i="4"/>
  <c r="L97" i="5"/>
  <c r="L204" i="4"/>
  <c r="L157" i="5"/>
  <c r="L251" i="4"/>
  <c r="L258" i="4"/>
  <c r="L91" i="6"/>
  <c r="L70" i="6"/>
  <c r="L90" i="5"/>
  <c r="L98" i="6"/>
  <c r="L104" i="5"/>
  <c r="L61" i="5"/>
  <c r="L140" i="6"/>
  <c r="L142" i="6"/>
  <c r="L146" i="6"/>
  <c r="L148" i="6"/>
  <c r="L137" i="6"/>
  <c r="L145" i="6"/>
  <c r="L152" i="6"/>
  <c r="L154" i="6"/>
  <c r="L156" i="6"/>
  <c r="L158" i="6"/>
  <c r="L160" i="6"/>
  <c r="L143" i="6"/>
  <c r="L139" i="6"/>
  <c r="L147" i="6"/>
  <c r="L135" i="6"/>
  <c r="L153" i="6"/>
  <c r="L155" i="6"/>
  <c r="L159" i="6"/>
  <c r="L141" i="6"/>
  <c r="L149" i="6"/>
  <c r="L138" i="6"/>
  <c r="L136" i="6"/>
  <c r="L142" i="5"/>
  <c r="L143" i="5"/>
  <c r="L153" i="5"/>
  <c r="L155" i="5"/>
  <c r="L159" i="5"/>
  <c r="L161" i="5"/>
  <c r="L163" i="5"/>
  <c r="L165" i="5"/>
  <c r="L156" i="5"/>
  <c r="L166" i="5"/>
  <c r="L154" i="5"/>
  <c r="L158" i="5"/>
  <c r="L146" i="5"/>
  <c r="L160" i="5"/>
  <c r="L141" i="5"/>
  <c r="L162" i="5"/>
  <c r="L148" i="5"/>
  <c r="L164" i="5"/>
  <c r="L145" i="5"/>
  <c r="L150" i="5"/>
  <c r="L147" i="5"/>
  <c r="L152" i="5"/>
  <c r="L149" i="5"/>
  <c r="L151" i="5"/>
  <c r="L250" i="4"/>
  <c r="L252" i="4"/>
  <c r="L254" i="4"/>
  <c r="L256" i="4"/>
  <c r="L260" i="4"/>
  <c r="L257" i="4"/>
  <c r="L262" i="4"/>
  <c r="L259" i="4"/>
  <c r="L263" i="4"/>
  <c r="L249" i="4"/>
  <c r="L261" i="4"/>
  <c r="L255" i="4"/>
  <c r="L253" i="4"/>
  <c r="L267" i="4"/>
  <c r="L269" i="4"/>
  <c r="L273" i="4"/>
  <c r="L264" i="4"/>
  <c r="L266" i="4"/>
  <c r="L268" i="4"/>
  <c r="L270" i="4"/>
  <c r="L272" i="4"/>
  <c r="L143" i="4"/>
  <c r="L4" i="4"/>
  <c r="L19" i="4"/>
  <c r="L157" i="4"/>
  <c r="L150" i="4"/>
  <c r="L231" i="4" l="1"/>
  <c r="L195" i="4"/>
  <c r="L238" i="4"/>
  <c r="L210" i="4"/>
  <c r="L54" i="6"/>
  <c r="L82" i="6"/>
  <c r="L88" i="5"/>
  <c r="L103" i="5"/>
  <c r="L97" i="6"/>
  <c r="L60" i="5"/>
  <c r="L156" i="4"/>
  <c r="L237" i="4"/>
  <c r="L239" i="4"/>
  <c r="L244" i="4"/>
  <c r="L246" i="4"/>
  <c r="L241" i="4"/>
  <c r="L243" i="4"/>
  <c r="L245" i="4"/>
  <c r="L240" i="4"/>
  <c r="L242" i="4"/>
  <c r="L223" i="4"/>
  <c r="L141" i="4"/>
  <c r="L222" i="4"/>
  <c r="L228" i="4"/>
  <c r="L230" i="4"/>
  <c r="L227" i="4"/>
  <c r="L232" i="4"/>
  <c r="L235" i="4"/>
  <c r="L225" i="4"/>
  <c r="L229" i="4"/>
  <c r="L233" i="4"/>
  <c r="L236" i="4"/>
  <c r="L226" i="4"/>
  <c r="L234" i="4"/>
  <c r="L224" i="4"/>
  <c r="B15" i="10" l="1"/>
  <c r="P13" i="9"/>
  <c r="P11" i="9" s="1"/>
  <c r="O13" i="9"/>
  <c r="O11" i="9" s="1"/>
  <c r="V13" i="9"/>
  <c r="V11" i="9" s="1"/>
  <c r="T13" i="9"/>
  <c r="S13" i="9"/>
  <c r="L13" i="9"/>
  <c r="L11" i="9" s="1"/>
  <c r="K13" i="9"/>
  <c r="F13" i="9"/>
  <c r="F11" i="9" s="1"/>
  <c r="E13" i="9"/>
  <c r="E11" i="9" s="1"/>
  <c r="D13" i="9"/>
  <c r="D11" i="9" s="1"/>
  <c r="C13" i="9"/>
  <c r="N13" i="9"/>
  <c r="N11" i="9" s="1"/>
  <c r="N10" i="9" s="1"/>
  <c r="H13" i="9"/>
  <c r="G13" i="9"/>
  <c r="G11" i="9" s="1"/>
  <c r="B13" i="9"/>
  <c r="B11" i="9" s="1"/>
  <c r="U5" i="9"/>
  <c r="M5" i="9"/>
  <c r="L5" i="9"/>
  <c r="J5" i="9"/>
  <c r="E5" i="9"/>
  <c r="D5" i="9"/>
  <c r="C5" i="9"/>
  <c r="R5" i="9"/>
  <c r="Q5" i="9"/>
  <c r="B5" i="9"/>
  <c r="R43" i="8"/>
  <c r="Q43" i="8"/>
  <c r="P43" i="8"/>
  <c r="J43" i="8"/>
  <c r="I43" i="8"/>
  <c r="H43" i="8"/>
  <c r="T43" i="8"/>
  <c r="S43" i="8"/>
  <c r="O43" i="8"/>
  <c r="L43" i="8"/>
  <c r="K43" i="8"/>
  <c r="G43" i="8"/>
  <c r="D43" i="8"/>
  <c r="U39" i="8"/>
  <c r="T39" i="8"/>
  <c r="R39" i="8"/>
  <c r="R37" i="8" s="1"/>
  <c r="M39" i="8"/>
  <c r="L39" i="8"/>
  <c r="J39" i="8"/>
  <c r="J37" i="8" s="1"/>
  <c r="H39" i="8"/>
  <c r="E39" i="8"/>
  <c r="D39" i="8"/>
  <c r="S39" i="8"/>
  <c r="P39" i="8"/>
  <c r="O39" i="8"/>
  <c r="K39" i="8"/>
  <c r="G39" i="8"/>
  <c r="C43" i="8"/>
  <c r="C39" i="8"/>
  <c r="R32" i="8"/>
  <c r="R67" i="8" s="1"/>
  <c r="V32" i="8"/>
  <c r="V67" i="8" s="1"/>
  <c r="U32" i="8"/>
  <c r="T32" i="8"/>
  <c r="N32" i="8"/>
  <c r="N67" i="8" s="1"/>
  <c r="M32" i="8"/>
  <c r="L32" i="8"/>
  <c r="G32" i="8"/>
  <c r="G67" i="8" s="1"/>
  <c r="F32" i="8"/>
  <c r="F67" i="8" s="1"/>
  <c r="E32" i="8"/>
  <c r="D32" i="8"/>
  <c r="Q32" i="8"/>
  <c r="Q67" i="8" s="1"/>
  <c r="P32" i="8"/>
  <c r="O32" i="8"/>
  <c r="O67" i="8" s="1"/>
  <c r="J32" i="8"/>
  <c r="J67" i="8" s="1"/>
  <c r="I32" i="8"/>
  <c r="I67" i="8" s="1"/>
  <c r="H32" i="8"/>
  <c r="O28" i="8"/>
  <c r="T28" i="8"/>
  <c r="S28" i="8"/>
  <c r="S26" i="8" s="1"/>
  <c r="L28" i="8"/>
  <c r="L26" i="8" s="1"/>
  <c r="K28" i="8"/>
  <c r="K26" i="8" s="1"/>
  <c r="J28" i="8"/>
  <c r="I28" i="8"/>
  <c r="H28" i="8"/>
  <c r="D28" i="8"/>
  <c r="D26" i="8" s="1"/>
  <c r="C28" i="8"/>
  <c r="C26" i="8" s="1"/>
  <c r="R28" i="8"/>
  <c r="R63" i="8" s="1"/>
  <c r="Q28" i="8"/>
  <c r="Q26" i="8" s="1"/>
  <c r="Q25" i="8" s="1"/>
  <c r="P28" i="8"/>
  <c r="P26" i="8" s="1"/>
  <c r="G28" i="8"/>
  <c r="G63" i="8" s="1"/>
  <c r="G26" i="8"/>
  <c r="B28" i="8"/>
  <c r="B63" i="8" s="1"/>
  <c r="N21" i="8"/>
  <c r="N33" i="10" s="1"/>
  <c r="S21" i="8"/>
  <c r="S33" i="10" s="1"/>
  <c r="K21" i="8"/>
  <c r="K33" i="10" s="1"/>
  <c r="I21" i="8"/>
  <c r="I33" i="10" s="1"/>
  <c r="H21" i="8"/>
  <c r="H33" i="10" s="1"/>
  <c r="E21" i="8"/>
  <c r="E33" i="10" s="1"/>
  <c r="C21" i="8"/>
  <c r="C33" i="10" s="1"/>
  <c r="P21" i="8"/>
  <c r="P33" i="10" s="1"/>
  <c r="O21" i="8"/>
  <c r="O33" i="10" s="1"/>
  <c r="G21" i="8"/>
  <c r="G33" i="10" s="1"/>
  <c r="P17" i="8"/>
  <c r="N17" i="8"/>
  <c r="N29" i="10" s="1"/>
  <c r="H17" i="8"/>
  <c r="H29" i="10" s="1"/>
  <c r="U17" i="8"/>
  <c r="U29" i="10" s="1"/>
  <c r="T17" i="8"/>
  <c r="T29" i="10" s="1"/>
  <c r="S17" i="8"/>
  <c r="R17" i="8"/>
  <c r="R29" i="10" s="1"/>
  <c r="M17" i="8"/>
  <c r="M29" i="10" s="1"/>
  <c r="L17" i="8"/>
  <c r="L29" i="10" s="1"/>
  <c r="K17" i="8"/>
  <c r="J17" i="8"/>
  <c r="J29" i="10" s="1"/>
  <c r="E17" i="8"/>
  <c r="E29" i="10" s="1"/>
  <c r="D17" i="8"/>
  <c r="D29" i="10" s="1"/>
  <c r="C17" i="8"/>
  <c r="V17" i="8"/>
  <c r="V29" i="10" s="1"/>
  <c r="Q17" i="8"/>
  <c r="O17" i="8"/>
  <c r="I17" i="8"/>
  <c r="G17" i="8"/>
  <c r="G29" i="10" s="1"/>
  <c r="F17" i="8"/>
  <c r="I10" i="8"/>
  <c r="U10" i="8"/>
  <c r="T10" i="8"/>
  <c r="S10" i="8"/>
  <c r="R10" i="8"/>
  <c r="P10" i="8"/>
  <c r="M10" i="8"/>
  <c r="L10" i="8"/>
  <c r="K10" i="8"/>
  <c r="J10" i="8"/>
  <c r="H10" i="8"/>
  <c r="E10" i="8"/>
  <c r="D10" i="8"/>
  <c r="C10" i="8"/>
  <c r="Q10" i="8"/>
  <c r="R6" i="8"/>
  <c r="R4" i="8" s="1"/>
  <c r="Q6" i="8"/>
  <c r="S6" i="8"/>
  <c r="S4" i="8" s="1"/>
  <c r="K6" i="8"/>
  <c r="K4" i="8" s="1"/>
  <c r="J6" i="8"/>
  <c r="J4" i="8" s="1"/>
  <c r="I6" i="8"/>
  <c r="C6" i="8"/>
  <c r="C4" i="8" s="1"/>
  <c r="B10" i="8"/>
  <c r="J36" i="8" l="1"/>
  <c r="F15" i="8"/>
  <c r="F27" i="10" s="1"/>
  <c r="F29" i="10"/>
  <c r="I15" i="8"/>
  <c r="I27" i="10" s="1"/>
  <c r="I29" i="10"/>
  <c r="K15" i="8"/>
  <c r="K27" i="10" s="1"/>
  <c r="K29" i="10"/>
  <c r="S15" i="8"/>
  <c r="S27" i="10" s="1"/>
  <c r="S29" i="10"/>
  <c r="O15" i="8"/>
  <c r="O27" i="10" s="1"/>
  <c r="O29" i="10"/>
  <c r="P15" i="8"/>
  <c r="P27" i="10" s="1"/>
  <c r="P29" i="10"/>
  <c r="Q15" i="8"/>
  <c r="Q27" i="10" s="1"/>
  <c r="Q29" i="10"/>
  <c r="C15" i="8"/>
  <c r="C29" i="10"/>
  <c r="L25" i="8"/>
  <c r="R36" i="8"/>
  <c r="E10" i="9"/>
  <c r="D25" i="8"/>
  <c r="J4" i="9"/>
  <c r="J23" i="10"/>
  <c r="L4" i="9"/>
  <c r="L23" i="10"/>
  <c r="B4" i="9"/>
  <c r="B23" i="10"/>
  <c r="M4" i="9"/>
  <c r="M23" i="10"/>
  <c r="E4" i="9"/>
  <c r="E23" i="10"/>
  <c r="Q4" i="9"/>
  <c r="Q23" i="10"/>
  <c r="U4" i="9"/>
  <c r="U23" i="10"/>
  <c r="R4" i="9"/>
  <c r="R23" i="10"/>
  <c r="C4" i="9"/>
  <c r="C23" i="10"/>
  <c r="O14" i="8"/>
  <c r="O26" i="10" s="1"/>
  <c r="D4" i="9"/>
  <c r="D23" i="10"/>
  <c r="O10" i="9"/>
  <c r="P10" i="9"/>
  <c r="P25" i="8"/>
  <c r="V15" i="8"/>
  <c r="V27" i="10" s="1"/>
  <c r="V10" i="9"/>
  <c r="O63" i="8"/>
  <c r="O26" i="8"/>
  <c r="O25" i="8" s="1"/>
  <c r="F10" i="9"/>
  <c r="H63" i="8"/>
  <c r="H26" i="8"/>
  <c r="H25" i="8" s="1"/>
  <c r="J63" i="8"/>
  <c r="J26" i="8"/>
  <c r="J25" i="8" s="1"/>
  <c r="G10" i="9"/>
  <c r="Q4" i="8"/>
  <c r="P37" i="8"/>
  <c r="H15" i="8"/>
  <c r="G6" i="8"/>
  <c r="O6" i="8"/>
  <c r="O4" i="8" s="1"/>
  <c r="D21" i="8"/>
  <c r="D33" i="10" s="1"/>
  <c r="L21" i="8"/>
  <c r="L33" i="10" s="1"/>
  <c r="T21" i="8"/>
  <c r="T33" i="10" s="1"/>
  <c r="P67" i="8"/>
  <c r="K37" i="8"/>
  <c r="K36" i="8" s="1"/>
  <c r="S37" i="8"/>
  <c r="S36" i="8" s="1"/>
  <c r="K11" i="9"/>
  <c r="K10" i="9" s="1"/>
  <c r="S11" i="9"/>
  <c r="S10" i="9" s="1"/>
  <c r="I4" i="8"/>
  <c r="H6" i="8"/>
  <c r="H4" i="8" s="1"/>
  <c r="P6" i="8"/>
  <c r="P4" i="8" s="1"/>
  <c r="M21" i="8"/>
  <c r="M33" i="10" s="1"/>
  <c r="U21" i="8"/>
  <c r="U33" i="10" s="1"/>
  <c r="Q21" i="8"/>
  <c r="B11" i="10"/>
  <c r="D15" i="8"/>
  <c r="D27" i="10" s="1"/>
  <c r="L15" i="8"/>
  <c r="L27" i="10" s="1"/>
  <c r="T15" i="8"/>
  <c r="T27" i="10" s="1"/>
  <c r="F21" i="8"/>
  <c r="F33" i="10" s="1"/>
  <c r="V21" i="8"/>
  <c r="V33" i="10" s="1"/>
  <c r="F28" i="8"/>
  <c r="F63" i="8" s="1"/>
  <c r="N28" i="8"/>
  <c r="N63" i="8" s="1"/>
  <c r="V28" i="8"/>
  <c r="V63" i="8" s="1"/>
  <c r="E37" i="8"/>
  <c r="G5" i="9"/>
  <c r="O5" i="9"/>
  <c r="B32" i="8"/>
  <c r="B67" i="8" s="1"/>
  <c r="R26" i="8"/>
  <c r="R25" i="8" s="1"/>
  <c r="C32" i="8"/>
  <c r="C25" i="8" s="1"/>
  <c r="K32" i="8"/>
  <c r="K67" i="8" s="1"/>
  <c r="S32" i="8"/>
  <c r="S67" i="8" s="1"/>
  <c r="F39" i="8"/>
  <c r="F37" i="8" s="1"/>
  <c r="N39" i="8"/>
  <c r="N37" i="8" s="1"/>
  <c r="V39" i="8"/>
  <c r="V37" i="8" s="1"/>
  <c r="H5" i="9"/>
  <c r="P5" i="9"/>
  <c r="N15" i="8"/>
  <c r="K25" i="8"/>
  <c r="S25" i="8"/>
  <c r="P63" i="8"/>
  <c r="H67" i="8"/>
  <c r="I5" i="9"/>
  <c r="I13" i="9"/>
  <c r="I11" i="9" s="1"/>
  <c r="Q13" i="9"/>
  <c r="Q11" i="9" s="1"/>
  <c r="G15" i="8"/>
  <c r="G25" i="8"/>
  <c r="H37" i="8"/>
  <c r="H36" i="8" s="1"/>
  <c r="H11" i="9"/>
  <c r="H10" i="9" s="1"/>
  <c r="J13" i="9"/>
  <c r="J11" i="9" s="1"/>
  <c r="J10" i="9" s="1"/>
  <c r="R13" i="9"/>
  <c r="R11" i="9" s="1"/>
  <c r="R10" i="9" s="1"/>
  <c r="C11" i="9"/>
  <c r="C10" i="9" s="1"/>
  <c r="I26" i="8"/>
  <c r="I63" i="8"/>
  <c r="D6" i="8"/>
  <c r="D4" i="8" s="1"/>
  <c r="L6" i="8"/>
  <c r="L4" i="8" s="1"/>
  <c r="T6" i="8"/>
  <c r="T4" i="8" s="1"/>
  <c r="G10" i="8"/>
  <c r="O10" i="8"/>
  <c r="J21" i="8"/>
  <c r="J33" i="10" s="1"/>
  <c r="R21" i="8"/>
  <c r="R33" i="10" s="1"/>
  <c r="O37" i="8"/>
  <c r="O36" i="8" s="1"/>
  <c r="F43" i="8"/>
  <c r="N43" i="8"/>
  <c r="V43" i="8"/>
  <c r="P61" i="8"/>
  <c r="E6" i="8"/>
  <c r="E4" i="8" s="1"/>
  <c r="M6" i="8"/>
  <c r="M4" i="8" s="1"/>
  <c r="U6" i="8"/>
  <c r="U4" i="8" s="1"/>
  <c r="B21" i="8"/>
  <c r="B33" i="10" s="1"/>
  <c r="B26" i="8"/>
  <c r="E28" i="8"/>
  <c r="E26" i="8" s="1"/>
  <c r="E61" i="8" s="1"/>
  <c r="M28" i="8"/>
  <c r="M26" i="8" s="1"/>
  <c r="M61" i="8" s="1"/>
  <c r="U28" i="8"/>
  <c r="U26" i="8" s="1"/>
  <c r="U61" i="8" s="1"/>
  <c r="Q61" i="8"/>
  <c r="F6" i="8"/>
  <c r="F4" i="8" s="1"/>
  <c r="N6" i="8"/>
  <c r="N4" i="8" s="1"/>
  <c r="V6" i="8"/>
  <c r="V4" i="8" s="1"/>
  <c r="G61" i="8"/>
  <c r="C63" i="8"/>
  <c r="K63" i="8"/>
  <c r="S63" i="8"/>
  <c r="D67" i="8"/>
  <c r="L67" i="8"/>
  <c r="T67" i="8"/>
  <c r="M13" i="9"/>
  <c r="M11" i="9" s="1"/>
  <c r="M10" i="9" s="1"/>
  <c r="U13" i="9"/>
  <c r="U11" i="9" s="1"/>
  <c r="U10" i="9" s="1"/>
  <c r="C37" i="8"/>
  <c r="C36" i="8" s="1"/>
  <c r="I39" i="8"/>
  <c r="I37" i="8" s="1"/>
  <c r="I36" i="8" s="1"/>
  <c r="Q39" i="8"/>
  <c r="Q37" i="8" s="1"/>
  <c r="Q36" i="8" s="1"/>
  <c r="H61" i="8"/>
  <c r="D63" i="8"/>
  <c r="L63" i="8"/>
  <c r="T63" i="8"/>
  <c r="E67" i="8"/>
  <c r="M67" i="8"/>
  <c r="U67" i="8"/>
  <c r="B17" i="9"/>
  <c r="B10" i="9" s="1"/>
  <c r="M37" i="8"/>
  <c r="U37" i="8"/>
  <c r="C61" i="8"/>
  <c r="K61" i="8"/>
  <c r="S61" i="8"/>
  <c r="Q63" i="8"/>
  <c r="G37" i="8"/>
  <c r="G36" i="8" s="1"/>
  <c r="D61" i="8"/>
  <c r="L61" i="8"/>
  <c r="T11" i="9"/>
  <c r="T10" i="9" s="1"/>
  <c r="B6" i="8"/>
  <c r="B4" i="8" s="1"/>
  <c r="B17" i="8"/>
  <c r="B15" i="8" s="1"/>
  <c r="E15" i="8"/>
  <c r="M15" i="8"/>
  <c r="U15" i="8"/>
  <c r="U27" i="10" s="1"/>
  <c r="K5" i="9"/>
  <c r="S5" i="9"/>
  <c r="F10" i="8"/>
  <c r="N10" i="8"/>
  <c r="V10" i="8"/>
  <c r="E43" i="8"/>
  <c r="E36" i="8" s="1"/>
  <c r="M43" i="8"/>
  <c r="U43" i="8"/>
  <c r="O61" i="8"/>
  <c r="T5" i="9"/>
  <c r="D10" i="9"/>
  <c r="L10" i="9"/>
  <c r="F5" i="9"/>
  <c r="N5" i="9"/>
  <c r="V5" i="9"/>
  <c r="P36" i="8"/>
  <c r="D37" i="8"/>
  <c r="D36" i="8" s="1"/>
  <c r="L37" i="8"/>
  <c r="L36" i="8" s="1"/>
  <c r="T37" i="8"/>
  <c r="T36" i="8" s="1"/>
  <c r="T26" i="8"/>
  <c r="T25" i="8" s="1"/>
  <c r="J15" i="8"/>
  <c r="J27" i="10" s="1"/>
  <c r="R15" i="8"/>
  <c r="R27" i="10" s="1"/>
  <c r="G4" i="8"/>
  <c r="E25" i="8" l="1"/>
  <c r="K14" i="8"/>
  <c r="K26" i="10" s="1"/>
  <c r="J61" i="8"/>
  <c r="P14" i="8"/>
  <c r="P26" i="10" s="1"/>
  <c r="I14" i="8"/>
  <c r="I26" i="10" s="1"/>
  <c r="F14" i="8"/>
  <c r="F26" i="10" s="1"/>
  <c r="M25" i="8"/>
  <c r="M14" i="8"/>
  <c r="M26" i="10" s="1"/>
  <c r="M27" i="10"/>
  <c r="S14" i="8"/>
  <c r="S26" i="10" s="1"/>
  <c r="B9" i="10"/>
  <c r="B29" i="10"/>
  <c r="Q14" i="8"/>
  <c r="Q26" i="10" s="1"/>
  <c r="Q33" i="10"/>
  <c r="H14" i="8"/>
  <c r="H26" i="10" s="1"/>
  <c r="H27" i="10"/>
  <c r="C14" i="8"/>
  <c r="C26" i="10" s="1"/>
  <c r="C27" i="10"/>
  <c r="G14" i="8"/>
  <c r="G26" i="10" s="1"/>
  <c r="G27" i="10"/>
  <c r="N14" i="8"/>
  <c r="N26" i="10" s="1"/>
  <c r="N27" i="10"/>
  <c r="E14" i="8"/>
  <c r="E26" i="10" s="1"/>
  <c r="E27" i="10"/>
  <c r="N36" i="8"/>
  <c r="B14" i="8"/>
  <c r="F36" i="8"/>
  <c r="V14" i="8"/>
  <c r="V26" i="10" s="1"/>
  <c r="R14" i="8"/>
  <c r="R26" i="10" s="1"/>
  <c r="U14" i="8"/>
  <c r="U26" i="10" s="1"/>
  <c r="R61" i="8"/>
  <c r="U25" i="8"/>
  <c r="O4" i="9"/>
  <c r="O23" i="10"/>
  <c r="G4" i="9"/>
  <c r="G23" i="10"/>
  <c r="N4" i="9"/>
  <c r="N23" i="10"/>
  <c r="I10" i="9"/>
  <c r="P4" i="9"/>
  <c r="P23" i="10"/>
  <c r="I4" i="9"/>
  <c r="I23" i="10"/>
  <c r="H4" i="9"/>
  <c r="H23" i="10"/>
  <c r="K4" i="9"/>
  <c r="K23" i="10"/>
  <c r="V4" i="9"/>
  <c r="V23" i="10"/>
  <c r="Q10" i="9"/>
  <c r="F4" i="9"/>
  <c r="F23" i="10"/>
  <c r="T4" i="9"/>
  <c r="T23" i="10"/>
  <c r="S4" i="9"/>
  <c r="S23" i="10"/>
  <c r="C67" i="8"/>
  <c r="V36" i="8"/>
  <c r="N26" i="8"/>
  <c r="N25" i="8" s="1"/>
  <c r="L14" i="8"/>
  <c r="L26" i="10" s="1"/>
  <c r="U36" i="8"/>
  <c r="J14" i="8"/>
  <c r="J26" i="10" s="1"/>
  <c r="F26" i="8"/>
  <c r="F25" i="8" s="1"/>
  <c r="D14" i="8"/>
  <c r="D26" i="10" s="1"/>
  <c r="V26" i="8"/>
  <c r="V25" i="8" s="1"/>
  <c r="M36" i="8"/>
  <c r="B25" i="8"/>
  <c r="T61" i="8"/>
  <c r="U63" i="8"/>
  <c r="T14" i="8"/>
  <c r="T26" i="10" s="1"/>
  <c r="M63" i="8"/>
  <c r="E63" i="8"/>
  <c r="B61" i="8"/>
  <c r="I61" i="8"/>
  <c r="I25" i="8"/>
  <c r="B8" i="10" l="1"/>
  <c r="B26" i="10" s="1"/>
  <c r="B27" i="10"/>
  <c r="V61" i="8"/>
  <c r="F61" i="8"/>
  <c r="N61" i="8"/>
  <c r="Q10" i="16"/>
  <c r="G10" i="16"/>
  <c r="O10" i="16"/>
  <c r="S10" i="16"/>
  <c r="K4" i="16"/>
  <c r="J10" i="16"/>
  <c r="I10" i="16"/>
  <c r="M10" i="16"/>
  <c r="J4" i="16"/>
  <c r="F10" i="16"/>
  <c r="L4" i="16"/>
  <c r="M4" i="16"/>
  <c r="L10" i="16"/>
  <c r="I4" i="16"/>
  <c r="F4" i="16"/>
  <c r="O4" i="16"/>
  <c r="Q4" i="16"/>
  <c r="P10" i="16"/>
  <c r="P4" i="16"/>
  <c r="S4" i="16"/>
  <c r="S3" i="16" s="1"/>
  <c r="K10" i="16"/>
  <c r="G4" i="16"/>
  <c r="Q3" i="16" l="1"/>
  <c r="K3" i="16"/>
  <c r="O3" i="16"/>
  <c r="F3" i="16"/>
  <c r="P3" i="16"/>
  <c r="G3" i="16"/>
  <c r="B4" i="16"/>
  <c r="E10" i="16"/>
  <c r="J3" i="16"/>
  <c r="I3" i="16"/>
  <c r="M3" i="16"/>
  <c r="R10" i="16"/>
  <c r="L3" i="16"/>
  <c r="T10" i="16"/>
  <c r="R4" i="16"/>
  <c r="H10" i="16"/>
  <c r="B10" i="16"/>
  <c r="T4" i="16"/>
  <c r="N10" i="16"/>
  <c r="H4" i="16"/>
  <c r="E4" i="16"/>
  <c r="N4" i="16"/>
  <c r="R3" i="16" l="1"/>
  <c r="H3" i="16"/>
  <c r="E3" i="16"/>
  <c r="B3" i="16"/>
  <c r="T3" i="16"/>
  <c r="D10" i="16"/>
  <c r="N3" i="16"/>
  <c r="D4" i="16"/>
  <c r="U10" i="16"/>
  <c r="C4" i="16"/>
  <c r="C10" i="16"/>
  <c r="U4" i="16"/>
  <c r="D3" i="16" l="1"/>
  <c r="U3" i="16"/>
  <c r="C3" i="16"/>
  <c r="V10" i="16"/>
  <c r="V4" i="16"/>
  <c r="V3" i="16" s="1"/>
  <c r="V68" i="10" l="1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V67" i="10"/>
  <c r="U67" i="10"/>
  <c r="T67" i="10"/>
  <c r="S67" i="10"/>
  <c r="R67" i="10"/>
  <c r="Q67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V63" i="10"/>
  <c r="U63" i="10"/>
  <c r="T63" i="10"/>
  <c r="S63" i="10"/>
  <c r="R63" i="10"/>
  <c r="Q63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V65" i="9"/>
  <c r="U65" i="9"/>
  <c r="T65" i="9"/>
  <c r="S65" i="9"/>
  <c r="R65" i="9"/>
  <c r="V64" i="9"/>
  <c r="U64" i="9"/>
  <c r="T64" i="9"/>
  <c r="S64" i="9"/>
  <c r="R64" i="9"/>
  <c r="V62" i="9"/>
  <c r="U62" i="9"/>
  <c r="T62" i="9"/>
  <c r="S62" i="9"/>
  <c r="R62" i="9"/>
  <c r="V61" i="9"/>
  <c r="U61" i="9"/>
  <c r="T61" i="9"/>
  <c r="S61" i="9"/>
  <c r="R61" i="9"/>
  <c r="V60" i="9"/>
  <c r="U60" i="9"/>
  <c r="T60" i="9"/>
  <c r="S60" i="9"/>
  <c r="R60" i="9"/>
  <c r="V58" i="9"/>
  <c r="U58" i="9"/>
  <c r="T58" i="9"/>
  <c r="S58" i="9"/>
  <c r="R58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V58" i="8"/>
  <c r="V80" i="8" s="1"/>
  <c r="U58" i="8"/>
  <c r="U80" i="8" s="1"/>
  <c r="T58" i="8"/>
  <c r="S58" i="8"/>
  <c r="R58" i="8"/>
  <c r="R80" i="8" s="1"/>
  <c r="Q58" i="8"/>
  <c r="Q80" i="8" s="1"/>
  <c r="P58" i="8"/>
  <c r="P80" i="8" s="1"/>
  <c r="O58" i="8"/>
  <c r="N58" i="8"/>
  <c r="M58" i="8"/>
  <c r="M80" i="8" s="1"/>
  <c r="L58" i="8"/>
  <c r="L80" i="8" s="1"/>
  <c r="K58" i="8"/>
  <c r="V57" i="8"/>
  <c r="V79" i="8" s="1"/>
  <c r="U57" i="8"/>
  <c r="U79" i="8" s="1"/>
  <c r="T57" i="8"/>
  <c r="T79" i="8" s="1"/>
  <c r="S57" i="8"/>
  <c r="S79" i="8" s="1"/>
  <c r="R57" i="8"/>
  <c r="Q57" i="8"/>
  <c r="Q79" i="8" s="1"/>
  <c r="P57" i="8"/>
  <c r="P79" i="8" s="1"/>
  <c r="O57" i="8"/>
  <c r="N57" i="8"/>
  <c r="N79" i="8" s="1"/>
  <c r="M57" i="8"/>
  <c r="M79" i="8" s="1"/>
  <c r="L57" i="8"/>
  <c r="L79" i="8" s="1"/>
  <c r="K57" i="8"/>
  <c r="V55" i="8"/>
  <c r="U55" i="8"/>
  <c r="U77" i="8" s="1"/>
  <c r="T55" i="8"/>
  <c r="T77" i="8" s="1"/>
  <c r="S55" i="8"/>
  <c r="R55" i="8"/>
  <c r="R77" i="8" s="1"/>
  <c r="Q55" i="8"/>
  <c r="Q77" i="8" s="1"/>
  <c r="P55" i="8"/>
  <c r="P77" i="8" s="1"/>
  <c r="O55" i="8"/>
  <c r="N55" i="8"/>
  <c r="M55" i="8"/>
  <c r="M77" i="8" s="1"/>
  <c r="L55" i="8"/>
  <c r="L77" i="8" s="1"/>
  <c r="K55" i="8"/>
  <c r="V54" i="8"/>
  <c r="V76" i="8" s="1"/>
  <c r="U54" i="8"/>
  <c r="U76" i="8" s="1"/>
  <c r="T54" i="8"/>
  <c r="T76" i="8" s="1"/>
  <c r="S54" i="8"/>
  <c r="R54" i="8"/>
  <c r="Q54" i="8"/>
  <c r="Q76" i="8" s="1"/>
  <c r="P54" i="8"/>
  <c r="O54" i="8"/>
  <c r="N54" i="8"/>
  <c r="N76" i="8" s="1"/>
  <c r="M54" i="8"/>
  <c r="M76" i="8" s="1"/>
  <c r="L54" i="8"/>
  <c r="L76" i="8" s="1"/>
  <c r="K54" i="8"/>
  <c r="K76" i="8" s="1"/>
  <c r="V53" i="8"/>
  <c r="U53" i="8"/>
  <c r="U75" i="8" s="1"/>
  <c r="T53" i="8"/>
  <c r="S53" i="8"/>
  <c r="R53" i="8"/>
  <c r="R75" i="8" s="1"/>
  <c r="Q53" i="8"/>
  <c r="Q75" i="8" s="1"/>
  <c r="P53" i="8"/>
  <c r="P75" i="8" s="1"/>
  <c r="O53" i="8"/>
  <c r="O75" i="8" s="1"/>
  <c r="N53" i="8"/>
  <c r="M53" i="8"/>
  <c r="M75" i="8" s="1"/>
  <c r="L53" i="8"/>
  <c r="K53" i="8"/>
  <c r="V51" i="8"/>
  <c r="V73" i="8" s="1"/>
  <c r="U51" i="8"/>
  <c r="U73" i="8" s="1"/>
  <c r="T51" i="8"/>
  <c r="T73" i="8" s="1"/>
  <c r="S51" i="8"/>
  <c r="S73" i="8" s="1"/>
  <c r="R51" i="8"/>
  <c r="Q51" i="8"/>
  <c r="Q73" i="8" s="1"/>
  <c r="P51" i="8"/>
  <c r="P73" i="8" s="1"/>
  <c r="O51" i="8"/>
  <c r="N51" i="8"/>
  <c r="N73" i="8" s="1"/>
  <c r="M51" i="8"/>
  <c r="M73" i="8" s="1"/>
  <c r="L51" i="8"/>
  <c r="L73" i="8" s="1"/>
  <c r="K51" i="8"/>
  <c r="K73" i="8" s="1"/>
  <c r="V124" i="8"/>
  <c r="U124" i="8"/>
  <c r="T124" i="8"/>
  <c r="S124" i="8"/>
  <c r="R124" i="8"/>
  <c r="V123" i="8"/>
  <c r="U123" i="8"/>
  <c r="T123" i="8"/>
  <c r="S123" i="8"/>
  <c r="R123" i="8"/>
  <c r="V121" i="8"/>
  <c r="U121" i="8"/>
  <c r="T121" i="8"/>
  <c r="S121" i="8"/>
  <c r="R121" i="8"/>
  <c r="V120" i="8"/>
  <c r="U120" i="8"/>
  <c r="T120" i="8"/>
  <c r="S120" i="8"/>
  <c r="R120" i="8"/>
  <c r="V119" i="8"/>
  <c r="U119" i="8"/>
  <c r="T119" i="8"/>
  <c r="S119" i="8"/>
  <c r="R119" i="8"/>
  <c r="V117" i="8"/>
  <c r="U117" i="8"/>
  <c r="T117" i="8"/>
  <c r="S117" i="8"/>
  <c r="R117" i="8"/>
  <c r="V113" i="8"/>
  <c r="U113" i="8"/>
  <c r="T113" i="8"/>
  <c r="S113" i="8"/>
  <c r="R113" i="8"/>
  <c r="V112" i="8"/>
  <c r="U112" i="8"/>
  <c r="T112" i="8"/>
  <c r="S112" i="8"/>
  <c r="R112" i="8"/>
  <c r="V110" i="8"/>
  <c r="U110" i="8"/>
  <c r="T110" i="8"/>
  <c r="S110" i="8"/>
  <c r="R110" i="8"/>
  <c r="V109" i="8"/>
  <c r="U109" i="8"/>
  <c r="T109" i="8"/>
  <c r="S109" i="8"/>
  <c r="R109" i="8"/>
  <c r="V108" i="8"/>
  <c r="U108" i="8"/>
  <c r="T108" i="8"/>
  <c r="S108" i="8"/>
  <c r="R108" i="8"/>
  <c r="V106" i="8"/>
  <c r="U106" i="8"/>
  <c r="T106" i="8"/>
  <c r="S106" i="8"/>
  <c r="R106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V99" i="8"/>
  <c r="U99" i="8"/>
  <c r="T99" i="8"/>
  <c r="S99" i="8"/>
  <c r="R99" i="8"/>
  <c r="Q99" i="8"/>
  <c r="P99" i="8"/>
  <c r="O99" i="8"/>
  <c r="N99" i="8"/>
  <c r="M99" i="8"/>
  <c r="L99" i="8"/>
  <c r="K99" i="8"/>
  <c r="V98" i="8"/>
  <c r="U98" i="8"/>
  <c r="T98" i="8"/>
  <c r="S98" i="8"/>
  <c r="R98" i="8"/>
  <c r="Q98" i="8"/>
  <c r="P98" i="8"/>
  <c r="O98" i="8"/>
  <c r="N98" i="8"/>
  <c r="M98" i="8"/>
  <c r="L98" i="8"/>
  <c r="K98" i="8"/>
  <c r="V97" i="8"/>
  <c r="U97" i="8"/>
  <c r="T97" i="8"/>
  <c r="S97" i="8"/>
  <c r="R97" i="8"/>
  <c r="Q97" i="8"/>
  <c r="P97" i="8"/>
  <c r="O97" i="8"/>
  <c r="N97" i="8"/>
  <c r="M97" i="8"/>
  <c r="L97" i="8"/>
  <c r="K97" i="8"/>
  <c r="V95" i="8"/>
  <c r="U95" i="8"/>
  <c r="T95" i="8"/>
  <c r="S95" i="8"/>
  <c r="R95" i="8"/>
  <c r="Q95" i="8"/>
  <c r="P95" i="8"/>
  <c r="O95" i="8"/>
  <c r="N95" i="8"/>
  <c r="M95" i="8"/>
  <c r="L95" i="8"/>
  <c r="K95" i="8"/>
  <c r="V91" i="8"/>
  <c r="U91" i="8"/>
  <c r="T91" i="8"/>
  <c r="S91" i="8"/>
  <c r="R91" i="8"/>
  <c r="Q91" i="8"/>
  <c r="P91" i="8"/>
  <c r="O91" i="8"/>
  <c r="N91" i="8"/>
  <c r="M91" i="8"/>
  <c r="L91" i="8"/>
  <c r="K91" i="8"/>
  <c r="V90" i="8"/>
  <c r="U90" i="8"/>
  <c r="T90" i="8"/>
  <c r="S90" i="8"/>
  <c r="R90" i="8"/>
  <c r="Q90" i="8"/>
  <c r="P90" i="8"/>
  <c r="O90" i="8"/>
  <c r="N90" i="8"/>
  <c r="M90" i="8"/>
  <c r="L90" i="8"/>
  <c r="K90" i="8"/>
  <c r="V88" i="8"/>
  <c r="U88" i="8"/>
  <c r="T88" i="8"/>
  <c r="S88" i="8"/>
  <c r="R88" i="8"/>
  <c r="Q88" i="8"/>
  <c r="P88" i="8"/>
  <c r="O88" i="8"/>
  <c r="N88" i="8"/>
  <c r="M88" i="8"/>
  <c r="L88" i="8"/>
  <c r="K88" i="8"/>
  <c r="V87" i="8"/>
  <c r="U87" i="8"/>
  <c r="T87" i="8"/>
  <c r="S87" i="8"/>
  <c r="R87" i="8"/>
  <c r="Q87" i="8"/>
  <c r="P87" i="8"/>
  <c r="O87" i="8"/>
  <c r="N87" i="8"/>
  <c r="M87" i="8"/>
  <c r="L87" i="8"/>
  <c r="K87" i="8"/>
  <c r="V86" i="8"/>
  <c r="U86" i="8"/>
  <c r="T86" i="8"/>
  <c r="S86" i="8"/>
  <c r="R86" i="8"/>
  <c r="Q86" i="8"/>
  <c r="P86" i="8"/>
  <c r="O86" i="8"/>
  <c r="N86" i="8"/>
  <c r="M86" i="8"/>
  <c r="L86" i="8"/>
  <c r="K86" i="8"/>
  <c r="V84" i="8"/>
  <c r="U84" i="8"/>
  <c r="T84" i="8"/>
  <c r="S84" i="8"/>
  <c r="R84" i="8"/>
  <c r="Q84" i="8"/>
  <c r="P84" i="8"/>
  <c r="O84" i="8"/>
  <c r="N84" i="8"/>
  <c r="M84" i="8"/>
  <c r="L84" i="8"/>
  <c r="K84" i="8"/>
  <c r="T80" i="8"/>
  <c r="S80" i="8"/>
  <c r="O80" i="8"/>
  <c r="N80" i="8"/>
  <c r="K80" i="8"/>
  <c r="R79" i="8"/>
  <c r="O79" i="8"/>
  <c r="K79" i="8"/>
  <c r="V77" i="8"/>
  <c r="S77" i="8"/>
  <c r="O77" i="8"/>
  <c r="N77" i="8"/>
  <c r="K77" i="8"/>
  <c r="S76" i="8"/>
  <c r="R76" i="8"/>
  <c r="P76" i="8"/>
  <c r="O76" i="8"/>
  <c r="V75" i="8"/>
  <c r="T75" i="8"/>
  <c r="S75" i="8"/>
  <c r="N75" i="8"/>
  <c r="L75" i="8"/>
  <c r="K75" i="8"/>
  <c r="R73" i="8"/>
  <c r="O73" i="8"/>
  <c r="B57" i="10"/>
  <c r="B56" i="10"/>
  <c r="B54" i="10"/>
  <c r="B53" i="10"/>
  <c r="B52" i="10"/>
  <c r="B50" i="10"/>
  <c r="B46" i="10"/>
  <c r="B45" i="10"/>
  <c r="B43" i="10"/>
  <c r="B42" i="10"/>
  <c r="B41" i="10"/>
  <c r="B39" i="10"/>
  <c r="V22" i="10"/>
  <c r="U22" i="10"/>
  <c r="T22" i="10"/>
  <c r="S22" i="10"/>
  <c r="R22" i="10"/>
  <c r="Q22" i="10"/>
  <c r="B4" i="10"/>
  <c r="B54" i="9"/>
  <c r="B53" i="9"/>
  <c r="B51" i="9"/>
  <c r="B50" i="9"/>
  <c r="B49" i="9"/>
  <c r="B47" i="9"/>
  <c r="B43" i="9"/>
  <c r="B42" i="9"/>
  <c r="B40" i="9"/>
  <c r="B39" i="9"/>
  <c r="B38" i="9"/>
  <c r="B36" i="9"/>
  <c r="B32" i="9"/>
  <c r="B31" i="9"/>
  <c r="B29" i="9"/>
  <c r="B28" i="9"/>
  <c r="B27" i="9"/>
  <c r="B25" i="9"/>
  <c r="P22" i="10"/>
  <c r="H22" i="10"/>
  <c r="G22" i="10" l="1"/>
  <c r="O22" i="10"/>
  <c r="B22" i="10"/>
  <c r="J22" i="10"/>
  <c r="I22" i="10"/>
  <c r="C22" i="10"/>
  <c r="K22" i="10"/>
  <c r="D22" i="10"/>
  <c r="L22" i="10"/>
  <c r="E22" i="10"/>
  <c r="M22" i="10"/>
  <c r="F22" i="10"/>
  <c r="N22" i="10"/>
  <c r="L50" i="8"/>
  <c r="L72" i="8" s="1"/>
  <c r="L109" i="8"/>
  <c r="L105" i="8"/>
  <c r="L110" i="8"/>
  <c r="L108" i="8"/>
  <c r="L106" i="8"/>
  <c r="L85" i="8"/>
  <c r="L118" i="8"/>
  <c r="L123" i="8"/>
  <c r="L89" i="8"/>
  <c r="L124" i="8"/>
  <c r="L122" i="8"/>
  <c r="L121" i="8"/>
  <c r="L119" i="8"/>
  <c r="L117" i="8"/>
  <c r="L120" i="8"/>
  <c r="L116" i="8"/>
  <c r="L56" i="8"/>
  <c r="L78" i="8" s="1"/>
  <c r="L113" i="8"/>
  <c r="L111" i="8"/>
  <c r="L112" i="8"/>
  <c r="L100" i="8"/>
  <c r="L52" i="8"/>
  <c r="L74" i="8" s="1"/>
  <c r="L107" i="8"/>
  <c r="L96" i="8"/>
  <c r="J102" i="8"/>
  <c r="I102" i="8"/>
  <c r="H102" i="8"/>
  <c r="G102" i="8"/>
  <c r="F102" i="8"/>
  <c r="E102" i="8"/>
  <c r="D102" i="8"/>
  <c r="C102" i="8"/>
  <c r="B102" i="8"/>
  <c r="J101" i="8"/>
  <c r="I101" i="8"/>
  <c r="H101" i="8"/>
  <c r="G101" i="8"/>
  <c r="F101" i="8"/>
  <c r="E101" i="8"/>
  <c r="D101" i="8"/>
  <c r="C101" i="8"/>
  <c r="B101" i="8"/>
  <c r="J99" i="8"/>
  <c r="I99" i="8"/>
  <c r="H99" i="8"/>
  <c r="G99" i="8"/>
  <c r="F99" i="8"/>
  <c r="E99" i="8"/>
  <c r="D99" i="8"/>
  <c r="C99" i="8"/>
  <c r="B99" i="8"/>
  <c r="J98" i="8"/>
  <c r="I98" i="8"/>
  <c r="H98" i="8"/>
  <c r="G98" i="8"/>
  <c r="F98" i="8"/>
  <c r="E98" i="8"/>
  <c r="D98" i="8"/>
  <c r="C98" i="8"/>
  <c r="B98" i="8"/>
  <c r="J97" i="8"/>
  <c r="I97" i="8"/>
  <c r="H97" i="8"/>
  <c r="G97" i="8"/>
  <c r="F97" i="8"/>
  <c r="E97" i="8"/>
  <c r="D97" i="8"/>
  <c r="C97" i="8"/>
  <c r="B97" i="8"/>
  <c r="J95" i="8"/>
  <c r="I95" i="8"/>
  <c r="H95" i="8"/>
  <c r="G95" i="8"/>
  <c r="F95" i="8"/>
  <c r="E95" i="8"/>
  <c r="D95" i="8"/>
  <c r="C95" i="8"/>
  <c r="B95" i="8"/>
  <c r="J91" i="8"/>
  <c r="I91" i="8"/>
  <c r="H91" i="8"/>
  <c r="G91" i="8"/>
  <c r="F91" i="8"/>
  <c r="E91" i="8"/>
  <c r="D91" i="8"/>
  <c r="C91" i="8"/>
  <c r="B91" i="8"/>
  <c r="J90" i="8"/>
  <c r="I90" i="8"/>
  <c r="H90" i="8"/>
  <c r="G90" i="8"/>
  <c r="F90" i="8"/>
  <c r="E90" i="8"/>
  <c r="D90" i="8"/>
  <c r="C90" i="8"/>
  <c r="B90" i="8"/>
  <c r="J88" i="8"/>
  <c r="I88" i="8"/>
  <c r="H88" i="8"/>
  <c r="G88" i="8"/>
  <c r="F88" i="8"/>
  <c r="E88" i="8"/>
  <c r="D88" i="8"/>
  <c r="C88" i="8"/>
  <c r="B88" i="8"/>
  <c r="J87" i="8"/>
  <c r="I87" i="8"/>
  <c r="H87" i="8"/>
  <c r="G87" i="8"/>
  <c r="F87" i="8"/>
  <c r="E87" i="8"/>
  <c r="D87" i="8"/>
  <c r="C87" i="8"/>
  <c r="B87" i="8"/>
  <c r="J86" i="8"/>
  <c r="I86" i="8"/>
  <c r="H86" i="8"/>
  <c r="G86" i="8"/>
  <c r="F86" i="8"/>
  <c r="E86" i="8"/>
  <c r="D86" i="8"/>
  <c r="C86" i="8"/>
  <c r="B86" i="8"/>
  <c r="J84" i="8"/>
  <c r="I84" i="8"/>
  <c r="H84" i="8"/>
  <c r="G84" i="8"/>
  <c r="F84" i="8"/>
  <c r="E84" i="8"/>
  <c r="D84" i="8"/>
  <c r="C84" i="8"/>
  <c r="B84" i="8"/>
  <c r="L83" i="8" l="1"/>
  <c r="L94" i="8"/>
  <c r="L82" i="8" l="1"/>
  <c r="S50" i="3" l="1"/>
  <c r="U38" i="3"/>
  <c r="R37" i="3"/>
  <c r="U80" i="3"/>
  <c r="S51" i="3"/>
  <c r="V81" i="3"/>
  <c r="U81" i="3"/>
  <c r="T81" i="3"/>
  <c r="S81" i="3"/>
  <c r="V80" i="3"/>
  <c r="T80" i="3"/>
  <c r="S80" i="3"/>
  <c r="R80" i="3"/>
  <c r="V79" i="3"/>
  <c r="T79" i="3"/>
  <c r="S79" i="3"/>
  <c r="V72" i="3"/>
  <c r="V164" i="3" s="1"/>
  <c r="U72" i="3"/>
  <c r="U164" i="3" s="1"/>
  <c r="T72" i="3"/>
  <c r="T164" i="3" s="1"/>
  <c r="S72" i="3"/>
  <c r="S164" i="3" s="1"/>
  <c r="R72" i="3"/>
  <c r="R164" i="3" s="1"/>
  <c r="T71" i="3"/>
  <c r="S71" i="3"/>
  <c r="R71" i="3"/>
  <c r="V70" i="3"/>
  <c r="V162" i="3" s="1"/>
  <c r="U70" i="3"/>
  <c r="U162" i="3" s="1"/>
  <c r="T70" i="3"/>
  <c r="T162" i="3" s="1"/>
  <c r="S70" i="3"/>
  <c r="S162" i="3" s="1"/>
  <c r="R70" i="3"/>
  <c r="R162" i="3" s="1"/>
  <c r="V68" i="3"/>
  <c r="U68" i="3"/>
  <c r="T68" i="3"/>
  <c r="S68" i="3"/>
  <c r="R68" i="3"/>
  <c r="V67" i="3"/>
  <c r="U67" i="3"/>
  <c r="T67" i="3"/>
  <c r="S67" i="3"/>
  <c r="R67" i="3"/>
  <c r="V66" i="3"/>
  <c r="U66" i="3"/>
  <c r="T66" i="3"/>
  <c r="S66" i="3"/>
  <c r="R66" i="3"/>
  <c r="U51" i="3"/>
  <c r="T51" i="3"/>
  <c r="R51" i="3"/>
  <c r="V50" i="3"/>
  <c r="U50" i="3"/>
  <c r="R50" i="3"/>
  <c r="V49" i="3"/>
  <c r="U49" i="3"/>
  <c r="T49" i="3"/>
  <c r="S49" i="3"/>
  <c r="R49" i="3"/>
  <c r="V42" i="3"/>
  <c r="U42" i="3"/>
  <c r="T42" i="3"/>
  <c r="S42" i="3"/>
  <c r="R42" i="3"/>
  <c r="V41" i="3"/>
  <c r="T41" i="3"/>
  <c r="R41" i="3"/>
  <c r="V40" i="3"/>
  <c r="U40" i="3"/>
  <c r="T40" i="3"/>
  <c r="S40" i="3"/>
  <c r="R40" i="3"/>
  <c r="T38" i="3"/>
  <c r="S38" i="3"/>
  <c r="R38" i="3"/>
  <c r="V37" i="3"/>
  <c r="U37" i="3"/>
  <c r="T37" i="3"/>
  <c r="V36" i="3"/>
  <c r="U36" i="3"/>
  <c r="T36" i="3"/>
  <c r="S36" i="3"/>
  <c r="R36" i="3"/>
  <c r="V21" i="3"/>
  <c r="T21" i="3"/>
  <c r="S21" i="3"/>
  <c r="S233" i="3" s="1"/>
  <c r="V20" i="3"/>
  <c r="V232" i="3" s="1"/>
  <c r="U20" i="3"/>
  <c r="U232" i="3" s="1"/>
  <c r="T20" i="3"/>
  <c r="T232" i="3" s="1"/>
  <c r="S20" i="3"/>
  <c r="R20" i="3"/>
  <c r="V19" i="3"/>
  <c r="U19" i="3"/>
  <c r="T19" i="3"/>
  <c r="S19" i="3"/>
  <c r="R19" i="3"/>
  <c r="V12" i="3"/>
  <c r="U12" i="3"/>
  <c r="T12" i="3"/>
  <c r="T224" i="3" s="1"/>
  <c r="S12" i="3"/>
  <c r="S224" i="3" s="1"/>
  <c r="R12" i="3"/>
  <c r="V11" i="3"/>
  <c r="U11" i="3"/>
  <c r="T11" i="3"/>
  <c r="S11" i="3"/>
  <c r="V10" i="3"/>
  <c r="U10" i="3"/>
  <c r="T10" i="3"/>
  <c r="T222" i="3" s="1"/>
  <c r="S10" i="3"/>
  <c r="R10" i="3"/>
  <c r="V8" i="3"/>
  <c r="U8" i="3"/>
  <c r="T8" i="3"/>
  <c r="S8" i="3"/>
  <c r="R8" i="3"/>
  <c r="R220" i="3" s="1"/>
  <c r="V7" i="3"/>
  <c r="V219" i="3" s="1"/>
  <c r="U7" i="3"/>
  <c r="T7" i="3"/>
  <c r="S7" i="3"/>
  <c r="R7" i="3"/>
  <c r="V6" i="3"/>
  <c r="U6" i="3"/>
  <c r="T6" i="3"/>
  <c r="T218" i="3" s="1"/>
  <c r="S6" i="3"/>
  <c r="S218" i="3" s="1"/>
  <c r="R6" i="3"/>
  <c r="Q72" i="3"/>
  <c r="Q164" i="3" s="1"/>
  <c r="P72" i="3"/>
  <c r="P164" i="3" s="1"/>
  <c r="O72" i="3"/>
  <c r="O164" i="3" s="1"/>
  <c r="N72" i="3"/>
  <c r="N164" i="3" s="1"/>
  <c r="M72" i="3"/>
  <c r="M164" i="3" s="1"/>
  <c r="L72" i="3"/>
  <c r="L164" i="3" s="1"/>
  <c r="K72" i="3"/>
  <c r="K164" i="3" s="1"/>
  <c r="J72" i="3"/>
  <c r="J164" i="3" s="1"/>
  <c r="I72" i="3"/>
  <c r="I164" i="3" s="1"/>
  <c r="H72" i="3"/>
  <c r="H164" i="3" s="1"/>
  <c r="G72" i="3"/>
  <c r="G164" i="3" s="1"/>
  <c r="F72" i="3"/>
  <c r="F164" i="3" s="1"/>
  <c r="E72" i="3"/>
  <c r="E164" i="3" s="1"/>
  <c r="D72" i="3"/>
  <c r="D164" i="3" s="1"/>
  <c r="C72" i="3"/>
  <c r="C164" i="3" s="1"/>
  <c r="B72" i="3"/>
  <c r="B164" i="3" s="1"/>
  <c r="Q70" i="3"/>
  <c r="Q162" i="3" s="1"/>
  <c r="P70" i="3"/>
  <c r="P162" i="3" s="1"/>
  <c r="O70" i="3"/>
  <c r="O162" i="3" s="1"/>
  <c r="N70" i="3"/>
  <c r="N162" i="3" s="1"/>
  <c r="M70" i="3"/>
  <c r="M162" i="3" s="1"/>
  <c r="L70" i="3"/>
  <c r="L162" i="3" s="1"/>
  <c r="K70" i="3"/>
  <c r="K162" i="3" s="1"/>
  <c r="J70" i="3"/>
  <c r="J162" i="3" s="1"/>
  <c r="I70" i="3"/>
  <c r="I162" i="3" s="1"/>
  <c r="H70" i="3"/>
  <c r="H162" i="3" s="1"/>
  <c r="G70" i="3"/>
  <c r="G162" i="3" s="1"/>
  <c r="F70" i="3"/>
  <c r="F162" i="3" s="1"/>
  <c r="E70" i="3"/>
  <c r="E162" i="3" s="1"/>
  <c r="D70" i="3"/>
  <c r="D162" i="3" s="1"/>
  <c r="C70" i="3"/>
  <c r="C162" i="3" s="1"/>
  <c r="B70" i="3"/>
  <c r="B162" i="3" s="1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A28" i="3"/>
  <c r="A27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A42" i="3" s="1"/>
  <c r="A11" i="3"/>
  <c r="Q10" i="3"/>
  <c r="P10" i="3"/>
  <c r="O10" i="3"/>
  <c r="O222" i="3" s="1"/>
  <c r="N10" i="3"/>
  <c r="M10" i="3"/>
  <c r="L10" i="3"/>
  <c r="K10" i="3"/>
  <c r="J10" i="3"/>
  <c r="I10" i="3"/>
  <c r="H10" i="3"/>
  <c r="G10" i="3"/>
  <c r="G222" i="3" s="1"/>
  <c r="F10" i="3"/>
  <c r="E10" i="3"/>
  <c r="D10" i="3"/>
  <c r="C10" i="3"/>
  <c r="B10" i="3"/>
  <c r="A10" i="3"/>
  <c r="A192" i="3" s="1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A20" i="3"/>
  <c r="Q19" i="3"/>
  <c r="P19" i="3"/>
  <c r="O19" i="3"/>
  <c r="N19" i="3"/>
  <c r="M19" i="3"/>
  <c r="K19" i="3"/>
  <c r="J19" i="3"/>
  <c r="I19" i="3"/>
  <c r="H19" i="3"/>
  <c r="G19" i="3"/>
  <c r="F19" i="3"/>
  <c r="E19" i="3"/>
  <c r="D19" i="3"/>
  <c r="C19" i="3"/>
  <c r="A19" i="3"/>
  <c r="A49" i="3" s="1"/>
  <c r="Q8" i="3"/>
  <c r="P8" i="3"/>
  <c r="O8" i="3"/>
  <c r="N8" i="3"/>
  <c r="M8" i="3"/>
  <c r="K8" i="3"/>
  <c r="J8" i="3"/>
  <c r="I8" i="3"/>
  <c r="H8" i="3"/>
  <c r="G8" i="3"/>
  <c r="F8" i="3"/>
  <c r="E8" i="3"/>
  <c r="D8" i="3"/>
  <c r="C8" i="3"/>
  <c r="A8" i="3"/>
  <c r="A100" i="3" s="1"/>
  <c r="Q7" i="3"/>
  <c r="P7" i="3"/>
  <c r="O7" i="3"/>
  <c r="N7" i="3"/>
  <c r="M7" i="3"/>
  <c r="K7" i="3"/>
  <c r="J7" i="3"/>
  <c r="I7" i="3"/>
  <c r="H7" i="3"/>
  <c r="G7" i="3"/>
  <c r="F7" i="3"/>
  <c r="E7" i="3"/>
  <c r="D7" i="3"/>
  <c r="C7" i="3"/>
  <c r="A7" i="3"/>
  <c r="A67" i="3" s="1"/>
  <c r="Q6" i="3"/>
  <c r="P6" i="3"/>
  <c r="O6" i="3"/>
  <c r="O218" i="3" s="1"/>
  <c r="N6" i="3"/>
  <c r="N218" i="3" s="1"/>
  <c r="M6" i="3"/>
  <c r="L6" i="3"/>
  <c r="K6" i="3"/>
  <c r="J6" i="3"/>
  <c r="I6" i="3"/>
  <c r="H6" i="3"/>
  <c r="G6" i="3"/>
  <c r="G218" i="3" s="1"/>
  <c r="F6" i="3"/>
  <c r="F218" i="3" s="1"/>
  <c r="E6" i="3"/>
  <c r="D6" i="3"/>
  <c r="C6" i="3"/>
  <c r="B6" i="3"/>
  <c r="A6" i="3"/>
  <c r="A66" i="3" s="1"/>
  <c r="L28" i="7"/>
  <c r="L27" i="7"/>
  <c r="L25" i="7"/>
  <c r="L24" i="7"/>
  <c r="L23" i="7"/>
  <c r="L22" i="7"/>
  <c r="L21" i="7"/>
  <c r="L18" i="7"/>
  <c r="L17" i="7"/>
  <c r="L16" i="7"/>
  <c r="L15" i="7"/>
  <c r="L14" i="7"/>
  <c r="L12" i="7"/>
  <c r="L11" i="7"/>
  <c r="L10" i="7"/>
  <c r="L9" i="7"/>
  <c r="L8" i="7"/>
  <c r="L7" i="7"/>
  <c r="L5" i="7"/>
  <c r="L26" i="7"/>
  <c r="L20" i="7"/>
  <c r="L19" i="7"/>
  <c r="L13" i="7"/>
  <c r="L6" i="7"/>
  <c r="L4" i="7"/>
  <c r="Q50" i="3"/>
  <c r="P50" i="3"/>
  <c r="N50" i="3"/>
  <c r="M50" i="3"/>
  <c r="L50" i="3"/>
  <c r="I50" i="3"/>
  <c r="H50" i="3"/>
  <c r="F50" i="3"/>
  <c r="E50" i="3"/>
  <c r="D50" i="3"/>
  <c r="Q49" i="3"/>
  <c r="P49" i="3"/>
  <c r="O49" i="3"/>
  <c r="N49" i="3"/>
  <c r="M49" i="3"/>
  <c r="L49" i="3"/>
  <c r="I49" i="3"/>
  <c r="H49" i="3"/>
  <c r="G49" i="3"/>
  <c r="F49" i="3"/>
  <c r="E49" i="3"/>
  <c r="D49" i="3"/>
  <c r="P38" i="3"/>
  <c r="O38" i="3"/>
  <c r="N38" i="3"/>
  <c r="M38" i="3"/>
  <c r="L38" i="3"/>
  <c r="I38" i="3"/>
  <c r="H38" i="3"/>
  <c r="G38" i="3"/>
  <c r="F38" i="3"/>
  <c r="E38" i="3"/>
  <c r="D38" i="3"/>
  <c r="Q37" i="3"/>
  <c r="O37" i="3"/>
  <c r="N37" i="3"/>
  <c r="M37" i="3"/>
  <c r="L37" i="3"/>
  <c r="I37" i="3"/>
  <c r="G37" i="3"/>
  <c r="F37" i="3"/>
  <c r="E37" i="3"/>
  <c r="D37" i="3"/>
  <c r="K80" i="3"/>
  <c r="C80" i="3"/>
  <c r="P79" i="3"/>
  <c r="K79" i="3"/>
  <c r="C79" i="3"/>
  <c r="K68" i="3"/>
  <c r="C68" i="3"/>
  <c r="K67" i="3"/>
  <c r="C67" i="3"/>
  <c r="G58" i="8"/>
  <c r="G80" i="8" s="1"/>
  <c r="J57" i="8"/>
  <c r="G57" i="8"/>
  <c r="J55" i="8"/>
  <c r="J77" i="8" s="1"/>
  <c r="G55" i="8"/>
  <c r="G77" i="8" s="1"/>
  <c r="G54" i="8"/>
  <c r="G76" i="8" s="1"/>
  <c r="J53" i="8"/>
  <c r="G53" i="8"/>
  <c r="J51" i="8"/>
  <c r="G51" i="8"/>
  <c r="G73" i="8" s="1"/>
  <c r="J58" i="8"/>
  <c r="J80" i="8" s="1"/>
  <c r="H58" i="8"/>
  <c r="H57" i="8"/>
  <c r="B55" i="8"/>
  <c r="J54" i="8"/>
  <c r="J76" i="8" s="1"/>
  <c r="H54" i="8"/>
  <c r="H53" i="8"/>
  <c r="L51" i="3"/>
  <c r="D51" i="3"/>
  <c r="B51" i="3"/>
  <c r="L41" i="3"/>
  <c r="D41" i="3"/>
  <c r="B68" i="10"/>
  <c r="B81" i="3"/>
  <c r="B65" i="10"/>
  <c r="B64" i="10"/>
  <c r="G71" i="3"/>
  <c r="B71" i="3"/>
  <c r="B61" i="10"/>
  <c r="A234" i="3"/>
  <c r="A233" i="3"/>
  <c r="A230" i="3"/>
  <c r="A225" i="3"/>
  <c r="A221" i="3"/>
  <c r="A217" i="3"/>
  <c r="A204" i="3"/>
  <c r="A203" i="3"/>
  <c r="A200" i="3"/>
  <c r="A195" i="3"/>
  <c r="A191" i="3"/>
  <c r="A187" i="3"/>
  <c r="A174" i="3"/>
  <c r="A173" i="3"/>
  <c r="A170" i="3"/>
  <c r="A165" i="3"/>
  <c r="A161" i="3"/>
  <c r="A157" i="3"/>
  <c r="A144" i="3"/>
  <c r="A143" i="3"/>
  <c r="A140" i="3"/>
  <c r="A135" i="3"/>
  <c r="A134" i="3"/>
  <c r="A131" i="3"/>
  <c r="A127" i="3"/>
  <c r="A114" i="3"/>
  <c r="A113" i="3"/>
  <c r="A110" i="3"/>
  <c r="A105" i="3"/>
  <c r="A101" i="3"/>
  <c r="A97" i="3"/>
  <c r="A82" i="3"/>
  <c r="A81" i="3"/>
  <c r="A78" i="3"/>
  <c r="A75" i="3"/>
  <c r="A73" i="3"/>
  <c r="A69" i="3"/>
  <c r="A65" i="3"/>
  <c r="A52" i="3"/>
  <c r="A51" i="3"/>
  <c r="A48" i="3"/>
  <c r="A44" i="3"/>
  <c r="A43" i="3"/>
  <c r="A39" i="3"/>
  <c r="A35" i="3"/>
  <c r="A137" i="3"/>
  <c r="A74" i="3"/>
  <c r="A71" i="3"/>
  <c r="B11" i="1"/>
  <c r="B16" i="1"/>
  <c r="B22" i="1"/>
  <c r="B6" i="1"/>
  <c r="B4" i="1"/>
  <c r="B17" i="1"/>
  <c r="B21" i="1"/>
  <c r="B8" i="1"/>
  <c r="B7" i="1"/>
  <c r="B12" i="1"/>
  <c r="B15" i="1"/>
  <c r="B9" i="1"/>
  <c r="B20" i="1"/>
  <c r="B13" i="1"/>
  <c r="B18" i="1"/>
  <c r="E224" i="3" l="1"/>
  <c r="M224" i="3"/>
  <c r="V233" i="3"/>
  <c r="U218" i="3"/>
  <c r="S220" i="3"/>
  <c r="V222" i="3"/>
  <c r="V224" i="3"/>
  <c r="B224" i="3"/>
  <c r="J224" i="3"/>
  <c r="N48" i="3"/>
  <c r="C78" i="3"/>
  <c r="H218" i="3"/>
  <c r="P218" i="3"/>
  <c r="S232" i="3"/>
  <c r="A149" i="3"/>
  <c r="A120" i="3"/>
  <c r="T193" i="3"/>
  <c r="T203" i="3"/>
  <c r="R222" i="3"/>
  <c r="N222" i="3"/>
  <c r="S222" i="3"/>
  <c r="R224" i="3"/>
  <c r="F222" i="3"/>
  <c r="V192" i="3"/>
  <c r="R218" i="3"/>
  <c r="U219" i="3"/>
  <c r="V194" i="3"/>
  <c r="V218" i="3"/>
  <c r="T220" i="3"/>
  <c r="S223" i="3"/>
  <c r="V193" i="3"/>
  <c r="S203" i="3"/>
  <c r="L35" i="3"/>
  <c r="R219" i="3"/>
  <c r="U220" i="3"/>
  <c r="S231" i="3"/>
  <c r="N35" i="3"/>
  <c r="F48" i="3"/>
  <c r="D218" i="3"/>
  <c r="L218" i="3"/>
  <c r="T223" i="3"/>
  <c r="R192" i="3"/>
  <c r="R194" i="3"/>
  <c r="S192" i="3"/>
  <c r="S194" i="3"/>
  <c r="T192" i="3"/>
  <c r="T194" i="3"/>
  <c r="T233" i="3"/>
  <c r="U192" i="3"/>
  <c r="U194" i="3"/>
  <c r="D35" i="3"/>
  <c r="H48" i="3"/>
  <c r="R232" i="3"/>
  <c r="T78" i="3"/>
  <c r="S219" i="3"/>
  <c r="V220" i="3"/>
  <c r="K78" i="3"/>
  <c r="V231" i="3"/>
  <c r="P48" i="3"/>
  <c r="F35" i="3"/>
  <c r="U222" i="3"/>
  <c r="U224" i="3"/>
  <c r="D222" i="3"/>
  <c r="L222" i="3"/>
  <c r="D224" i="3"/>
  <c r="L224" i="3"/>
  <c r="S78" i="3"/>
  <c r="R79" i="3"/>
  <c r="U79" i="3"/>
  <c r="E35" i="3"/>
  <c r="T50" i="3"/>
  <c r="S37" i="3"/>
  <c r="V38" i="3"/>
  <c r="L3" i="7"/>
  <c r="D67" i="3"/>
  <c r="L67" i="3"/>
  <c r="D68" i="3"/>
  <c r="L68" i="3"/>
  <c r="D79" i="3"/>
  <c r="L79" i="3"/>
  <c r="D80" i="3"/>
  <c r="L80" i="3"/>
  <c r="P231" i="3"/>
  <c r="E67" i="3"/>
  <c r="M67" i="3"/>
  <c r="E68" i="3"/>
  <c r="M68" i="3"/>
  <c r="E79" i="3"/>
  <c r="M79" i="3"/>
  <c r="E80" i="3"/>
  <c r="M80" i="3"/>
  <c r="F67" i="3"/>
  <c r="N67" i="3"/>
  <c r="F68" i="3"/>
  <c r="N68" i="3"/>
  <c r="F79" i="3"/>
  <c r="N79" i="3"/>
  <c r="F80" i="3"/>
  <c r="N80" i="3"/>
  <c r="G67" i="3"/>
  <c r="O67" i="3"/>
  <c r="G68" i="3"/>
  <c r="O68" i="3"/>
  <c r="G79" i="3"/>
  <c r="O79" i="3"/>
  <c r="G80" i="3"/>
  <c r="O80" i="3"/>
  <c r="H67" i="3"/>
  <c r="P67" i="3"/>
  <c r="H68" i="3"/>
  <c r="P68" i="3"/>
  <c r="H79" i="3"/>
  <c r="H80" i="3"/>
  <c r="P80" i="3"/>
  <c r="I67" i="3"/>
  <c r="Q67" i="3"/>
  <c r="I68" i="3"/>
  <c r="Q68" i="3"/>
  <c r="I79" i="3"/>
  <c r="Q79" i="3"/>
  <c r="I80" i="3"/>
  <c r="Q80" i="3"/>
  <c r="B67" i="3"/>
  <c r="J67" i="3"/>
  <c r="B68" i="3"/>
  <c r="J68" i="3"/>
  <c r="B79" i="3"/>
  <c r="J79" i="3"/>
  <c r="B80" i="3"/>
  <c r="J80" i="3"/>
  <c r="B37" i="3"/>
  <c r="J37" i="3"/>
  <c r="B38" i="3"/>
  <c r="J38" i="3"/>
  <c r="B49" i="3"/>
  <c r="J49" i="3"/>
  <c r="B50" i="3"/>
  <c r="J50" i="3"/>
  <c r="C37" i="3"/>
  <c r="K37" i="3"/>
  <c r="C38" i="3"/>
  <c r="K38" i="3"/>
  <c r="C49" i="3"/>
  <c r="K49" i="3"/>
  <c r="C50" i="3"/>
  <c r="K50" i="3"/>
  <c r="G35" i="3"/>
  <c r="O35" i="3"/>
  <c r="G50" i="3"/>
  <c r="O50" i="3"/>
  <c r="H37" i="3"/>
  <c r="P37" i="3"/>
  <c r="Q38" i="3"/>
  <c r="Q49" i="10"/>
  <c r="Q38" i="10"/>
  <c r="Q60" i="10"/>
  <c r="S57" i="9"/>
  <c r="S46" i="9"/>
  <c r="S35" i="9"/>
  <c r="S24" i="9"/>
  <c r="G67" i="10"/>
  <c r="G63" i="10"/>
  <c r="G59" i="10"/>
  <c r="F57" i="9"/>
  <c r="N57" i="9"/>
  <c r="L64" i="9"/>
  <c r="L62" i="9"/>
  <c r="L60" i="9"/>
  <c r="L58" i="9"/>
  <c r="L56" i="9"/>
  <c r="L65" i="9"/>
  <c r="L61" i="9"/>
  <c r="L23" i="9"/>
  <c r="L45" i="9"/>
  <c r="M67" i="10"/>
  <c r="M63" i="10"/>
  <c r="M59" i="10"/>
  <c r="K65" i="9"/>
  <c r="K61" i="9"/>
  <c r="K64" i="9"/>
  <c r="K62" i="9"/>
  <c r="K60" i="9"/>
  <c r="K58" i="9"/>
  <c r="K56" i="9"/>
  <c r="N51" i="3"/>
  <c r="R24" i="9"/>
  <c r="R57" i="9"/>
  <c r="R46" i="9"/>
  <c r="R35" i="9"/>
  <c r="C67" i="10"/>
  <c r="C59" i="10"/>
  <c r="C63" i="10"/>
  <c r="N67" i="10"/>
  <c r="N63" i="10"/>
  <c r="N59" i="10"/>
  <c r="H71" i="3"/>
  <c r="H62" i="10"/>
  <c r="P71" i="3"/>
  <c r="F81" i="3"/>
  <c r="F66" i="10"/>
  <c r="N81" i="3"/>
  <c r="N66" i="10"/>
  <c r="O24" i="9"/>
  <c r="F41" i="3"/>
  <c r="U62" i="10"/>
  <c r="U51" i="10"/>
  <c r="U40" i="10"/>
  <c r="T30" i="9"/>
  <c r="T41" i="9"/>
  <c r="T52" i="9"/>
  <c r="T63" i="9"/>
  <c r="E81" i="3"/>
  <c r="E66" i="10"/>
  <c r="F63" i="9"/>
  <c r="T62" i="10"/>
  <c r="T51" i="10"/>
  <c r="T40" i="10"/>
  <c r="S63" i="9"/>
  <c r="S52" i="9"/>
  <c r="S30" i="9"/>
  <c r="S41" i="9"/>
  <c r="I60" i="10"/>
  <c r="I62" i="10"/>
  <c r="Q40" i="10"/>
  <c r="Q62" i="10"/>
  <c r="Q51" i="10"/>
  <c r="G66" i="10"/>
  <c r="C57" i="9"/>
  <c r="H41" i="3"/>
  <c r="H59" i="9"/>
  <c r="P41" i="3"/>
  <c r="H63" i="9"/>
  <c r="P59" i="9"/>
  <c r="H222" i="3"/>
  <c r="P222" i="3"/>
  <c r="F224" i="3"/>
  <c r="N224" i="3"/>
  <c r="V51" i="10"/>
  <c r="V40" i="10"/>
  <c r="V62" i="10"/>
  <c r="R59" i="9"/>
  <c r="R26" i="9"/>
  <c r="R48" i="9"/>
  <c r="R37" i="9"/>
  <c r="U63" i="9"/>
  <c r="U30" i="9"/>
  <c r="U41" i="9"/>
  <c r="U52" i="9"/>
  <c r="P60" i="10"/>
  <c r="F67" i="10"/>
  <c r="F63" i="10"/>
  <c r="F59" i="10"/>
  <c r="H81" i="3"/>
  <c r="P81" i="3"/>
  <c r="P66" i="10"/>
  <c r="Q51" i="3"/>
  <c r="N41" i="3"/>
  <c r="O71" i="3"/>
  <c r="R66" i="10"/>
  <c r="R55" i="10"/>
  <c r="R44" i="10"/>
  <c r="S59" i="9"/>
  <c r="S37" i="9"/>
  <c r="S48" i="9"/>
  <c r="S26" i="9"/>
  <c r="V30" i="9"/>
  <c r="V41" i="9"/>
  <c r="V52" i="9"/>
  <c r="V63" i="9"/>
  <c r="P57" i="9"/>
  <c r="C60" i="10"/>
  <c r="L62" i="10"/>
  <c r="L38" i="10"/>
  <c r="L49" i="10"/>
  <c r="C71" i="3"/>
  <c r="C62" i="10"/>
  <c r="K71" i="3"/>
  <c r="I81" i="3"/>
  <c r="I66" i="10"/>
  <c r="Q66" i="10"/>
  <c r="Q55" i="10"/>
  <c r="Q44" i="10"/>
  <c r="E57" i="9"/>
  <c r="J46" i="9"/>
  <c r="J51" i="3"/>
  <c r="G81" i="3"/>
  <c r="V51" i="3"/>
  <c r="S66" i="10"/>
  <c r="S55" i="10"/>
  <c r="S44" i="10"/>
  <c r="T48" i="9"/>
  <c r="T26" i="9"/>
  <c r="T37" i="9"/>
  <c r="T59" i="9"/>
  <c r="L57" i="9"/>
  <c r="L24" i="9"/>
  <c r="L35" i="9"/>
  <c r="L46" i="9"/>
  <c r="H60" i="10"/>
  <c r="D60" i="10"/>
  <c r="M60" i="10"/>
  <c r="D71" i="3"/>
  <c r="D62" i="10"/>
  <c r="L71" i="3"/>
  <c r="L51" i="10"/>
  <c r="L40" i="10"/>
  <c r="J81" i="3"/>
  <c r="C59" i="9"/>
  <c r="K59" i="9"/>
  <c r="C63" i="9"/>
  <c r="K63" i="9"/>
  <c r="Q52" i="9"/>
  <c r="O81" i="3"/>
  <c r="R60" i="10"/>
  <c r="R49" i="10"/>
  <c r="R38" i="10"/>
  <c r="T66" i="10"/>
  <c r="T55" i="10"/>
  <c r="T44" i="10"/>
  <c r="U41" i="3"/>
  <c r="U59" i="9"/>
  <c r="U26" i="9"/>
  <c r="U37" i="9"/>
  <c r="U48" i="9"/>
  <c r="G62" i="10"/>
  <c r="M81" i="3"/>
  <c r="M66" i="10"/>
  <c r="I67" i="10"/>
  <c r="I63" i="10"/>
  <c r="I59" i="10"/>
  <c r="E60" i="10"/>
  <c r="N60" i="10"/>
  <c r="E71" i="3"/>
  <c r="E62" i="10"/>
  <c r="M71" i="3"/>
  <c r="M62" i="10"/>
  <c r="C81" i="3"/>
  <c r="C66" i="10"/>
  <c r="K81" i="3"/>
  <c r="C65" i="9"/>
  <c r="C61" i="9"/>
  <c r="C64" i="9"/>
  <c r="C62" i="9"/>
  <c r="C60" i="9"/>
  <c r="C58" i="9"/>
  <c r="C56" i="9"/>
  <c r="H57" i="9"/>
  <c r="L59" i="9"/>
  <c r="L26" i="9"/>
  <c r="L48" i="9"/>
  <c r="L37" i="9"/>
  <c r="L63" i="9"/>
  <c r="L30" i="9"/>
  <c r="L52" i="9"/>
  <c r="L41" i="9"/>
  <c r="Q48" i="9"/>
  <c r="R51" i="10"/>
  <c r="R62" i="10"/>
  <c r="R40" i="10"/>
  <c r="U66" i="10"/>
  <c r="U55" i="10"/>
  <c r="U44" i="10"/>
  <c r="V26" i="9"/>
  <c r="V59" i="9"/>
  <c r="V37" i="9"/>
  <c r="V48" i="9"/>
  <c r="G60" i="10"/>
  <c r="F59" i="9"/>
  <c r="Q63" i="9"/>
  <c r="F60" i="10"/>
  <c r="O38" i="10"/>
  <c r="F71" i="3"/>
  <c r="F62" i="10"/>
  <c r="N71" i="3"/>
  <c r="N62" i="10"/>
  <c r="D81" i="3"/>
  <c r="D66" i="10"/>
  <c r="L81" i="3"/>
  <c r="L44" i="10"/>
  <c r="L55" i="10"/>
  <c r="D63" i="9"/>
  <c r="K57" i="9"/>
  <c r="E41" i="3"/>
  <c r="M41" i="3"/>
  <c r="E51" i="3"/>
  <c r="M51" i="3"/>
  <c r="S41" i="3"/>
  <c r="S62" i="10"/>
  <c r="S51" i="10"/>
  <c r="S40" i="10"/>
  <c r="V66" i="10"/>
  <c r="V55" i="10"/>
  <c r="V44" i="10"/>
  <c r="R63" i="9"/>
  <c r="R52" i="9"/>
  <c r="R30" i="9"/>
  <c r="R41" i="9"/>
  <c r="O120" i="8"/>
  <c r="O116" i="8"/>
  <c r="O121" i="8"/>
  <c r="O119" i="8"/>
  <c r="O117" i="8"/>
  <c r="O83" i="8"/>
  <c r="M48" i="10"/>
  <c r="P23" i="9"/>
  <c r="H49" i="10"/>
  <c r="H46" i="9"/>
  <c r="E49" i="10"/>
  <c r="E46" i="9"/>
  <c r="G44" i="10"/>
  <c r="G41" i="9"/>
  <c r="K85" i="8"/>
  <c r="K26" i="9"/>
  <c r="N51" i="10"/>
  <c r="N48" i="9"/>
  <c r="R100" i="8"/>
  <c r="R56" i="8"/>
  <c r="R78" i="8" s="1"/>
  <c r="R111" i="8"/>
  <c r="T85" i="8"/>
  <c r="T118" i="8"/>
  <c r="C40" i="10"/>
  <c r="C37" i="9"/>
  <c r="K40" i="10"/>
  <c r="K37" i="9"/>
  <c r="K52" i="8"/>
  <c r="K74" i="8" s="1"/>
  <c r="K96" i="8"/>
  <c r="H100" i="8"/>
  <c r="H44" i="10"/>
  <c r="H41" i="9"/>
  <c r="Q112" i="8"/>
  <c r="Q41" i="9"/>
  <c r="Q56" i="8"/>
  <c r="Q78" i="8" s="1"/>
  <c r="Q113" i="8"/>
  <c r="Q111" i="8"/>
  <c r="Q100" i="8"/>
  <c r="D85" i="8"/>
  <c r="D26" i="9"/>
  <c r="M26" i="9"/>
  <c r="M85" i="8"/>
  <c r="E30" i="9"/>
  <c r="N123" i="8"/>
  <c r="N89" i="8"/>
  <c r="N30" i="9"/>
  <c r="N124" i="8"/>
  <c r="N122" i="8"/>
  <c r="F51" i="10"/>
  <c r="F48" i="9"/>
  <c r="O51" i="10"/>
  <c r="O48" i="9"/>
  <c r="G55" i="10"/>
  <c r="G52" i="9"/>
  <c r="P55" i="10"/>
  <c r="P52" i="9"/>
  <c r="S56" i="8"/>
  <c r="S78" i="8" s="1"/>
  <c r="S111" i="8"/>
  <c r="S100" i="8"/>
  <c r="U118" i="8"/>
  <c r="U85" i="8"/>
  <c r="J96" i="8"/>
  <c r="J40" i="10"/>
  <c r="J37" i="9"/>
  <c r="D30" i="9"/>
  <c r="E51" i="10"/>
  <c r="E48" i="9"/>
  <c r="F55" i="10"/>
  <c r="F52" i="9"/>
  <c r="D38" i="10"/>
  <c r="D35" i="9"/>
  <c r="D96" i="8"/>
  <c r="D40" i="10"/>
  <c r="D37" i="9"/>
  <c r="M40" i="10"/>
  <c r="M37" i="9"/>
  <c r="M52" i="8"/>
  <c r="M74" i="8" s="1"/>
  <c r="M96" i="8"/>
  <c r="I100" i="8"/>
  <c r="I44" i="10"/>
  <c r="I41" i="9"/>
  <c r="K118" i="8"/>
  <c r="E26" i="9"/>
  <c r="N85" i="8"/>
  <c r="N26" i="9"/>
  <c r="N118" i="8"/>
  <c r="F89" i="8"/>
  <c r="F30" i="9"/>
  <c r="O30" i="9"/>
  <c r="O124" i="8"/>
  <c r="O122" i="8"/>
  <c r="O123" i="8"/>
  <c r="O89" i="8"/>
  <c r="F49" i="10"/>
  <c r="F46" i="9"/>
  <c r="G51" i="10"/>
  <c r="G48" i="9"/>
  <c r="P51" i="10"/>
  <c r="P48" i="9"/>
  <c r="H55" i="10"/>
  <c r="H52" i="9"/>
  <c r="T56" i="8"/>
  <c r="T78" i="8" s="1"/>
  <c r="T111" i="8"/>
  <c r="T100" i="8"/>
  <c r="V85" i="8"/>
  <c r="V118" i="8"/>
  <c r="B96" i="8"/>
  <c r="B40" i="10"/>
  <c r="B37" i="9"/>
  <c r="P112" i="8"/>
  <c r="P100" i="8"/>
  <c r="P44" i="10"/>
  <c r="P41" i="9"/>
  <c r="P56" i="8"/>
  <c r="P78" i="8" s="1"/>
  <c r="P113" i="8"/>
  <c r="P111" i="8"/>
  <c r="G48" i="10"/>
  <c r="B41" i="9"/>
  <c r="B44" i="10"/>
  <c r="B24" i="9"/>
  <c r="F85" i="8"/>
  <c r="F26" i="9"/>
  <c r="G30" i="9"/>
  <c r="P30" i="9"/>
  <c r="P124" i="8"/>
  <c r="P122" i="8"/>
  <c r="P123" i="8"/>
  <c r="P89" i="8"/>
  <c r="H38" i="10"/>
  <c r="H35" i="9"/>
  <c r="F40" i="10"/>
  <c r="F37" i="9"/>
  <c r="O96" i="8"/>
  <c r="O40" i="10"/>
  <c r="O37" i="9"/>
  <c r="O52" i="8"/>
  <c r="O74" i="8" s="1"/>
  <c r="O107" i="8"/>
  <c r="C44" i="10"/>
  <c r="C41" i="9"/>
  <c r="K44" i="10"/>
  <c r="K41" i="9"/>
  <c r="K56" i="8"/>
  <c r="K78" i="8" s="1"/>
  <c r="K113" i="8"/>
  <c r="K111" i="8"/>
  <c r="K112" i="8"/>
  <c r="K100" i="8"/>
  <c r="D24" i="9"/>
  <c r="G85" i="8"/>
  <c r="G26" i="9"/>
  <c r="P26" i="9"/>
  <c r="P118" i="8"/>
  <c r="P85" i="8"/>
  <c r="H30" i="9"/>
  <c r="Q30" i="9"/>
  <c r="Q124" i="8"/>
  <c r="Q122" i="8"/>
  <c r="Q123" i="8"/>
  <c r="Q89" i="8"/>
  <c r="Q83" i="8"/>
  <c r="I51" i="10"/>
  <c r="I48" i="9"/>
  <c r="B55" i="10"/>
  <c r="B52" i="9"/>
  <c r="J55" i="10"/>
  <c r="J52" i="9"/>
  <c r="S52" i="8"/>
  <c r="S74" i="8" s="1"/>
  <c r="S107" i="8"/>
  <c r="S96" i="8"/>
  <c r="V56" i="8"/>
  <c r="V78" i="8" s="1"/>
  <c r="V111" i="8"/>
  <c r="V100" i="8"/>
  <c r="S89" i="8"/>
  <c r="S122" i="8"/>
  <c r="M49" i="10"/>
  <c r="M46" i="9"/>
  <c r="N121" i="8"/>
  <c r="N119" i="8"/>
  <c r="N117" i="8"/>
  <c r="N83" i="8"/>
  <c r="N24" i="9"/>
  <c r="N120" i="8"/>
  <c r="N116" i="8"/>
  <c r="P49" i="10"/>
  <c r="P46" i="9"/>
  <c r="H51" i="10"/>
  <c r="H48" i="9"/>
  <c r="I55" i="10"/>
  <c r="I52" i="9"/>
  <c r="G96" i="8"/>
  <c r="G40" i="10"/>
  <c r="G37" i="9"/>
  <c r="P96" i="8"/>
  <c r="P40" i="10"/>
  <c r="P37" i="9"/>
  <c r="P52" i="8"/>
  <c r="P74" i="8" s="1"/>
  <c r="P107" i="8"/>
  <c r="D44" i="10"/>
  <c r="D41" i="9"/>
  <c r="M44" i="10"/>
  <c r="M41" i="9"/>
  <c r="M56" i="8"/>
  <c r="M78" i="8" s="1"/>
  <c r="M113" i="8"/>
  <c r="M111" i="8"/>
  <c r="M112" i="8"/>
  <c r="M100" i="8"/>
  <c r="P24" i="9"/>
  <c r="P120" i="8"/>
  <c r="P116" i="8"/>
  <c r="P121" i="8"/>
  <c r="P119" i="8"/>
  <c r="P117" i="8"/>
  <c r="P83" i="8"/>
  <c r="H85" i="8"/>
  <c r="H26" i="9"/>
  <c r="Q26" i="9"/>
  <c r="Q118" i="8"/>
  <c r="Q85" i="8"/>
  <c r="I89" i="8"/>
  <c r="I30" i="9"/>
  <c r="P82" i="8"/>
  <c r="I49" i="10"/>
  <c r="B51" i="10"/>
  <c r="B48" i="9"/>
  <c r="J51" i="10"/>
  <c r="J48" i="9"/>
  <c r="C55" i="10"/>
  <c r="C52" i="9"/>
  <c r="K55" i="10"/>
  <c r="K52" i="9"/>
  <c r="T52" i="8"/>
  <c r="T74" i="8" s="1"/>
  <c r="T107" i="8"/>
  <c r="T96" i="8"/>
  <c r="T89" i="8"/>
  <c r="T122" i="8"/>
  <c r="D49" i="10"/>
  <c r="D46" i="9"/>
  <c r="O55" i="10"/>
  <c r="O52" i="9"/>
  <c r="G94" i="8"/>
  <c r="G38" i="10"/>
  <c r="N40" i="10"/>
  <c r="N37" i="9"/>
  <c r="N52" i="8"/>
  <c r="N74" i="8" s="1"/>
  <c r="N96" i="8"/>
  <c r="O26" i="9"/>
  <c r="O118" i="8"/>
  <c r="O85" i="8"/>
  <c r="G49" i="10"/>
  <c r="R21" i="3"/>
  <c r="R203" i="3" s="1"/>
  <c r="U56" i="8"/>
  <c r="U78" i="8" s="1"/>
  <c r="U111" i="8"/>
  <c r="U100" i="8"/>
  <c r="A40" i="3"/>
  <c r="O110" i="8"/>
  <c r="O108" i="8"/>
  <c r="O106" i="8"/>
  <c r="O94" i="8"/>
  <c r="O50" i="8"/>
  <c r="O72" i="8" s="1"/>
  <c r="O109" i="8"/>
  <c r="O105" i="8"/>
  <c r="H96" i="8"/>
  <c r="H40" i="10"/>
  <c r="H37" i="9"/>
  <c r="Q37" i="9"/>
  <c r="Q52" i="8"/>
  <c r="Q74" i="8" s="1"/>
  <c r="Q96" i="8"/>
  <c r="E44" i="10"/>
  <c r="E41" i="9"/>
  <c r="N44" i="10"/>
  <c r="N41" i="9"/>
  <c r="N56" i="8"/>
  <c r="N78" i="8" s="1"/>
  <c r="N113" i="8"/>
  <c r="N111" i="8"/>
  <c r="N112" i="8"/>
  <c r="N100" i="8"/>
  <c r="G83" i="8"/>
  <c r="Q120" i="8"/>
  <c r="Q116" i="8"/>
  <c r="Q121" i="8"/>
  <c r="Q119" i="8"/>
  <c r="Q117" i="8"/>
  <c r="I85" i="8"/>
  <c r="I26" i="9"/>
  <c r="B30" i="9"/>
  <c r="J30" i="9"/>
  <c r="B46" i="9"/>
  <c r="J49" i="10"/>
  <c r="C51" i="10"/>
  <c r="C48" i="9"/>
  <c r="K51" i="10"/>
  <c r="K48" i="9"/>
  <c r="D55" i="10"/>
  <c r="D52" i="9"/>
  <c r="M55" i="10"/>
  <c r="M52" i="9"/>
  <c r="U52" i="8"/>
  <c r="U74" i="8" s="1"/>
  <c r="U107" i="8"/>
  <c r="U96" i="8"/>
  <c r="R118" i="8"/>
  <c r="R85" i="8"/>
  <c r="U122" i="8"/>
  <c r="U89" i="8"/>
  <c r="C85" i="8"/>
  <c r="C26" i="9"/>
  <c r="M123" i="8"/>
  <c r="M30" i="9"/>
  <c r="M124" i="8"/>
  <c r="M122" i="8"/>
  <c r="M89" i="8"/>
  <c r="E40" i="10"/>
  <c r="E37" i="9"/>
  <c r="J44" i="10"/>
  <c r="J41" i="9"/>
  <c r="R96" i="8"/>
  <c r="R52" i="8"/>
  <c r="R74" i="8" s="1"/>
  <c r="R107" i="8"/>
  <c r="R122" i="8"/>
  <c r="R89" i="8"/>
  <c r="P110" i="8"/>
  <c r="P108" i="8"/>
  <c r="P106" i="8"/>
  <c r="P94" i="8"/>
  <c r="P38" i="10"/>
  <c r="P35" i="9"/>
  <c r="P50" i="8"/>
  <c r="P72" i="8" s="1"/>
  <c r="P109" i="8"/>
  <c r="P105" i="8"/>
  <c r="I40" i="10"/>
  <c r="I37" i="9"/>
  <c r="F100" i="8"/>
  <c r="F44" i="10"/>
  <c r="F41" i="9"/>
  <c r="O112" i="8"/>
  <c r="O100" i="8"/>
  <c r="O44" i="10"/>
  <c r="O41" i="9"/>
  <c r="O56" i="8"/>
  <c r="O78" i="8" s="1"/>
  <c r="O113" i="8"/>
  <c r="O111" i="8"/>
  <c r="H24" i="9"/>
  <c r="B26" i="9"/>
  <c r="J85" i="8"/>
  <c r="J26" i="9"/>
  <c r="C30" i="9"/>
  <c r="K123" i="8"/>
  <c r="K89" i="8"/>
  <c r="K30" i="9"/>
  <c r="K124" i="8"/>
  <c r="K122" i="8"/>
  <c r="D51" i="10"/>
  <c r="D48" i="9"/>
  <c r="M51" i="10"/>
  <c r="M48" i="9"/>
  <c r="E55" i="10"/>
  <c r="E52" i="9"/>
  <c r="N55" i="10"/>
  <c r="N52" i="9"/>
  <c r="R11" i="3"/>
  <c r="R223" i="3" s="1"/>
  <c r="V52" i="8"/>
  <c r="V74" i="8" s="1"/>
  <c r="V107" i="8"/>
  <c r="V96" i="8"/>
  <c r="S85" i="8"/>
  <c r="S118" i="8"/>
  <c r="V89" i="8"/>
  <c r="V122" i="8"/>
  <c r="C5" i="3"/>
  <c r="K5" i="3"/>
  <c r="F5" i="3"/>
  <c r="F187" i="3" s="1"/>
  <c r="Q219" i="3"/>
  <c r="Q218" i="3"/>
  <c r="N5" i="3"/>
  <c r="I220" i="3"/>
  <c r="I218" i="3"/>
  <c r="A104" i="3"/>
  <c r="I222" i="3"/>
  <c r="Q222" i="3"/>
  <c r="G224" i="3"/>
  <c r="O224" i="3"/>
  <c r="S65" i="3"/>
  <c r="D18" i="3"/>
  <c r="A194" i="3"/>
  <c r="B218" i="3"/>
  <c r="J218" i="3"/>
  <c r="E222" i="3"/>
  <c r="M222" i="3"/>
  <c r="C224" i="3"/>
  <c r="K224" i="3"/>
  <c r="J219" i="3"/>
  <c r="E218" i="3"/>
  <c r="M218" i="3"/>
  <c r="I18" i="3"/>
  <c r="E219" i="3"/>
  <c r="M219" i="3"/>
  <c r="M18" i="3"/>
  <c r="B222" i="3"/>
  <c r="J222" i="3"/>
  <c r="H224" i="3"/>
  <c r="P224" i="3"/>
  <c r="E18" i="3"/>
  <c r="D5" i="3"/>
  <c r="Q18" i="3"/>
  <c r="C65" i="3"/>
  <c r="U65" i="3"/>
  <c r="R202" i="3"/>
  <c r="S18" i="3"/>
  <c r="T188" i="3"/>
  <c r="R190" i="3"/>
  <c r="I188" i="3"/>
  <c r="Q188" i="3"/>
  <c r="I190" i="3"/>
  <c r="I201" i="3"/>
  <c r="Q201" i="3"/>
  <c r="I202" i="3"/>
  <c r="Q202" i="3"/>
  <c r="I192" i="3"/>
  <c r="Q192" i="3"/>
  <c r="E194" i="3"/>
  <c r="M194" i="3"/>
  <c r="F18" i="3"/>
  <c r="H39" i="3"/>
  <c r="H188" i="3"/>
  <c r="P188" i="3"/>
  <c r="H190" i="3"/>
  <c r="P190" i="3"/>
  <c r="H201" i="3"/>
  <c r="P201" i="3"/>
  <c r="H202" i="3"/>
  <c r="P202" i="3"/>
  <c r="H192" i="3"/>
  <c r="P192" i="3"/>
  <c r="D194" i="3"/>
  <c r="L194" i="3"/>
  <c r="R18" i="3"/>
  <c r="S188" i="3"/>
  <c r="V189" i="3"/>
  <c r="V201" i="3"/>
  <c r="N18" i="3"/>
  <c r="A88" i="3"/>
  <c r="C218" i="3"/>
  <c r="K218" i="3"/>
  <c r="B188" i="3"/>
  <c r="J188" i="3"/>
  <c r="J189" i="3"/>
  <c r="B192" i="3"/>
  <c r="J192" i="3"/>
  <c r="F194" i="3"/>
  <c r="N194" i="3"/>
  <c r="U188" i="3"/>
  <c r="S190" i="3"/>
  <c r="S202" i="3"/>
  <c r="C219" i="3"/>
  <c r="K219" i="3"/>
  <c r="C188" i="3"/>
  <c r="K188" i="3"/>
  <c r="K189" i="3"/>
  <c r="C190" i="3"/>
  <c r="K202" i="3"/>
  <c r="C192" i="3"/>
  <c r="K192" i="3"/>
  <c r="G194" i="3"/>
  <c r="O194" i="3"/>
  <c r="V188" i="3"/>
  <c r="T190" i="3"/>
  <c r="C220" i="3"/>
  <c r="K220" i="3"/>
  <c r="D188" i="3"/>
  <c r="L188" i="3"/>
  <c r="D189" i="3"/>
  <c r="D190" i="3"/>
  <c r="D201" i="3"/>
  <c r="D202" i="3"/>
  <c r="L202" i="3"/>
  <c r="D192" i="3"/>
  <c r="L192" i="3"/>
  <c r="H194" i="3"/>
  <c r="P194" i="3"/>
  <c r="T5" i="3"/>
  <c r="T219" i="3"/>
  <c r="T18" i="3"/>
  <c r="T231" i="3"/>
  <c r="R189" i="3"/>
  <c r="U190" i="3"/>
  <c r="R201" i="3"/>
  <c r="U202" i="3"/>
  <c r="C231" i="3"/>
  <c r="K231" i="3"/>
  <c r="E188" i="3"/>
  <c r="M188" i="3"/>
  <c r="E189" i="3"/>
  <c r="M189" i="3"/>
  <c r="E190" i="3"/>
  <c r="M190" i="3"/>
  <c r="E201" i="3"/>
  <c r="M201" i="3"/>
  <c r="E202" i="3"/>
  <c r="M202" i="3"/>
  <c r="E192" i="3"/>
  <c r="M192" i="3"/>
  <c r="I194" i="3"/>
  <c r="Q194" i="3"/>
  <c r="S201" i="3"/>
  <c r="V202" i="3"/>
  <c r="I189" i="3"/>
  <c r="J5" i="3"/>
  <c r="C232" i="3"/>
  <c r="K232" i="3"/>
  <c r="F188" i="3"/>
  <c r="N188" i="3"/>
  <c r="F189" i="3"/>
  <c r="N189" i="3"/>
  <c r="F190" i="3"/>
  <c r="N190" i="3"/>
  <c r="F201" i="3"/>
  <c r="N201" i="3"/>
  <c r="F202" i="3"/>
  <c r="N202" i="3"/>
  <c r="F192" i="3"/>
  <c r="N192" i="3"/>
  <c r="B194" i="3"/>
  <c r="J194" i="3"/>
  <c r="T189" i="3"/>
  <c r="T39" i="3"/>
  <c r="T201" i="3"/>
  <c r="Q189" i="3"/>
  <c r="C222" i="3"/>
  <c r="K222" i="3"/>
  <c r="I224" i="3"/>
  <c r="Q224" i="3"/>
  <c r="G188" i="3"/>
  <c r="O188" i="3"/>
  <c r="G189" i="3"/>
  <c r="O189" i="3"/>
  <c r="G190" i="3"/>
  <c r="O190" i="3"/>
  <c r="G201" i="3"/>
  <c r="O201" i="3"/>
  <c r="G202" i="3"/>
  <c r="O202" i="3"/>
  <c r="G192" i="3"/>
  <c r="O192" i="3"/>
  <c r="C194" i="3"/>
  <c r="K194" i="3"/>
  <c r="R188" i="3"/>
  <c r="U35" i="3"/>
  <c r="U189" i="3"/>
  <c r="U201" i="3"/>
  <c r="Q81" i="3"/>
  <c r="U71" i="3"/>
  <c r="V71" i="3"/>
  <c r="T69" i="3"/>
  <c r="I71" i="3"/>
  <c r="Q71" i="3"/>
  <c r="R81" i="3"/>
  <c r="J71" i="3"/>
  <c r="M11" i="3"/>
  <c r="N11" i="3"/>
  <c r="U21" i="3"/>
  <c r="U233" i="3" s="1"/>
  <c r="Q11" i="3"/>
  <c r="Q9" i="3" s="1"/>
  <c r="M21" i="3"/>
  <c r="C111" i="8"/>
  <c r="C100" i="8"/>
  <c r="G122" i="8"/>
  <c r="G89" i="8"/>
  <c r="D111" i="8"/>
  <c r="D100" i="8"/>
  <c r="H122" i="8"/>
  <c r="H89" i="8"/>
  <c r="I11" i="3"/>
  <c r="I9" i="3" s="1"/>
  <c r="I96" i="8"/>
  <c r="E21" i="3"/>
  <c r="E100" i="8"/>
  <c r="H116" i="8"/>
  <c r="H83" i="8"/>
  <c r="D105" i="8"/>
  <c r="D94" i="8"/>
  <c r="I116" i="8"/>
  <c r="I83" i="8"/>
  <c r="B85" i="8"/>
  <c r="B89" i="8"/>
  <c r="J122" i="8"/>
  <c r="J89" i="8"/>
  <c r="C96" i="8"/>
  <c r="G111" i="8"/>
  <c r="G100" i="8"/>
  <c r="D82" i="8"/>
  <c r="J116" i="8"/>
  <c r="J83" i="8"/>
  <c r="C122" i="8"/>
  <c r="C89" i="8"/>
  <c r="H50" i="8"/>
  <c r="H94" i="8"/>
  <c r="B116" i="8"/>
  <c r="B83" i="8"/>
  <c r="D122" i="8"/>
  <c r="D89" i="8"/>
  <c r="E11" i="3"/>
  <c r="E96" i="8"/>
  <c r="E85" i="8"/>
  <c r="E89" i="8"/>
  <c r="F11" i="3"/>
  <c r="F96" i="8"/>
  <c r="B111" i="8"/>
  <c r="B100" i="8"/>
  <c r="J111" i="8"/>
  <c r="J100" i="8"/>
  <c r="I82" i="8"/>
  <c r="D116" i="8"/>
  <c r="D83" i="8"/>
  <c r="B56" i="9"/>
  <c r="F51" i="3"/>
  <c r="G41" i="3"/>
  <c r="O41" i="3"/>
  <c r="G51" i="3"/>
  <c r="O51" i="3"/>
  <c r="H51" i="3"/>
  <c r="P51" i="3"/>
  <c r="I41" i="3"/>
  <c r="Q41" i="3"/>
  <c r="I51" i="3"/>
  <c r="I46" i="9"/>
  <c r="B41" i="3"/>
  <c r="J41" i="3"/>
  <c r="M45" i="9"/>
  <c r="C41" i="3"/>
  <c r="K41" i="3"/>
  <c r="C51" i="3"/>
  <c r="K51" i="3"/>
  <c r="B50" i="8"/>
  <c r="M118" i="8"/>
  <c r="Q107" i="8"/>
  <c r="G107" i="8"/>
  <c r="I123" i="8"/>
  <c r="T82" i="8"/>
  <c r="S82" i="8"/>
  <c r="C105" i="8"/>
  <c r="C110" i="8"/>
  <c r="I109" i="8"/>
  <c r="C112" i="8"/>
  <c r="G123" i="8"/>
  <c r="I111" i="8"/>
  <c r="C116" i="8"/>
  <c r="I122" i="8"/>
  <c r="G11" i="3"/>
  <c r="O11" i="3"/>
  <c r="F21" i="3"/>
  <c r="N21" i="3"/>
  <c r="D106" i="8"/>
  <c r="G52" i="8"/>
  <c r="G74" i="8" s="1"/>
  <c r="I108" i="8"/>
  <c r="G116" i="8"/>
  <c r="C120" i="8"/>
  <c r="H11" i="3"/>
  <c r="H193" i="3" s="1"/>
  <c r="P11" i="3"/>
  <c r="P9" i="3" s="1"/>
  <c r="G21" i="3"/>
  <c r="O21" i="3"/>
  <c r="E108" i="8"/>
  <c r="M107" i="8"/>
  <c r="I106" i="8"/>
  <c r="D107" i="8"/>
  <c r="G108" i="8"/>
  <c r="I110" i="8"/>
  <c r="G112" i="8"/>
  <c r="G119" i="8"/>
  <c r="I124" i="8"/>
  <c r="I112" i="8"/>
  <c r="G117" i="8"/>
  <c r="G120" i="8"/>
  <c r="H21" i="3"/>
  <c r="P21" i="3"/>
  <c r="J106" i="8"/>
  <c r="G118" i="8"/>
  <c r="I119" i="8"/>
  <c r="G50" i="8"/>
  <c r="G105" i="8"/>
  <c r="I117" i="8"/>
  <c r="E123" i="8"/>
  <c r="B11" i="3"/>
  <c r="J11" i="3"/>
  <c r="J9" i="3" s="1"/>
  <c r="I21" i="3"/>
  <c r="Q21" i="3"/>
  <c r="C121" i="8"/>
  <c r="G121" i="8"/>
  <c r="C11" i="3"/>
  <c r="K11" i="3"/>
  <c r="B21" i="3"/>
  <c r="B233" i="3" s="1"/>
  <c r="J21" i="3"/>
  <c r="G113" i="8"/>
  <c r="G56" i="8"/>
  <c r="G106" i="8"/>
  <c r="E113" i="8"/>
  <c r="I118" i="8"/>
  <c r="I121" i="8"/>
  <c r="C124" i="8"/>
  <c r="D11" i="3"/>
  <c r="L11" i="3"/>
  <c r="C21" i="3"/>
  <c r="K21" i="3"/>
  <c r="G109" i="8"/>
  <c r="C117" i="8"/>
  <c r="B118" i="8"/>
  <c r="I120" i="8"/>
  <c r="J56" i="8"/>
  <c r="G110" i="8"/>
  <c r="G124" i="8"/>
  <c r="D21" i="3"/>
  <c r="L21" i="3"/>
  <c r="U9" i="3"/>
  <c r="B106" i="8"/>
  <c r="I107" i="8"/>
  <c r="I113" i="8"/>
  <c r="C118" i="8"/>
  <c r="B122" i="8"/>
  <c r="U5" i="3"/>
  <c r="T65" i="3"/>
  <c r="V5" i="3"/>
  <c r="R35" i="3"/>
  <c r="V39" i="3"/>
  <c r="S9" i="3"/>
  <c r="U18" i="3"/>
  <c r="R48" i="3"/>
  <c r="V65" i="3"/>
  <c r="R69" i="3"/>
  <c r="T9" i="3"/>
  <c r="V18" i="3"/>
  <c r="T35" i="3"/>
  <c r="S48" i="3"/>
  <c r="S69" i="3"/>
  <c r="R5" i="3"/>
  <c r="V9" i="3"/>
  <c r="R39" i="3"/>
  <c r="U48" i="3"/>
  <c r="S5" i="3"/>
  <c r="V48" i="3"/>
  <c r="R65" i="3"/>
  <c r="V78" i="3"/>
  <c r="V82" i="8"/>
  <c r="A198" i="3"/>
  <c r="A228" i="3"/>
  <c r="A168" i="3"/>
  <c r="A189" i="3"/>
  <c r="A219" i="3"/>
  <c r="J18" i="3"/>
  <c r="A141" i="3"/>
  <c r="A231" i="3"/>
  <c r="A171" i="3"/>
  <c r="A111" i="3"/>
  <c r="A37" i="3"/>
  <c r="A45" i="3"/>
  <c r="B69" i="3"/>
  <c r="A70" i="3"/>
  <c r="A79" i="3"/>
  <c r="A190" i="3"/>
  <c r="A220" i="3"/>
  <c r="A160" i="3"/>
  <c r="C18" i="3"/>
  <c r="C230" i="3" s="1"/>
  <c r="K18" i="3"/>
  <c r="A232" i="3"/>
  <c r="A172" i="3"/>
  <c r="A202" i="3"/>
  <c r="A142" i="3"/>
  <c r="A38" i="3"/>
  <c r="A46" i="3"/>
  <c r="A57" i="3"/>
  <c r="A80" i="3"/>
  <c r="A98" i="3"/>
  <c r="A106" i="3"/>
  <c r="A119" i="3"/>
  <c r="A129" i="3"/>
  <c r="A136" i="3"/>
  <c r="A201" i="3"/>
  <c r="E5" i="3"/>
  <c r="M5" i="3"/>
  <c r="A132" i="3"/>
  <c r="A222" i="3"/>
  <c r="A162" i="3"/>
  <c r="M35" i="3"/>
  <c r="I48" i="3"/>
  <c r="Q48" i="3"/>
  <c r="A58" i="3"/>
  <c r="A72" i="3"/>
  <c r="A99" i="3"/>
  <c r="A107" i="3"/>
  <c r="A112" i="3"/>
  <c r="A159" i="3"/>
  <c r="A180" i="3"/>
  <c r="A108" i="3"/>
  <c r="A138" i="3"/>
  <c r="A36" i="3"/>
  <c r="A223" i="3"/>
  <c r="A193" i="3"/>
  <c r="G5" i="3"/>
  <c r="O5" i="3"/>
  <c r="D9" i="3"/>
  <c r="A164" i="3"/>
  <c r="A224" i="3"/>
  <c r="A209" i="3"/>
  <c r="A239" i="3"/>
  <c r="A179" i="3"/>
  <c r="A41" i="3"/>
  <c r="A50" i="3"/>
  <c r="A130" i="3"/>
  <c r="A133" i="3"/>
  <c r="A163" i="3"/>
  <c r="A188" i="3"/>
  <c r="A218" i="3"/>
  <c r="A158" i="3"/>
  <c r="P5" i="3"/>
  <c r="A196" i="3"/>
  <c r="A226" i="3"/>
  <c r="A166" i="3"/>
  <c r="G18" i="3"/>
  <c r="D39" i="3"/>
  <c r="K65" i="3"/>
  <c r="A102" i="3"/>
  <c r="H5" i="3"/>
  <c r="O18" i="3"/>
  <c r="A150" i="3"/>
  <c r="A240" i="3"/>
  <c r="A210" i="3"/>
  <c r="L39" i="3"/>
  <c r="D48" i="3"/>
  <c r="L48" i="3"/>
  <c r="G69" i="3"/>
  <c r="I5" i="3"/>
  <c r="Q5" i="3"/>
  <c r="A197" i="3"/>
  <c r="A227" i="3"/>
  <c r="H18" i="3"/>
  <c r="P18" i="3"/>
  <c r="I35" i="3"/>
  <c r="E48" i="3"/>
  <c r="M48" i="3"/>
  <c r="A68" i="3"/>
  <c r="A76" i="3"/>
  <c r="A87" i="3"/>
  <c r="A103" i="3"/>
  <c r="A128" i="3"/>
  <c r="A167" i="3"/>
  <c r="H80" i="8"/>
  <c r="G75" i="8"/>
  <c r="B57" i="9"/>
  <c r="B58" i="9"/>
  <c r="B59" i="9"/>
  <c r="B60" i="9"/>
  <c r="B61" i="9"/>
  <c r="B62" i="9"/>
  <c r="B63" i="9"/>
  <c r="B64" i="9"/>
  <c r="B65" i="9"/>
  <c r="G79" i="8"/>
  <c r="J73" i="8"/>
  <c r="B53" i="8"/>
  <c r="B75" i="8" s="1"/>
  <c r="B57" i="8"/>
  <c r="B79" i="8" s="1"/>
  <c r="B105" i="8"/>
  <c r="B107" i="8"/>
  <c r="E51" i="8"/>
  <c r="E73" i="8" s="1"/>
  <c r="E52" i="8"/>
  <c r="E53" i="8"/>
  <c r="E75" i="8" s="1"/>
  <c r="E54" i="8"/>
  <c r="E76" i="8" s="1"/>
  <c r="E55" i="8"/>
  <c r="E77" i="8" s="1"/>
  <c r="E111" i="8"/>
  <c r="E56" i="8"/>
  <c r="E57" i="8"/>
  <c r="E79" i="8" s="1"/>
  <c r="E112" i="8"/>
  <c r="E58" i="8"/>
  <c r="E80" i="8" s="1"/>
  <c r="E116" i="8"/>
  <c r="E117" i="8"/>
  <c r="E118" i="8"/>
  <c r="E120" i="8"/>
  <c r="E121" i="8"/>
  <c r="E122" i="8"/>
  <c r="E124" i="8"/>
  <c r="B112" i="8"/>
  <c r="F105" i="8"/>
  <c r="F50" i="8"/>
  <c r="F106" i="8"/>
  <c r="F51" i="8"/>
  <c r="F107" i="8"/>
  <c r="F52" i="8"/>
  <c r="F53" i="8"/>
  <c r="F75" i="8" s="1"/>
  <c r="F108" i="8"/>
  <c r="F54" i="8"/>
  <c r="F76" i="8" s="1"/>
  <c r="F109" i="8"/>
  <c r="F55" i="8"/>
  <c r="F77" i="8" s="1"/>
  <c r="F110" i="8"/>
  <c r="F111" i="8"/>
  <c r="F56" i="8"/>
  <c r="F57" i="8"/>
  <c r="F79" i="8" s="1"/>
  <c r="F112" i="8"/>
  <c r="F58" i="8"/>
  <c r="F80" i="8" s="1"/>
  <c r="F113" i="8"/>
  <c r="F116" i="8"/>
  <c r="F117" i="8"/>
  <c r="F118" i="8"/>
  <c r="F119" i="8"/>
  <c r="F120" i="8"/>
  <c r="F121" i="8"/>
  <c r="F122" i="8"/>
  <c r="F123" i="8"/>
  <c r="F124" i="8"/>
  <c r="B52" i="8"/>
  <c r="B56" i="8"/>
  <c r="B77" i="8"/>
  <c r="E119" i="8"/>
  <c r="H105" i="8"/>
  <c r="H106" i="8"/>
  <c r="H107" i="8"/>
  <c r="H108" i="8"/>
  <c r="H109" i="8"/>
  <c r="H110" i="8"/>
  <c r="H111" i="8"/>
  <c r="H112" i="8"/>
  <c r="H113" i="8"/>
  <c r="H117" i="8"/>
  <c r="H118" i="8"/>
  <c r="H119" i="8"/>
  <c r="H120" i="8"/>
  <c r="H121" i="8"/>
  <c r="H123" i="8"/>
  <c r="H124" i="8"/>
  <c r="B51" i="8"/>
  <c r="H52" i="8"/>
  <c r="H56" i="8"/>
  <c r="H72" i="8"/>
  <c r="B108" i="8"/>
  <c r="J52" i="8"/>
  <c r="B109" i="8"/>
  <c r="B110" i="8"/>
  <c r="J110" i="8"/>
  <c r="J112" i="8"/>
  <c r="B113" i="8"/>
  <c r="J113" i="8"/>
  <c r="B117" i="8"/>
  <c r="J117" i="8"/>
  <c r="J118" i="8"/>
  <c r="B119" i="8"/>
  <c r="J119" i="8"/>
  <c r="B120" i="8"/>
  <c r="J120" i="8"/>
  <c r="B121" i="8"/>
  <c r="J121" i="8"/>
  <c r="B123" i="8"/>
  <c r="J123" i="8"/>
  <c r="B124" i="8"/>
  <c r="J124" i="8"/>
  <c r="H51" i="8"/>
  <c r="H73" i="8" s="1"/>
  <c r="B54" i="8"/>
  <c r="B76" i="8" s="1"/>
  <c r="H55" i="8"/>
  <c r="H77" i="8" s="1"/>
  <c r="B58" i="8"/>
  <c r="B80" i="8" s="1"/>
  <c r="H76" i="8"/>
  <c r="I50" i="8"/>
  <c r="I51" i="8"/>
  <c r="I52" i="8"/>
  <c r="I53" i="8"/>
  <c r="I75" i="8" s="1"/>
  <c r="I54" i="8"/>
  <c r="I55" i="8"/>
  <c r="I77" i="8" s="1"/>
  <c r="I56" i="8"/>
  <c r="I57" i="8"/>
  <c r="I79" i="8" s="1"/>
  <c r="I58" i="8"/>
  <c r="C109" i="8"/>
  <c r="C113" i="8"/>
  <c r="C119" i="8"/>
  <c r="C123" i="8"/>
  <c r="C50" i="8"/>
  <c r="C51" i="8"/>
  <c r="C52" i="8"/>
  <c r="C53" i="8"/>
  <c r="C54" i="8"/>
  <c r="C76" i="8" s="1"/>
  <c r="C55" i="8"/>
  <c r="C56" i="8"/>
  <c r="C57" i="8"/>
  <c r="C79" i="8" s="1"/>
  <c r="C58" i="8"/>
  <c r="D50" i="8"/>
  <c r="D51" i="8"/>
  <c r="D52" i="8"/>
  <c r="D53" i="8"/>
  <c r="D54" i="8"/>
  <c r="D76" i="8" s="1"/>
  <c r="D55" i="8"/>
  <c r="D56" i="8"/>
  <c r="D57" i="8"/>
  <c r="D79" i="8" s="1"/>
  <c r="D58" i="8"/>
  <c r="D108" i="8"/>
  <c r="D109" i="8"/>
  <c r="D110" i="8"/>
  <c r="D112" i="8"/>
  <c r="D113" i="8"/>
  <c r="D117" i="8"/>
  <c r="D118" i="8"/>
  <c r="D119" i="8"/>
  <c r="D120" i="8"/>
  <c r="D121" i="8"/>
  <c r="D123" i="8"/>
  <c r="D124" i="8"/>
  <c r="M223" i="3" l="1"/>
  <c r="I233" i="3"/>
  <c r="T230" i="3"/>
  <c r="P233" i="3"/>
  <c r="I232" i="3"/>
  <c r="N231" i="3"/>
  <c r="E231" i="3"/>
  <c r="J69" i="3"/>
  <c r="J221" i="3" s="1"/>
  <c r="M69" i="3"/>
  <c r="I231" i="3"/>
  <c r="P220" i="3"/>
  <c r="O220" i="3"/>
  <c r="N220" i="3"/>
  <c r="M220" i="3"/>
  <c r="D231" i="3"/>
  <c r="J231" i="3"/>
  <c r="N69" i="3"/>
  <c r="D69" i="3"/>
  <c r="P69" i="3"/>
  <c r="P221" i="3" s="1"/>
  <c r="J220" i="3"/>
  <c r="Q220" i="3"/>
  <c r="H220" i="3"/>
  <c r="G220" i="3"/>
  <c r="F220" i="3"/>
  <c r="E220" i="3"/>
  <c r="H232" i="3"/>
  <c r="M231" i="3"/>
  <c r="Q69" i="3"/>
  <c r="Q221" i="3" s="1"/>
  <c r="E69" i="3"/>
  <c r="K69" i="3"/>
  <c r="P219" i="3"/>
  <c r="O219" i="3"/>
  <c r="N219" i="3"/>
  <c r="D220" i="3"/>
  <c r="U231" i="3"/>
  <c r="B232" i="3"/>
  <c r="O231" i="3"/>
  <c r="D232" i="3"/>
  <c r="Q231" i="3"/>
  <c r="I69" i="3"/>
  <c r="F69" i="3"/>
  <c r="H69" i="3"/>
  <c r="H219" i="3"/>
  <c r="G219" i="3"/>
  <c r="F219" i="3"/>
  <c r="R231" i="3"/>
  <c r="U223" i="3"/>
  <c r="L69" i="3"/>
  <c r="K217" i="3"/>
  <c r="C69" i="3"/>
  <c r="I219" i="3"/>
  <c r="O232" i="3"/>
  <c r="N232" i="3"/>
  <c r="M232" i="3"/>
  <c r="D219" i="3"/>
  <c r="V69" i="3"/>
  <c r="V221" i="3" s="1"/>
  <c r="O69" i="3"/>
  <c r="J232" i="3"/>
  <c r="Q232" i="3"/>
  <c r="P78" i="3"/>
  <c r="P230" i="3" s="1"/>
  <c r="G232" i="3"/>
  <c r="F232" i="3"/>
  <c r="E232" i="3"/>
  <c r="L232" i="3"/>
  <c r="K39" i="3"/>
  <c r="J202" i="3"/>
  <c r="D200" i="3"/>
  <c r="O233" i="3"/>
  <c r="M39" i="3"/>
  <c r="U193" i="3"/>
  <c r="P35" i="3"/>
  <c r="P187" i="3" s="1"/>
  <c r="J201" i="3"/>
  <c r="S35" i="3"/>
  <c r="S187" i="3" s="1"/>
  <c r="Q190" i="3"/>
  <c r="K230" i="3"/>
  <c r="E39" i="3"/>
  <c r="V203" i="3"/>
  <c r="P39" i="3"/>
  <c r="H189" i="3"/>
  <c r="C201" i="3"/>
  <c r="T48" i="3"/>
  <c r="T200" i="3" s="1"/>
  <c r="B202" i="3"/>
  <c r="N39" i="3"/>
  <c r="O48" i="3"/>
  <c r="O200" i="3" s="1"/>
  <c r="K190" i="3"/>
  <c r="J190" i="3"/>
  <c r="Q200" i="3"/>
  <c r="G48" i="3"/>
  <c r="V190" i="3"/>
  <c r="F39" i="3"/>
  <c r="M200" i="3"/>
  <c r="V35" i="3"/>
  <c r="V187" i="3" s="1"/>
  <c r="S193" i="3"/>
  <c r="C189" i="3"/>
  <c r="E223" i="3"/>
  <c r="C223" i="3"/>
  <c r="U217" i="3"/>
  <c r="T202" i="3"/>
  <c r="S189" i="3"/>
  <c r="H35" i="3"/>
  <c r="C233" i="3"/>
  <c r="J233" i="3"/>
  <c r="K223" i="3"/>
  <c r="U39" i="3"/>
  <c r="N223" i="3"/>
  <c r="D233" i="3"/>
  <c r="E233" i="3"/>
  <c r="G233" i="3"/>
  <c r="U69" i="3"/>
  <c r="P189" i="3"/>
  <c r="D223" i="3"/>
  <c r="P223" i="3"/>
  <c r="O78" i="3"/>
  <c r="S230" i="3"/>
  <c r="R9" i="3"/>
  <c r="R191" i="3" s="1"/>
  <c r="C48" i="3"/>
  <c r="T217" i="3"/>
  <c r="T187" i="3"/>
  <c r="S39" i="3"/>
  <c r="M9" i="3"/>
  <c r="M221" i="3" s="1"/>
  <c r="F223" i="3"/>
  <c r="T191" i="3"/>
  <c r="V191" i="3"/>
  <c r="N233" i="3"/>
  <c r="M233" i="3"/>
  <c r="U203" i="3"/>
  <c r="N9" i="3"/>
  <c r="N221" i="3" s="1"/>
  <c r="H233" i="3"/>
  <c r="R193" i="3"/>
  <c r="U78" i="3"/>
  <c r="I65" i="3"/>
  <c r="M65" i="3"/>
  <c r="R78" i="3"/>
  <c r="I78" i="3"/>
  <c r="B65" i="3"/>
  <c r="C202" i="3"/>
  <c r="E200" i="3"/>
  <c r="S221" i="3"/>
  <c r="R233" i="3"/>
  <c r="V223" i="3"/>
  <c r="F233" i="3"/>
  <c r="K233" i="3"/>
  <c r="L66" i="10"/>
  <c r="L223" i="3"/>
  <c r="L233" i="3"/>
  <c r="L60" i="10"/>
  <c r="O35" i="9"/>
  <c r="O46" i="9"/>
  <c r="D57" i="9"/>
  <c r="P63" i="9"/>
  <c r="O61" i="9"/>
  <c r="Q24" i="9"/>
  <c r="J24" i="9"/>
  <c r="J65" i="9"/>
  <c r="J65" i="3"/>
  <c r="E65" i="3"/>
  <c r="L65" i="3"/>
  <c r="J78" i="3"/>
  <c r="N65" i="3"/>
  <c r="D65" i="3"/>
  <c r="Q65" i="3"/>
  <c r="F65" i="3"/>
  <c r="Q35" i="3"/>
  <c r="K48" i="3"/>
  <c r="B35" i="3"/>
  <c r="K35" i="3"/>
  <c r="C35" i="3"/>
  <c r="K201" i="3"/>
  <c r="B48" i="3"/>
  <c r="B78" i="3"/>
  <c r="H78" i="3"/>
  <c r="G78" i="3"/>
  <c r="P232" i="3"/>
  <c r="N78" i="3"/>
  <c r="M78" i="3"/>
  <c r="L78" i="3"/>
  <c r="P65" i="3"/>
  <c r="O65" i="3"/>
  <c r="F78" i="3"/>
  <c r="E78" i="3"/>
  <c r="D78" i="3"/>
  <c r="G231" i="3"/>
  <c r="H65" i="3"/>
  <c r="G65" i="3"/>
  <c r="F231" i="3"/>
  <c r="Q78" i="3"/>
  <c r="H231" i="3"/>
  <c r="J35" i="3"/>
  <c r="J48" i="3"/>
  <c r="R48" i="10"/>
  <c r="R59" i="10"/>
  <c r="S23" i="9"/>
  <c r="S56" i="9"/>
  <c r="S45" i="9"/>
  <c r="O60" i="9"/>
  <c r="O56" i="9"/>
  <c r="O65" i="9"/>
  <c r="E59" i="9"/>
  <c r="N59" i="9"/>
  <c r="M57" i="9"/>
  <c r="B49" i="10"/>
  <c r="K59" i="10"/>
  <c r="K67" i="10"/>
  <c r="K63" i="10"/>
  <c r="K62" i="10"/>
  <c r="L63" i="10"/>
  <c r="L59" i="10"/>
  <c r="L67" i="10"/>
  <c r="L48" i="10"/>
  <c r="H66" i="10"/>
  <c r="M65" i="9"/>
  <c r="M64" i="9"/>
  <c r="M62" i="9"/>
  <c r="M60" i="9"/>
  <c r="M58" i="9"/>
  <c r="M56" i="9"/>
  <c r="M61" i="9"/>
  <c r="R45" i="9"/>
  <c r="R23" i="9"/>
  <c r="R56" i="9"/>
  <c r="G24" i="9"/>
  <c r="G46" i="9"/>
  <c r="M63" i="9"/>
  <c r="Q59" i="9"/>
  <c r="E61" i="9"/>
  <c r="E64" i="9"/>
  <c r="E62" i="9"/>
  <c r="E60" i="9"/>
  <c r="E58" i="9"/>
  <c r="E56" i="9"/>
  <c r="E65" i="9"/>
  <c r="N65" i="9"/>
  <c r="N64" i="9"/>
  <c r="N62" i="9"/>
  <c r="N60" i="9"/>
  <c r="N58" i="9"/>
  <c r="N56" i="9"/>
  <c r="N61" i="9"/>
  <c r="S38" i="10"/>
  <c r="S60" i="10"/>
  <c r="S49" i="10"/>
  <c r="J61" i="9"/>
  <c r="V49" i="10"/>
  <c r="V38" i="10"/>
  <c r="V60" i="10"/>
  <c r="I24" i="9"/>
  <c r="N23" i="9"/>
  <c r="D64" i="9"/>
  <c r="D62" i="9"/>
  <c r="D60" i="9"/>
  <c r="D58" i="9"/>
  <c r="D56" i="9"/>
  <c r="D65" i="9"/>
  <c r="D61" i="9"/>
  <c r="Q57" i="9"/>
  <c r="D67" i="10"/>
  <c r="D63" i="10"/>
  <c r="D59" i="10"/>
  <c r="P65" i="9"/>
  <c r="P61" i="9"/>
  <c r="P62" i="9"/>
  <c r="P58" i="9"/>
  <c r="P56" i="9"/>
  <c r="P60" i="9"/>
  <c r="P64" i="9"/>
  <c r="E67" i="10"/>
  <c r="E63" i="10"/>
  <c r="E59" i="10"/>
  <c r="T23" i="9"/>
  <c r="T45" i="9"/>
  <c r="T56" i="9"/>
  <c r="Q58" i="9"/>
  <c r="Q65" i="9"/>
  <c r="Q61" i="9"/>
  <c r="Q56" i="9"/>
  <c r="Q64" i="9"/>
  <c r="Q62" i="9"/>
  <c r="Q60" i="9"/>
  <c r="G35" i="9"/>
  <c r="E63" i="9"/>
  <c r="D59" i="9"/>
  <c r="H67" i="10"/>
  <c r="H63" i="10"/>
  <c r="H59" i="10"/>
  <c r="P67" i="10"/>
  <c r="P63" i="10"/>
  <c r="P59" i="10"/>
  <c r="N63" i="9"/>
  <c r="I223" i="3"/>
  <c r="V57" i="9"/>
  <c r="V24" i="9"/>
  <c r="V35" i="9"/>
  <c r="V46" i="9"/>
  <c r="U46" i="9"/>
  <c r="U57" i="9"/>
  <c r="U24" i="9"/>
  <c r="U35" i="9"/>
  <c r="Q59" i="10"/>
  <c r="Q48" i="10"/>
  <c r="O49" i="10"/>
  <c r="K66" i="10"/>
  <c r="K60" i="10"/>
  <c r="H65" i="9"/>
  <c r="H61" i="9"/>
  <c r="H64" i="9"/>
  <c r="H60" i="9"/>
  <c r="H58" i="9"/>
  <c r="H62" i="9"/>
  <c r="H56" i="9"/>
  <c r="F64" i="9"/>
  <c r="F62" i="9"/>
  <c r="F60" i="9"/>
  <c r="F58" i="9"/>
  <c r="F56" i="9"/>
  <c r="F65" i="9"/>
  <c r="F61" i="9"/>
  <c r="O57" i="9"/>
  <c r="P62" i="10"/>
  <c r="G57" i="9"/>
  <c r="U60" i="10"/>
  <c r="U49" i="10"/>
  <c r="U38" i="10"/>
  <c r="T49" i="10"/>
  <c r="T60" i="10"/>
  <c r="T38" i="10"/>
  <c r="M59" i="9"/>
  <c r="T46" i="9"/>
  <c r="T35" i="9"/>
  <c r="T24" i="9"/>
  <c r="T57" i="9"/>
  <c r="J94" i="8"/>
  <c r="J38" i="10"/>
  <c r="J35" i="9"/>
  <c r="J107" i="8"/>
  <c r="U116" i="8"/>
  <c r="U83" i="8"/>
  <c r="N38" i="10"/>
  <c r="N35" i="9"/>
  <c r="N50" i="8"/>
  <c r="N72" i="8" s="1"/>
  <c r="N109" i="8"/>
  <c r="N105" i="8"/>
  <c r="N110" i="8"/>
  <c r="N108" i="8"/>
  <c r="N106" i="8"/>
  <c r="N94" i="8"/>
  <c r="B23" i="9"/>
  <c r="C24" i="9"/>
  <c r="S83" i="8"/>
  <c r="S116" i="8"/>
  <c r="F48" i="10"/>
  <c r="F45" i="9"/>
  <c r="J109" i="8"/>
  <c r="J105" i="8"/>
  <c r="U50" i="8"/>
  <c r="U72" i="8" s="1"/>
  <c r="U105" i="8"/>
  <c r="U94" i="8"/>
  <c r="F94" i="8"/>
  <c r="F38" i="10"/>
  <c r="F35" i="9"/>
  <c r="H23" i="9"/>
  <c r="I48" i="10"/>
  <c r="I45" i="9"/>
  <c r="C49" i="10"/>
  <c r="C46" i="9"/>
  <c r="J50" i="8"/>
  <c r="J72" i="8" s="1"/>
  <c r="T50" i="8"/>
  <c r="T72" i="8" s="1"/>
  <c r="T105" i="8"/>
  <c r="T94" i="8"/>
  <c r="I38" i="10"/>
  <c r="I35" i="9"/>
  <c r="K38" i="10"/>
  <c r="K35" i="9"/>
  <c r="K50" i="8"/>
  <c r="K72" i="8" s="1"/>
  <c r="K109" i="8"/>
  <c r="K105" i="8"/>
  <c r="K110" i="8"/>
  <c r="K108" i="8"/>
  <c r="K94" i="8"/>
  <c r="K106" i="8"/>
  <c r="P48" i="10"/>
  <c r="P45" i="9"/>
  <c r="O48" i="10"/>
  <c r="O45" i="9"/>
  <c r="N49" i="10"/>
  <c r="N46" i="9"/>
  <c r="J108" i="8"/>
  <c r="R94" i="8"/>
  <c r="R50" i="8"/>
  <c r="R72" i="8" s="1"/>
  <c r="R105" i="8"/>
  <c r="B94" i="8"/>
  <c r="B35" i="9"/>
  <c r="B38" i="10"/>
  <c r="B45" i="9"/>
  <c r="Q23" i="9"/>
  <c r="Q82" i="8"/>
  <c r="T83" i="8"/>
  <c r="T116" i="8"/>
  <c r="E48" i="10"/>
  <c r="E45" i="9"/>
  <c r="S50" i="8"/>
  <c r="S72" i="8" s="1"/>
  <c r="S105" i="8"/>
  <c r="S94" i="8"/>
  <c r="Q110" i="8"/>
  <c r="Q108" i="8"/>
  <c r="Q106" i="8"/>
  <c r="Q35" i="9"/>
  <c r="Q50" i="8"/>
  <c r="Q72" i="8" s="1"/>
  <c r="Q109" i="8"/>
  <c r="Q105" i="8"/>
  <c r="Q94" i="8"/>
  <c r="C94" i="8"/>
  <c r="C38" i="10"/>
  <c r="C35" i="9"/>
  <c r="D48" i="10"/>
  <c r="D45" i="9"/>
  <c r="N107" i="8"/>
  <c r="F83" i="8"/>
  <c r="F24" i="9"/>
  <c r="H48" i="10"/>
  <c r="H45" i="9"/>
  <c r="E38" i="10"/>
  <c r="E35" i="9"/>
  <c r="Q45" i="9"/>
  <c r="Q46" i="9"/>
  <c r="R116" i="8"/>
  <c r="R83" i="8"/>
  <c r="O82" i="8"/>
  <c r="O23" i="9"/>
  <c r="M121" i="8"/>
  <c r="M119" i="8"/>
  <c r="M117" i="8"/>
  <c r="M24" i="9"/>
  <c r="M120" i="8"/>
  <c r="M116" i="8"/>
  <c r="M83" i="8"/>
  <c r="D23" i="9"/>
  <c r="E107" i="8"/>
  <c r="V50" i="8"/>
  <c r="V72" i="8" s="1"/>
  <c r="V105" i="8"/>
  <c r="V94" i="8"/>
  <c r="V83" i="8"/>
  <c r="V116" i="8"/>
  <c r="G23" i="9"/>
  <c r="M38" i="10"/>
  <c r="M35" i="9"/>
  <c r="M50" i="8"/>
  <c r="M72" i="8" s="1"/>
  <c r="M109" i="8"/>
  <c r="M105" i="8"/>
  <c r="M110" i="8"/>
  <c r="M108" i="8"/>
  <c r="M106" i="8"/>
  <c r="M94" i="8"/>
  <c r="E83" i="8"/>
  <c r="E24" i="9"/>
  <c r="K49" i="10"/>
  <c r="K46" i="9"/>
  <c r="K121" i="8"/>
  <c r="K119" i="8"/>
  <c r="K117" i="8"/>
  <c r="K83" i="8"/>
  <c r="K24" i="9"/>
  <c r="K120" i="8"/>
  <c r="K116" i="8"/>
  <c r="K107" i="8"/>
  <c r="N187" i="3"/>
  <c r="V200" i="3"/>
  <c r="J223" i="3"/>
  <c r="F9" i="3"/>
  <c r="F221" i="3" s="1"/>
  <c r="C217" i="3"/>
  <c r="Q233" i="3"/>
  <c r="I187" i="3"/>
  <c r="F200" i="3"/>
  <c r="S217" i="3"/>
  <c r="D187" i="3"/>
  <c r="I200" i="3"/>
  <c r="S200" i="3"/>
  <c r="G203" i="3"/>
  <c r="N200" i="3"/>
  <c r="Q223" i="3"/>
  <c r="M193" i="3"/>
  <c r="N193" i="3"/>
  <c r="H203" i="3"/>
  <c r="D221" i="3"/>
  <c r="M187" i="3"/>
  <c r="F193" i="3"/>
  <c r="O203" i="3"/>
  <c r="E203" i="3"/>
  <c r="E9" i="3"/>
  <c r="E221" i="3" s="1"/>
  <c r="R200" i="3"/>
  <c r="J39" i="3"/>
  <c r="J193" i="3"/>
  <c r="P203" i="3"/>
  <c r="O39" i="3"/>
  <c r="O193" i="3"/>
  <c r="N203" i="3"/>
  <c r="E193" i="3"/>
  <c r="J203" i="3"/>
  <c r="K203" i="3"/>
  <c r="B39" i="3"/>
  <c r="B193" i="3"/>
  <c r="I203" i="3"/>
  <c r="G39" i="3"/>
  <c r="G193" i="3"/>
  <c r="D193" i="3"/>
  <c r="B203" i="3"/>
  <c r="C203" i="3"/>
  <c r="Q39" i="3"/>
  <c r="Q193" i="3"/>
  <c r="L203" i="3"/>
  <c r="L193" i="3"/>
  <c r="P193" i="3"/>
  <c r="B9" i="3"/>
  <c r="B221" i="3" s="1"/>
  <c r="B223" i="3"/>
  <c r="K193" i="3"/>
  <c r="I39" i="3"/>
  <c r="I193" i="3"/>
  <c r="F203" i="3"/>
  <c r="Q203" i="3"/>
  <c r="D203" i="3"/>
  <c r="O9" i="3"/>
  <c r="O223" i="3"/>
  <c r="C39" i="3"/>
  <c r="C193" i="3"/>
  <c r="H9" i="3"/>
  <c r="H221" i="3" s="1"/>
  <c r="H223" i="3"/>
  <c r="V217" i="3"/>
  <c r="G9" i="3"/>
  <c r="G223" i="3"/>
  <c r="M203" i="3"/>
  <c r="U200" i="3"/>
  <c r="U187" i="3"/>
  <c r="O187" i="3"/>
  <c r="P191" i="3"/>
  <c r="P200" i="3"/>
  <c r="H200" i="3"/>
  <c r="V230" i="3"/>
  <c r="G187" i="3"/>
  <c r="E187" i="3"/>
  <c r="D191" i="3"/>
  <c r="T221" i="3"/>
  <c r="R217" i="3"/>
  <c r="R187" i="3"/>
  <c r="B60" i="10"/>
  <c r="J82" i="8"/>
  <c r="G82" i="8"/>
  <c r="E110" i="8"/>
  <c r="E94" i="8"/>
  <c r="C107" i="8"/>
  <c r="C106" i="8"/>
  <c r="I105" i="8"/>
  <c r="I94" i="8"/>
  <c r="C83" i="8"/>
  <c r="C108" i="8"/>
  <c r="B82" i="8"/>
  <c r="H82" i="8"/>
  <c r="I23" i="9"/>
  <c r="E50" i="8"/>
  <c r="E72" i="8" s="1"/>
  <c r="E105" i="8"/>
  <c r="G78" i="8"/>
  <c r="E106" i="8"/>
  <c r="F78" i="8"/>
  <c r="K9" i="3"/>
  <c r="E109" i="8"/>
  <c r="C9" i="3"/>
  <c r="L9" i="3"/>
  <c r="R82" i="8"/>
  <c r="U82" i="8"/>
  <c r="B72" i="8"/>
  <c r="H74" i="8"/>
  <c r="D80" i="8"/>
  <c r="C80" i="8"/>
  <c r="C72" i="8"/>
  <c r="H78" i="8"/>
  <c r="F73" i="8"/>
  <c r="G72" i="8"/>
  <c r="J78" i="8"/>
  <c r="J79" i="8"/>
  <c r="D75" i="8"/>
  <c r="C75" i="8"/>
  <c r="B73" i="8"/>
  <c r="B78" i="8"/>
  <c r="J75" i="8"/>
  <c r="H79" i="8"/>
  <c r="I78" i="8"/>
  <c r="I74" i="8"/>
  <c r="B74" i="8"/>
  <c r="F74" i="8"/>
  <c r="D74" i="8"/>
  <c r="C78" i="8"/>
  <c r="C74" i="8"/>
  <c r="E74" i="8"/>
  <c r="H75" i="8"/>
  <c r="I73" i="8"/>
  <c r="J74" i="8"/>
  <c r="D78" i="8"/>
  <c r="D72" i="8"/>
  <c r="D77" i="8"/>
  <c r="D73" i="8"/>
  <c r="C77" i="8"/>
  <c r="C73" i="8"/>
  <c r="I80" i="8"/>
  <c r="I76" i="8"/>
  <c r="I72" i="8"/>
  <c r="F72" i="8"/>
  <c r="E78" i="8"/>
  <c r="K221" i="3" l="1"/>
  <c r="M191" i="3"/>
  <c r="N230" i="3"/>
  <c r="N217" i="3"/>
  <c r="E230" i="3"/>
  <c r="R230" i="3"/>
  <c r="O221" i="3"/>
  <c r="G230" i="3"/>
  <c r="E217" i="3"/>
  <c r="M217" i="3"/>
  <c r="U221" i="3"/>
  <c r="Q230" i="3"/>
  <c r="O217" i="3"/>
  <c r="H230" i="3"/>
  <c r="J217" i="3"/>
  <c r="I217" i="3"/>
  <c r="P217" i="3"/>
  <c r="F217" i="3"/>
  <c r="U230" i="3"/>
  <c r="I221" i="3"/>
  <c r="G217" i="3"/>
  <c r="Q217" i="3"/>
  <c r="I230" i="3"/>
  <c r="H217" i="3"/>
  <c r="D217" i="3"/>
  <c r="O230" i="3"/>
  <c r="C187" i="3"/>
  <c r="S191" i="3"/>
  <c r="U191" i="3"/>
  <c r="J187" i="3"/>
  <c r="K200" i="3"/>
  <c r="C200" i="3"/>
  <c r="Q187" i="3"/>
  <c r="I191" i="3"/>
  <c r="H187" i="3"/>
  <c r="G200" i="3"/>
  <c r="K187" i="3"/>
  <c r="N191" i="3"/>
  <c r="R221" i="3"/>
  <c r="B19" i="3"/>
  <c r="B8" i="3"/>
  <c r="B7" i="3"/>
  <c r="J45" i="9"/>
  <c r="J59" i="9"/>
  <c r="J56" i="9"/>
  <c r="O58" i="9"/>
  <c r="J60" i="9"/>
  <c r="J23" i="9"/>
  <c r="J63" i="9"/>
  <c r="O62" i="9"/>
  <c r="J64" i="9"/>
  <c r="J57" i="9"/>
  <c r="O64" i="9"/>
  <c r="O59" i="9"/>
  <c r="J58" i="9"/>
  <c r="J62" i="9"/>
  <c r="O63" i="9"/>
  <c r="J230" i="3"/>
  <c r="J200" i="3"/>
  <c r="L7" i="3"/>
  <c r="L19" i="3"/>
  <c r="L8" i="3"/>
  <c r="D230" i="3"/>
  <c r="F230" i="3"/>
  <c r="M230" i="3"/>
  <c r="U23" i="9"/>
  <c r="U56" i="9"/>
  <c r="U45" i="9"/>
  <c r="V48" i="10"/>
  <c r="V59" i="10"/>
  <c r="O67" i="10"/>
  <c r="O63" i="10"/>
  <c r="O59" i="10"/>
  <c r="O66" i="10"/>
  <c r="O62" i="10"/>
  <c r="V56" i="9"/>
  <c r="V45" i="9"/>
  <c r="V23" i="9"/>
  <c r="S59" i="10"/>
  <c r="S48" i="10"/>
  <c r="G64" i="9"/>
  <c r="G62" i="9"/>
  <c r="G60" i="9"/>
  <c r="G58" i="9"/>
  <c r="G56" i="9"/>
  <c r="G65" i="9"/>
  <c r="G61" i="9"/>
  <c r="G59" i="9"/>
  <c r="G45" i="9"/>
  <c r="G63" i="9"/>
  <c r="O60" i="10"/>
  <c r="T48" i="10"/>
  <c r="T59" i="10"/>
  <c r="B48" i="10"/>
  <c r="U48" i="10"/>
  <c r="U59" i="10"/>
  <c r="J67" i="10"/>
  <c r="J59" i="10"/>
  <c r="J63" i="10"/>
  <c r="J62" i="10"/>
  <c r="J48" i="10"/>
  <c r="J66" i="10"/>
  <c r="J60" i="10"/>
  <c r="I62" i="9"/>
  <c r="I65" i="9"/>
  <c r="I61" i="9"/>
  <c r="I64" i="9"/>
  <c r="I60" i="9"/>
  <c r="I58" i="9"/>
  <c r="I56" i="9"/>
  <c r="I59" i="9"/>
  <c r="I63" i="9"/>
  <c r="I57" i="9"/>
  <c r="N48" i="10"/>
  <c r="N45" i="9"/>
  <c r="N82" i="8"/>
  <c r="F23" i="9"/>
  <c r="F82" i="8"/>
  <c r="C23" i="9"/>
  <c r="K48" i="10"/>
  <c r="K45" i="9"/>
  <c r="E23" i="9"/>
  <c r="F191" i="3"/>
  <c r="C48" i="10"/>
  <c r="C45" i="9"/>
  <c r="M23" i="9"/>
  <c r="M82" i="8"/>
  <c r="K23" i="9"/>
  <c r="K82" i="8"/>
  <c r="G191" i="3"/>
  <c r="C191" i="3"/>
  <c r="B191" i="3"/>
  <c r="H191" i="3"/>
  <c r="Q191" i="3"/>
  <c r="G221" i="3"/>
  <c r="J191" i="3"/>
  <c r="O191" i="3"/>
  <c r="E191" i="3"/>
  <c r="L221" i="3"/>
  <c r="K191" i="3"/>
  <c r="C221" i="3"/>
  <c r="L191" i="3"/>
  <c r="B59" i="10"/>
  <c r="B67" i="10"/>
  <c r="B63" i="10"/>
  <c r="B66" i="10"/>
  <c r="B62" i="10"/>
  <c r="C82" i="8"/>
  <c r="E82" i="8"/>
  <c r="B18" i="3" l="1"/>
  <c r="B231" i="3"/>
  <c r="B201" i="3"/>
  <c r="B220" i="3"/>
  <c r="B190" i="3"/>
  <c r="B219" i="3"/>
  <c r="B189" i="3"/>
  <c r="B5" i="3"/>
  <c r="L190" i="3"/>
  <c r="L220" i="3"/>
  <c r="L5" i="3"/>
  <c r="L189" i="3"/>
  <c r="L219" i="3"/>
  <c r="L18" i="3"/>
  <c r="L201" i="3"/>
  <c r="L231" i="3"/>
  <c r="B200" i="3" l="1"/>
  <c r="B230" i="3"/>
  <c r="B187" i="3"/>
  <c r="B217" i="3"/>
  <c r="L187" i="3"/>
  <c r="L217" i="3"/>
  <c r="L200" i="3"/>
  <c r="L230" i="3"/>
  <c r="Q28" i="3" l="1"/>
  <c r="D28" i="3"/>
  <c r="K28" i="3"/>
  <c r="N28" i="3"/>
  <c r="E28" i="3"/>
  <c r="M28" i="3"/>
  <c r="L28" i="3"/>
  <c r="J28" i="3"/>
  <c r="S28" i="3"/>
  <c r="G28" i="3"/>
  <c r="R28" i="3"/>
  <c r="T28" i="3"/>
  <c r="H28" i="3"/>
  <c r="B28" i="3"/>
  <c r="O28" i="3"/>
  <c r="I28" i="3"/>
  <c r="C28" i="3"/>
  <c r="F28" i="3"/>
  <c r="P28" i="3"/>
  <c r="U28" i="3" l="1"/>
  <c r="V28" i="3" l="1"/>
  <c r="O15" i="15" l="1"/>
  <c r="N15" i="15" l="1"/>
  <c r="P15" i="15"/>
  <c r="Q15" i="15"/>
  <c r="M15" i="15" l="1"/>
  <c r="L15" i="15" l="1"/>
  <c r="K15" i="15" l="1"/>
  <c r="J15" i="15" l="1"/>
  <c r="I15" i="15"/>
  <c r="H15" i="15" l="1"/>
  <c r="G15" i="15" l="1"/>
  <c r="F15" i="15" l="1"/>
  <c r="E15" i="15" l="1"/>
  <c r="D15" i="15"/>
  <c r="C15" i="15" l="1"/>
  <c r="B15" i="15"/>
  <c r="R15" i="15" l="1"/>
  <c r="S15" i="15" l="1"/>
  <c r="L14" i="15" l="1"/>
  <c r="E27" i="3"/>
  <c r="Q7" i="15"/>
  <c r="G14" i="15"/>
  <c r="M14" i="15"/>
  <c r="R14" i="15"/>
  <c r="P7" i="15"/>
  <c r="P21" i="15" s="1"/>
  <c r="J14" i="15"/>
  <c r="I7" i="15"/>
  <c r="I22" i="15" s="1"/>
  <c r="H7" i="15"/>
  <c r="H22" i="15" s="1"/>
  <c r="B7" i="15"/>
  <c r="F7" i="15"/>
  <c r="F22" i="15" s="1"/>
  <c r="J3" i="15"/>
  <c r="J27" i="3"/>
  <c r="J18" i="15"/>
  <c r="P27" i="3"/>
  <c r="P3" i="15"/>
  <c r="N7" i="15"/>
  <c r="U27" i="3"/>
  <c r="U3" i="15"/>
  <c r="U14" i="15"/>
  <c r="S27" i="3"/>
  <c r="S3" i="15"/>
  <c r="S18" i="15" s="1"/>
  <c r="S14" i="15"/>
  <c r="I27" i="3"/>
  <c r="I3" i="15"/>
  <c r="L3" i="15"/>
  <c r="L18" i="15" s="1"/>
  <c r="L27" i="3"/>
  <c r="S7" i="15"/>
  <c r="S22" i="15" s="1"/>
  <c r="O3" i="15"/>
  <c r="O27" i="3"/>
  <c r="O14" i="15"/>
  <c r="B27" i="3"/>
  <c r="B3" i="15"/>
  <c r="B18" i="15"/>
  <c r="T3" i="15"/>
  <c r="T27" i="3"/>
  <c r="T14" i="15"/>
  <c r="N3" i="15"/>
  <c r="N27" i="3"/>
  <c r="N14" i="15"/>
  <c r="T15" i="15"/>
  <c r="M3" i="15"/>
  <c r="M18" i="15" s="1"/>
  <c r="M27" i="3"/>
  <c r="H3" i="15"/>
  <c r="H27" i="3"/>
  <c r="H18" i="15"/>
  <c r="T7" i="15"/>
  <c r="T21" i="15" s="1"/>
  <c r="G27" i="3"/>
  <c r="G3" i="15"/>
  <c r="Q27" i="3"/>
  <c r="Q3" i="15"/>
  <c r="J7" i="15"/>
  <c r="J22" i="15" s="1"/>
  <c r="F3" i="15"/>
  <c r="F18" i="15" s="1"/>
  <c r="F27" i="3"/>
  <c r="K27" i="3"/>
  <c r="K3" i="15"/>
  <c r="K18" i="15" s="1"/>
  <c r="K14" i="15"/>
  <c r="O7" i="15"/>
  <c r="O22" i="15" s="1"/>
  <c r="R27" i="3"/>
  <c r="R3" i="15"/>
  <c r="K7" i="15"/>
  <c r="K22" i="15" s="1"/>
  <c r="V27" i="3"/>
  <c r="V3" i="15"/>
  <c r="U7" i="15"/>
  <c r="P23" i="15" l="1"/>
  <c r="I14" i="15"/>
  <c r="H14" i="15"/>
  <c r="Q14" i="15"/>
  <c r="M7" i="15"/>
  <c r="M22" i="15" s="1"/>
  <c r="L7" i="15"/>
  <c r="L22" i="15" s="1"/>
  <c r="G7" i="15"/>
  <c r="G22" i="15" s="1"/>
  <c r="P22" i="15"/>
  <c r="P14" i="15"/>
  <c r="F14" i="15"/>
  <c r="B22" i="15"/>
  <c r="B14" i="15"/>
  <c r="R7" i="15"/>
  <c r="R22" i="15" s="1"/>
  <c r="E3" i="15"/>
  <c r="E17" i="15" s="1"/>
  <c r="U21" i="15"/>
  <c r="U22" i="15"/>
  <c r="Q17" i="15"/>
  <c r="Q13" i="15"/>
  <c r="Q19" i="15"/>
  <c r="K26" i="3"/>
  <c r="Q18" i="15"/>
  <c r="M26" i="3"/>
  <c r="Q23" i="15"/>
  <c r="Q21" i="15"/>
  <c r="I17" i="15"/>
  <c r="I13" i="15"/>
  <c r="I19" i="15"/>
  <c r="S17" i="15"/>
  <c r="S13" i="15"/>
  <c r="S19" i="15"/>
  <c r="N23" i="15"/>
  <c r="N21" i="15"/>
  <c r="E26" i="3"/>
  <c r="Q26" i="3"/>
  <c r="M17" i="15"/>
  <c r="M19" i="15"/>
  <c r="T18" i="15"/>
  <c r="T17" i="15"/>
  <c r="T13" i="15"/>
  <c r="T19" i="15"/>
  <c r="B21" i="15"/>
  <c r="B23" i="15"/>
  <c r="S26" i="3"/>
  <c r="P18" i="15"/>
  <c r="P17" i="15"/>
  <c r="P13" i="15"/>
  <c r="P19" i="15"/>
  <c r="U23" i="15"/>
  <c r="U15" i="15"/>
  <c r="F21" i="15"/>
  <c r="F23" i="15"/>
  <c r="F26" i="3"/>
  <c r="H21" i="15"/>
  <c r="H23" i="15"/>
  <c r="P26" i="3"/>
  <c r="I23" i="15"/>
  <c r="I21" i="15"/>
  <c r="I26" i="3"/>
  <c r="K21" i="15"/>
  <c r="K23" i="15"/>
  <c r="O23" i="15"/>
  <c r="O21" i="15"/>
  <c r="F17" i="15"/>
  <c r="F13" i="15"/>
  <c r="F19" i="15"/>
  <c r="G18" i="15"/>
  <c r="G17" i="15"/>
  <c r="G19" i="15"/>
  <c r="T23" i="15"/>
  <c r="O26" i="3"/>
  <c r="L26" i="3"/>
  <c r="U18" i="15"/>
  <c r="U17" i="15"/>
  <c r="U13" i="15"/>
  <c r="U19" i="15"/>
  <c r="T26" i="3"/>
  <c r="V18" i="15"/>
  <c r="V17" i="15"/>
  <c r="V19" i="15"/>
  <c r="G26" i="3"/>
  <c r="H26" i="3"/>
  <c r="B17" i="15"/>
  <c r="B13" i="15"/>
  <c r="B19" i="15"/>
  <c r="O18" i="15"/>
  <c r="O17" i="15"/>
  <c r="O13" i="15"/>
  <c r="O19" i="15"/>
  <c r="L17" i="15"/>
  <c r="L19" i="15"/>
  <c r="U26" i="3"/>
  <c r="S21" i="15"/>
  <c r="S23" i="15"/>
  <c r="V26" i="3"/>
  <c r="R18" i="15"/>
  <c r="R17" i="15"/>
  <c r="R19" i="15"/>
  <c r="J21" i="15"/>
  <c r="J23" i="15"/>
  <c r="H17" i="15"/>
  <c r="H13" i="15"/>
  <c r="H19" i="15"/>
  <c r="N26" i="3"/>
  <c r="B26" i="3"/>
  <c r="J26" i="3"/>
  <c r="R26" i="3"/>
  <c r="K17" i="15"/>
  <c r="K13" i="15"/>
  <c r="K19" i="15"/>
  <c r="T22" i="15"/>
  <c r="N18" i="15"/>
  <c r="N17" i="15"/>
  <c r="N13" i="15"/>
  <c r="N19" i="15"/>
  <c r="Q22" i="15"/>
  <c r="I18" i="15"/>
  <c r="N22" i="15"/>
  <c r="J17" i="15"/>
  <c r="J13" i="15"/>
  <c r="J19" i="15"/>
  <c r="V15" i="15"/>
  <c r="M23" i="15" l="1"/>
  <c r="M21" i="15"/>
  <c r="G13" i="15"/>
  <c r="M13" i="15"/>
  <c r="G23" i="15"/>
  <c r="G21" i="15"/>
  <c r="L21" i="15"/>
  <c r="E18" i="15"/>
  <c r="R21" i="15"/>
  <c r="L23" i="15"/>
  <c r="R23" i="15"/>
  <c r="R13" i="15"/>
  <c r="L13" i="15"/>
  <c r="E19" i="15"/>
  <c r="C14" i="15"/>
  <c r="D7" i="15"/>
  <c r="C27" i="3"/>
  <c r="C3" i="15"/>
  <c r="V7" i="15"/>
  <c r="V22" i="15" s="1"/>
  <c r="V14" i="15"/>
  <c r="D27" i="3"/>
  <c r="D3" i="15"/>
  <c r="D18" i="15" s="1"/>
  <c r="D14" i="15" l="1"/>
  <c r="C7" i="15"/>
  <c r="C22" i="15" s="1"/>
  <c r="E7" i="15"/>
  <c r="E14" i="15"/>
  <c r="D23" i="15"/>
  <c r="D21" i="15"/>
  <c r="C21" i="15"/>
  <c r="C23" i="15"/>
  <c r="V23" i="15"/>
  <c r="V21" i="15"/>
  <c r="V13" i="15"/>
  <c r="D17" i="15"/>
  <c r="D13" i="15"/>
  <c r="D19" i="15"/>
  <c r="C18" i="15"/>
  <c r="C17" i="15"/>
  <c r="C19" i="15"/>
  <c r="D26" i="3"/>
  <c r="C26" i="3"/>
  <c r="D22" i="15"/>
  <c r="C13" i="15" l="1"/>
  <c r="E13" i="15"/>
  <c r="E21" i="15"/>
  <c r="E23" i="15"/>
  <c r="E22" i="15"/>
  <c r="G88" i="3" l="1"/>
  <c r="L19" i="17"/>
  <c r="L88" i="3"/>
  <c r="L87" i="3"/>
  <c r="L18" i="17"/>
  <c r="S87" i="3"/>
  <c r="S18" i="17"/>
  <c r="K19" i="17"/>
  <c r="L10" i="17"/>
  <c r="K88" i="3" l="1"/>
  <c r="G19" i="17"/>
  <c r="L3" i="17"/>
  <c r="E18" i="17"/>
  <c r="G240" i="3"/>
  <c r="J21" i="16"/>
  <c r="J25" i="16"/>
  <c r="J58" i="3"/>
  <c r="Q11" i="17"/>
  <c r="Q21" i="16"/>
  <c r="Q25" i="16"/>
  <c r="Q58" i="3"/>
  <c r="S239" i="3"/>
  <c r="K87" i="3"/>
  <c r="K3" i="17"/>
  <c r="K18" i="17"/>
  <c r="F19" i="17"/>
  <c r="F88" i="3"/>
  <c r="F11" i="17"/>
  <c r="O58" i="3"/>
  <c r="O25" i="16"/>
  <c r="O21" i="16"/>
  <c r="Q19" i="17"/>
  <c r="Q88" i="3"/>
  <c r="S58" i="3"/>
  <c r="S21" i="16"/>
  <c r="S25" i="16"/>
  <c r="I58" i="3"/>
  <c r="I21" i="16"/>
  <c r="I25" i="16"/>
  <c r="F18" i="17"/>
  <c r="F3" i="17"/>
  <c r="F87" i="3"/>
  <c r="I18" i="17"/>
  <c r="I3" i="17"/>
  <c r="I87" i="3"/>
  <c r="O87" i="3"/>
  <c r="O3" i="17"/>
  <c r="O18" i="17"/>
  <c r="M18" i="17"/>
  <c r="M87" i="3"/>
  <c r="M3" i="17"/>
  <c r="L86" i="3"/>
  <c r="L239" i="3"/>
  <c r="L240" i="3"/>
  <c r="K21" i="16"/>
  <c r="K58" i="3"/>
  <c r="K25" i="16"/>
  <c r="J18" i="17"/>
  <c r="J3" i="17"/>
  <c r="J87" i="3"/>
  <c r="P3" i="17"/>
  <c r="P18" i="17"/>
  <c r="P87" i="3"/>
  <c r="P25" i="16"/>
  <c r="P21" i="16"/>
  <c r="P58" i="3"/>
  <c r="M11" i="17"/>
  <c r="M25" i="16"/>
  <c r="M21" i="16"/>
  <c r="M58" i="3"/>
  <c r="K11" i="17"/>
  <c r="L20" i="16"/>
  <c r="L57" i="3"/>
  <c r="L24" i="16"/>
  <c r="M88" i="3"/>
  <c r="M19" i="17"/>
  <c r="J19" i="17"/>
  <c r="J88" i="3"/>
  <c r="J11" i="17"/>
  <c r="I19" i="17"/>
  <c r="I88" i="3"/>
  <c r="I11" i="17"/>
  <c r="P88" i="3"/>
  <c r="P19" i="17"/>
  <c r="P11" i="17"/>
  <c r="O88" i="3"/>
  <c r="O19" i="17"/>
  <c r="O11" i="17"/>
  <c r="G87" i="3"/>
  <c r="G3" i="17"/>
  <c r="G18" i="17"/>
  <c r="Q18" i="17"/>
  <c r="Q3" i="17"/>
  <c r="Q87" i="3"/>
  <c r="Q10" i="17"/>
  <c r="K10" i="17"/>
  <c r="F10" i="17"/>
  <c r="I23" i="17" l="1"/>
  <c r="I13" i="17"/>
  <c r="J23" i="17"/>
  <c r="J13" i="17"/>
  <c r="L22" i="17"/>
  <c r="L13" i="17"/>
  <c r="O23" i="17"/>
  <c r="O13" i="17"/>
  <c r="K22" i="17"/>
  <c r="K13" i="17"/>
  <c r="Q22" i="17"/>
  <c r="Q13" i="17"/>
  <c r="M22" i="17"/>
  <c r="M13" i="17"/>
  <c r="F23" i="17"/>
  <c r="F13" i="17"/>
  <c r="L17" i="17"/>
  <c r="P23" i="17"/>
  <c r="P13" i="17"/>
  <c r="G22" i="17"/>
  <c r="G13" i="17"/>
  <c r="L23" i="17"/>
  <c r="K240" i="3"/>
  <c r="E3" i="17"/>
  <c r="L21" i="17"/>
  <c r="E87" i="3"/>
  <c r="F22" i="17"/>
  <c r="R58" i="3"/>
  <c r="M23" i="17"/>
  <c r="E10" i="17"/>
  <c r="E20" i="16"/>
  <c r="E57" i="3"/>
  <c r="E28" i="16"/>
  <c r="E24" i="16"/>
  <c r="L29" i="16"/>
  <c r="L27" i="16"/>
  <c r="L23" i="16"/>
  <c r="L19" i="16"/>
  <c r="P86" i="3"/>
  <c r="P239" i="3"/>
  <c r="O86" i="3"/>
  <c r="O239" i="3"/>
  <c r="K86" i="3"/>
  <c r="K239" i="3"/>
  <c r="O10" i="17"/>
  <c r="O24" i="16"/>
  <c r="O20" i="16"/>
  <c r="O9" i="17"/>
  <c r="O57" i="3"/>
  <c r="M17" i="17"/>
  <c r="M21" i="17"/>
  <c r="L25" i="16"/>
  <c r="L21" i="16"/>
  <c r="L58" i="3"/>
  <c r="L11" i="17"/>
  <c r="J210" i="3"/>
  <c r="R21" i="16"/>
  <c r="T19" i="17"/>
  <c r="T11" i="17"/>
  <c r="T88" i="3"/>
  <c r="N19" i="17"/>
  <c r="N88" i="3"/>
  <c r="N11" i="17"/>
  <c r="Q24" i="16"/>
  <c r="Q20" i="16"/>
  <c r="Q57" i="3"/>
  <c r="Q28" i="16"/>
  <c r="Q86" i="3"/>
  <c r="Q239" i="3"/>
  <c r="G21" i="17"/>
  <c r="G17" i="17"/>
  <c r="G23" i="17"/>
  <c r="I240" i="3"/>
  <c r="L209" i="3"/>
  <c r="P210" i="3"/>
  <c r="J86" i="3"/>
  <c r="J239" i="3"/>
  <c r="K210" i="3"/>
  <c r="M86" i="3"/>
  <c r="M239" i="3"/>
  <c r="F86" i="3"/>
  <c r="F239" i="3"/>
  <c r="B3" i="17"/>
  <c r="B18" i="17"/>
  <c r="B87" i="3"/>
  <c r="G86" i="3"/>
  <c r="G239" i="3"/>
  <c r="P17" i="17"/>
  <c r="P21" i="17"/>
  <c r="I210" i="3"/>
  <c r="L9" i="17"/>
  <c r="E58" i="3"/>
  <c r="E21" i="16"/>
  <c r="E25" i="16"/>
  <c r="R18" i="17"/>
  <c r="R87" i="3"/>
  <c r="R3" i="17"/>
  <c r="N21" i="16"/>
  <c r="N25" i="16"/>
  <c r="N58" i="3"/>
  <c r="M24" i="16"/>
  <c r="M20" i="16"/>
  <c r="M57" i="3"/>
  <c r="Q21" i="17"/>
  <c r="Q17" i="17"/>
  <c r="Q9" i="17"/>
  <c r="M210" i="3"/>
  <c r="J22" i="17"/>
  <c r="J21" i="17"/>
  <c r="J17" i="17"/>
  <c r="I86" i="3"/>
  <c r="I239" i="3"/>
  <c r="F21" i="17"/>
  <c r="F17" i="17"/>
  <c r="F240" i="3"/>
  <c r="S19" i="17"/>
  <c r="S88" i="3"/>
  <c r="S11" i="17"/>
  <c r="S3" i="17"/>
  <c r="S13" i="17" s="1"/>
  <c r="R19" i="17"/>
  <c r="R88" i="3"/>
  <c r="B88" i="3"/>
  <c r="B19" i="17"/>
  <c r="H3" i="17"/>
  <c r="H13" i="17" s="1"/>
  <c r="H87" i="3"/>
  <c r="H18" i="17"/>
  <c r="H19" i="17"/>
  <c r="H88" i="3"/>
  <c r="K57" i="3"/>
  <c r="K9" i="17"/>
  <c r="K24" i="16"/>
  <c r="K20" i="16"/>
  <c r="P240" i="3"/>
  <c r="Q23" i="17"/>
  <c r="S24" i="16"/>
  <c r="S20" i="16"/>
  <c r="S57" i="3"/>
  <c r="S10" i="17"/>
  <c r="T25" i="16"/>
  <c r="T21" i="16"/>
  <c r="T58" i="3"/>
  <c r="G57" i="3"/>
  <c r="G20" i="16"/>
  <c r="G24" i="16"/>
  <c r="G28" i="16"/>
  <c r="P20" i="16"/>
  <c r="P57" i="3"/>
  <c r="P24" i="16"/>
  <c r="H11" i="17"/>
  <c r="H21" i="16"/>
  <c r="H58" i="3"/>
  <c r="H25" i="16"/>
  <c r="E19" i="17"/>
  <c r="E88" i="3"/>
  <c r="E11" i="17"/>
  <c r="G10" i="17"/>
  <c r="J240" i="3"/>
  <c r="M240" i="3"/>
  <c r="P10" i="17"/>
  <c r="L238" i="3"/>
  <c r="I22" i="17"/>
  <c r="I17" i="17"/>
  <c r="I21" i="17"/>
  <c r="Q240" i="3"/>
  <c r="O210" i="3"/>
  <c r="Q210" i="3"/>
  <c r="G58" i="3"/>
  <c r="G21" i="16"/>
  <c r="G25" i="16"/>
  <c r="G29" i="16"/>
  <c r="G11" i="17"/>
  <c r="F9" i="17"/>
  <c r="F24" i="16"/>
  <c r="F57" i="3"/>
  <c r="F20" i="16"/>
  <c r="N3" i="17"/>
  <c r="N87" i="3"/>
  <c r="N18" i="17"/>
  <c r="T3" i="17"/>
  <c r="T18" i="17"/>
  <c r="T87" i="3"/>
  <c r="O240" i="3"/>
  <c r="L28" i="16"/>
  <c r="P22" i="17"/>
  <c r="M10" i="17"/>
  <c r="O22" i="17"/>
  <c r="O17" i="17"/>
  <c r="O21" i="17"/>
  <c r="S210" i="3"/>
  <c r="F25" i="16"/>
  <c r="F58" i="3"/>
  <c r="F21" i="16"/>
  <c r="K23" i="17"/>
  <c r="K17" i="17"/>
  <c r="K21" i="17"/>
  <c r="R10" i="17"/>
  <c r="N10" i="17"/>
  <c r="E17" i="17" l="1"/>
  <c r="E13" i="17"/>
  <c r="E21" i="17"/>
  <c r="B23" i="17"/>
  <c r="B13" i="17"/>
  <c r="R22" i="17"/>
  <c r="R13" i="17"/>
  <c r="T23" i="17"/>
  <c r="T13" i="17"/>
  <c r="N22" i="17"/>
  <c r="N13" i="17"/>
  <c r="E239" i="3"/>
  <c r="E86" i="3"/>
  <c r="L56" i="3"/>
  <c r="L208" i="3" s="1"/>
  <c r="E22" i="17"/>
  <c r="E23" i="17"/>
  <c r="R23" i="17"/>
  <c r="R11" i="17"/>
  <c r="R25" i="16"/>
  <c r="F29" i="16"/>
  <c r="K28" i="16"/>
  <c r="C25" i="16"/>
  <c r="C21" i="16"/>
  <c r="C58" i="3"/>
  <c r="D19" i="17"/>
  <c r="D88" i="3"/>
  <c r="D11" i="17"/>
  <c r="P56" i="3"/>
  <c r="P209" i="3"/>
  <c r="S28" i="16"/>
  <c r="S23" i="16"/>
  <c r="S27" i="16"/>
  <c r="S19" i="16"/>
  <c r="S29" i="16"/>
  <c r="S240" i="3"/>
  <c r="S86" i="3"/>
  <c r="I238" i="3"/>
  <c r="R21" i="17"/>
  <c r="R17" i="17"/>
  <c r="E210" i="3"/>
  <c r="N240" i="3"/>
  <c r="K238" i="3"/>
  <c r="D3" i="17"/>
  <c r="D18" i="17"/>
  <c r="D87" i="3"/>
  <c r="U3" i="17"/>
  <c r="U18" i="17"/>
  <c r="U87" i="3"/>
  <c r="U21" i="16"/>
  <c r="U58" i="3"/>
  <c r="U25" i="16"/>
  <c r="P27" i="16"/>
  <c r="P23" i="16"/>
  <c r="P19" i="16"/>
  <c r="P29" i="16"/>
  <c r="S209" i="3"/>
  <c r="S56" i="3"/>
  <c r="M28" i="16"/>
  <c r="M23" i="16"/>
  <c r="M19" i="16"/>
  <c r="M27" i="16"/>
  <c r="M29" i="16"/>
  <c r="R86" i="3"/>
  <c r="R239" i="3"/>
  <c r="O238" i="3"/>
  <c r="T210" i="3"/>
  <c r="K19" i="16"/>
  <c r="K23" i="16"/>
  <c r="K27" i="16"/>
  <c r="K29" i="16"/>
  <c r="B240" i="3"/>
  <c r="M56" i="3"/>
  <c r="M209" i="3"/>
  <c r="B22" i="17"/>
  <c r="B21" i="17"/>
  <c r="B17" i="17"/>
  <c r="F238" i="3"/>
  <c r="Q19" i="16"/>
  <c r="Q27" i="16"/>
  <c r="Q23" i="16"/>
  <c r="Q29" i="16"/>
  <c r="R210" i="3"/>
  <c r="L210" i="3"/>
  <c r="M9" i="17"/>
  <c r="C19" i="17"/>
  <c r="C88" i="3"/>
  <c r="C11" i="17"/>
  <c r="D58" i="3"/>
  <c r="D25" i="16"/>
  <c r="D21" i="16"/>
  <c r="C87" i="3"/>
  <c r="C3" i="17"/>
  <c r="C18" i="17"/>
  <c r="N86" i="3"/>
  <c r="N239" i="3"/>
  <c r="F56" i="3"/>
  <c r="F209" i="3"/>
  <c r="G210" i="3"/>
  <c r="H210" i="3"/>
  <c r="K209" i="3"/>
  <c r="K56" i="3"/>
  <c r="N210" i="3"/>
  <c r="G238" i="3"/>
  <c r="J238" i="3"/>
  <c r="Q209" i="3"/>
  <c r="Q56" i="3"/>
  <c r="O209" i="3"/>
  <c r="O56" i="3"/>
  <c r="E29" i="16"/>
  <c r="E23" i="16"/>
  <c r="E27" i="16"/>
  <c r="E19" i="16"/>
  <c r="C10" i="17"/>
  <c r="G27" i="16"/>
  <c r="G19" i="16"/>
  <c r="G23" i="16"/>
  <c r="H86" i="3"/>
  <c r="H239" i="3"/>
  <c r="Q238" i="3"/>
  <c r="O28" i="16"/>
  <c r="O23" i="16"/>
  <c r="O27" i="16"/>
  <c r="O19" i="16"/>
  <c r="O29" i="16"/>
  <c r="E209" i="3"/>
  <c r="E56" i="3"/>
  <c r="I20" i="16"/>
  <c r="I57" i="3"/>
  <c r="I24" i="16"/>
  <c r="I10" i="17"/>
  <c r="E9" i="17"/>
  <c r="T86" i="3"/>
  <c r="T239" i="3"/>
  <c r="N21" i="17"/>
  <c r="N17" i="17"/>
  <c r="F28" i="16"/>
  <c r="F19" i="16"/>
  <c r="F27" i="16"/>
  <c r="F23" i="16"/>
  <c r="H22" i="17"/>
  <c r="H17" i="17"/>
  <c r="H21" i="17"/>
  <c r="R240" i="3"/>
  <c r="S17" i="17"/>
  <c r="S21" i="17"/>
  <c r="S9" i="17"/>
  <c r="S22" i="17"/>
  <c r="B25" i="16"/>
  <c r="B58" i="3"/>
  <c r="B21" i="16"/>
  <c r="T240" i="3"/>
  <c r="B24" i="16"/>
  <c r="B20" i="16"/>
  <c r="B57" i="3"/>
  <c r="B9" i="17"/>
  <c r="N20" i="16"/>
  <c r="N57" i="3"/>
  <c r="N24" i="16"/>
  <c r="E238" i="3"/>
  <c r="E240" i="3"/>
  <c r="P28" i="16"/>
  <c r="H23" i="17"/>
  <c r="B11" i="17"/>
  <c r="S23" i="17"/>
  <c r="B10" i="17"/>
  <c r="M238" i="3"/>
  <c r="G9" i="17"/>
  <c r="P238" i="3"/>
  <c r="R20" i="16"/>
  <c r="R24" i="16"/>
  <c r="R57" i="3"/>
  <c r="R9" i="17"/>
  <c r="U19" i="17"/>
  <c r="U88" i="3"/>
  <c r="U11" i="17"/>
  <c r="F210" i="3"/>
  <c r="T22" i="17"/>
  <c r="T17" i="17"/>
  <c r="T21" i="17"/>
  <c r="G56" i="3"/>
  <c r="G209" i="3"/>
  <c r="H240" i="3"/>
  <c r="P9" i="17"/>
  <c r="B86" i="3"/>
  <c r="B239" i="3"/>
  <c r="N23" i="17"/>
  <c r="J20" i="16"/>
  <c r="J57" i="3"/>
  <c r="J24" i="16"/>
  <c r="J10" i="17"/>
  <c r="U23" i="17" l="1"/>
  <c r="U13" i="17"/>
  <c r="C23" i="17"/>
  <c r="C13" i="17"/>
  <c r="D23" i="17"/>
  <c r="D13" i="17"/>
  <c r="R28" i="16"/>
  <c r="B29" i="16"/>
  <c r="D22" i="17"/>
  <c r="C22" i="17"/>
  <c r="G208" i="3"/>
  <c r="R209" i="3"/>
  <c r="R56" i="3"/>
  <c r="N209" i="3"/>
  <c r="N56" i="3"/>
  <c r="H10" i="17"/>
  <c r="H57" i="3"/>
  <c r="H20" i="16"/>
  <c r="H28" i="16"/>
  <c r="H24" i="16"/>
  <c r="H238" i="3"/>
  <c r="C24" i="16"/>
  <c r="C20" i="16"/>
  <c r="C28" i="16"/>
  <c r="C57" i="3"/>
  <c r="S208" i="3"/>
  <c r="U10" i="17"/>
  <c r="U20" i="16"/>
  <c r="U24" i="16"/>
  <c r="U57" i="3"/>
  <c r="U28" i="16"/>
  <c r="J28" i="16"/>
  <c r="J27" i="16"/>
  <c r="J23" i="16"/>
  <c r="J19" i="16"/>
  <c r="J29" i="16"/>
  <c r="J9" i="17"/>
  <c r="T238" i="3"/>
  <c r="D210" i="3"/>
  <c r="M208" i="3"/>
  <c r="R238" i="3"/>
  <c r="D86" i="3"/>
  <c r="D239" i="3"/>
  <c r="N27" i="16"/>
  <c r="N23" i="16"/>
  <c r="N19" i="16"/>
  <c r="N29" i="16"/>
  <c r="T24" i="16"/>
  <c r="T20" i="16"/>
  <c r="T57" i="3"/>
  <c r="T10" i="17"/>
  <c r="I209" i="3"/>
  <c r="I56" i="3"/>
  <c r="Q208" i="3"/>
  <c r="U210" i="3"/>
  <c r="V3" i="17"/>
  <c r="V18" i="17"/>
  <c r="V87" i="3"/>
  <c r="J209" i="3"/>
  <c r="J56" i="3"/>
  <c r="U240" i="3"/>
  <c r="N9" i="17"/>
  <c r="S238" i="3"/>
  <c r="C210" i="3"/>
  <c r="B28" i="16"/>
  <c r="B19" i="16"/>
  <c r="B23" i="16"/>
  <c r="B27" i="16"/>
  <c r="I28" i="16"/>
  <c r="I23" i="16"/>
  <c r="I19" i="16"/>
  <c r="I27" i="16"/>
  <c r="I29" i="16"/>
  <c r="I9" i="17"/>
  <c r="F208" i="3"/>
  <c r="U86" i="3"/>
  <c r="U239" i="3"/>
  <c r="D21" i="17"/>
  <c r="D17" i="17"/>
  <c r="D240" i="3"/>
  <c r="V19" i="17"/>
  <c r="V88" i="3"/>
  <c r="V11" i="17"/>
  <c r="B209" i="3"/>
  <c r="B56" i="3"/>
  <c r="B210" i="3"/>
  <c r="C17" i="17"/>
  <c r="C21" i="17"/>
  <c r="V25" i="16"/>
  <c r="V21" i="16"/>
  <c r="V58" i="3"/>
  <c r="N28" i="16"/>
  <c r="C86" i="3"/>
  <c r="C239" i="3"/>
  <c r="C240" i="3"/>
  <c r="P208" i="3"/>
  <c r="D10" i="17"/>
  <c r="D20" i="16"/>
  <c r="D57" i="3"/>
  <c r="D9" i="17"/>
  <c r="D24" i="16"/>
  <c r="B238" i="3"/>
  <c r="R27" i="16"/>
  <c r="R19" i="16"/>
  <c r="R23" i="16"/>
  <c r="R29" i="16"/>
  <c r="E208" i="3"/>
  <c r="O208" i="3"/>
  <c r="K208" i="3"/>
  <c r="N238" i="3"/>
  <c r="U22" i="17"/>
  <c r="U21" i="17"/>
  <c r="U17" i="17"/>
  <c r="U9" i="17"/>
  <c r="V23" i="17" l="1"/>
  <c r="V13" i="17"/>
  <c r="C9" i="17"/>
  <c r="D28" i="16"/>
  <c r="T27" i="16"/>
  <c r="T23" i="16"/>
  <c r="T19" i="16"/>
  <c r="T29" i="16"/>
  <c r="T9" i="17"/>
  <c r="V17" i="17"/>
  <c r="V21" i="17"/>
  <c r="T209" i="3"/>
  <c r="T56" i="3"/>
  <c r="D238" i="3"/>
  <c r="C19" i="16"/>
  <c r="C27" i="16"/>
  <c r="C23" i="16"/>
  <c r="C29" i="16"/>
  <c r="H27" i="16"/>
  <c r="H23" i="16"/>
  <c r="H19" i="16"/>
  <c r="H29" i="16"/>
  <c r="H9" i="17"/>
  <c r="R208" i="3"/>
  <c r="J208" i="3"/>
  <c r="V20" i="16"/>
  <c r="V24" i="16"/>
  <c r="V9" i="17"/>
  <c r="V57" i="3"/>
  <c r="C238" i="3"/>
  <c r="V210" i="3"/>
  <c r="H56" i="3"/>
  <c r="H209" i="3"/>
  <c r="I208" i="3"/>
  <c r="D27" i="16"/>
  <c r="D23" i="16"/>
  <c r="D19" i="16"/>
  <c r="D29" i="16"/>
  <c r="V22" i="17"/>
  <c r="U29" i="16"/>
  <c r="U23" i="16"/>
  <c r="U27" i="16"/>
  <c r="U19" i="16"/>
  <c r="D209" i="3"/>
  <c r="V240" i="3"/>
  <c r="U238" i="3"/>
  <c r="V10" i="17"/>
  <c r="D56" i="3"/>
  <c r="U209" i="3"/>
  <c r="U56" i="3"/>
  <c r="N208" i="3"/>
  <c r="B208" i="3"/>
  <c r="V86" i="3"/>
  <c r="V239" i="3"/>
  <c r="T28" i="16"/>
  <c r="C209" i="3"/>
  <c r="C56" i="3"/>
  <c r="V28" i="16" l="1"/>
  <c r="H208" i="3"/>
  <c r="V238" i="3"/>
  <c r="C208" i="3"/>
  <c r="U208" i="3"/>
  <c r="V209" i="3"/>
  <c r="V56" i="3"/>
  <c r="T208" i="3"/>
  <c r="V27" i="16"/>
  <c r="V23" i="16"/>
  <c r="V19" i="16"/>
  <c r="V29" i="16"/>
  <c r="D208" i="3"/>
  <c r="V208" i="3" l="1"/>
  <c r="S68" i="11" l="1"/>
  <c r="L68" i="11"/>
  <c r="M68" i="11"/>
  <c r="U68" i="11" l="1"/>
  <c r="R68" i="11"/>
  <c r="N68" i="11"/>
  <c r="Q68" i="11"/>
  <c r="V68" i="11"/>
  <c r="J68" i="11"/>
  <c r="O67" i="11"/>
  <c r="K67" i="11"/>
  <c r="O13" i="14" l="1"/>
  <c r="O19" i="14" s="1"/>
  <c r="N13" i="14"/>
  <c r="N19" i="14" s="1"/>
  <c r="T13" i="14"/>
  <c r="T19" i="14" s="1"/>
  <c r="M13" i="14"/>
  <c r="M19" i="14" s="1"/>
  <c r="Q14" i="14"/>
  <c r="T67" i="11"/>
  <c r="L14" i="14"/>
  <c r="L20" i="14" s="1"/>
  <c r="U14" i="14"/>
  <c r="U20" i="14" s="1"/>
  <c r="T14" i="14"/>
  <c r="R14" i="14"/>
  <c r="R20" i="14" s="1"/>
  <c r="N14" i="14"/>
  <c r="N20" i="14" s="1"/>
  <c r="U67" i="11"/>
  <c r="M67" i="11"/>
  <c r="S14" i="14"/>
  <c r="S20" i="14" s="1"/>
  <c r="S13" i="14"/>
  <c r="S19" i="14" s="1"/>
  <c r="R13" i="14"/>
  <c r="R19" i="14" s="1"/>
  <c r="P14" i="14"/>
  <c r="P20" i="14" s="1"/>
  <c r="P13" i="14"/>
  <c r="P19" i="14" s="1"/>
  <c r="Q67" i="11"/>
  <c r="P67" i="11"/>
  <c r="R67" i="11"/>
  <c r="L13" i="14"/>
  <c r="L19" i="14" s="1"/>
  <c r="U13" i="14"/>
  <c r="U19" i="14" s="1"/>
  <c r="N67" i="11"/>
  <c r="I68" i="11"/>
  <c r="S67" i="11"/>
  <c r="L67" i="11"/>
  <c r="V67" i="11"/>
  <c r="M14" i="14"/>
  <c r="M20" i="14" s="1"/>
  <c r="Q13" i="14"/>
  <c r="Q19" i="14" s="1"/>
  <c r="O14" i="14"/>
  <c r="P68" i="11"/>
  <c r="J67" i="11"/>
  <c r="T24" i="11"/>
  <c r="U34" i="11"/>
  <c r="R24" i="11"/>
  <c r="M24" i="11"/>
  <c r="J24" i="11"/>
  <c r="N24" i="11"/>
  <c r="R69" i="11" l="1"/>
  <c r="V14" i="14"/>
  <c r="T69" i="11"/>
  <c r="T20" i="14"/>
  <c r="T68" i="11"/>
  <c r="Q20" i="14"/>
  <c r="Q24" i="11"/>
  <c r="R34" i="11"/>
  <c r="K14" i="14"/>
  <c r="K20" i="14" s="1"/>
  <c r="I67" i="11"/>
  <c r="U24" i="11"/>
  <c r="O24" i="11"/>
  <c r="T34" i="11"/>
  <c r="S24" i="11"/>
  <c r="K68" i="11"/>
  <c r="P24" i="11"/>
  <c r="U69" i="11"/>
  <c r="O68" i="11"/>
  <c r="O20" i="14"/>
  <c r="U15" i="14"/>
  <c r="U21" i="14" s="1"/>
  <c r="R66" i="11" l="1"/>
  <c r="V20" i="14"/>
  <c r="K13" i="14"/>
  <c r="K19" i="14" s="1"/>
  <c r="N69" i="11"/>
  <c r="N34" i="11"/>
  <c r="I24" i="11"/>
  <c r="L24" i="11"/>
  <c r="S69" i="11"/>
  <c r="S34" i="11"/>
  <c r="V13" i="14"/>
  <c r="K24" i="11"/>
  <c r="H68" i="11"/>
  <c r="H24" i="11"/>
  <c r="U4" i="14"/>
  <c r="U12" i="14" s="1"/>
  <c r="U18" i="14" s="1"/>
  <c r="T66" i="11"/>
  <c r="U66" i="11"/>
  <c r="S15" i="14" l="1"/>
  <c r="S4" i="14"/>
  <c r="S12" i="14" s="1"/>
  <c r="S18" i="14" s="1"/>
  <c r="Q15" i="14"/>
  <c r="Q4" i="14"/>
  <c r="Q12" i="14" s="1"/>
  <c r="N15" i="14"/>
  <c r="N4" i="14"/>
  <c r="N12" i="14" s="1"/>
  <c r="N18" i="14" s="1"/>
  <c r="V24" i="11"/>
  <c r="L14" i="3"/>
  <c r="L87" i="11"/>
  <c r="I14" i="3"/>
  <c r="I87" i="11"/>
  <c r="S16" i="3"/>
  <c r="S89" i="11"/>
  <c r="U14" i="3"/>
  <c r="U87" i="11"/>
  <c r="S66" i="11"/>
  <c r="M15" i="14"/>
  <c r="M4" i="14"/>
  <c r="M12" i="14" s="1"/>
  <c r="O14" i="3"/>
  <c r="O87" i="11"/>
  <c r="H67" i="11"/>
  <c r="V69" i="11"/>
  <c r="V34" i="11"/>
  <c r="O15" i="14"/>
  <c r="O21" i="14" s="1"/>
  <c r="O4" i="14"/>
  <c r="O12" i="14" s="1"/>
  <c r="P15" i="14"/>
  <c r="P4" i="14"/>
  <c r="P12" i="14" s="1"/>
  <c r="R15" i="14"/>
  <c r="R21" i="14" s="1"/>
  <c r="R4" i="14"/>
  <c r="R12" i="14" s="1"/>
  <c r="M69" i="11"/>
  <c r="M34" i="11"/>
  <c r="K14" i="3"/>
  <c r="K87" i="11"/>
  <c r="M14" i="3"/>
  <c r="M87" i="11"/>
  <c r="J13" i="14"/>
  <c r="J19" i="14" s="1"/>
  <c r="J14" i="14"/>
  <c r="J20" i="14" s="1"/>
  <c r="R14" i="3"/>
  <c r="R87" i="11"/>
  <c r="T15" i="14"/>
  <c r="T21" i="14" s="1"/>
  <c r="T4" i="14"/>
  <c r="T12" i="14" s="1"/>
  <c r="T18" i="14" s="1"/>
  <c r="T14" i="3"/>
  <c r="T87" i="11"/>
  <c r="V14" i="3"/>
  <c r="V87" i="11"/>
  <c r="N66" i="11"/>
  <c r="S14" i="3"/>
  <c r="S87" i="11"/>
  <c r="N14" i="3"/>
  <c r="N87" i="11"/>
  <c r="P14" i="3"/>
  <c r="P87" i="11"/>
  <c r="O69" i="11"/>
  <c r="O34" i="11"/>
  <c r="G24" i="11"/>
  <c r="J14" i="3"/>
  <c r="J87" i="11"/>
  <c r="Q14" i="3"/>
  <c r="Q87" i="11"/>
  <c r="L69" i="11"/>
  <c r="L34" i="11"/>
  <c r="V19" i="14"/>
  <c r="U16" i="3" l="1"/>
  <c r="U89" i="11"/>
  <c r="L66" i="11"/>
  <c r="R18" i="14"/>
  <c r="I14" i="14"/>
  <c r="V15" i="14"/>
  <c r="V4" i="14"/>
  <c r="V12" i="14" s="1"/>
  <c r="V18" i="14" s="1"/>
  <c r="T16" i="3"/>
  <c r="T89" i="11"/>
  <c r="N21" i="14"/>
  <c r="E24" i="11"/>
  <c r="R16" i="3"/>
  <c r="R89" i="11"/>
  <c r="O18" i="14"/>
  <c r="O66" i="11"/>
  <c r="F24" i="11"/>
  <c r="G68" i="11"/>
  <c r="M16" i="3"/>
  <c r="M89" i="11"/>
  <c r="K69" i="11"/>
  <c r="K34" i="11"/>
  <c r="P69" i="11"/>
  <c r="P21" i="14"/>
  <c r="P34" i="11"/>
  <c r="V16" i="3"/>
  <c r="V89" i="11"/>
  <c r="M18" i="14"/>
  <c r="M66" i="11"/>
  <c r="L15" i="14"/>
  <c r="L21" i="14" s="1"/>
  <c r="L4" i="14"/>
  <c r="L12" i="14" s="1"/>
  <c r="L18" i="14" s="1"/>
  <c r="M21" i="14"/>
  <c r="V66" i="11"/>
  <c r="S21" i="14"/>
  <c r="L16" i="3" l="1"/>
  <c r="L89" i="11"/>
  <c r="U15" i="3"/>
  <c r="U88" i="11"/>
  <c r="U4" i="11"/>
  <c r="Q77" i="11"/>
  <c r="I13" i="14"/>
  <c r="I19" i="14" s="1"/>
  <c r="N77" i="11"/>
  <c r="P15" i="3"/>
  <c r="P88" i="11"/>
  <c r="M77" i="11"/>
  <c r="R15" i="3"/>
  <c r="R88" i="11"/>
  <c r="R4" i="11"/>
  <c r="K15" i="3"/>
  <c r="K88" i="11"/>
  <c r="O15" i="3"/>
  <c r="O88" i="11"/>
  <c r="J15" i="3"/>
  <c r="J88" i="11"/>
  <c r="P18" i="14"/>
  <c r="P66" i="11"/>
  <c r="L77" i="11"/>
  <c r="I77" i="11"/>
  <c r="T77" i="11"/>
  <c r="J77" i="11"/>
  <c r="Q15" i="3"/>
  <c r="Q88" i="11"/>
  <c r="Q69" i="11"/>
  <c r="Q34" i="11"/>
  <c r="I20" i="14"/>
  <c r="S15" i="3"/>
  <c r="S88" i="11"/>
  <c r="S4" i="11"/>
  <c r="O77" i="11"/>
  <c r="U72" i="11"/>
  <c r="K77" i="11"/>
  <c r="M15" i="3"/>
  <c r="M88" i="11"/>
  <c r="M4" i="11"/>
  <c r="N15" i="3"/>
  <c r="N88" i="11"/>
  <c r="N4" i="11"/>
  <c r="J69" i="11"/>
  <c r="J34" i="11"/>
  <c r="L15" i="3"/>
  <c r="L88" i="11"/>
  <c r="L4" i="11"/>
  <c r="S77" i="11"/>
  <c r="S79" i="11"/>
  <c r="R77" i="11"/>
  <c r="U77" i="11"/>
  <c r="Q21" i="14"/>
  <c r="N16" i="3"/>
  <c r="N109" i="11"/>
  <c r="N89" i="11"/>
  <c r="T15" i="3"/>
  <c r="T88" i="11"/>
  <c r="T4" i="11"/>
  <c r="T72" i="11"/>
  <c r="I15" i="3"/>
  <c r="I88" i="11"/>
  <c r="K66" i="11"/>
  <c r="V77" i="11"/>
  <c r="G67" i="11"/>
  <c r="P77" i="11"/>
  <c r="V21" i="14"/>
  <c r="U79" i="11"/>
  <c r="H14" i="3" l="1"/>
  <c r="H87" i="11"/>
  <c r="D24" i="11"/>
  <c r="V15" i="3"/>
  <c r="V88" i="11"/>
  <c r="V4" i="11"/>
  <c r="V108" i="11" s="1"/>
  <c r="R79" i="11"/>
  <c r="J66" i="11"/>
  <c r="M13" i="3"/>
  <c r="U106" i="11"/>
  <c r="U86" i="11"/>
  <c r="U107" i="11"/>
  <c r="U109" i="11"/>
  <c r="S72" i="11"/>
  <c r="L106" i="11"/>
  <c r="L86" i="11"/>
  <c r="L107" i="11"/>
  <c r="S107" i="11"/>
  <c r="S106" i="11"/>
  <c r="S86" i="11"/>
  <c r="S109" i="11"/>
  <c r="R13" i="3"/>
  <c r="U108" i="11"/>
  <c r="M79" i="11"/>
  <c r="O89" i="11"/>
  <c r="O16" i="3"/>
  <c r="V79" i="11"/>
  <c r="F68" i="11"/>
  <c r="T106" i="11"/>
  <c r="T86" i="11"/>
  <c r="T107" i="11"/>
  <c r="T109" i="11"/>
  <c r="L108" i="11"/>
  <c r="N106" i="11"/>
  <c r="N86" i="11"/>
  <c r="N107" i="11"/>
  <c r="S108" i="11"/>
  <c r="T108" i="11"/>
  <c r="U13" i="3"/>
  <c r="I69" i="11"/>
  <c r="I34" i="11"/>
  <c r="L13" i="3"/>
  <c r="N108" i="11"/>
  <c r="S13" i="3"/>
  <c r="L109" i="11"/>
  <c r="T13" i="3"/>
  <c r="N13" i="3"/>
  <c r="T79" i="11"/>
  <c r="M108" i="11"/>
  <c r="M106" i="11"/>
  <c r="M86" i="11"/>
  <c r="M107" i="11"/>
  <c r="M109" i="11"/>
  <c r="Q66" i="11"/>
  <c r="Q18" i="14"/>
  <c r="O4" i="11"/>
  <c r="O109" i="11" s="1"/>
  <c r="R109" i="11"/>
  <c r="R86" i="11"/>
  <c r="R106" i="11"/>
  <c r="R107" i="11"/>
  <c r="R108" i="11"/>
  <c r="T73" i="11"/>
  <c r="L78" i="11" l="1"/>
  <c r="O78" i="11"/>
  <c r="H13" i="14"/>
  <c r="H19" i="14" s="1"/>
  <c r="U73" i="11"/>
  <c r="N78" i="11"/>
  <c r="N14" i="11"/>
  <c r="T4" i="3"/>
  <c r="T105" i="3" s="1"/>
  <c r="L4" i="3"/>
  <c r="M4" i="3"/>
  <c r="M105" i="3"/>
  <c r="H14" i="14"/>
  <c r="H20" i="14" s="1"/>
  <c r="C24" i="11"/>
  <c r="F67" i="11"/>
  <c r="V13" i="3"/>
  <c r="S78" i="11"/>
  <c r="S14" i="11"/>
  <c r="S118" i="11" s="1"/>
  <c r="O108" i="11"/>
  <c r="O106" i="11"/>
  <c r="O86" i="11"/>
  <c r="O107" i="11"/>
  <c r="I66" i="11"/>
  <c r="N79" i="11"/>
  <c r="Q78" i="11"/>
  <c r="M78" i="11"/>
  <c r="M14" i="11"/>
  <c r="M118" i="11" s="1"/>
  <c r="V78" i="11"/>
  <c r="V14" i="11"/>
  <c r="K16" i="3"/>
  <c r="K89" i="11"/>
  <c r="K4" i="11"/>
  <c r="K109" i="11" s="1"/>
  <c r="B24" i="11"/>
  <c r="J78" i="11"/>
  <c r="P78" i="11"/>
  <c r="E68" i="11"/>
  <c r="R72" i="11"/>
  <c r="R78" i="11"/>
  <c r="R14" i="11"/>
  <c r="R118" i="11" s="1"/>
  <c r="P16" i="3"/>
  <c r="P89" i="11"/>
  <c r="P4" i="11"/>
  <c r="U4" i="3"/>
  <c r="U78" i="11"/>
  <c r="U14" i="11"/>
  <c r="U118" i="11" s="1"/>
  <c r="K78" i="11"/>
  <c r="S4" i="3"/>
  <c r="R4" i="3"/>
  <c r="T78" i="11"/>
  <c r="T14" i="11"/>
  <c r="I78" i="11"/>
  <c r="N4" i="3"/>
  <c r="N105" i="3" s="1"/>
  <c r="O13" i="3"/>
  <c r="V106" i="11"/>
  <c r="V86" i="11"/>
  <c r="V107" i="11"/>
  <c r="V109" i="11"/>
  <c r="O14" i="11"/>
  <c r="V72" i="11"/>
  <c r="Q72" i="11"/>
  <c r="S97" i="3" l="1"/>
  <c r="S98" i="3"/>
  <c r="S100" i="3"/>
  <c r="S99" i="3"/>
  <c r="T100" i="3"/>
  <c r="T99" i="3"/>
  <c r="T98" i="3"/>
  <c r="U98" i="3"/>
  <c r="U97" i="3"/>
  <c r="U99" i="3"/>
  <c r="U100" i="3"/>
  <c r="R98" i="3"/>
  <c r="R99" i="3"/>
  <c r="R97" i="3"/>
  <c r="R100" i="3"/>
  <c r="T103" i="3"/>
  <c r="T104" i="3"/>
  <c r="T102" i="3"/>
  <c r="T101" i="3"/>
  <c r="U105" i="3"/>
  <c r="U102" i="3"/>
  <c r="U104" i="3"/>
  <c r="U103" i="3"/>
  <c r="U101" i="3"/>
  <c r="R105" i="3"/>
  <c r="R103" i="3"/>
  <c r="R101" i="3"/>
  <c r="R104" i="3"/>
  <c r="R102" i="3"/>
  <c r="S105" i="3"/>
  <c r="S101" i="3"/>
  <c r="S102" i="3"/>
  <c r="S104" i="3"/>
  <c r="S103" i="3"/>
  <c r="O116" i="11"/>
  <c r="O76" i="11"/>
  <c r="O117" i="11"/>
  <c r="O118" i="11"/>
  <c r="L100" i="3"/>
  <c r="L103" i="3"/>
  <c r="L99" i="3"/>
  <c r="L101" i="3"/>
  <c r="L102" i="3"/>
  <c r="L98" i="3"/>
  <c r="L96" i="3"/>
  <c r="L97" i="3"/>
  <c r="L104" i="3"/>
  <c r="L106" i="3"/>
  <c r="L108" i="3"/>
  <c r="L107" i="3"/>
  <c r="R96" i="3"/>
  <c r="R106" i="3"/>
  <c r="R108" i="3"/>
  <c r="R107" i="3"/>
  <c r="S73" i="11"/>
  <c r="K13" i="3"/>
  <c r="V4" i="3"/>
  <c r="T97" i="3"/>
  <c r="T96" i="3"/>
  <c r="T106" i="3"/>
  <c r="T108" i="3"/>
  <c r="T107" i="3"/>
  <c r="H77" i="11"/>
  <c r="H15" i="3"/>
  <c r="H88" i="11"/>
  <c r="O79" i="11"/>
  <c r="O119" i="11"/>
  <c r="S96" i="3"/>
  <c r="S106" i="3"/>
  <c r="S108" i="3"/>
  <c r="S107" i="3"/>
  <c r="U96" i="3"/>
  <c r="U106" i="3"/>
  <c r="U108" i="3"/>
  <c r="U107" i="3"/>
  <c r="V118" i="11"/>
  <c r="V116" i="11"/>
  <c r="V76" i="11"/>
  <c r="V117" i="11"/>
  <c r="V119" i="11"/>
  <c r="N116" i="11"/>
  <c r="N76" i="11"/>
  <c r="N117" i="11"/>
  <c r="T116" i="11"/>
  <c r="T76" i="11"/>
  <c r="T117" i="11"/>
  <c r="T119" i="11"/>
  <c r="P109" i="11"/>
  <c r="P106" i="11"/>
  <c r="P86" i="11"/>
  <c r="P107" i="11"/>
  <c r="P108" i="11"/>
  <c r="J16" i="3"/>
  <c r="J89" i="11"/>
  <c r="J4" i="11"/>
  <c r="O4" i="3"/>
  <c r="O105" i="3" s="1"/>
  <c r="T118" i="11"/>
  <c r="M116" i="11"/>
  <c r="M76" i="11"/>
  <c r="M117" i="11"/>
  <c r="M119" i="11"/>
  <c r="N119" i="11"/>
  <c r="M104" i="3"/>
  <c r="M97" i="3"/>
  <c r="M96" i="3"/>
  <c r="M102" i="3"/>
  <c r="M100" i="3"/>
  <c r="M98" i="3"/>
  <c r="M103" i="3"/>
  <c r="M101" i="3"/>
  <c r="M99" i="3"/>
  <c r="M106" i="3"/>
  <c r="M108" i="3"/>
  <c r="M107" i="3"/>
  <c r="N118" i="11"/>
  <c r="K15" i="14"/>
  <c r="K21" i="14" s="1"/>
  <c r="K4" i="14"/>
  <c r="K12" i="14" s="1"/>
  <c r="G87" i="11"/>
  <c r="G14" i="3"/>
  <c r="P13" i="3"/>
  <c r="Q89" i="11"/>
  <c r="Q16" i="3"/>
  <c r="Q4" i="11"/>
  <c r="Q109" i="11" s="1"/>
  <c r="H69" i="11"/>
  <c r="H34" i="11"/>
  <c r="N96" i="3"/>
  <c r="N98" i="3"/>
  <c r="N102" i="3"/>
  <c r="N101" i="3"/>
  <c r="N103" i="3"/>
  <c r="N104" i="3"/>
  <c r="N100" i="3"/>
  <c r="N99" i="3"/>
  <c r="N97" i="3"/>
  <c r="N106" i="3"/>
  <c r="N108" i="3"/>
  <c r="N107" i="3"/>
  <c r="U119" i="11"/>
  <c r="U76" i="11"/>
  <c r="U116" i="11"/>
  <c r="U117" i="11"/>
  <c r="R116" i="11"/>
  <c r="R76" i="11"/>
  <c r="R117" i="11"/>
  <c r="R119" i="11"/>
  <c r="K106" i="11"/>
  <c r="K86" i="11"/>
  <c r="K107" i="11"/>
  <c r="K108" i="11"/>
  <c r="S116" i="11"/>
  <c r="S76" i="11"/>
  <c r="S117" i="11"/>
  <c r="S119" i="11"/>
  <c r="L105" i="3"/>
  <c r="P72" i="11"/>
  <c r="V99" i="3" l="1"/>
  <c r="V98" i="3"/>
  <c r="V100" i="3"/>
  <c r="V97" i="3"/>
  <c r="V105" i="3"/>
  <c r="V103" i="3"/>
  <c r="V101" i="3"/>
  <c r="V104" i="3"/>
  <c r="V102" i="3"/>
  <c r="I16" i="3"/>
  <c r="I89" i="11"/>
  <c r="I4" i="11"/>
  <c r="K18" i="14"/>
  <c r="L79" i="11"/>
  <c r="L14" i="11"/>
  <c r="K4" i="3"/>
  <c r="K105" i="3" s="1"/>
  <c r="H66" i="11"/>
  <c r="E67" i="11"/>
  <c r="K79" i="11"/>
  <c r="K14" i="11"/>
  <c r="P4" i="3"/>
  <c r="P105" i="3" s="1"/>
  <c r="O100" i="3"/>
  <c r="O102" i="3"/>
  <c r="O98" i="3"/>
  <c r="O99" i="3"/>
  <c r="O104" i="3"/>
  <c r="O96" i="3"/>
  <c r="O101" i="3"/>
  <c r="O97" i="3"/>
  <c r="O103" i="3"/>
  <c r="O106" i="3"/>
  <c r="O107" i="3"/>
  <c r="O108" i="3"/>
  <c r="D68" i="11"/>
  <c r="R73" i="11"/>
  <c r="Q108" i="11"/>
  <c r="Q86" i="11"/>
  <c r="Q106" i="11"/>
  <c r="Q107" i="11"/>
  <c r="J15" i="14"/>
  <c r="J21" i="14" s="1"/>
  <c r="J4" i="14"/>
  <c r="J12" i="14" s="1"/>
  <c r="P79" i="11"/>
  <c r="P14" i="11"/>
  <c r="Q13" i="3"/>
  <c r="J109" i="11"/>
  <c r="J86" i="11"/>
  <c r="J106" i="11"/>
  <c r="J107" i="11"/>
  <c r="J108" i="11"/>
  <c r="G13" i="14"/>
  <c r="G19" i="14" s="1"/>
  <c r="G14" i="14"/>
  <c r="G20" i="14" s="1"/>
  <c r="J13" i="3"/>
  <c r="V96" i="3"/>
  <c r="V106" i="3"/>
  <c r="V108" i="3"/>
  <c r="V107" i="3"/>
  <c r="O72" i="11"/>
  <c r="I15" i="14" l="1"/>
  <c r="I21" i="14" s="1"/>
  <c r="I4" i="14"/>
  <c r="I12" i="14" s="1"/>
  <c r="Q73" i="11"/>
  <c r="J18" i="14"/>
  <c r="F14" i="14"/>
  <c r="F14" i="3"/>
  <c r="F87" i="11"/>
  <c r="Q79" i="11"/>
  <c r="Q14" i="11"/>
  <c r="P104" i="3"/>
  <c r="P101" i="3"/>
  <c r="P96" i="3"/>
  <c r="P102" i="3"/>
  <c r="P99" i="3"/>
  <c r="P98" i="3"/>
  <c r="P103" i="3"/>
  <c r="P100" i="3"/>
  <c r="P97" i="3"/>
  <c r="P106" i="3"/>
  <c r="P107" i="3"/>
  <c r="P108" i="3"/>
  <c r="G77" i="11"/>
  <c r="G69" i="11"/>
  <c r="G34" i="11"/>
  <c r="K116" i="11"/>
  <c r="K76" i="11"/>
  <c r="K117" i="11"/>
  <c r="K118" i="11"/>
  <c r="K98" i="3"/>
  <c r="K101" i="3"/>
  <c r="K102" i="3"/>
  <c r="K104" i="3"/>
  <c r="K100" i="3"/>
  <c r="K103" i="3"/>
  <c r="K96" i="3"/>
  <c r="K99" i="3"/>
  <c r="K97" i="3"/>
  <c r="K106" i="3"/>
  <c r="K107" i="3"/>
  <c r="K108" i="3"/>
  <c r="I109" i="11"/>
  <c r="I86" i="11"/>
  <c r="I106" i="11"/>
  <c r="I107" i="11"/>
  <c r="I108" i="11"/>
  <c r="J79" i="11"/>
  <c r="J14" i="11"/>
  <c r="J4" i="3"/>
  <c r="J105" i="3" s="1"/>
  <c r="Q4" i="3"/>
  <c r="Q105" i="3" s="1"/>
  <c r="K119" i="11"/>
  <c r="P116" i="11"/>
  <c r="P76" i="11"/>
  <c r="P117" i="11"/>
  <c r="P118" i="11"/>
  <c r="L116" i="11"/>
  <c r="L76" i="11"/>
  <c r="L117" i="11"/>
  <c r="L118" i="11"/>
  <c r="I13" i="3"/>
  <c r="V73" i="11"/>
  <c r="L119" i="11"/>
  <c r="G15" i="3"/>
  <c r="G88" i="11"/>
  <c r="H78" i="11"/>
  <c r="P119" i="11"/>
  <c r="P73" i="11"/>
  <c r="H16" i="3" l="1"/>
  <c r="H89" i="11"/>
  <c r="H4" i="11"/>
  <c r="I4" i="3"/>
  <c r="I105" i="3" s="1"/>
  <c r="F20" i="14"/>
  <c r="D67" i="11"/>
  <c r="J76" i="11"/>
  <c r="J116" i="11"/>
  <c r="J117" i="11"/>
  <c r="J118" i="11"/>
  <c r="Q117" i="11"/>
  <c r="Q116" i="11"/>
  <c r="Q76" i="11"/>
  <c r="Q118" i="11"/>
  <c r="J119" i="11"/>
  <c r="F13" i="14"/>
  <c r="F19" i="14" s="1"/>
  <c r="Q119" i="11"/>
  <c r="N72" i="11"/>
  <c r="I79" i="11"/>
  <c r="I14" i="11"/>
  <c r="Q101" i="3"/>
  <c r="Q104" i="3"/>
  <c r="Q96" i="3"/>
  <c r="Q98" i="3"/>
  <c r="Q100" i="3"/>
  <c r="Q99" i="3"/>
  <c r="Q97" i="3"/>
  <c r="Q102" i="3"/>
  <c r="Q103" i="3"/>
  <c r="Q106" i="3"/>
  <c r="Q107" i="3"/>
  <c r="Q108" i="3"/>
  <c r="I18" i="14"/>
  <c r="J100" i="3"/>
  <c r="J103" i="3"/>
  <c r="J99" i="3"/>
  <c r="J98" i="3"/>
  <c r="J96" i="3"/>
  <c r="J102" i="3"/>
  <c r="J97" i="3"/>
  <c r="J101" i="3"/>
  <c r="J104" i="3"/>
  <c r="J106" i="3"/>
  <c r="J107" i="3"/>
  <c r="J108" i="3"/>
  <c r="G66" i="11"/>
  <c r="O73" i="11"/>
  <c r="F69" i="11" l="1"/>
  <c r="F34" i="11"/>
  <c r="F66" i="11" s="1"/>
  <c r="F77" i="11"/>
  <c r="I96" i="3"/>
  <c r="I102" i="3"/>
  <c r="I98" i="3"/>
  <c r="I104" i="3"/>
  <c r="I101" i="3"/>
  <c r="I103" i="3"/>
  <c r="I97" i="3"/>
  <c r="I100" i="3"/>
  <c r="I99" i="3"/>
  <c r="I106" i="3"/>
  <c r="I107" i="3"/>
  <c r="I108" i="3"/>
  <c r="I116" i="11"/>
  <c r="I76" i="11"/>
  <c r="I117" i="11"/>
  <c r="I118" i="11"/>
  <c r="G78" i="11"/>
  <c r="I119" i="11"/>
  <c r="H107" i="11"/>
  <c r="H86" i="11"/>
  <c r="H106" i="11"/>
  <c r="H108" i="11"/>
  <c r="H15" i="14"/>
  <c r="H21" i="14" s="1"/>
  <c r="H4" i="14"/>
  <c r="H12" i="14" s="1"/>
  <c r="H18" i="14" s="1"/>
  <c r="H109" i="11"/>
  <c r="C68" i="11"/>
  <c r="E14" i="3"/>
  <c r="E87" i="11"/>
  <c r="F15" i="3"/>
  <c r="F88" i="11"/>
  <c r="H13" i="3"/>
  <c r="L72" i="11"/>
  <c r="N73" i="11" l="1"/>
  <c r="M72" i="11"/>
  <c r="E14" i="14"/>
  <c r="E20" i="14" s="1"/>
  <c r="E15" i="3"/>
  <c r="E88" i="11"/>
  <c r="C67" i="11"/>
  <c r="G89" i="11"/>
  <c r="G16" i="3"/>
  <c r="G4" i="11"/>
  <c r="E13" i="14"/>
  <c r="E19" i="14" s="1"/>
  <c r="H79" i="11"/>
  <c r="H14" i="11"/>
  <c r="H4" i="3"/>
  <c r="H105" i="3"/>
  <c r="D14" i="3" l="1"/>
  <c r="D87" i="11"/>
  <c r="E69" i="11"/>
  <c r="E34" i="11"/>
  <c r="G15" i="14"/>
  <c r="G21" i="14" s="1"/>
  <c r="G4" i="14"/>
  <c r="G12" i="14" s="1"/>
  <c r="K72" i="11"/>
  <c r="H101" i="3"/>
  <c r="H104" i="3"/>
  <c r="H96" i="3"/>
  <c r="H97" i="3"/>
  <c r="H99" i="3"/>
  <c r="H103" i="3"/>
  <c r="H98" i="3"/>
  <c r="H102" i="3"/>
  <c r="H100" i="3"/>
  <c r="H106" i="3"/>
  <c r="H107" i="3"/>
  <c r="H108" i="3"/>
  <c r="H117" i="11"/>
  <c r="H116" i="11"/>
  <c r="H76" i="11"/>
  <c r="H118" i="11"/>
  <c r="G106" i="11"/>
  <c r="G86" i="11"/>
  <c r="G107" i="11"/>
  <c r="G108" i="11"/>
  <c r="H119" i="11"/>
  <c r="G109" i="11"/>
  <c r="G13" i="3"/>
  <c r="B68" i="11"/>
  <c r="F78" i="11"/>
  <c r="E77" i="11"/>
  <c r="E78" i="11"/>
  <c r="J72" i="11" l="1"/>
  <c r="D15" i="3"/>
  <c r="D88" i="11"/>
  <c r="B67" i="11"/>
  <c r="G79" i="11"/>
  <c r="G14" i="11"/>
  <c r="G119" i="11" s="1"/>
  <c r="D13" i="14"/>
  <c r="D19" i="14" s="1"/>
  <c r="L73" i="11"/>
  <c r="M73" i="11"/>
  <c r="G18" i="14"/>
  <c r="F16" i="3"/>
  <c r="F89" i="11"/>
  <c r="F4" i="11"/>
  <c r="D14" i="14"/>
  <c r="D20" i="14" s="1"/>
  <c r="G4" i="3"/>
  <c r="G105" i="3" s="1"/>
  <c r="E66" i="11"/>
  <c r="F109" i="11" l="1"/>
  <c r="F106" i="11"/>
  <c r="F86" i="11"/>
  <c r="F107" i="11"/>
  <c r="F108" i="11"/>
  <c r="F15" i="14"/>
  <c r="F21" i="14" s="1"/>
  <c r="F4" i="14"/>
  <c r="F12" i="14" s="1"/>
  <c r="F18" i="14" s="1"/>
  <c r="D77" i="11"/>
  <c r="G100" i="3"/>
  <c r="G103" i="3"/>
  <c r="G102" i="3"/>
  <c r="G99" i="3"/>
  <c r="G104" i="3"/>
  <c r="G96" i="3"/>
  <c r="G101" i="3"/>
  <c r="G97" i="3"/>
  <c r="G98" i="3"/>
  <c r="G106" i="3"/>
  <c r="G107" i="3"/>
  <c r="G108" i="3"/>
  <c r="F13" i="3"/>
  <c r="C14" i="14"/>
  <c r="C20" i="14" s="1"/>
  <c r="C87" i="11"/>
  <c r="C14" i="3"/>
  <c r="I72" i="11"/>
  <c r="K73" i="11"/>
  <c r="D69" i="11"/>
  <c r="D34" i="11"/>
  <c r="G116" i="11"/>
  <c r="G76" i="11"/>
  <c r="G117" i="11"/>
  <c r="G118" i="11"/>
  <c r="H72" i="11"/>
  <c r="C13" i="14" l="1"/>
  <c r="C19" i="14" s="1"/>
  <c r="J73" i="11"/>
  <c r="C15" i="3"/>
  <c r="C88" i="11"/>
  <c r="F79" i="11"/>
  <c r="F14" i="11"/>
  <c r="D66" i="11"/>
  <c r="D78" i="11"/>
  <c r="E16" i="3"/>
  <c r="E89" i="11"/>
  <c r="E4" i="11"/>
  <c r="F4" i="3"/>
  <c r="F104" i="3" l="1"/>
  <c r="F102" i="3"/>
  <c r="F96" i="3"/>
  <c r="F97" i="3"/>
  <c r="F101" i="3"/>
  <c r="F98" i="3"/>
  <c r="F99" i="3"/>
  <c r="F100" i="3"/>
  <c r="F103" i="3"/>
  <c r="F106" i="3"/>
  <c r="F107" i="3"/>
  <c r="F108" i="3"/>
  <c r="B14" i="3"/>
  <c r="B87" i="11"/>
  <c r="E106" i="11"/>
  <c r="E86" i="11"/>
  <c r="E107" i="11"/>
  <c r="E108" i="11"/>
  <c r="F116" i="11"/>
  <c r="F76" i="11"/>
  <c r="F117" i="11"/>
  <c r="F118" i="11"/>
  <c r="I73" i="11"/>
  <c r="E109" i="11"/>
  <c r="E15" i="14"/>
  <c r="E21" i="14" s="1"/>
  <c r="E4" i="14"/>
  <c r="E12" i="14" s="1"/>
  <c r="E18" i="14" s="1"/>
  <c r="F119" i="11"/>
  <c r="E13" i="3"/>
  <c r="G72" i="11"/>
  <c r="C77" i="11"/>
  <c r="C69" i="11"/>
  <c r="C34" i="11"/>
  <c r="C66" i="11" s="1"/>
  <c r="F105" i="3"/>
  <c r="H73" i="11" l="1"/>
  <c r="F72" i="11"/>
  <c r="D16" i="3"/>
  <c r="D89" i="11"/>
  <c r="D4" i="11"/>
  <c r="B13" i="14"/>
  <c r="B19" i="14" s="1"/>
  <c r="E4" i="3"/>
  <c r="E105" i="3" s="1"/>
  <c r="B14" i="14"/>
  <c r="C78" i="11"/>
  <c r="B15" i="3"/>
  <c r="B88" i="11"/>
  <c r="E79" i="11"/>
  <c r="E14" i="11"/>
  <c r="D13" i="3" l="1"/>
  <c r="B69" i="11"/>
  <c r="B34" i="11"/>
  <c r="E97" i="3"/>
  <c r="E96" i="3"/>
  <c r="E100" i="3"/>
  <c r="E99" i="3"/>
  <c r="E103" i="3"/>
  <c r="E101" i="3"/>
  <c r="E98" i="3"/>
  <c r="E102" i="3"/>
  <c r="E104" i="3"/>
  <c r="E106" i="3"/>
  <c r="E107" i="3"/>
  <c r="E108" i="3"/>
  <c r="G73" i="11"/>
  <c r="D15" i="14"/>
  <c r="D4" i="14"/>
  <c r="D12" i="14" s="1"/>
  <c r="E72" i="11"/>
  <c r="B77" i="11"/>
  <c r="E118" i="11"/>
  <c r="E76" i="11"/>
  <c r="E116" i="11"/>
  <c r="E117" i="11"/>
  <c r="D108" i="11"/>
  <c r="D86" i="11"/>
  <c r="D106" i="11"/>
  <c r="D107" i="11"/>
  <c r="E119" i="11"/>
  <c r="B20" i="14"/>
  <c r="D109" i="11"/>
  <c r="B78" i="11" l="1"/>
  <c r="C89" i="11"/>
  <c r="C16" i="3"/>
  <c r="C4" i="11"/>
  <c r="D79" i="11"/>
  <c r="D14" i="11"/>
  <c r="F73" i="11"/>
  <c r="D21" i="14"/>
  <c r="B66" i="11"/>
  <c r="D18" i="14"/>
  <c r="D72" i="11"/>
  <c r="D4" i="3"/>
  <c r="D105" i="3" s="1"/>
  <c r="B97" i="11"/>
  <c r="C72" i="11" l="1"/>
  <c r="C108" i="11"/>
  <c r="C86" i="11"/>
  <c r="C106" i="11"/>
  <c r="C107" i="11"/>
  <c r="C109" i="11"/>
  <c r="E73" i="11"/>
  <c r="D116" i="11"/>
  <c r="D76" i="11"/>
  <c r="D117" i="11"/>
  <c r="D118" i="11"/>
  <c r="C13" i="3"/>
  <c r="D119" i="11"/>
  <c r="C15" i="14"/>
  <c r="C21" i="14" s="1"/>
  <c r="C4" i="14"/>
  <c r="C12" i="14" s="1"/>
  <c r="C18" i="14" s="1"/>
  <c r="C97" i="11"/>
  <c r="D99" i="3"/>
  <c r="D100" i="3"/>
  <c r="D104" i="3"/>
  <c r="D96" i="3"/>
  <c r="D97" i="3"/>
  <c r="D98" i="3"/>
  <c r="D103" i="3"/>
  <c r="D101" i="3"/>
  <c r="D102" i="3"/>
  <c r="D106" i="3"/>
  <c r="D107" i="3"/>
  <c r="D108" i="3"/>
  <c r="B72" i="11" l="1"/>
  <c r="C4" i="3"/>
  <c r="C105" i="3"/>
  <c r="C79" i="11"/>
  <c r="C14" i="11"/>
  <c r="B16" i="3"/>
  <c r="B89" i="11"/>
  <c r="B4" i="11"/>
  <c r="B98" i="11"/>
  <c r="D73" i="11"/>
  <c r="C73" i="11"/>
  <c r="B13" i="3" l="1"/>
  <c r="E97" i="11"/>
  <c r="B15" i="14"/>
  <c r="B21" i="14" s="1"/>
  <c r="B4" i="14"/>
  <c r="B12" i="14" s="1"/>
  <c r="C119" i="11"/>
  <c r="C116" i="11"/>
  <c r="C76" i="11"/>
  <c r="C117" i="11"/>
  <c r="C118" i="11"/>
  <c r="D97" i="11"/>
  <c r="D98" i="11"/>
  <c r="C98" i="11"/>
  <c r="B106" i="11"/>
  <c r="B86" i="11"/>
  <c r="B107" i="11"/>
  <c r="B108" i="11"/>
  <c r="B109" i="11"/>
  <c r="C103" i="3"/>
  <c r="C100" i="3"/>
  <c r="C99" i="3"/>
  <c r="C98" i="3"/>
  <c r="C97" i="3"/>
  <c r="C102" i="3"/>
  <c r="C101" i="3"/>
  <c r="C96" i="3"/>
  <c r="C104" i="3"/>
  <c r="C106" i="3"/>
  <c r="C107" i="3"/>
  <c r="C108" i="3"/>
  <c r="B73" i="11"/>
  <c r="F97" i="11" l="1"/>
  <c r="B18" i="14"/>
  <c r="B79" i="11"/>
  <c r="B14" i="11"/>
  <c r="B4" i="3"/>
  <c r="B105" i="3" l="1"/>
  <c r="B100" i="3"/>
  <c r="B98" i="3"/>
  <c r="B104" i="3"/>
  <c r="B96" i="3"/>
  <c r="B101" i="3"/>
  <c r="B97" i="3"/>
  <c r="B103" i="3"/>
  <c r="B99" i="3"/>
  <c r="B102" i="3"/>
  <c r="B106" i="3"/>
  <c r="B107" i="3"/>
  <c r="B108" i="3"/>
  <c r="B99" i="11"/>
  <c r="B44" i="11"/>
  <c r="E98" i="11"/>
  <c r="G97" i="11"/>
  <c r="B119" i="11"/>
  <c r="B76" i="11"/>
  <c r="B116" i="11"/>
  <c r="B117" i="11"/>
  <c r="B118" i="11"/>
  <c r="H97" i="11" l="1"/>
  <c r="C99" i="11"/>
  <c r="C44" i="11"/>
  <c r="B96" i="11"/>
  <c r="F98" i="11"/>
  <c r="D99" i="11" l="1"/>
  <c r="D44" i="11"/>
  <c r="C96" i="11"/>
  <c r="B54" i="11"/>
  <c r="G98" i="11"/>
  <c r="I97" i="11"/>
  <c r="H98" i="11" l="1"/>
  <c r="J97" i="11"/>
  <c r="C54" i="11"/>
  <c r="E99" i="11"/>
  <c r="E44" i="11"/>
  <c r="D54" i="11"/>
  <c r="D96" i="11"/>
  <c r="E54" i="11" l="1"/>
  <c r="I98" i="11"/>
  <c r="F99" i="11"/>
  <c r="F44" i="11"/>
  <c r="K97" i="11"/>
  <c r="E96" i="11"/>
  <c r="F96" i="11" l="1"/>
  <c r="L97" i="11"/>
  <c r="G99" i="11"/>
  <c r="G44" i="11"/>
  <c r="F54" i="11"/>
  <c r="J98" i="11"/>
  <c r="M97" i="11" l="1"/>
  <c r="H99" i="11"/>
  <c r="H44" i="11"/>
  <c r="H96" i="11" s="1"/>
  <c r="G96" i="11"/>
  <c r="K98" i="11"/>
  <c r="G54" i="11" l="1"/>
  <c r="I99" i="11"/>
  <c r="I44" i="11"/>
  <c r="N97" i="11"/>
  <c r="L98" i="11"/>
  <c r="J99" i="11" l="1"/>
  <c r="J44" i="11"/>
  <c r="J96" i="11" s="1"/>
  <c r="H54" i="11"/>
  <c r="I96" i="11"/>
  <c r="O97" i="11"/>
  <c r="I54" i="11"/>
  <c r="M98" i="11"/>
  <c r="N98" i="11" l="1"/>
  <c r="K99" i="11"/>
  <c r="K44" i="11"/>
  <c r="P97" i="11"/>
  <c r="J54" i="11"/>
  <c r="K54" i="11" l="1"/>
  <c r="K96" i="11"/>
  <c r="Q97" i="11"/>
  <c r="L99" i="11"/>
  <c r="L44" i="11"/>
  <c r="O98" i="11"/>
  <c r="L54" i="11" l="1"/>
  <c r="L96" i="11"/>
  <c r="P98" i="11"/>
  <c r="M99" i="11"/>
  <c r="M44" i="11"/>
  <c r="R97" i="11"/>
  <c r="M54" i="11" l="1"/>
  <c r="Q98" i="11"/>
  <c r="N99" i="11"/>
  <c r="N44" i="11"/>
  <c r="M96" i="11"/>
  <c r="S97" i="11"/>
  <c r="N96" i="11" l="1"/>
  <c r="R98" i="11"/>
  <c r="T97" i="11"/>
  <c r="O99" i="11"/>
  <c r="O44" i="11"/>
  <c r="P99" i="11" l="1"/>
  <c r="P44" i="11"/>
  <c r="U97" i="11"/>
  <c r="O54" i="11"/>
  <c r="S98" i="11"/>
  <c r="N54" i="11"/>
  <c r="O96" i="11"/>
  <c r="T98" i="11" l="1"/>
  <c r="Q99" i="11"/>
  <c r="Q44" i="11"/>
  <c r="Q96" i="11" s="1"/>
  <c r="P54" i="11"/>
  <c r="P96" i="11"/>
  <c r="Q54" i="11" l="1"/>
  <c r="U98" i="11"/>
  <c r="R99" i="11"/>
  <c r="R44" i="11"/>
  <c r="R96" i="11" s="1"/>
  <c r="V97" i="11"/>
  <c r="R54" i="11" l="1"/>
  <c r="S99" i="11"/>
  <c r="S44" i="11"/>
  <c r="V98" i="11" l="1"/>
  <c r="T99" i="11"/>
  <c r="T44" i="11"/>
  <c r="S96" i="11"/>
  <c r="S54" i="11"/>
  <c r="U99" i="11" l="1"/>
  <c r="U44" i="11"/>
  <c r="T96" i="11"/>
  <c r="T54" i="11" l="1"/>
  <c r="U96" i="11"/>
  <c r="V99" i="11" l="1"/>
  <c r="V44" i="11"/>
  <c r="V54" i="11"/>
  <c r="U54" i="11"/>
  <c r="V96" i="11" l="1"/>
  <c r="U28" i="11" l="1"/>
  <c r="H28" i="11"/>
  <c r="K28" i="11"/>
  <c r="T28" i="11"/>
  <c r="E28" i="11"/>
  <c r="N28" i="11"/>
  <c r="O28" i="11"/>
  <c r="L28" i="11"/>
  <c r="L23" i="11" s="1"/>
  <c r="J28" i="11"/>
  <c r="R28" i="11"/>
  <c r="P28" i="11"/>
  <c r="M28" i="11"/>
  <c r="Q28" i="11"/>
  <c r="S28" i="11"/>
  <c r="F28" i="11"/>
  <c r="G28" i="11"/>
  <c r="I28" i="11"/>
  <c r="M23" i="11" l="1"/>
  <c r="F23" i="11"/>
  <c r="T23" i="11"/>
  <c r="P23" i="11"/>
  <c r="D28" i="11"/>
  <c r="R23" i="11"/>
  <c r="N23" i="11"/>
  <c r="H23" i="11"/>
  <c r="I23" i="11"/>
  <c r="S23" i="11"/>
  <c r="K23" i="11"/>
  <c r="Q23" i="11"/>
  <c r="J23" i="11"/>
  <c r="E23" i="11"/>
  <c r="U23" i="11"/>
  <c r="O23" i="11"/>
  <c r="V28" i="11"/>
  <c r="G23" i="11"/>
  <c r="I71" i="11" l="1"/>
  <c r="I38" i="11"/>
  <c r="I70" i="11" s="1"/>
  <c r="C28" i="11"/>
  <c r="V23" i="11"/>
  <c r="D23" i="11"/>
  <c r="M38" i="11"/>
  <c r="M70" i="11" s="1"/>
  <c r="M71" i="11"/>
  <c r="G71" i="11"/>
  <c r="G38" i="11"/>
  <c r="G70" i="11" s="1"/>
  <c r="L38" i="11"/>
  <c r="L70" i="11" s="1"/>
  <c r="L71" i="11"/>
  <c r="K71" i="11"/>
  <c r="K38" i="11"/>
  <c r="K70" i="11" s="1"/>
  <c r="R71" i="11"/>
  <c r="R38" i="11"/>
  <c r="R70" i="11" s="1"/>
  <c r="F38" i="11"/>
  <c r="F70" i="11" s="1"/>
  <c r="F71" i="11"/>
  <c r="H71" i="11"/>
  <c r="H38" i="11"/>
  <c r="H70" i="11" s="1"/>
  <c r="N71" i="11"/>
  <c r="N38" i="11"/>
  <c r="N70" i="11" s="1"/>
  <c r="F23" i="3" l="1"/>
  <c r="F91" i="11"/>
  <c r="M23" i="3"/>
  <c r="M91" i="11"/>
  <c r="J71" i="11"/>
  <c r="J38" i="11"/>
  <c r="J70" i="11" s="1"/>
  <c r="T71" i="11"/>
  <c r="T38" i="11"/>
  <c r="T70" i="11" s="1"/>
  <c r="S71" i="11"/>
  <c r="S38" i="11"/>
  <c r="S70" i="11" s="1"/>
  <c r="U71" i="11"/>
  <c r="U38" i="11"/>
  <c r="U70" i="11" s="1"/>
  <c r="P71" i="11"/>
  <c r="P38" i="11"/>
  <c r="P70" i="11" s="1"/>
  <c r="P23" i="3"/>
  <c r="P91" i="11"/>
  <c r="S23" i="3"/>
  <c r="S91" i="11"/>
  <c r="K23" i="3"/>
  <c r="K91" i="11"/>
  <c r="L91" i="11"/>
  <c r="L23" i="3"/>
  <c r="N23" i="3"/>
  <c r="N91" i="11"/>
  <c r="U23" i="3"/>
  <c r="U91" i="11"/>
  <c r="O71" i="11"/>
  <c r="O38" i="11"/>
  <c r="O70" i="11" s="1"/>
  <c r="Q23" i="3"/>
  <c r="Q91" i="11"/>
  <c r="E23" i="3"/>
  <c r="E91" i="11"/>
  <c r="O23" i="3"/>
  <c r="O91" i="11"/>
  <c r="Q38" i="11"/>
  <c r="Q70" i="11" s="1"/>
  <c r="Q71" i="11"/>
  <c r="G23" i="3"/>
  <c r="G91" i="11"/>
  <c r="R91" i="11"/>
  <c r="R23" i="3"/>
  <c r="E71" i="11"/>
  <c r="E38" i="11"/>
  <c r="E70" i="11" s="1"/>
  <c r="H91" i="11"/>
  <c r="H23" i="3"/>
  <c r="I23" i="3"/>
  <c r="I91" i="11"/>
  <c r="T23" i="3"/>
  <c r="T91" i="11"/>
  <c r="V38" i="11"/>
  <c r="V70" i="11" s="1"/>
  <c r="V71" i="11"/>
  <c r="J91" i="11"/>
  <c r="J23" i="3"/>
  <c r="C23" i="11"/>
  <c r="D23" i="3" l="1"/>
  <c r="D91" i="11"/>
  <c r="D38" i="11"/>
  <c r="D70" i="11" s="1"/>
  <c r="D71" i="11"/>
  <c r="B28" i="11"/>
  <c r="V23" i="3"/>
  <c r="V91" i="11"/>
  <c r="H81" i="11" l="1"/>
  <c r="M81" i="11"/>
  <c r="I24" i="3"/>
  <c r="I92" i="11"/>
  <c r="G92" i="11"/>
  <c r="G24" i="3"/>
  <c r="N24" i="3"/>
  <c r="N92" i="11"/>
  <c r="F81" i="11"/>
  <c r="R24" i="3"/>
  <c r="R92" i="11"/>
  <c r="P24" i="3"/>
  <c r="P92" i="11"/>
  <c r="U81" i="11"/>
  <c r="Q24" i="3"/>
  <c r="Q92" i="11"/>
  <c r="O24" i="3"/>
  <c r="O92" i="11"/>
  <c r="S92" i="11"/>
  <c r="S24" i="3"/>
  <c r="O81" i="11"/>
  <c r="E81" i="11"/>
  <c r="C71" i="11"/>
  <c r="C38" i="11"/>
  <c r="C70" i="11" s="1"/>
  <c r="L24" i="3"/>
  <c r="L92" i="11"/>
  <c r="J24" i="3"/>
  <c r="J92" i="11"/>
  <c r="P81" i="11"/>
  <c r="K92" i="11"/>
  <c r="K24" i="3"/>
  <c r="M92" i="11"/>
  <c r="M24" i="3"/>
  <c r="R81" i="11"/>
  <c r="C23" i="3"/>
  <c r="C91" i="11"/>
  <c r="J81" i="11"/>
  <c r="F24" i="3"/>
  <c r="F92" i="11"/>
  <c r="B23" i="11"/>
  <c r="T81" i="11"/>
  <c r="N81" i="11"/>
  <c r="U92" i="11"/>
  <c r="U24" i="3"/>
  <c r="G81" i="11"/>
  <c r="I81" i="11"/>
  <c r="E24" i="3"/>
  <c r="E92" i="11"/>
  <c r="S81" i="11"/>
  <c r="H24" i="3"/>
  <c r="H92" i="11"/>
  <c r="L81" i="11"/>
  <c r="T24" i="3"/>
  <c r="T92" i="11"/>
  <c r="Q81" i="11"/>
  <c r="K81" i="11"/>
  <c r="S8" i="11"/>
  <c r="H8" i="11"/>
  <c r="U8" i="11"/>
  <c r="L8" i="11"/>
  <c r="P8" i="11"/>
  <c r="P113" i="11" l="1"/>
  <c r="P110" i="11"/>
  <c r="P90" i="11"/>
  <c r="P111" i="11"/>
  <c r="P112" i="11"/>
  <c r="L113" i="11"/>
  <c r="L90" i="11"/>
  <c r="L110" i="11"/>
  <c r="L111" i="11"/>
  <c r="L112" i="11"/>
  <c r="U90" i="11"/>
  <c r="U110" i="11"/>
  <c r="U111" i="11"/>
  <c r="U112" i="11"/>
  <c r="H112" i="11"/>
  <c r="H110" i="11"/>
  <c r="H90" i="11"/>
  <c r="H111" i="11"/>
  <c r="S113" i="11"/>
  <c r="S90" i="11"/>
  <c r="S110" i="11"/>
  <c r="S111" i="11"/>
  <c r="S112" i="11"/>
  <c r="T25" i="3"/>
  <c r="T93" i="11"/>
  <c r="N25" i="3"/>
  <c r="N22" i="3" s="1"/>
  <c r="N93" i="11"/>
  <c r="U25" i="3"/>
  <c r="U22" i="3" s="1"/>
  <c r="U93" i="11"/>
  <c r="U113" i="11"/>
  <c r="R93" i="11"/>
  <c r="R25" i="3"/>
  <c r="T8" i="11"/>
  <c r="T113" i="11" s="1"/>
  <c r="G25" i="3"/>
  <c r="G22" i="3" s="1"/>
  <c r="G93" i="11"/>
  <c r="D81" i="11"/>
  <c r="G8" i="11"/>
  <c r="G113" i="11" s="1"/>
  <c r="I25" i="3"/>
  <c r="I93" i="11"/>
  <c r="H93" i="11"/>
  <c r="H25" i="3"/>
  <c r="H22" i="3" s="1"/>
  <c r="H113" i="11"/>
  <c r="P93" i="11"/>
  <c r="P25" i="3"/>
  <c r="D92" i="11"/>
  <c r="D24" i="3"/>
  <c r="S25" i="3"/>
  <c r="S22" i="3" s="1"/>
  <c r="S93" i="11"/>
  <c r="L25" i="3"/>
  <c r="L93" i="11"/>
  <c r="V24" i="3"/>
  <c r="V92" i="11"/>
  <c r="V81" i="11"/>
  <c r="N8" i="11"/>
  <c r="I8" i="11"/>
  <c r="I113" i="11" s="1"/>
  <c r="B38" i="11"/>
  <c r="B70" i="11" s="1"/>
  <c r="B71" i="11"/>
  <c r="R8" i="11"/>
  <c r="R113" i="11" s="1"/>
  <c r="T83" i="11"/>
  <c r="F83" i="11"/>
  <c r="V8" i="11"/>
  <c r="S83" i="11"/>
  <c r="V110" i="11" l="1"/>
  <c r="V90" i="11"/>
  <c r="V111" i="11"/>
  <c r="V112" i="11"/>
  <c r="P82" i="11"/>
  <c r="P18" i="11"/>
  <c r="P123" i="11" s="1"/>
  <c r="T82" i="11"/>
  <c r="T18" i="11"/>
  <c r="H83" i="11"/>
  <c r="S82" i="11"/>
  <c r="S18" i="11"/>
  <c r="J83" i="11"/>
  <c r="M83" i="11"/>
  <c r="K83" i="11"/>
  <c r="E83" i="11"/>
  <c r="L82" i="11"/>
  <c r="L18" i="11"/>
  <c r="K25" i="3"/>
  <c r="K93" i="11"/>
  <c r="K8" i="11"/>
  <c r="K113" i="11" s="1"/>
  <c r="N17" i="3"/>
  <c r="J25" i="3"/>
  <c r="J93" i="11"/>
  <c r="J8" i="11"/>
  <c r="J113" i="11" s="1"/>
  <c r="T22" i="3"/>
  <c r="C92" i="11"/>
  <c r="C24" i="3"/>
  <c r="N83" i="11"/>
  <c r="E25" i="3"/>
  <c r="E93" i="11"/>
  <c r="E8" i="11"/>
  <c r="F82" i="11"/>
  <c r="F18" i="11"/>
  <c r="F122" i="11" s="1"/>
  <c r="L83" i="11"/>
  <c r="L123" i="11"/>
  <c r="H82" i="11"/>
  <c r="H18" i="11"/>
  <c r="N82" i="11"/>
  <c r="N18" i="11"/>
  <c r="N122" i="11" s="1"/>
  <c r="V25" i="3"/>
  <c r="V22" i="3" s="1"/>
  <c r="V113" i="11"/>
  <c r="V93" i="11"/>
  <c r="I83" i="11"/>
  <c r="Q82" i="11"/>
  <c r="Q18" i="11"/>
  <c r="Q122" i="11" s="1"/>
  <c r="O82" i="11"/>
  <c r="O18" i="11"/>
  <c r="O123" i="11" s="1"/>
  <c r="Q83" i="11"/>
  <c r="S17" i="3"/>
  <c r="M25" i="3"/>
  <c r="M93" i="11"/>
  <c r="M8" i="11"/>
  <c r="O83" i="11"/>
  <c r="J82" i="11"/>
  <c r="J18" i="11"/>
  <c r="R82" i="11"/>
  <c r="R18" i="11"/>
  <c r="R123" i="11" s="1"/>
  <c r="R83" i="11"/>
  <c r="G82" i="11"/>
  <c r="G18" i="11"/>
  <c r="G123" i="11" s="1"/>
  <c r="U83" i="11"/>
  <c r="F25" i="3"/>
  <c r="F93" i="11"/>
  <c r="F8" i="11"/>
  <c r="U17" i="3"/>
  <c r="I82" i="11"/>
  <c r="I18" i="11"/>
  <c r="I123" i="11" s="1"/>
  <c r="U82" i="11"/>
  <c r="U18" i="11"/>
  <c r="G17" i="3"/>
  <c r="H17" i="3"/>
  <c r="Q25" i="3"/>
  <c r="Q93" i="11"/>
  <c r="Q8" i="11"/>
  <c r="C81" i="11"/>
  <c r="P83" i="11"/>
  <c r="K82" i="11"/>
  <c r="K18" i="11"/>
  <c r="K123" i="11" s="1"/>
  <c r="I90" i="11"/>
  <c r="I110" i="11"/>
  <c r="I111" i="11"/>
  <c r="I112" i="11"/>
  <c r="L22" i="3"/>
  <c r="G110" i="11"/>
  <c r="G90" i="11"/>
  <c r="G111" i="11"/>
  <c r="G112" i="11"/>
  <c r="I22" i="3"/>
  <c r="G83" i="11"/>
  <c r="R110" i="11"/>
  <c r="R90" i="11"/>
  <c r="R111" i="11"/>
  <c r="R112" i="11"/>
  <c r="N113" i="11"/>
  <c r="N90" i="11"/>
  <c r="N110" i="11"/>
  <c r="N111" i="11"/>
  <c r="N112" i="11"/>
  <c r="R22" i="3"/>
  <c r="B23" i="3"/>
  <c r="B91" i="11"/>
  <c r="E82" i="11"/>
  <c r="E18" i="11"/>
  <c r="E122" i="11" s="1"/>
  <c r="M82" i="11"/>
  <c r="M18" i="11"/>
  <c r="O25" i="3"/>
  <c r="O93" i="11"/>
  <c r="O8" i="11"/>
  <c r="P22" i="3"/>
  <c r="T111" i="11"/>
  <c r="T90" i="11"/>
  <c r="T110" i="11"/>
  <c r="T112" i="11"/>
  <c r="D83" i="11"/>
  <c r="N114" i="3" l="1"/>
  <c r="H114" i="3"/>
  <c r="G114" i="3"/>
  <c r="U110" i="3"/>
  <c r="U112" i="3"/>
  <c r="U111" i="3"/>
  <c r="S112" i="3"/>
  <c r="S110" i="3"/>
  <c r="S111" i="3"/>
  <c r="S114" i="3"/>
  <c r="S113" i="3"/>
  <c r="U114" i="3"/>
  <c r="U113" i="3"/>
  <c r="G117" i="3"/>
  <c r="E123" i="11"/>
  <c r="K122" i="11"/>
  <c r="N117" i="3"/>
  <c r="O111" i="11"/>
  <c r="O90" i="11"/>
  <c r="O110" i="11"/>
  <c r="O112" i="11"/>
  <c r="I17" i="3"/>
  <c r="Q22" i="3"/>
  <c r="Q120" i="11"/>
  <c r="Q13" i="11"/>
  <c r="Q80" i="11"/>
  <c r="Q121" i="11"/>
  <c r="N121" i="11"/>
  <c r="N120" i="11"/>
  <c r="N80" i="11"/>
  <c r="N13" i="11"/>
  <c r="F123" i="11"/>
  <c r="F120" i="11"/>
  <c r="F80" i="11"/>
  <c r="F13" i="11"/>
  <c r="F121" i="11"/>
  <c r="K111" i="11"/>
  <c r="K110" i="11"/>
  <c r="K90" i="11"/>
  <c r="K112" i="11"/>
  <c r="O113" i="11"/>
  <c r="G118" i="3"/>
  <c r="G113" i="3"/>
  <c r="G110" i="3"/>
  <c r="G120" i="3"/>
  <c r="G112" i="3"/>
  <c r="G119" i="3"/>
  <c r="G111" i="3"/>
  <c r="G109" i="3"/>
  <c r="G115" i="3"/>
  <c r="G116" i="3"/>
  <c r="F110" i="11"/>
  <c r="F90" i="11"/>
  <c r="F111" i="11"/>
  <c r="F112" i="11"/>
  <c r="S123" i="11"/>
  <c r="S80" i="11"/>
  <c r="S120" i="11"/>
  <c r="S13" i="11"/>
  <c r="S121" i="11"/>
  <c r="P13" i="11"/>
  <c r="P75" i="11" s="1"/>
  <c r="P120" i="11"/>
  <c r="P80" i="11"/>
  <c r="P121" i="11"/>
  <c r="U109" i="3"/>
  <c r="U120" i="3"/>
  <c r="U119" i="3"/>
  <c r="U118" i="3"/>
  <c r="U115" i="3"/>
  <c r="U116" i="3"/>
  <c r="S120" i="3"/>
  <c r="S119" i="3"/>
  <c r="S118" i="3"/>
  <c r="S109" i="3"/>
  <c r="S115" i="3"/>
  <c r="S116" i="3"/>
  <c r="J22" i="3"/>
  <c r="S122" i="11"/>
  <c r="P122" i="11"/>
  <c r="O22" i="3"/>
  <c r="U120" i="11"/>
  <c r="U80" i="11"/>
  <c r="U13" i="11"/>
  <c r="U121" i="11"/>
  <c r="F113" i="11"/>
  <c r="R121" i="11"/>
  <c r="R80" i="11"/>
  <c r="R120" i="11"/>
  <c r="R13" i="11"/>
  <c r="M113" i="11"/>
  <c r="M90" i="11"/>
  <c r="M110" i="11"/>
  <c r="M111" i="11"/>
  <c r="M112" i="11"/>
  <c r="H120" i="11"/>
  <c r="H13" i="11"/>
  <c r="H80" i="11"/>
  <c r="H121" i="11"/>
  <c r="E110" i="11"/>
  <c r="E90" i="11"/>
  <c r="E111" i="11"/>
  <c r="E112" i="11"/>
  <c r="K22" i="3"/>
  <c r="D82" i="11"/>
  <c r="D18" i="11"/>
  <c r="D122" i="11" s="1"/>
  <c r="M120" i="11"/>
  <c r="M80" i="11"/>
  <c r="M13" i="11"/>
  <c r="M75" i="11" s="1"/>
  <c r="M121" i="11"/>
  <c r="H118" i="3"/>
  <c r="H113" i="3"/>
  <c r="H111" i="3"/>
  <c r="H112" i="3"/>
  <c r="H110" i="3"/>
  <c r="H120" i="3"/>
  <c r="H109" i="3"/>
  <c r="H119" i="3"/>
  <c r="H115" i="3"/>
  <c r="H116" i="3"/>
  <c r="F22" i="3"/>
  <c r="R122" i="11"/>
  <c r="E113" i="11"/>
  <c r="D25" i="3"/>
  <c r="D93" i="11"/>
  <c r="D8" i="11"/>
  <c r="S117" i="3"/>
  <c r="U122" i="11"/>
  <c r="M22" i="3"/>
  <c r="Q123" i="11"/>
  <c r="H122" i="11"/>
  <c r="M123" i="11"/>
  <c r="H123" i="11"/>
  <c r="V82" i="11"/>
  <c r="V18" i="11"/>
  <c r="V123" i="11" s="1"/>
  <c r="M122" i="11"/>
  <c r="R17" i="3"/>
  <c r="U117" i="3"/>
  <c r="K120" i="11"/>
  <c r="K80" i="11"/>
  <c r="K13" i="11"/>
  <c r="K121" i="11"/>
  <c r="Q113" i="11"/>
  <c r="Q110" i="11"/>
  <c r="Q90" i="11"/>
  <c r="Q111" i="11"/>
  <c r="Q112" i="11"/>
  <c r="I120" i="11"/>
  <c r="I80" i="11"/>
  <c r="I13" i="11"/>
  <c r="I121" i="11"/>
  <c r="V17" i="3"/>
  <c r="U123" i="11"/>
  <c r="J120" i="11"/>
  <c r="J80" i="11"/>
  <c r="J13" i="11"/>
  <c r="J75" i="11" s="1"/>
  <c r="J121" i="11"/>
  <c r="O122" i="11"/>
  <c r="O120" i="11"/>
  <c r="O80" i="11"/>
  <c r="O13" i="11"/>
  <c r="O121" i="11"/>
  <c r="E22" i="3"/>
  <c r="T17" i="3"/>
  <c r="N118" i="3"/>
  <c r="N110" i="3"/>
  <c r="N113" i="3"/>
  <c r="N111" i="3"/>
  <c r="N112" i="3"/>
  <c r="N109" i="3"/>
  <c r="N120" i="3"/>
  <c r="N119" i="3"/>
  <c r="N115" i="3"/>
  <c r="N116" i="3"/>
  <c r="L120" i="11"/>
  <c r="L80" i="11"/>
  <c r="L13" i="11"/>
  <c r="L75" i="11" s="1"/>
  <c r="L121" i="11"/>
  <c r="T123" i="11"/>
  <c r="T120" i="11"/>
  <c r="T80" i="11"/>
  <c r="T13" i="11"/>
  <c r="T75" i="11" s="1"/>
  <c r="T121" i="11"/>
  <c r="V83" i="11"/>
  <c r="P17" i="3"/>
  <c r="E120" i="11"/>
  <c r="E80" i="11"/>
  <c r="E13" i="11"/>
  <c r="E121" i="11"/>
  <c r="H117" i="3"/>
  <c r="L17" i="3"/>
  <c r="I122" i="11"/>
  <c r="G122" i="11"/>
  <c r="G120" i="11"/>
  <c r="G80" i="11"/>
  <c r="G13" i="11"/>
  <c r="G121" i="11"/>
  <c r="J122" i="11"/>
  <c r="N123" i="11"/>
  <c r="J111" i="11"/>
  <c r="J110" i="11"/>
  <c r="J90" i="11"/>
  <c r="J112" i="11"/>
  <c r="L122" i="11"/>
  <c r="J123" i="11"/>
  <c r="T122" i="11"/>
  <c r="I114" i="3" l="1"/>
  <c r="T110" i="3"/>
  <c r="T111" i="3"/>
  <c r="T112" i="3"/>
  <c r="R110" i="3"/>
  <c r="R111" i="3"/>
  <c r="R112" i="3"/>
  <c r="V111" i="3"/>
  <c r="V110" i="3"/>
  <c r="V112" i="3"/>
  <c r="R114" i="3"/>
  <c r="R113" i="3"/>
  <c r="T114" i="3"/>
  <c r="T113" i="3"/>
  <c r="V114" i="3"/>
  <c r="V113" i="3"/>
  <c r="V117" i="3"/>
  <c r="L118" i="3"/>
  <c r="L112" i="3"/>
  <c r="L119" i="3"/>
  <c r="L109" i="3"/>
  <c r="L110" i="3"/>
  <c r="L113" i="3"/>
  <c r="L111" i="3"/>
  <c r="L120" i="3"/>
  <c r="L115" i="3"/>
  <c r="L116" i="3"/>
  <c r="L117" i="3"/>
  <c r="P109" i="3"/>
  <c r="P118" i="3"/>
  <c r="P110" i="3"/>
  <c r="P111" i="3"/>
  <c r="P112" i="3"/>
  <c r="P120" i="3"/>
  <c r="P113" i="3"/>
  <c r="P119" i="3"/>
  <c r="P115" i="3"/>
  <c r="P116" i="3"/>
  <c r="P117" i="3"/>
  <c r="T43" i="12"/>
  <c r="T23" i="12"/>
  <c r="T73" i="12" s="1"/>
  <c r="T53" i="3"/>
  <c r="T33" i="12"/>
  <c r="O75" i="11"/>
  <c r="K75" i="11"/>
  <c r="V120" i="11"/>
  <c r="V80" i="11"/>
  <c r="V13" i="11"/>
  <c r="V121" i="11"/>
  <c r="G53" i="3"/>
  <c r="G43" i="12"/>
  <c r="G23" i="12"/>
  <c r="G73" i="12" s="1"/>
  <c r="G33" i="12"/>
  <c r="U53" i="3"/>
  <c r="U23" i="12"/>
  <c r="U73" i="12" s="1"/>
  <c r="U43" i="12"/>
  <c r="U33" i="12"/>
  <c r="B81" i="11"/>
  <c r="V122" i="11"/>
  <c r="K17" i="3"/>
  <c r="R75" i="11"/>
  <c r="N75" i="11"/>
  <c r="Q17" i="3"/>
  <c r="C83" i="11"/>
  <c r="C82" i="11"/>
  <c r="C18" i="11"/>
  <c r="C122" i="11" s="1"/>
  <c r="G75" i="11"/>
  <c r="T118" i="3"/>
  <c r="T120" i="3"/>
  <c r="T119" i="3"/>
  <c r="T109" i="3"/>
  <c r="T115" i="3"/>
  <c r="T116" i="3"/>
  <c r="T117" i="3"/>
  <c r="F17" i="3"/>
  <c r="H75" i="11"/>
  <c r="O17" i="3"/>
  <c r="M53" i="3"/>
  <c r="M43" i="12"/>
  <c r="M23" i="12"/>
  <c r="M73" i="12" s="1"/>
  <c r="M33" i="12"/>
  <c r="V120" i="3"/>
  <c r="V119" i="3"/>
  <c r="V118" i="3"/>
  <c r="V109" i="3"/>
  <c r="V115" i="3"/>
  <c r="V116" i="3"/>
  <c r="J17" i="3"/>
  <c r="E75" i="11"/>
  <c r="N53" i="3"/>
  <c r="N23" i="12"/>
  <c r="N73" i="12" s="1"/>
  <c r="N33" i="12"/>
  <c r="N43" i="12"/>
  <c r="E17" i="3"/>
  <c r="D123" i="11"/>
  <c r="D80" i="11"/>
  <c r="D120" i="11"/>
  <c r="D13" i="11"/>
  <c r="D75" i="11" s="1"/>
  <c r="D121" i="11"/>
  <c r="S75" i="11"/>
  <c r="R120" i="3"/>
  <c r="R119" i="3"/>
  <c r="R118" i="3"/>
  <c r="R109" i="3"/>
  <c r="R115" i="3"/>
  <c r="R116" i="3"/>
  <c r="R117" i="3"/>
  <c r="M17" i="3"/>
  <c r="D113" i="11"/>
  <c r="D110" i="11"/>
  <c r="D90" i="11"/>
  <c r="D111" i="11"/>
  <c r="D112" i="11"/>
  <c r="F75" i="11"/>
  <c r="I118" i="3"/>
  <c r="I112" i="3"/>
  <c r="I113" i="3"/>
  <c r="I111" i="3"/>
  <c r="I110" i="3"/>
  <c r="I120" i="3"/>
  <c r="I119" i="3"/>
  <c r="I109" i="3"/>
  <c r="I115" i="3"/>
  <c r="I116" i="3"/>
  <c r="I117" i="3"/>
  <c r="B24" i="3"/>
  <c r="B92" i="11"/>
  <c r="I75" i="11"/>
  <c r="L23" i="12"/>
  <c r="L73" i="12" s="1"/>
  <c r="L53" i="3"/>
  <c r="L33" i="12"/>
  <c r="L43" i="12"/>
  <c r="L114" i="3"/>
  <c r="P114" i="3"/>
  <c r="D22" i="3"/>
  <c r="C25" i="3"/>
  <c r="C93" i="11"/>
  <c r="C8" i="11"/>
  <c r="C113" i="11" s="1"/>
  <c r="U75" i="11"/>
  <c r="Q75" i="11"/>
  <c r="F53" i="3"/>
  <c r="F43" i="12"/>
  <c r="F23" i="12"/>
  <c r="F73" i="12" s="1"/>
  <c r="F33" i="12"/>
  <c r="B8" i="11"/>
  <c r="M114" i="3" l="1"/>
  <c r="K114" i="3"/>
  <c r="E114" i="3"/>
  <c r="F114" i="3"/>
  <c r="J114" i="3"/>
  <c r="Q114" i="3"/>
  <c r="B112" i="11"/>
  <c r="B90" i="11"/>
  <c r="B110" i="11"/>
  <c r="B111" i="11"/>
  <c r="N33" i="13"/>
  <c r="N43" i="13"/>
  <c r="N74" i="3"/>
  <c r="M25" i="14"/>
  <c r="M19" i="12"/>
  <c r="M69" i="12" s="1"/>
  <c r="M4" i="12"/>
  <c r="M39" i="12"/>
  <c r="M29" i="12"/>
  <c r="M44" i="3"/>
  <c r="L19" i="12"/>
  <c r="L69" i="12" s="1"/>
  <c r="L29" i="12"/>
  <c r="L4" i="12"/>
  <c r="L39" i="12"/>
  <c r="L44" i="3"/>
  <c r="L25" i="14"/>
  <c r="O111" i="3"/>
  <c r="O119" i="3"/>
  <c r="O112" i="3"/>
  <c r="O109" i="3"/>
  <c r="O113" i="3"/>
  <c r="O118" i="3"/>
  <c r="O110" i="3"/>
  <c r="O120" i="3"/>
  <c r="O115" i="3"/>
  <c r="O116" i="3"/>
  <c r="O117" i="3"/>
  <c r="B101" i="11"/>
  <c r="M4" i="13"/>
  <c r="M33" i="13"/>
  <c r="M43" i="13"/>
  <c r="M74" i="3"/>
  <c r="F205" i="3"/>
  <c r="C120" i="11"/>
  <c r="C80" i="11"/>
  <c r="C13" i="11"/>
  <c r="C75" i="11" s="1"/>
  <c r="C121" i="11"/>
  <c r="N25" i="14"/>
  <c r="N19" i="12"/>
  <c r="N69" i="12" s="1"/>
  <c r="N29" i="12"/>
  <c r="N39" i="12"/>
  <c r="N44" i="3"/>
  <c r="G205" i="3"/>
  <c r="U4" i="13"/>
  <c r="U33" i="13"/>
  <c r="U43" i="13"/>
  <c r="U74" i="3"/>
  <c r="C22" i="3"/>
  <c r="E53" i="3"/>
  <c r="E33" i="12"/>
  <c r="E23" i="12"/>
  <c r="E73" i="12" s="1"/>
  <c r="E43" i="12"/>
  <c r="J113" i="3"/>
  <c r="J120" i="3"/>
  <c r="J110" i="3"/>
  <c r="J119" i="3"/>
  <c r="J112" i="3"/>
  <c r="J111" i="3"/>
  <c r="J118" i="3"/>
  <c r="J109" i="3"/>
  <c r="J115" i="3"/>
  <c r="J116" i="3"/>
  <c r="J117" i="3"/>
  <c r="K120" i="3"/>
  <c r="K119" i="3"/>
  <c r="K113" i="3"/>
  <c r="K110" i="3"/>
  <c r="K109" i="3"/>
  <c r="K112" i="3"/>
  <c r="K118" i="3"/>
  <c r="K111" i="3"/>
  <c r="K115" i="3"/>
  <c r="K116" i="3"/>
  <c r="K117" i="3"/>
  <c r="G83" i="3"/>
  <c r="G37" i="13"/>
  <c r="G47" i="13"/>
  <c r="L83" i="3"/>
  <c r="L47" i="13"/>
  <c r="L37" i="13"/>
  <c r="O53" i="3"/>
  <c r="O23" i="12"/>
  <c r="O73" i="12" s="1"/>
  <c r="O43" i="12"/>
  <c r="O33" i="12"/>
  <c r="L205" i="3"/>
  <c r="M111" i="3"/>
  <c r="M113" i="3"/>
  <c r="M120" i="3"/>
  <c r="M119" i="3"/>
  <c r="M109" i="3"/>
  <c r="M110" i="3"/>
  <c r="M112" i="3"/>
  <c r="M118" i="3"/>
  <c r="M115" i="3"/>
  <c r="M116" i="3"/>
  <c r="M117" i="3"/>
  <c r="N205" i="3"/>
  <c r="Q113" i="3"/>
  <c r="Q110" i="3"/>
  <c r="Q111" i="3"/>
  <c r="Q118" i="3"/>
  <c r="Q120" i="3"/>
  <c r="Q109" i="3"/>
  <c r="Q119" i="3"/>
  <c r="Q112" i="3"/>
  <c r="Q115" i="3"/>
  <c r="Q116" i="3"/>
  <c r="Q117" i="3"/>
  <c r="V53" i="3"/>
  <c r="V43" i="12"/>
  <c r="V23" i="12"/>
  <c r="V73" i="12" s="1"/>
  <c r="V33" i="12"/>
  <c r="U205" i="3"/>
  <c r="V75" i="11"/>
  <c r="F83" i="3"/>
  <c r="F37" i="13"/>
  <c r="F47" i="13"/>
  <c r="E110" i="3"/>
  <c r="E112" i="3"/>
  <c r="E118" i="3"/>
  <c r="E111" i="3"/>
  <c r="E109" i="3"/>
  <c r="E113" i="3"/>
  <c r="E120" i="3"/>
  <c r="E119" i="3"/>
  <c r="E115" i="3"/>
  <c r="E116" i="3"/>
  <c r="E117" i="3"/>
  <c r="N4" i="12"/>
  <c r="C123" i="11"/>
  <c r="T205" i="3"/>
  <c r="U29" i="12"/>
  <c r="U25" i="14"/>
  <c r="U4" i="12"/>
  <c r="U19" i="12"/>
  <c r="U69" i="12" s="1"/>
  <c r="U39" i="12"/>
  <c r="U44" i="3"/>
  <c r="M83" i="3"/>
  <c r="M37" i="13"/>
  <c r="M47" i="13"/>
  <c r="N4" i="13"/>
  <c r="N37" i="13"/>
  <c r="N47" i="13"/>
  <c r="N83" i="3"/>
  <c r="D17" i="3"/>
  <c r="H53" i="3"/>
  <c r="H33" i="12"/>
  <c r="H43" i="12"/>
  <c r="H23" i="12"/>
  <c r="H73" i="12" s="1"/>
  <c r="F110" i="3"/>
  <c r="F118" i="3"/>
  <c r="F112" i="3"/>
  <c r="F109" i="3"/>
  <c r="F113" i="3"/>
  <c r="F120" i="3"/>
  <c r="F111" i="3"/>
  <c r="F119" i="3"/>
  <c r="F115" i="3"/>
  <c r="F116" i="3"/>
  <c r="F117" i="3"/>
  <c r="U83" i="3"/>
  <c r="U47" i="13"/>
  <c r="U37" i="13"/>
  <c r="L4" i="13"/>
  <c r="L43" i="13"/>
  <c r="L33" i="13"/>
  <c r="L74" i="3"/>
  <c r="T43" i="13"/>
  <c r="T33" i="13"/>
  <c r="T4" i="13"/>
  <c r="T74" i="3"/>
  <c r="B25" i="3"/>
  <c r="B22" i="3" s="1"/>
  <c r="B93" i="11"/>
  <c r="B113" i="11"/>
  <c r="T83" i="3"/>
  <c r="T47" i="13"/>
  <c r="T37" i="13"/>
  <c r="M205" i="3"/>
  <c r="C112" i="11"/>
  <c r="C110" i="11"/>
  <c r="C90" i="11"/>
  <c r="C111" i="11"/>
  <c r="O114" i="3"/>
  <c r="D114" i="3" l="1"/>
  <c r="U235" i="3"/>
  <c r="M235" i="3"/>
  <c r="T25" i="14"/>
  <c r="T29" i="12"/>
  <c r="T4" i="12"/>
  <c r="T18" i="13" s="1"/>
  <c r="T39" i="12"/>
  <c r="T44" i="3"/>
  <c r="T19" i="12"/>
  <c r="T69" i="12" s="1"/>
  <c r="D33" i="12"/>
  <c r="D23" i="12"/>
  <c r="D73" i="12" s="1"/>
  <c r="D53" i="3"/>
  <c r="D43" i="12"/>
  <c r="M18" i="13"/>
  <c r="O4" i="13"/>
  <c r="O33" i="13"/>
  <c r="O43" i="13"/>
  <c r="O74" i="3"/>
  <c r="B17" i="3"/>
  <c r="U196" i="3"/>
  <c r="F235" i="3"/>
  <c r="L235" i="3"/>
  <c r="H37" i="13"/>
  <c r="H47" i="13"/>
  <c r="H83" i="3"/>
  <c r="V37" i="13"/>
  <c r="V83" i="3"/>
  <c r="V47" i="13"/>
  <c r="E83" i="3"/>
  <c r="E47" i="13"/>
  <c r="E37" i="13"/>
  <c r="E25" i="14"/>
  <c r="E4" i="12"/>
  <c r="E19" i="12"/>
  <c r="E69" i="12" s="1"/>
  <c r="E29" i="12"/>
  <c r="E39" i="12"/>
  <c r="E44" i="3"/>
  <c r="T235" i="3"/>
  <c r="G25" i="14"/>
  <c r="G29" i="12"/>
  <c r="G4" i="12"/>
  <c r="G19" i="12"/>
  <c r="G69" i="12" s="1"/>
  <c r="G39" i="12"/>
  <c r="G44" i="3"/>
  <c r="F33" i="13"/>
  <c r="F4" i="13"/>
  <c r="F43" i="13"/>
  <c r="F74" i="3"/>
  <c r="O83" i="3"/>
  <c r="O47" i="13"/>
  <c r="O37" i="13"/>
  <c r="G4" i="13"/>
  <c r="G43" i="13"/>
  <c r="G33" i="13"/>
  <c r="G74" i="3"/>
  <c r="B83" i="11"/>
  <c r="L18" i="13"/>
  <c r="I23" i="12"/>
  <c r="I73" i="12" s="1"/>
  <c r="I53" i="3"/>
  <c r="I33" i="12"/>
  <c r="I43" i="12"/>
  <c r="V4" i="12"/>
  <c r="V19" i="12"/>
  <c r="V69" i="12" s="1"/>
  <c r="V29" i="12"/>
  <c r="V39" i="12"/>
  <c r="V44" i="3"/>
  <c r="V25" i="14"/>
  <c r="E205" i="3"/>
  <c r="F44" i="12"/>
  <c r="F54" i="3"/>
  <c r="F24" i="12"/>
  <c r="F74" i="12" s="1"/>
  <c r="F34" i="12"/>
  <c r="U18" i="13"/>
  <c r="M196" i="3"/>
  <c r="N18" i="13"/>
  <c r="O205" i="3"/>
  <c r="H4" i="12"/>
  <c r="H25" i="14"/>
  <c r="H39" i="12"/>
  <c r="H19" i="12"/>
  <c r="H69" i="12" s="1"/>
  <c r="H29" i="12"/>
  <c r="H44" i="3"/>
  <c r="L196" i="3"/>
  <c r="N226" i="3"/>
  <c r="E4" i="13"/>
  <c r="E43" i="13"/>
  <c r="E33" i="13"/>
  <c r="E74" i="3"/>
  <c r="B82" i="11"/>
  <c r="B18" i="11"/>
  <c r="L226" i="3"/>
  <c r="H205" i="3"/>
  <c r="O25" i="14"/>
  <c r="O4" i="12"/>
  <c r="O19" i="12"/>
  <c r="O69" i="12" s="1"/>
  <c r="O39" i="12"/>
  <c r="O29" i="12"/>
  <c r="O44" i="3"/>
  <c r="F25" i="14"/>
  <c r="F19" i="12"/>
  <c r="F69" i="12" s="1"/>
  <c r="F39" i="12"/>
  <c r="F29" i="12"/>
  <c r="F44" i="3"/>
  <c r="F4" i="12"/>
  <c r="C17" i="3"/>
  <c r="U226" i="3"/>
  <c r="N196" i="3"/>
  <c r="H43" i="13"/>
  <c r="H33" i="13"/>
  <c r="H4" i="13"/>
  <c r="H74" i="3"/>
  <c r="T226" i="3"/>
  <c r="V205" i="3"/>
  <c r="G235" i="3"/>
  <c r="M226" i="3"/>
  <c r="C101" i="11"/>
  <c r="V4" i="13"/>
  <c r="V43" i="13"/>
  <c r="V33" i="13"/>
  <c r="V74" i="3"/>
  <c r="D112" i="3"/>
  <c r="D120" i="3"/>
  <c r="D119" i="3"/>
  <c r="D111" i="3"/>
  <c r="D109" i="3"/>
  <c r="D113" i="3"/>
  <c r="D118" i="3"/>
  <c r="D110" i="3"/>
  <c r="D115" i="3"/>
  <c r="D116" i="3"/>
  <c r="D117" i="3"/>
  <c r="N235" i="3"/>
  <c r="P53" i="3"/>
  <c r="P23" i="12"/>
  <c r="P73" i="12" s="1"/>
  <c r="P43" i="12"/>
  <c r="P33" i="12"/>
  <c r="B117" i="3" l="1"/>
  <c r="C114" i="3"/>
  <c r="I37" i="13"/>
  <c r="I83" i="3"/>
  <c r="I47" i="13"/>
  <c r="N84" i="3"/>
  <c r="N38" i="13"/>
  <c r="N48" i="13"/>
  <c r="N10" i="13"/>
  <c r="N26" i="13" s="1"/>
  <c r="T85" i="3"/>
  <c r="T49" i="13"/>
  <c r="T39" i="13"/>
  <c r="G196" i="3"/>
  <c r="V235" i="3"/>
  <c r="B113" i="3"/>
  <c r="B120" i="3"/>
  <c r="B110" i="3"/>
  <c r="B119" i="3"/>
  <c r="B109" i="3"/>
  <c r="B111" i="3"/>
  <c r="B118" i="3"/>
  <c r="B112" i="3"/>
  <c r="B115" i="3"/>
  <c r="B116" i="3"/>
  <c r="L44" i="13"/>
  <c r="L34" i="13"/>
  <c r="L75" i="3"/>
  <c r="L6" i="13"/>
  <c r="L22" i="13" s="1"/>
  <c r="G85" i="3"/>
  <c r="G39" i="13"/>
  <c r="G49" i="13"/>
  <c r="N34" i="13"/>
  <c r="N44" i="13"/>
  <c r="N75" i="3"/>
  <c r="F27" i="14"/>
  <c r="F21" i="12"/>
  <c r="F71" i="12" s="1"/>
  <c r="F31" i="12"/>
  <c r="F41" i="12"/>
  <c r="F46" i="3"/>
  <c r="K43" i="12"/>
  <c r="K33" i="12"/>
  <c r="K53" i="3"/>
  <c r="K23" i="12"/>
  <c r="K73" i="12" s="1"/>
  <c r="J53" i="3"/>
  <c r="J23" i="12"/>
  <c r="J73" i="12" s="1"/>
  <c r="J43" i="12"/>
  <c r="J33" i="12"/>
  <c r="H44" i="12"/>
  <c r="H34" i="12"/>
  <c r="H54" i="3"/>
  <c r="H24" i="12"/>
  <c r="H74" i="12" s="1"/>
  <c r="L35" i="13"/>
  <c r="L45" i="13"/>
  <c r="L76" i="3"/>
  <c r="U44" i="13"/>
  <c r="U34" i="13"/>
  <c r="U75" i="3"/>
  <c r="B103" i="11"/>
  <c r="V226" i="3"/>
  <c r="G5" i="12"/>
  <c r="G20" i="12"/>
  <c r="G70" i="12" s="1"/>
  <c r="G30" i="12"/>
  <c r="G40" i="12"/>
  <c r="G26" i="14"/>
  <c r="G45" i="3"/>
  <c r="N21" i="12"/>
  <c r="N71" i="12" s="1"/>
  <c r="N31" i="12"/>
  <c r="N41" i="12"/>
  <c r="N46" i="3"/>
  <c r="N27" i="14"/>
  <c r="P83" i="3"/>
  <c r="P37" i="13"/>
  <c r="P47" i="13"/>
  <c r="M54" i="3"/>
  <c r="M24" i="12"/>
  <c r="M74" i="12" s="1"/>
  <c r="M34" i="12"/>
  <c r="M44" i="12"/>
  <c r="M10" i="12"/>
  <c r="C111" i="3"/>
  <c r="C118" i="3"/>
  <c r="C113" i="3"/>
  <c r="C110" i="3"/>
  <c r="C112" i="3"/>
  <c r="C109" i="3"/>
  <c r="C120" i="3"/>
  <c r="C119" i="3"/>
  <c r="C115" i="3"/>
  <c r="C116" i="3"/>
  <c r="C117" i="3"/>
  <c r="U20" i="12"/>
  <c r="U70" i="12" s="1"/>
  <c r="U26" i="14"/>
  <c r="U40" i="12"/>
  <c r="U30" i="12"/>
  <c r="U45" i="3"/>
  <c r="U6" i="12"/>
  <c r="E18" i="13"/>
  <c r="L54" i="3"/>
  <c r="L24" i="12"/>
  <c r="L74" i="12" s="1"/>
  <c r="L44" i="12"/>
  <c r="L34" i="12"/>
  <c r="L10" i="12"/>
  <c r="T26" i="14"/>
  <c r="T20" i="12"/>
  <c r="T70" i="12" s="1"/>
  <c r="T40" i="12"/>
  <c r="T30" i="12"/>
  <c r="T45" i="3"/>
  <c r="F18" i="13"/>
  <c r="E235" i="3"/>
  <c r="L21" i="12"/>
  <c r="L71" i="12" s="1"/>
  <c r="L27" i="14"/>
  <c r="L41" i="12"/>
  <c r="L31" i="12"/>
  <c r="L46" i="3"/>
  <c r="O226" i="3"/>
  <c r="D83" i="3"/>
  <c r="D47" i="13"/>
  <c r="D37" i="13"/>
  <c r="P43" i="13"/>
  <c r="P33" i="13"/>
  <c r="P4" i="13"/>
  <c r="P74" i="3"/>
  <c r="T84" i="3"/>
  <c r="T48" i="13"/>
  <c r="T38" i="13"/>
  <c r="T10" i="13"/>
  <c r="T26" i="13" s="1"/>
  <c r="L84" i="3"/>
  <c r="L48" i="13"/>
  <c r="L38" i="13"/>
  <c r="U48" i="13"/>
  <c r="U38" i="13"/>
  <c r="U84" i="3"/>
  <c r="G34" i="13"/>
  <c r="G44" i="13"/>
  <c r="G75" i="3"/>
  <c r="L55" i="3"/>
  <c r="L25" i="12"/>
  <c r="L75" i="12" s="1"/>
  <c r="L35" i="12"/>
  <c r="L45" i="12"/>
  <c r="T55" i="3"/>
  <c r="T35" i="12"/>
  <c r="T45" i="12"/>
  <c r="T25" i="12"/>
  <c r="T75" i="12" s="1"/>
  <c r="B122" i="11"/>
  <c r="B120" i="11"/>
  <c r="B80" i="11"/>
  <c r="B13" i="11"/>
  <c r="B75" i="11" s="1"/>
  <c r="B121" i="11"/>
  <c r="N54" i="3"/>
  <c r="N24" i="12"/>
  <c r="N74" i="12" s="1"/>
  <c r="N44" i="12"/>
  <c r="N34" i="12"/>
  <c r="N10" i="12"/>
  <c r="V196" i="3"/>
  <c r="B123" i="11"/>
  <c r="O235" i="3"/>
  <c r="G6" i="12"/>
  <c r="E196" i="3"/>
  <c r="D33" i="13"/>
  <c r="D4" i="13"/>
  <c r="D43" i="13"/>
  <c r="D74" i="3"/>
  <c r="T44" i="13"/>
  <c r="T34" i="13"/>
  <c r="T75" i="3"/>
  <c r="T5" i="12"/>
  <c r="F84" i="3"/>
  <c r="F48" i="13"/>
  <c r="F38" i="13"/>
  <c r="L26" i="14"/>
  <c r="L40" i="12"/>
  <c r="L30" i="12"/>
  <c r="L5" i="12"/>
  <c r="L20" i="12"/>
  <c r="L70" i="12" s="1"/>
  <c r="L45" i="3"/>
  <c r="L6" i="12"/>
  <c r="H226" i="3"/>
  <c r="U27" i="14"/>
  <c r="U21" i="12"/>
  <c r="U71" i="12" s="1"/>
  <c r="U41" i="12"/>
  <c r="U31" i="12"/>
  <c r="U46" i="3"/>
  <c r="G18" i="13"/>
  <c r="G3" i="12"/>
  <c r="H235" i="3"/>
  <c r="D205" i="3"/>
  <c r="T196" i="3"/>
  <c r="E54" i="3"/>
  <c r="E24" i="12"/>
  <c r="E74" i="12" s="1"/>
  <c r="E44" i="12"/>
  <c r="E34" i="12"/>
  <c r="N85" i="3"/>
  <c r="N49" i="13"/>
  <c r="N39" i="13"/>
  <c r="G84" i="3"/>
  <c r="G38" i="13"/>
  <c r="G48" i="13"/>
  <c r="G10" i="13"/>
  <c r="G26" i="13" s="1"/>
  <c r="C53" i="3"/>
  <c r="C43" i="12"/>
  <c r="C23" i="12"/>
  <c r="C73" i="12" s="1"/>
  <c r="C33" i="12"/>
  <c r="F196" i="3"/>
  <c r="O18" i="13"/>
  <c r="E226" i="3"/>
  <c r="F206" i="3"/>
  <c r="G226" i="3"/>
  <c r="F226" i="3"/>
  <c r="D101" i="11"/>
  <c r="B102" i="11"/>
  <c r="B48" i="11"/>
  <c r="P205" i="3"/>
  <c r="V18" i="13"/>
  <c r="T54" i="3"/>
  <c r="T24" i="12"/>
  <c r="T74" i="12" s="1"/>
  <c r="T44" i="12"/>
  <c r="T34" i="12"/>
  <c r="T10" i="12"/>
  <c r="H18" i="13"/>
  <c r="O196" i="3"/>
  <c r="Q43" i="12"/>
  <c r="Q33" i="12"/>
  <c r="Q53" i="3"/>
  <c r="Q23" i="12"/>
  <c r="Q73" i="12" s="1"/>
  <c r="G41" i="12"/>
  <c r="G21" i="12"/>
  <c r="G71" i="12" s="1"/>
  <c r="G31" i="12"/>
  <c r="G27" i="14"/>
  <c r="G46" i="3"/>
  <c r="H196" i="3"/>
  <c r="G54" i="3"/>
  <c r="G24" i="12"/>
  <c r="G74" i="12" s="1"/>
  <c r="G34" i="12"/>
  <c r="G44" i="12"/>
  <c r="G10" i="12"/>
  <c r="I205" i="3"/>
  <c r="G55" i="3"/>
  <c r="G45" i="12"/>
  <c r="G35" i="12"/>
  <c r="G25" i="12"/>
  <c r="G75" i="12" s="1"/>
  <c r="B114" i="3"/>
  <c r="D19" i="12"/>
  <c r="D69" i="12" s="1"/>
  <c r="D25" i="14"/>
  <c r="D29" i="12"/>
  <c r="D39" i="12"/>
  <c r="D4" i="12"/>
  <c r="D44" i="3"/>
  <c r="N5" i="12"/>
  <c r="N26" i="14"/>
  <c r="N30" i="12"/>
  <c r="N20" i="12"/>
  <c r="N70" i="12" s="1"/>
  <c r="N40" i="12"/>
  <c r="N45" i="3"/>
  <c r="N6" i="12"/>
  <c r="U10" i="13"/>
  <c r="U26" i="13" s="1"/>
  <c r="L10" i="13"/>
  <c r="L26" i="13" s="1"/>
  <c r="N5" i="13"/>
  <c r="G50" i="12" l="1"/>
  <c r="G55" i="12"/>
  <c r="G54" i="12"/>
  <c r="U5" i="13"/>
  <c r="L36" i="13"/>
  <c r="L46" i="13"/>
  <c r="T3" i="12"/>
  <c r="N19" i="13"/>
  <c r="N3" i="13"/>
  <c r="N21" i="13" s="1"/>
  <c r="U36" i="13"/>
  <c r="U46" i="13"/>
  <c r="U3" i="13"/>
  <c r="U21" i="13" s="1"/>
  <c r="C102" i="11"/>
  <c r="U198" i="3"/>
  <c r="D18" i="13"/>
  <c r="N206" i="3"/>
  <c r="T236" i="3"/>
  <c r="T82" i="3"/>
  <c r="M42" i="12"/>
  <c r="M32" i="12"/>
  <c r="M22" i="12"/>
  <c r="M72" i="12" s="1"/>
  <c r="H206" i="3"/>
  <c r="K205" i="3"/>
  <c r="O55" i="3"/>
  <c r="O25" i="12"/>
  <c r="O75" i="12" s="1"/>
  <c r="O45" i="12"/>
  <c r="O35" i="12"/>
  <c r="L227" i="3"/>
  <c r="L73" i="3"/>
  <c r="C83" i="3"/>
  <c r="C47" i="13"/>
  <c r="C37" i="13"/>
  <c r="L85" i="3"/>
  <c r="L39" i="13"/>
  <c r="L49" i="13"/>
  <c r="F45" i="13"/>
  <c r="F35" i="13"/>
  <c r="F76" i="3"/>
  <c r="F85" i="3"/>
  <c r="F39" i="13"/>
  <c r="F49" i="13"/>
  <c r="I4" i="13"/>
  <c r="I43" i="13"/>
  <c r="I33" i="13"/>
  <c r="I74" i="3"/>
  <c r="C33" i="13"/>
  <c r="C4" i="13"/>
  <c r="C43" i="13"/>
  <c r="C74" i="3"/>
  <c r="N3" i="12"/>
  <c r="G236" i="3"/>
  <c r="G82" i="3"/>
  <c r="L38" i="12"/>
  <c r="L28" i="12"/>
  <c r="L18" i="12"/>
  <c r="L68" i="12" s="1"/>
  <c r="L24" i="14"/>
  <c r="F10" i="13"/>
  <c r="F26" i="13" s="1"/>
  <c r="L207" i="3"/>
  <c r="U28" i="12"/>
  <c r="U18" i="12"/>
  <c r="U68" i="12" s="1"/>
  <c r="U38" i="12"/>
  <c r="U24" i="14"/>
  <c r="S53" i="3"/>
  <c r="S23" i="12"/>
  <c r="S73" i="12" s="1"/>
  <c r="S43" i="12"/>
  <c r="S33" i="12"/>
  <c r="V40" i="12"/>
  <c r="V30" i="12"/>
  <c r="V20" i="12"/>
  <c r="V70" i="12" s="1"/>
  <c r="V45" i="3"/>
  <c r="V26" i="14"/>
  <c r="G197" i="3"/>
  <c r="F5" i="12"/>
  <c r="F40" i="12"/>
  <c r="F30" i="12"/>
  <c r="F20" i="12"/>
  <c r="F70" i="12" s="1"/>
  <c r="F45" i="3"/>
  <c r="F26" i="14"/>
  <c r="F6" i="12"/>
  <c r="U55" i="3"/>
  <c r="U35" i="12"/>
  <c r="U25" i="12"/>
  <c r="U75" i="12" s="1"/>
  <c r="U45" i="12"/>
  <c r="R53" i="3"/>
  <c r="R23" i="12"/>
  <c r="R73" i="12" s="1"/>
  <c r="R33" i="12"/>
  <c r="R43" i="12"/>
  <c r="N28" i="12"/>
  <c r="N18" i="12"/>
  <c r="N68" i="12" s="1"/>
  <c r="N38" i="12"/>
  <c r="N24" i="14"/>
  <c r="G32" i="12"/>
  <c r="G42" i="12"/>
  <c r="G22" i="12"/>
  <c r="G72" i="12" s="1"/>
  <c r="G52" i="12"/>
  <c r="L197" i="3"/>
  <c r="L43" i="3"/>
  <c r="U54" i="3"/>
  <c r="U24" i="12"/>
  <c r="U74" i="12" s="1"/>
  <c r="U34" i="12"/>
  <c r="U44" i="12"/>
  <c r="U10" i="12"/>
  <c r="G28" i="12"/>
  <c r="G48" i="12"/>
  <c r="G38" i="12"/>
  <c r="G18" i="12"/>
  <c r="G68" i="12" s="1"/>
  <c r="G24" i="14"/>
  <c r="B43" i="12"/>
  <c r="B23" i="12"/>
  <c r="B73" i="12" s="1"/>
  <c r="B33" i="12"/>
  <c r="B53" i="3"/>
  <c r="D235" i="3"/>
  <c r="U197" i="3"/>
  <c r="U43" i="3"/>
  <c r="M55" i="3"/>
  <c r="M45" i="12"/>
  <c r="M35" i="12"/>
  <c r="M25" i="12"/>
  <c r="M75" i="12" s="1"/>
  <c r="G43" i="3"/>
  <c r="I235" i="3"/>
  <c r="N45" i="13"/>
  <c r="N35" i="13"/>
  <c r="N55" i="13"/>
  <c r="N76" i="3"/>
  <c r="V84" i="3"/>
  <c r="V48" i="13"/>
  <c r="V38" i="13"/>
  <c r="J83" i="3"/>
  <c r="J47" i="13"/>
  <c r="J37" i="13"/>
  <c r="Q43" i="13"/>
  <c r="Q4" i="13"/>
  <c r="Q33" i="13"/>
  <c r="Q74" i="3"/>
  <c r="N197" i="3"/>
  <c r="N43" i="3"/>
  <c r="D196" i="3"/>
  <c r="G37" i="12"/>
  <c r="G17" i="12"/>
  <c r="G67" i="12" s="1"/>
  <c r="G47" i="12"/>
  <c r="G53" i="12"/>
  <c r="G49" i="12"/>
  <c r="N42" i="12"/>
  <c r="N22" i="12"/>
  <c r="N72" i="12" s="1"/>
  <c r="N32" i="12"/>
  <c r="T207" i="3"/>
  <c r="T36" i="13"/>
  <c r="T46" i="13"/>
  <c r="L198" i="3"/>
  <c r="L206" i="3"/>
  <c r="L52" i="3"/>
  <c r="N198" i="3"/>
  <c r="N6" i="13"/>
  <c r="N22" i="13" s="1"/>
  <c r="F5" i="13"/>
  <c r="F34" i="13"/>
  <c r="F44" i="13"/>
  <c r="F75" i="3"/>
  <c r="F6" i="13"/>
  <c r="F22" i="13" s="1"/>
  <c r="V45" i="13"/>
  <c r="V35" i="13"/>
  <c r="V76" i="3"/>
  <c r="O85" i="3"/>
  <c r="O39" i="13"/>
  <c r="O49" i="13"/>
  <c r="H45" i="13"/>
  <c r="H35" i="13"/>
  <c r="H76" i="3"/>
  <c r="Q83" i="3"/>
  <c r="Q47" i="13"/>
  <c r="Q37" i="13"/>
  <c r="M45" i="13"/>
  <c r="M35" i="13"/>
  <c r="M76" i="3"/>
  <c r="O84" i="3"/>
  <c r="O38" i="13"/>
  <c r="O48" i="13"/>
  <c r="O10" i="13"/>
  <c r="O26" i="13" s="1"/>
  <c r="G198" i="3"/>
  <c r="Q205" i="3"/>
  <c r="T206" i="3"/>
  <c r="T52" i="3"/>
  <c r="P4" i="12"/>
  <c r="P29" i="12"/>
  <c r="P19" i="12"/>
  <c r="P69" i="12" s="1"/>
  <c r="P25" i="14"/>
  <c r="P39" i="12"/>
  <c r="P44" i="3"/>
  <c r="G36" i="13"/>
  <c r="G46" i="13"/>
  <c r="T41" i="12"/>
  <c r="T27" i="14"/>
  <c r="T21" i="12"/>
  <c r="T71" i="12" s="1"/>
  <c r="T31" i="12"/>
  <c r="T46" i="3"/>
  <c r="G227" i="3"/>
  <c r="U236" i="3"/>
  <c r="V54" i="3"/>
  <c r="V34" i="12"/>
  <c r="V24" i="12"/>
  <c r="V74" i="12" s="1"/>
  <c r="V44" i="12"/>
  <c r="P235" i="3"/>
  <c r="N55" i="3"/>
  <c r="N45" i="12"/>
  <c r="N35" i="12"/>
  <c r="N25" i="12"/>
  <c r="N75" i="12" s="1"/>
  <c r="M26" i="14"/>
  <c r="M20" i="12"/>
  <c r="M70" i="12" s="1"/>
  <c r="M40" i="12"/>
  <c r="M30" i="12"/>
  <c r="M45" i="3"/>
  <c r="M6" i="12"/>
  <c r="J205" i="3"/>
  <c r="F198" i="3"/>
  <c r="N227" i="3"/>
  <c r="O20" i="12"/>
  <c r="O70" i="12" s="1"/>
  <c r="O40" i="12"/>
  <c r="O5" i="12"/>
  <c r="O30" i="12"/>
  <c r="O45" i="3"/>
  <c r="O26" i="14"/>
  <c r="O6" i="12"/>
  <c r="N236" i="3"/>
  <c r="N82" i="3"/>
  <c r="E44" i="13"/>
  <c r="E34" i="13"/>
  <c r="E75" i="3"/>
  <c r="M85" i="3"/>
  <c r="M49" i="13"/>
  <c r="M39" i="13"/>
  <c r="E101" i="11"/>
  <c r="G51" i="12"/>
  <c r="E30" i="12"/>
  <c r="E40" i="12"/>
  <c r="E20" i="12"/>
  <c r="E70" i="12" s="1"/>
  <c r="E26" i="14"/>
  <c r="E45" i="3"/>
  <c r="I4" i="12"/>
  <c r="I39" i="12"/>
  <c r="I29" i="12"/>
  <c r="I19" i="12"/>
  <c r="I69" i="12" s="1"/>
  <c r="I25" i="14"/>
  <c r="I44" i="3"/>
  <c r="E206" i="3"/>
  <c r="L3" i="12"/>
  <c r="D226" i="3"/>
  <c r="L236" i="3"/>
  <c r="L82" i="3"/>
  <c r="M206" i="3"/>
  <c r="M52" i="3"/>
  <c r="F55" i="3"/>
  <c r="F35" i="12"/>
  <c r="F45" i="12"/>
  <c r="F25" i="12"/>
  <c r="F75" i="12" s="1"/>
  <c r="F10" i="12"/>
  <c r="O54" i="3"/>
  <c r="O34" i="12"/>
  <c r="O24" i="12"/>
  <c r="O74" i="12" s="1"/>
  <c r="O44" i="12"/>
  <c r="O10" i="12"/>
  <c r="L5" i="13"/>
  <c r="O21" i="12"/>
  <c r="O71" i="12" s="1"/>
  <c r="O31" i="12"/>
  <c r="O27" i="14"/>
  <c r="O41" i="12"/>
  <c r="O46" i="3"/>
  <c r="U35" i="13"/>
  <c r="U45" i="13"/>
  <c r="U76" i="3"/>
  <c r="U73" i="3" s="1"/>
  <c r="O35" i="13"/>
  <c r="O45" i="13"/>
  <c r="O76" i="3"/>
  <c r="C103" i="11"/>
  <c r="V44" i="13"/>
  <c r="V34" i="13"/>
  <c r="V75" i="3"/>
  <c r="V6" i="13"/>
  <c r="V22" i="13" s="1"/>
  <c r="U85" i="3"/>
  <c r="U49" i="13"/>
  <c r="U39" i="13"/>
  <c r="G207" i="3"/>
  <c r="B43" i="11"/>
  <c r="B95" i="11" s="1"/>
  <c r="B100" i="11"/>
  <c r="C205" i="3"/>
  <c r="F236" i="3"/>
  <c r="M5" i="12"/>
  <c r="M21" i="12"/>
  <c r="M71" i="12" s="1"/>
  <c r="M41" i="12"/>
  <c r="M31" i="12"/>
  <c r="M46" i="3"/>
  <c r="M27" i="14"/>
  <c r="P226" i="3"/>
  <c r="L32" i="12"/>
  <c r="L22" i="12"/>
  <c r="L72" i="12" s="1"/>
  <c r="L42" i="12"/>
  <c r="U6" i="13"/>
  <c r="U22" i="13" s="1"/>
  <c r="M84" i="3"/>
  <c r="M48" i="13"/>
  <c r="M38" i="13"/>
  <c r="M10" i="13"/>
  <c r="M26" i="13" s="1"/>
  <c r="G237" i="3"/>
  <c r="T237" i="3"/>
  <c r="T6" i="12"/>
  <c r="K83" i="3"/>
  <c r="K47" i="13"/>
  <c r="K37" i="13"/>
  <c r="H44" i="13"/>
  <c r="H34" i="13"/>
  <c r="H75" i="3"/>
  <c r="H6" i="13"/>
  <c r="H22" i="13" s="1"/>
  <c r="G206" i="3"/>
  <c r="G52" i="3"/>
  <c r="T42" i="12"/>
  <c r="T32" i="12"/>
  <c r="T22" i="12"/>
  <c r="T72" i="12" s="1"/>
  <c r="N237" i="3"/>
  <c r="T227" i="3"/>
  <c r="T197" i="3"/>
  <c r="U5" i="12"/>
  <c r="U19" i="13" s="1"/>
  <c r="U227" i="3"/>
  <c r="L228" i="3"/>
  <c r="L32" i="13"/>
  <c r="L42" i="13"/>
  <c r="N36" i="13"/>
  <c r="N46" i="13"/>
  <c r="N56" i="13"/>
  <c r="H5" i="13"/>
  <c r="L52" i="12" l="1"/>
  <c r="N55" i="12"/>
  <c r="T51" i="12"/>
  <c r="N73" i="3"/>
  <c r="F82" i="3"/>
  <c r="N52" i="3"/>
  <c r="N48" i="12"/>
  <c r="N52" i="12"/>
  <c r="H3" i="13"/>
  <c r="H21" i="13" s="1"/>
  <c r="S83" i="3"/>
  <c r="S37" i="13"/>
  <c r="S47" i="13"/>
  <c r="I34" i="13"/>
  <c r="I44" i="13"/>
  <c r="I75" i="3"/>
  <c r="K4" i="13"/>
  <c r="K43" i="13"/>
  <c r="K33" i="13"/>
  <c r="K74" i="3"/>
  <c r="I84" i="3"/>
  <c r="I48" i="13"/>
  <c r="I38" i="13"/>
  <c r="T28" i="12"/>
  <c r="T18" i="12"/>
  <c r="T68" i="12" s="1"/>
  <c r="T24" i="14"/>
  <c r="T38" i="12"/>
  <c r="T48" i="12"/>
  <c r="M236" i="3"/>
  <c r="M82" i="3"/>
  <c r="M198" i="3"/>
  <c r="O237" i="3"/>
  <c r="V21" i="12"/>
  <c r="V71" i="12" s="1"/>
  <c r="V41" i="12"/>
  <c r="V31" i="12"/>
  <c r="V46" i="3"/>
  <c r="V27" i="14"/>
  <c r="R205" i="3"/>
  <c r="F24" i="14"/>
  <c r="F18" i="12"/>
  <c r="F68" i="12" s="1"/>
  <c r="F38" i="12"/>
  <c r="F28" i="12"/>
  <c r="O207" i="3"/>
  <c r="E55" i="3"/>
  <c r="E25" i="12"/>
  <c r="E75" i="12" s="1"/>
  <c r="E45" i="12"/>
  <c r="E35" i="12"/>
  <c r="E10" i="12"/>
  <c r="U57" i="13"/>
  <c r="U51" i="13"/>
  <c r="U41" i="13"/>
  <c r="U53" i="13"/>
  <c r="U58" i="13"/>
  <c r="U54" i="13"/>
  <c r="D44" i="13"/>
  <c r="D34" i="13"/>
  <c r="D75" i="3"/>
  <c r="P5" i="12"/>
  <c r="B47" i="13"/>
  <c r="B37" i="13"/>
  <c r="B83" i="3"/>
  <c r="G204" i="3"/>
  <c r="G47" i="3"/>
  <c r="E21" i="12"/>
  <c r="E71" i="12" s="1"/>
  <c r="E41" i="12"/>
  <c r="E27" i="14"/>
  <c r="E31" i="12"/>
  <c r="E46" i="3"/>
  <c r="O28" i="12"/>
  <c r="O24" i="14"/>
  <c r="O38" i="12"/>
  <c r="O18" i="12"/>
  <c r="O68" i="12" s="1"/>
  <c r="V228" i="3"/>
  <c r="F32" i="13"/>
  <c r="F42" i="13"/>
  <c r="U42" i="12"/>
  <c r="U32" i="12"/>
  <c r="U22" i="12"/>
  <c r="U72" i="12" s="1"/>
  <c r="V5" i="12"/>
  <c r="F46" i="13"/>
  <c r="F36" i="13"/>
  <c r="N47" i="12"/>
  <c r="N37" i="12"/>
  <c r="N17" i="12"/>
  <c r="N67" i="12" s="1"/>
  <c r="N53" i="12"/>
  <c r="N49" i="12"/>
  <c r="N51" i="12"/>
  <c r="N54" i="12"/>
  <c r="N50" i="12"/>
  <c r="F228" i="3"/>
  <c r="C235" i="3"/>
  <c r="L225" i="3"/>
  <c r="L64" i="3"/>
  <c r="P84" i="3"/>
  <c r="P48" i="13"/>
  <c r="P38" i="13"/>
  <c r="P10" i="12"/>
  <c r="I54" i="3"/>
  <c r="I44" i="12"/>
  <c r="I24" i="12"/>
  <c r="I74" i="12" s="1"/>
  <c r="I34" i="12"/>
  <c r="O206" i="3"/>
  <c r="O52" i="3"/>
  <c r="F207" i="3"/>
  <c r="F52" i="3"/>
  <c r="V206" i="3"/>
  <c r="O236" i="3"/>
  <c r="O82" i="3"/>
  <c r="Q235" i="3"/>
  <c r="F227" i="3"/>
  <c r="F73" i="3"/>
  <c r="N32" i="13"/>
  <c r="N42" i="13"/>
  <c r="N52" i="13"/>
  <c r="L204" i="3"/>
  <c r="L47" i="3"/>
  <c r="L144" i="3" s="1"/>
  <c r="Q226" i="3"/>
  <c r="F197" i="3"/>
  <c r="F43" i="3"/>
  <c r="V6" i="12"/>
  <c r="O5" i="13"/>
  <c r="O34" i="13"/>
  <c r="O44" i="13"/>
  <c r="O75" i="3"/>
  <c r="O6" i="13"/>
  <c r="O22" i="13" s="1"/>
  <c r="I18" i="13"/>
  <c r="L237" i="3"/>
  <c r="G35" i="13"/>
  <c r="G45" i="13"/>
  <c r="G76" i="3"/>
  <c r="G6" i="13"/>
  <c r="G22" i="13" s="1"/>
  <c r="G5" i="13"/>
  <c r="P44" i="12"/>
  <c r="P34" i="12"/>
  <c r="P54" i="3"/>
  <c r="P24" i="12"/>
  <c r="P74" i="12" s="1"/>
  <c r="T52" i="12"/>
  <c r="T17" i="12"/>
  <c r="T67" i="12" s="1"/>
  <c r="T37" i="12"/>
  <c r="T47" i="12"/>
  <c r="T53" i="12"/>
  <c r="T49" i="12"/>
  <c r="T55" i="12"/>
  <c r="T50" i="12"/>
  <c r="T54" i="12"/>
  <c r="D84" i="3"/>
  <c r="D38" i="13"/>
  <c r="D48" i="13"/>
  <c r="R83" i="3"/>
  <c r="R47" i="13"/>
  <c r="R37" i="13"/>
  <c r="P44" i="13"/>
  <c r="P34" i="13"/>
  <c r="P75" i="3"/>
  <c r="P40" i="12"/>
  <c r="P20" i="12"/>
  <c r="P70" i="12" s="1"/>
  <c r="P26" i="14"/>
  <c r="P30" i="12"/>
  <c r="P45" i="3"/>
  <c r="H42" i="13"/>
  <c r="H32" i="13"/>
  <c r="M36" i="13"/>
  <c r="M46" i="13"/>
  <c r="U32" i="13"/>
  <c r="U42" i="13"/>
  <c r="U52" i="13"/>
  <c r="U237" i="3"/>
  <c r="H55" i="3"/>
  <c r="H35" i="12"/>
  <c r="H45" i="12"/>
  <c r="H25" i="12"/>
  <c r="H75" i="12" s="1"/>
  <c r="H10" i="12"/>
  <c r="M204" i="3"/>
  <c r="M47" i="3"/>
  <c r="M147" i="3" s="1"/>
  <c r="Q6" i="12"/>
  <c r="Q39" i="12"/>
  <c r="Q19" i="12"/>
  <c r="Q69" i="12" s="1"/>
  <c r="Q29" i="12"/>
  <c r="Q25" i="14"/>
  <c r="Q44" i="3"/>
  <c r="Q4" i="12"/>
  <c r="Q18" i="13" s="1"/>
  <c r="M237" i="3"/>
  <c r="O197" i="3"/>
  <c r="O43" i="3"/>
  <c r="N64" i="3"/>
  <c r="N225" i="3"/>
  <c r="P196" i="3"/>
  <c r="M228" i="3"/>
  <c r="B205" i="3"/>
  <c r="H20" i="12"/>
  <c r="H70" i="12" s="1"/>
  <c r="H26" i="14"/>
  <c r="H5" i="12"/>
  <c r="H30" i="12"/>
  <c r="H40" i="12"/>
  <c r="H45" i="3"/>
  <c r="H6" i="12"/>
  <c r="P18" i="13"/>
  <c r="R4" i="12"/>
  <c r="R39" i="12"/>
  <c r="R29" i="12"/>
  <c r="R19" i="12"/>
  <c r="R69" i="12" s="1"/>
  <c r="R25" i="14"/>
  <c r="R44" i="3"/>
  <c r="C25" i="14"/>
  <c r="C19" i="12"/>
  <c r="C69" i="12" s="1"/>
  <c r="C39" i="12"/>
  <c r="C29" i="12"/>
  <c r="C4" i="12"/>
  <c r="C44" i="3"/>
  <c r="U56" i="13"/>
  <c r="H85" i="3"/>
  <c r="H49" i="13"/>
  <c r="H39" i="13"/>
  <c r="E85" i="3"/>
  <c r="E49" i="13"/>
  <c r="E39" i="13"/>
  <c r="B33" i="13"/>
  <c r="B4" i="13"/>
  <c r="B43" i="13"/>
  <c r="B74" i="3"/>
  <c r="E38" i="13"/>
  <c r="E48" i="13"/>
  <c r="E84" i="3"/>
  <c r="E10" i="13"/>
  <c r="E26" i="13" s="1"/>
  <c r="H227" i="3"/>
  <c r="H73" i="3"/>
  <c r="V42" i="13"/>
  <c r="V32" i="13"/>
  <c r="U228" i="3"/>
  <c r="V55" i="3"/>
  <c r="V45" i="12"/>
  <c r="V35" i="12"/>
  <c r="V25" i="12"/>
  <c r="V75" i="12" s="1"/>
  <c r="L19" i="13"/>
  <c r="L3" i="13"/>
  <c r="L21" i="13" s="1"/>
  <c r="L48" i="12"/>
  <c r="L37" i="12"/>
  <c r="L47" i="12"/>
  <c r="L17" i="12"/>
  <c r="L67" i="12" s="1"/>
  <c r="L53" i="12"/>
  <c r="L49" i="12"/>
  <c r="L54" i="12"/>
  <c r="L55" i="12"/>
  <c r="L51" i="12"/>
  <c r="L50" i="12"/>
  <c r="E5" i="12"/>
  <c r="M18" i="12"/>
  <c r="M68" i="12" s="1"/>
  <c r="M28" i="12"/>
  <c r="M38" i="12"/>
  <c r="M24" i="14"/>
  <c r="C54" i="3"/>
  <c r="C44" i="12"/>
  <c r="C34" i="12"/>
  <c r="C24" i="12"/>
  <c r="C74" i="12" s="1"/>
  <c r="V236" i="3"/>
  <c r="M207" i="3"/>
  <c r="V197" i="3"/>
  <c r="I226" i="3"/>
  <c r="T77" i="3"/>
  <c r="T234" i="3"/>
  <c r="C48" i="11"/>
  <c r="R4" i="13"/>
  <c r="R33" i="13"/>
  <c r="R43" i="13"/>
  <c r="R74" i="3"/>
  <c r="D5" i="12"/>
  <c r="B58" i="11"/>
  <c r="B53" i="11" s="1"/>
  <c r="J4" i="13"/>
  <c r="J33" i="13"/>
  <c r="J43" i="13"/>
  <c r="J74" i="3"/>
  <c r="M3" i="12"/>
  <c r="V227" i="3"/>
  <c r="V73" i="3"/>
  <c r="O228" i="3"/>
  <c r="U55" i="13"/>
  <c r="O198" i="3"/>
  <c r="O22" i="12"/>
  <c r="O72" i="12" s="1"/>
  <c r="O42" i="12"/>
  <c r="O32" i="12"/>
  <c r="F32" i="12"/>
  <c r="F22" i="12"/>
  <c r="F72" i="12" s="1"/>
  <c r="F42" i="12"/>
  <c r="I196" i="3"/>
  <c r="E6" i="12"/>
  <c r="M197" i="3"/>
  <c r="M43" i="3"/>
  <c r="V10" i="12"/>
  <c r="U82" i="3"/>
  <c r="T198" i="3"/>
  <c r="T43" i="3"/>
  <c r="T204" i="3"/>
  <c r="T47" i="3"/>
  <c r="T144" i="3" s="1"/>
  <c r="O36" i="13"/>
  <c r="O46" i="13"/>
  <c r="N228" i="3"/>
  <c r="U195" i="3"/>
  <c r="U34" i="3"/>
  <c r="U207" i="3"/>
  <c r="C226" i="3"/>
  <c r="I20" i="12"/>
  <c r="I70" i="12" s="1"/>
  <c r="I40" i="12"/>
  <c r="I30" i="12"/>
  <c r="I45" i="3"/>
  <c r="I26" i="14"/>
  <c r="D103" i="11"/>
  <c r="Q5" i="12"/>
  <c r="U3" i="12"/>
  <c r="H27" i="14"/>
  <c r="H41" i="12"/>
  <c r="H31" i="12"/>
  <c r="H21" i="12"/>
  <c r="H71" i="12" s="1"/>
  <c r="H46" i="3"/>
  <c r="F77" i="3"/>
  <c r="F177" i="3" s="1"/>
  <c r="F234" i="3"/>
  <c r="L77" i="3"/>
  <c r="L177" i="3" s="1"/>
  <c r="L234" i="3"/>
  <c r="E197" i="3"/>
  <c r="E43" i="3"/>
  <c r="M34" i="13"/>
  <c r="M5" i="13"/>
  <c r="M44" i="13"/>
  <c r="M75" i="3"/>
  <c r="M6" i="13"/>
  <c r="M22" i="13" s="1"/>
  <c r="E227" i="3"/>
  <c r="N77" i="3"/>
  <c r="N234" i="3"/>
  <c r="O3" i="12"/>
  <c r="P6" i="12"/>
  <c r="D26" i="14"/>
  <c r="D40" i="12"/>
  <c r="D30" i="12"/>
  <c r="D20" i="12"/>
  <c r="D70" i="12" s="1"/>
  <c r="D45" i="3"/>
  <c r="D6" i="12"/>
  <c r="J235" i="3"/>
  <c r="U206" i="3"/>
  <c r="U52" i="3"/>
  <c r="K19" i="12"/>
  <c r="K69" i="12" s="1"/>
  <c r="K39" i="12"/>
  <c r="K29" i="12"/>
  <c r="K4" i="12"/>
  <c r="K25" i="14"/>
  <c r="K44" i="3"/>
  <c r="H84" i="3"/>
  <c r="H48" i="13"/>
  <c r="H38" i="13"/>
  <c r="H10" i="13"/>
  <c r="H26" i="13" s="1"/>
  <c r="N51" i="13"/>
  <c r="N41" i="13"/>
  <c r="N57" i="13"/>
  <c r="N53" i="13"/>
  <c r="N54" i="13"/>
  <c r="N59" i="13"/>
  <c r="N58" i="13"/>
  <c r="Q44" i="13"/>
  <c r="Q34" i="13"/>
  <c r="Q75" i="3"/>
  <c r="C58" i="11"/>
  <c r="C53" i="11" s="1"/>
  <c r="U225" i="3"/>
  <c r="U64" i="3"/>
  <c r="K235" i="3"/>
  <c r="U59" i="13"/>
  <c r="J4" i="12"/>
  <c r="J19" i="12"/>
  <c r="J69" i="12" s="1"/>
  <c r="J29" i="12"/>
  <c r="J39" i="12"/>
  <c r="J25" i="14"/>
  <c r="J44" i="3"/>
  <c r="N207" i="3"/>
  <c r="H228" i="3"/>
  <c r="T35" i="13"/>
  <c r="T45" i="13"/>
  <c r="T76" i="3"/>
  <c r="T6" i="13"/>
  <c r="T22" i="13" s="1"/>
  <c r="T5" i="13"/>
  <c r="F19" i="13"/>
  <c r="F3" i="13"/>
  <c r="N34" i="3"/>
  <c r="N135" i="3" s="1"/>
  <c r="N195" i="3"/>
  <c r="G195" i="3"/>
  <c r="G34" i="3"/>
  <c r="G135" i="3" s="1"/>
  <c r="L195" i="3"/>
  <c r="L34" i="3"/>
  <c r="Q30" i="12"/>
  <c r="Q40" i="12"/>
  <c r="Q45" i="3"/>
  <c r="Q26" i="14"/>
  <c r="Q20" i="12"/>
  <c r="Q70" i="12" s="1"/>
  <c r="F3" i="12"/>
  <c r="S205" i="3"/>
  <c r="G77" i="3"/>
  <c r="G234" i="3"/>
  <c r="F237" i="3"/>
  <c r="I6" i="13"/>
  <c r="I22" i="13" s="1"/>
  <c r="P6" i="13"/>
  <c r="P22" i="13" s="1"/>
  <c r="P10" i="13"/>
  <c r="P26" i="13" s="1"/>
  <c r="U52" i="12" l="1"/>
  <c r="O52" i="12"/>
  <c r="H58" i="13"/>
  <c r="H59" i="13"/>
  <c r="F52" i="13"/>
  <c r="F21" i="13"/>
  <c r="U156" i="3"/>
  <c r="U160" i="3"/>
  <c r="U158" i="3"/>
  <c r="U159" i="3"/>
  <c r="U163" i="3"/>
  <c r="U157" i="3"/>
  <c r="U161" i="3"/>
  <c r="U166" i="3"/>
  <c r="U167" i="3"/>
  <c r="T169" i="3"/>
  <c r="T172" i="3"/>
  <c r="T173" i="3"/>
  <c r="T171" i="3"/>
  <c r="T170" i="3"/>
  <c r="T179" i="3"/>
  <c r="T180" i="3"/>
  <c r="T178" i="3"/>
  <c r="T175" i="3"/>
  <c r="T177" i="3"/>
  <c r="T176" i="3"/>
  <c r="L156" i="3"/>
  <c r="L158" i="3"/>
  <c r="L160" i="3"/>
  <c r="L163" i="3"/>
  <c r="L159" i="3"/>
  <c r="L157" i="3"/>
  <c r="L161" i="3"/>
  <c r="L166" i="3"/>
  <c r="L167" i="3"/>
  <c r="L168" i="3"/>
  <c r="U165" i="3"/>
  <c r="L165" i="3"/>
  <c r="T174" i="3"/>
  <c r="L174" i="3"/>
  <c r="G169" i="3"/>
  <c r="G171" i="3"/>
  <c r="G173" i="3"/>
  <c r="G172" i="3"/>
  <c r="G170" i="3"/>
  <c r="G180" i="3"/>
  <c r="G179" i="3"/>
  <c r="G178" i="3"/>
  <c r="G175" i="3"/>
  <c r="G176" i="3"/>
  <c r="G177" i="3"/>
  <c r="N229" i="3"/>
  <c r="N169" i="3"/>
  <c r="N171" i="3"/>
  <c r="N172" i="3"/>
  <c r="N173" i="3"/>
  <c r="N170" i="3"/>
  <c r="N180" i="3"/>
  <c r="N179" i="3"/>
  <c r="N178" i="3"/>
  <c r="N175" i="3"/>
  <c r="N177" i="3"/>
  <c r="N176" i="3"/>
  <c r="L229" i="3"/>
  <c r="L169" i="3"/>
  <c r="L173" i="3"/>
  <c r="L172" i="3"/>
  <c r="L171" i="3"/>
  <c r="L170" i="3"/>
  <c r="L180" i="3"/>
  <c r="L179" i="3"/>
  <c r="L178" i="3"/>
  <c r="L175" i="3"/>
  <c r="L176" i="3"/>
  <c r="G174" i="3"/>
  <c r="N156" i="3"/>
  <c r="N158" i="3"/>
  <c r="N163" i="3"/>
  <c r="N160" i="3"/>
  <c r="N159" i="3"/>
  <c r="N161" i="3"/>
  <c r="N157" i="3"/>
  <c r="N166" i="3"/>
  <c r="N167" i="3"/>
  <c r="N168" i="3"/>
  <c r="N165" i="3"/>
  <c r="N174" i="3"/>
  <c r="F229" i="3"/>
  <c r="F169" i="3"/>
  <c r="F172" i="3"/>
  <c r="F173" i="3"/>
  <c r="F171" i="3"/>
  <c r="F170" i="3"/>
  <c r="F180" i="3"/>
  <c r="F179" i="3"/>
  <c r="F178" i="3"/>
  <c r="F175" i="3"/>
  <c r="F176" i="3"/>
  <c r="U168" i="3"/>
  <c r="F174" i="3"/>
  <c r="L126" i="3"/>
  <c r="L134" i="3"/>
  <c r="L132" i="3"/>
  <c r="L130" i="3"/>
  <c r="L133" i="3"/>
  <c r="L128" i="3"/>
  <c r="L129" i="3"/>
  <c r="L131" i="3"/>
  <c r="L127" i="3"/>
  <c r="L136" i="3"/>
  <c r="L138" i="3"/>
  <c r="L137" i="3"/>
  <c r="V43" i="3"/>
  <c r="V195" i="3" s="1"/>
  <c r="G126" i="3"/>
  <c r="G129" i="3"/>
  <c r="G130" i="3"/>
  <c r="G134" i="3"/>
  <c r="G128" i="3"/>
  <c r="G132" i="3"/>
  <c r="G127" i="3"/>
  <c r="G133" i="3"/>
  <c r="G131" i="3"/>
  <c r="G136" i="3"/>
  <c r="G138" i="3"/>
  <c r="G137" i="3"/>
  <c r="U126" i="3"/>
  <c r="U128" i="3"/>
  <c r="U130" i="3"/>
  <c r="U129" i="3"/>
  <c r="U132" i="3"/>
  <c r="U134" i="3"/>
  <c r="U133" i="3"/>
  <c r="U127" i="3"/>
  <c r="U131" i="3"/>
  <c r="U136" i="3"/>
  <c r="U137" i="3"/>
  <c r="U138" i="3"/>
  <c r="M139" i="3"/>
  <c r="M142" i="3"/>
  <c r="M141" i="3"/>
  <c r="M140" i="3"/>
  <c r="M143" i="3"/>
  <c r="M150" i="3"/>
  <c r="M149" i="3"/>
  <c r="M148" i="3"/>
  <c r="M145" i="3"/>
  <c r="M146" i="3"/>
  <c r="U135" i="3"/>
  <c r="L139" i="3"/>
  <c r="L141" i="3"/>
  <c r="L143" i="3"/>
  <c r="L142" i="3"/>
  <c r="L140" i="3"/>
  <c r="L149" i="3"/>
  <c r="L150" i="3"/>
  <c r="L148" i="3"/>
  <c r="L145" i="3"/>
  <c r="L146" i="3"/>
  <c r="L147" i="3"/>
  <c r="G199" i="3"/>
  <c r="G139" i="3"/>
  <c r="G141" i="3"/>
  <c r="G143" i="3"/>
  <c r="G142" i="3"/>
  <c r="G140" i="3"/>
  <c r="G150" i="3"/>
  <c r="G149" i="3"/>
  <c r="G148" i="3"/>
  <c r="G145" i="3"/>
  <c r="G147" i="3"/>
  <c r="G146" i="3"/>
  <c r="V52" i="3"/>
  <c r="V204" i="3" s="1"/>
  <c r="N47" i="3"/>
  <c r="G144" i="3"/>
  <c r="L135" i="3"/>
  <c r="N126" i="3"/>
  <c r="N128" i="3"/>
  <c r="N132" i="3"/>
  <c r="N129" i="3"/>
  <c r="N134" i="3"/>
  <c r="N130" i="3"/>
  <c r="N133" i="3"/>
  <c r="N127" i="3"/>
  <c r="N131" i="3"/>
  <c r="N136" i="3"/>
  <c r="N137" i="3"/>
  <c r="N138" i="3"/>
  <c r="N204" i="3"/>
  <c r="M144" i="3"/>
  <c r="T139" i="3"/>
  <c r="T141" i="3"/>
  <c r="T143" i="3"/>
  <c r="T142" i="3"/>
  <c r="T140" i="3"/>
  <c r="T150" i="3"/>
  <c r="T149" i="3"/>
  <c r="T148" i="3"/>
  <c r="T145" i="3"/>
  <c r="T146" i="3"/>
  <c r="T147" i="3"/>
  <c r="I5" i="12"/>
  <c r="P3" i="12"/>
  <c r="P32" i="13"/>
  <c r="P42" i="13"/>
  <c r="I32" i="13"/>
  <c r="I42" i="13"/>
  <c r="P46" i="13"/>
  <c r="P36" i="13"/>
  <c r="C34" i="13"/>
  <c r="C44" i="13"/>
  <c r="C75" i="3"/>
  <c r="D102" i="11"/>
  <c r="D48" i="11"/>
  <c r="K44" i="13"/>
  <c r="K75" i="3"/>
  <c r="K34" i="13"/>
  <c r="E102" i="11"/>
  <c r="G101" i="11"/>
  <c r="T42" i="13"/>
  <c r="T32" i="13"/>
  <c r="K196" i="3"/>
  <c r="D3" i="12"/>
  <c r="U186" i="3"/>
  <c r="V32" i="12"/>
  <c r="V22" i="12"/>
  <c r="V72" i="12" s="1"/>
  <c r="V42" i="12"/>
  <c r="R226" i="3"/>
  <c r="E3" i="12"/>
  <c r="R235" i="3"/>
  <c r="F64" i="3"/>
  <c r="F225" i="3"/>
  <c r="P55" i="3"/>
  <c r="P52" i="3" s="1"/>
  <c r="P45" i="12"/>
  <c r="P35" i="12"/>
  <c r="P25" i="12"/>
  <c r="P75" i="12" s="1"/>
  <c r="B235" i="3"/>
  <c r="D21" i="12"/>
  <c r="D71" i="12" s="1"/>
  <c r="D41" i="12"/>
  <c r="D31" i="12"/>
  <c r="D46" i="3"/>
  <c r="D43" i="3" s="1"/>
  <c r="D27" i="14"/>
  <c r="K226" i="3"/>
  <c r="J44" i="13"/>
  <c r="J34" i="13"/>
  <c r="J75" i="3"/>
  <c r="D85" i="3"/>
  <c r="D49" i="13"/>
  <c r="D39" i="13"/>
  <c r="Q197" i="3"/>
  <c r="L186" i="3"/>
  <c r="N186" i="3"/>
  <c r="T228" i="3"/>
  <c r="T73" i="3"/>
  <c r="U216" i="3"/>
  <c r="M19" i="13"/>
  <c r="M3" i="13"/>
  <c r="M21" i="13" s="1"/>
  <c r="M34" i="3"/>
  <c r="M195" i="3"/>
  <c r="Q54" i="3"/>
  <c r="Q44" i="12"/>
  <c r="Q34" i="12"/>
  <c r="Q24" i="12"/>
  <c r="Q74" i="12" s="1"/>
  <c r="Q10" i="12"/>
  <c r="P42" i="12"/>
  <c r="P32" i="12"/>
  <c r="P22" i="12"/>
  <c r="P72" i="12" s="1"/>
  <c r="G3" i="13"/>
  <c r="G19" i="13"/>
  <c r="J26" i="14"/>
  <c r="J20" i="12"/>
  <c r="J70" i="12" s="1"/>
  <c r="J40" i="12"/>
  <c r="J30" i="12"/>
  <c r="J45" i="3"/>
  <c r="V3" i="12"/>
  <c r="I236" i="3"/>
  <c r="H52" i="13"/>
  <c r="H41" i="13"/>
  <c r="H51" i="13"/>
  <c r="H53" i="13"/>
  <c r="H57" i="13"/>
  <c r="H54" i="13"/>
  <c r="H55" i="13"/>
  <c r="R34" i="13"/>
  <c r="R44" i="13"/>
  <c r="R75" i="3"/>
  <c r="F52" i="12"/>
  <c r="F47" i="12"/>
  <c r="F37" i="12"/>
  <c r="F17" i="12"/>
  <c r="F67" i="12" s="1"/>
  <c r="F53" i="12"/>
  <c r="F49" i="12"/>
  <c r="F54" i="12"/>
  <c r="F51" i="12"/>
  <c r="F55" i="12"/>
  <c r="F50" i="12"/>
  <c r="H236" i="3"/>
  <c r="H82" i="3"/>
  <c r="I197" i="3"/>
  <c r="T199" i="3"/>
  <c r="M37" i="12"/>
  <c r="M47" i="12"/>
  <c r="M17" i="12"/>
  <c r="M67" i="12" s="1"/>
  <c r="M53" i="12"/>
  <c r="M49" i="12"/>
  <c r="M54" i="12"/>
  <c r="M50" i="12"/>
  <c r="M52" i="12"/>
  <c r="M51" i="12"/>
  <c r="M55" i="12"/>
  <c r="J226" i="3"/>
  <c r="J54" i="3"/>
  <c r="J44" i="12"/>
  <c r="J34" i="12"/>
  <c r="J24" i="12"/>
  <c r="J74" i="12" s="1"/>
  <c r="J10" i="12"/>
  <c r="B226" i="3"/>
  <c r="H237" i="3"/>
  <c r="H3" i="12"/>
  <c r="Q28" i="12"/>
  <c r="Q18" i="12"/>
  <c r="Q68" i="12" s="1"/>
  <c r="Q38" i="12"/>
  <c r="Q24" i="14"/>
  <c r="D10" i="13"/>
  <c r="D26" i="13" s="1"/>
  <c r="G42" i="13"/>
  <c r="G32" i="13"/>
  <c r="O19" i="13"/>
  <c r="O3" i="13"/>
  <c r="L199" i="3"/>
  <c r="O204" i="3"/>
  <c r="O47" i="3"/>
  <c r="V198" i="3"/>
  <c r="M77" i="3"/>
  <c r="M174" i="3" s="1"/>
  <c r="M234" i="3"/>
  <c r="C40" i="12"/>
  <c r="C20" i="12"/>
  <c r="C70" i="12" s="1"/>
  <c r="C30" i="12"/>
  <c r="C26" i="14"/>
  <c r="C45" i="3"/>
  <c r="H19" i="13"/>
  <c r="R84" i="3"/>
  <c r="R48" i="13"/>
  <c r="R38" i="13"/>
  <c r="U204" i="3"/>
  <c r="U47" i="3"/>
  <c r="U144" i="3" s="1"/>
  <c r="D54" i="3"/>
  <c r="D24" i="12"/>
  <c r="D74" i="12" s="1"/>
  <c r="D44" i="12"/>
  <c r="D34" i="12"/>
  <c r="D10" i="12"/>
  <c r="T229" i="3"/>
  <c r="E36" i="13"/>
  <c r="E46" i="13"/>
  <c r="Q3" i="12"/>
  <c r="R20" i="12"/>
  <c r="R70" i="12" s="1"/>
  <c r="R40" i="12"/>
  <c r="R30" i="12"/>
  <c r="R26" i="14"/>
  <c r="R45" i="3"/>
  <c r="G228" i="3"/>
  <c r="G73" i="3"/>
  <c r="D227" i="3"/>
  <c r="J55" i="3"/>
  <c r="J25" i="12"/>
  <c r="J75" i="12" s="1"/>
  <c r="J35" i="12"/>
  <c r="J45" i="12"/>
  <c r="Q41" i="12"/>
  <c r="Q31" i="12"/>
  <c r="Q21" i="12"/>
  <c r="Q71" i="12" s="1"/>
  <c r="Q27" i="14"/>
  <c r="Q46" i="3"/>
  <c r="I227" i="3"/>
  <c r="D58" i="11"/>
  <c r="D53" i="11" s="1"/>
  <c r="I5" i="13"/>
  <c r="J84" i="3"/>
  <c r="J48" i="13"/>
  <c r="J38" i="13"/>
  <c r="K48" i="13"/>
  <c r="K38" i="13"/>
  <c r="K84" i="3"/>
  <c r="G186" i="3"/>
  <c r="J196" i="3"/>
  <c r="D18" i="12"/>
  <c r="D68" i="12" s="1"/>
  <c r="D38" i="12"/>
  <c r="D28" i="12"/>
  <c r="D24" i="14"/>
  <c r="P24" i="14"/>
  <c r="P28" i="12"/>
  <c r="P38" i="12"/>
  <c r="P18" i="12"/>
  <c r="P68" i="12" s="1"/>
  <c r="E34" i="3"/>
  <c r="E135" i="3" s="1"/>
  <c r="E195" i="3"/>
  <c r="Q55" i="3"/>
  <c r="Q45" i="12"/>
  <c r="Q35" i="12"/>
  <c r="Q25" i="12"/>
  <c r="Q75" i="12" s="1"/>
  <c r="T195" i="3"/>
  <c r="T34" i="3"/>
  <c r="T135" i="3" s="1"/>
  <c r="E28" i="12"/>
  <c r="E18" i="12"/>
  <c r="E68" i="12" s="1"/>
  <c r="E24" i="14"/>
  <c r="E38" i="12"/>
  <c r="V207" i="3"/>
  <c r="Q196" i="3"/>
  <c r="M199" i="3"/>
  <c r="H207" i="3"/>
  <c r="H52" i="3"/>
  <c r="P206" i="3"/>
  <c r="O32" i="13"/>
  <c r="O42" i="13"/>
  <c r="I206" i="3"/>
  <c r="F101" i="11"/>
  <c r="L216" i="3"/>
  <c r="C18" i="13"/>
  <c r="K54" i="3"/>
  <c r="K24" i="12"/>
  <c r="K74" i="12" s="1"/>
  <c r="K44" i="12"/>
  <c r="K34" i="12"/>
  <c r="K10" i="12"/>
  <c r="E207" i="3"/>
  <c r="E52" i="3"/>
  <c r="E103" i="11"/>
  <c r="C84" i="3"/>
  <c r="C48" i="13"/>
  <c r="C38" i="13"/>
  <c r="G229" i="3"/>
  <c r="F51" i="13"/>
  <c r="F41" i="13"/>
  <c r="F57" i="13"/>
  <c r="F53" i="13"/>
  <c r="F58" i="13"/>
  <c r="F59" i="13"/>
  <c r="F54" i="13"/>
  <c r="F55" i="13"/>
  <c r="Q227" i="3"/>
  <c r="H46" i="13"/>
  <c r="H36" i="13"/>
  <c r="H56" i="13"/>
  <c r="D197" i="3"/>
  <c r="O37" i="12"/>
  <c r="O47" i="12"/>
  <c r="O17" i="12"/>
  <c r="O67" i="12" s="1"/>
  <c r="O53" i="12"/>
  <c r="O49" i="12"/>
  <c r="O54" i="12"/>
  <c r="O51" i="12"/>
  <c r="O55" i="12"/>
  <c r="O50" i="12"/>
  <c r="M32" i="13"/>
  <c r="M42" i="13"/>
  <c r="I3" i="12"/>
  <c r="I27" i="14"/>
  <c r="I41" i="12"/>
  <c r="I31" i="12"/>
  <c r="I21" i="12"/>
  <c r="I71" i="12" s="1"/>
  <c r="I46" i="3"/>
  <c r="I6" i="12"/>
  <c r="H225" i="3"/>
  <c r="H64" i="3"/>
  <c r="E237" i="3"/>
  <c r="C196" i="3"/>
  <c r="H24" i="14"/>
  <c r="H38" i="12"/>
  <c r="H28" i="12"/>
  <c r="H18" i="12"/>
  <c r="H68" i="12" s="1"/>
  <c r="P49" i="12"/>
  <c r="N216" i="3"/>
  <c r="E45" i="13"/>
  <c r="E35" i="13"/>
  <c r="E76" i="3"/>
  <c r="E6" i="13"/>
  <c r="E22" i="13" s="1"/>
  <c r="E5" i="13"/>
  <c r="P227" i="3"/>
  <c r="O227" i="3"/>
  <c r="O73" i="3"/>
  <c r="V28" i="12"/>
  <c r="V18" i="12"/>
  <c r="V68" i="12" s="1"/>
  <c r="V38" i="12"/>
  <c r="V24" i="14"/>
  <c r="F56" i="13"/>
  <c r="E198" i="3"/>
  <c r="D55" i="3"/>
  <c r="D35" i="12"/>
  <c r="D25" i="12"/>
  <c r="D75" i="12" s="1"/>
  <c r="D45" i="12"/>
  <c r="P85" i="3"/>
  <c r="P39" i="13"/>
  <c r="P49" i="13"/>
  <c r="P45" i="13"/>
  <c r="P35" i="13"/>
  <c r="P76" i="3"/>
  <c r="I45" i="13"/>
  <c r="I35" i="13"/>
  <c r="I76" i="3"/>
  <c r="S4" i="13"/>
  <c r="S33" i="13"/>
  <c r="S43" i="13"/>
  <c r="S74" i="3"/>
  <c r="C5" i="12"/>
  <c r="R54" i="3"/>
  <c r="R44" i="12"/>
  <c r="R34" i="12"/>
  <c r="R24" i="12"/>
  <c r="R74" i="12" s="1"/>
  <c r="M227" i="3"/>
  <c r="M73" i="3"/>
  <c r="I55" i="3"/>
  <c r="I45" i="12"/>
  <c r="I35" i="12"/>
  <c r="I25" i="12"/>
  <c r="I75" i="12" s="1"/>
  <c r="R18" i="13"/>
  <c r="C206" i="3"/>
  <c r="M48" i="12"/>
  <c r="L52" i="13"/>
  <c r="L41" i="13"/>
  <c r="L51" i="13"/>
  <c r="L53" i="13"/>
  <c r="L57" i="13"/>
  <c r="L54" i="13"/>
  <c r="L58" i="13"/>
  <c r="L55" i="13"/>
  <c r="L59" i="13"/>
  <c r="L56" i="13"/>
  <c r="E82" i="3"/>
  <c r="E236" i="3"/>
  <c r="B19" i="12"/>
  <c r="B69" i="12" s="1"/>
  <c r="B29" i="12"/>
  <c r="B4" i="12"/>
  <c r="B18" i="13" s="1"/>
  <c r="B39" i="12"/>
  <c r="B25" i="14"/>
  <c r="B44" i="3"/>
  <c r="H197" i="3"/>
  <c r="H43" i="3"/>
  <c r="O195" i="3"/>
  <c r="O34" i="3"/>
  <c r="P197" i="3"/>
  <c r="F195" i="3"/>
  <c r="F34" i="3"/>
  <c r="F135" i="3" s="1"/>
  <c r="V85" i="3"/>
  <c r="V39" i="13"/>
  <c r="V49" i="13"/>
  <c r="V10" i="13"/>
  <c r="V26" i="13" s="1"/>
  <c r="V5" i="13"/>
  <c r="K18" i="13"/>
  <c r="S235" i="3"/>
  <c r="T19" i="13"/>
  <c r="T3" i="13"/>
  <c r="T21" i="13" s="1"/>
  <c r="H198" i="3"/>
  <c r="U49" i="12"/>
  <c r="U47" i="12"/>
  <c r="U37" i="12"/>
  <c r="U53" i="12"/>
  <c r="U17" i="12"/>
  <c r="U67" i="12" s="1"/>
  <c r="U50" i="12"/>
  <c r="U51" i="12"/>
  <c r="U48" i="12"/>
  <c r="U54" i="12"/>
  <c r="U55" i="12"/>
  <c r="U77" i="3"/>
  <c r="U234" i="3"/>
  <c r="V225" i="3"/>
  <c r="V64" i="3"/>
  <c r="J18" i="13"/>
  <c r="S39" i="12"/>
  <c r="S19" i="12"/>
  <c r="S69" i="12" s="1"/>
  <c r="S29" i="12"/>
  <c r="S4" i="12"/>
  <c r="S25" i="14"/>
  <c r="S44" i="3"/>
  <c r="C43" i="11"/>
  <c r="C95" i="11" s="1"/>
  <c r="C100" i="11"/>
  <c r="R196" i="3"/>
  <c r="H42" i="12"/>
  <c r="H32" i="12"/>
  <c r="H22" i="12"/>
  <c r="H72" i="12" s="1"/>
  <c r="P50" i="12"/>
  <c r="P5" i="13"/>
  <c r="D236" i="3"/>
  <c r="O77" i="3"/>
  <c r="O234" i="3"/>
  <c r="F204" i="3"/>
  <c r="F47" i="3"/>
  <c r="I10" i="12"/>
  <c r="P236" i="3"/>
  <c r="O48" i="12"/>
  <c r="P31" i="12"/>
  <c r="P41" i="12"/>
  <c r="P21" i="12"/>
  <c r="P71" i="12" s="1"/>
  <c r="P46" i="3"/>
  <c r="P27" i="14"/>
  <c r="E42" i="12"/>
  <c r="E32" i="12"/>
  <c r="E22" i="12"/>
  <c r="E72" i="12" s="1"/>
  <c r="F48" i="12"/>
  <c r="K5" i="12"/>
  <c r="K3" i="12" s="1"/>
  <c r="K30" i="12"/>
  <c r="K26" i="14"/>
  <c r="K20" i="12"/>
  <c r="K70" i="12" s="1"/>
  <c r="K40" i="12"/>
  <c r="K45" i="3"/>
  <c r="F103" i="11"/>
  <c r="J10" i="13"/>
  <c r="J26" i="13" s="1"/>
  <c r="C6" i="13"/>
  <c r="C22" i="13" s="1"/>
  <c r="M52" i="13" l="1"/>
  <c r="V48" i="12"/>
  <c r="P54" i="12"/>
  <c r="P67" i="12"/>
  <c r="Q55" i="12"/>
  <c r="H52" i="12"/>
  <c r="D54" i="12"/>
  <c r="I51" i="12"/>
  <c r="E52" i="12"/>
  <c r="V34" i="3"/>
  <c r="V130" i="3" s="1"/>
  <c r="P53" i="12"/>
  <c r="P52" i="12"/>
  <c r="P37" i="12"/>
  <c r="P51" i="12"/>
  <c r="P47" i="12"/>
  <c r="P48" i="12"/>
  <c r="P17" i="12"/>
  <c r="P55" i="12"/>
  <c r="G52" i="13"/>
  <c r="G21" i="13"/>
  <c r="O52" i="13"/>
  <c r="O21" i="13"/>
  <c r="D82" i="3"/>
  <c r="D77" i="3" s="1"/>
  <c r="H156" i="3"/>
  <c r="H158" i="3"/>
  <c r="H159" i="3"/>
  <c r="H163" i="3"/>
  <c r="H160" i="3"/>
  <c r="H161" i="3"/>
  <c r="H157" i="3"/>
  <c r="H166" i="3"/>
  <c r="H167" i="3"/>
  <c r="H168" i="3"/>
  <c r="V156" i="3"/>
  <c r="V159" i="3"/>
  <c r="V158" i="3"/>
  <c r="V160" i="3"/>
  <c r="V157" i="3"/>
  <c r="V163" i="3"/>
  <c r="V161" i="3"/>
  <c r="V166" i="3"/>
  <c r="V167" i="3"/>
  <c r="V168" i="3"/>
  <c r="U169" i="3"/>
  <c r="U172" i="3"/>
  <c r="U173" i="3"/>
  <c r="U171" i="3"/>
  <c r="U170" i="3"/>
  <c r="U179" i="3"/>
  <c r="U180" i="3"/>
  <c r="U178" i="3"/>
  <c r="U175" i="3"/>
  <c r="U176" i="3"/>
  <c r="U177" i="3"/>
  <c r="P82" i="3"/>
  <c r="P234" i="3" s="1"/>
  <c r="F156" i="3"/>
  <c r="F158" i="3"/>
  <c r="F163" i="3"/>
  <c r="F160" i="3"/>
  <c r="F159" i="3"/>
  <c r="F161" i="3"/>
  <c r="F157" i="3"/>
  <c r="F166" i="3"/>
  <c r="F168" i="3"/>
  <c r="F167" i="3"/>
  <c r="H165" i="3"/>
  <c r="V165" i="3"/>
  <c r="O229" i="3"/>
  <c r="O169" i="3"/>
  <c r="O173" i="3"/>
  <c r="O171" i="3"/>
  <c r="O172" i="3"/>
  <c r="O170" i="3"/>
  <c r="O180" i="3"/>
  <c r="O179" i="3"/>
  <c r="O178" i="3"/>
  <c r="O175" i="3"/>
  <c r="O176" i="3"/>
  <c r="O177" i="3"/>
  <c r="F165" i="3"/>
  <c r="U174" i="3"/>
  <c r="M229" i="3"/>
  <c r="M169" i="3"/>
  <c r="M173" i="3"/>
  <c r="M171" i="3"/>
  <c r="M172" i="3"/>
  <c r="M170" i="3"/>
  <c r="M179" i="3"/>
  <c r="M180" i="3"/>
  <c r="M178" i="3"/>
  <c r="M175" i="3"/>
  <c r="M176" i="3"/>
  <c r="M177" i="3"/>
  <c r="O174" i="3"/>
  <c r="V47" i="3"/>
  <c r="V142" i="3" s="1"/>
  <c r="F199" i="3"/>
  <c r="F139" i="3"/>
  <c r="F142" i="3"/>
  <c r="F141" i="3"/>
  <c r="F140" i="3"/>
  <c r="F143" i="3"/>
  <c r="F150" i="3"/>
  <c r="F149" i="3"/>
  <c r="F148" i="3"/>
  <c r="F145" i="3"/>
  <c r="F146" i="3"/>
  <c r="F147" i="3"/>
  <c r="O126" i="3"/>
  <c r="O132" i="3"/>
  <c r="O129" i="3"/>
  <c r="O134" i="3"/>
  <c r="O128" i="3"/>
  <c r="O130" i="3"/>
  <c r="O133" i="3"/>
  <c r="O127" i="3"/>
  <c r="O131" i="3"/>
  <c r="O136" i="3"/>
  <c r="O138" i="3"/>
  <c r="O137" i="3"/>
  <c r="N199" i="3"/>
  <c r="N139" i="3"/>
  <c r="N141" i="3"/>
  <c r="N142" i="3"/>
  <c r="N140" i="3"/>
  <c r="N143" i="3"/>
  <c r="N150" i="3"/>
  <c r="N149" i="3"/>
  <c r="N148" i="3"/>
  <c r="N145" i="3"/>
  <c r="N146" i="3"/>
  <c r="N147" i="3"/>
  <c r="N144" i="3"/>
  <c r="O135" i="3"/>
  <c r="V132" i="3"/>
  <c r="V128" i="3"/>
  <c r="V134" i="3"/>
  <c r="V131" i="3"/>
  <c r="I52" i="3"/>
  <c r="I204" i="3" s="1"/>
  <c r="E126" i="3"/>
  <c r="E129" i="3"/>
  <c r="E128" i="3"/>
  <c r="E132" i="3"/>
  <c r="E130" i="3"/>
  <c r="E134" i="3"/>
  <c r="E127" i="3"/>
  <c r="E133" i="3"/>
  <c r="E131" i="3"/>
  <c r="E136" i="3"/>
  <c r="E137" i="3"/>
  <c r="Q43" i="3"/>
  <c r="Q195" i="3" s="1"/>
  <c r="O139" i="3"/>
  <c r="O141" i="3"/>
  <c r="O143" i="3"/>
  <c r="O142" i="3"/>
  <c r="O140" i="3"/>
  <c r="O150" i="3"/>
  <c r="O149" i="3"/>
  <c r="O148" i="3"/>
  <c r="O145" i="3"/>
  <c r="O146" i="3"/>
  <c r="O147" i="3"/>
  <c r="M126" i="3"/>
  <c r="M134" i="3"/>
  <c r="M129" i="3"/>
  <c r="M130" i="3"/>
  <c r="M132" i="3"/>
  <c r="M128" i="3"/>
  <c r="M127" i="3"/>
  <c r="M133" i="3"/>
  <c r="M131" i="3"/>
  <c r="M136" i="3"/>
  <c r="M138" i="3"/>
  <c r="M137" i="3"/>
  <c r="E138" i="3"/>
  <c r="F126" i="3"/>
  <c r="F128" i="3"/>
  <c r="F132" i="3"/>
  <c r="F130" i="3"/>
  <c r="F134" i="3"/>
  <c r="F129" i="3"/>
  <c r="F127" i="3"/>
  <c r="F133" i="3"/>
  <c r="F131" i="3"/>
  <c r="F136" i="3"/>
  <c r="F138" i="3"/>
  <c r="F137" i="3"/>
  <c r="I43" i="3"/>
  <c r="T126" i="3"/>
  <c r="T132" i="3"/>
  <c r="T134" i="3"/>
  <c r="T133" i="3"/>
  <c r="T128" i="3"/>
  <c r="T130" i="3"/>
  <c r="T129" i="3"/>
  <c r="T131" i="3"/>
  <c r="T127" i="3"/>
  <c r="T136" i="3"/>
  <c r="T137" i="3"/>
  <c r="T138" i="3"/>
  <c r="F144" i="3"/>
  <c r="M135" i="3"/>
  <c r="V135" i="3"/>
  <c r="U139" i="3"/>
  <c r="U143" i="3"/>
  <c r="U141" i="3"/>
  <c r="U142" i="3"/>
  <c r="U140" i="3"/>
  <c r="U150" i="3"/>
  <c r="U149" i="3"/>
  <c r="U148" i="3"/>
  <c r="U145" i="3"/>
  <c r="U146" i="3"/>
  <c r="U147" i="3"/>
  <c r="O144" i="3"/>
  <c r="D55" i="12"/>
  <c r="E48" i="12"/>
  <c r="I55" i="12"/>
  <c r="Q51" i="12"/>
  <c r="H48" i="12"/>
  <c r="D51" i="12"/>
  <c r="C3" i="12"/>
  <c r="C32" i="13"/>
  <c r="C42" i="13"/>
  <c r="J36" i="13"/>
  <c r="J46" i="13"/>
  <c r="K17" i="12"/>
  <c r="K67" i="12" s="1"/>
  <c r="K47" i="12"/>
  <c r="K37" i="12"/>
  <c r="K53" i="12"/>
  <c r="K49" i="12"/>
  <c r="K54" i="12"/>
  <c r="K50" i="12"/>
  <c r="S84" i="3"/>
  <c r="S38" i="13"/>
  <c r="S48" i="13"/>
  <c r="R45" i="13"/>
  <c r="R35" i="13"/>
  <c r="R76" i="3"/>
  <c r="I19" i="13"/>
  <c r="I3" i="13"/>
  <c r="I21" i="13" s="1"/>
  <c r="H195" i="3"/>
  <c r="H34" i="3"/>
  <c r="E77" i="3"/>
  <c r="E234" i="3"/>
  <c r="M64" i="3"/>
  <c r="M225" i="3"/>
  <c r="R55" i="3"/>
  <c r="R25" i="12"/>
  <c r="R75" i="12" s="1"/>
  <c r="R45" i="12"/>
  <c r="R35" i="12"/>
  <c r="E42" i="13"/>
  <c r="E32" i="13"/>
  <c r="E204" i="3"/>
  <c r="E47" i="3"/>
  <c r="E144" i="3" s="1"/>
  <c r="E186" i="3"/>
  <c r="Q45" i="13"/>
  <c r="Q35" i="13"/>
  <c r="Q76" i="3"/>
  <c r="Q5" i="13"/>
  <c r="Q6" i="13"/>
  <c r="Q22" i="13" s="1"/>
  <c r="Q198" i="3"/>
  <c r="R197" i="3"/>
  <c r="C197" i="3"/>
  <c r="O199" i="3"/>
  <c r="Q206" i="3"/>
  <c r="Q52" i="3"/>
  <c r="M41" i="13"/>
  <c r="M51" i="13"/>
  <c r="M53" i="13"/>
  <c r="M57" i="13"/>
  <c r="M59" i="13"/>
  <c r="M55" i="13"/>
  <c r="M58" i="13"/>
  <c r="M54" i="13"/>
  <c r="M56" i="13"/>
  <c r="D198" i="3"/>
  <c r="E48" i="11"/>
  <c r="D43" i="11"/>
  <c r="D95" i="11" s="1"/>
  <c r="D100" i="11"/>
  <c r="H101" i="11"/>
  <c r="C85" i="3"/>
  <c r="C49" i="13"/>
  <c r="C39" i="13"/>
  <c r="K45" i="13"/>
  <c r="K35" i="13"/>
  <c r="K76" i="3"/>
  <c r="U229" i="3"/>
  <c r="V19" i="13"/>
  <c r="V3" i="13"/>
  <c r="V21" i="13" s="1"/>
  <c r="R206" i="3"/>
  <c r="P228" i="3"/>
  <c r="O64" i="3"/>
  <c r="O165" i="3" s="1"/>
  <c r="O225" i="3"/>
  <c r="E228" i="3"/>
  <c r="E73" i="3"/>
  <c r="C236" i="3"/>
  <c r="K206" i="3"/>
  <c r="Q54" i="12"/>
  <c r="Q47" i="12"/>
  <c r="Q37" i="12"/>
  <c r="Q17" i="12"/>
  <c r="Q67" i="12" s="1"/>
  <c r="Q53" i="12"/>
  <c r="Q49" i="12"/>
  <c r="Q50" i="12"/>
  <c r="K45" i="12"/>
  <c r="K35" i="12"/>
  <c r="K55" i="3"/>
  <c r="K25" i="12"/>
  <c r="K75" i="12" s="1"/>
  <c r="K55" i="12"/>
  <c r="Q48" i="12"/>
  <c r="J52" i="3"/>
  <c r="J206" i="3"/>
  <c r="V53" i="12"/>
  <c r="V47" i="12"/>
  <c r="V37" i="12"/>
  <c r="V17" i="12"/>
  <c r="V67" i="12" s="1"/>
  <c r="V49" i="12"/>
  <c r="V54" i="12"/>
  <c r="V50" i="12"/>
  <c r="V51" i="12"/>
  <c r="V55" i="12"/>
  <c r="K197" i="3"/>
  <c r="I52" i="12"/>
  <c r="I42" i="12"/>
  <c r="I32" i="12"/>
  <c r="I22" i="12"/>
  <c r="I72" i="12" s="1"/>
  <c r="S196" i="3"/>
  <c r="Q85" i="3"/>
  <c r="Q39" i="13"/>
  <c r="Q49" i="13"/>
  <c r="V46" i="13"/>
  <c r="V36" i="13"/>
  <c r="D207" i="3"/>
  <c r="K41" i="12"/>
  <c r="K31" i="12"/>
  <c r="K21" i="12"/>
  <c r="K71" i="12" s="1"/>
  <c r="K27" i="14"/>
  <c r="K51" i="12"/>
  <c r="K46" i="3"/>
  <c r="K6" i="12"/>
  <c r="P204" i="3"/>
  <c r="P47" i="3"/>
  <c r="P144" i="3" s="1"/>
  <c r="J207" i="3"/>
  <c r="D206" i="3"/>
  <c r="D52" i="3"/>
  <c r="U199" i="3"/>
  <c r="R236" i="3"/>
  <c r="D46" i="13"/>
  <c r="D36" i="13"/>
  <c r="R5" i="13"/>
  <c r="G51" i="13"/>
  <c r="G41" i="13"/>
  <c r="G57" i="13"/>
  <c r="G53" i="13"/>
  <c r="G54" i="13"/>
  <c r="G59" i="13"/>
  <c r="G58" i="13"/>
  <c r="G56" i="13"/>
  <c r="G55" i="13"/>
  <c r="V186" i="3"/>
  <c r="F216" i="3"/>
  <c r="C21" i="12"/>
  <c r="C71" i="12" s="1"/>
  <c r="C27" i="14"/>
  <c r="C31" i="12"/>
  <c r="C41" i="12"/>
  <c r="C46" i="3"/>
  <c r="C6" i="12"/>
  <c r="I228" i="3"/>
  <c r="I73" i="3"/>
  <c r="I28" i="12"/>
  <c r="I18" i="12"/>
  <c r="I68" i="12" s="1"/>
  <c r="I48" i="12"/>
  <c r="I38" i="12"/>
  <c r="I24" i="14"/>
  <c r="D35" i="13"/>
  <c r="D45" i="13"/>
  <c r="D76" i="3"/>
  <c r="D6" i="13"/>
  <c r="D22" i="13" s="1"/>
  <c r="D5" i="13"/>
  <c r="R6" i="13"/>
  <c r="R22" i="13" s="1"/>
  <c r="J197" i="3"/>
  <c r="K227" i="3"/>
  <c r="C227" i="3"/>
  <c r="S44" i="13"/>
  <c r="S34" i="13"/>
  <c r="S75" i="3"/>
  <c r="S10" i="12"/>
  <c r="R10" i="12"/>
  <c r="S26" i="14"/>
  <c r="S30" i="12"/>
  <c r="S40" i="12"/>
  <c r="S20" i="12"/>
  <c r="S70" i="12" s="1"/>
  <c r="S45" i="3"/>
  <c r="P73" i="3"/>
  <c r="I198" i="3"/>
  <c r="D195" i="3"/>
  <c r="D34" i="3"/>
  <c r="C10" i="13"/>
  <c r="C26" i="13" s="1"/>
  <c r="K32" i="12"/>
  <c r="K42" i="12"/>
  <c r="K22" i="12"/>
  <c r="K72" i="12" s="1"/>
  <c r="K52" i="12"/>
  <c r="K6" i="13"/>
  <c r="K22" i="13" s="1"/>
  <c r="O53" i="13"/>
  <c r="O51" i="13"/>
  <c r="O41" i="13"/>
  <c r="O57" i="13"/>
  <c r="O58" i="13"/>
  <c r="O55" i="13"/>
  <c r="O59" i="13"/>
  <c r="O54" i="13"/>
  <c r="O56" i="13"/>
  <c r="J32" i="12"/>
  <c r="J22" i="12"/>
  <c r="J72" i="12" s="1"/>
  <c r="J42" i="12"/>
  <c r="Q32" i="12"/>
  <c r="Q52" i="12"/>
  <c r="Q22" i="12"/>
  <c r="Q72" i="12" s="1"/>
  <c r="Q42" i="12"/>
  <c r="D237" i="3"/>
  <c r="C45" i="13"/>
  <c r="C35" i="13"/>
  <c r="C76" i="3"/>
  <c r="E58" i="11"/>
  <c r="E53" i="11" s="1"/>
  <c r="B84" i="3"/>
  <c r="B38" i="13"/>
  <c r="B48" i="13"/>
  <c r="P198" i="3"/>
  <c r="S18" i="13"/>
  <c r="V216" i="3"/>
  <c r="F186" i="3"/>
  <c r="B196" i="3"/>
  <c r="I207" i="3"/>
  <c r="S226" i="3"/>
  <c r="P237" i="3"/>
  <c r="H204" i="3"/>
  <c r="H47" i="3"/>
  <c r="H144" i="3" s="1"/>
  <c r="Q207" i="3"/>
  <c r="K236" i="3"/>
  <c r="J236" i="3"/>
  <c r="G225" i="3"/>
  <c r="G64" i="3"/>
  <c r="D42" i="12"/>
  <c r="D32" i="12"/>
  <c r="D22" i="12"/>
  <c r="D72" i="12" s="1"/>
  <c r="D52" i="12"/>
  <c r="S54" i="3"/>
  <c r="S34" i="12"/>
  <c r="S24" i="12"/>
  <c r="S74" i="12" s="1"/>
  <c r="S44" i="12"/>
  <c r="Q84" i="3"/>
  <c r="Q48" i="13"/>
  <c r="Q38" i="13"/>
  <c r="Q10" i="13"/>
  <c r="Q26" i="13" s="1"/>
  <c r="H47" i="12"/>
  <c r="H37" i="12"/>
  <c r="H17" i="12"/>
  <c r="H67" i="12" s="1"/>
  <c r="H53" i="12"/>
  <c r="H49" i="12"/>
  <c r="H54" i="12"/>
  <c r="H50" i="12"/>
  <c r="H55" i="12"/>
  <c r="H51" i="12"/>
  <c r="H77" i="3"/>
  <c r="H174" i="3" s="1"/>
  <c r="H234" i="3"/>
  <c r="R227" i="3"/>
  <c r="B20" i="12"/>
  <c r="B70" i="12" s="1"/>
  <c r="B40" i="12"/>
  <c r="B30" i="12"/>
  <c r="B45" i="3"/>
  <c r="B26" i="14"/>
  <c r="T225" i="3"/>
  <c r="T64" i="3"/>
  <c r="T165" i="3" s="1"/>
  <c r="E47" i="12"/>
  <c r="E37" i="12"/>
  <c r="E17" i="12"/>
  <c r="E67" i="12" s="1"/>
  <c r="E53" i="12"/>
  <c r="E49" i="12"/>
  <c r="E54" i="12"/>
  <c r="E50" i="12"/>
  <c r="E51" i="12"/>
  <c r="E55" i="12"/>
  <c r="R27" i="14"/>
  <c r="R21" i="12"/>
  <c r="R71" i="12" s="1"/>
  <c r="R31" i="12"/>
  <c r="R41" i="12"/>
  <c r="R46" i="3"/>
  <c r="R6" i="12"/>
  <c r="C5" i="13"/>
  <c r="J39" i="13"/>
  <c r="J49" i="13"/>
  <c r="J85" i="3"/>
  <c r="R49" i="13"/>
  <c r="R39" i="13"/>
  <c r="R85" i="3"/>
  <c r="T52" i="13"/>
  <c r="T51" i="13"/>
  <c r="T41" i="13"/>
  <c r="T53" i="13"/>
  <c r="T57" i="13"/>
  <c r="T58" i="13"/>
  <c r="T59" i="13"/>
  <c r="T54" i="13"/>
  <c r="T56" i="13"/>
  <c r="T55" i="13"/>
  <c r="O186" i="3"/>
  <c r="I47" i="12"/>
  <c r="I37" i="12"/>
  <c r="I17" i="12"/>
  <c r="I67" i="12" s="1"/>
  <c r="I53" i="12"/>
  <c r="I49" i="12"/>
  <c r="I50" i="12"/>
  <c r="I54" i="12"/>
  <c r="J41" i="12"/>
  <c r="J31" i="12"/>
  <c r="J21" i="12"/>
  <c r="J71" i="12" s="1"/>
  <c r="J27" i="14"/>
  <c r="J46" i="3"/>
  <c r="J6" i="12"/>
  <c r="T186" i="3"/>
  <c r="I85" i="3"/>
  <c r="I39" i="13"/>
  <c r="I49" i="13"/>
  <c r="I10" i="13"/>
  <c r="I26" i="13" s="1"/>
  <c r="R5" i="12"/>
  <c r="J5" i="12"/>
  <c r="M186" i="3"/>
  <c r="J227" i="3"/>
  <c r="P207" i="3"/>
  <c r="B34" i="13"/>
  <c r="B44" i="13"/>
  <c r="B75" i="3"/>
  <c r="P19" i="13"/>
  <c r="P3" i="13"/>
  <c r="P21" i="13" s="1"/>
  <c r="P43" i="3"/>
  <c r="V237" i="3"/>
  <c r="V82" i="3"/>
  <c r="R10" i="13"/>
  <c r="R26" i="13" s="1"/>
  <c r="C55" i="3"/>
  <c r="C25" i="12"/>
  <c r="C75" i="12" s="1"/>
  <c r="C45" i="12"/>
  <c r="C35" i="12"/>
  <c r="C10" i="12"/>
  <c r="E19" i="13"/>
  <c r="E3" i="13"/>
  <c r="E21" i="13" s="1"/>
  <c r="H216" i="3"/>
  <c r="V52" i="12"/>
  <c r="D48" i="12"/>
  <c r="D37" i="12"/>
  <c r="D17" i="12"/>
  <c r="D67" i="12" s="1"/>
  <c r="D47" i="12"/>
  <c r="D53" i="12"/>
  <c r="D49" i="12"/>
  <c r="D50" i="12"/>
  <c r="S10" i="13"/>
  <c r="S26" i="13" s="1"/>
  <c r="P77" i="3" l="1"/>
  <c r="D234" i="3"/>
  <c r="V199" i="3"/>
  <c r="V137" i="3"/>
  <c r="V133" i="3"/>
  <c r="V136" i="3"/>
  <c r="V129" i="3"/>
  <c r="V138" i="3"/>
  <c r="V127" i="3"/>
  <c r="V126" i="3"/>
  <c r="C51" i="12"/>
  <c r="V148" i="3"/>
  <c r="I47" i="3"/>
  <c r="I147" i="3" s="1"/>
  <c r="P169" i="3"/>
  <c r="P171" i="3"/>
  <c r="P172" i="3"/>
  <c r="P173" i="3"/>
  <c r="P170" i="3"/>
  <c r="P180" i="3"/>
  <c r="P179" i="3"/>
  <c r="P178" i="3"/>
  <c r="P175" i="3"/>
  <c r="P176" i="3"/>
  <c r="V145" i="3"/>
  <c r="V139" i="3"/>
  <c r="V149" i="3"/>
  <c r="G156" i="3"/>
  <c r="G163" i="3"/>
  <c r="G158" i="3"/>
  <c r="G161" i="3"/>
  <c r="G160" i="3"/>
  <c r="G159" i="3"/>
  <c r="G157" i="3"/>
  <c r="G166" i="3"/>
  <c r="G167" i="3"/>
  <c r="G168" i="3"/>
  <c r="V150" i="3"/>
  <c r="C82" i="3"/>
  <c r="C77" i="3" s="1"/>
  <c r="R73" i="3"/>
  <c r="V143" i="3"/>
  <c r="G165" i="3"/>
  <c r="Q34" i="3"/>
  <c r="Q134" i="3" s="1"/>
  <c r="M156" i="3"/>
  <c r="M158" i="3"/>
  <c r="M159" i="3"/>
  <c r="M160" i="3"/>
  <c r="M163" i="3"/>
  <c r="M161" i="3"/>
  <c r="M157" i="3"/>
  <c r="M166" i="3"/>
  <c r="M168" i="3"/>
  <c r="M167" i="3"/>
  <c r="V140" i="3"/>
  <c r="T156" i="3"/>
  <c r="T159" i="3"/>
  <c r="T163" i="3"/>
  <c r="T160" i="3"/>
  <c r="T158" i="3"/>
  <c r="T157" i="3"/>
  <c r="T161" i="3"/>
  <c r="T166" i="3"/>
  <c r="T167" i="3"/>
  <c r="T168" i="3"/>
  <c r="H169" i="3"/>
  <c r="H171" i="3"/>
  <c r="H172" i="3"/>
  <c r="H173" i="3"/>
  <c r="H170" i="3"/>
  <c r="H180" i="3"/>
  <c r="H179" i="3"/>
  <c r="H178" i="3"/>
  <c r="H175" i="3"/>
  <c r="H177" i="3"/>
  <c r="H176" i="3"/>
  <c r="D169" i="3"/>
  <c r="D172" i="3"/>
  <c r="D171" i="3"/>
  <c r="D173" i="3"/>
  <c r="D170" i="3"/>
  <c r="D179" i="3"/>
  <c r="D180" i="3"/>
  <c r="D178" i="3"/>
  <c r="D175" i="3"/>
  <c r="D176" i="3"/>
  <c r="O156" i="3"/>
  <c r="O158" i="3"/>
  <c r="O160" i="3"/>
  <c r="O159" i="3"/>
  <c r="O163" i="3"/>
  <c r="O157" i="3"/>
  <c r="O161" i="3"/>
  <c r="O166" i="3"/>
  <c r="O168" i="3"/>
  <c r="O167" i="3"/>
  <c r="V144" i="3"/>
  <c r="V147" i="3"/>
  <c r="V141" i="3"/>
  <c r="P177" i="3"/>
  <c r="D177" i="3"/>
  <c r="M165" i="3"/>
  <c r="E169" i="3"/>
  <c r="E173" i="3"/>
  <c r="E172" i="3"/>
  <c r="E171" i="3"/>
  <c r="E170" i="3"/>
  <c r="E180" i="3"/>
  <c r="E179" i="3"/>
  <c r="E178" i="3"/>
  <c r="E175" i="3"/>
  <c r="E177" i="3"/>
  <c r="E176" i="3"/>
  <c r="V146" i="3"/>
  <c r="E174" i="3"/>
  <c r="P174" i="3"/>
  <c r="D174" i="3"/>
  <c r="H126" i="3"/>
  <c r="H132" i="3"/>
  <c r="H130" i="3"/>
  <c r="H134" i="3"/>
  <c r="H128" i="3"/>
  <c r="H129" i="3"/>
  <c r="H131" i="3"/>
  <c r="H133" i="3"/>
  <c r="H127" i="3"/>
  <c r="H136" i="3"/>
  <c r="H137" i="3"/>
  <c r="H138" i="3"/>
  <c r="K43" i="3"/>
  <c r="D126" i="3"/>
  <c r="D133" i="3"/>
  <c r="D130" i="3"/>
  <c r="D128" i="3"/>
  <c r="D132" i="3"/>
  <c r="D134" i="3"/>
  <c r="D129" i="3"/>
  <c r="D131" i="3"/>
  <c r="D127" i="3"/>
  <c r="D136" i="3"/>
  <c r="D137" i="3"/>
  <c r="R52" i="3"/>
  <c r="R204" i="3" s="1"/>
  <c r="H139" i="3"/>
  <c r="H141" i="3"/>
  <c r="H142" i="3"/>
  <c r="H140" i="3"/>
  <c r="H143" i="3"/>
  <c r="H150" i="3"/>
  <c r="H149" i="3"/>
  <c r="H148" i="3"/>
  <c r="H145" i="3"/>
  <c r="H146" i="3"/>
  <c r="H147" i="3"/>
  <c r="I34" i="3"/>
  <c r="D138" i="3"/>
  <c r="D135" i="3"/>
  <c r="I195" i="3"/>
  <c r="P199" i="3"/>
  <c r="P139" i="3"/>
  <c r="P142" i="3"/>
  <c r="P141" i="3"/>
  <c r="P143" i="3"/>
  <c r="P140" i="3"/>
  <c r="P150" i="3"/>
  <c r="P149" i="3"/>
  <c r="P148" i="3"/>
  <c r="P145" i="3"/>
  <c r="P146" i="3"/>
  <c r="E199" i="3"/>
  <c r="E139" i="3"/>
  <c r="E142" i="3"/>
  <c r="E141" i="3"/>
  <c r="E140" i="3"/>
  <c r="E143" i="3"/>
  <c r="E150" i="3"/>
  <c r="E149" i="3"/>
  <c r="E148" i="3"/>
  <c r="E145" i="3"/>
  <c r="E146" i="3"/>
  <c r="E147" i="3"/>
  <c r="I149" i="3"/>
  <c r="I148" i="3"/>
  <c r="I146" i="3"/>
  <c r="H135" i="3"/>
  <c r="P147" i="3"/>
  <c r="B5" i="12"/>
  <c r="C55" i="12"/>
  <c r="S36" i="13"/>
  <c r="S46" i="13"/>
  <c r="V77" i="3"/>
  <c r="V174" i="3" s="1"/>
  <c r="V234" i="3"/>
  <c r="B227" i="3"/>
  <c r="J198" i="3"/>
  <c r="J43" i="3"/>
  <c r="C228" i="3"/>
  <c r="I237" i="3"/>
  <c r="I82" i="3"/>
  <c r="J82" i="3"/>
  <c r="J237" i="3"/>
  <c r="R198" i="3"/>
  <c r="R43" i="3"/>
  <c r="Q36" i="13"/>
  <c r="Q46" i="13"/>
  <c r="C18" i="12"/>
  <c r="C68" i="12" s="1"/>
  <c r="C28" i="12"/>
  <c r="C48" i="12"/>
  <c r="C38" i="12"/>
  <c r="C24" i="14"/>
  <c r="S6" i="13"/>
  <c r="S22" i="13" s="1"/>
  <c r="S35" i="13"/>
  <c r="S45" i="13"/>
  <c r="S76" i="3"/>
  <c r="S21" i="12"/>
  <c r="S71" i="12" s="1"/>
  <c r="S41" i="12"/>
  <c r="S31" i="12"/>
  <c r="S46" i="3"/>
  <c r="S27" i="14"/>
  <c r="S6" i="12"/>
  <c r="C73" i="3"/>
  <c r="K198" i="3"/>
  <c r="G103" i="11"/>
  <c r="T216" i="3"/>
  <c r="H199" i="3"/>
  <c r="S55" i="3"/>
  <c r="S45" i="12"/>
  <c r="S25" i="12"/>
  <c r="S75" i="12" s="1"/>
  <c r="S35" i="12"/>
  <c r="R42" i="13"/>
  <c r="R32" i="13"/>
  <c r="J45" i="13"/>
  <c r="J35" i="13"/>
  <c r="J76" i="3"/>
  <c r="J6" i="13"/>
  <c r="J22" i="13" s="1"/>
  <c r="J5" i="13"/>
  <c r="R207" i="3"/>
  <c r="M216" i="3"/>
  <c r="Q228" i="3"/>
  <c r="Q73" i="3"/>
  <c r="C207" i="3"/>
  <c r="C52" i="3"/>
  <c r="K85" i="3"/>
  <c r="K39" i="13"/>
  <c r="K49" i="13"/>
  <c r="K10" i="13"/>
  <c r="K26" i="13" s="1"/>
  <c r="R3" i="12"/>
  <c r="S5" i="12"/>
  <c r="D229" i="3"/>
  <c r="C198" i="3"/>
  <c r="C43" i="3"/>
  <c r="D204" i="3"/>
  <c r="D47" i="3"/>
  <c r="D144" i="3" s="1"/>
  <c r="K207" i="3"/>
  <c r="Q204" i="3"/>
  <c r="Q47" i="3"/>
  <c r="Q144" i="3" s="1"/>
  <c r="I41" i="13"/>
  <c r="I51" i="13"/>
  <c r="I57" i="13"/>
  <c r="I53" i="13"/>
  <c r="I58" i="13"/>
  <c r="I54" i="13"/>
  <c r="I55" i="13"/>
  <c r="I52" i="13"/>
  <c r="I199" i="3"/>
  <c r="B35" i="13"/>
  <c r="B45" i="13"/>
  <c r="B76" i="3"/>
  <c r="E52" i="13"/>
  <c r="E41" i="13"/>
  <c r="E51" i="13"/>
  <c r="E53" i="13"/>
  <c r="E57" i="13"/>
  <c r="E54" i="13"/>
  <c r="E58" i="13"/>
  <c r="E59" i="13"/>
  <c r="E56" i="13"/>
  <c r="E55" i="13"/>
  <c r="I36" i="13"/>
  <c r="I46" i="13"/>
  <c r="I56" i="13"/>
  <c r="R82" i="3"/>
  <c r="R237" i="3"/>
  <c r="S206" i="3"/>
  <c r="S227" i="3"/>
  <c r="B35" i="12"/>
  <c r="B45" i="12"/>
  <c r="B25" i="12"/>
  <c r="B75" i="12" s="1"/>
  <c r="B55" i="3"/>
  <c r="P229" i="3"/>
  <c r="Q237" i="3"/>
  <c r="O216" i="3"/>
  <c r="B54" i="3"/>
  <c r="B44" i="12"/>
  <c r="B34" i="12"/>
  <c r="B24" i="12"/>
  <c r="B74" i="12" s="1"/>
  <c r="B10" i="12"/>
  <c r="I101" i="11"/>
  <c r="S39" i="13"/>
  <c r="S85" i="3"/>
  <c r="S49" i="13"/>
  <c r="F58" i="11"/>
  <c r="F53" i="11" s="1"/>
  <c r="R36" i="13"/>
  <c r="R46" i="13"/>
  <c r="P195" i="3"/>
  <c r="P34" i="3"/>
  <c r="P135" i="3" s="1"/>
  <c r="I59" i="13"/>
  <c r="C19" i="13"/>
  <c r="C3" i="13"/>
  <c r="B197" i="3"/>
  <c r="B236" i="3"/>
  <c r="C46" i="13"/>
  <c r="C36" i="13"/>
  <c r="P225" i="3"/>
  <c r="P64" i="3"/>
  <c r="R22" i="12"/>
  <c r="R72" i="12" s="1"/>
  <c r="R42" i="12"/>
  <c r="R32" i="12"/>
  <c r="D19" i="13"/>
  <c r="D3" i="13"/>
  <c r="D21" i="13" s="1"/>
  <c r="R19" i="13"/>
  <c r="R3" i="13"/>
  <c r="J204" i="3"/>
  <c r="J47" i="3"/>
  <c r="K228" i="3"/>
  <c r="K73" i="3"/>
  <c r="E229" i="3"/>
  <c r="C22" i="12"/>
  <c r="C72" i="12" s="1"/>
  <c r="C42" i="12"/>
  <c r="C32" i="12"/>
  <c r="C52" i="12"/>
  <c r="P56" i="13"/>
  <c r="P51" i="13"/>
  <c r="P41" i="13"/>
  <c r="P57" i="13"/>
  <c r="P53" i="13"/>
  <c r="P54" i="13"/>
  <c r="P58" i="13"/>
  <c r="P52" i="13"/>
  <c r="P55" i="13"/>
  <c r="P59" i="13"/>
  <c r="K5" i="13"/>
  <c r="Q236" i="3"/>
  <c r="Q82" i="3"/>
  <c r="G216" i="3"/>
  <c r="K32" i="13"/>
  <c r="K42" i="13"/>
  <c r="S197" i="3"/>
  <c r="S5" i="13"/>
  <c r="D42" i="13"/>
  <c r="D32" i="13"/>
  <c r="K28" i="12"/>
  <c r="K18" i="12"/>
  <c r="K68" i="12" s="1"/>
  <c r="K38" i="12"/>
  <c r="K48" i="12"/>
  <c r="K24" i="14"/>
  <c r="B21" i="12"/>
  <c r="B71" i="12" s="1"/>
  <c r="B41" i="12"/>
  <c r="B31" i="12"/>
  <c r="B27" i="14"/>
  <c r="B46" i="3"/>
  <c r="B6" i="12"/>
  <c r="C237" i="3"/>
  <c r="E43" i="11"/>
  <c r="E95" i="11" s="1"/>
  <c r="E100" i="11"/>
  <c r="Q42" i="13"/>
  <c r="Q32" i="13"/>
  <c r="R228" i="3"/>
  <c r="C37" i="12"/>
  <c r="C47" i="12"/>
  <c r="C17" i="12"/>
  <c r="C67" i="12" s="1"/>
  <c r="C53" i="12"/>
  <c r="C49" i="12"/>
  <c r="C54" i="12"/>
  <c r="C50" i="12"/>
  <c r="G102" i="11"/>
  <c r="G48" i="11"/>
  <c r="B5" i="13"/>
  <c r="B6" i="13"/>
  <c r="B22" i="13" s="1"/>
  <c r="J3" i="12"/>
  <c r="J28" i="12"/>
  <c r="J38" i="12"/>
  <c r="J24" i="14"/>
  <c r="J18" i="12"/>
  <c r="J68" i="12" s="1"/>
  <c r="R28" i="12"/>
  <c r="R38" i="12"/>
  <c r="R18" i="12"/>
  <c r="R68" i="12" s="1"/>
  <c r="R24" i="14"/>
  <c r="H229" i="3"/>
  <c r="S42" i="12"/>
  <c r="S22" i="12"/>
  <c r="S72" i="12" s="1"/>
  <c r="S32" i="12"/>
  <c r="D186" i="3"/>
  <c r="D228" i="3"/>
  <c r="D73" i="3"/>
  <c r="I64" i="3"/>
  <c r="I225" i="3"/>
  <c r="K52" i="3"/>
  <c r="E64" i="3"/>
  <c r="E165" i="3" s="1"/>
  <c r="E225" i="3"/>
  <c r="V56" i="13"/>
  <c r="V41" i="13"/>
  <c r="V51" i="13"/>
  <c r="V57" i="13"/>
  <c r="V53" i="13"/>
  <c r="V54" i="13"/>
  <c r="V55" i="13"/>
  <c r="V58" i="13"/>
  <c r="V52" i="13"/>
  <c r="V59" i="13"/>
  <c r="F102" i="11"/>
  <c r="F48" i="11"/>
  <c r="Q19" i="13"/>
  <c r="Q3" i="13"/>
  <c r="Q21" i="13" s="1"/>
  <c r="H186" i="3"/>
  <c r="S236" i="3"/>
  <c r="C234" i="3" l="1"/>
  <c r="I150" i="3"/>
  <c r="I140" i="3"/>
  <c r="I143" i="3"/>
  <c r="I142" i="3"/>
  <c r="I144" i="3"/>
  <c r="I141" i="3"/>
  <c r="I145" i="3"/>
  <c r="I139" i="3"/>
  <c r="J48" i="12"/>
  <c r="R52" i="12"/>
  <c r="Q126" i="3"/>
  <c r="C56" i="13"/>
  <c r="C21" i="13"/>
  <c r="R52" i="13"/>
  <c r="R21" i="13"/>
  <c r="Q137" i="3"/>
  <c r="Q186" i="3"/>
  <c r="Q127" i="3"/>
  <c r="Q131" i="3"/>
  <c r="Q130" i="3"/>
  <c r="Q129" i="3"/>
  <c r="R47" i="3"/>
  <c r="R143" i="3" s="1"/>
  <c r="Q133" i="3"/>
  <c r="Q138" i="3"/>
  <c r="Q135" i="3"/>
  <c r="Q128" i="3"/>
  <c r="Q132" i="3"/>
  <c r="Q136" i="3"/>
  <c r="P156" i="3"/>
  <c r="P158" i="3"/>
  <c r="P163" i="3"/>
  <c r="P160" i="3"/>
  <c r="P159" i="3"/>
  <c r="P161" i="3"/>
  <c r="P157" i="3"/>
  <c r="P166" i="3"/>
  <c r="P167" i="3"/>
  <c r="P168" i="3"/>
  <c r="C169" i="3"/>
  <c r="C172" i="3"/>
  <c r="C171" i="3"/>
  <c r="C170" i="3"/>
  <c r="C173" i="3"/>
  <c r="C180" i="3"/>
  <c r="C179" i="3"/>
  <c r="C178" i="3"/>
  <c r="C175" i="3"/>
  <c r="C176" i="3"/>
  <c r="I156" i="3"/>
  <c r="I158" i="3"/>
  <c r="I163" i="3"/>
  <c r="I160" i="3"/>
  <c r="I159" i="3"/>
  <c r="I161" i="3"/>
  <c r="I157" i="3"/>
  <c r="I166" i="3"/>
  <c r="I167" i="3"/>
  <c r="I168" i="3"/>
  <c r="V169" i="3"/>
  <c r="V173" i="3"/>
  <c r="V171" i="3"/>
  <c r="V172" i="3"/>
  <c r="V170" i="3"/>
  <c r="V180" i="3"/>
  <c r="V179" i="3"/>
  <c r="V178" i="3"/>
  <c r="V175" i="3"/>
  <c r="V176" i="3"/>
  <c r="V177" i="3"/>
  <c r="C177" i="3"/>
  <c r="E156" i="3"/>
  <c r="E158" i="3"/>
  <c r="E159" i="3"/>
  <c r="E163" i="3"/>
  <c r="E160" i="3"/>
  <c r="E161" i="3"/>
  <c r="E157" i="3"/>
  <c r="E166" i="3"/>
  <c r="E167" i="3"/>
  <c r="E168" i="3"/>
  <c r="R64" i="3"/>
  <c r="R216" i="3" s="1"/>
  <c r="C174" i="3"/>
  <c r="S82" i="3"/>
  <c r="S77" i="3" s="1"/>
  <c r="S177" i="3" s="1"/>
  <c r="B73" i="3"/>
  <c r="R225" i="3"/>
  <c r="I165" i="3"/>
  <c r="P165" i="3"/>
  <c r="J139" i="3"/>
  <c r="J142" i="3"/>
  <c r="J143" i="3"/>
  <c r="J141" i="3"/>
  <c r="J140" i="3"/>
  <c r="J150" i="3"/>
  <c r="J149" i="3"/>
  <c r="J148" i="3"/>
  <c r="J145" i="3"/>
  <c r="J146" i="3"/>
  <c r="J147" i="3"/>
  <c r="I126" i="3"/>
  <c r="I128" i="3"/>
  <c r="I129" i="3"/>
  <c r="I132" i="3"/>
  <c r="I130" i="3"/>
  <c r="I134" i="3"/>
  <c r="I127" i="3"/>
  <c r="I133" i="3"/>
  <c r="I131" i="3"/>
  <c r="I136" i="3"/>
  <c r="I137" i="3"/>
  <c r="I138" i="3"/>
  <c r="S43" i="3"/>
  <c r="S195" i="3" s="1"/>
  <c r="J144" i="3"/>
  <c r="I135" i="3"/>
  <c r="D139" i="3"/>
  <c r="D141" i="3"/>
  <c r="D143" i="3"/>
  <c r="D142" i="3"/>
  <c r="D140" i="3"/>
  <c r="D150" i="3"/>
  <c r="D149" i="3"/>
  <c r="D148" i="3"/>
  <c r="D145" i="3"/>
  <c r="D147" i="3"/>
  <c r="D146" i="3"/>
  <c r="P126" i="3"/>
  <c r="P132" i="3"/>
  <c r="P134" i="3"/>
  <c r="P130" i="3"/>
  <c r="P128" i="3"/>
  <c r="P133" i="3"/>
  <c r="P129" i="3"/>
  <c r="P131" i="3"/>
  <c r="P127" i="3"/>
  <c r="P136" i="3"/>
  <c r="P137" i="3"/>
  <c r="P138" i="3"/>
  <c r="S52" i="3"/>
  <c r="S204" i="3" s="1"/>
  <c r="I186" i="3"/>
  <c r="K195" i="3"/>
  <c r="Q199" i="3"/>
  <c r="Q139" i="3"/>
  <c r="Q142" i="3"/>
  <c r="Q141" i="3"/>
  <c r="Q140" i="3"/>
  <c r="Q143" i="3"/>
  <c r="Q150" i="3"/>
  <c r="Q149" i="3"/>
  <c r="Q148" i="3"/>
  <c r="Q145" i="3"/>
  <c r="Q146" i="3"/>
  <c r="Q147" i="3"/>
  <c r="K34" i="3"/>
  <c r="K186" i="3" s="1"/>
  <c r="B3" i="12"/>
  <c r="B54" i="12" s="1"/>
  <c r="R56" i="13"/>
  <c r="B19" i="13"/>
  <c r="B3" i="13"/>
  <c r="B52" i="13" s="1"/>
  <c r="B64" i="3"/>
  <c r="B168" i="3" s="1"/>
  <c r="B225" i="3"/>
  <c r="K204" i="3"/>
  <c r="K47" i="3"/>
  <c r="K144" i="3" s="1"/>
  <c r="B38" i="12"/>
  <c r="B28" i="12"/>
  <c r="B18" i="12"/>
  <c r="B68" i="12" s="1"/>
  <c r="B24" i="14"/>
  <c r="J199" i="3"/>
  <c r="B207" i="3"/>
  <c r="J19" i="13"/>
  <c r="J3" i="13"/>
  <c r="S18" i="12"/>
  <c r="S68" i="12" s="1"/>
  <c r="S38" i="12"/>
  <c r="S28" i="12"/>
  <c r="S24" i="14"/>
  <c r="S32" i="13"/>
  <c r="S42" i="13"/>
  <c r="R195" i="3"/>
  <c r="R34" i="3"/>
  <c r="I216" i="3"/>
  <c r="B42" i="13"/>
  <c r="B32" i="13"/>
  <c r="S19" i="13"/>
  <c r="S3" i="13"/>
  <c r="K19" i="13"/>
  <c r="K3" i="13"/>
  <c r="K21" i="13" s="1"/>
  <c r="K64" i="3"/>
  <c r="K165" i="3" s="1"/>
  <c r="K225" i="3"/>
  <c r="D52" i="13"/>
  <c r="D41" i="13"/>
  <c r="D51" i="13"/>
  <c r="D53" i="13"/>
  <c r="D57" i="13"/>
  <c r="D54" i="13"/>
  <c r="D58" i="13"/>
  <c r="D59" i="13"/>
  <c r="D55" i="13"/>
  <c r="D56" i="13"/>
  <c r="J42" i="13"/>
  <c r="J32" i="13"/>
  <c r="H103" i="11"/>
  <c r="P216" i="3"/>
  <c r="H102" i="11"/>
  <c r="Q77" i="3"/>
  <c r="Q174" i="3" s="1"/>
  <c r="Q234" i="3"/>
  <c r="B206" i="3"/>
  <c r="B52" i="3"/>
  <c r="D199" i="3"/>
  <c r="K237" i="3"/>
  <c r="K82" i="3"/>
  <c r="S198" i="3"/>
  <c r="S228" i="3"/>
  <c r="Q59" i="13"/>
  <c r="Q51" i="13"/>
  <c r="Q41" i="13"/>
  <c r="Q57" i="13"/>
  <c r="Q53" i="13"/>
  <c r="Q54" i="13"/>
  <c r="Q55" i="13"/>
  <c r="Q58" i="13"/>
  <c r="J101" i="11"/>
  <c r="G58" i="11"/>
  <c r="G53" i="11" s="1"/>
  <c r="F43" i="11"/>
  <c r="F95" i="11" s="1"/>
  <c r="F100" i="11"/>
  <c r="S3" i="12"/>
  <c r="R48" i="12"/>
  <c r="R47" i="12"/>
  <c r="R17" i="12"/>
  <c r="R67" i="12" s="1"/>
  <c r="R37" i="12"/>
  <c r="R53" i="12"/>
  <c r="R49" i="12"/>
  <c r="R54" i="12"/>
  <c r="R50" i="12"/>
  <c r="R55" i="12"/>
  <c r="R51" i="12"/>
  <c r="C204" i="3"/>
  <c r="C47" i="3"/>
  <c r="S207" i="3"/>
  <c r="Q56" i="13"/>
  <c r="D225" i="3"/>
  <c r="D64" i="3"/>
  <c r="D165" i="3" s="1"/>
  <c r="C52" i="13"/>
  <c r="C41" i="13"/>
  <c r="C51" i="13"/>
  <c r="C53" i="13"/>
  <c r="C57" i="13"/>
  <c r="C58" i="13"/>
  <c r="C54" i="13"/>
  <c r="C59" i="13"/>
  <c r="C55" i="13"/>
  <c r="Q225" i="3"/>
  <c r="Q64" i="3"/>
  <c r="Q165" i="3" s="1"/>
  <c r="J228" i="3"/>
  <c r="J73" i="3"/>
  <c r="J50" i="12"/>
  <c r="J47" i="12"/>
  <c r="J37" i="12"/>
  <c r="J17" i="12"/>
  <c r="J67" i="12" s="1"/>
  <c r="J53" i="12"/>
  <c r="J49" i="12"/>
  <c r="J55" i="12"/>
  <c r="J54" i="12"/>
  <c r="J52" i="12"/>
  <c r="J51" i="12"/>
  <c r="Q52" i="13"/>
  <c r="R55" i="13"/>
  <c r="R51" i="13"/>
  <c r="R41" i="13"/>
  <c r="R57" i="13"/>
  <c r="R53" i="13"/>
  <c r="R54" i="13"/>
  <c r="R58" i="13"/>
  <c r="R59" i="13"/>
  <c r="P186" i="3"/>
  <c r="S237" i="3"/>
  <c r="C195" i="3"/>
  <c r="C34" i="3"/>
  <c r="C229" i="3"/>
  <c r="J77" i="3"/>
  <c r="J174" i="3" s="1"/>
  <c r="J234" i="3"/>
  <c r="S73" i="3"/>
  <c r="B39" i="13"/>
  <c r="B49" i="13"/>
  <c r="B85" i="3"/>
  <c r="B10" i="13"/>
  <c r="B26" i="13" s="1"/>
  <c r="B198" i="3"/>
  <c r="E216" i="3"/>
  <c r="G43" i="11"/>
  <c r="G95" i="11" s="1"/>
  <c r="G100" i="11"/>
  <c r="B42" i="12"/>
  <c r="B32" i="12"/>
  <c r="B22" i="12"/>
  <c r="B72" i="12" s="1"/>
  <c r="R77" i="3"/>
  <c r="R174" i="3" s="1"/>
  <c r="R234" i="3"/>
  <c r="B228" i="3"/>
  <c r="K36" i="13"/>
  <c r="K46" i="13"/>
  <c r="C64" i="3"/>
  <c r="C165" i="3" s="1"/>
  <c r="C225" i="3"/>
  <c r="I77" i="3"/>
  <c r="I174" i="3" s="1"/>
  <c r="I234" i="3"/>
  <c r="J195" i="3"/>
  <c r="J34" i="3"/>
  <c r="J135" i="3" s="1"/>
  <c r="V229" i="3"/>
  <c r="B43" i="3"/>
  <c r="B53" i="12" l="1"/>
  <c r="S47" i="3"/>
  <c r="S147" i="3" s="1"/>
  <c r="R139" i="3"/>
  <c r="R144" i="3"/>
  <c r="B17" i="12"/>
  <c r="B67" i="12" s="1"/>
  <c r="R199" i="3"/>
  <c r="R141" i="3"/>
  <c r="R142" i="3"/>
  <c r="K56" i="13"/>
  <c r="R146" i="3"/>
  <c r="R145" i="3"/>
  <c r="R149" i="3"/>
  <c r="B49" i="12"/>
  <c r="J52" i="13"/>
  <c r="J21" i="13"/>
  <c r="B51" i="12"/>
  <c r="B47" i="12"/>
  <c r="B37" i="12"/>
  <c r="B52" i="12"/>
  <c r="B48" i="12"/>
  <c r="S234" i="3"/>
  <c r="B59" i="13"/>
  <c r="B21" i="13"/>
  <c r="S52" i="13"/>
  <c r="S21" i="13"/>
  <c r="B50" i="12"/>
  <c r="R148" i="3"/>
  <c r="S34" i="3"/>
  <c r="S138" i="3" s="1"/>
  <c r="R150" i="3"/>
  <c r="R147" i="3"/>
  <c r="R140" i="3"/>
  <c r="R156" i="3"/>
  <c r="R159" i="3"/>
  <c r="R158" i="3"/>
  <c r="R163" i="3"/>
  <c r="R160" i="3"/>
  <c r="R157" i="3"/>
  <c r="R161" i="3"/>
  <c r="R166" i="3"/>
  <c r="R167" i="3"/>
  <c r="R168" i="3"/>
  <c r="R165" i="3"/>
  <c r="D156" i="3"/>
  <c r="D158" i="3"/>
  <c r="D159" i="3"/>
  <c r="D160" i="3"/>
  <c r="D163" i="3"/>
  <c r="D157" i="3"/>
  <c r="D161" i="3"/>
  <c r="D166" i="3"/>
  <c r="D167" i="3"/>
  <c r="D168" i="3"/>
  <c r="Q229" i="3"/>
  <c r="Q169" i="3"/>
  <c r="Q172" i="3"/>
  <c r="Q171" i="3"/>
  <c r="Q173" i="3"/>
  <c r="Q170" i="3"/>
  <c r="Q180" i="3"/>
  <c r="Q179" i="3"/>
  <c r="Q178" i="3"/>
  <c r="Q175" i="3"/>
  <c r="Q176" i="3"/>
  <c r="Q177" i="3"/>
  <c r="B165" i="3"/>
  <c r="Q156" i="3"/>
  <c r="Q158" i="3"/>
  <c r="Q163" i="3"/>
  <c r="Q160" i="3"/>
  <c r="Q159" i="3"/>
  <c r="Q161" i="3"/>
  <c r="Q157" i="3"/>
  <c r="Q166" i="3"/>
  <c r="Q167" i="3"/>
  <c r="Q168" i="3"/>
  <c r="R169" i="3"/>
  <c r="R172" i="3"/>
  <c r="R171" i="3"/>
  <c r="R173" i="3"/>
  <c r="R170" i="3"/>
  <c r="R180" i="3"/>
  <c r="R179" i="3"/>
  <c r="R178" i="3"/>
  <c r="R175" i="3"/>
  <c r="R176" i="3"/>
  <c r="R177" i="3"/>
  <c r="K156" i="3"/>
  <c r="K160" i="3"/>
  <c r="K158" i="3"/>
  <c r="K159" i="3"/>
  <c r="K157" i="3"/>
  <c r="K163" i="3"/>
  <c r="K161" i="3"/>
  <c r="K166" i="3"/>
  <c r="K167" i="3"/>
  <c r="K168" i="3"/>
  <c r="B156" i="3"/>
  <c r="B158" i="3"/>
  <c r="B163" i="3"/>
  <c r="B160" i="3"/>
  <c r="B161" i="3"/>
  <c r="B159" i="3"/>
  <c r="B157" i="3"/>
  <c r="B166" i="3"/>
  <c r="B167" i="3"/>
  <c r="I169" i="3"/>
  <c r="I172" i="3"/>
  <c r="I171" i="3"/>
  <c r="I173" i="3"/>
  <c r="I170" i="3"/>
  <c r="I179" i="3"/>
  <c r="I180" i="3"/>
  <c r="I178" i="3"/>
  <c r="I175" i="3"/>
  <c r="I176" i="3"/>
  <c r="I177" i="3"/>
  <c r="J169" i="3"/>
  <c r="J172" i="3"/>
  <c r="J173" i="3"/>
  <c r="J171" i="3"/>
  <c r="J170" i="3"/>
  <c r="J180" i="3"/>
  <c r="J179" i="3"/>
  <c r="J178" i="3"/>
  <c r="J175" i="3"/>
  <c r="J176" i="3"/>
  <c r="J177" i="3"/>
  <c r="C156" i="3"/>
  <c r="C159" i="3"/>
  <c r="C160" i="3"/>
  <c r="C158" i="3"/>
  <c r="C163" i="3"/>
  <c r="C157" i="3"/>
  <c r="C161" i="3"/>
  <c r="C166" i="3"/>
  <c r="C167" i="3"/>
  <c r="C168" i="3"/>
  <c r="S169" i="3"/>
  <c r="S172" i="3"/>
  <c r="S171" i="3"/>
  <c r="S173" i="3"/>
  <c r="S170" i="3"/>
  <c r="S179" i="3"/>
  <c r="S180" i="3"/>
  <c r="S178" i="3"/>
  <c r="S175" i="3"/>
  <c r="S176" i="3"/>
  <c r="S174" i="3"/>
  <c r="C126" i="3"/>
  <c r="C128" i="3"/>
  <c r="C132" i="3"/>
  <c r="C134" i="3"/>
  <c r="C130" i="3"/>
  <c r="C129" i="3"/>
  <c r="C133" i="3"/>
  <c r="C127" i="3"/>
  <c r="C131" i="3"/>
  <c r="C136" i="3"/>
  <c r="C137" i="3"/>
  <c r="C138" i="3"/>
  <c r="C199" i="3"/>
  <c r="C139" i="3"/>
  <c r="C141" i="3"/>
  <c r="C142" i="3"/>
  <c r="C143" i="3"/>
  <c r="C140" i="3"/>
  <c r="C150" i="3"/>
  <c r="C149" i="3"/>
  <c r="C148" i="3"/>
  <c r="C145" i="3"/>
  <c r="C146" i="3"/>
  <c r="C147" i="3"/>
  <c r="C135" i="3"/>
  <c r="C144" i="3"/>
  <c r="K126" i="3"/>
  <c r="K128" i="3"/>
  <c r="K134" i="3"/>
  <c r="K132" i="3"/>
  <c r="K133" i="3"/>
  <c r="K130" i="3"/>
  <c r="K129" i="3"/>
  <c r="K131" i="3"/>
  <c r="K127" i="3"/>
  <c r="K136" i="3"/>
  <c r="K137" i="3"/>
  <c r="K138" i="3"/>
  <c r="R126" i="3"/>
  <c r="R129" i="3"/>
  <c r="R128" i="3"/>
  <c r="R130" i="3"/>
  <c r="R133" i="3"/>
  <c r="R132" i="3"/>
  <c r="R134" i="3"/>
  <c r="R127" i="3"/>
  <c r="R131" i="3"/>
  <c r="R136" i="3"/>
  <c r="R137" i="3"/>
  <c r="R138" i="3"/>
  <c r="K139" i="3"/>
  <c r="K143" i="3"/>
  <c r="K142" i="3"/>
  <c r="K141" i="3"/>
  <c r="K140" i="3"/>
  <c r="K150" i="3"/>
  <c r="K149" i="3"/>
  <c r="K148" i="3"/>
  <c r="K145" i="3"/>
  <c r="K146" i="3"/>
  <c r="K147" i="3"/>
  <c r="S144" i="3"/>
  <c r="K135" i="3"/>
  <c r="J126" i="3"/>
  <c r="J132" i="3"/>
  <c r="J134" i="3"/>
  <c r="J128" i="3"/>
  <c r="J129" i="3"/>
  <c r="J133" i="3"/>
  <c r="J130" i="3"/>
  <c r="J127" i="3"/>
  <c r="J131" i="3"/>
  <c r="J136" i="3"/>
  <c r="J137" i="3"/>
  <c r="J138" i="3"/>
  <c r="S199" i="3"/>
  <c r="S143" i="3"/>
  <c r="S141" i="3"/>
  <c r="S142" i="3"/>
  <c r="S140" i="3"/>
  <c r="S150" i="3"/>
  <c r="S149" i="3"/>
  <c r="S148" i="3"/>
  <c r="S145" i="3"/>
  <c r="S146" i="3"/>
  <c r="R135" i="3"/>
  <c r="B55" i="12"/>
  <c r="J229" i="3"/>
  <c r="Q216" i="3"/>
  <c r="B216" i="3"/>
  <c r="I103" i="11"/>
  <c r="B56" i="13"/>
  <c r="B51" i="13"/>
  <c r="B41" i="13"/>
  <c r="B53" i="13"/>
  <c r="B57" i="13"/>
  <c r="B58" i="13"/>
  <c r="B54" i="13"/>
  <c r="B55" i="13"/>
  <c r="B195" i="3"/>
  <c r="B34" i="3"/>
  <c r="C216" i="3"/>
  <c r="K51" i="13"/>
  <c r="K41" i="13"/>
  <c r="K57" i="13"/>
  <c r="K53" i="13"/>
  <c r="K54" i="13"/>
  <c r="K58" i="13"/>
  <c r="K55" i="13"/>
  <c r="K52" i="13"/>
  <c r="K59" i="13"/>
  <c r="K199" i="3"/>
  <c r="I102" i="11"/>
  <c r="J64" i="3"/>
  <c r="J225" i="3"/>
  <c r="S17" i="12"/>
  <c r="S67" i="12" s="1"/>
  <c r="S47" i="12"/>
  <c r="S37" i="12"/>
  <c r="S53" i="12"/>
  <c r="S49" i="12"/>
  <c r="S50" i="12"/>
  <c r="S54" i="12"/>
  <c r="S51" i="12"/>
  <c r="S52" i="12"/>
  <c r="S55" i="12"/>
  <c r="B204" i="3"/>
  <c r="B47" i="3"/>
  <c r="B144" i="3" s="1"/>
  <c r="H48" i="11"/>
  <c r="S51" i="13"/>
  <c r="S41" i="13"/>
  <c r="S57" i="13"/>
  <c r="S53" i="13"/>
  <c r="S54" i="13"/>
  <c r="S58" i="13"/>
  <c r="S55" i="13"/>
  <c r="S59" i="13"/>
  <c r="S56" i="13"/>
  <c r="J53" i="13"/>
  <c r="J51" i="13"/>
  <c r="J41" i="13"/>
  <c r="J57" i="13"/>
  <c r="J54" i="13"/>
  <c r="J58" i="13"/>
  <c r="J59" i="13"/>
  <c r="J56" i="13"/>
  <c r="J55" i="13"/>
  <c r="R229" i="3"/>
  <c r="K216" i="3"/>
  <c r="H58" i="11"/>
  <c r="H53" i="11" s="1"/>
  <c r="K101" i="11"/>
  <c r="I229" i="3"/>
  <c r="B36" i="13"/>
  <c r="B46" i="13"/>
  <c r="S225" i="3"/>
  <c r="S64" i="3"/>
  <c r="C186" i="3"/>
  <c r="D216" i="3"/>
  <c r="S48" i="12"/>
  <c r="S186" i="3"/>
  <c r="J186" i="3"/>
  <c r="B237" i="3"/>
  <c r="B82" i="3"/>
  <c r="K77" i="3"/>
  <c r="K234" i="3"/>
  <c r="S229" i="3"/>
  <c r="R186" i="3"/>
  <c r="S139" i="3" l="1"/>
  <c r="S128" i="3"/>
  <c r="S137" i="3"/>
  <c r="S130" i="3"/>
  <c r="S136" i="3"/>
  <c r="S132" i="3"/>
  <c r="S134" i="3"/>
  <c r="S131" i="3"/>
  <c r="S126" i="3"/>
  <c r="S127" i="3"/>
  <c r="S133" i="3"/>
  <c r="S129" i="3"/>
  <c r="S135" i="3"/>
  <c r="K169" i="3"/>
  <c r="K172" i="3"/>
  <c r="K171" i="3"/>
  <c r="K170" i="3"/>
  <c r="K173" i="3"/>
  <c r="K180" i="3"/>
  <c r="K179" i="3"/>
  <c r="K178" i="3"/>
  <c r="K175" i="3"/>
  <c r="K176" i="3"/>
  <c r="K177" i="3"/>
  <c r="S156" i="3"/>
  <c r="S160" i="3"/>
  <c r="S163" i="3"/>
  <c r="S159" i="3"/>
  <c r="S158" i="3"/>
  <c r="S157" i="3"/>
  <c r="S161" i="3"/>
  <c r="S166" i="3"/>
  <c r="S167" i="3"/>
  <c r="S168" i="3"/>
  <c r="J156" i="3"/>
  <c r="J158" i="3"/>
  <c r="J163" i="3"/>
  <c r="J160" i="3"/>
  <c r="J159" i="3"/>
  <c r="J161" i="3"/>
  <c r="J157" i="3"/>
  <c r="J166" i="3"/>
  <c r="J167" i="3"/>
  <c r="J168" i="3"/>
  <c r="K174" i="3"/>
  <c r="J165" i="3"/>
  <c r="S165" i="3"/>
  <c r="B126" i="3"/>
  <c r="B134" i="3"/>
  <c r="B128" i="3"/>
  <c r="B132" i="3"/>
  <c r="B130" i="3"/>
  <c r="B129" i="3"/>
  <c r="B133" i="3"/>
  <c r="B131" i="3"/>
  <c r="B127" i="3"/>
  <c r="B136" i="3"/>
  <c r="B137" i="3"/>
  <c r="B138" i="3"/>
  <c r="B135" i="3"/>
  <c r="B139" i="3"/>
  <c r="B143" i="3"/>
  <c r="B141" i="3"/>
  <c r="B142" i="3"/>
  <c r="B140" i="3"/>
  <c r="B149" i="3"/>
  <c r="B150" i="3"/>
  <c r="B148" i="3"/>
  <c r="B145" i="3"/>
  <c r="B147" i="3"/>
  <c r="B146" i="3"/>
  <c r="I48" i="11"/>
  <c r="I43" i="11" s="1"/>
  <c r="I95" i="11" s="1"/>
  <c r="B199" i="3"/>
  <c r="L101" i="11"/>
  <c r="S216" i="3"/>
  <c r="K229" i="3"/>
  <c r="J103" i="11"/>
  <c r="B234" i="3"/>
  <c r="B77" i="3"/>
  <c r="I58" i="11"/>
  <c r="I53" i="11" s="1"/>
  <c r="B186" i="3"/>
  <c r="H43" i="11"/>
  <c r="H95" i="11" s="1"/>
  <c r="H100" i="11"/>
  <c r="J216" i="3"/>
  <c r="J102" i="11"/>
  <c r="B169" i="3" l="1"/>
  <c r="B173" i="3"/>
  <c r="B172" i="3"/>
  <c r="B171" i="3"/>
  <c r="B170" i="3"/>
  <c r="B180" i="3"/>
  <c r="B179" i="3"/>
  <c r="B178" i="3"/>
  <c r="B175" i="3"/>
  <c r="B176" i="3"/>
  <c r="B177" i="3"/>
  <c r="B174" i="3"/>
  <c r="I100" i="11"/>
  <c r="J48" i="11"/>
  <c r="J100" i="11" s="1"/>
  <c r="K103" i="11"/>
  <c r="J58" i="11"/>
  <c r="J53" i="11" s="1"/>
  <c r="B229" i="3"/>
  <c r="K102" i="11"/>
  <c r="K48" i="11"/>
  <c r="M101" i="11"/>
  <c r="J43" i="11" l="1"/>
  <c r="J95" i="11" s="1"/>
  <c r="L103" i="11"/>
  <c r="K43" i="11"/>
  <c r="K95" i="11" s="1"/>
  <c r="K100" i="11"/>
  <c r="K58" i="11"/>
  <c r="K53" i="11" s="1"/>
  <c r="L102" i="11"/>
  <c r="L48" i="11"/>
  <c r="N101" i="11"/>
  <c r="L58" i="11" l="1"/>
  <c r="L53" i="11" s="1"/>
  <c r="L100" i="11"/>
  <c r="L43" i="11"/>
  <c r="L95" i="11" s="1"/>
  <c r="O101" i="11"/>
  <c r="M102" i="11"/>
  <c r="M103" i="11"/>
  <c r="M48" i="11" l="1"/>
  <c r="N103" i="11"/>
  <c r="M43" i="11"/>
  <c r="M95" i="11" s="1"/>
  <c r="M100" i="11"/>
  <c r="P101" i="11"/>
  <c r="N102" i="11"/>
  <c r="M58" i="11"/>
  <c r="M53" i="11" s="1"/>
  <c r="Q101" i="11" l="1"/>
  <c r="O103" i="11"/>
  <c r="O102" i="11"/>
  <c r="O48" i="11"/>
  <c r="N48" i="11"/>
  <c r="P102" i="11" l="1"/>
  <c r="P103" i="11"/>
  <c r="O58" i="11"/>
  <c r="O53" i="11" s="1"/>
  <c r="N43" i="11"/>
  <c r="N95" i="11" s="1"/>
  <c r="N100" i="11"/>
  <c r="O43" i="11"/>
  <c r="O95" i="11" s="1"/>
  <c r="O100" i="11"/>
  <c r="R101" i="11"/>
  <c r="N58" i="11"/>
  <c r="N53" i="11" s="1"/>
  <c r="S101" i="11" l="1"/>
  <c r="Q102" i="11"/>
  <c r="P58" i="11"/>
  <c r="P53" i="11" s="1"/>
  <c r="Q103" i="11"/>
  <c r="P48" i="11"/>
  <c r="Q48" i="11" l="1"/>
  <c r="Q100" i="11" s="1"/>
  <c r="Q58" i="11"/>
  <c r="Q53" i="11" s="1"/>
  <c r="P43" i="11"/>
  <c r="P95" i="11" s="1"/>
  <c r="P100" i="11"/>
  <c r="R103" i="11"/>
  <c r="R102" i="11"/>
  <c r="T101" i="11"/>
  <c r="Q43" i="11" l="1"/>
  <c r="Q95" i="11" s="1"/>
  <c r="R48" i="11"/>
  <c r="U101" i="11"/>
  <c r="R58" i="11"/>
  <c r="R53" i="11" s="1"/>
  <c r="S103" i="11"/>
  <c r="R43" i="11"/>
  <c r="R95" i="11" s="1"/>
  <c r="R100" i="11"/>
  <c r="S102" i="11"/>
  <c r="S48" i="11"/>
  <c r="S43" i="11" l="1"/>
  <c r="S95" i="11" s="1"/>
  <c r="S100" i="11"/>
  <c r="V101" i="11"/>
  <c r="T102" i="11"/>
  <c r="S58" i="11"/>
  <c r="S53" i="11" s="1"/>
  <c r="T103" i="11"/>
  <c r="T48" i="11" l="1"/>
  <c r="T58" i="11"/>
  <c r="T53" i="11" s="1"/>
  <c r="T43" i="11"/>
  <c r="T95" i="11" s="1"/>
  <c r="T100" i="11"/>
  <c r="U102" i="11"/>
  <c r="U103" i="11"/>
  <c r="U48" i="11" l="1"/>
  <c r="V102" i="11"/>
  <c r="U58" i="11"/>
  <c r="U53" i="11" s="1"/>
  <c r="V103" i="11"/>
  <c r="U43" i="11"/>
  <c r="U95" i="11" s="1"/>
  <c r="U100" i="11"/>
  <c r="V58" i="11" l="1"/>
  <c r="V53" i="11" s="1"/>
  <c r="V48" i="11"/>
  <c r="V43" i="11" l="1"/>
  <c r="V95" i="11" s="1"/>
  <c r="V100" i="11"/>
</calcChain>
</file>

<file path=xl/sharedStrings.xml><?xml version="1.0" encoding="utf-8"?>
<sst xmlns="http://schemas.openxmlformats.org/spreadsheetml/2006/main" count="2655" uniqueCount="1167">
  <si>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</si>
  <si>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</si>
  <si>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</si>
  <si>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</si>
  <si>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</si>
  <si>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</si>
  <si>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</si>
  <si>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Overview: Transport sectors</t>
  </si>
  <si>
    <t>Road transport - activity related data</t>
  </si>
  <si>
    <t>energy consumption</t>
  </si>
  <si>
    <t>CO2 emissions</t>
  </si>
  <si>
    <t>technology data</t>
  </si>
  <si>
    <t>Rail, metro and tram - activity related data</t>
  </si>
  <si>
    <t>Aviation - activity related data</t>
  </si>
  <si>
    <t>passenger transport specific data</t>
  </si>
  <si>
    <t>Coastal shipping and inland waterways - activity related data</t>
  </si>
  <si>
    <t>Click on the link to jump to the sheet</t>
  </si>
  <si>
    <t>Transport activity</t>
  </si>
  <si>
    <t>Passenger transport (mio pkm)</t>
  </si>
  <si>
    <t>Road transport</t>
  </si>
  <si>
    <t>Passenger cars</t>
  </si>
  <si>
    <t>Motor coaches, buses and trolley buses</t>
  </si>
  <si>
    <t>Rail, metro and tram</t>
  </si>
  <si>
    <t>Metro and tram, urban light rail</t>
  </si>
  <si>
    <t>Conventional passenger trains</t>
  </si>
  <si>
    <t>High speed passenger trains</t>
  </si>
  <si>
    <t>Aviation</t>
  </si>
  <si>
    <t>Domestic</t>
  </si>
  <si>
    <t>Freight transport (mio tkm)</t>
  </si>
  <si>
    <t>Rail transport</t>
  </si>
  <si>
    <t>Domestic coastal shipping</t>
  </si>
  <si>
    <t>Inland waterways</t>
  </si>
  <si>
    <t>Energy consumption (ktoe)</t>
  </si>
  <si>
    <t>Passenger transport</t>
  </si>
  <si>
    <t>Freight transport</t>
  </si>
  <si>
    <t>CO2 emissions (kt of CO2)</t>
  </si>
  <si>
    <t>Indicators</t>
  </si>
  <si>
    <t>Market shares of activity</t>
  </si>
  <si>
    <t>Passenger transport (% of pkm)</t>
  </si>
  <si>
    <t>Freight transport (% of tkm)</t>
  </si>
  <si>
    <t>Shares of total energy consumption (%)</t>
  </si>
  <si>
    <t>Shares of CO2 emissions (%)</t>
  </si>
  <si>
    <t>Energy consumption per activity</t>
  </si>
  <si>
    <t>Emission intensity</t>
  </si>
  <si>
    <t>CO2 emissions (kt CO2)</t>
  </si>
  <si>
    <t>by fuel</t>
  </si>
  <si>
    <t>Liquids</t>
  </si>
  <si>
    <t>Split of CO2 emissions (kt CO2)</t>
  </si>
  <si>
    <t>Emission factors (kt CO2 / ktoe)</t>
  </si>
  <si>
    <t>Emission intensity (kg of CO2 / 100 km)</t>
  </si>
  <si>
    <t>Emission intensity over activity (kg of CO2 / 000 tkm)</t>
  </si>
  <si>
    <t>by fuel (EUROSTAT DATA)</t>
  </si>
  <si>
    <t>Liquified petroleum gas (LPG)</t>
  </si>
  <si>
    <t>Gasoline (without biofuels)</t>
  </si>
  <si>
    <t>Gas/Diesel oil (without biofuels)</t>
  </si>
  <si>
    <t>Natural gas</t>
  </si>
  <si>
    <t>Renewable energies and wastes</t>
  </si>
  <si>
    <t>Biogas</t>
  </si>
  <si>
    <t>Biogasoline</t>
  </si>
  <si>
    <t>Biodiesel</t>
  </si>
  <si>
    <t>Other biofuels</t>
  </si>
  <si>
    <t>Total energy consumption (ktoe)</t>
  </si>
  <si>
    <t>Vehicle-efficiency (kgoe/100 km)</t>
  </si>
  <si>
    <t>Energy intensity over activity (kgoe / 000 tkm)</t>
  </si>
  <si>
    <t>Vehicle-km (mio km)</t>
  </si>
  <si>
    <t>Market shares of activity (% of tkm)</t>
  </si>
  <si>
    <t>Market shares of vehicle km (% of km)</t>
  </si>
  <si>
    <t>Number of seats available</t>
  </si>
  <si>
    <t>Seats available per flight</t>
  </si>
  <si>
    <t>Occupancy ratio (%)</t>
  </si>
  <si>
    <t>Energy consumption per seat-km (kgoe/seat-km)</t>
  </si>
  <si>
    <t>Emission intensity over activity</t>
  </si>
  <si>
    <t>CO2 emissions per flight (kg of CO2 / flight)</t>
  </si>
  <si>
    <t>Vehicle-efficiency - effective (kgoe/100 km)</t>
  </si>
  <si>
    <t>Energy intensity over activity</t>
  </si>
  <si>
    <t>Energy consumption per flight (kgoe/flight)</t>
  </si>
  <si>
    <t>Vehicle-efficiency - theoretical (kgoe/100 km)*</t>
  </si>
  <si>
    <t>Discrepancy between effective and theoretical efficiencies (ratio)</t>
  </si>
  <si>
    <t>* Theoretical efficiency is derived for the representative aircraft based on the distance travelled per flight</t>
  </si>
  <si>
    <t>Passenger transport (passengers)</t>
  </si>
  <si>
    <t>Freight transport (tonnes)</t>
  </si>
  <si>
    <t>Stock of aircrafts - total</t>
  </si>
  <si>
    <t>New aircrafts</t>
  </si>
  <si>
    <t>Load factor of flights</t>
  </si>
  <si>
    <t>Passenger transport (p/flight)</t>
  </si>
  <si>
    <t>Freight transport (t/flight)</t>
  </si>
  <si>
    <t>Passenger-km and tonne-km per flight</t>
  </si>
  <si>
    <t>Passenger transport (pkm/flight)</t>
  </si>
  <si>
    <t>Freight transport (tkm/flight)</t>
  </si>
  <si>
    <t>Flights per year by airplance</t>
  </si>
  <si>
    <t>Diesel</t>
  </si>
  <si>
    <t>Electricity</t>
  </si>
  <si>
    <t>Diesel oil</t>
  </si>
  <si>
    <t>Electric</t>
  </si>
  <si>
    <t>CO2 emissions per vehicle annum (t of CO2 / vehicle)</t>
  </si>
  <si>
    <t>Diesel oil (incl. biofuels)</t>
  </si>
  <si>
    <t>Energy consumption per vehicle annum (kgoe/vehicle)</t>
  </si>
  <si>
    <t>Stock of vehicles - total (representative train configuration)</t>
  </si>
  <si>
    <t>New vehicles - total (representative train configuration)</t>
  </si>
  <si>
    <t>Load factor of vehicles</t>
  </si>
  <si>
    <t>Passenger transport (p/movement)</t>
  </si>
  <si>
    <t>Freight transport (t/movement)</t>
  </si>
  <si>
    <t>Capacity of representative train configuration</t>
  </si>
  <si>
    <t>Passenger transport (passenger-seats)</t>
  </si>
  <si>
    <t>Occupancy / utilisation</t>
  </si>
  <si>
    <t>Vehicle-km per vehicle annum (km/vehicle)</t>
  </si>
  <si>
    <t>Passenger-km and tonne-km per vehicle annum</t>
  </si>
  <si>
    <t>Passenger transport (pkm/vehicle)</t>
  </si>
  <si>
    <t>Freight transport (tkm/vehicle)</t>
  </si>
  <si>
    <t>Stock of vehicles - total (vehicles)</t>
  </si>
  <si>
    <t>Gasoline engine</t>
  </si>
  <si>
    <t>Diesel oil engine</t>
  </si>
  <si>
    <t>LPG engine</t>
  </si>
  <si>
    <t>Natural gas engine</t>
  </si>
  <si>
    <t>Plug-in hybrid electric</t>
  </si>
  <si>
    <t>Battery electric vehicles</t>
  </si>
  <si>
    <t>International</t>
  </si>
  <si>
    <t>New vehicle-registrations</t>
  </si>
  <si>
    <t>Year of registration:</t>
  </si>
  <si>
    <t>&lt;=2000</t>
  </si>
  <si>
    <t>Test cycle efficiency of total stock (kgoe/100 km)</t>
  </si>
  <si>
    <t>Discrepancy between effective and test cycle efficiencies (ratio)</t>
  </si>
  <si>
    <t>Test cycle efficiency of new vehicles (kgoe/100 km)</t>
  </si>
  <si>
    <t>Test cycle emission intensity of total stock (g of CO2 / km)</t>
  </si>
  <si>
    <t>Discrepancy between effective and test cycle emission intensities (ratio)</t>
  </si>
  <si>
    <t>Test cycle emission intensity of new vehicles (g of CO2 / km)</t>
  </si>
  <si>
    <t>Gasoline (incl. biofuels)</t>
  </si>
  <si>
    <t>LPG</t>
  </si>
  <si>
    <t>Natural gas (incl. biogas)</t>
  </si>
  <si>
    <t>Emission intensity (g of CO2 / km)</t>
  </si>
  <si>
    <t>CO2 emissions per vehicle annum (kg of CO2 / vehicle)</t>
  </si>
  <si>
    <t>of which biofuels</t>
  </si>
  <si>
    <t>of which biogas</t>
  </si>
  <si>
    <t>Plug-in hybrid electric (Gasoline and electricity)</t>
  </si>
  <si>
    <t>of which electricity</t>
  </si>
  <si>
    <t>Vehicle-km driven (mio km)</t>
  </si>
  <si>
    <t>Stock of vehicles - in use (vehicles)</t>
  </si>
  <si>
    <t>Vehicle-km driven per vehicle annum (km/vehicle)</t>
  </si>
  <si>
    <t>Passenger-km and tonne-km driven per vehicle annum</t>
  </si>
  <si>
    <t>Number of departing flights</t>
  </si>
  <si>
    <t>Distance travelled per flight (km/flight)</t>
  </si>
  <si>
    <t>Volume carried in departing flights</t>
  </si>
  <si>
    <t>Domestic navigation</t>
  </si>
  <si>
    <t>Transport sector</t>
  </si>
  <si>
    <t>Load factor of vessels (t/movement)</t>
  </si>
  <si>
    <t>Gas oil and diesel oil (excluding biofuel portion)</t>
  </si>
  <si>
    <t>Fuel oil and Other oil products</t>
  </si>
  <si>
    <t>Blended biofuels</t>
  </si>
  <si>
    <t>Biogases</t>
  </si>
  <si>
    <t>Emission factor (kt CO2 / ktoe)</t>
  </si>
  <si>
    <t>Transport activity (Mtkm)</t>
  </si>
  <si>
    <t>Diesel oil (blend)</t>
  </si>
  <si>
    <t>Age structure in 2021</t>
  </si>
  <si>
    <t>JRC-IDEES-2021 - Integrated Database of the European Energy System</t>
  </si>
  <si>
    <t>v2021-1.00</t>
  </si>
  <si>
    <t>Code</t>
  </si>
  <si>
    <t>Light commercial vehicles</t>
  </si>
  <si>
    <t>Heavy goods vehicles (Diesel oil incl. biofuels)</t>
  </si>
  <si>
    <t>Heavy goods vehicles</t>
  </si>
  <si>
    <t>Passenger transport (kgoe / kpkm)</t>
  </si>
  <si>
    <t>Freight transport (kgoe / ktkm)</t>
  </si>
  <si>
    <t>Passenger transport  (g of CO2 / pkm)</t>
  </si>
  <si>
    <t>Freight transport  (g of CO2 / tkm)</t>
  </si>
  <si>
    <t>Freight transport (g of CO2 / tkm)</t>
  </si>
  <si>
    <t>Passenger transport (g of CO2 / pkm)</t>
  </si>
  <si>
    <t>Vehicle-km (Mkm)</t>
  </si>
  <si>
    <t>Energy intensity over activity (kgoe / ktkm)</t>
  </si>
  <si>
    <t>Emission intensity over activity (g of CO2 / tkm)</t>
  </si>
  <si>
    <t>Transport activity (mio tkm)</t>
  </si>
  <si>
    <t>International maritime bunkers - activity related data</t>
  </si>
  <si>
    <t>Intra-EEA</t>
  </si>
  <si>
    <t>Extra-EEA</t>
  </si>
  <si>
    <t>*EEA = European Economic Area (European Union + Iceland + Liechtenstein + Norway), United Kingdom excluded</t>
  </si>
  <si>
    <t>International - Intra-EEAwUK</t>
  </si>
  <si>
    <t>International - Extra-EEAwUK</t>
  </si>
  <si>
    <t>*EEAwUK = European Economic Area (European Union + Iceland + Liechtenstein + Norway) and the United Kingdom</t>
  </si>
  <si>
    <t>International maritime bunkers</t>
  </si>
  <si>
    <t>International maritime bunkers (mio tkm)</t>
  </si>
  <si>
    <t>International maritime bunkers (% of international tkm)</t>
  </si>
  <si>
    <t>International maritime bunkers (kgoe / ktkm)</t>
  </si>
  <si>
    <t>Powered two-wheelers</t>
  </si>
  <si>
    <t>Powered two-wheelers (Gasoline)</t>
  </si>
  <si>
    <t>excluding biofuels</t>
  </si>
  <si>
    <t>blended liquid biofuels</t>
  </si>
  <si>
    <t>Biodiesel and other biofuels</t>
  </si>
  <si>
    <t>Hydrogen</t>
  </si>
  <si>
    <t>AT</t>
  </si>
  <si>
    <t>Austria</t>
  </si>
  <si>
    <t>Aviation - AT - Austria</t>
  </si>
  <si>
    <t>Activity.Mpkm.AT.Tr.Avia.Passenger</t>
  </si>
  <si>
    <t>Activity.Mpkm.AT.Tr.Avia.Passenger.Domestic</t>
  </si>
  <si>
    <t>Activity.Mpkm.AT.Tr.Avia.Passenger.IntraEEAwUK</t>
  </si>
  <si>
    <t>Activity.Mpkm.AT.Tr.Avia.Passenger.ExtraEEAwUK</t>
  </si>
  <si>
    <t>Activity.Mtkm.AT.Tr.Avia.Freight</t>
  </si>
  <si>
    <t>Activity.Mtkm.AT.Tr.Avia.Freight.Domestic</t>
  </si>
  <si>
    <t>Activity.Mtkm.AT.Tr.Avia.Freight.IntraEEAwUK</t>
  </si>
  <si>
    <t>Activity.Mtkm.AT.Tr.Avia.Freight.ExtraEEAwUK</t>
  </si>
  <si>
    <t>VehicleKm.Mkm.AT.Tr.Avia</t>
  </si>
  <si>
    <t>VehicleKm.Mkm.AT.Tr.Avia.Passenger</t>
  </si>
  <si>
    <t>VehicleKm.Mkm.AT.Tr.Avia.Passenger.Domestic</t>
  </si>
  <si>
    <t>VehicleKm.Mkm.AT.Tr.Avia.Passenger.IntraEEAwUK</t>
  </si>
  <si>
    <t>VehicleKm.Mkm.AT.Tr.Avia.Passenger.ExtraEEAwUK</t>
  </si>
  <si>
    <t>VehicleKm.Mkm.AT.Tr.Avia.Freight</t>
  </si>
  <si>
    <t>VehicleKm.Mkm.AT.Tr.Avia.Freight.Domestic</t>
  </si>
  <si>
    <t>VehicleKm.Mkm.AT.Tr.Avia.Freight.IntraEEAwUK</t>
  </si>
  <si>
    <t>VehicleKm.Mkm.AT.Tr.Avia.Freight.ExtraEEAwUK</t>
  </si>
  <si>
    <t>Flights.number.AT.Tr.Avia</t>
  </si>
  <si>
    <t>Flights.number.AT.Tr.Avia.Passenger</t>
  </si>
  <si>
    <t>Flights.number.AT.Tr.Avia.Passenger.Domestic</t>
  </si>
  <si>
    <t>Flights.number.AT.Tr.Avia.Passenger.IntraEEAwUK</t>
  </si>
  <si>
    <t>Flights.number.AT.Tr.Avia.Passenger.ExtraEEAwUK</t>
  </si>
  <si>
    <t>Flights.number.AT.Tr.Avia.Freight</t>
  </si>
  <si>
    <t>Flights.number.AT.Tr.Avia.Freight.Domestic</t>
  </si>
  <si>
    <t>Flights.number.AT.Tr.Avia.Freight.IntraEEAwUK</t>
  </si>
  <si>
    <t>Flights.number.AT.Tr.Avia.Freight.ExtraEEAwUK</t>
  </si>
  <si>
    <t>VolCarried.passenger.AT.Tr.Avia.Passenger</t>
  </si>
  <si>
    <t>VolCarried.passenger.AT.Tr.Avia.Passenger.Domestic</t>
  </si>
  <si>
    <t>VolCarried.passenger.AT.Tr.Avia.Passenger.IntraEEAwUK</t>
  </si>
  <si>
    <t>VolCarried.passenger.AT.Tr.Avia.Passenger.ExtraEEAwUK</t>
  </si>
  <si>
    <t>VolCarried.t.AT.Tr.Avia.Freight</t>
  </si>
  <si>
    <t>VolCarried.t.AT.Tr.Avia.Freight.Domestic</t>
  </si>
  <si>
    <t>VolCarried.t.AT.Tr.Avia.Freight.IntraEEAwUK</t>
  </si>
  <si>
    <t>VolCarried.t.AT.Tr.Avia.Freight.ExtraEEAwUK</t>
  </si>
  <si>
    <t>Stock.number.AT.Tr.Avia</t>
  </si>
  <si>
    <t>Stock.number.AT.Tr.Avia.Passenger</t>
  </si>
  <si>
    <t>Stock.number.AT.Tr.Avia.Passenger.Domestic</t>
  </si>
  <si>
    <t>Stock.number.AT.Tr.Avia.Passenger.IntraEEAwUK</t>
  </si>
  <si>
    <t>Stock.number.AT.Tr.Avia.Passenger.ExtraEEAwUK</t>
  </si>
  <si>
    <t>Stock.number.AT.Tr.Avia.Freight</t>
  </si>
  <si>
    <t>Stock.number.AT.Tr.Avia.Freight.Domestic</t>
  </si>
  <si>
    <t>Stock.number.AT.Tr.Avia.Freight.IntraEEAwUK</t>
  </si>
  <si>
    <t>Stock.number.AT.Tr.Avia.Freight.ExtraEEAwUK</t>
  </si>
  <si>
    <t>StockNew.number.AT.Tr.Avia</t>
  </si>
  <si>
    <t>StockNew.number.AT.Tr.Avia.Passenger</t>
  </si>
  <si>
    <t>StockNew.number.AT.Tr.Avia.Passenger.Domestic</t>
  </si>
  <si>
    <t>StockNew.number.AT.Tr.Avia.Passenger.IntraEEAwUK</t>
  </si>
  <si>
    <t>StockNew.number.AT.Tr.Avia.Passenger.ExtraEEAwUK</t>
  </si>
  <si>
    <t>StockNew.number.AT.Tr.Avia.Freight</t>
  </si>
  <si>
    <t>StockNew.number.AT.Tr.Avia.Freight.Domestic</t>
  </si>
  <si>
    <t>StockNew.number.AT.Tr.Avia.Freight.IntraEEAwUK</t>
  </si>
  <si>
    <t>StockNew.number.AT.Tr.Avia.Freight.ExtraEEAwUK</t>
  </si>
  <si>
    <t>Load.passenger_per_movement.AT.Tr.Avia.Passenger</t>
  </si>
  <si>
    <t>Load.passenger_per_movement.AT.Tr.Avia.Passenger.Domestic</t>
  </si>
  <si>
    <t>Load.passenger_per_movement.AT.Tr.Avia.Passenger.IntraEEAwUK</t>
  </si>
  <si>
    <t>Load.passenger_per_movement.AT.Tr.Avia.Passenger.ExtraEEAwUK</t>
  </si>
  <si>
    <t>Load.t_per_movement.AT.Tr.Avia.Freight</t>
  </si>
  <si>
    <t>Load.t_per_movement.AT.Tr.Avia.Freight.Domestic</t>
  </si>
  <si>
    <t>Load.t_per_movement.AT.Tr.Avia.Freight.IntraEEAwUK</t>
  </si>
  <si>
    <t>Load.t_per_movement.AT.Tr.Avia.Freight.ExtraEEAwUK</t>
  </si>
  <si>
    <t>VehicleKm_per_flight.km.AT.Tr.Avia</t>
  </si>
  <si>
    <t>VehicleKm_per_flight.km.AT.Tr.Avia.Passenger</t>
  </si>
  <si>
    <t>VehicleKm_per_flight.km.AT.Tr.Avia.Passenger.Domestic</t>
  </si>
  <si>
    <t>VehicleKm_per_flight.km.AT.Tr.Avia.Passenger.IntraEEAwUK</t>
  </si>
  <si>
    <t>VehicleKm_per_flight.km.AT.Tr.Avia.Passenger.ExtraEEAwUK</t>
  </si>
  <si>
    <t>VehicleKm_per_flight.km.AT.Tr.Avia.Freight</t>
  </si>
  <si>
    <t>VehicleKm_per_flight.km.AT.Tr.Avia.Freight.Domestic</t>
  </si>
  <si>
    <t>VehicleKm_per_flight.km.AT.Tr.Avia.Freight.IntraEEAwUK</t>
  </si>
  <si>
    <t>VehicleKm_per_flight.km.AT.Tr.Avia.Freight.ExtraEEAwUK</t>
  </si>
  <si>
    <t>Activity_per_flight.pkm.AT.Tr.Avia.Passenger</t>
  </si>
  <si>
    <t>Activity_per_flight.pkm.AT.Tr.Avia.Passenger.Domestic</t>
  </si>
  <si>
    <t>Activity_per_flight.pkm.AT.Tr.Avia.Passenger.IntraEEAwUK</t>
  </si>
  <si>
    <t>Activity_per_flight.pkm.AT.Tr.Avia.Passenger.ExtraEEAwUK</t>
  </si>
  <si>
    <t>Activity_per_flight.tkm.AT.Tr.Avia.Freight</t>
  </si>
  <si>
    <t>Activity_per_flight.tkm.AT.Tr.Avia.Freight.Domestic</t>
  </si>
  <si>
    <t>Activity_per_flight.tkm.AT.Tr.Avia.Freight.IntraEEAwUK</t>
  </si>
  <si>
    <t>Activity_per_flight.tkm.AT.Tr.Avia.Freight.ExtraEEAwUK</t>
  </si>
  <si>
    <t>Flights_per_vehicle.number.AT.Tr.Avia</t>
  </si>
  <si>
    <t>Flights_per_vehicle.number.AT.Tr.Avia.Passenger</t>
  </si>
  <si>
    <t>Flights_per_vehicle.number.AT.Tr.Avia.Passenger.Domestic</t>
  </si>
  <si>
    <t>Flights_per_vehicle.number.AT.Tr.Avia.Passenger.IntraEEAwUK</t>
  </si>
  <si>
    <t>Flights_per_vehicle.number.AT.Tr.Avia.Passenger.ExtraEEAwUK</t>
  </si>
  <si>
    <t>Flights_per_vehicle.number.AT.Tr.Avia.Freight</t>
  </si>
  <si>
    <t>Flights_per_vehicle.number.AT.Tr.Avia.Freight.Domestic</t>
  </si>
  <si>
    <t>Flights_per_vehicle.number.AT.Tr.Avia.Freight.IntraEEAwUK</t>
  </si>
  <si>
    <t>Flights_per_vehicle.number.AT.Tr.Avia.Freight.ExtraEEAwUK</t>
  </si>
  <si>
    <t>Aviation / energy consumption - AT - Austria</t>
  </si>
  <si>
    <t>FEC.ktoe.AT.Tr.Avia</t>
  </si>
  <si>
    <t>FEC.ktoe.AT.Tr.Avia.Domestic</t>
  </si>
  <si>
    <t>FEC.ktoe.AT.Tr.Avia.International</t>
  </si>
  <si>
    <t>FEC.ktoe.AT.Tr.Avia.Passenger</t>
  </si>
  <si>
    <t>FEC.ktoe.AT.Tr.Avia.Passenger.Domestic</t>
  </si>
  <si>
    <t>FEC.ktoe.AT.Tr.Avia.Passenger.IntraEEAwUK</t>
  </si>
  <si>
    <t>FEC.ktoe.AT.Tr.Avia.Passenger.ExtraEEAwUK</t>
  </si>
  <si>
    <t>FEC.ktoe.AT.Tr.Avia.Freight</t>
  </si>
  <si>
    <t>FEC.ktoe.AT.Tr.Avia.Freight.Domestic</t>
  </si>
  <si>
    <t>FEC.ktoe.AT.Tr.Avia.Freight.IntraEEAwUK</t>
  </si>
  <si>
    <t>FEC.ktoe.AT.Tr.Avia.Freight.ExtraEEAwUK</t>
  </si>
  <si>
    <t>Eff.kgoe_per_100km.AT.Tr.Avia</t>
  </si>
  <si>
    <t>Eff.kgoe_per_100km.AT.Tr.Avia.Passenger</t>
  </si>
  <si>
    <t>Eff.kgoe_per_100km.AT.Tr.Avia.Passenger.Domestic</t>
  </si>
  <si>
    <t>Eff.kgoe_per_100km.AT.Tr.Avia.Passenger.IntraEEAwUK</t>
  </si>
  <si>
    <t>Eff.kgoe_per_100km.AT.Tr.Avia.Passenger.ExtraEEAwUK</t>
  </si>
  <si>
    <t>Eff.kgoe_per_100km.AT.Tr.Avia.Freight</t>
  </si>
  <si>
    <t>Eff.kgoe_per_100km.AT.Tr.Avia.Freight.Domestic</t>
  </si>
  <si>
    <t>Eff.kgoe_per_100km.AT.Tr.Avia.Freight.IntraEEAwUK</t>
  </si>
  <si>
    <t>Eff.kgoe_per_100km.AT.Tr.Avia.Freight.ExtraEEAwUK</t>
  </si>
  <si>
    <t>Eff.kgoe_per_kpkm.AT.Tr.Avia.Passenger</t>
  </si>
  <si>
    <t>Eff.kgoe_per_kpkm.AT.Tr.Avia.Passenger.Domestic</t>
  </si>
  <si>
    <t>Eff.kgoe_per_kpkm.AT.Tr.Avia.Passenger.IntraEEAwUK</t>
  </si>
  <si>
    <t>Eff.kgoe_per_kpkm.AT.Tr.Avia.Passenger.ExtraEEAwUK</t>
  </si>
  <si>
    <t>Eff.kgoe_per_ktkm.AT.Tr.Avia.Freight</t>
  </si>
  <si>
    <t>Eff.kgoe_per_ktkm.AT.Tr.Avia.Freight.Domestic</t>
  </si>
  <si>
    <t>Eff.kgoe_per_ktkm.AT.Tr.Avia.Freight.IntraEEAwUK</t>
  </si>
  <si>
    <t>Eff.kgoe_per_ktkm.AT.Tr.Avia.Freight.ExtraEEAwUK</t>
  </si>
  <si>
    <t>FEC_per_flight.kgoe.AT.Tr.Avia</t>
  </si>
  <si>
    <t>FEC_per_flight.kgoe.AT.Tr.Avia.Passenger</t>
  </si>
  <si>
    <t>FEC_per_flight.kgoe.AT.Tr.Avia.Passenger.Domestic</t>
  </si>
  <si>
    <t>FEC_per_flight.kgoe.AT.Tr.Avia.Passenger.IntraEEAwUK</t>
  </si>
  <si>
    <t>FEC_per_flight.kgoe.AT.Tr.Avia.Passenger.ExtraEEAwUK</t>
  </si>
  <si>
    <t>FEC_per_flight.kgoe.AT.Tr.Avia.Freight</t>
  </si>
  <si>
    <t>FEC_per_flight.kgoe.AT.Tr.Avia.Freight.Domestic</t>
  </si>
  <si>
    <t>FEC_per_flight.kgoe.AT.Tr.Avia.Freight.IntraEEAwUK</t>
  </si>
  <si>
    <t>FEC_per_flight.kgoe.AT.Tr.Avia.Freight.ExtraEEAwUK</t>
  </si>
  <si>
    <t>Eff_theor.kgoe_per_100km.AT.Tr.Avia</t>
  </si>
  <si>
    <t>Eff_theor.kgoe_per_100km.AT.Tr.Avia.Passenger</t>
  </si>
  <si>
    <t>Eff_theor.kgoe_per_100km.AT.Tr.Avia.Passenger.Domestic</t>
  </si>
  <si>
    <t>Eff_theor.kgoe_per_100km.AT.Tr.Avia.Passenger.IntraEEAwUK</t>
  </si>
  <si>
    <t>Eff_theor.kgoe_per_100km.AT.Tr.Avia.Passenger.ExtraEEAwUK</t>
  </si>
  <si>
    <t>Eff_theor.kgoe_per_100km.AT.Tr.Avia.Freight</t>
  </si>
  <si>
    <t>Eff_theor.kgoe_per_100km.AT.Tr.Avia.Freight.Domestic</t>
  </si>
  <si>
    <t>Eff_theor.kgoe_per_100km.AT.Tr.Avia.Freight.IntraEEAwUK</t>
  </si>
  <si>
    <t>Eff_theor.kgoe_per_100km.AT.Tr.Avia.Freight.ExtraEEAwUK</t>
  </si>
  <si>
    <t>Aviation / CO2 emissions - AT - Austria</t>
  </si>
  <si>
    <t>EMI.ktCO2.AT.Tr.Avia</t>
  </si>
  <si>
    <t>EMI.ktCO2.AT.Tr.Avia.Domestic</t>
  </si>
  <si>
    <t>EMI.ktCO2.AT.Tr.Avia.International</t>
  </si>
  <si>
    <t>EMI.ktCO2.AT.Tr.Avia.Passenger</t>
  </si>
  <si>
    <t>EMI.ktCO2.AT.Tr.Avia.Passenger.Domestic</t>
  </si>
  <si>
    <t>EMI.ktCO2.AT.Tr.Avia.Passenger.IntraEEAwUK</t>
  </si>
  <si>
    <t>EMI.ktCO2.AT.Tr.Avia.Passenger.ExtraEEAwUK</t>
  </si>
  <si>
    <t>EMI.ktCO2.AT.Tr.Avia.Freight</t>
  </si>
  <si>
    <t>EMI.ktCO2.AT.Tr.Avia.Freight.Domestic</t>
  </si>
  <si>
    <t>EMI.ktCO2.AT.Tr.Avia.Freight.IntraEEAwUK</t>
  </si>
  <si>
    <t>EMI.ktCO2.AT.Tr.Avia.Freight.ExtraEEAwUK</t>
  </si>
  <si>
    <t>EMIint.gCO2_per_km.AT.Tr.Avia</t>
  </si>
  <si>
    <t>EMIint.gCO2_per_km.AT.Tr.Avia.Passenger</t>
  </si>
  <si>
    <t>EMIint.gCO2_per_km.AT.Tr.Avia.Passenger.Domestic</t>
  </si>
  <si>
    <t>EMIint.gCO2_per_km.AT.Tr.Avia.Passenger.IntraEEAwUK</t>
  </si>
  <si>
    <t>EMIint.gCO2_per_km.AT.Tr.Avia.Passenger.ExtraEEAwUK</t>
  </si>
  <si>
    <t>EMIint.gCO2_per_km.AT.Tr.Avia.Freight</t>
  </si>
  <si>
    <t>EMIint.gCO2_per_km.AT.Tr.Avia.Freight.Domestic</t>
  </si>
  <si>
    <t>EMIint.gCO2_per_km.AT.Tr.Avia.Freight.IntraEEAwUK</t>
  </si>
  <si>
    <t>EMIint.gCO2_per_km.AT.Tr.Avia.Freight.ExtraEEAwUK</t>
  </si>
  <si>
    <t>EMIint.gCO2_per_pkm.AT.Tr.Avia.Passenger</t>
  </si>
  <si>
    <t>EMIint.gCO2_per_pkm.AT.Tr.Avia.Passenger.Domestic</t>
  </si>
  <si>
    <t>EMIint.gCO2_per_pkm.AT.Tr.Avia.Passenger.IntraEEAwUK</t>
  </si>
  <si>
    <t>EMIint.gCO2_per_pkm.AT.Tr.Avia.Passenger.ExtraEEAwUK</t>
  </si>
  <si>
    <t>EMIint.gCO2_per_tkm.AT.Tr.Avia.Freight</t>
  </si>
  <si>
    <t>EMIint.gCO2_per_tkm.AT.Tr.Avia.Freight.Domestic</t>
  </si>
  <si>
    <t>EMIint.gCO2_per_tkm.AT.Tr.Avia.Freight.IntraEEAwUK</t>
  </si>
  <si>
    <t>EMIint.gCO2_per_tkm.AT.Tr.Avia.Freight.ExtraEEAwUK</t>
  </si>
  <si>
    <t>EMI_per_flight.kgCO2.AT.Tr.Avia</t>
  </si>
  <si>
    <t>EMI_per_flight.kgCO2.AT.Tr.Avia.Passenger</t>
  </si>
  <si>
    <t>EMI_per_flight.kgCO2.AT.Tr.Avia.Passenger.Domestic</t>
  </si>
  <si>
    <t>EMI_per_flight.kgCO2.AT.Tr.Avia.Passenger.IntraEEAwUK</t>
  </si>
  <si>
    <t>EMI_per_flight.kgCO2.AT.Tr.Avia.Passenger.ExtraEEAwUK</t>
  </si>
  <si>
    <t>EMI_per_flight.kgCO2.AT.Tr.Avia.Freight</t>
  </si>
  <si>
    <t>EMI_per_flight.kgCO2.AT.Tr.Avia.Freight.Domestic</t>
  </si>
  <si>
    <t>EMI_per_flight.kgCO2.AT.Tr.Avia.Freight.IntraEEAwUK</t>
  </si>
  <si>
    <t>EMI_per_flight.kgCO2.AT.Tr.Avia.Freight.ExtraEEAwUK</t>
  </si>
  <si>
    <t>Aviation / passenger transport specific data - AT - Austria</t>
  </si>
  <si>
    <t>TrCap.seats.AT.Tr.Avia.Passenger</t>
  </si>
  <si>
    <t>TrCap.seats.AT.Tr.Avia.Passenger.Domestic</t>
  </si>
  <si>
    <t>TrCap.seats.AT.Tr.Avia.Passenger.IntraEEAwUK</t>
  </si>
  <si>
    <t>TrCap.seats.AT.Tr.Avia.Passenger.ExtraEEAwUK</t>
  </si>
  <si>
    <t>TrCap_per_flight.seats.AT.Tr.Avia.Passenger</t>
  </si>
  <si>
    <t>TrCap_per_flight.seats.AT.Tr.Avia.Passenger.Domestic</t>
  </si>
  <si>
    <t>TrCap_per_flight.seats.AT.Tr.Avia.Passenger.IntraEEAwUK</t>
  </si>
  <si>
    <t>TrCap_per_flight.seats.AT.Tr.Avia.Passenger.ExtraEEAwUK</t>
  </si>
  <si>
    <t>Transport overview - AT - Austria</t>
  </si>
  <si>
    <t>Activity.Mpkm.AT.Tr</t>
  </si>
  <si>
    <t>Activity.Mpkm.AT.Tr.Road.Passenger</t>
  </si>
  <si>
    <t>Activity.Mpkm.AT.Tr.Road.Passenger.P2W</t>
  </si>
  <si>
    <t>Activity.Mpkm.AT.Tr.Road.Passenger.Car</t>
  </si>
  <si>
    <t>Activity.Mpkm.AT.Tr.Road.Passenger.Bus</t>
  </si>
  <si>
    <t>Activity.Mpkm.AT.Tr.Rail.Passenger</t>
  </si>
  <si>
    <t>Activity.Mpkm.AT.Tr.Rail.Passenger.MTU</t>
  </si>
  <si>
    <t>Activity.Mpkm.AT.Tr.Rail.Passenger.CPT</t>
  </si>
  <si>
    <t>Activity.Mpkm.AT.Tr.Rail.Passenger.HST</t>
  </si>
  <si>
    <t>Activity.Mtkm.AT.Tr</t>
  </si>
  <si>
    <t>Activity.Mtkm.AT.Tr.Road.Freight</t>
  </si>
  <si>
    <t>Activity.Mtkm.AT.Tr.Road.Freight.LCV</t>
  </si>
  <si>
    <t>Activity.Mtkm.AT.Tr.Road.Freight.HGV</t>
  </si>
  <si>
    <t>Activity.Mtkm.AT.Tr.Rail.Freight</t>
  </si>
  <si>
    <t>Activity.Mtkm.AT.Tr.DNavi.Freight</t>
  </si>
  <si>
    <t>Activity.Mtkm.AT.Tr.DNavi.Freight.DCS</t>
  </si>
  <si>
    <t>Activity.Mtkm.AT.Tr.DNavi.Freight.IWW</t>
  </si>
  <si>
    <t>Activity.Mtkm.AT.MBunk.Freight</t>
  </si>
  <si>
    <t>Activity.Mtkm.AT.MBunk.Freight.IntraEEA</t>
  </si>
  <si>
    <t>Activity.Mtkm.AT.MBunk.Freight.ExtraEEA</t>
  </si>
  <si>
    <t>FEC.ktoe.AT.Tr.Road.Passenger</t>
  </si>
  <si>
    <t>FEC.ktoe.AT.Tr.Road.Passenger.P2W</t>
  </si>
  <si>
    <t>FEC.ktoe.AT.Tr.Road.Passenger.Car</t>
  </si>
  <si>
    <t>FEC.ktoe.AT.Tr.Road.Passenger.Bus</t>
  </si>
  <si>
    <t>FEC.ktoe.AT.Tr.Rail.Passenger</t>
  </si>
  <si>
    <t>FEC.ktoe.AT.Tr.Rail.Passenger.MTU</t>
  </si>
  <si>
    <t>FEC.ktoe.AT.Tr.Rail.Passenger.CPT</t>
  </si>
  <si>
    <t>FEC.ktoe.AT.Tr.Rail.Passenger.HST</t>
  </si>
  <si>
    <t>FEC.ktoe.AT.Tr.Road.Freight</t>
  </si>
  <si>
    <t>FEC.ktoe.AT.Tr.Road.Freight.LCV</t>
  </si>
  <si>
    <t>FEC.ktoe.AT.Tr.Road.Freight.HGV</t>
  </si>
  <si>
    <t>FEC.ktoe.AT.Tr.Rail.Freight</t>
  </si>
  <si>
    <t>EMI.ktCO2.AT.Tr.Road.Passenger</t>
  </si>
  <si>
    <t>EMI.ktCO2.AT.Tr.Road.Passenger.P2W</t>
  </si>
  <si>
    <t>EMI.ktCO2.AT.Tr.Road.Passenger.Car</t>
  </si>
  <si>
    <t>EMI.ktCO2.AT.Tr.Road.Passenger.Bus</t>
  </si>
  <si>
    <t>EMI.ktCO2.AT.Tr.Rail.Passenger</t>
  </si>
  <si>
    <t>EMI.ktCO2.AT.Tr.Rail.Passenger.MTU</t>
  </si>
  <si>
    <t>EMI.ktCO2.AT.Tr.Rail.Passenger.CPT</t>
  </si>
  <si>
    <t>EMI.ktCO2.AT.Tr.Rail.Passenger.HST</t>
  </si>
  <si>
    <t>EMI.ktCO2.AT.Tr.Road.Freight</t>
  </si>
  <si>
    <t>EMI.ktCO2.AT.Tr.Road.Freight.LCV</t>
  </si>
  <si>
    <t>EMI.ktCO2.AT.Tr.Road.Freight.HGV</t>
  </si>
  <si>
    <t>EMI.ktCO2.AT.Tr.Rail.Freight</t>
  </si>
  <si>
    <t>Eff.kgoe_per_kpkm.AT.Tr</t>
  </si>
  <si>
    <t>Eff.kgoe_per_kpkm.AT.Tr.Road.Passenger</t>
  </si>
  <si>
    <t>Eff.kgoe_per_kpkm.AT.Tr.Road.Passenger.P2W</t>
  </si>
  <si>
    <t>Eff.kgoe_per_kpkm.AT.Tr.Road.Passenger.Car</t>
  </si>
  <si>
    <t>Eff.kgoe_per_kpkm.AT.Tr.Road.Passenger.Bus</t>
  </si>
  <si>
    <t>Eff.kgoe_per_kpkm.AT.Tr.Rail.Passenger</t>
  </si>
  <si>
    <t>Eff.kgoe_per_kpkm.AT.Tr.Rail.Passenger.MTU</t>
  </si>
  <si>
    <t>Eff.kgoe_per_kpkm.AT.Tr.Rail.Passenger.CPT</t>
  </si>
  <si>
    <t>Eff.kgoe_per_kpkm.AT.Tr.Rail.Passenger.HST</t>
  </si>
  <si>
    <t>Eff.kgoe_per_ktkm.AT.Tr</t>
  </si>
  <si>
    <t>Eff.kgoe_per_ktkm.AT.Tr.Road.Freight</t>
  </si>
  <si>
    <t>Eff.kgoe_per_ktkm.AT.Tr.Road.Freight.LCV</t>
  </si>
  <si>
    <t>Eff.kgoe_per_ktkm.AT.Tr.Road.Freight.HGV</t>
  </si>
  <si>
    <t>Eff.kgoe_per_ktkm.AT.Tr.Rail.Freight</t>
  </si>
  <si>
    <t>Eff.kgoe_per_ktkm.AT.Tr.DNavi.Freight</t>
  </si>
  <si>
    <t>Eff.kgoe_per_ktkm.AT.Tr.DNavi.Freight.DCS</t>
  </si>
  <si>
    <t>Eff.kgoe_per_ktkm.AT.Tr.DNavi.Freight.IWW</t>
  </si>
  <si>
    <t>Eff.kgoe_per_ktkm.AT.MBunk.Freight</t>
  </si>
  <si>
    <t>Eff.kgoe_per_ktkm.AT.MBunk.Freight.IntraEEA</t>
  </si>
  <si>
    <t>Eff.kgoe_per_ktkm.AT.MBunk.Freight.ExtraEEA</t>
  </si>
  <si>
    <t>EMIint.gCO2_per_pkm.AT.Tr</t>
  </si>
  <si>
    <t>EMIint.gCO2_per_pkm.AT.Tr.Road.Passenger</t>
  </si>
  <si>
    <t>EMIint.gCO2_per_pkm.AT.Tr.Road.Passenger.P2W</t>
  </si>
  <si>
    <t>EMIint.gCO2_per_pkm.AT.Tr.Road.Passenger.Car</t>
  </si>
  <si>
    <t>EMIint.gCO2_per_pkm.AT.Tr.Road.Passenger.Bus</t>
  </si>
  <si>
    <t>EMIint.gCO2_per_pkm.AT.Tr.Rail.Passenger</t>
  </si>
  <si>
    <t>EMIint.gCO2_per_pkm.AT.Tr.Rail.Passenger.MTU</t>
  </si>
  <si>
    <t>EMIint.gCO2_per_pkm.AT.Tr.Rail.Passenger.CPT</t>
  </si>
  <si>
    <t>EMIint.gCO2_per_pkm.AT.Tr.Rail.Passenger.HST</t>
  </si>
  <si>
    <t>EMIint.gCO2_per_tkm.AT.Tr</t>
  </si>
  <si>
    <t>EMIint.gCO2_per_tkm.AT.Tr.Road.Freight</t>
  </si>
  <si>
    <t>EMIint.gCO2_per_tkm.AT.Tr.Road.Freight.LCV</t>
  </si>
  <si>
    <t>EMIint.gCO2_per_tkm.AT.Tr.Road.Freight.HGV</t>
  </si>
  <si>
    <t>EMIint.gCO2_per_tkm.AT.Tr.Rail.Freight</t>
  </si>
  <si>
    <t>EMIint.gCO2_per_tkm.AT.Tr.DNavi.Freight</t>
  </si>
  <si>
    <t>EMIint.gCO2_per_tkm.AT.Tr.DNavi.Freight.DCS</t>
  </si>
  <si>
    <t>EMIint.gCO2_per_tkm.AT.Tr.DNavi.Freight.IWW</t>
  </si>
  <si>
    <t>EMIint.gCO2_per_tkm.AT.MBunk.Freight</t>
  </si>
  <si>
    <t>EMIint.gCO2_per_tkm.AT.MBunk.Freight.IntraEEA</t>
  </si>
  <si>
    <t>EMIint.gCO2_per_tkm.AT.MBunk.Freight.ExtraEEA</t>
  </si>
  <si>
    <t>Road transport - AT - Austria</t>
  </si>
  <si>
    <t>Activity.Mpkm.AT.Tr.Road.Passenger.Car.ICE.Gasoline</t>
  </si>
  <si>
    <t>Activity.Mpkm.AT.Tr.Road.Passenger.Car.ICE.Diesel</t>
  </si>
  <si>
    <t>Activity.Mpkm.AT.Tr.Road.Passenger.Car.ICE.LPG</t>
  </si>
  <si>
    <t>Activity.Mpkm.AT.Tr.Road.Passenger.Car.ICE.NGas</t>
  </si>
  <si>
    <t>Activity.Mpkm.AT.Tr.Road.Passenger.Car.PHEV</t>
  </si>
  <si>
    <t>Activity.Mpkm.AT.Tr.Road.Passenger.Car.BEV</t>
  </si>
  <si>
    <t>Activity.Mpkm.AT.Tr.Road.Passenger.Bus.ICE.Gasoline</t>
  </si>
  <si>
    <t>Activity.Mpkm.AT.Tr.Road.Passenger.Bus.ICE.Diesel</t>
  </si>
  <si>
    <t>Activity.Mpkm.AT.Tr.Road.Passenger.Bus.ICE.LPG</t>
  </si>
  <si>
    <t>Activity.Mpkm.AT.Tr.Road.Passenger.Bus.ICE.NGas</t>
  </si>
  <si>
    <t>Activity.Mpkm.AT.Tr.Road.Passenger.Bus.ICE.BEV</t>
  </si>
  <si>
    <t>Activity.Mtkm.AT.Tr.Road.Freight.LCV.ICE.Gasoline</t>
  </si>
  <si>
    <t>Activity.Mtkm.AT.Tr.Road.Freight.LCV.ICE.Diesel</t>
  </si>
  <si>
    <t>Activity.Mtkm.AT.Tr.Road.Freight.LCV.ICE.LPG</t>
  </si>
  <si>
    <t>Activity.Mtkm.AT.Tr.Road.Freight.LCV.ICE.NGas</t>
  </si>
  <si>
    <t>Activity.Mtkm.AT.Tr.Road.Freight.LCV.ICE.BEV</t>
  </si>
  <si>
    <t>Activity.Mtkm.AT.Tr.Road.Freight.HGV.Domestic</t>
  </si>
  <si>
    <t>Activity.Mtkm.AT.Tr.Road.Freight.HGV.International</t>
  </si>
  <si>
    <t>VehicleKm.Mkm.AT.Tr.Road</t>
  </si>
  <si>
    <t>VehicleKm.Mkm.AT.Tr.Road.Passenger</t>
  </si>
  <si>
    <t>VehicleKm.Mkm.AT.Tr.Road.Passenger.P2W</t>
  </si>
  <si>
    <t>VehicleKm.Mkm.AT.Tr.Road.Passenger.Car</t>
  </si>
  <si>
    <t>VehicleKm.Mkm.AT.Tr.Road.Passenger.Car.ICE.Gasoline</t>
  </si>
  <si>
    <t>VehicleKm.Mkm.AT.Tr.Road.Passenger.Car.ICE.Diesel</t>
  </si>
  <si>
    <t>VehicleKm.Mkm.AT.Tr.Road.Passenger.Car.ICE.LPG</t>
  </si>
  <si>
    <t>VehicleKm.Mkm.AT.Tr.Road.Passenger.Car.ICE.NGas</t>
  </si>
  <si>
    <t>VehicleKm.Mkm.AT.Tr.Road.Passenger.Car.PHEV</t>
  </si>
  <si>
    <t>VehicleKm.Mkm.AT.Tr.Road.Passenger.Car.BEV</t>
  </si>
  <si>
    <t>VehicleKm.Mkm.AT.Tr.Road.Passenger.Bus</t>
  </si>
  <si>
    <t>VehicleKm.Mkm.AT.Tr.Road.Passenger.Bus.ICE.Gasoline</t>
  </si>
  <si>
    <t>VehicleKm.Mkm.AT.Tr.Road.Passenger.Bus.ICE.Diesel</t>
  </si>
  <si>
    <t>VehicleKm.Mkm.AT.Tr.Road.Passenger.Bus.ICE.LPG</t>
  </si>
  <si>
    <t>VehicleKm.Mkm.AT.Tr.Road.Passenger.Bus.ICE.NGas</t>
  </si>
  <si>
    <t>VehicleKm.Mkm.AT.Tr.Road.Passenger.Bus.ICE.BEV</t>
  </si>
  <si>
    <t>VehicleKm.Mkm.AT.Tr.Road.Freight</t>
  </si>
  <si>
    <t>VehicleKm.Mkm.AT.Tr.Road.Freight.LCV</t>
  </si>
  <si>
    <t>VehicleKm.Mkm.AT.Tr.Road.Freight.LCV.ICE.Gasoline</t>
  </si>
  <si>
    <t>VehicleKm.Mkm.AT.Tr.Road.Freight.LCV.ICE.Diesel</t>
  </si>
  <si>
    <t>VehicleKm.Mkm.AT.Tr.Road.Freight.LCV.ICE.LPG</t>
  </si>
  <si>
    <t>VehicleKm.Mkm.AT.Tr.Road.Freight.LCV.ICE.NGas</t>
  </si>
  <si>
    <t>VehicleKm.Mkm.AT.Tr.Road.Freight.LCV.ICE.BEV</t>
  </si>
  <si>
    <t>VehicleKm.Mkm.AT.Tr.Road.Freight.HGV</t>
  </si>
  <si>
    <t>VehicleKm.Mkm.AT.Tr.Road.Freight.HGV.Domestic</t>
  </si>
  <si>
    <t>VehicleKm.Mkm.AT.Tr.Road.Freight.HGV.International</t>
  </si>
  <si>
    <t>Stock.number.AT.Tr.Road</t>
  </si>
  <si>
    <t>Stock.number.AT.Tr.Road.Passenger</t>
  </si>
  <si>
    <t>Stock.number.AT.Tr.Road.Passenger.P2W</t>
  </si>
  <si>
    <t>Stock.number.AT.Tr.Road.Passenger.Car</t>
  </si>
  <si>
    <t>Stock.number.AT.Tr.Road.Passenger.Car.ICE.Gasoline</t>
  </si>
  <si>
    <t>Stock.number.AT.Tr.Road.Passenger.Car.ICE.Diesel</t>
  </si>
  <si>
    <t>Stock.number.AT.Tr.Road.Passenger.Car.ICE.LPG</t>
  </si>
  <si>
    <t>Stock.number.AT.Tr.Road.Passenger.Car.ICE.NGas</t>
  </si>
  <si>
    <t>Stock.number.AT.Tr.Road.Passenger.Car.PHEV</t>
  </si>
  <si>
    <t>Stock.number.AT.Tr.Road.Passenger.Car.BEV</t>
  </si>
  <si>
    <t>Stock.number.AT.Tr.Road.Passenger.Bus</t>
  </si>
  <si>
    <t>Stock.number.AT.Tr.Road.Passenger.Bus.ICE.Gasoline</t>
  </si>
  <si>
    <t>Stock.number.AT.Tr.Road.Passenger.Bus.ICE.Diesel</t>
  </si>
  <si>
    <t>Stock.number.AT.Tr.Road.Passenger.Bus.ICE.LPG</t>
  </si>
  <si>
    <t>Stock.number.AT.Tr.Road.Passenger.Bus.ICE.NGas</t>
  </si>
  <si>
    <t>Stock.number.AT.Tr.Road.Passenger.Bus.ICE.BEV</t>
  </si>
  <si>
    <t>Stock.number.AT.Tr.Road.Freight</t>
  </si>
  <si>
    <t>Stock.number.AT.Tr.Road.Freight.LCV</t>
  </si>
  <si>
    <t>Stock.number.AT.Tr.Road.Freight.LCV.ICE.Gasoline</t>
  </si>
  <si>
    <t>Stock.number.AT.Tr.Road.Freight.LCV.ICE.Diesel</t>
  </si>
  <si>
    <t>Stock.number.AT.Tr.Road.Freight.LCV.ICE.LPG</t>
  </si>
  <si>
    <t>Stock.number.AT.Tr.Road.Freight.LCV.ICE.NGas</t>
  </si>
  <si>
    <t>Stock.number.AT.Tr.Road.Freight.LCV.ICE.BEV</t>
  </si>
  <si>
    <t>Stock.number.AT.Tr.Road.Freight.HGV</t>
  </si>
  <si>
    <t>Stock.number.AT.Tr.Road.Freight.HGV.Domestic</t>
  </si>
  <si>
    <t>Stock.number.AT.Tr.Road.Freight.HGV.International</t>
  </si>
  <si>
    <t>StockNew.number.AT.Tr.Road</t>
  </si>
  <si>
    <t>StockNew.number.AT.Tr.Road.Passenger</t>
  </si>
  <si>
    <t>StockNew.number.AT.Tr.Road.Passenger.P2W</t>
  </si>
  <si>
    <t>StockNew.number.AT.Tr.Road.Passenger.Car</t>
  </si>
  <si>
    <t>StockNew.number.AT.Tr.Road.Passenger.Car.ICE.Gasoline</t>
  </si>
  <si>
    <t>StockNew.number.AT.Tr.Road.Passenger.Car.ICE.Diesel</t>
  </si>
  <si>
    <t>StockNew.number.AT.Tr.Road.Passenger.Car.ICE.LPG</t>
  </si>
  <si>
    <t>StockNew.number.AT.Tr.Road.Passenger.Car.ICE.NGas</t>
  </si>
  <si>
    <t>StockNew.number.AT.Tr.Road.Passenger.Car.PHEV</t>
  </si>
  <si>
    <t>StockNew.number.AT.Tr.Road.Passenger.Car.BEV</t>
  </si>
  <si>
    <t>StockNew.number.AT.Tr.Road.Passenger.Bus</t>
  </si>
  <si>
    <t>StockNew.number.AT.Tr.Road.Passenger.Bus.ICE.Gasoline</t>
  </si>
  <si>
    <t>StockNew.number.AT.Tr.Road.Passenger.Bus.ICE.Diesel</t>
  </si>
  <si>
    <t>StockNew.number.AT.Tr.Road.Passenger.Bus.ICE.LPG</t>
  </si>
  <si>
    <t>StockNew.number.AT.Tr.Road.Passenger.Bus.ICE.NGas</t>
  </si>
  <si>
    <t>StockNew.number.AT.Tr.Road.Passenger.Bus.ICE.BEV</t>
  </si>
  <si>
    <t>StockNew.number.AT.Tr.Road.Freight</t>
  </si>
  <si>
    <t>StockNew.number.AT.Tr.Road.Freight.LCV</t>
  </si>
  <si>
    <t>StockNew.number.AT.Tr.Road.Freight.LCV.ICE.Gasoline</t>
  </si>
  <si>
    <t>StockNew.number.AT.Tr.Road.Freight.LCV.ICE.Diesel</t>
  </si>
  <si>
    <t>StockNew.number.AT.Tr.Road.Freight.LCV.ICE.LPG</t>
  </si>
  <si>
    <t>StockNew.number.AT.Tr.Road.Freight.LCV.ICE.NGas</t>
  </si>
  <si>
    <t>StockNew.number.AT.Tr.Road.Freight.LCV.ICE.BEV</t>
  </si>
  <si>
    <t>StockNew.number.AT.Tr.Road.Freight.HGV</t>
  </si>
  <si>
    <t>StockNew.number.AT.Tr.Road.Freight.HGV.Domestic</t>
  </si>
  <si>
    <t>StockNew.number.AT.Tr.Road.Freight.HGV.International</t>
  </si>
  <si>
    <t>Load.passenger_per_movement.AT.Tr.Road.Passenger</t>
  </si>
  <si>
    <t>Load.passenger_per_movement.AT.Tr.Road.Passenger.P2W</t>
  </si>
  <si>
    <t>Load.passenger_per_movement.AT.Tr.Road.Passenger.Car</t>
  </si>
  <si>
    <t>Load.passenger_per_movement.AT.Tr.Road.Passenger.Car.ICE.Gasoline</t>
  </si>
  <si>
    <t>Load.passenger_per_movement.AT.Tr.Road.Passenger.Car.ICE.Diesel</t>
  </si>
  <si>
    <t>Load.passenger_per_movement.AT.Tr.Road.Passenger.Car.ICE.LPG</t>
  </si>
  <si>
    <t>Load.passenger_per_movement.AT.Tr.Road.Passenger.Car.ICE.NGas</t>
  </si>
  <si>
    <t>Load.passenger_per_movement.AT.Tr.Road.Passenger.Car.PHEV</t>
  </si>
  <si>
    <t>Load.passenger_per_movement.AT.Tr.Road.Passenger.Car.BEV</t>
  </si>
  <si>
    <t>Load.passenger_per_movement.AT.Tr.Road.Passenger.Bus</t>
  </si>
  <si>
    <t>Load.passenger_per_movement.AT.Tr.Road.Passenger.Bus.ICE.Gasoline</t>
  </si>
  <si>
    <t>Load.passenger_per_movement.AT.Tr.Road.Passenger.Bus.ICE.Diesel</t>
  </si>
  <si>
    <t>Load.passenger_per_movement.AT.Tr.Road.Passenger.Bus.ICE.LPG</t>
  </si>
  <si>
    <t>Load.passenger_per_movement.AT.Tr.Road.Passenger.Bus.ICE.NGas</t>
  </si>
  <si>
    <t>Load.passenger_per_movement.AT.Tr.Road.Passenger.Bus.ICE.BEV</t>
  </si>
  <si>
    <t>Load.t_per_movement.AT.Tr.Road.Freight</t>
  </si>
  <si>
    <t>Load.t_per_movement.AT.Tr.Road.Freight.LCV</t>
  </si>
  <si>
    <t>Load.t_per_movement.AT.Tr.Road.Freight.LCV.ICE.Gasoline</t>
  </si>
  <si>
    <t>Load.t_per_movement.AT.Tr.Road.Freight.LCV.ICE.Diesel</t>
  </si>
  <si>
    <t>Load.t_per_movement.AT.Tr.Road.Freight.LCV.ICE.LPG</t>
  </si>
  <si>
    <t>Load.t_per_movement.AT.Tr.Road.Freight.LCV.ICE.NGas</t>
  </si>
  <si>
    <t>Load.t_per_movement.AT.Tr.Road.Freight.LCV.ICE.BEV</t>
  </si>
  <si>
    <t>Load.t_per_movement.AT.Tr.Road.Freight.HGV</t>
  </si>
  <si>
    <t>Load.t_per_movement.AT.Tr.Road.Freight.HGV.Domestic</t>
  </si>
  <si>
    <t>Load.t_per_movement.AT.Tr.Road.Freight.HGV.International</t>
  </si>
  <si>
    <t>VehicleKm_per_vehicle.km.AT.Tr.Road</t>
  </si>
  <si>
    <t>VehicleKm_per_vehicle.km.AT.Tr.Road.Passenger</t>
  </si>
  <si>
    <t>VehicleKm_per_vehicle.km.AT.Tr.Road.Passenger.P2W</t>
  </si>
  <si>
    <t>VehicleKm_per_vehicle.km.AT.Tr.Road.Passenger.Car</t>
  </si>
  <si>
    <t>VehicleKm_per_vehicle.km.AT.Tr.Road.Passenger.Car.ICE.Gasoline</t>
  </si>
  <si>
    <t>VehicleKm_per_vehicle.km.AT.Tr.Road.Passenger.Car.ICE.Diesel</t>
  </si>
  <si>
    <t>VehicleKm_per_vehicle.km.AT.Tr.Road.Passenger.Car.ICE.LPG</t>
  </si>
  <si>
    <t>VehicleKm_per_vehicle.km.AT.Tr.Road.Passenger.Car.ICE.NGas</t>
  </si>
  <si>
    <t>VehicleKm_per_vehicle.km.AT.Tr.Road.Passenger.Car.PHEV</t>
  </si>
  <si>
    <t>VehicleKm_per_vehicle.km.AT.Tr.Road.Passenger.Car.BEV</t>
  </si>
  <si>
    <t>VehicleKm_per_vehicle.km.AT.Tr.Road.Passenger.Bus</t>
  </si>
  <si>
    <t>VehicleKm_per_vehicle.km.AT.Tr.Road.Passenger.Bus.ICE.Gasoline</t>
  </si>
  <si>
    <t>VehicleKm_per_vehicle.km.AT.Tr.Road.Passenger.Bus.ICE.Diesel</t>
  </si>
  <si>
    <t>VehicleKm_per_vehicle.km.AT.Tr.Road.Passenger.Bus.ICE.LPG</t>
  </si>
  <si>
    <t>VehicleKm_per_vehicle.km.AT.Tr.Road.Passenger.Bus.ICE.NGas</t>
  </si>
  <si>
    <t>VehicleKm_per_vehicle.km.AT.Tr.Road.Passenger.Bus.ICE.BEV</t>
  </si>
  <si>
    <t>VehicleKm_per_vehicle.km.AT.Tr.Road.Freight</t>
  </si>
  <si>
    <t>VehicleKm_per_vehicle.km.AT.Tr.Road.Freight.LCV</t>
  </si>
  <si>
    <t>VehicleKm_per_vehicle.km.AT.Tr.Road.Freight.LCV.ICE.Gasoline</t>
  </si>
  <si>
    <t>VehicleKm_per_vehicle.km.AT.Tr.Road.Freight.LCV.ICE.Diesel</t>
  </si>
  <si>
    <t>VehicleKm_per_vehicle.km.AT.Tr.Road.Freight.LCV.ICE.LPG</t>
  </si>
  <si>
    <t>VehicleKm_per_vehicle.km.AT.Tr.Road.Freight.LCV.ICE.NGas</t>
  </si>
  <si>
    <t>VehicleKm_per_vehicle.km.AT.Tr.Road.Freight.LCV.ICE.BEV</t>
  </si>
  <si>
    <t>VehicleKm_per_vehicle.km.AT.Tr.Road.Freight.HGV</t>
  </si>
  <si>
    <t>VehicleKm_per_vehicle.km.AT.Tr.Road.Freight.HGV.Domestic</t>
  </si>
  <si>
    <t>VehicleKm_per_vehicle.km.AT.Tr.Road.Freight.HGV.International</t>
  </si>
  <si>
    <t>Activity_per_vehicle.pkm.AT.Tr.Road.Passenger</t>
  </si>
  <si>
    <t>Activity_per_vehicle.pkm.AT.Tr.Road.Passenger.P2W</t>
  </si>
  <si>
    <t>Activity_per_vehicle.pkm.AT.Tr.Road.Passenger.Car</t>
  </si>
  <si>
    <t>Activity_per_vehicle.pkm.AT.Tr.Road.Passenger.Car.ICE.Gasoline</t>
  </si>
  <si>
    <t>Activity_per_vehicle.pkm.AT.Tr.Road.Passenger.Car.ICE.Diesel</t>
  </si>
  <si>
    <t>Activity_per_vehicle.pkm.AT.Tr.Road.Passenger.Car.ICE.LPG</t>
  </si>
  <si>
    <t>Activity_per_vehicle.pkm.AT.Tr.Road.Passenger.Car.ICE.NGas</t>
  </si>
  <si>
    <t>Activity_per_vehicle.pkm.AT.Tr.Road.Passenger.Car.PHEV</t>
  </si>
  <si>
    <t>Activity_per_vehicle.pkm.AT.Tr.Road.Passenger.Car.BEV</t>
  </si>
  <si>
    <t>Activity_per_vehicle.pkm.AT.Tr.Road.Passenger.Bus</t>
  </si>
  <si>
    <t>Activity_per_vehicle.pkm.AT.Tr.Road.Passenger.Bus.ICE.Gasoline</t>
  </si>
  <si>
    <t>Activity_per_vehicle.pkm.AT.Tr.Road.Passenger.Bus.ICE.Diesel</t>
  </si>
  <si>
    <t>Activity_per_vehicle.pkm.AT.Tr.Road.Passenger.Bus.ICE.LPG</t>
  </si>
  <si>
    <t>Activity_per_vehicle.pkm.AT.Tr.Road.Passenger.Bus.ICE.NGas</t>
  </si>
  <si>
    <t>Activity_per_vehicle.pkm.AT.Tr.Road.Passenger.Bus.ICE.BEV</t>
  </si>
  <si>
    <t>Activity_per_vehicle.tkm.AT.Tr.Road.Freight</t>
  </si>
  <si>
    <t>Activity_per_vehicle.tkm.AT.Tr.Road.Freight.LCV</t>
  </si>
  <si>
    <t>Activity_per_vehicle.tkm.AT.Tr.Road.Freight.LCV.ICE.Gasoline</t>
  </si>
  <si>
    <t>Activity_per_vehicle.tkm.AT.Tr.Road.Freight.LCV.ICE.Diesel</t>
  </si>
  <si>
    <t>Activity_per_vehicle.tkm.AT.Tr.Road.Freight.LCV.ICE.LPG</t>
  </si>
  <si>
    <t>Activity_per_vehicle.tkm.AT.Tr.Road.Freight.LCV.ICE.NGas</t>
  </si>
  <si>
    <t>Activity_per_vehicle.tkm.AT.Tr.Road.Freight.LCV.ICE.BEV</t>
  </si>
  <si>
    <t>Activity_per_vehicle.tkm.AT.Tr.Road.Freight.HGV</t>
  </si>
  <si>
    <t>Activity_per_vehicle.tkm.AT.Tr.Road.Freight.HGV.Domestic</t>
  </si>
  <si>
    <t>Activity_per_vehicle.tkm.AT.Tr.Road.Freight.HGV.International</t>
  </si>
  <si>
    <t>Road transport / energy consumption - AT - Austria</t>
  </si>
  <si>
    <t>FEC.ktoe.AT.ES.Tr.Road</t>
  </si>
  <si>
    <t>FEC.ktoe.AT.ES.Tr.Road.LPG</t>
  </si>
  <si>
    <t>FEC.ktoe.AT.ES.Tr.Road.Gasoline</t>
  </si>
  <si>
    <t>FEC.ktoe.AT.ES.Tr.Road.Diesel</t>
  </si>
  <si>
    <t>FEC.ktoe.AT.ES.Tr.Road.NG</t>
  </si>
  <si>
    <t>FEC.ktoe.AT.ES.Tr.Road.Biogas</t>
  </si>
  <si>
    <t>FEC.ktoe.AT.ES.Tr.Road.Biogasoline</t>
  </si>
  <si>
    <t>FEC.ktoe.AT.ES.Tr.Road.Biodiesel</t>
  </si>
  <si>
    <t>FEC.ktoe.AT.ES.Tr.Road.OthLiqBio</t>
  </si>
  <si>
    <t>FEC.ktoe.AT.ES.Tr.Road.Elec</t>
  </si>
  <si>
    <t>FEC.ktoe.AT.Tr.Road</t>
  </si>
  <si>
    <t>FEC.ktoe.AT.Tr.Road.Passenger.P2W.Biogasoline</t>
  </si>
  <si>
    <t>FEC.ktoe.AT.Tr.Road.Passenger.Car.ICE.Gasoline</t>
  </si>
  <si>
    <t>FEC.ktoe.AT.Tr.Road.Passenger.Car.ICE.Gasoline.Biogasoline</t>
  </si>
  <si>
    <t>FEC.ktoe.AT.Tr.Road.Passenger.Car.ICE.Diesel</t>
  </si>
  <si>
    <t>FEC.ktoe.AT.Tr.Road.Passenger.Car.ICE.Diesel.BioDiesel_OthLiqBio</t>
  </si>
  <si>
    <t>FEC.ktoe.AT.Tr.Road.Passenger.Car.ICE.LPG</t>
  </si>
  <si>
    <t>FEC.ktoe.AT.Tr.Road.Passenger.Car.ICE.NGas</t>
  </si>
  <si>
    <t>FEC.ktoe.AT.Tr.Road.Passenger.Car.ICE.NGas.Biogas</t>
  </si>
  <si>
    <t>FEC.ktoe.AT.Tr.Road.Passenger.Car.PHEV</t>
  </si>
  <si>
    <t>FEC.ktoe.AT.Tr.Road.Passenger.Car.PHEV.Biogasoline</t>
  </si>
  <si>
    <t>FEC.ktoe.AT.Tr.Road.Passenger.Car.PHEV.Elec</t>
  </si>
  <si>
    <t>FEC.ktoe.AT.Tr.Road.Passenger.Car.BEV</t>
  </si>
  <si>
    <t>FEC.ktoe.AT.Tr.Road.Passenger.Bus.ICE.Gasoline</t>
  </si>
  <si>
    <t>FEC.ktoe.AT.Tr.Road.Passenger.Bus.ICE.Gasoline.Biogasoline</t>
  </si>
  <si>
    <t>FEC.ktoe.AT.Tr.Road.Passenger.Bus.ICE.Diesel</t>
  </si>
  <si>
    <t>FEC.ktoe.AT.Tr.Road.Passenger.Bus.ICE.Diesel.BioDiesel_OthLiqBio</t>
  </si>
  <si>
    <t>FEC.ktoe.AT.Tr.Road.Passenger.Bus.ICE.LPG</t>
  </si>
  <si>
    <t>FEC.ktoe.AT.Tr.Road.Passenger.Bus.ICE.NGas</t>
  </si>
  <si>
    <t>FEC.ktoe.AT.Tr.Road.Passenger.Bus.ICE.NGas.Biogas</t>
  </si>
  <si>
    <t>FEC.ktoe.AT.Tr.Road.Passenger.Bus.ICE.BEV</t>
  </si>
  <si>
    <t>FEC.ktoe.AT.Tr.Road.Freight.LCV.ICE.Gasoline</t>
  </si>
  <si>
    <t>FEC.ktoe.AT.Tr.Road.Freight.LCV.ICE.Gasoline.Biogasoline</t>
  </si>
  <si>
    <t>FEC.ktoe.AT.Tr.Road.Freight.LCV.ICE.Diesel</t>
  </si>
  <si>
    <t>FEC.ktoe.AT.Tr.Road.Freight.LCV.ICE.Diesel.BioDiesel_OthLiqBio</t>
  </si>
  <si>
    <t>FEC.ktoe.AT.Tr.Road.Freight.LCV.ICE.LPG</t>
  </si>
  <si>
    <t>FEC.ktoe.AT.Tr.Road.Freight.LCV.ICE.NGas</t>
  </si>
  <si>
    <t>FEC.ktoe.AT.Tr.Road.Freight.LCV.ICE.NGas.Biogas</t>
  </si>
  <si>
    <t>FEC.ktoe.AT.Tr.Road.Freight.LCV.ICE.BEV</t>
  </si>
  <si>
    <t>FEC.ktoe.AT.Tr.Road.Freight.HGV.Domestic</t>
  </si>
  <si>
    <t>FEC.ktoe.AT.Tr.Road.Freight.HGV.Domestic.BioDiesel_OthLiqBio</t>
  </si>
  <si>
    <t>FEC.ktoe.AT.Tr.Road.Freight.HGV.International</t>
  </si>
  <si>
    <t>FEC.ktoe.AT.Tr.Road.Freight.HGV.International.BioDiesel_OthLiqBio</t>
  </si>
  <si>
    <t>Eff.kgoe_per_100km.AT.Tr.Road</t>
  </si>
  <si>
    <t>Eff.kgoe_per_100km.AT.Tr.Road.Passenger</t>
  </si>
  <si>
    <t>Eff.kgoe_per_100km.AT.Tr.Road.Passenger.P2W</t>
  </si>
  <si>
    <t>Eff.kgoe_per_100km.AT.Tr.Road.Passenger.Car</t>
  </si>
  <si>
    <t>Eff.kgoe_per_100km.AT.Tr.Road.Passenger.Car.ICE.Gasoline</t>
  </si>
  <si>
    <t>Eff.kgoe_per_100km.AT.Tr.Road.Passenger.Car.ICE.Diesel</t>
  </si>
  <si>
    <t>Eff.kgoe_per_100km.AT.Tr.Road.Passenger.Car.ICE.LPG</t>
  </si>
  <si>
    <t>Eff.kgoe_per_100km.AT.Tr.Road.Passenger.Car.ICE.NGas</t>
  </si>
  <si>
    <t>Eff.kgoe_per_100km.AT.Tr.Road.Passenger.Car.PHEV</t>
  </si>
  <si>
    <t>Eff.kgoe_per_100km.AT.Tr.Road.Passenger.Car.BEV</t>
  </si>
  <si>
    <t>Eff.kgoe_per_100km.AT.Tr.Road.Passenger.Bus</t>
  </si>
  <si>
    <t>Eff.kgoe_per_100km.AT.Tr.Road.Passenger.Bus.ICE.Gasoline</t>
  </si>
  <si>
    <t>Eff.kgoe_per_100km.AT.Tr.Road.Passenger.Bus.ICE.Diesel</t>
  </si>
  <si>
    <t>Eff.kgoe_per_100km.AT.Tr.Road.Passenger.Bus.ICE.LPG</t>
  </si>
  <si>
    <t>Eff.kgoe_per_100km.AT.Tr.Road.Passenger.Bus.ICE.NGas</t>
  </si>
  <si>
    <t>Eff.kgoe_per_100km.AT.Tr.Road.Passenger.Bus.ICE.BEV</t>
  </si>
  <si>
    <t>Eff.kgoe_per_100km.AT.Tr.Road.Freight</t>
  </si>
  <si>
    <t>Eff.kgoe_per_100km.AT.Tr.Road.Freight.LCV</t>
  </si>
  <si>
    <t>Eff.kgoe_per_100km.AT.Tr.Road.Freight.LCV.ICE.Gasoline</t>
  </si>
  <si>
    <t>Eff.kgoe_per_100km.AT.Tr.Road.Freight.LCV.ICE.Diesel</t>
  </si>
  <si>
    <t>Eff.kgoe_per_100km.AT.Tr.Road.Freight.LCV.ICE.LPG</t>
  </si>
  <si>
    <t>Eff.kgoe_per_100km.AT.Tr.Road.Freight.LCV.ICE.NGas</t>
  </si>
  <si>
    <t>Eff.kgoe_per_100km.AT.Tr.Road.Freight.LCV.ICE.BEV</t>
  </si>
  <si>
    <t>Eff.kgoe_per_100km.AT.Tr.Road.Freight.HGV</t>
  </si>
  <si>
    <t>Eff.kgoe_per_100km.AT.Tr.Road.Freight.HGV.Domestic</t>
  </si>
  <si>
    <t>Eff.kgoe_per_100km.AT.Tr.Road.Freight.HGV.International</t>
  </si>
  <si>
    <t>Eff.kgoe_per_kpkm.AT.Tr.Road.Passenger.Car.ICE.Gasoline</t>
  </si>
  <si>
    <t>Eff.kgoe_per_kpkm.AT.Tr.Road.Passenger.Car.ICE.Diesel</t>
  </si>
  <si>
    <t>Eff.kgoe_per_kpkm.AT.Tr.Road.Passenger.Car.ICE.LPG</t>
  </si>
  <si>
    <t>Eff.kgoe_per_kpkm.AT.Tr.Road.Passenger.Car.ICE.NGas</t>
  </si>
  <si>
    <t>Eff.kgoe_per_kpkm.AT.Tr.Road.Passenger.Car.PHEV</t>
  </si>
  <si>
    <t>Eff.kgoe_per_kpkm.AT.Tr.Road.Passenger.Car.BEV</t>
  </si>
  <si>
    <t>Eff.kgoe_per_kpkm.AT.Tr.Road.Passenger.Bus.ICE.Gasoline</t>
  </si>
  <si>
    <t>Eff.kgoe_per_kpkm.AT.Tr.Road.Passenger.Bus.ICE.Diesel</t>
  </si>
  <si>
    <t>Eff.kgoe_per_kpkm.AT.Tr.Road.Passenger.Bus.ICE.LPG</t>
  </si>
  <si>
    <t>Eff.kgoe_per_kpkm.AT.Tr.Road.Passenger.Bus.ICE.NGas</t>
  </si>
  <si>
    <t>Eff.kgoe_per_kpkm.AT.Tr.Road.Passenger.Bus.ICE.BEV</t>
  </si>
  <si>
    <t>Eff.kgoe_per_ktkm.AT.Tr.Road.Freight.LCV.ICE.Gasoline</t>
  </si>
  <si>
    <t>Eff.kgoe_per_ktkm.AT.Tr.Road.Freight.LCV.ICE.Diesel</t>
  </si>
  <si>
    <t>Eff.kgoe_per_ktkm.AT.Tr.Road.Freight.LCV.ICE.LPG</t>
  </si>
  <si>
    <t>Eff.kgoe_per_ktkm.AT.Tr.Road.Freight.LCV.ICE.NGas</t>
  </si>
  <si>
    <t>Eff.kgoe_per_ktkm.AT.Tr.Road.Freight.LCV.ICE.BEV</t>
  </si>
  <si>
    <t>Eff.kgoe_per_ktkm.AT.Tr.Road.Freight.HGV.Domestic</t>
  </si>
  <si>
    <t>Eff.kgoe_per_ktkm.AT.Tr.Road.Freight.HGV.International</t>
  </si>
  <si>
    <t>FEC_per_vehicle.kgoe.AT.Tr.Road.Passenger.P2W</t>
  </si>
  <si>
    <t>FEC_per_vehicle.kgoe.AT.Tr.Road.Passenger.Car</t>
  </si>
  <si>
    <t>FEC_per_vehicle.kgoe.AT.Tr.Road.Passenger.Car.ICE.Gasoline</t>
  </si>
  <si>
    <t>FEC_per_vehicle.kgoe.AT.Tr.Road.Passenger.Car.ICE.Diesel</t>
  </si>
  <si>
    <t>FEC_per_vehicle.kgoe.AT.Tr.Road.Passenger.Car.ICE.LPG</t>
  </si>
  <si>
    <t>FEC_per_vehicle.kgoe.AT.Tr.Road.Passenger.Car.ICE.NGas</t>
  </si>
  <si>
    <t>FEC_per_vehicle.kgoe.AT.Tr.Road.Passenger.Car.PHEV</t>
  </si>
  <si>
    <t>FEC_per_vehicle.kgoe.AT.Tr.Road.Passenger.Car.BEV</t>
  </si>
  <si>
    <t>FEC_per_vehicle.kgoe.AT.Tr.Road.Passenger.Bus</t>
  </si>
  <si>
    <t>FEC_per_vehicle.kgoe.AT.Tr.Road.Passenger.Bus.ICE.Gasoline</t>
  </si>
  <si>
    <t>FEC_per_vehicle.kgoe.AT.Tr.Road.Passenger.Bus.ICE.Diesel</t>
  </si>
  <si>
    <t>FEC_per_vehicle.kgoe.AT.Tr.Road.Passenger.Bus.ICE.LPG</t>
  </si>
  <si>
    <t>FEC_per_vehicle.kgoe.AT.Tr.Road.Passenger.Bus.ICE.NGas</t>
  </si>
  <si>
    <t>FEC_per_vehicle.kgoe.AT.Tr.Road.Passenger.Bus.ICE.BEV</t>
  </si>
  <si>
    <t>FEC_per_vehicle.kgoe.AT.Tr.Road.Freight.LCV</t>
  </si>
  <si>
    <t>FEC_per_vehicle.kgoe.AT.Tr.Road.Freight.LCV.ICE.Gasoline</t>
  </si>
  <si>
    <t>FEC_per_vehicle.kgoe.AT.Tr.Road.Freight.LCV.ICE.Diesel</t>
  </si>
  <si>
    <t>FEC_per_vehicle.kgoe.AT.Tr.Road.Freight.LCV.ICE.LPG</t>
  </si>
  <si>
    <t>FEC_per_vehicle.kgoe.AT.Tr.Road.Freight.LCV.ICE.NGas</t>
  </si>
  <si>
    <t>FEC_per_vehicle.kgoe.AT.Tr.Road.Freight.LCV.ICE.BEV</t>
  </si>
  <si>
    <t>FEC_per_vehicle.kgoe.AT.Tr.Road.Freight.HGV</t>
  </si>
  <si>
    <t>FEC_per_vehicle.kgoe.AT.Tr.Road.Freight.HGV.Domestic</t>
  </si>
  <si>
    <t>FEC_per_vehicle.kgoe.AT.Tr.Road.Freight.HGV.International</t>
  </si>
  <si>
    <t>Road transport / CO2 emissions - AT - Austria</t>
  </si>
  <si>
    <t>EMI.ktCO2.AT.ES.Tr.Road</t>
  </si>
  <si>
    <t>EMI.ktCO2.AT.ES.Tr.Road.LPG</t>
  </si>
  <si>
    <t>EMI.ktCO2.AT.ES.Tr.Road.Gasoline</t>
  </si>
  <si>
    <t>EMI.ktCO2.AT.ES.Tr.Road.Diesel</t>
  </si>
  <si>
    <t>EMI.ktCO2.AT.ES.Tr.Road.NG</t>
  </si>
  <si>
    <t>EMI.ktCO2.AT.ES.Tr.Road.Biogas</t>
  </si>
  <si>
    <t>EMI.ktCO2.AT.ES.Tr.Road.Biogasoline</t>
  </si>
  <si>
    <t>EMI.ktCO2.AT.ES.Tr.Road.Biodiesel</t>
  </si>
  <si>
    <t>EMI.ktCO2.AT.ES.Tr.Road.OthLiqBio</t>
  </si>
  <si>
    <t>EMI.ktCO2.AT.ES.Tr.Road.Elec</t>
  </si>
  <si>
    <t>EMI.ktCO2.AT.Tr.Road</t>
  </si>
  <si>
    <t>EMI.ktCO2.AT.Tr.Road.Passenger.Car.ICE.Gasoline</t>
  </si>
  <si>
    <t>EMI.ktCO2.AT.Tr.Road.Passenger.Car.ICE.Diesel</t>
  </si>
  <si>
    <t>EMI.ktCO2.AT.Tr.Road.Passenger.Car.ICE.LPG</t>
  </si>
  <si>
    <t>EMI.ktCO2.AT.Tr.Road.Passenger.Car.ICE.NGas</t>
  </si>
  <si>
    <t>EMI.ktCO2.AT.Tr.Road.Passenger.Car.PHEV</t>
  </si>
  <si>
    <t>EMI.ktCO2.AT.Tr.Road.Passenger.Car.BEV</t>
  </si>
  <si>
    <t>EMI.ktCO2.AT.Tr.Road.Passenger.Bus.ICE.Gasoline</t>
  </si>
  <si>
    <t>EMI.ktCO2.AT.Tr.Road.Passenger.Bus.ICE.Diesel</t>
  </si>
  <si>
    <t>EMI.ktCO2.AT.Tr.Road.Passenger.Bus.ICE.LPG</t>
  </si>
  <si>
    <t>EMI.ktCO2.AT.Tr.Road.Passenger.Bus.ICE.NGas</t>
  </si>
  <si>
    <t>EMI.ktCO2.AT.Tr.Road.Passenger.Bus.ICE.BEV</t>
  </si>
  <si>
    <t>EMI.ktCO2.AT.Tr.Road.Freight.LCV.ICE.Gasoline</t>
  </si>
  <si>
    <t>EMI.ktCO2.AT.Tr.Road.Freight.LCV.ICE.Diesel</t>
  </si>
  <si>
    <t>EMI.ktCO2.AT.Tr.Road.Freight.LCV.ICE.LPG</t>
  </si>
  <si>
    <t>EMI.ktCO2.AT.Tr.Road.Freight.LCV.ICE.NGas</t>
  </si>
  <si>
    <t>EMI.ktCO2.AT.Tr.Road.Freight.LCV.ICE.BEV</t>
  </si>
  <si>
    <t>EMI.ktCO2.AT.Tr.Road.Freight.HGV.Domestic</t>
  </si>
  <si>
    <t>EMI.ktCO2.AT.Tr.Road.Freight.HGV.International</t>
  </si>
  <si>
    <t>EMIint.gCO2_per_km.AT.Tr.Road</t>
  </si>
  <si>
    <t>EMIint.gCO2_per_km.AT.Tr.Road.Passenger</t>
  </si>
  <si>
    <t>EMIint.gCO2_per_km.AT.Tr.Road.Passenger.P2W</t>
  </si>
  <si>
    <t>EMIint.gCO2_per_km.AT.Tr.Road.Passenger.Car</t>
  </si>
  <si>
    <t>EMIint.gCO2_per_km.AT.Tr.Road.Passenger.Car.ICE.Gasoline</t>
  </si>
  <si>
    <t>EMIint.gCO2_per_km.AT.Tr.Road.Passenger.Car.ICE.Diesel</t>
  </si>
  <si>
    <t>EMIint.gCO2_per_km.AT.Tr.Road.Passenger.Car.ICE.LPG</t>
  </si>
  <si>
    <t>EMIint.gCO2_per_km.AT.Tr.Road.Passenger.Car.ICE.NGas</t>
  </si>
  <si>
    <t>EMIint.gCO2_per_km.AT.Tr.Road.Passenger.Car.PHEV</t>
  </si>
  <si>
    <t>EMIint.gCO2_per_km.AT.Tr.Road.Passenger.Car.BEV</t>
  </si>
  <si>
    <t>EMIint.gCO2_per_km.AT.Tr.Road.Passenger.Bus</t>
  </si>
  <si>
    <t>EMIint.gCO2_per_km.AT.Tr.Road.Passenger.Bus.ICE.Gasoline</t>
  </si>
  <si>
    <t>EMIint.gCO2_per_km.AT.Tr.Road.Passenger.Bus.ICE.Diesel</t>
  </si>
  <si>
    <t>EMIint.gCO2_per_km.AT.Tr.Road.Passenger.Bus.ICE.LPG</t>
  </si>
  <si>
    <t>EMIint.gCO2_per_km.AT.Tr.Road.Passenger.Bus.ICE.NGas</t>
  </si>
  <si>
    <t>EMIint.gCO2_per_km.AT.Tr.Road.Passenger.Bus.ICE.BEV</t>
  </si>
  <si>
    <t>EMIint.gCO2_per_km.AT.Tr.Road.Freight</t>
  </si>
  <si>
    <t>EMIint.gCO2_per_km.AT.Tr.Road.Freight.LCV</t>
  </si>
  <si>
    <t>EMIint.gCO2_per_km.AT.Tr.Road.Freight.LCV.ICE.Gasoline</t>
  </si>
  <si>
    <t>EMIint.gCO2_per_km.AT.Tr.Road.Freight.LCV.ICE.Diesel</t>
  </si>
  <si>
    <t>EMIint.gCO2_per_km.AT.Tr.Road.Freight.LCV.ICE.LPG</t>
  </si>
  <si>
    <t>EMIint.gCO2_per_km.AT.Tr.Road.Freight.LCV.ICE.NGas</t>
  </si>
  <si>
    <t>EMIint.gCO2_per_km.AT.Tr.Road.Freight.LCV.ICE.BEV</t>
  </si>
  <si>
    <t>EMIint.gCO2_per_km.AT.Tr.Road.Freight.HGV</t>
  </si>
  <si>
    <t>EMIint.gCO2_per_km.AT.Tr.Road.Freight.HGV.Domestic</t>
  </si>
  <si>
    <t>EMIint.gCO2_per_km.AT.Tr.Road.Freight.HGV.International</t>
  </si>
  <si>
    <t>EMIint.gCO2_per_pkm.AT.Tr.Road.Passenger.Car.ICE.Gasoline</t>
  </si>
  <si>
    <t>EMIint.gCO2_per_pkm.AT.Tr.Road.Passenger.Car.ICE.Diesel</t>
  </si>
  <si>
    <t>EMIint.gCO2_per_pkm.AT.Tr.Road.Passenger.Car.ICE.LPG</t>
  </si>
  <si>
    <t>EMIint.gCO2_per_pkm.AT.Tr.Road.Passenger.Car.ICE.NGas</t>
  </si>
  <si>
    <t>EMIint.gCO2_per_pkm.AT.Tr.Road.Passenger.Car.PHEV</t>
  </si>
  <si>
    <t>EMIint.gCO2_per_pkm.AT.Tr.Road.Passenger.Car.BEV</t>
  </si>
  <si>
    <t>EMIint.gCO2_per_pkm.AT.Tr.Road.Passenger.Bus.ICE.Gasoline</t>
  </si>
  <si>
    <t>EMIint.gCO2_per_pkm.AT.Tr.Road.Passenger.Bus.ICE.Diesel</t>
  </si>
  <si>
    <t>EMIint.gCO2_per_pkm.AT.Tr.Road.Passenger.Bus.ICE.LPG</t>
  </si>
  <si>
    <t>EMIint.gCO2_per_pkm.AT.Tr.Road.Passenger.Bus.ICE.NGas</t>
  </si>
  <si>
    <t>EMIint.gCO2_per_pkm.AT.Tr.Road.Passenger.Bus.ICE.BEV</t>
  </si>
  <si>
    <t>EMIint.gCO2_per_tkm.AT.Tr.Road.Freight.LCV.ICE.Gasoline</t>
  </si>
  <si>
    <t>EMIint.gCO2_per_tkm.AT.Tr.Road.Freight.LCV.ICE.Diesel</t>
  </si>
  <si>
    <t>EMIint.gCO2_per_tkm.AT.Tr.Road.Freight.LCV.ICE.LPG</t>
  </si>
  <si>
    <t>EMIint.gCO2_per_tkm.AT.Tr.Road.Freight.LCV.ICE.NGas</t>
  </si>
  <si>
    <t>EMIint.gCO2_per_tkm.AT.Tr.Road.Freight.LCV.ICE.BEV</t>
  </si>
  <si>
    <t>EMIint.gCO2_per_tkm.AT.Tr.Road.Freight.HGV.Domestic</t>
  </si>
  <si>
    <t>EMIint.gCO2_per_tkm.AT.Tr.Road.Freight.HGV.International</t>
  </si>
  <si>
    <t>EMI_per_vehicle.kgCO2.AT.Tr.Road.Passenger.P2W</t>
  </si>
  <si>
    <t>EMI_per_vehicle.kgCO2.AT.Tr.Road.Passenger.Car</t>
  </si>
  <si>
    <t>EMI_per_vehicle.kgCO2.AT.Tr.Road.Passenger.Car.ICE.Gasoline</t>
  </si>
  <si>
    <t>EMI_per_vehicle.kgCO2.AT.Tr.Road.Passenger.Car.ICE.Diesel</t>
  </si>
  <si>
    <t>EMI_per_vehicle.kgCO2.AT.Tr.Road.Passenger.Car.ICE.LPG</t>
  </si>
  <si>
    <t>EMI_per_vehicle.kgCO2.AT.Tr.Road.Passenger.Car.ICE.NGas</t>
  </si>
  <si>
    <t>EMI_per_vehicle.kgCO2.AT.Tr.Road.Passenger.Car.PHEV</t>
  </si>
  <si>
    <t>EMI_per_vehicle.kgCO2.AT.Tr.Road.Passenger.Car.BEV</t>
  </si>
  <si>
    <t>EMI_per_vehicle.kgCO2.AT.Tr.Road.Passenger.Bus</t>
  </si>
  <si>
    <t>EMI_per_vehicle.kgCO2.AT.Tr.Road.Passenger.Bus.ICE.Gasoline</t>
  </si>
  <si>
    <t>EMI_per_vehicle.kgCO2.AT.Tr.Road.Passenger.Bus.ICE.Diesel</t>
  </si>
  <si>
    <t>EMI_per_vehicle.kgCO2.AT.Tr.Road.Passenger.Bus.ICE.LPG</t>
  </si>
  <si>
    <t>EMI_per_vehicle.kgCO2.AT.Tr.Road.Passenger.Bus.ICE.NGas</t>
  </si>
  <si>
    <t>EMI_per_vehicle.kgCO2.AT.Tr.Road.Passenger.Bus.ICE.BEV</t>
  </si>
  <si>
    <t>EMI_per_vehicle.kgCO2.AT.Tr.Road.Freight.LCV</t>
  </si>
  <si>
    <t>EMI_per_vehicle.kgCO2.AT.Tr.Road.Freight.LCV.ICE.Gasoline</t>
  </si>
  <si>
    <t>EMI_per_vehicle.kgCO2.AT.Tr.Road.Freight.LCV.ICE.Diesel</t>
  </si>
  <si>
    <t>EMI_per_vehicle.kgCO2.AT.Tr.Road.Freight.LCV.ICE.LPG</t>
  </si>
  <si>
    <t>EMI_per_vehicle.kgCO2.AT.Tr.Road.Freight.LCV.ICE.NGas</t>
  </si>
  <si>
    <t>EMI_per_vehicle.kgCO2.AT.Tr.Road.Freight.LCV.ICE.BEV</t>
  </si>
  <si>
    <t>EMI_per_vehicle.kgCO2.AT.Tr.Road.Freight.HGV</t>
  </si>
  <si>
    <t>EMI_per_vehicle.kgCO2.AT.Tr.Road.Freight.HGV.Domestic</t>
  </si>
  <si>
    <t>EMI_per_vehicle.kgCO2.AT.Tr.Road.Freight.HGV.International</t>
  </si>
  <si>
    <t>Road transport / technologies - AT - Austria</t>
  </si>
  <si>
    <t>StockVin.number.AT.Tr.Road</t>
  </si>
  <si>
    <t>StockVin.number.AT.Tr.Road.Passenger</t>
  </si>
  <si>
    <t>StockVin.number.AT.Tr.Road.Passenger.P2W</t>
  </si>
  <si>
    <t>StockVin.number.AT.Tr.Road.Passenger.Car</t>
  </si>
  <si>
    <t>StockVin.number.AT.Tr.Road.Passenger.Car.ICE.Gasoline</t>
  </si>
  <si>
    <t>StockVin.number.AT.Tr.Road.Passenger.Car.ICE.Diesel</t>
  </si>
  <si>
    <t>StockVin.number.AT.Tr.Road.Passenger.Car.ICE.LPG</t>
  </si>
  <si>
    <t>StockVin.number.AT.Tr.Road.Passenger.Car.ICE.NGas</t>
  </si>
  <si>
    <t>StockVin.number.AT.Tr.Road.Passenger.Car.PHEV</t>
  </si>
  <si>
    <t>StockVin.number.AT.Tr.Road.Passenger.Car.BEV</t>
  </si>
  <si>
    <t>StockVin.number.AT.Tr.Road.Passenger.Bus</t>
  </si>
  <si>
    <t>StockVin.number.AT.Tr.Road.Passenger.Bus.ICE.Gasoline</t>
  </si>
  <si>
    <t>StockVin.number.AT.Tr.Road.Passenger.Bus.ICE.Diesel</t>
  </si>
  <si>
    <t>StockVin.number.AT.Tr.Road.Passenger.Bus.ICE.LPG</t>
  </si>
  <si>
    <t>StockVin.number.AT.Tr.Road.Passenger.Bus.ICE.NGas</t>
  </si>
  <si>
    <t>StockVin.number.AT.Tr.Road.Passenger.Bus.ICE.BEV</t>
  </si>
  <si>
    <t>StockVin.number.AT.Tr.Road.Freight</t>
  </si>
  <si>
    <t>StockVin.number.AT.Tr.Road.Freight.LCV</t>
  </si>
  <si>
    <t>StockVin.number.AT.Tr.Road.Freight.LCV.ICE.Gasoline</t>
  </si>
  <si>
    <t>StockVin.number.AT.Tr.Road.Freight.LCV.ICE.Diesel</t>
  </si>
  <si>
    <t>StockVin.number.AT.Tr.Road.Freight.LCV.ICE.LPG</t>
  </si>
  <si>
    <t>StockVin.number.AT.Tr.Road.Freight.LCV.ICE.NGas</t>
  </si>
  <si>
    <t>StockVin.number.AT.Tr.Road.Freight.LCV.ICE.BEV</t>
  </si>
  <si>
    <t>StockVin.number.AT.Tr.Road.Freight.HGV</t>
  </si>
  <si>
    <t>StockVin.number.AT.Tr.Road.Freight.HGV.Domestic</t>
  </si>
  <si>
    <t>StockVin.number.AT.Tr.Road.Freight.HGV.International</t>
  </si>
  <si>
    <t>Eff_test_stock.kgoe_per_100km.AT.Tr.Road.Passenger.P2W</t>
  </si>
  <si>
    <t>Eff_test_stock.kgoe_per_100km.AT.Tr.Road.Passenger.Car</t>
  </si>
  <si>
    <t>Eff_test_stock.kgoe_per_100km.AT.Tr.Road.Passenger.Car.ICE.Gasoline</t>
  </si>
  <si>
    <t>Eff_test_stock.kgoe_per_100km.AT.Tr.Road.Passenger.Car.ICE.Diesel</t>
  </si>
  <si>
    <t>Eff_test_stock.kgoe_per_100km.AT.Tr.Road.Passenger.Car.ICE.LPG</t>
  </si>
  <si>
    <t>Eff_test_stock.kgoe_per_100km.AT.Tr.Road.Passenger.Car.ICE.NGas</t>
  </si>
  <si>
    <t>Eff_test_stock.kgoe_per_100km.AT.Tr.Road.Passenger.Car.PHEV</t>
  </si>
  <si>
    <t>Eff_test_stock.kgoe_per_100km.AT.Tr.Road.Passenger.Car.BEV</t>
  </si>
  <si>
    <t>Eff_test_stock.kgoe_per_100km.AT.Tr.Road.Passenger.Bus</t>
  </si>
  <si>
    <t>Eff_test_stock.kgoe_per_100km.AT.Tr.Road.Passenger.Bus.ICE.Gasoline</t>
  </si>
  <si>
    <t>Eff_test_stock.kgoe_per_100km.AT.Tr.Road.Passenger.Bus.ICE.Diesel</t>
  </si>
  <si>
    <t>Eff_test_stock.kgoe_per_100km.AT.Tr.Road.Passenger.Bus.ICE.LPG</t>
  </si>
  <si>
    <t>Eff_test_stock.kgoe_per_100km.AT.Tr.Road.Passenger.Bus.ICE.NGas</t>
  </si>
  <si>
    <t>Eff_test_stock.kgoe_per_100km.AT.Tr.Road.Passenger.Bus.ICE.BEV</t>
  </si>
  <si>
    <t>Eff_test_stock.kgoe_per_100km.AT.Tr.Road.Freight.LCV</t>
  </si>
  <si>
    <t>Eff_test_stock.kgoe_per_100km.AT.Tr.Road.Freight.LCV.ICE.Gasoline</t>
  </si>
  <si>
    <t>Eff_test_stock.kgoe_per_100km.AT.Tr.Road.Freight.LCV.ICE.Diesel</t>
  </si>
  <si>
    <t>Eff_test_stock.kgoe_per_100km.AT.Tr.Road.Freight.LCV.ICE.LPG</t>
  </si>
  <si>
    <t>Eff_test_stock.kgoe_per_100km.AT.Tr.Road.Freight.LCV.ICE.NGas</t>
  </si>
  <si>
    <t>Eff_test_stock.kgoe_per_100km.AT.Tr.Road.Freight.LCV.ICE.BEV</t>
  </si>
  <si>
    <t>Eff_test_stock.kgoe_per_100km.AT.Tr.Road.Freight.HGV</t>
  </si>
  <si>
    <t>Eff_test_stock.kgoe_per_100km.AT.Tr.Road.Freight.HGV.Domestic</t>
  </si>
  <si>
    <t>Eff_test_stock.kgoe_per_100km.AT.Tr.Road.Freight.HGV.International</t>
  </si>
  <si>
    <t>Eff_test_new.kgoe_per_100km.AT.Tr.Road.Passenger.P2W</t>
  </si>
  <si>
    <t>Eff_test_new.kgoe_per_100km.AT.Tr.Road.Passenger.Car</t>
  </si>
  <si>
    <t>Eff_test_new.kgoe_per_100km.AT.Tr.Road.Passenger.Car.ICE.Gasoline</t>
  </si>
  <si>
    <t>Eff_test_new.kgoe_per_100km.AT.Tr.Road.Passenger.Car.ICE.Diesel</t>
  </si>
  <si>
    <t>Eff_test_new.kgoe_per_100km.AT.Tr.Road.Passenger.Car.ICE.LPG</t>
  </si>
  <si>
    <t>Eff_test_new.kgoe_per_100km.AT.Tr.Road.Passenger.Car.ICE.NGas</t>
  </si>
  <si>
    <t>Eff_test_new.kgoe_per_100km.AT.Tr.Road.Passenger.Car.PHEV</t>
  </si>
  <si>
    <t>Eff_test_new.kgoe_per_100km.AT.Tr.Road.Passenger.Car.BEV</t>
  </si>
  <si>
    <t>Eff_test_new.kgoe_per_100km.AT.Tr.Road.Passenger.Bus</t>
  </si>
  <si>
    <t>Eff_test_new.kgoe_per_100km.AT.Tr.Road.Passenger.Bus.ICE.Gasoline</t>
  </si>
  <si>
    <t>Eff_test_new.kgoe_per_100km.AT.Tr.Road.Passenger.Bus.ICE.Diesel</t>
  </si>
  <si>
    <t>Eff_test_new.kgoe_per_100km.AT.Tr.Road.Passenger.Bus.ICE.LPG</t>
  </si>
  <si>
    <t>Eff_test_new.kgoe_per_100km.AT.Tr.Road.Passenger.Bus.ICE.NGas</t>
  </si>
  <si>
    <t>Eff_test_new.kgoe_per_100km.AT.Tr.Road.Passenger.Bus.ICE.BEV</t>
  </si>
  <si>
    <t>Eff_test_new.kgoe_per_100km.AT.Tr.Road.Freight.LCV</t>
  </si>
  <si>
    <t>Eff_test_new.kgoe_per_100km.AT.Tr.Road.Freight.LCV.ICE.Gasoline</t>
  </si>
  <si>
    <t>Eff_test_new.kgoe_per_100km.AT.Tr.Road.Freight.LCV.ICE.Diesel</t>
  </si>
  <si>
    <t>Eff_test_new.kgoe_per_100km.AT.Tr.Road.Freight.LCV.ICE.LPG</t>
  </si>
  <si>
    <t>Eff_test_new.kgoe_per_100km.AT.Tr.Road.Freight.LCV.ICE.NGas</t>
  </si>
  <si>
    <t>Eff_test_new.kgoe_per_100km.AT.Tr.Road.Freight.LCV.ICE.BEV</t>
  </si>
  <si>
    <t>Eff_test_new.kgoe_per_100km.AT.Tr.Road.Freight.HGV</t>
  </si>
  <si>
    <t>Eff_test_new.kgoe_per_100km.AT.Tr.Road.Freight.HGV.Domestic</t>
  </si>
  <si>
    <t>Eff_test_new.kgoe_per_100km.AT.Tr.Road.Freight.HGV.International</t>
  </si>
  <si>
    <t>EMIint_test_stock.gCO2_per_km.AT.Tr.Road.Passenger.P2W</t>
  </si>
  <si>
    <t>EMIint_test_stock.gCO2_per_km.AT.Tr.Road.Passenger.Car</t>
  </si>
  <si>
    <t>EMIint_test_stock.gCO2_per_km.AT.Tr.Road.Passenger.Car.ICE.Gasoline</t>
  </si>
  <si>
    <t>EMIint_test_stock.gCO2_per_km.AT.Tr.Road.Passenger.Car.ICE.Diesel</t>
  </si>
  <si>
    <t>EMIint_test_stock.gCO2_per_km.AT.Tr.Road.Passenger.Car.ICE.LPG</t>
  </si>
  <si>
    <t>EMIint_test_stock.gCO2_per_km.AT.Tr.Road.Passenger.Car.ICE.NGas</t>
  </si>
  <si>
    <t>EMIint_test_stock.gCO2_per_km.AT.Tr.Road.Passenger.Car.PHEV</t>
  </si>
  <si>
    <t>EMIint_test_stock.gCO2_per_km.AT.Tr.Road.Passenger.Car.BEV</t>
  </si>
  <si>
    <t>EMIint_test_stock.gCO2_per_km.AT.Tr.Road.Passenger.Bus</t>
  </si>
  <si>
    <t>EMIint_test_stock.gCO2_per_km.AT.Tr.Road.Passenger.Bus.ICE.Gasoline</t>
  </si>
  <si>
    <t>EMIint_test_stock.gCO2_per_km.AT.Tr.Road.Passenger.Bus.ICE.Diesel</t>
  </si>
  <si>
    <t>EMIint_test_stock.gCO2_per_km.AT.Tr.Road.Passenger.Bus.ICE.LPG</t>
  </si>
  <si>
    <t>EMIint_test_stock.gCO2_per_km.AT.Tr.Road.Passenger.Bus.ICE.NGas</t>
  </si>
  <si>
    <t>EMIint_test_stock.gCO2_per_km.AT.Tr.Road.Passenger.Bus.ICE.BEV</t>
  </si>
  <si>
    <t>EMIint_test_stock.gCO2_per_km.AT.Tr.Road.Freight.LCV</t>
  </si>
  <si>
    <t>EMIint_test_stock.gCO2_per_km.AT.Tr.Road.Freight.LCV.ICE.Gasoline</t>
  </si>
  <si>
    <t>EMIint_test_stock.gCO2_per_km.AT.Tr.Road.Freight.LCV.ICE.Diesel</t>
  </si>
  <si>
    <t>EMIint_test_stock.gCO2_per_km.AT.Tr.Road.Freight.LCV.ICE.LPG</t>
  </si>
  <si>
    <t>EMIint_test_stock.gCO2_per_km.AT.Tr.Road.Freight.LCV.ICE.NGas</t>
  </si>
  <si>
    <t>EMIint_test_stock.gCO2_per_km.AT.Tr.Road.Freight.LCV.ICE.BEV</t>
  </si>
  <si>
    <t>EMIint_test_stock.gCO2_per_km.AT.Tr.Road.Freight.HGV</t>
  </si>
  <si>
    <t>EMIint_test_stock.gCO2_per_km.AT.Tr.Road.Freight.HGV.Domestic</t>
  </si>
  <si>
    <t>EMIint_test_stock.gCO2_per_km.AT.Tr.Road.Freight.HGV.International</t>
  </si>
  <si>
    <t>EMIint_test_new.gCO2_per_km.AT.Tr.Road.Passenger.P2W</t>
  </si>
  <si>
    <t>EMIint_test_new.gCO2_per_km.AT.Tr.Road.Passenger.Car</t>
  </si>
  <si>
    <t>EMIint_test_new.gCO2_per_km.AT.Tr.Road.Passenger.Car.ICE.Gasoline</t>
  </si>
  <si>
    <t>EMIint_test_new.gCO2_per_km.AT.Tr.Road.Passenger.Car.ICE.Diesel</t>
  </si>
  <si>
    <t>EMIint_test_new.gCO2_per_km.AT.Tr.Road.Passenger.Car.ICE.LPG</t>
  </si>
  <si>
    <t>EMIint_test_new.gCO2_per_km.AT.Tr.Road.Passenger.Car.ICE.NGas</t>
  </si>
  <si>
    <t>EMIint_test_new.gCO2_per_km.AT.Tr.Road.Passenger.Car.PHEV</t>
  </si>
  <si>
    <t>EMIint_test_new.gCO2_per_km.AT.Tr.Road.Passenger.Car.BEV</t>
  </si>
  <si>
    <t>EMIint_test_new.gCO2_per_km.AT.Tr.Road.Passenger.Bus</t>
  </si>
  <si>
    <t>EMIint_test_new.gCO2_per_km.AT.Tr.Road.Passenger.Bus.ICE.Gasoline</t>
  </si>
  <si>
    <t>EMIint_test_new.gCO2_per_km.AT.Tr.Road.Passenger.Bus.ICE.Diesel</t>
  </si>
  <si>
    <t>EMIint_test_new.gCO2_per_km.AT.Tr.Road.Passenger.Bus.ICE.LPG</t>
  </si>
  <si>
    <t>EMIint_test_new.gCO2_per_km.AT.Tr.Road.Passenger.Bus.ICE.NGas</t>
  </si>
  <si>
    <t>EMIint_test_new.gCO2_per_km.AT.Tr.Road.Passenger.Bus.ICE.BEV</t>
  </si>
  <si>
    <t>EMIint_test_new.gCO2_per_km.AT.Tr.Road.Freight.LCV</t>
  </si>
  <si>
    <t>EMIint_test_new.gCO2_per_km.AT.Tr.Road.Freight.LCV.ICE.Gasoline</t>
  </si>
  <si>
    <t>EMIint_test_new.gCO2_per_km.AT.Tr.Road.Freight.LCV.ICE.Diesel</t>
  </si>
  <si>
    <t>EMIint_test_new.gCO2_per_km.AT.Tr.Road.Freight.LCV.ICE.LPG</t>
  </si>
  <si>
    <t>EMIint_test_new.gCO2_per_km.AT.Tr.Road.Freight.LCV.ICE.NGas</t>
  </si>
  <si>
    <t>EMIint_test_new.gCO2_per_km.AT.Tr.Road.Freight.LCV.ICE.BEV</t>
  </si>
  <si>
    <t>EMIint_test_new.gCO2_per_km.AT.Tr.Road.Freight.HGV</t>
  </si>
  <si>
    <t>EMIint_test_new.gCO2_per_km.AT.Tr.Road.Freight.HGV.Domestic</t>
  </si>
  <si>
    <t>EMIint_test_new.gCO2_per_km.AT.Tr.Road.Freight.HGV.International</t>
  </si>
  <si>
    <t>FEC.ktoe.AT.MBunk</t>
  </si>
  <si>
    <t>FEC.ktoe.AT.MBunk.IntraEEA</t>
  </si>
  <si>
    <t>FEC.ktoe.AT.MBunk.ExtraEEA</t>
  </si>
  <si>
    <t>EMI.ktCO2.AT.MBunk</t>
  </si>
  <si>
    <t>EMI.ktCO2.AT.MBunk.IntraEEA</t>
  </si>
  <si>
    <t>EMI.ktCO2.AT.MBunk.ExtraEEA</t>
  </si>
  <si>
    <t>International maritime bunkers - AT - Austria</t>
  </si>
  <si>
    <t>VehicleKm.Mkm.AT.MBunk.Freight</t>
  </si>
  <si>
    <t>VehicleKm.Mkm.AT.MBunk.Freight.IntraEEA</t>
  </si>
  <si>
    <t>VehicleKm.Mkm.AT.MBunk.Freight.ExtraEEA</t>
  </si>
  <si>
    <t>Load.t_per_movement.AT.MBunk.Freight</t>
  </si>
  <si>
    <t>Load.t_per_movement.AT.MBunk.Freight.IntraEEA</t>
  </si>
  <si>
    <t>Load.t_per_movement.AT.MBunk.Freight.ExtraEEA</t>
  </si>
  <si>
    <t>International maritime bunkers / energy consumption - AT - Austria</t>
  </si>
  <si>
    <t>FEC.ktoe.AT.ES.MBunk</t>
  </si>
  <si>
    <t>FEC.ktoe.AT.ES.MBunk.IntraEEA</t>
  </si>
  <si>
    <t>FEC.ktoe.AT.ES.MBunk.IntraEEA.Diesel</t>
  </si>
  <si>
    <t>FEC.ktoe.AT.ES.MBunk.IntraEEA.RFO_Other</t>
  </si>
  <si>
    <t>FEC.ktoe.AT.ES.MBunk.IntraEEA.LiqBio</t>
  </si>
  <si>
    <t>FEC.ktoe.AT.ES.MBunk.IntraEEA.NG</t>
  </si>
  <si>
    <t>FEC.ktoe.AT.ES.MBunk.IntraEEA.Biogas</t>
  </si>
  <si>
    <t>FEC.ktoe.AT.ES.MBunk.ExtraEEA</t>
  </si>
  <si>
    <t>FEC.ktoe.AT.ES.MBunk.ExtraEEA.Diesel</t>
  </si>
  <si>
    <t>FEC.ktoe.AT.ES.MBunk.ExtraEEA.RFO_Other</t>
  </si>
  <si>
    <t>FEC.ktoe.AT.ES.MBunk.ExtraEEA.LiqBio</t>
  </si>
  <si>
    <t>FEC.ktoe.AT.ES.MBunk.ExtraEEA.NG</t>
  </si>
  <si>
    <t>FEC.ktoe.AT.ES.MBunk.ExtraEEA.Biogas</t>
  </si>
  <si>
    <t>Eff.kgoe_per_100km.AT.MBunk.Freight</t>
  </si>
  <si>
    <t>Eff.kgoe_per_100km.AT.MBunk.Freight.IntraEEA</t>
  </si>
  <si>
    <t>Eff.kgoe_per_100km.AT.MBunk.Freight.ExtraEEA</t>
  </si>
  <si>
    <t>International maritime bunkers / CO2 emissions - AT - Austria</t>
  </si>
  <si>
    <t>EMI.ktCO2.AT.ES.MBunk</t>
  </si>
  <si>
    <t>EMI.ktCO2.AT.ES.MBunk.IntraEEA</t>
  </si>
  <si>
    <t>EMI.ktCO2.AT.ES.MBunk.ExtraEEA</t>
  </si>
  <si>
    <t>EMIint.gCO2_per_km.AT.MBunk.Freight</t>
  </si>
  <si>
    <t>EMIint.gCO2_per_km.AT.MBunk.Freight.IntraEEA</t>
  </si>
  <si>
    <t>EMIint.gCO2_per_km.AT.MBunk.Freight.ExtraEEA</t>
  </si>
  <si>
    <t>FEC.ktoe.AT.Tr.DNavi</t>
  </si>
  <si>
    <t>FEC.ktoe.AT.Tr.Dnavi.DCS</t>
  </si>
  <si>
    <t>FEC.ktoe.AT.Tr.Dnavi.IWW</t>
  </si>
  <si>
    <t>EMI.ktCO2.AT.Tr.DNavi</t>
  </si>
  <si>
    <t>EMI.ktCO2.AT.Tr.Dnavi.DCS</t>
  </si>
  <si>
    <t>EMI.ktCO2.AT.Tr.Dnavi.IWW</t>
  </si>
  <si>
    <t>Domestic navigation - AT - Austria</t>
  </si>
  <si>
    <t>VehicleKm.Mkm.AT.Tr.DNavi.Freight</t>
  </si>
  <si>
    <t>VehicleKm.Mkm.AT.Tr.DNavi.Freight.DCS</t>
  </si>
  <si>
    <t>VehicleKm.Mkm.AT.Tr.DNavi.Freight.IWW</t>
  </si>
  <si>
    <t>Load.t_per_movement.AT.Tr.DNavi.Freight</t>
  </si>
  <si>
    <t>Load.t_per_movement.AT.Tr.DNavi.Freight.DCS</t>
  </si>
  <si>
    <t>Load.t_per_movement.AT.Tr.DNavi.Freight.IWW</t>
  </si>
  <si>
    <t>Domestic navigation / energy consumption - AT - Austria</t>
  </si>
  <si>
    <t>FEC.ktoe.AT.ES.Tr.DNavi</t>
  </si>
  <si>
    <t>FEC.ktoe.AT.ES.Tr.DNavi.DCS</t>
  </si>
  <si>
    <t>FEC.ktoe.AT.ES.Tr.DNavi.DCS.Diesel</t>
  </si>
  <si>
    <t>FEC.ktoe.AT.ES.Tr.DNavi.DCS.RFO_Other</t>
  </si>
  <si>
    <t>FEC.ktoe.AT.ES.Tr.DNavi.DCS.LiqBio</t>
  </si>
  <si>
    <t>FEC.ktoe.AT.ES.Tr.DNavi.DCS.NG</t>
  </si>
  <si>
    <t>FEC.ktoe.AT.ES.Tr.DNavi.DCS.Biogas</t>
  </si>
  <si>
    <t>FEC.ktoe.AT.ES.Tr.DNavi.IWW</t>
  </si>
  <si>
    <t>FEC.ktoe.AT.ES.Tr.DNavi.IWW.Diesel</t>
  </si>
  <si>
    <t>FEC.ktoe.AT.ES.Tr.DNavi.IWW.RFO_Other</t>
  </si>
  <si>
    <t>FEC.ktoe.AT.ES.Tr.DNavi.IWW.LiqBio</t>
  </si>
  <si>
    <t>FEC.ktoe.AT.ES.Tr.DNavi.IWW.NG</t>
  </si>
  <si>
    <t>FEC.ktoe.AT.ES.Tr.DNavi.IWW.Biogas</t>
  </si>
  <si>
    <t>Eff.kgoe_per_100km.AT.Tr.DNavi.Freight</t>
  </si>
  <si>
    <t>Eff.kgoe_per_100km.AT.Tr.DNavi.Freight.DCS</t>
  </si>
  <si>
    <t>Eff.kgoe_per_100km.AT.Tr.DNavi.Freight.IWW</t>
  </si>
  <si>
    <t>Domestic navigation / CO2 emissions - AT - Austria</t>
  </si>
  <si>
    <t>EMI.ktCO2.AT.ES.Tr.DNavi</t>
  </si>
  <si>
    <t>EMI.ktCO2.AT.ES.Tr.DNavi.DCS</t>
  </si>
  <si>
    <t>EMI.ktCO2.AT.ES.Tr.DNavi.IWW</t>
  </si>
  <si>
    <t>EMIint.gCO2_per_km.AT.Tr.DNavi.Freight</t>
  </si>
  <si>
    <t>EMIint.gCO2_per_km.AT.Tr.DNavi.Freight.DCS</t>
  </si>
  <si>
    <t>EMIint.gCO2_per_km.AT.Tr.DNavi.Freight.IWW</t>
  </si>
  <si>
    <t>Rail, metro and tram - AT - Austria</t>
  </si>
  <si>
    <t>Activity.Mpkm.AT.Tr.Rail.Passenger.CPT.Diesel</t>
  </si>
  <si>
    <t>Activity.Mpkm.AT.Tr.Rail.Passenger.CPT.Elc</t>
  </si>
  <si>
    <t>Activity.Mtkm.AT.Tr.Rail.Freight.Diesel</t>
  </si>
  <si>
    <t>Activity.Mtkm.AT.Tr.Rail.Freight.Elc</t>
  </si>
  <si>
    <t>VehicleKm.Mkm.AT.Tr.Rail</t>
  </si>
  <si>
    <t>VehicleKm.Mkm.AT.Tr.Rail.Passenger</t>
  </si>
  <si>
    <t>VehicleKm.Mkm.AT.Tr.Rail.Passenger.MTU</t>
  </si>
  <si>
    <t>VehicleKm.Mkm.AT.Tr.Rail.Passenger.CPT</t>
  </si>
  <si>
    <t>VehicleKm.Mkm.AT.Tr.Rail.Passenger.CPT.Diesel</t>
  </si>
  <si>
    <t>VehicleKm.Mkm.AT.Tr.Rail.Passenger.CPT.Elc</t>
  </si>
  <si>
    <t>VehicleKm.Mkm.AT.Tr.Rail.Passenger.HST</t>
  </si>
  <si>
    <t>VehicleKm.Mkm.AT.Tr.Rail.Freight</t>
  </si>
  <si>
    <t>VehicleKm.Mkm.AT.Tr.Rail.Freight.Diesel</t>
  </si>
  <si>
    <t>VehicleKm.Mkm.AT.Tr.Rail.Freight.Elc</t>
  </si>
  <si>
    <t>Stock.number.AT.Tr.Rail</t>
  </si>
  <si>
    <t>Stock.number.AT.Tr.Rail.Passenger</t>
  </si>
  <si>
    <t>Stock.number.AT.Tr.Rail.Passenger.MTU</t>
  </si>
  <si>
    <t>Stock.number.AT.Tr.Rail.Passenger.CPT</t>
  </si>
  <si>
    <t>Stock.number.AT.Tr.Rail.Passenger.CPT.Diesel</t>
  </si>
  <si>
    <t>Stock.number.AT.Tr.Rail.Passenger.CPT.Elc</t>
  </si>
  <si>
    <t>Stock.number.AT.Tr.Rail.Passenger.HST</t>
  </si>
  <si>
    <t>Stock.number.AT.Tr.Rail.Freight</t>
  </si>
  <si>
    <t>Stock.number.AT.Tr.Rail.Freight.Diesel</t>
  </si>
  <si>
    <t>Stock.number.AT.Tr.Rail.Freight.Elc</t>
  </si>
  <si>
    <t>StockNew.number.AT.Tr.Rail</t>
  </si>
  <si>
    <t>StockNew.number.AT.Tr.Rail.Passenger</t>
  </si>
  <si>
    <t>StockNew.number.AT.Tr.Rail.Passenger.MTU</t>
  </si>
  <si>
    <t>StockNew.number.AT.Tr.Rail.Passenger.CPT</t>
  </si>
  <si>
    <t>StockNew.number.AT.Tr.Rail.Passenger.CPT.Diesel</t>
  </si>
  <si>
    <t>StockNew.number.AT.Tr.Rail.Passenger.CPT.Elc</t>
  </si>
  <si>
    <t>StockNew.number.AT.Tr.Rail.Passenger.HST</t>
  </si>
  <si>
    <t>StockNew.number.AT.Tr.Rail.Freight</t>
  </si>
  <si>
    <t>StockNew.number.AT.Tr.Rail.Freight.Diesel</t>
  </si>
  <si>
    <t>StockNew.number.AT.Tr.Rail.Freight.Elc</t>
  </si>
  <si>
    <t>Load.passenger_per_movement.AT.Tr.Rail.Passenger</t>
  </si>
  <si>
    <t>Load.passenger_per_movement.AT.Tr.Rail.Passenger.MTU</t>
  </si>
  <si>
    <t>Load.passenger_per_movement.AT.Tr.Rail.Passenger.CPT</t>
  </si>
  <si>
    <t>Load.passenger_per_movement.AT.Tr.Rail.Passenger.CPT.Diesel</t>
  </si>
  <si>
    <t>Load.passenger_per_movement.AT.Tr.Rail.Passenger.CPT.Elc</t>
  </si>
  <si>
    <t>Load.passenger_per_movement.AT.Tr.Rail.Passenger.HST</t>
  </si>
  <si>
    <t>Load.t_per_movement.AT.Tr.Rail.Freight</t>
  </si>
  <si>
    <t>Load.t_per_movement.AT.Tr.Rail.Freight.Diesel</t>
  </si>
  <si>
    <t>Load.t_per_movement.AT.Tr.Rail.Freight.Elc</t>
  </si>
  <si>
    <t>TrCap.seats.AT.Tr.Rail.Passenger</t>
  </si>
  <si>
    <t>TrCap.seats.AT.Tr.Rail.Passenger.MTU</t>
  </si>
  <si>
    <t>TrCap.seats.AT.Tr.Rail.Passenger.CPT</t>
  </si>
  <si>
    <t>TrCap.seats.AT.Tr.Rail.Passenger.CPT.Diesel</t>
  </si>
  <si>
    <t>TrCap.seats.AT.Tr.Rail.Passenger.CPT.Elc</t>
  </si>
  <si>
    <t>TrCap.seats.AT.Tr.Rail.Passenger.HST</t>
  </si>
  <si>
    <t>TrCap.t.AT.Tr.Rail.Freight</t>
  </si>
  <si>
    <t>TrCap.t.AT.Tr.Rail.Freight.Diesel</t>
  </si>
  <si>
    <t>TrCap.t.AT.Tr.Rail.Freight.Elc</t>
  </si>
  <si>
    <t>VehicleKm_per_vehicle.km.AT.Tr.Rail</t>
  </si>
  <si>
    <t>VehicleKm_per_vehicle.km.AT.Tr.Rail.Passenger</t>
  </si>
  <si>
    <t>VehicleKm_per_vehicle.km.AT.Tr.Rail.Passenger.MTU</t>
  </si>
  <si>
    <t>VehicleKm_per_vehicle.km.AT.Tr.Rail.Passenger.CPT</t>
  </si>
  <si>
    <t>VehicleKm_per_vehicle.km.AT.Tr.Rail.Passenger.CPT.Diesel</t>
  </si>
  <si>
    <t>VehicleKm_per_vehicle.km.AT.Tr.Rail.Passenger.CPT.Elc</t>
  </si>
  <si>
    <t>VehicleKm_per_vehicle.km.AT.Tr.Rail.Passenger.HST</t>
  </si>
  <si>
    <t>VehicleKm_per_vehicle.km.AT.Tr.Rail.Freight</t>
  </si>
  <si>
    <t>VehicleKm_per_vehicle.km.AT.Tr.Rail.Freight.Diesel</t>
  </si>
  <si>
    <t>VehicleKm_per_vehicle.km.AT.Tr.Rail.Freight.Elc</t>
  </si>
  <si>
    <t>Activity_per_vehicle.pkm.AT.Tr.Rail.Passenger</t>
  </si>
  <si>
    <t>Activity_per_vehicle.pkm.AT.Tr.Rail.Passenger.MTU</t>
  </si>
  <si>
    <t>Activity_per_vehicle.pkm.AT.Tr.Rail.Passenger.CPT</t>
  </si>
  <si>
    <t>Activity_per_vehicle.pkm.AT.Tr.Rail.Passenger.CPT.Diesel</t>
  </si>
  <si>
    <t>Activity_per_vehicle.pkm.AT.Tr.Rail.Passenger.CPT.Elc</t>
  </si>
  <si>
    <t>Activity_per_vehicle.pkm.AT.Tr.Rail.Passenger.HST</t>
  </si>
  <si>
    <t>Activity_per_vehicle.tkm.AT.Tr.Rail.Freight</t>
  </si>
  <si>
    <t>Activity_per_vehicle.tkm.AT.Tr.Rail.Freight.Diesel</t>
  </si>
  <si>
    <t>Activity_per_vehicle.tkm.AT.Tr.Rail.Freight.Elc</t>
  </si>
  <si>
    <t>Rail, metro and tram / energy consumption - AT - Austria</t>
  </si>
  <si>
    <t>FEC.ktoe.AT.ES.Tr.Rail</t>
  </si>
  <si>
    <t>FEC.ktoe.AT.ES.Tr.Rail.Diesel</t>
  </si>
  <si>
    <t>FEC.ktoe.AT.ES.Tr.Rail.LiqBio</t>
  </si>
  <si>
    <t>FEC.ktoe.AT.ES.Tr.Rail.Elec</t>
  </si>
  <si>
    <t>FEC.ktoe.AT.Tr.Rail</t>
  </si>
  <si>
    <t>FEC.ktoe.AT.Tr.Rail.Passenger.CPT.Diesel</t>
  </si>
  <si>
    <t>FEC.ktoe.AT.Tr.Rail.Passenger.CPT.Elc</t>
  </si>
  <si>
    <t>FEC.ktoe.AT.Tr.Rail.Freight.Diesel</t>
  </si>
  <si>
    <t>FEC.ktoe.AT.Tr.Rail.Freight.Elc</t>
  </si>
  <si>
    <t>Eff.kgoe_per_100km.AT.Tr.Rail</t>
  </si>
  <si>
    <t>Eff.kgoe_per_100km.AT.Tr.Rail.Passenger</t>
  </si>
  <si>
    <t>Eff.kgoe_per_100km.AT.Tr.Rail.Passenger.MTU</t>
  </si>
  <si>
    <t>Eff.kgoe_per_100km.AT.Tr.Rail.Passenger.CPT</t>
  </si>
  <si>
    <t>Eff.kgoe_per_100km.AT.Tr.Rail.Passenger.CPT.Diesel</t>
  </si>
  <si>
    <t>Eff.kgoe_per_100km.AT.Tr.Rail.Passenger.CPT.Elc</t>
  </si>
  <si>
    <t>Eff.kgoe_per_100km.AT.Tr.Rail.Passenger.HST</t>
  </si>
  <si>
    <t>Eff.kgoe_per_100km.AT.Tr.Rail.Freight</t>
  </si>
  <si>
    <t>Eff.kgoe_per_100km.AT.Tr.Rail.Freight.Diesel</t>
  </si>
  <si>
    <t>Eff.kgoe_per_100km.AT.Tr.Rail.Freight.Elc</t>
  </si>
  <si>
    <t>Eff.kgoe_per_kpkm.AT.Tr.Rail.Passenger.CPT.Diesel</t>
  </si>
  <si>
    <t>Eff.kgoe_per_kpkm.AT.Tr.Rail.Passenger.CPT.Elc</t>
  </si>
  <si>
    <t>Eff.kgoe_per_ktkm.AT.Tr.Rail.Freight.Diesel</t>
  </si>
  <si>
    <t>Eff.kgoe_per_ktkm.AT.Tr.Rail.Freight.Elc</t>
  </si>
  <si>
    <t>FEC_per_vehicle.kgoe.AT.Tr.Rail</t>
  </si>
  <si>
    <t>FEC_per_vehicle.kgoe.AT.Tr.Rail.Passenger</t>
  </si>
  <si>
    <t>FEC_per_vehicle.kgoe.AT.Tr.Rail.Passenger.MTU</t>
  </si>
  <si>
    <t>FEC_per_vehicle.kgoe.AT.Tr.Rail.Passenger.CPT</t>
  </si>
  <si>
    <t>FEC_per_vehicle.kgoe.AT.Tr.Rail.Passenger.CPT.Diesel</t>
  </si>
  <si>
    <t>FEC_per_vehicle.kgoe.AT.Tr.Rail.Passenger.CPT.Elc</t>
  </si>
  <si>
    <t>FEC_per_vehicle.kgoe.AT.Tr.Rail.Passenger.HST</t>
  </si>
  <si>
    <t>FEC_per_vehicle.kgoe.AT.Tr.Rail.Freight</t>
  </si>
  <si>
    <t>FEC_per_vehicle.kgoe.AT.Tr.Rail.Freight.Diesel</t>
  </si>
  <si>
    <t>FEC_per_vehicle.kgoe.AT.Tr.Rail.Freight.Elc</t>
  </si>
  <si>
    <t>Rail, metro and tram / CO2 emissions - AT - Austria</t>
  </si>
  <si>
    <t>EMI.ktCO2.AT.ES.Tr.Rail</t>
  </si>
  <si>
    <t>EMI.ktCO2.AT.ES.Tr.Rail.Diesel</t>
  </si>
  <si>
    <t>EMI.ktCO2.AT.ES.Tr.Rail.Elec</t>
  </si>
  <si>
    <t>EMI.ktCO2.AT.Tr.Rail</t>
  </si>
  <si>
    <t>EMI.ktCO2.AT.Tr.Rail.Passenger.CPT.Diesel</t>
  </si>
  <si>
    <t>EMI.ktCO2.AT.Tr.Rail.Passenger.CPT.Elc</t>
  </si>
  <si>
    <t>EMI.ktCO2.AT.Tr.Rail.Freight.Diesel</t>
  </si>
  <si>
    <t>EMI.ktCO2.AT.Tr.Rail.Freight.Elc</t>
  </si>
  <si>
    <t>EMIint.gCO2_per_km.AT.Tr.Rail</t>
  </si>
  <si>
    <t>EMIint.gCO2_per_km.AT.Tr.Rail.Passenger</t>
  </si>
  <si>
    <t>EMIint.gCO2_per_km.AT.Tr.Rail.Passenger.MTU</t>
  </si>
  <si>
    <t>EMIint.gCO2_per_km.AT.Tr.Rail.Passenger.CPT</t>
  </si>
  <si>
    <t>EMIint.gCO2_per_km.AT.Tr.Rail.Passenger.CPT.Diesel</t>
  </si>
  <si>
    <t>EMIint.gCO2_per_km.AT.Tr.Rail.Passenger.CPT.Elc</t>
  </si>
  <si>
    <t>EMIint.gCO2_per_km.AT.Tr.Rail.Passenger.HST</t>
  </si>
  <si>
    <t>EMIint.gCO2_per_km.AT.Tr.Rail.Freight</t>
  </si>
  <si>
    <t>EMIint.gCO2_per_km.AT.Tr.Rail.Freight.Diesel</t>
  </si>
  <si>
    <t>EMIint.gCO2_per_km.AT.Tr.Rail.Freight.Elc</t>
  </si>
  <si>
    <t>EMIint.gCO2_per_pkm.AT.Tr.Rail.Passenger.CPT.Diesel</t>
  </si>
  <si>
    <t>EMIint.gCO2_per_pkm.AT.Tr.Rail.Passenger.CPT.Elc</t>
  </si>
  <si>
    <t>EMIint.gCO2_per_tkm.AT.Tr.Rail.Freight.Diesel</t>
  </si>
  <si>
    <t>EMIint.gCO2_per_tkm.AT.Tr.Rail.Freight.Elc</t>
  </si>
  <si>
    <t>EMI_per_vehicle.tCO2.AT.Tr.Rail</t>
  </si>
  <si>
    <t>EMI_per_vehicle.tCO2.AT.Tr.Rail.Passenger</t>
  </si>
  <si>
    <t>EMI_per_vehicle.tCO2.AT.Tr.Rail.Passenger.MTU</t>
  </si>
  <si>
    <t>EMI_per_vehicle.tCO2.AT.Tr.Rail.Passenger.CPT</t>
  </si>
  <si>
    <t>EMI_per_vehicle.tCO2.AT.Tr.Rail.Passenger.CPT.Diesel</t>
  </si>
  <si>
    <t>EMI_per_vehicle.tCO2.AT.Tr.Rail.Passenger.CPT.Elc</t>
  </si>
  <si>
    <t>EMI_per_vehicle.tCO2.AT.Tr.Rail.Passenger.HST</t>
  </si>
  <si>
    <t>EMI_per_vehicle.tCO2.AT.Tr.Rail.Freight</t>
  </si>
  <si>
    <t>EMI_per_vehicle.tCO2.AT.Tr.Rail.Freight.Diesel</t>
  </si>
  <si>
    <t>EMI_per_vehicle.tCO2.AT.Tr.Rail.Freight.Elc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</si>
</sst>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mmmm\ yyyy"/>
    <numFmt numFmtId="165" formatCode="#,##0.0"/>
    <numFmt numFmtId="166" formatCode="#,##0;\-#,##0;&quot;-&quot;"/>
    <numFmt numFmtId="167" formatCode="#,##0.000;\-#,##0.000;&quot;-&quot;"/>
    <numFmt numFmtId="168" formatCode="0.00%;\-0.00%;&quot;-&quot;"/>
    <numFmt numFmtId="169" formatCode="#,##0.00;\-#,##0.00;&quot;-&quot;"/>
    <numFmt numFmtId="170" formatCode="#,##0.0;\-#,##0.0;&quot;-&quot;"/>
    <numFmt numFmtId="171" formatCode="0.0%;\-0.0%;&quot;-&quot;"/>
    <numFmt numFmtId="172" formatCode="0.0%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sz val="8"/>
      <color rgb="FF001E5F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232D37"/>
      <name val="Calibri"/>
      <family val="2"/>
      <scheme val="minor"/>
    </font>
    <font>
      <i/>
      <sz val="8"/>
      <color rgb="FF001E5F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8"/>
      <color rgb="FF282428"/>
      <name val="Calibri"/>
      <family val="2"/>
      <scheme val="minor"/>
    </font>
    <font>
      <i/>
      <sz val="8"/>
      <color rgb="FF00143C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E1F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auto="1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0" fontId="4" fillId="0" borderId="0" applyNumberFormat="0" applyFill="0" applyBorder="0" applyAlignment="0" applyProtection="0"/>
  </cellStyleXfs>
  <cellXfs count="231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2" xfId="0" applyFont="1" applyBorder="1"/>
    <xf numFmtId="0" fontId="4" fillId="0" borderId="0" xfId="4"/>
    <xf numFmtId="0" fontId="8" fillId="0" borderId="0" xfId="4" applyFont="1"/>
    <xf numFmtId="0" fontId="9" fillId="0" borderId="0" xfId="0" applyFont="1"/>
    <xf numFmtId="0" fontId="10" fillId="0" borderId="0" xfId="4" applyFont="1"/>
    <xf numFmtId="0" fontId="10" fillId="0" borderId="0" xfId="4" applyFont="1" applyAlignment="1">
      <alignment horizontal="left" indent="1"/>
    </xf>
    <xf numFmtId="0" fontId="0" fillId="0" borderId="2" xfId="0" applyBorder="1"/>
    <xf numFmtId="0" fontId="12" fillId="4" borderId="3" xfId="3" applyFont="1" applyFill="1" applyBorder="1" applyAlignment="1">
      <alignment horizontal="left" vertical="center" indent="1"/>
    </xf>
    <xf numFmtId="166" fontId="12" fillId="4" borderId="3" xfId="3" applyNumberFormat="1" applyFont="1" applyFill="1" applyBorder="1" applyAlignment="1">
      <alignment vertical="center"/>
    </xf>
    <xf numFmtId="0" fontId="12" fillId="4" borderId="4" xfId="3" applyFont="1" applyFill="1" applyBorder="1" applyAlignment="1">
      <alignment horizontal="left" vertical="center" indent="1"/>
    </xf>
    <xf numFmtId="166" fontId="12" fillId="4" borderId="4" xfId="3" applyNumberFormat="1" applyFont="1" applyFill="1" applyBorder="1" applyAlignment="1">
      <alignment vertical="center"/>
    </xf>
    <xf numFmtId="170" fontId="12" fillId="4" borderId="3" xfId="3" applyNumberFormat="1" applyFont="1" applyFill="1" applyBorder="1" applyAlignment="1">
      <alignment vertical="center"/>
    </xf>
    <xf numFmtId="170" fontId="12" fillId="4" borderId="4" xfId="3" applyNumberFormat="1" applyFont="1" applyFill="1" applyBorder="1" applyAlignment="1">
      <alignment vertical="center"/>
    </xf>
    <xf numFmtId="168" fontId="12" fillId="4" borderId="3" xfId="1" applyNumberFormat="1" applyFont="1" applyFill="1" applyBorder="1" applyAlignment="1">
      <alignment vertical="center"/>
    </xf>
    <xf numFmtId="168" fontId="12" fillId="4" borderId="4" xfId="1" applyNumberFormat="1" applyFont="1" applyFill="1" applyBorder="1" applyAlignment="1">
      <alignment vertical="center"/>
    </xf>
    <xf numFmtId="0" fontId="3" fillId="0" borderId="0" xfId="3" applyFont="1" applyFill="1" applyAlignment="1">
      <alignment vertical="center"/>
    </xf>
    <xf numFmtId="0" fontId="3" fillId="0" borderId="0" xfId="3" applyNumberFormat="1" applyFont="1" applyFill="1" applyAlignment="1">
      <alignment vertical="center"/>
    </xf>
    <xf numFmtId="0" fontId="14" fillId="4" borderId="1" xfId="3" applyFont="1" applyFill="1" applyBorder="1" applyAlignment="1">
      <alignment horizontal="left" vertical="center" indent="1"/>
    </xf>
    <xf numFmtId="169" fontId="12" fillId="4" borderId="3" xfId="3" applyNumberFormat="1" applyFont="1" applyFill="1" applyBorder="1" applyAlignment="1">
      <alignment vertical="center"/>
    </xf>
    <xf numFmtId="169" fontId="12" fillId="4" borderId="4" xfId="3" applyNumberFormat="1" applyFont="1" applyFill="1" applyBorder="1" applyAlignment="1">
      <alignment vertical="center"/>
    </xf>
    <xf numFmtId="167" fontId="12" fillId="4" borderId="3" xfId="3" applyNumberFormat="1" applyFont="1" applyFill="1" applyBorder="1" applyAlignment="1">
      <alignment vertical="center"/>
    </xf>
    <xf numFmtId="167" fontId="12" fillId="4" borderId="4" xfId="3" applyNumberFormat="1" applyFont="1" applyFill="1" applyBorder="1" applyAlignment="1">
      <alignment vertical="center"/>
    </xf>
    <xf numFmtId="171" fontId="12" fillId="4" borderId="3" xfId="1" applyNumberFormat="1" applyFont="1" applyFill="1" applyBorder="1" applyAlignment="1">
      <alignment vertical="center"/>
    </xf>
    <xf numFmtId="169" fontId="11" fillId="4" borderId="0" xfId="3" applyNumberFormat="1" applyFont="1" applyFill="1" applyBorder="1" applyAlignment="1">
      <alignment vertical="center"/>
    </xf>
    <xf numFmtId="0" fontId="12" fillId="4" borderId="1" xfId="3" applyFont="1" applyFill="1" applyBorder="1" applyAlignment="1">
      <alignment horizontal="left" vertical="center" indent="1"/>
    </xf>
    <xf numFmtId="166" fontId="12" fillId="4" borderId="1" xfId="3" applyNumberFormat="1" applyFont="1" applyFill="1" applyBorder="1" applyAlignment="1">
      <alignment vertical="center"/>
    </xf>
    <xf numFmtId="170" fontId="12" fillId="4" borderId="1" xfId="3" applyNumberFormat="1" applyFont="1" applyFill="1" applyBorder="1" applyAlignment="1">
      <alignment vertical="center"/>
    </xf>
    <xf numFmtId="171" fontId="12" fillId="4" borderId="1" xfId="3" applyNumberFormat="1" applyFont="1" applyFill="1" applyBorder="1" applyAlignment="1">
      <alignment vertical="center"/>
    </xf>
    <xf numFmtId="168" fontId="12" fillId="4" borderId="1" xfId="3" applyNumberFormat="1" applyFont="1" applyFill="1" applyBorder="1" applyAlignment="1">
      <alignment vertical="center"/>
    </xf>
    <xf numFmtId="169" fontId="12" fillId="4" borderId="1" xfId="3" applyNumberFormat="1" applyFont="1" applyFill="1" applyBorder="1" applyAlignment="1">
      <alignment vertical="center"/>
    </xf>
    <xf numFmtId="0" fontId="3" fillId="2" borderId="0" xfId="3" applyNumberFormat="1" applyFont="1" applyFill="1" applyAlignment="1">
      <alignment vertical="center"/>
    </xf>
    <xf numFmtId="166" fontId="13" fillId="2" borderId="0" xfId="3" applyNumberFormat="1" applyFont="1" applyFill="1" applyBorder="1" applyAlignment="1">
      <alignment vertical="center"/>
    </xf>
    <xf numFmtId="166" fontId="13" fillId="2" borderId="2" xfId="3" applyNumberFormat="1" applyFont="1" applyFill="1" applyBorder="1" applyAlignment="1">
      <alignment vertical="center"/>
    </xf>
    <xf numFmtId="166" fontId="13" fillId="2" borderId="0" xfId="3" applyNumberFormat="1" applyFont="1" applyFill="1" applyAlignment="1">
      <alignment vertical="center"/>
    </xf>
    <xf numFmtId="0" fontId="13" fillId="2" borderId="0" xfId="3" applyFont="1" applyFill="1" applyAlignment="1">
      <alignment horizontal="left" vertical="center" indent="2"/>
    </xf>
    <xf numFmtId="0" fontId="13" fillId="2" borderId="2" xfId="3" applyFont="1" applyFill="1" applyBorder="1" applyAlignment="1">
      <alignment horizontal="left" vertical="center" indent="2"/>
    </xf>
    <xf numFmtId="170" fontId="13" fillId="2" borderId="0" xfId="3" applyNumberFormat="1" applyFont="1" applyFill="1" applyAlignment="1">
      <alignment vertical="center"/>
    </xf>
    <xf numFmtId="170" fontId="13" fillId="2" borderId="2" xfId="3" applyNumberFormat="1" applyFont="1" applyFill="1" applyBorder="1" applyAlignment="1">
      <alignment vertical="center"/>
    </xf>
    <xf numFmtId="170" fontId="13" fillId="2" borderId="0" xfId="3" applyNumberFormat="1" applyFont="1" applyFill="1" applyBorder="1" applyAlignment="1">
      <alignment vertical="center"/>
    </xf>
    <xf numFmtId="0" fontId="13" fillId="2" borderId="0" xfId="3" applyFont="1" applyFill="1" applyBorder="1" applyAlignment="1">
      <alignment horizontal="left" vertical="center" indent="2"/>
    </xf>
    <xf numFmtId="168" fontId="13" fillId="2" borderId="0" xfId="1" applyNumberFormat="1" applyFont="1" applyFill="1" applyAlignment="1">
      <alignment vertical="center"/>
    </xf>
    <xf numFmtId="168" fontId="13" fillId="2" borderId="0" xfId="1" applyNumberFormat="1" applyFont="1" applyFill="1" applyBorder="1" applyAlignment="1">
      <alignment vertical="center"/>
    </xf>
    <xf numFmtId="168" fontId="13" fillId="2" borderId="2" xfId="1" applyNumberFormat="1" applyFont="1" applyFill="1" applyBorder="1" applyAlignment="1">
      <alignment vertical="center"/>
    </xf>
    <xf numFmtId="168" fontId="12" fillId="4" borderId="1" xfId="1" applyNumberFormat="1" applyFont="1" applyFill="1" applyBorder="1" applyAlignment="1">
      <alignment vertical="center"/>
    </xf>
    <xf numFmtId="167" fontId="12" fillId="4" borderId="1" xfId="3" applyNumberFormat="1" applyFont="1" applyFill="1" applyBorder="1" applyAlignment="1">
      <alignment vertical="center"/>
    </xf>
    <xf numFmtId="0" fontId="15" fillId="6" borderId="1" xfId="3" applyFont="1" applyFill="1" applyBorder="1" applyAlignment="1">
      <alignment horizontal="left" vertical="center"/>
    </xf>
    <xf numFmtId="1" fontId="16" fillId="6" borderId="1" xfId="3" applyNumberFormat="1" applyFont="1" applyFill="1" applyBorder="1" applyAlignment="1">
      <alignment horizontal="center" vertical="center"/>
    </xf>
    <xf numFmtId="0" fontId="17" fillId="8" borderId="0" xfId="3" applyNumberFormat="1" applyFont="1" applyFill="1" applyAlignment="1">
      <alignment vertical="center"/>
    </xf>
    <xf numFmtId="0" fontId="17" fillId="8" borderId="0" xfId="3" applyFont="1" applyFill="1" applyAlignment="1">
      <alignment vertical="center"/>
    </xf>
    <xf numFmtId="0" fontId="18" fillId="8" borderId="0" xfId="3" applyNumberFormat="1" applyFont="1" applyFill="1" applyAlignment="1">
      <alignment vertical="center"/>
    </xf>
    <xf numFmtId="0" fontId="19" fillId="3" borderId="1" xfId="3" applyFont="1" applyFill="1" applyBorder="1" applyAlignment="1">
      <alignment horizontal="left" vertical="center"/>
    </xf>
    <xf numFmtId="166" fontId="20" fillId="3" borderId="1" xfId="3" applyNumberFormat="1" applyFont="1" applyFill="1" applyBorder="1" applyAlignment="1">
      <alignment vertical="center"/>
    </xf>
    <xf numFmtId="0" fontId="17" fillId="8" borderId="0" xfId="3" applyFont="1" applyFill="1" applyAlignment="1">
      <alignment horizontal="left" vertical="center" indent="1"/>
    </xf>
    <xf numFmtId="166" fontId="17" fillId="8" borderId="0" xfId="3" applyNumberFormat="1" applyFont="1" applyFill="1" applyAlignment="1">
      <alignment vertical="center"/>
    </xf>
    <xf numFmtId="0" fontId="17" fillId="8" borderId="2" xfId="3" applyFont="1" applyFill="1" applyBorder="1" applyAlignment="1">
      <alignment horizontal="left" vertical="center" indent="1"/>
    </xf>
    <xf numFmtId="166" fontId="17" fillId="8" borderId="2" xfId="3" applyNumberFormat="1" applyFont="1" applyFill="1" applyBorder="1" applyAlignment="1">
      <alignment vertical="center"/>
    </xf>
    <xf numFmtId="167" fontId="20" fillId="3" borderId="1" xfId="3" applyNumberFormat="1" applyFont="1" applyFill="1" applyBorder="1" applyAlignment="1">
      <alignment vertical="center"/>
    </xf>
    <xf numFmtId="167" fontId="17" fillId="8" borderId="0" xfId="3" applyNumberFormat="1" applyFont="1" applyFill="1" applyAlignment="1">
      <alignment vertical="center"/>
    </xf>
    <xf numFmtId="167" fontId="17" fillId="8" borderId="2" xfId="3" applyNumberFormat="1" applyFont="1" applyFill="1" applyBorder="1" applyAlignment="1">
      <alignment vertical="center"/>
    </xf>
    <xf numFmtId="170" fontId="20" fillId="3" borderId="1" xfId="3" applyNumberFormat="1" applyFont="1" applyFill="1" applyBorder="1" applyAlignment="1">
      <alignment vertical="center"/>
    </xf>
    <xf numFmtId="170" fontId="17" fillId="8" borderId="0" xfId="3" applyNumberFormat="1" applyFont="1" applyFill="1" applyAlignment="1">
      <alignment vertical="center"/>
    </xf>
    <xf numFmtId="170" fontId="17" fillId="8" borderId="2" xfId="3" applyNumberFormat="1" applyFont="1" applyFill="1" applyBorder="1" applyAlignment="1">
      <alignment vertical="center"/>
    </xf>
    <xf numFmtId="168" fontId="20" fillId="3" borderId="1" xfId="3" applyNumberFormat="1" applyFont="1" applyFill="1" applyBorder="1" applyAlignment="1">
      <alignment vertical="center"/>
    </xf>
    <xf numFmtId="168" fontId="17" fillId="8" borderId="0" xfId="3" applyNumberFormat="1" applyFont="1" applyFill="1" applyAlignment="1">
      <alignment vertical="center"/>
    </xf>
    <xf numFmtId="168" fontId="17" fillId="8" borderId="2" xfId="3" applyNumberFormat="1" applyFont="1" applyFill="1" applyBorder="1" applyAlignment="1">
      <alignment vertical="center"/>
    </xf>
    <xf numFmtId="0" fontId="21" fillId="5" borderId="1" xfId="3" applyFont="1" applyFill="1" applyBorder="1" applyAlignment="1">
      <alignment horizontal="left" vertical="center"/>
    </xf>
    <xf numFmtId="167" fontId="22" fillId="5" borderId="1" xfId="3" applyNumberFormat="1" applyFont="1" applyFill="1" applyBorder="1" applyAlignment="1">
      <alignment vertical="center"/>
    </xf>
    <xf numFmtId="0" fontId="17" fillId="8" borderId="1" xfId="3" applyFont="1" applyFill="1" applyBorder="1" applyAlignment="1">
      <alignment horizontal="left" vertical="center" indent="1"/>
    </xf>
    <xf numFmtId="170" fontId="17" fillId="8" borderId="1" xfId="3" applyNumberFormat="1" applyFont="1" applyFill="1" applyBorder="1" applyAlignment="1">
      <alignment vertical="center"/>
    </xf>
    <xf numFmtId="0" fontId="23" fillId="8" borderId="0" xfId="3" applyFont="1" applyFill="1" applyAlignment="1">
      <alignment horizontal="left" vertical="center" indent="2"/>
    </xf>
    <xf numFmtId="170" fontId="23" fillId="8" borderId="0" xfId="3" applyNumberFormat="1" applyFont="1" applyFill="1" applyAlignment="1">
      <alignment vertical="center"/>
    </xf>
    <xf numFmtId="0" fontId="23" fillId="8" borderId="2" xfId="3" applyFont="1" applyFill="1" applyBorder="1" applyAlignment="1">
      <alignment horizontal="left" vertical="center" indent="2"/>
    </xf>
    <xf numFmtId="170" fontId="23" fillId="8" borderId="2" xfId="3" applyNumberFormat="1" applyFont="1" applyFill="1" applyBorder="1" applyAlignment="1">
      <alignment vertical="center"/>
    </xf>
    <xf numFmtId="168" fontId="20" fillId="3" borderId="1" xfId="1" applyNumberFormat="1" applyFont="1" applyFill="1" applyBorder="1" applyAlignment="1">
      <alignment vertical="center"/>
    </xf>
    <xf numFmtId="168" fontId="17" fillId="8" borderId="0" xfId="1" applyNumberFormat="1" applyFont="1" applyFill="1" applyAlignment="1">
      <alignment vertical="center"/>
    </xf>
    <xf numFmtId="168" fontId="17" fillId="8" borderId="2" xfId="1" applyNumberFormat="1" applyFont="1" applyFill="1" applyBorder="1" applyAlignment="1">
      <alignment vertical="center"/>
    </xf>
    <xf numFmtId="169" fontId="20" fillId="3" borderId="1" xfId="3" applyNumberFormat="1" applyFont="1" applyFill="1" applyBorder="1" applyAlignment="1">
      <alignment vertical="center"/>
    </xf>
    <xf numFmtId="169" fontId="17" fillId="8" borderId="0" xfId="3" applyNumberFormat="1" applyFont="1" applyFill="1" applyAlignment="1">
      <alignment vertical="center"/>
    </xf>
    <xf numFmtId="169" fontId="17" fillId="8" borderId="2" xfId="3" applyNumberFormat="1" applyFont="1" applyFill="1" applyBorder="1" applyAlignment="1">
      <alignment vertical="center"/>
    </xf>
    <xf numFmtId="171" fontId="20" fillId="3" borderId="1" xfId="1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2"/>
    </xf>
    <xf numFmtId="166" fontId="17" fillId="2" borderId="0" xfId="3" applyNumberFormat="1" applyFont="1" applyFill="1" applyAlignment="1">
      <alignment vertical="center"/>
    </xf>
    <xf numFmtId="0" fontId="17" fillId="2" borderId="2" xfId="3" applyFont="1" applyFill="1" applyBorder="1" applyAlignment="1">
      <alignment horizontal="left" vertical="center" indent="2"/>
    </xf>
    <xf numFmtId="166" fontId="17" fillId="2" borderId="2" xfId="3" applyNumberFormat="1" applyFont="1" applyFill="1" applyBorder="1" applyAlignment="1">
      <alignment vertical="center"/>
    </xf>
    <xf numFmtId="170" fontId="17" fillId="2" borderId="0" xfId="3" applyNumberFormat="1" applyFont="1" applyFill="1" applyAlignment="1">
      <alignment vertical="center"/>
    </xf>
    <xf numFmtId="170" fontId="17" fillId="2" borderId="2" xfId="3" applyNumberFormat="1" applyFont="1" applyFill="1" applyBorder="1" applyAlignment="1">
      <alignment vertical="center"/>
    </xf>
    <xf numFmtId="171" fontId="17" fillId="2" borderId="0" xfId="1" applyNumberFormat="1" applyFont="1" applyFill="1" applyAlignment="1">
      <alignment vertical="center"/>
    </xf>
    <xf numFmtId="171" fontId="17" fillId="2" borderId="2" xfId="1" applyNumberFormat="1" applyFont="1" applyFill="1" applyBorder="1" applyAlignment="1">
      <alignment vertical="center"/>
    </xf>
    <xf numFmtId="167" fontId="17" fillId="2" borderId="0" xfId="3" applyNumberFormat="1" applyFont="1" applyFill="1" applyAlignment="1">
      <alignment vertical="center"/>
    </xf>
    <xf numFmtId="0" fontId="17" fillId="2" borderId="0" xfId="3" applyFont="1" applyFill="1" applyBorder="1" applyAlignment="1">
      <alignment horizontal="left" vertical="center" indent="2"/>
    </xf>
    <xf numFmtId="167" fontId="17" fillId="2" borderId="0" xfId="3" applyNumberFormat="1" applyFont="1" applyFill="1" applyBorder="1" applyAlignment="1">
      <alignment vertical="center"/>
    </xf>
    <xf numFmtId="167" fontId="17" fillId="2" borderId="2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1"/>
    </xf>
    <xf numFmtId="169" fontId="17" fillId="2" borderId="0" xfId="3" applyNumberFormat="1" applyFont="1" applyFill="1" applyAlignment="1">
      <alignment vertical="center"/>
    </xf>
    <xf numFmtId="169" fontId="17" fillId="2" borderId="0" xfId="3" applyNumberFormat="1" applyFont="1" applyFill="1" applyBorder="1" applyAlignment="1">
      <alignment vertical="center"/>
    </xf>
    <xf numFmtId="169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1"/>
    </xf>
    <xf numFmtId="0" fontId="17" fillId="2" borderId="2" xfId="3" applyFont="1" applyFill="1" applyBorder="1" applyAlignment="1">
      <alignment horizontal="left" vertical="center" indent="1"/>
    </xf>
    <xf numFmtId="170" fontId="17" fillId="2" borderId="0" xfId="3" applyNumberFormat="1" applyFont="1" applyFill="1" applyBorder="1" applyAlignment="1">
      <alignment vertical="center"/>
    </xf>
    <xf numFmtId="166" fontId="17" fillId="2" borderId="0" xfId="3" applyNumberFormat="1" applyFont="1" applyFill="1" applyBorder="1" applyAlignment="1">
      <alignment vertical="center"/>
    </xf>
    <xf numFmtId="168" fontId="17" fillId="2" borderId="0" xfId="1" applyNumberFormat="1" applyFont="1" applyFill="1" applyAlignment="1">
      <alignment vertical="center"/>
    </xf>
    <xf numFmtId="168" fontId="17" fillId="2" borderId="0" xfId="1" applyNumberFormat="1" applyFont="1" applyFill="1" applyBorder="1" applyAlignment="1">
      <alignment vertical="center"/>
    </xf>
    <xf numFmtId="168" fontId="17" fillId="2" borderId="2" xfId="1" applyNumberFormat="1" applyFont="1" applyFill="1" applyBorder="1" applyAlignment="1">
      <alignment vertical="center"/>
    </xf>
    <xf numFmtId="0" fontId="17" fillId="2" borderId="0" xfId="3" applyNumberFormat="1" applyFont="1" applyFill="1" applyAlignment="1">
      <alignment vertical="center"/>
    </xf>
    <xf numFmtId="0" fontId="17" fillId="2" borderId="5" xfId="3" applyFont="1" applyFill="1" applyBorder="1" applyAlignment="1">
      <alignment horizontal="left" vertical="center" indent="2"/>
    </xf>
    <xf numFmtId="166" fontId="17" fillId="2" borderId="5" xfId="3" applyNumberFormat="1" applyFont="1" applyFill="1" applyBorder="1" applyAlignment="1">
      <alignment vertical="center"/>
    </xf>
    <xf numFmtId="0" fontId="17" fillId="2" borderId="4" xfId="3" applyFont="1" applyFill="1" applyBorder="1" applyAlignment="1">
      <alignment horizontal="left" vertical="center" indent="2"/>
    </xf>
    <xf numFmtId="166" fontId="17" fillId="2" borderId="4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3"/>
    </xf>
    <xf numFmtId="0" fontId="17" fillId="2" borderId="6" xfId="3" applyFont="1" applyFill="1" applyBorder="1" applyAlignment="1">
      <alignment horizontal="left" vertical="center" indent="2"/>
    </xf>
    <xf numFmtId="166" fontId="17" fillId="2" borderId="6" xfId="3" applyNumberFormat="1" applyFont="1" applyFill="1" applyBorder="1" applyAlignment="1">
      <alignment vertical="center"/>
    </xf>
    <xf numFmtId="0" fontId="17" fillId="0" borderId="0" xfId="3" applyNumberFormat="1" applyFont="1" applyFill="1" applyAlignment="1">
      <alignment vertical="center"/>
    </xf>
    <xf numFmtId="170" fontId="17" fillId="2" borderId="5" xfId="3" applyNumberFormat="1" applyFont="1" applyFill="1" applyBorder="1" applyAlignment="1">
      <alignment vertical="center"/>
    </xf>
    <xf numFmtId="170" fontId="17" fillId="2" borderId="4" xfId="3" applyNumberFormat="1" applyFont="1" applyFill="1" applyBorder="1" applyAlignment="1">
      <alignment vertical="center"/>
    </xf>
    <xf numFmtId="170" fontId="17" fillId="2" borderId="6" xfId="3" applyNumberFormat="1" applyFont="1" applyFill="1" applyBorder="1" applyAlignment="1">
      <alignment vertical="center"/>
    </xf>
    <xf numFmtId="171" fontId="17" fillId="2" borderId="5" xfId="3" applyNumberFormat="1" applyFont="1" applyFill="1" applyBorder="1" applyAlignment="1">
      <alignment vertical="center"/>
    </xf>
    <xf numFmtId="171" fontId="17" fillId="2" borderId="4" xfId="3" applyNumberFormat="1" applyFont="1" applyFill="1" applyBorder="1" applyAlignment="1">
      <alignment vertical="center"/>
    </xf>
    <xf numFmtId="171" fontId="17" fillId="2" borderId="0" xfId="3" applyNumberFormat="1" applyFont="1" applyFill="1" applyAlignment="1">
      <alignment vertical="center"/>
    </xf>
    <xf numFmtId="171" fontId="17" fillId="2" borderId="6" xfId="3" applyNumberFormat="1" applyFont="1" applyFill="1" applyBorder="1" applyAlignment="1">
      <alignment vertical="center"/>
    </xf>
    <xf numFmtId="171" fontId="17" fillId="2" borderId="2" xfId="3" applyNumberFormat="1" applyFont="1" applyFill="1" applyBorder="1" applyAlignment="1">
      <alignment vertical="center"/>
    </xf>
    <xf numFmtId="168" fontId="17" fillId="2" borderId="5" xfId="3" applyNumberFormat="1" applyFont="1" applyFill="1" applyBorder="1" applyAlignment="1">
      <alignment vertical="center"/>
    </xf>
    <xf numFmtId="168" fontId="17" fillId="2" borderId="4" xfId="3" applyNumberFormat="1" applyFont="1" applyFill="1" applyBorder="1" applyAlignment="1">
      <alignment vertical="center"/>
    </xf>
    <xf numFmtId="168" fontId="17" fillId="2" borderId="0" xfId="3" applyNumberFormat="1" applyFont="1" applyFill="1" applyAlignment="1">
      <alignment vertical="center"/>
    </xf>
    <xf numFmtId="168" fontId="17" fillId="2" borderId="6" xfId="3" applyNumberFormat="1" applyFont="1" applyFill="1" applyBorder="1" applyAlignment="1">
      <alignment vertical="center"/>
    </xf>
    <xf numFmtId="168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3"/>
    </xf>
    <xf numFmtId="169" fontId="17" fillId="2" borderId="5" xfId="3" applyNumberFormat="1" applyFont="1" applyFill="1" applyBorder="1" applyAlignment="1">
      <alignment vertical="center"/>
    </xf>
    <xf numFmtId="169" fontId="17" fillId="2" borderId="4" xfId="3" applyNumberFormat="1" applyFont="1" applyFill="1" applyBorder="1" applyAlignment="1">
      <alignment vertical="center"/>
    </xf>
    <xf numFmtId="169" fontId="17" fillId="2" borderId="6" xfId="3" applyNumberFormat="1" applyFont="1" applyFill="1" applyBorder="1" applyAlignment="1">
      <alignment vertical="center"/>
    </xf>
    <xf numFmtId="3" fontId="20" fillId="3" borderId="1" xfId="3" applyNumberFormat="1" applyFont="1" applyFill="1" applyBorder="1" applyAlignment="1">
      <alignment vertical="center"/>
    </xf>
    <xf numFmtId="0" fontId="24" fillId="4" borderId="1" xfId="3" applyFont="1" applyFill="1" applyBorder="1" applyAlignment="1">
      <alignment horizontal="left" vertical="center" indent="1"/>
    </xf>
    <xf numFmtId="169" fontId="20" fillId="4" borderId="0" xfId="3" applyNumberFormat="1" applyFont="1" applyFill="1" applyBorder="1" applyAlignment="1">
      <alignment vertical="center"/>
    </xf>
    <xf numFmtId="171" fontId="20" fillId="3" borderId="1" xfId="3" applyNumberFormat="1" applyFont="1" applyFill="1" applyBorder="1" applyAlignment="1">
      <alignment vertical="center"/>
    </xf>
    <xf numFmtId="0" fontId="17" fillId="2" borderId="3" xfId="3" applyFont="1" applyFill="1" applyBorder="1" applyAlignment="1">
      <alignment horizontal="left" vertical="center" indent="2"/>
    </xf>
    <xf numFmtId="166" fontId="17" fillId="2" borderId="3" xfId="3" applyNumberFormat="1" applyFont="1" applyFill="1" applyBorder="1" applyAlignment="1">
      <alignment vertical="center"/>
    </xf>
    <xf numFmtId="0" fontId="17" fillId="2" borderId="2" xfId="3" applyFont="1" applyFill="1" applyBorder="1" applyAlignment="1">
      <alignment horizontal="left" vertical="center" indent="3"/>
    </xf>
    <xf numFmtId="168" fontId="17" fillId="2" borderId="3" xfId="3" applyNumberFormat="1" applyFont="1" applyFill="1" applyBorder="1" applyAlignment="1">
      <alignment vertical="center"/>
    </xf>
    <xf numFmtId="168" fontId="17" fillId="2" borderId="0" xfId="3" applyNumberFormat="1" applyFont="1" applyFill="1" applyBorder="1" applyAlignment="1">
      <alignment vertical="center"/>
    </xf>
    <xf numFmtId="169" fontId="17" fillId="2" borderId="3" xfId="3" applyNumberFormat="1" applyFont="1" applyFill="1" applyBorder="1" applyAlignment="1">
      <alignment vertical="center"/>
    </xf>
    <xf numFmtId="165" fontId="20" fillId="3" borderId="1" xfId="3" applyNumberFormat="1" applyFont="1" applyFill="1" applyBorder="1" applyAlignment="1">
      <alignment vertical="center"/>
    </xf>
    <xf numFmtId="0" fontId="21" fillId="5" borderId="1" xfId="3" applyNumberFormat="1" applyFont="1" applyFill="1" applyBorder="1" applyAlignment="1">
      <alignment horizontal="left" vertical="center"/>
    </xf>
    <xf numFmtId="0" fontId="22" fillId="5" borderId="1" xfId="3" applyNumberFormat="1" applyFont="1" applyFill="1" applyBorder="1" applyAlignment="1">
      <alignment vertical="center"/>
    </xf>
    <xf numFmtId="169" fontId="20" fillId="4" borderId="1" xfId="3" applyNumberFormat="1" applyFont="1" applyFill="1" applyBorder="1" applyAlignment="1">
      <alignment vertical="center"/>
    </xf>
    <xf numFmtId="170" fontId="20" fillId="4" borderId="1" xfId="3" applyNumberFormat="1" applyFont="1" applyFill="1" applyBorder="1" applyAlignment="1">
      <alignment vertical="center"/>
    </xf>
    <xf numFmtId="1" fontId="19" fillId="7" borderId="1" xfId="3" applyNumberFormat="1" applyFont="1" applyFill="1" applyBorder="1" applyAlignment="1">
      <alignment horizontal="center" vertical="center"/>
    </xf>
    <xf numFmtId="0" fontId="21" fillId="6" borderId="1" xfId="3" applyFont="1" applyFill="1" applyBorder="1" applyAlignment="1">
      <alignment horizontal="left" vertical="center"/>
    </xf>
    <xf numFmtId="1" fontId="19" fillId="7" borderId="1" xfId="3" applyNumberFormat="1" applyFont="1" applyFill="1" applyBorder="1" applyAlignment="1">
      <alignment horizontal="right" vertical="center"/>
    </xf>
    <xf numFmtId="167" fontId="17" fillId="2" borderId="3" xfId="3" applyNumberFormat="1" applyFont="1" applyFill="1" applyBorder="1" applyAlignment="1">
      <alignment vertical="center"/>
    </xf>
    <xf numFmtId="167" fontId="17" fillId="2" borderId="4" xfId="3" applyNumberFormat="1" applyFont="1" applyFill="1" applyBorder="1" applyAlignment="1">
      <alignment vertical="center"/>
    </xf>
    <xf numFmtId="170" fontId="17" fillId="2" borderId="3" xfId="3" applyNumberFormat="1" applyFont="1" applyFill="1" applyBorder="1" applyAlignment="1">
      <alignment vertical="center"/>
    </xf>
    <xf numFmtId="172" fontId="17" fillId="2" borderId="3" xfId="1" applyNumberFormat="1" applyFont="1" applyFill="1" applyBorder="1" applyAlignment="1">
      <alignment horizontal="left" vertical="center" indent="2"/>
    </xf>
    <xf numFmtId="168" fontId="17" fillId="2" borderId="3" xfId="1" applyNumberFormat="1" applyFont="1" applyFill="1" applyBorder="1" applyAlignment="1">
      <alignment vertical="center"/>
    </xf>
    <xf numFmtId="172" fontId="17" fillId="2" borderId="4" xfId="1" applyNumberFormat="1" applyFont="1" applyFill="1" applyBorder="1" applyAlignment="1">
      <alignment horizontal="left" vertical="center" indent="2"/>
    </xf>
    <xf numFmtId="168" fontId="17" fillId="2" borderId="4" xfId="1" applyNumberFormat="1" applyFont="1" applyFill="1" applyBorder="1" applyAlignment="1">
      <alignment vertical="center"/>
    </xf>
    <xf numFmtId="172" fontId="17" fillId="2" borderId="0" xfId="1" applyNumberFormat="1" applyFont="1" applyFill="1" applyAlignment="1">
      <alignment horizontal="left" vertical="center" indent="3"/>
    </xf>
    <xf numFmtId="172" fontId="17" fillId="2" borderId="2" xfId="1" applyNumberFormat="1" applyFont="1" applyFill="1" applyBorder="1" applyAlignment="1">
      <alignment horizontal="left" vertical="center" indent="3"/>
    </xf>
    <xf numFmtId="0" fontId="18" fillId="2" borderId="7" xfId="3" applyFont="1" applyFill="1" applyBorder="1" applyAlignment="1">
      <alignment horizontal="left" vertical="center" indent="3"/>
    </xf>
    <xf numFmtId="0" fontId="18" fillId="2" borderId="0" xfId="3" applyFont="1" applyFill="1" applyAlignment="1">
      <alignment horizontal="left" vertical="center" indent="4"/>
    </xf>
    <xf numFmtId="0" fontId="18" fillId="2" borderId="2" xfId="3" applyFont="1" applyFill="1" applyBorder="1" applyAlignment="1">
      <alignment horizontal="left" vertical="center" indent="4"/>
    </xf>
    <xf numFmtId="172" fontId="17" fillId="2" borderId="0" xfId="1" applyNumberFormat="1" applyFont="1" applyFill="1" applyBorder="1" applyAlignment="1">
      <alignment horizontal="left" vertical="center" indent="3"/>
    </xf>
    <xf numFmtId="166" fontId="17" fillId="2" borderId="8" xfId="3" applyNumberFormat="1" applyFont="1" applyFill="1" applyBorder="1" applyAlignment="1">
      <alignment vertical="center"/>
    </xf>
    <xf numFmtId="0" fontId="17" fillId="2" borderId="8" xfId="3" applyFont="1" applyFill="1" applyBorder="1" applyAlignment="1">
      <alignment horizontal="left" vertical="center" indent="3"/>
    </xf>
    <xf numFmtId="170" fontId="17" fillId="2" borderId="8" xfId="3" applyNumberFormat="1" applyFont="1" applyFill="1" applyBorder="1" applyAlignment="1">
      <alignment vertical="center"/>
    </xf>
    <xf numFmtId="0" fontId="17" fillId="2" borderId="7" xfId="3" applyFont="1" applyFill="1" applyBorder="1" applyAlignment="1">
      <alignment horizontal="left" vertical="center" indent="3"/>
    </xf>
    <xf numFmtId="170" fontId="17" fillId="2" borderId="7" xfId="3" applyNumberFormat="1" applyFont="1" applyFill="1" applyBorder="1" applyAlignment="1">
      <alignment vertical="center"/>
    </xf>
    <xf numFmtId="1" fontId="19" fillId="6" borderId="1" xfId="3" applyNumberFormat="1" applyFont="1" applyFill="1" applyBorder="1" applyAlignment="1">
      <alignment vertical="center"/>
    </xf>
    <xf numFmtId="166" fontId="17" fillId="2" borderId="7" xfId="3" applyNumberFormat="1" applyFont="1" applyFill="1" applyBorder="1" applyAlignment="1">
      <alignment vertical="center"/>
    </xf>
    <xf numFmtId="1" fontId="16" fillId="6" borderId="1" xfId="3" applyNumberFormat="1" applyFont="1" applyFill="1" applyBorder="1" applyAlignment="1">
      <alignment horizontal="center" vertical="center" shrinkToFit="1"/>
    </xf>
    <xf numFmtId="0" fontId="17" fillId="2" borderId="0" xfId="3" applyNumberFormat="1" applyFont="1" applyFill="1" applyAlignment="1">
      <alignment vertical="center" shrinkToFit="1"/>
    </xf>
    <xf numFmtId="0" fontId="20" fillId="3" borderId="1" xfId="3" applyNumberFormat="1" applyFont="1" applyFill="1" applyBorder="1" applyAlignment="1">
      <alignment vertical="center" shrinkToFit="1"/>
    </xf>
    <xf numFmtId="0" fontId="12" fillId="4" borderId="1" xfId="3" applyNumberFormat="1" applyFont="1" applyFill="1" applyBorder="1" applyAlignment="1">
      <alignment vertical="center" shrinkToFit="1"/>
    </xf>
    <xf numFmtId="0" fontId="17" fillId="2" borderId="3" xfId="3" applyNumberFormat="1" applyFont="1" applyFill="1" applyBorder="1" applyAlignment="1">
      <alignment vertical="center" shrinkToFit="1"/>
    </xf>
    <xf numFmtId="0" fontId="17" fillId="2" borderId="0" xfId="3" applyNumberFormat="1" applyFont="1" applyFill="1" applyBorder="1" applyAlignment="1">
      <alignment vertical="center" shrinkToFit="1"/>
    </xf>
    <xf numFmtId="0" fontId="17" fillId="2" borderId="4" xfId="3" applyNumberFormat="1" applyFont="1" applyFill="1" applyBorder="1" applyAlignment="1">
      <alignment vertical="center" shrinkToFit="1"/>
    </xf>
    <xf numFmtId="0" fontId="17" fillId="2" borderId="7" xfId="3" applyNumberFormat="1" applyFont="1" applyFill="1" applyBorder="1" applyAlignment="1">
      <alignment vertical="center" shrinkToFit="1"/>
    </xf>
    <xf numFmtId="0" fontId="17" fillId="2" borderId="2" xfId="3" applyNumberFormat="1" applyFont="1" applyFill="1" applyBorder="1" applyAlignment="1">
      <alignment vertical="center" shrinkToFit="1"/>
    </xf>
    <xf numFmtId="0" fontId="22" fillId="5" borderId="1" xfId="3" applyNumberFormat="1" applyFont="1" applyFill="1" applyBorder="1" applyAlignment="1">
      <alignment vertical="center" shrinkToFit="1"/>
    </xf>
    <xf numFmtId="0" fontId="3" fillId="0" borderId="0" xfId="3" applyNumberFormat="1" applyFont="1" applyFill="1" applyAlignment="1">
      <alignment vertical="center" shrinkToFit="1"/>
    </xf>
    <xf numFmtId="0" fontId="17" fillId="8" borderId="0" xfId="3" applyNumberFormat="1" applyFont="1" applyFill="1" applyAlignment="1">
      <alignment vertical="center" shrinkToFit="1"/>
    </xf>
    <xf numFmtId="0" fontId="17" fillId="8" borderId="2" xfId="3" applyNumberFormat="1" applyFont="1" applyFill="1" applyBorder="1" applyAlignment="1">
      <alignment vertical="center" shrinkToFit="1"/>
    </xf>
    <xf numFmtId="0" fontId="20" fillId="3" borderId="1" xfId="1" applyNumberFormat="1" applyFont="1" applyFill="1" applyBorder="1" applyAlignment="1">
      <alignment vertical="center" shrinkToFit="1"/>
    </xf>
    <xf numFmtId="0" fontId="17" fillId="8" borderId="0" xfId="1" applyNumberFormat="1" applyFont="1" applyFill="1" applyAlignment="1">
      <alignment vertical="center" shrinkToFit="1"/>
    </xf>
    <xf numFmtId="0" fontId="17" fillId="8" borderId="2" xfId="1" applyNumberFormat="1" applyFont="1" applyFill="1" applyBorder="1" applyAlignment="1">
      <alignment vertical="center" shrinkToFit="1"/>
    </xf>
    <xf numFmtId="0" fontId="17" fillId="8" borderId="1" xfId="3" applyNumberFormat="1" applyFont="1" applyFill="1" applyBorder="1" applyAlignment="1">
      <alignment vertical="center" shrinkToFit="1"/>
    </xf>
    <xf numFmtId="0" fontId="23" fillId="8" borderId="0" xfId="3" applyNumberFormat="1" applyFont="1" applyFill="1" applyAlignment="1">
      <alignment vertical="center" shrinkToFit="1"/>
    </xf>
    <xf numFmtId="0" fontId="23" fillId="8" borderId="2" xfId="3" applyNumberFormat="1" applyFont="1" applyFill="1" applyBorder="1" applyAlignment="1">
      <alignment vertical="center" shrinkToFit="1"/>
    </xf>
    <xf numFmtId="0" fontId="12" fillId="4" borderId="3" xfId="3" applyNumberFormat="1" applyFont="1" applyFill="1" applyBorder="1" applyAlignment="1">
      <alignment vertical="center" shrinkToFit="1"/>
    </xf>
    <xf numFmtId="0" fontId="12" fillId="4" borderId="3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Alignment="1">
      <alignment vertical="center" shrinkToFit="1"/>
    </xf>
    <xf numFmtId="0" fontId="17" fillId="2" borderId="2" xfId="1" applyNumberFormat="1" applyFont="1" applyFill="1" applyBorder="1" applyAlignment="1">
      <alignment vertical="center" shrinkToFit="1"/>
    </xf>
    <xf numFmtId="0" fontId="12" fillId="4" borderId="4" xfId="3" applyNumberFormat="1" applyFont="1" applyFill="1" applyBorder="1" applyAlignment="1">
      <alignment vertical="center" shrinkToFit="1"/>
    </xf>
    <xf numFmtId="0" fontId="12" fillId="4" borderId="4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Border="1" applyAlignment="1">
      <alignment vertical="center" shrinkToFit="1"/>
    </xf>
    <xf numFmtId="0" fontId="13" fillId="2" borderId="0" xfId="3" applyNumberFormat="1" applyFont="1" applyFill="1" applyBorder="1" applyAlignment="1">
      <alignment vertical="center" shrinkToFit="1"/>
    </xf>
    <xf numFmtId="0" fontId="13" fillId="2" borderId="2" xfId="3" applyNumberFormat="1" applyFont="1" applyFill="1" applyBorder="1" applyAlignment="1">
      <alignment vertical="center" shrinkToFit="1"/>
    </xf>
    <xf numFmtId="0" fontId="13" fillId="2" borderId="0" xfId="3" applyNumberFormat="1" applyFont="1" applyFill="1" applyAlignment="1">
      <alignment vertical="center" shrinkToFit="1"/>
    </xf>
    <xf numFmtId="0" fontId="13" fillId="2" borderId="0" xfId="1" applyNumberFormat="1" applyFont="1" applyFill="1" applyAlignment="1">
      <alignment vertical="center" shrinkToFit="1"/>
    </xf>
    <xf numFmtId="0" fontId="13" fillId="2" borderId="0" xfId="1" applyNumberFormat="1" applyFont="1" applyFill="1" applyBorder="1" applyAlignment="1">
      <alignment vertical="center" shrinkToFit="1"/>
    </xf>
    <xf numFmtId="0" fontId="13" fillId="2" borderId="2" xfId="1" applyNumberFormat="1" applyFont="1" applyFill="1" applyBorder="1" applyAlignment="1">
      <alignment vertical="center" shrinkToFit="1"/>
    </xf>
    <xf numFmtId="0" fontId="11" fillId="4" borderId="0" xfId="3" applyNumberFormat="1" applyFont="1" applyFill="1" applyBorder="1" applyAlignment="1">
      <alignment vertical="center" shrinkToFit="1"/>
    </xf>
    <xf numFmtId="0" fontId="17" fillId="2" borderId="5" xfId="3" applyNumberFormat="1" applyFont="1" applyFill="1" applyBorder="1" applyAlignment="1">
      <alignment vertical="center" shrinkToFit="1"/>
    </xf>
    <xf numFmtId="0" fontId="17" fillId="2" borderId="6" xfId="3" applyNumberFormat="1" applyFont="1" applyFill="1" applyBorder="1" applyAlignment="1">
      <alignment vertical="center" shrinkToFit="1"/>
    </xf>
    <xf numFmtId="0" fontId="20" fillId="4" borderId="0" xfId="3" applyNumberFormat="1" applyFont="1" applyFill="1" applyBorder="1" applyAlignment="1">
      <alignment vertical="center" shrinkToFit="1"/>
    </xf>
    <xf numFmtId="0" fontId="20" fillId="4" borderId="1" xfId="3" applyNumberFormat="1" applyFont="1" applyFill="1" applyBorder="1" applyAlignment="1">
      <alignment vertical="center" shrinkToFit="1"/>
    </xf>
    <xf numFmtId="0" fontId="17" fillId="2" borderId="8" xfId="3" applyNumberFormat="1" applyFont="1" applyFill="1" applyBorder="1" applyAlignment="1">
      <alignment vertical="center" shrinkToFit="1"/>
    </xf>
    <xf numFmtId="0" fontId="3" fillId="2" borderId="0" xfId="3" applyNumberFormat="1" applyFont="1" applyFill="1" applyAlignment="1">
      <alignment vertical="center" shrinkToFit="1"/>
    </xf>
    <xf numFmtId="0" fontId="19" fillId="6" borderId="1" xfId="3" applyNumberFormat="1" applyFont="1" applyFill="1" applyBorder="1" applyAlignment="1">
      <alignment vertical="center" shrinkToFit="1"/>
    </xf>
    <xf numFmtId="0" fontId="19" fillId="7" borderId="1" xfId="3" applyNumberFormat="1" applyFont="1" applyFill="1" applyBorder="1" applyAlignment="1">
      <alignment horizontal="center" vertical="center" shrinkToFit="1"/>
    </xf>
    <xf numFmtId="0" fontId="12" fillId="4" borderId="1" xfId="1" applyNumberFormat="1" applyFont="1" applyFill="1" applyBorder="1" applyAlignment="1">
      <alignment vertical="center" shrinkToFit="1"/>
    </xf>
    <xf numFmtId="0" fontId="17" fillId="2" borderId="3" xfId="1" applyNumberFormat="1" applyFont="1" applyFill="1" applyBorder="1" applyAlignment="1">
      <alignment vertical="center" shrinkToFit="1"/>
    </xf>
    <xf numFmtId="0" fontId="17" fillId="2" borderId="4" xfId="1" applyNumberFormat="1" applyFont="1" applyFill="1" applyBorder="1" applyAlignment="1">
      <alignment vertical="center" shrinkToFit="1"/>
    </xf>
    <xf numFmtId="0" fontId="25" fillId="2" borderId="0" xfId="2" applyFont="1" applyFill="1"/>
    <xf numFmtId="0" fontId="17" fillId="2" borderId="0" xfId="2" applyFont="1" applyFill="1" applyAlignment="1">
      <alignment vertical="center"/>
    </xf>
    <xf numFmtId="0" fontId="17" fillId="2" borderId="0" xfId="2" applyFont="1" applyFill="1" applyAlignment="1">
      <alignment horizontal="center" vertical="center"/>
    </xf>
    <xf numFmtId="0" fontId="26" fillId="2" borderId="1" xfId="2" applyFont="1" applyFill="1" applyBorder="1" applyAlignment="1">
      <alignment vertical="center"/>
    </xf>
    <xf numFmtId="0" fontId="27" fillId="2" borderId="1" xfId="2" applyFont="1" applyFill="1" applyBorder="1" applyAlignment="1">
      <alignment vertical="center"/>
    </xf>
    <xf numFmtId="0" fontId="28" fillId="2" borderId="0" xfId="2" applyFont="1" applyFill="1" applyAlignment="1">
      <alignment vertical="center"/>
    </xf>
    <xf numFmtId="0" fontId="27" fillId="2" borderId="0" xfId="2" applyFont="1" applyFill="1" applyAlignment="1">
      <alignment vertical="center"/>
    </xf>
    <xf numFmtId="0" fontId="15" fillId="2" borderId="0" xfId="2" applyFont="1" applyFill="1" applyAlignment="1">
      <alignment vertical="center"/>
    </xf>
    <xf numFmtId="0" fontId="31" fillId="2" borderId="0" xfId="2" applyFont="1" applyFill="1" applyAlignment="1">
      <alignment vertical="center"/>
    </xf>
    <xf numFmtId="0" fontId="32" fillId="2" borderId="0" xfId="3" applyFont="1" applyFill="1" applyAlignment="1">
      <alignment vertical="center"/>
    </xf>
    <xf numFmtId="0" fontId="33" fillId="2" borderId="0" xfId="4" applyFont="1" applyFill="1" applyAlignment="1">
      <alignment horizontal="left" vertical="center" indent="1"/>
    </xf>
    <xf numFmtId="0" fontId="34" fillId="0" borderId="2" xfId="0" applyFont="1" applyBorder="1"/>
    <xf numFmtId="0" fontId="35" fillId="0" borderId="0" xfId="0" applyFont="1"/>
    <xf numFmtId="0" fontId="35" fillId="0" borderId="0" xfId="0" applyFont="1" applyAlignment="1">
      <alignment horizontal="left" indent="1"/>
    </xf>
    <xf numFmtId="0" fontId="29" fillId="2" borderId="0" xfId="2" applyFont="1" applyFill="1" applyAlignment="1">
      <alignment horizontal="left" vertical="center"/>
    </xf>
    <xf numFmtId="164" fontId="30" fillId="2" borderId="0" xfId="2" quotePrefix="1" applyNumberFormat="1" applyFont="1" applyFill="1" applyAlignment="1">
      <alignment horizontal="left" vertical="center"/>
    </xf>
    <xf numFmtId="1" fontId="19" fillId="6" borderId="1" xfId="3" applyNumberFormat="1" applyFont="1" applyFill="1" applyBorder="1" applyAlignment="1">
      <alignment horizontal="center" vertical="center"/>
    </xf>
  </cellXfs>
  <cellStyles count="5">
    <cellStyle name="Hyperlink" xfId="4" builtinId="8"/>
    <cellStyle name="Normal" xfId="0" builtinId="0"/>
    <cellStyle name="Normal 2" xfId="3"/>
    <cellStyle name="Normal 3" xfId="2"/>
    <cellStyle name="Percent" xfId="1" builtinId="5"/>
  </cellStyles>
  <dxfs count="0"/>
  <tableStyles count="0" defaultTableStyle="TableStyleMedium2" defaultPivotStyle="PivotStyleLight16"/>
  <colors>
    <mruColors>
      <color rgb="FF0564C3"/>
      <color rgb="FF050505"/>
      <color rgb="FFD7D7D7"/>
      <color rgb="FF00143C"/>
      <color rgb="FF001E5F"/>
      <color rgb="FF232D37"/>
      <color rgb="FFDCEBF5"/>
      <color rgb="FFD7E1F0"/>
      <color rgb="FFF0F0F0"/>
      <color rgb="FFBEBE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15"/>
    <col min="5" max="21" width="9.7109375" style="215" customWidth="1"/>
    <col min="22" max="22" width="9.7109375" style="216" customWidth="1"/>
    <col min="23" max="23" width="107.42578125" style="215" customWidth="1"/>
    <col min="24" max="24" width="44.7109375" style="215" customWidth="1"/>
    <col min="25" max="26" width="9.7109375" style="215" customWidth="1"/>
    <col min="27" max="16384" width="9.140625" style="215"/>
  </cols>
  <sheetData>
    <row r="2" spans="1:23" ht="21" x14ac:dyDescent="0.35">
      <c r="A2" s="214"/>
    </row>
    <row r="6" spans="1:23" ht="31.5" x14ac:dyDescent="0.25">
      <c r="A6" s="217"/>
      <c r="B6" s="218" t="s">
        <v>153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V6" s="215"/>
    </row>
    <row r="7" spans="1:23" ht="15" customHeight="1" x14ac:dyDescent="0.25">
      <c r="V7" s="215"/>
    </row>
    <row r="8" spans="1:23" ht="15" customHeight="1" x14ac:dyDescent="0.25">
      <c r="V8" s="215"/>
    </row>
    <row r="9" spans="1:23" ht="15" customHeight="1" x14ac:dyDescent="0.25">
      <c r="V9" s="215"/>
    </row>
    <row r="10" spans="1:23" ht="28.5" x14ac:dyDescent="0.25">
      <c r="C10" s="219" t="s">
        <v>187</v>
      </c>
      <c r="V10" s="215"/>
    </row>
    <row r="11" spans="1:23" ht="15" customHeight="1" x14ac:dyDescent="0.25">
      <c r="V11" s="215"/>
    </row>
    <row r="15" spans="1:23" ht="30" customHeight="1" x14ac:dyDescent="0.25">
      <c r="C15" s="219" t="s">
        <v>143</v>
      </c>
    </row>
    <row r="16" spans="1:23" ht="15" customHeight="1" x14ac:dyDescent="0.25">
      <c r="W16" s="220"/>
    </row>
    <row r="17" spans="12:32" ht="15" customHeight="1" x14ac:dyDescent="0.25">
      <c r="W17" s="220"/>
    </row>
    <row r="28" spans="12:32" ht="21" x14ac:dyDescent="0.25">
      <c r="L28" s="228" t="s">
        <v>0</v>
      </c>
      <c r="M28" s="228"/>
      <c r="N28" s="228"/>
      <c r="O28" s="228"/>
    </row>
    <row r="29" spans="12:32" ht="15" customHeight="1" x14ac:dyDescent="0.25">
      <c r="V29" s="215"/>
    </row>
    <row r="30" spans="12:32" ht="18.75" x14ac:dyDescent="0.25">
      <c r="L30" s="229">
        <v>45432.781898148147</v>
      </c>
      <c r="M30" s="229"/>
      <c r="N30" s="229"/>
      <c r="O30" s="229"/>
      <c r="V30" s="215"/>
    </row>
    <row r="31" spans="12:32" ht="15" customHeight="1" x14ac:dyDescent="0.25">
      <c r="L31" s="221" t="s">
        <v>154</v>
      </c>
      <c r="V31" s="215"/>
      <c r="AA31" s="222"/>
      <c r="AB31" s="222"/>
      <c r="AC31" s="222"/>
      <c r="AD31" s="222"/>
      <c r="AE31" s="222"/>
      <c r="AF31" s="222"/>
    </row>
    <row r="32" spans="12:32" ht="15" customHeight="1" x14ac:dyDescent="0.25">
      <c r="V32" s="215"/>
    </row>
    <row r="33" spans="2:32" ht="15" customHeight="1" x14ac:dyDescent="0.25">
      <c r="B33" s="223" t="s">
        <v>1</v>
      </c>
      <c r="V33" s="215"/>
    </row>
    <row r="34" spans="2:32" ht="15" customHeight="1" x14ac:dyDescent="0.25">
      <c r="B34" s="223"/>
      <c r="V34" s="223"/>
    </row>
    <row r="35" spans="2:32" ht="15" customHeight="1" x14ac:dyDescent="0.25">
      <c r="B35" s="223" t="s">
        <v>2</v>
      </c>
      <c r="V35" s="223"/>
    </row>
    <row r="36" spans="2:32" ht="15" customHeight="1" x14ac:dyDescent="0.25">
      <c r="B36" s="223" t="s">
        <v>3</v>
      </c>
      <c r="E36" s="22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W36" s="222"/>
      <c r="X36" s="222"/>
      <c r="Y36" s="222"/>
      <c r="Z36" s="222"/>
    </row>
    <row r="38" spans="2:32" ht="15" customHeight="1" x14ac:dyDescent="0.25">
      <c r="B38" s="223" t="s">
        <v>4</v>
      </c>
    </row>
    <row r="39" spans="2:32" ht="15" customHeight="1" x14ac:dyDescent="0.25">
      <c r="B39" s="223" t="s">
        <v>5</v>
      </c>
    </row>
    <row r="40" spans="2:32" ht="15" customHeight="1" x14ac:dyDescent="0.25">
      <c r="B40" s="224" t="s">
        <v>6</v>
      </c>
      <c r="AA40" s="222"/>
      <c r="AB40" s="222"/>
      <c r="AC40" s="222"/>
      <c r="AD40" s="222"/>
      <c r="AE40" s="222"/>
      <c r="AF40" s="222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6"/>
  <sheetViews>
    <sheetView showGridLines="0" workbookViewId="0"/>
  </sheetViews>
  <sheetFormatPr defaultRowHeight="15" x14ac:dyDescent="0.25"/>
  <cols>
    <col min="1" max="1" width="7.7109375" customWidth="1"/>
    <col min="2" max="2" width="15.85546875" customWidth="1"/>
    <col min="3" max="3" width="2.85546875" customWidth="1"/>
    <col min="4" max="4" width="54.7109375" customWidth="1"/>
  </cols>
  <sheetData>
    <row r="1" spans="1:4" ht="18.75" x14ac:dyDescent="0.3">
      <c r="A1" s="6" t="s">
        <v>186</v>
      </c>
      <c r="B1" s="6" t="s">
        <v>187</v>
      </c>
      <c r="C1" s="2"/>
    </row>
    <row r="2" spans="1:4" ht="18.75" x14ac:dyDescent="0.3">
      <c r="A2" s="1"/>
      <c r="B2" s="2"/>
      <c r="C2" s="2"/>
    </row>
    <row r="3" spans="1:4" ht="18.75" x14ac:dyDescent="0.3">
      <c r="A3" s="1"/>
      <c r="B3" s="225" t="s">
        <v>16</v>
      </c>
      <c r="C3" s="3"/>
      <c r="D3" s="9"/>
    </row>
    <row r="4" spans="1:4" x14ac:dyDescent="0.25">
      <c r="A4" s="4"/>
      <c r="B4" s="7" t="str">
        <f ca="1">HYPERLINK("#"&amp;CELL("address",Transport!$B$2),MID(CELL("filename",Transport!$B$2),FIND("]",CELL("filename",Transport!$B$2))+1,256))</f>
        <v>Transport</v>
      </c>
      <c r="C4" s="5"/>
      <c r="D4" s="226" t="s">
        <v>7</v>
      </c>
    </row>
    <row r="5" spans="1:4" ht="5.0999999999999996" customHeight="1" x14ac:dyDescent="0.25">
      <c r="B5" s="7"/>
      <c r="C5" s="5"/>
      <c r="D5" s="2"/>
    </row>
    <row r="6" spans="1:4" x14ac:dyDescent="0.25">
      <c r="B6" s="7" t="str">
        <f ca="1">HYPERLINK("#"&amp;CELL("address",TrRoad_act!$B$2),MID(CELL("filename",TrRoad_act!$B$2),FIND("]",CELL("filename",TrRoad_act!$B$2))+1,256))</f>
        <v>TrRoad_act</v>
      </c>
      <c r="C6" s="5"/>
      <c r="D6" s="226" t="s">
        <v>8</v>
      </c>
    </row>
    <row r="7" spans="1:4" x14ac:dyDescent="0.25">
      <c r="B7" s="8" t="str">
        <f ca="1">HYPERLINK("#"&amp;CELL("address",TrRoad_ene!$B$2),MID(CELL("filename",TrRoad_ene!$B$2),FIND("]",CELL("filename",TrRoad_ene!$B$2))+1,256))</f>
        <v>TrRoad_ene</v>
      </c>
      <c r="C7" s="5"/>
      <c r="D7" s="227" t="s">
        <v>9</v>
      </c>
    </row>
    <row r="8" spans="1:4" x14ac:dyDescent="0.25">
      <c r="B8" s="8" t="str">
        <f ca="1">HYPERLINK("#"&amp;CELL("address",TrRoad_emi!$B$2),MID(CELL("filename",TrRoad_emi!$B$2),FIND("]",CELL("filename",TrRoad_emi!$B$2))+1,256))</f>
        <v>TrRoad_emi</v>
      </c>
      <c r="C8" s="5"/>
      <c r="D8" s="227" t="s">
        <v>10</v>
      </c>
    </row>
    <row r="9" spans="1:4" x14ac:dyDescent="0.25">
      <c r="B9" s="8" t="str">
        <f ca="1">HYPERLINK("#"&amp;CELL("address",TrRoad_tech!$B$2),MID(CELL("filename",TrRoad_tech!$B$2),FIND("]",CELL("filename",TrRoad_tech!$B$2))+1,256))</f>
        <v>TrRoad_tech</v>
      </c>
      <c r="C9" s="5"/>
      <c r="D9" s="227" t="s">
        <v>11</v>
      </c>
    </row>
    <row r="10" spans="1:4" ht="5.0999999999999996" customHeight="1" x14ac:dyDescent="0.25">
      <c r="B10" s="7"/>
      <c r="C10" s="5"/>
      <c r="D10" s="2"/>
    </row>
    <row r="11" spans="1:4" x14ac:dyDescent="0.25">
      <c r="B11" s="7" t="str">
        <f ca="1">HYPERLINK("#"&amp;CELL("address",TrRail_act!$B$2),MID(CELL("filename",TrRail_act!$B$2),FIND("]",CELL("filename",TrRail_act!$B$2))+1,256))</f>
        <v>TrRail_act</v>
      </c>
      <c r="C11" s="5"/>
      <c r="D11" s="226" t="s">
        <v>12</v>
      </c>
    </row>
    <row r="12" spans="1:4" x14ac:dyDescent="0.25">
      <c r="B12" s="8" t="str">
        <f ca="1">HYPERLINK("#"&amp;CELL("address",TrRail_ene!$B$2),MID(CELL("filename",TrRail_ene!$B$2),FIND("]",CELL("filename",TrRail_ene!$B$2))+1,256))</f>
        <v>TrRail_ene</v>
      </c>
      <c r="C12" s="5"/>
      <c r="D12" s="227" t="s">
        <v>9</v>
      </c>
    </row>
    <row r="13" spans="1:4" x14ac:dyDescent="0.25">
      <c r="B13" s="8" t="str">
        <f ca="1">HYPERLINK("#"&amp;CELL("address",TrRail_emi!$B$2),MID(CELL("filename",TrRail_emi!$B$2),FIND("]",CELL("filename",TrRail_emi!$B$2))+1,256))</f>
        <v>TrRail_emi</v>
      </c>
      <c r="C13" s="5"/>
      <c r="D13" s="227" t="s">
        <v>10</v>
      </c>
    </row>
    <row r="14" spans="1:4" ht="5.0999999999999996" customHeight="1" x14ac:dyDescent="0.25">
      <c r="B14" s="7"/>
      <c r="C14" s="5"/>
      <c r="D14" s="2"/>
    </row>
    <row r="15" spans="1:4" x14ac:dyDescent="0.25">
      <c r="B15" s="7" t="str">
        <f ca="1">HYPERLINK("#"&amp;CELL("address",TrAvia_act!$B$2),MID(CELL("filename",TrAvia_act!$B$2),FIND("]",CELL("filename",TrAvia_act!$B$2))+1,256))</f>
        <v>TrAvia_act</v>
      </c>
      <c r="C15" s="5"/>
      <c r="D15" s="226" t="s">
        <v>13</v>
      </c>
    </row>
    <row r="16" spans="1:4" x14ac:dyDescent="0.25">
      <c r="B16" s="8" t="str">
        <f ca="1">HYPERLINK("#"&amp;CELL("address",TrAvia_ene!$B$2),MID(CELL("filename",TrAvia_ene!$B$2),FIND("]",CELL("filename",TrAvia_ene!$B$2))+1,256))</f>
        <v>TrAvia_ene</v>
      </c>
      <c r="C16" s="5"/>
      <c r="D16" s="227" t="s">
        <v>9</v>
      </c>
    </row>
    <row r="17" spans="2:4" x14ac:dyDescent="0.25">
      <c r="B17" s="8" t="str">
        <f ca="1">HYPERLINK("#"&amp;CELL("address",TrAvia_emi!$B$2),MID(CELL("filename",TrAvia_emi!$B$2),FIND("]",CELL("filename",TrAvia_emi!$B$2))+1,256))</f>
        <v>TrAvia_emi</v>
      </c>
      <c r="C17" s="5"/>
      <c r="D17" s="227" t="s">
        <v>10</v>
      </c>
    </row>
    <row r="18" spans="2:4" x14ac:dyDescent="0.25">
      <c r="B18" s="8" t="str">
        <f ca="1">HYPERLINK("#"&amp;CELL("address",TrAvia_png!$B$2),MID(CELL("filename",TrAvia_png!$B$2),FIND("]",CELL("filename",TrAvia_png!$B$2))+1,256))</f>
        <v>TrAvia_png</v>
      </c>
      <c r="C18" s="5"/>
      <c r="D18" s="227" t="s">
        <v>14</v>
      </c>
    </row>
    <row r="19" spans="2:4" ht="5.0999999999999996" customHeight="1" x14ac:dyDescent="0.25">
      <c r="B19" s="7"/>
      <c r="C19" s="5"/>
      <c r="D19" s="2"/>
    </row>
    <row r="20" spans="2:4" x14ac:dyDescent="0.25">
      <c r="B20" s="7" t="str">
        <f ca="1">HYPERLINK("#"&amp;CELL("address",TrNavi_act!$B$2),MID(CELL("filename",TrNavi_act!$B$2),FIND("]",CELL("filename",TrNavi_act!$B$2))+1,256))</f>
        <v>TrNavi_act</v>
      </c>
      <c r="C20" s="5"/>
      <c r="D20" s="226" t="s">
        <v>15</v>
      </c>
    </row>
    <row r="21" spans="2:4" x14ac:dyDescent="0.25">
      <c r="B21" s="8" t="str">
        <f ca="1">HYPERLINK("#"&amp;CELL("address",TrNavi_ene!$B$2),MID(CELL("filename",TrNavi_ene!$B$2),FIND("]",CELL("filename",TrNavi_ene!$B$2))+1,256))</f>
        <v>TrNavi_ene</v>
      </c>
      <c r="C21" s="5"/>
      <c r="D21" s="227" t="s">
        <v>9</v>
      </c>
    </row>
    <row r="22" spans="2:4" x14ac:dyDescent="0.25">
      <c r="B22" s="8" t="str">
        <f ca="1">HYPERLINK("#"&amp;CELL("address",TrNavi_emi!$B$2),MID(CELL("filename",TrNavi_emi!$B$2),FIND("]",CELL("filename",TrNavi_emi!$B$2))+1,256))</f>
        <v>TrNavi_emi</v>
      </c>
      <c r="C22" s="5"/>
      <c r="D22" s="227" t="s">
        <v>10</v>
      </c>
    </row>
    <row r="23" spans="2:4" ht="5.0999999999999996" customHeight="1" x14ac:dyDescent="0.25">
      <c r="B23" s="7"/>
      <c r="C23" s="5"/>
      <c r="D23" s="2"/>
    </row>
    <row r="24" spans="2:4" x14ac:dyDescent="0.25">
      <c r="B24" s="7" t="str">
        <f ca="1">HYPERLINK("#"&amp;CELL("address",MBunk_act!$B$2),MID(CELL("filename",MBunk_act!$B$2),FIND("]",CELL("filename",MBunk_act!$B$2))+1,256))</f>
        <v>MBunk_act</v>
      </c>
      <c r="C24" s="5"/>
      <c r="D24" s="226" t="s">
        <v>169</v>
      </c>
    </row>
    <row r="25" spans="2:4" x14ac:dyDescent="0.25">
      <c r="B25" s="8" t="str">
        <f ca="1">HYPERLINK("#"&amp;CELL("address",MBunk_ene!$B$2),MID(CELL("filename",MBunk_ene!$B$2),FIND("]",CELL("filename",MBunk_ene!$B$2))+1,256))</f>
        <v>MBunk_ene</v>
      </c>
      <c r="C25" s="5"/>
      <c r="D25" s="227" t="s">
        <v>9</v>
      </c>
    </row>
    <row r="26" spans="2:4" x14ac:dyDescent="0.25">
      <c r="B26" s="8" t="str">
        <f ca="1">HYPERLINK("#"&amp;CELL("address",MBunk_emi!$B$2),MID(CELL("filename",MBunk_emi!$B$2),FIND("]",CELL("filename",MBunk_emi!$B$2))+1,256))</f>
        <v>MBunk_emi</v>
      </c>
      <c r="C26" s="5"/>
      <c r="D26" s="227" t="s">
        <v>10</v>
      </c>
    </row>
  </sheetData>
  <pageMargins left="0.39370078740157483" right="0.39370078740157483" top="0.39370078740157483" bottom="0.3937007874015748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A24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DA3" s="172"/>
    </row>
    <row r="4" spans="1:105" ht="11.45" customHeight="1" x14ac:dyDescent="0.25">
      <c r="A4" s="27" t="s">
        <v>18</v>
      </c>
      <c r="B4" s="28">
        <f t="shared" ref="B4:Q4" si="0">B5+B9+B13</f>
        <v>102663.91933098534</v>
      </c>
      <c r="C4" s="28">
        <f t="shared" si="0"/>
        <v>103267.16952825792</v>
      </c>
      <c r="D4" s="28">
        <f t="shared" si="0"/>
        <v>104986.82207276773</v>
      </c>
      <c r="E4" s="28">
        <f t="shared" si="0"/>
        <v>106882.13800010407</v>
      </c>
      <c r="F4" s="28">
        <f t="shared" si="0"/>
        <v>109852.85341763275</v>
      </c>
      <c r="G4" s="28">
        <f t="shared" si="0"/>
        <v>112166.20977670433</v>
      </c>
      <c r="H4" s="28">
        <f t="shared" si="0"/>
        <v>113911.17043574312</v>
      </c>
      <c r="I4" s="28">
        <f t="shared" si="0"/>
        <v>115857.2959936446</v>
      </c>
      <c r="J4" s="28">
        <f t="shared" si="0"/>
        <v>114842.81610230036</v>
      </c>
      <c r="K4" s="28">
        <f t="shared" si="0"/>
        <v>111272.03499312133</v>
      </c>
      <c r="L4" s="28">
        <f t="shared" si="0"/>
        <v>113794.41412707482</v>
      </c>
      <c r="M4" s="28">
        <f t="shared" si="0"/>
        <v>116343.34791384471</v>
      </c>
      <c r="N4" s="28">
        <f t="shared" si="0"/>
        <v>116969.56012882001</v>
      </c>
      <c r="O4" s="28">
        <f t="shared" si="0"/>
        <v>118365.42984141811</v>
      </c>
      <c r="P4" s="28">
        <f t="shared" si="0"/>
        <v>121603.93092539905</v>
      </c>
      <c r="Q4" s="28">
        <f t="shared" si="0"/>
        <v>124286.69734170477</v>
      </c>
      <c r="R4" s="28">
        <f t="shared" ref="R4:V4" si="1">R5+R9+R13</f>
        <v>127013.98730362736</v>
      </c>
      <c r="S4" s="28">
        <f t="shared" si="1"/>
        <v>129246.5990270904</v>
      </c>
      <c r="T4" s="28">
        <f t="shared" si="1"/>
        <v>131751.56834427523</v>
      </c>
      <c r="U4" s="28">
        <f t="shared" si="1"/>
        <v>134704.10954741144</v>
      </c>
      <c r="V4" s="28">
        <f t="shared" si="1"/>
        <v>95143.913530663966</v>
      </c>
      <c r="W4" s="28">
        <f t="shared" ref="W4" si="2">W5+W9+W13</f>
        <v>101990.71153668672</v>
      </c>
      <c r="DA4" s="173" t="s">
        <v>370</v>
      </c>
    </row>
    <row r="5" spans="1:105" ht="11.45" customHeight="1" x14ac:dyDescent="0.25">
      <c r="A5" s="136" t="s">
        <v>19</v>
      </c>
      <c r="B5" s="137">
        <f t="shared" ref="B5:Q5" si="3">B6+B7+B8</f>
        <v>74740.366817809467</v>
      </c>
      <c r="C5" s="137">
        <f t="shared" si="3"/>
        <v>75360.917607750205</v>
      </c>
      <c r="D5" s="137">
        <f t="shared" si="3"/>
        <v>76550.465396023414</v>
      </c>
      <c r="E5" s="137">
        <f t="shared" si="3"/>
        <v>78178.070138572453</v>
      </c>
      <c r="F5" s="137">
        <f t="shared" si="3"/>
        <v>79092.755479291736</v>
      </c>
      <c r="G5" s="137">
        <f t="shared" si="3"/>
        <v>78979.27452029007</v>
      </c>
      <c r="H5" s="137">
        <f t="shared" si="3"/>
        <v>80048.64806084134</v>
      </c>
      <c r="I5" s="137">
        <f t="shared" si="3"/>
        <v>81156.774610968132</v>
      </c>
      <c r="J5" s="137">
        <f t="shared" si="3"/>
        <v>78920.971081727941</v>
      </c>
      <c r="K5" s="137">
        <f t="shared" si="3"/>
        <v>77405.231397247378</v>
      </c>
      <c r="L5" s="137">
        <f t="shared" si="3"/>
        <v>78476.131078531005</v>
      </c>
      <c r="M5" s="137">
        <f t="shared" si="3"/>
        <v>79711.647812238036</v>
      </c>
      <c r="N5" s="137">
        <f t="shared" si="3"/>
        <v>79372.08147834157</v>
      </c>
      <c r="O5" s="137">
        <f t="shared" si="3"/>
        <v>80090.711459422484</v>
      </c>
      <c r="P5" s="137">
        <f t="shared" si="3"/>
        <v>81965.454910901171</v>
      </c>
      <c r="Q5" s="137">
        <f t="shared" si="3"/>
        <v>83807.128111679383</v>
      </c>
      <c r="R5" s="137">
        <f t="shared" ref="R5:V5" si="4">R6+R7+R8</f>
        <v>86092.322931950708</v>
      </c>
      <c r="S5" s="137">
        <f t="shared" si="4"/>
        <v>87474.80843803515</v>
      </c>
      <c r="T5" s="137">
        <f t="shared" si="4"/>
        <v>85729.994918673401</v>
      </c>
      <c r="U5" s="137">
        <f t="shared" si="4"/>
        <v>83665.572267489755</v>
      </c>
      <c r="V5" s="137">
        <f t="shared" si="4"/>
        <v>74157.425635132473</v>
      </c>
      <c r="W5" s="137">
        <f t="shared" ref="W5" si="5">W6+W7+W8</f>
        <v>78438.782833972247</v>
      </c>
      <c r="DA5" s="174" t="s">
        <v>371</v>
      </c>
    </row>
    <row r="6" spans="1:105" ht="11.45" customHeight="1" x14ac:dyDescent="0.25">
      <c r="A6" s="128" t="str">
        <f>TrRoad_act!$A$5</f>
        <v>Powered two-wheelers</v>
      </c>
      <c r="B6" s="102">
        <f>TrRoad_act!B$5</f>
        <v>1034.717257918001</v>
      </c>
      <c r="C6" s="102">
        <f>TrRoad_act!C$5</f>
        <v>1067.0930613208911</v>
      </c>
      <c r="D6" s="102">
        <f>TrRoad_act!D$5</f>
        <v>1103.2237232936818</v>
      </c>
      <c r="E6" s="102">
        <f>TrRoad_act!E$5</f>
        <v>1136.0906668131477</v>
      </c>
      <c r="F6" s="102">
        <f>TrRoad_act!F$5</f>
        <v>1199.7300665401103</v>
      </c>
      <c r="G6" s="102">
        <f>TrRoad_act!G$5</f>
        <v>1234.196669530048</v>
      </c>
      <c r="H6" s="102">
        <f>TrRoad_act!H$5</f>
        <v>1275.1842655610967</v>
      </c>
      <c r="I6" s="102">
        <f>TrRoad_act!I$5</f>
        <v>1329.1344351714438</v>
      </c>
      <c r="J6" s="102">
        <f>TrRoad_act!J$5</f>
        <v>1385.837652437112</v>
      </c>
      <c r="K6" s="102">
        <f>TrRoad_act!K$5</f>
        <v>1439.4770900339017</v>
      </c>
      <c r="L6" s="102">
        <f>TrRoad_act!L$5</f>
        <v>1484.8025179237477</v>
      </c>
      <c r="M6" s="102">
        <f>TrRoad_act!M$5</f>
        <v>1533.2905876136563</v>
      </c>
      <c r="N6" s="102">
        <f>TrRoad_act!N$5</f>
        <v>1599.3578230168282</v>
      </c>
      <c r="O6" s="102">
        <f>TrRoad_act!O$5</f>
        <v>1632.0486165722873</v>
      </c>
      <c r="P6" s="102">
        <f>TrRoad_act!P$5</f>
        <v>1681.1096566601143</v>
      </c>
      <c r="Q6" s="102">
        <f>TrRoad_act!Q$5</f>
        <v>1744.0617862191314</v>
      </c>
      <c r="R6" s="102">
        <f>TrRoad_act!R$5</f>
        <v>1796.3556846979068</v>
      </c>
      <c r="S6" s="102">
        <f>TrRoad_act!S$5</f>
        <v>1695.1048812556933</v>
      </c>
      <c r="T6" s="102">
        <f>TrRoad_act!T$5</f>
        <v>1615.1493084088756</v>
      </c>
      <c r="U6" s="102">
        <f>TrRoad_act!U$5</f>
        <v>1714.5646301567926</v>
      </c>
      <c r="V6" s="102">
        <f>TrRoad_act!V$5</f>
        <v>1537.2826879978124</v>
      </c>
      <c r="W6" s="102">
        <f>TrRoad_act!W$5</f>
        <v>1600.1565855143729</v>
      </c>
      <c r="DA6" s="175" t="s">
        <v>372</v>
      </c>
    </row>
    <row r="7" spans="1:105" ht="11.45" customHeight="1" x14ac:dyDescent="0.25">
      <c r="A7" s="128" t="str">
        <f>TrRoad_act!$A$6</f>
        <v>Passenger cars</v>
      </c>
      <c r="B7" s="102">
        <f>TrRoad_act!B$6</f>
        <v>64732.448648756901</v>
      </c>
      <c r="C7" s="102">
        <f>TrRoad_act!C$6</f>
        <v>65337.110990663503</v>
      </c>
      <c r="D7" s="102">
        <f>TrRoad_act!D$6</f>
        <v>66483.0171568722</v>
      </c>
      <c r="E7" s="102">
        <f>TrRoad_act!E$6</f>
        <v>67879.798464617008</v>
      </c>
      <c r="F7" s="102">
        <f>TrRoad_act!F$6</f>
        <v>68667.374508500594</v>
      </c>
      <c r="G7" s="102">
        <f>TrRoad_act!G$6</f>
        <v>68534.046805980906</v>
      </c>
      <c r="H7" s="102">
        <f>TrRoad_act!H$6</f>
        <v>69357.032462112591</v>
      </c>
      <c r="I7" s="102">
        <f>TrRoad_act!I$6</f>
        <v>70228.681711569196</v>
      </c>
      <c r="J7" s="102">
        <f>TrRoad_act!J$6</f>
        <v>68199.846493920893</v>
      </c>
      <c r="K7" s="102">
        <f>TrRoad_act!K$6</f>
        <v>67628.13297422872</v>
      </c>
      <c r="L7" s="102">
        <f>TrRoad_act!L$6</f>
        <v>68370.225570310795</v>
      </c>
      <c r="M7" s="102">
        <f>TrRoad_act!M$6</f>
        <v>69285.883597665699</v>
      </c>
      <c r="N7" s="102">
        <f>TrRoad_act!N$6</f>
        <v>69008.829196809995</v>
      </c>
      <c r="O7" s="102">
        <f>TrRoad_act!O$6</f>
        <v>69656.710785624295</v>
      </c>
      <c r="P7" s="102">
        <f>TrRoad_act!P$6</f>
        <v>71282.875065817498</v>
      </c>
      <c r="Q7" s="102">
        <f>TrRoad_act!Q$6</f>
        <v>72914.892335019802</v>
      </c>
      <c r="R7" s="102">
        <f>TrRoad_act!R$6</f>
        <v>74866.741177802905</v>
      </c>
      <c r="S7" s="102">
        <f>TrRoad_act!S$6</f>
        <v>76123.435218109604</v>
      </c>
      <c r="T7" s="102">
        <f>TrRoad_act!T$6</f>
        <v>74832</v>
      </c>
      <c r="U7" s="102">
        <f>TrRoad_act!U$6</f>
        <v>72757.999999999985</v>
      </c>
      <c r="V7" s="102">
        <f>TrRoad_act!V$6</f>
        <v>65176</v>
      </c>
      <c r="W7" s="102">
        <f>TrRoad_act!W$6</f>
        <v>69162.000000000015</v>
      </c>
      <c r="DA7" s="175" t="s">
        <v>373</v>
      </c>
    </row>
    <row r="8" spans="1:105" ht="11.45" customHeight="1" x14ac:dyDescent="0.25">
      <c r="A8" s="128" t="str">
        <f>TrRoad_act!$A$13</f>
        <v>Motor coaches, buses and trolley buses</v>
      </c>
      <c r="B8" s="102">
        <f>TrRoad_act!B$13</f>
        <v>8973.2009111345651</v>
      </c>
      <c r="C8" s="102">
        <f>TrRoad_act!C$13</f>
        <v>8956.7135557658148</v>
      </c>
      <c r="D8" s="102">
        <f>TrRoad_act!D$13</f>
        <v>8964.2245158575442</v>
      </c>
      <c r="E8" s="102">
        <f>TrRoad_act!E$13</f>
        <v>9162.1810071422933</v>
      </c>
      <c r="F8" s="102">
        <f>TrRoad_act!F$13</f>
        <v>9225.6509042510315</v>
      </c>
      <c r="G8" s="102">
        <f>TrRoad_act!G$13</f>
        <v>9211.0310447791126</v>
      </c>
      <c r="H8" s="102">
        <f>TrRoad_act!H$13</f>
        <v>9416.4313331676531</v>
      </c>
      <c r="I8" s="102">
        <f>TrRoad_act!I$13</f>
        <v>9598.9584642274895</v>
      </c>
      <c r="J8" s="102">
        <f>TrRoad_act!J$13</f>
        <v>9335.2869353699352</v>
      </c>
      <c r="K8" s="102">
        <f>TrRoad_act!K$13</f>
        <v>8337.6213329847451</v>
      </c>
      <c r="L8" s="102">
        <f>TrRoad_act!L$13</f>
        <v>8621.1029902964692</v>
      </c>
      <c r="M8" s="102">
        <f>TrRoad_act!M$13</f>
        <v>8892.4736269586901</v>
      </c>
      <c r="N8" s="102">
        <f>TrRoad_act!N$13</f>
        <v>8763.8944585147401</v>
      </c>
      <c r="O8" s="102">
        <f>TrRoad_act!O$13</f>
        <v>8801.9520572259116</v>
      </c>
      <c r="P8" s="102">
        <f>TrRoad_act!P$13</f>
        <v>9001.4701884235528</v>
      </c>
      <c r="Q8" s="102">
        <f>TrRoad_act!Q$13</f>
        <v>9148.1739904404476</v>
      </c>
      <c r="R8" s="102">
        <f>TrRoad_act!R$13</f>
        <v>9429.2260694499018</v>
      </c>
      <c r="S8" s="102">
        <f>TrRoad_act!S$13</f>
        <v>9656.2683386698427</v>
      </c>
      <c r="T8" s="102">
        <f>TrRoad_act!T$13</f>
        <v>9282.8456102645287</v>
      </c>
      <c r="U8" s="102">
        <f>TrRoad_act!U$13</f>
        <v>9193.0076373329812</v>
      </c>
      <c r="V8" s="102">
        <f>TrRoad_act!V$13</f>
        <v>7444.1429471346637</v>
      </c>
      <c r="W8" s="102">
        <f>TrRoad_act!W$13</f>
        <v>7676.6262484578683</v>
      </c>
      <c r="DA8" s="175" t="s">
        <v>374</v>
      </c>
    </row>
    <row r="9" spans="1:105" ht="11.45" customHeight="1" x14ac:dyDescent="0.25">
      <c r="A9" s="109" t="s">
        <v>22</v>
      </c>
      <c r="B9" s="110">
        <f t="shared" ref="B9:Q9" si="6">B10+B11+B12</f>
        <v>14700.109038074523</v>
      </c>
      <c r="C9" s="110">
        <f t="shared" si="6"/>
        <v>14816.272078825818</v>
      </c>
      <c r="D9" s="110">
        <f t="shared" si="6"/>
        <v>14960.394390880374</v>
      </c>
      <c r="E9" s="110">
        <f t="shared" si="6"/>
        <v>14919.060873259317</v>
      </c>
      <c r="F9" s="110">
        <f t="shared" si="6"/>
        <v>14615.49764190213</v>
      </c>
      <c r="G9" s="110">
        <f t="shared" si="6"/>
        <v>15122.253047456506</v>
      </c>
      <c r="H9" s="110">
        <f t="shared" si="6"/>
        <v>15440.193801324818</v>
      </c>
      <c r="I9" s="110">
        <f t="shared" si="6"/>
        <v>15796.320178627555</v>
      </c>
      <c r="J9" s="110">
        <f t="shared" si="6"/>
        <v>17090.632454850282</v>
      </c>
      <c r="K9" s="110">
        <f t="shared" si="6"/>
        <v>17006.130905844093</v>
      </c>
      <c r="L9" s="110">
        <f t="shared" si="6"/>
        <v>17181.81580782606</v>
      </c>
      <c r="M9" s="110">
        <f t="shared" si="6"/>
        <v>17793.687437379696</v>
      </c>
      <c r="N9" s="110">
        <f t="shared" si="6"/>
        <v>18323.746071455411</v>
      </c>
      <c r="O9" s="110">
        <f t="shared" si="6"/>
        <v>19013.99198737097</v>
      </c>
      <c r="P9" s="110">
        <f t="shared" si="6"/>
        <v>18991.05836298726</v>
      </c>
      <c r="Q9" s="110">
        <f t="shared" si="6"/>
        <v>19286.04298832206</v>
      </c>
      <c r="R9" s="110">
        <f t="shared" ref="R9:V9" si="7">R10+R11+R12</f>
        <v>19682.330292979968</v>
      </c>
      <c r="S9" s="110">
        <f t="shared" si="7"/>
        <v>19751</v>
      </c>
      <c r="T9" s="110">
        <f t="shared" si="7"/>
        <v>20313.954294048272</v>
      </c>
      <c r="U9" s="110">
        <f t="shared" si="7"/>
        <v>20621</v>
      </c>
      <c r="V9" s="110">
        <f t="shared" si="7"/>
        <v>13270</v>
      </c>
      <c r="W9" s="110">
        <f t="shared" ref="W9" si="8">W10+W11+W12</f>
        <v>14570</v>
      </c>
      <c r="DA9" s="176" t="s">
        <v>375</v>
      </c>
    </row>
    <row r="10" spans="1:105" ht="11.45" customHeight="1" x14ac:dyDescent="0.25">
      <c r="A10" s="128" t="str">
        <f>TrRail_act!$A$5</f>
        <v>Metro and tram, urban light rail</v>
      </c>
      <c r="B10" s="102">
        <f>TrRail_act!B$5</f>
        <v>5960.3240131662324</v>
      </c>
      <c r="C10" s="102">
        <f>TrRail_act!C$5</f>
        <v>6055.3407693842382</v>
      </c>
      <c r="D10" s="102">
        <f>TrRail_act!D$5</f>
        <v>6150.5417770758531</v>
      </c>
      <c r="E10" s="102">
        <f>TrRail_act!E$5</f>
        <v>6245.9273099058164</v>
      </c>
      <c r="F10" s="102">
        <f>TrRail_act!F$5</f>
        <v>6341.4976419021305</v>
      </c>
      <c r="G10" s="102">
        <f>TrRail_act!G$5</f>
        <v>6437.2530474565074</v>
      </c>
      <c r="H10" s="102">
        <f>TrRail_act!H$5</f>
        <v>6533.1938013248182</v>
      </c>
      <c r="I10" s="102">
        <f>TrRail_act!I$5</f>
        <v>6629.3201786275549</v>
      </c>
      <c r="J10" s="102">
        <f>TrRail_act!J$5</f>
        <v>6725.6324548502835</v>
      </c>
      <c r="K10" s="102">
        <f>TrRail_act!K$5</f>
        <v>6822.1309058440929</v>
      </c>
      <c r="L10" s="102">
        <f>TrRail_act!L$5</f>
        <v>6918.8158078260594</v>
      </c>
      <c r="M10" s="102">
        <f>TrRail_act!M$5</f>
        <v>7015.6874373796954</v>
      </c>
      <c r="N10" s="102">
        <f>TrRail_act!N$5</f>
        <v>7112.7460714554109</v>
      </c>
      <c r="O10" s="102">
        <f>TrRail_act!O$5</f>
        <v>7209.9919873709705</v>
      </c>
      <c r="P10" s="102">
        <f>TrRail_act!P$5</f>
        <v>7010.0583629872599</v>
      </c>
      <c r="Q10" s="102">
        <f>TrRail_act!Q$5</f>
        <v>7182.0429883220595</v>
      </c>
      <c r="R10" s="102">
        <f>TrRail_act!R$5</f>
        <v>7185.3302929799693</v>
      </c>
      <c r="S10" s="102">
        <f>TrRail_act!S$5</f>
        <v>7189</v>
      </c>
      <c r="T10" s="102">
        <f>TrRail_act!T$5</f>
        <v>7191.9542940482734</v>
      </c>
      <c r="U10" s="102">
        <f>TrRail_act!U$5</f>
        <v>7369</v>
      </c>
      <c r="V10" s="102">
        <f>TrRail_act!V$5</f>
        <v>5895</v>
      </c>
      <c r="W10" s="102">
        <f>TrRail_act!W$5</f>
        <v>6190</v>
      </c>
      <c r="DA10" s="175" t="s">
        <v>376</v>
      </c>
    </row>
    <row r="11" spans="1:105" ht="11.45" customHeight="1" x14ac:dyDescent="0.25">
      <c r="A11" s="128" t="str">
        <f>TrRail_act!$A$6</f>
        <v>Conventional passenger trains</v>
      </c>
      <c r="B11" s="102">
        <f>TrRail_act!B$6</f>
        <v>8739.7850249082894</v>
      </c>
      <c r="C11" s="102">
        <f>TrRail_act!C$6</f>
        <v>8760.9313094415793</v>
      </c>
      <c r="D11" s="102">
        <f>TrRail_act!D$6</f>
        <v>8809.8526138045199</v>
      </c>
      <c r="E11" s="102">
        <f>TrRail_act!E$6</f>
        <v>8673.1335633535</v>
      </c>
      <c r="F11" s="102">
        <f>TrRail_act!F$6</f>
        <v>8274</v>
      </c>
      <c r="G11" s="102">
        <f>TrRail_act!G$6</f>
        <v>8685</v>
      </c>
      <c r="H11" s="102">
        <f>TrRail_act!H$6</f>
        <v>8907</v>
      </c>
      <c r="I11" s="102">
        <f>TrRail_act!I$6</f>
        <v>9167</v>
      </c>
      <c r="J11" s="102">
        <f>TrRail_act!J$6</f>
        <v>10365</v>
      </c>
      <c r="K11" s="102">
        <f>TrRail_act!K$6</f>
        <v>10184</v>
      </c>
      <c r="L11" s="102">
        <f>TrRail_act!L$6</f>
        <v>10263</v>
      </c>
      <c r="M11" s="102">
        <f>TrRail_act!M$6</f>
        <v>10778</v>
      </c>
      <c r="N11" s="102">
        <f>TrRail_act!N$6</f>
        <v>11211</v>
      </c>
      <c r="O11" s="102">
        <f>TrRail_act!O$6</f>
        <v>11804</v>
      </c>
      <c r="P11" s="102">
        <f>TrRail_act!P$6</f>
        <v>11981</v>
      </c>
      <c r="Q11" s="102">
        <f>TrRail_act!Q$6</f>
        <v>12104</v>
      </c>
      <c r="R11" s="102">
        <f>TrRail_act!R$6</f>
        <v>12497</v>
      </c>
      <c r="S11" s="102">
        <f>TrRail_act!S$6</f>
        <v>12562</v>
      </c>
      <c r="T11" s="102">
        <f>TrRail_act!T$6</f>
        <v>13122</v>
      </c>
      <c r="U11" s="102">
        <f>TrRail_act!U$6</f>
        <v>13252</v>
      </c>
      <c r="V11" s="102">
        <f>TrRail_act!V$6</f>
        <v>7375</v>
      </c>
      <c r="W11" s="102">
        <f>TrRail_act!W$6</f>
        <v>8380</v>
      </c>
      <c r="DA11" s="175" t="s">
        <v>377</v>
      </c>
    </row>
    <row r="12" spans="1:105" ht="11.45" customHeight="1" x14ac:dyDescent="0.25">
      <c r="A12" s="128" t="str">
        <f>TrRail_act!$A$9</f>
        <v>High speed passenger trains</v>
      </c>
      <c r="B12" s="102">
        <f>TrRail_act!B$9</f>
        <v>0</v>
      </c>
      <c r="C12" s="102">
        <f>TrRail_act!C$9</f>
        <v>0</v>
      </c>
      <c r="D12" s="102">
        <f>TrRail_act!D$9</f>
        <v>0</v>
      </c>
      <c r="E12" s="102">
        <f>TrRail_act!E$9</f>
        <v>0</v>
      </c>
      <c r="F12" s="102">
        <f>TrRail_act!F$9</f>
        <v>0</v>
      </c>
      <c r="G12" s="102">
        <f>TrRail_act!G$9</f>
        <v>0</v>
      </c>
      <c r="H12" s="102">
        <f>TrRail_act!H$9</f>
        <v>0</v>
      </c>
      <c r="I12" s="102">
        <f>TrRail_act!I$9</f>
        <v>0</v>
      </c>
      <c r="J12" s="102">
        <f>TrRail_act!J$9</f>
        <v>0</v>
      </c>
      <c r="K12" s="102">
        <f>TrRail_act!K$9</f>
        <v>0</v>
      </c>
      <c r="L12" s="102">
        <f>TrRail_act!L$9</f>
        <v>0</v>
      </c>
      <c r="M12" s="102">
        <f>TrRail_act!M$9</f>
        <v>0</v>
      </c>
      <c r="N12" s="102">
        <f>TrRail_act!N$9</f>
        <v>0</v>
      </c>
      <c r="O12" s="102">
        <f>TrRail_act!O$9</f>
        <v>0</v>
      </c>
      <c r="P12" s="102">
        <f>TrRail_act!P$9</f>
        <v>0</v>
      </c>
      <c r="Q12" s="102">
        <f>TrRail_act!Q$9</f>
        <v>0</v>
      </c>
      <c r="R12" s="102">
        <f>TrRail_act!R$9</f>
        <v>0</v>
      </c>
      <c r="S12" s="102">
        <f>TrRail_act!S$9</f>
        <v>0</v>
      </c>
      <c r="T12" s="102">
        <f>TrRail_act!T$9</f>
        <v>0</v>
      </c>
      <c r="U12" s="102">
        <f>TrRail_act!U$9</f>
        <v>0</v>
      </c>
      <c r="V12" s="102">
        <f>TrRail_act!V$9</f>
        <v>0</v>
      </c>
      <c r="W12" s="102">
        <f>TrRail_act!W$9</f>
        <v>0</v>
      </c>
      <c r="DA12" s="175" t="s">
        <v>378</v>
      </c>
    </row>
    <row r="13" spans="1:105" ht="11.45" customHeight="1" x14ac:dyDescent="0.25">
      <c r="A13" s="109" t="s">
        <v>26</v>
      </c>
      <c r="B13" s="110">
        <f t="shared" ref="B13" si="9">B14+B15+B16</f>
        <v>13223.443475101345</v>
      </c>
      <c r="C13" s="110">
        <f t="shared" ref="C13:V13" si="10">C14+C15+C16</f>
        <v>13089.979841681896</v>
      </c>
      <c r="D13" s="110">
        <f t="shared" si="10"/>
        <v>13475.962285863934</v>
      </c>
      <c r="E13" s="110">
        <f t="shared" si="10"/>
        <v>13785.006988272291</v>
      </c>
      <c r="F13" s="110">
        <f t="shared" si="10"/>
        <v>16144.600296438886</v>
      </c>
      <c r="G13" s="110">
        <f t="shared" si="10"/>
        <v>18064.682208957747</v>
      </c>
      <c r="H13" s="110">
        <f t="shared" si="10"/>
        <v>18422.328573576964</v>
      </c>
      <c r="I13" s="110">
        <f t="shared" si="10"/>
        <v>18904.201204048903</v>
      </c>
      <c r="J13" s="110">
        <f t="shared" si="10"/>
        <v>18831.212565722155</v>
      </c>
      <c r="K13" s="110">
        <f t="shared" si="10"/>
        <v>16860.672690029856</v>
      </c>
      <c r="L13" s="110">
        <f t="shared" si="10"/>
        <v>18136.46724071775</v>
      </c>
      <c r="M13" s="110">
        <f t="shared" si="10"/>
        <v>18838.012664226986</v>
      </c>
      <c r="N13" s="110">
        <f t="shared" si="10"/>
        <v>19273.732579023032</v>
      </c>
      <c r="O13" s="110">
        <f t="shared" si="10"/>
        <v>19260.726394624646</v>
      </c>
      <c r="P13" s="110">
        <f t="shared" si="10"/>
        <v>20647.417651510619</v>
      </c>
      <c r="Q13" s="110">
        <f t="shared" si="10"/>
        <v>21193.526241703326</v>
      </c>
      <c r="R13" s="110">
        <f t="shared" si="10"/>
        <v>21239.334078696695</v>
      </c>
      <c r="S13" s="110">
        <f t="shared" si="10"/>
        <v>22020.790589055254</v>
      </c>
      <c r="T13" s="110">
        <f t="shared" si="10"/>
        <v>25707.619131553562</v>
      </c>
      <c r="U13" s="110">
        <f t="shared" si="10"/>
        <v>30417.537279921697</v>
      </c>
      <c r="V13" s="110">
        <f t="shared" si="10"/>
        <v>7716.4878955314935</v>
      </c>
      <c r="W13" s="110">
        <f t="shared" ref="W13" si="11">W14+W15+W16</f>
        <v>8981.9287027144819</v>
      </c>
      <c r="DA13" s="176" t="s">
        <v>189</v>
      </c>
    </row>
    <row r="14" spans="1:105" ht="11.45" customHeight="1" x14ac:dyDescent="0.25">
      <c r="A14" s="128" t="s">
        <v>27</v>
      </c>
      <c r="B14" s="102">
        <f>TrAvia_act!B$5</f>
        <v>157.73010977986456</v>
      </c>
      <c r="C14" s="102">
        <f>TrAvia_act!C$5</f>
        <v>161.6706720296161</v>
      </c>
      <c r="D14" s="102">
        <f>TrAvia_act!D$5</f>
        <v>164.77891671145522</v>
      </c>
      <c r="E14" s="102">
        <f>TrAvia_act!E$5</f>
        <v>169.57291546636549</v>
      </c>
      <c r="F14" s="102">
        <f>TrAvia_act!F$5</f>
        <v>176.9205698250168</v>
      </c>
      <c r="G14" s="102">
        <f>TrAvia_act!G$5</f>
        <v>176.76307214720245</v>
      </c>
      <c r="H14" s="102">
        <f>TrAvia_act!H$5</f>
        <v>222.22347415220128</v>
      </c>
      <c r="I14" s="102">
        <f>TrAvia_act!I$5</f>
        <v>239.27197635652539</v>
      </c>
      <c r="J14" s="102">
        <f>TrAvia_act!J$5</f>
        <v>254.91024629023923</v>
      </c>
      <c r="K14" s="102">
        <f>TrAvia_act!K$5</f>
        <v>253.19715721549841</v>
      </c>
      <c r="L14" s="102">
        <f>TrAvia_act!L$5</f>
        <v>273.91358864677414</v>
      </c>
      <c r="M14" s="102">
        <f>TrAvia_act!M$5</f>
        <v>214.35635078544084</v>
      </c>
      <c r="N14" s="102">
        <f>TrAvia_act!N$5</f>
        <v>199.03830850251686</v>
      </c>
      <c r="O14" s="102">
        <f>TrAvia_act!O$5</f>
        <v>190.16316407123657</v>
      </c>
      <c r="P14" s="102">
        <f>TrAvia_act!P$5</f>
        <v>178.54922045539277</v>
      </c>
      <c r="Q14" s="102">
        <f>TrAvia_act!Q$5</f>
        <v>162.94319937007089</v>
      </c>
      <c r="R14" s="102">
        <f>TrAvia_act!R$5</f>
        <v>156.43057111485413</v>
      </c>
      <c r="S14" s="102">
        <f>TrAvia_act!S$5</f>
        <v>167.92680319809793</v>
      </c>
      <c r="T14" s="102">
        <f>TrAvia_act!T$5</f>
        <v>184.04799250286442</v>
      </c>
      <c r="U14" s="102">
        <f>TrAvia_act!U$5</f>
        <v>174.94500495564228</v>
      </c>
      <c r="V14" s="102">
        <f>TrAvia_act!V$5</f>
        <v>45.158139806212034</v>
      </c>
      <c r="W14" s="102">
        <f>TrAvia_act!W$5</f>
        <v>32.323435765842916</v>
      </c>
      <c r="DA14" s="175" t="s">
        <v>190</v>
      </c>
    </row>
    <row r="15" spans="1:105" ht="11.45" customHeight="1" x14ac:dyDescent="0.25">
      <c r="A15" s="128" t="s">
        <v>173</v>
      </c>
      <c r="B15" s="102">
        <f>TrAvia_act!B$6</f>
        <v>5815.1714293441055</v>
      </c>
      <c r="C15" s="102">
        <f>TrAvia_act!C$6</f>
        <v>5847.5470253909452</v>
      </c>
      <c r="D15" s="102">
        <f>TrAvia_act!D$6</f>
        <v>6016.456009478281</v>
      </c>
      <c r="E15" s="102">
        <f>TrAvia_act!E$6</f>
        <v>6423.073755352626</v>
      </c>
      <c r="F15" s="102">
        <f>TrAvia_act!F$6</f>
        <v>7102.8260583170486</v>
      </c>
      <c r="G15" s="102">
        <f>TrAvia_act!G$6</f>
        <v>7433.5661100009611</v>
      </c>
      <c r="H15" s="102">
        <f>TrAvia_act!H$6</f>
        <v>7689.8381239059572</v>
      </c>
      <c r="I15" s="102">
        <f>TrAvia_act!I$6</f>
        <v>8072.9845525995943</v>
      </c>
      <c r="J15" s="102">
        <f>TrAvia_act!J$6</f>
        <v>7995.9584783558576</v>
      </c>
      <c r="K15" s="102">
        <f>TrAvia_act!K$6</f>
        <v>7222.9767562222596</v>
      </c>
      <c r="L15" s="102">
        <f>TrAvia_act!L$6</f>
        <v>7688.092066783358</v>
      </c>
      <c r="M15" s="102">
        <f>TrAvia_act!M$6</f>
        <v>8289.4247368870492</v>
      </c>
      <c r="N15" s="102">
        <f>TrAvia_act!N$6</f>
        <v>8449.1323091236027</v>
      </c>
      <c r="O15" s="102">
        <f>TrAvia_act!O$6</f>
        <v>8270.8299111600136</v>
      </c>
      <c r="P15" s="102">
        <f>TrAvia_act!P$6</f>
        <v>8654.6134148853289</v>
      </c>
      <c r="Q15" s="102">
        <f>TrAvia_act!Q$6</f>
        <v>8854.7091798438742</v>
      </c>
      <c r="R15" s="102">
        <f>TrAvia_act!R$6</f>
        <v>9351.5968272534683</v>
      </c>
      <c r="S15" s="102">
        <f>TrAvia_act!S$6</f>
        <v>9582.0713323677501</v>
      </c>
      <c r="T15" s="102">
        <f>TrAvia_act!T$6</f>
        <v>10609.966288471904</v>
      </c>
      <c r="U15" s="102">
        <f>TrAvia_act!U$6</f>
        <v>12562.287873226576</v>
      </c>
      <c r="V15" s="102">
        <f>TrAvia_act!V$6</f>
        <v>3599.5489262070805</v>
      </c>
      <c r="W15" s="102">
        <f>TrAvia_act!W$6</f>
        <v>4314.8906974027932</v>
      </c>
      <c r="DA15" s="175" t="s">
        <v>191</v>
      </c>
    </row>
    <row r="16" spans="1:105" ht="11.45" customHeight="1" x14ac:dyDescent="0.25">
      <c r="A16" s="128" t="s">
        <v>174</v>
      </c>
      <c r="B16" s="102">
        <f>TrAvia_act!B$7</f>
        <v>7250.541935977375</v>
      </c>
      <c r="C16" s="102">
        <f>TrAvia_act!C$7</f>
        <v>7080.7621442613354</v>
      </c>
      <c r="D16" s="102">
        <f>TrAvia_act!D$7</f>
        <v>7294.7273596741979</v>
      </c>
      <c r="E16" s="102">
        <f>TrAvia_act!E$7</f>
        <v>7192.3603174532991</v>
      </c>
      <c r="F16" s="102">
        <f>TrAvia_act!F$7</f>
        <v>8864.8536682968206</v>
      </c>
      <c r="G16" s="102">
        <f>TrAvia_act!G$7</f>
        <v>10454.353026809584</v>
      </c>
      <c r="H16" s="102">
        <f>TrAvia_act!H$7</f>
        <v>10510.266975518805</v>
      </c>
      <c r="I16" s="102">
        <f>TrAvia_act!I$7</f>
        <v>10591.944675092784</v>
      </c>
      <c r="J16" s="102">
        <f>TrAvia_act!J$7</f>
        <v>10580.343841076059</v>
      </c>
      <c r="K16" s="102">
        <f>TrAvia_act!K$7</f>
        <v>9384.4987765920996</v>
      </c>
      <c r="L16" s="102">
        <f>TrAvia_act!L$7</f>
        <v>10174.461585287616</v>
      </c>
      <c r="M16" s="102">
        <f>TrAvia_act!M$7</f>
        <v>10334.231576554495</v>
      </c>
      <c r="N16" s="102">
        <f>TrAvia_act!N$7</f>
        <v>10625.561961396912</v>
      </c>
      <c r="O16" s="102">
        <f>TrAvia_act!O$7</f>
        <v>10799.733319393396</v>
      </c>
      <c r="P16" s="102">
        <f>TrAvia_act!P$7</f>
        <v>11814.255016169898</v>
      </c>
      <c r="Q16" s="102">
        <f>TrAvia_act!Q$7</f>
        <v>12175.873862489381</v>
      </c>
      <c r="R16" s="102">
        <f>TrAvia_act!R$7</f>
        <v>11731.306680328375</v>
      </c>
      <c r="S16" s="102">
        <f>TrAvia_act!S$7</f>
        <v>12270.792453489406</v>
      </c>
      <c r="T16" s="102">
        <f>TrAvia_act!T$7</f>
        <v>14913.604850578791</v>
      </c>
      <c r="U16" s="102">
        <f>TrAvia_act!U$7</f>
        <v>17680.304401739479</v>
      </c>
      <c r="V16" s="102">
        <f>TrAvia_act!V$7</f>
        <v>4071.7808295182008</v>
      </c>
      <c r="W16" s="102">
        <f>TrAvia_act!W$7</f>
        <v>4634.7145695458466</v>
      </c>
      <c r="DA16" s="175" t="s">
        <v>192</v>
      </c>
    </row>
    <row r="17" spans="1:105" ht="11.45" customHeight="1" x14ac:dyDescent="0.25">
      <c r="A17" s="27" t="s">
        <v>28</v>
      </c>
      <c r="B17" s="28">
        <f t="shared" ref="B17:Q17" si="12">B18+B21+B22+B26</f>
        <v>46175.655277167418</v>
      </c>
      <c r="C17" s="28">
        <f t="shared" si="12"/>
        <v>47666.758256228786</v>
      </c>
      <c r="D17" s="28">
        <f t="shared" si="12"/>
        <v>49332.44507981724</v>
      </c>
      <c r="E17" s="28">
        <f t="shared" si="12"/>
        <v>49140.879597203624</v>
      </c>
      <c r="F17" s="28">
        <f t="shared" si="12"/>
        <v>52537.728770626185</v>
      </c>
      <c r="G17" s="28">
        <f t="shared" si="12"/>
        <v>53625.320685618673</v>
      </c>
      <c r="H17" s="28">
        <f t="shared" si="12"/>
        <v>58789.322833727194</v>
      </c>
      <c r="I17" s="28">
        <f t="shared" si="12"/>
        <v>63025.612719884251</v>
      </c>
      <c r="J17" s="28">
        <f t="shared" si="12"/>
        <v>65870.696716309074</v>
      </c>
      <c r="K17" s="28">
        <f t="shared" si="12"/>
        <v>55959.732033355351</v>
      </c>
      <c r="L17" s="28">
        <f t="shared" si="12"/>
        <v>60540.705943251829</v>
      </c>
      <c r="M17" s="28">
        <f t="shared" si="12"/>
        <v>62059.682880653105</v>
      </c>
      <c r="N17" s="28">
        <f t="shared" si="12"/>
        <v>60243.565453604722</v>
      </c>
      <c r="O17" s="28">
        <f t="shared" si="12"/>
        <v>60773.572581760898</v>
      </c>
      <c r="P17" s="28">
        <f t="shared" si="12"/>
        <v>63270.111581299818</v>
      </c>
      <c r="Q17" s="28">
        <f t="shared" si="12"/>
        <v>64815.963809799352</v>
      </c>
      <c r="R17" s="28">
        <f t="shared" ref="R17:V17" si="13">R18+R21+R22+R26</f>
        <v>67203.499836901246</v>
      </c>
      <c r="S17" s="28">
        <f t="shared" si="13"/>
        <v>70899.873676327959</v>
      </c>
      <c r="T17" s="28">
        <f t="shared" si="13"/>
        <v>70665.177832891975</v>
      </c>
      <c r="U17" s="28">
        <f t="shared" si="13"/>
        <v>71481.392563081172</v>
      </c>
      <c r="V17" s="28">
        <f t="shared" si="13"/>
        <v>69809.842893655121</v>
      </c>
      <c r="W17" s="28">
        <f t="shared" ref="W17" si="14">W18+W21+W22+W26</f>
        <v>73835.033908576064</v>
      </c>
      <c r="DA17" s="173" t="s">
        <v>379</v>
      </c>
    </row>
    <row r="18" spans="1:105" ht="11.45" customHeight="1" x14ac:dyDescent="0.25">
      <c r="A18" s="136" t="s">
        <v>19</v>
      </c>
      <c r="B18" s="137">
        <f t="shared" ref="B18:Q18" si="15">B19+B20</f>
        <v>26992.40200093593</v>
      </c>
      <c r="C18" s="137">
        <f t="shared" si="15"/>
        <v>28092.341429841606</v>
      </c>
      <c r="D18" s="137">
        <f t="shared" si="15"/>
        <v>29217.448925598157</v>
      </c>
      <c r="E18" s="137">
        <f t="shared" si="15"/>
        <v>29858.612191084288</v>
      </c>
      <c r="F18" s="137">
        <f t="shared" si="15"/>
        <v>31859.333447047011</v>
      </c>
      <c r="G18" s="137">
        <f t="shared" si="15"/>
        <v>32692.588820443299</v>
      </c>
      <c r="H18" s="137">
        <f t="shared" si="15"/>
        <v>35760.171934872269</v>
      </c>
      <c r="I18" s="137">
        <f t="shared" si="15"/>
        <v>38875.972994584467</v>
      </c>
      <c r="J18" s="137">
        <f t="shared" si="15"/>
        <v>41439.282730269151</v>
      </c>
      <c r="K18" s="137">
        <f t="shared" si="15"/>
        <v>36057.454284544976</v>
      </c>
      <c r="L18" s="137">
        <f t="shared" si="15"/>
        <v>38194.041077874965</v>
      </c>
      <c r="M18" s="137">
        <f t="shared" si="15"/>
        <v>39417.303751270934</v>
      </c>
      <c r="N18" s="137">
        <f t="shared" si="15"/>
        <v>38361.525224682475</v>
      </c>
      <c r="O18" s="137">
        <f t="shared" si="15"/>
        <v>38917.696660677801</v>
      </c>
      <c r="P18" s="137">
        <f t="shared" si="15"/>
        <v>40050.877358513106</v>
      </c>
      <c r="Q18" s="137">
        <f t="shared" si="15"/>
        <v>41831.031471965733</v>
      </c>
      <c r="R18" s="137">
        <f t="shared" ref="R18:V18" si="16">R19+R20</f>
        <v>43498.467110058533</v>
      </c>
      <c r="S18" s="137">
        <f t="shared" si="16"/>
        <v>46203.688471222966</v>
      </c>
      <c r="T18" s="137">
        <f t="shared" si="16"/>
        <v>46674.387587036421</v>
      </c>
      <c r="U18" s="137">
        <f t="shared" si="16"/>
        <v>47482.546394437551</v>
      </c>
      <c r="V18" s="137">
        <f t="shared" si="16"/>
        <v>47419.167201360935</v>
      </c>
      <c r="W18" s="137">
        <f t="shared" ref="W18" si="17">W19+W20</f>
        <v>50267.097867844517</v>
      </c>
      <c r="DA18" s="174" t="s">
        <v>380</v>
      </c>
    </row>
    <row r="19" spans="1:105" ht="11.45" customHeight="1" x14ac:dyDescent="0.25">
      <c r="A19" s="128" t="str">
        <f>TrRoad_act!$A$20</f>
        <v>Light commercial vehicles</v>
      </c>
      <c r="B19" s="102">
        <f>TrRoad_act!B$20</f>
        <v>266.05654411875321</v>
      </c>
      <c r="C19" s="102">
        <f>TrRoad_act!C$20</f>
        <v>280.14632990796008</v>
      </c>
      <c r="D19" s="102">
        <f>TrRoad_act!D$20</f>
        <v>290.73403681970979</v>
      </c>
      <c r="E19" s="102">
        <f>TrRoad_act!E$20</f>
        <v>297.04736682436447</v>
      </c>
      <c r="F19" s="102">
        <f>TrRoad_act!F$20</f>
        <v>301.9063489997377</v>
      </c>
      <c r="G19" s="102">
        <f>TrRoad_act!G$20</f>
        <v>311.20809442087153</v>
      </c>
      <c r="H19" s="102">
        <f>TrRoad_act!H$20</f>
        <v>319.67415876323179</v>
      </c>
      <c r="I19" s="102">
        <f>TrRoad_act!I$20</f>
        <v>328.34904995053267</v>
      </c>
      <c r="J19" s="102">
        <f>TrRoad_act!J$20</f>
        <v>328.23886390010489</v>
      </c>
      <c r="K19" s="102">
        <f>TrRoad_act!K$20</f>
        <v>328.4685652860943</v>
      </c>
      <c r="L19" s="102">
        <f>TrRoad_act!L$20</f>
        <v>332.60475677406447</v>
      </c>
      <c r="M19" s="102">
        <f>TrRoad_act!M$20</f>
        <v>339.12959295258872</v>
      </c>
      <c r="N19" s="102">
        <f>TrRoad_act!N$20</f>
        <v>341.6710045947782</v>
      </c>
      <c r="O19" s="102">
        <f>TrRoad_act!O$20</f>
        <v>353.49010182556174</v>
      </c>
      <c r="P19" s="102">
        <f>TrRoad_act!P$20</f>
        <v>369.62240568491518</v>
      </c>
      <c r="Q19" s="102">
        <f>TrRoad_act!Q$20</f>
        <v>381.94302585834032</v>
      </c>
      <c r="R19" s="102">
        <f>TrRoad_act!R$20</f>
        <v>392.35890965975523</v>
      </c>
      <c r="S19" s="102">
        <f>TrRoad_act!S$20</f>
        <v>400.87742895331149</v>
      </c>
      <c r="T19" s="102">
        <f>TrRoad_act!T$20</f>
        <v>412.38758703642395</v>
      </c>
      <c r="U19" s="102">
        <f>TrRoad_act!U$20</f>
        <v>425.54639443755201</v>
      </c>
      <c r="V19" s="102">
        <f>TrRoad_act!V$20</f>
        <v>432.1672013609375</v>
      </c>
      <c r="W19" s="102">
        <f>TrRoad_act!W$20</f>
        <v>458.09786784451762</v>
      </c>
      <c r="DA19" s="175" t="s">
        <v>381</v>
      </c>
    </row>
    <row r="20" spans="1:105" ht="11.45" customHeight="1" x14ac:dyDescent="0.25">
      <c r="A20" s="128" t="str">
        <f>TrRoad_act!$A$26</f>
        <v>Heavy goods vehicles</v>
      </c>
      <c r="B20" s="102">
        <f>TrRoad_act!B$26</f>
        <v>26726.345456817176</v>
      </c>
      <c r="C20" s="102">
        <f>TrRoad_act!C$26</f>
        <v>27812.195099933648</v>
      </c>
      <c r="D20" s="102">
        <f>TrRoad_act!D$26</f>
        <v>28926.714888778446</v>
      </c>
      <c r="E20" s="102">
        <f>TrRoad_act!E$26</f>
        <v>29561.564824259924</v>
      </c>
      <c r="F20" s="102">
        <f>TrRoad_act!F$26</f>
        <v>31557.427098047272</v>
      </c>
      <c r="G20" s="102">
        <f>TrRoad_act!G$26</f>
        <v>32381.380726022428</v>
      </c>
      <c r="H20" s="102">
        <f>TrRoad_act!H$26</f>
        <v>35440.497776109034</v>
      </c>
      <c r="I20" s="102">
        <f>TrRoad_act!I$26</f>
        <v>38547.623944633931</v>
      </c>
      <c r="J20" s="102">
        <f>TrRoad_act!J$26</f>
        <v>41111.043866369044</v>
      </c>
      <c r="K20" s="102">
        <f>TrRoad_act!K$26</f>
        <v>35728.985719258882</v>
      </c>
      <c r="L20" s="102">
        <f>TrRoad_act!L$26</f>
        <v>37861.436321100897</v>
      </c>
      <c r="M20" s="102">
        <f>TrRoad_act!M$26</f>
        <v>39078.174158318347</v>
      </c>
      <c r="N20" s="102">
        <f>TrRoad_act!N$26</f>
        <v>38019.854220087698</v>
      </c>
      <c r="O20" s="102">
        <f>TrRoad_act!O$26</f>
        <v>38564.206558852238</v>
      </c>
      <c r="P20" s="102">
        <f>TrRoad_act!P$26</f>
        <v>39681.254952828189</v>
      </c>
      <c r="Q20" s="102">
        <f>TrRoad_act!Q$26</f>
        <v>41449.088446107395</v>
      </c>
      <c r="R20" s="102">
        <f>TrRoad_act!R$26</f>
        <v>43106.108200398776</v>
      </c>
      <c r="S20" s="102">
        <f>TrRoad_act!S$26</f>
        <v>45802.811042269655</v>
      </c>
      <c r="T20" s="102">
        <f>TrRoad_act!T$26</f>
        <v>46262</v>
      </c>
      <c r="U20" s="102">
        <f>TrRoad_act!U$26</f>
        <v>47057</v>
      </c>
      <c r="V20" s="102">
        <f>TrRoad_act!V$26</f>
        <v>46987</v>
      </c>
      <c r="W20" s="102">
        <f>TrRoad_act!W$26</f>
        <v>49809</v>
      </c>
      <c r="DA20" s="175" t="s">
        <v>382</v>
      </c>
    </row>
    <row r="21" spans="1:105" ht="11.45" customHeight="1" x14ac:dyDescent="0.25">
      <c r="A21" s="109" t="s">
        <v>29</v>
      </c>
      <c r="B21" s="110">
        <f>TrRail_act!B$10</f>
        <v>16600</v>
      </c>
      <c r="C21" s="110">
        <f>TrRail_act!C$10</f>
        <v>16893</v>
      </c>
      <c r="D21" s="110">
        <f>TrRail_act!D$10</f>
        <v>17130</v>
      </c>
      <c r="E21" s="110">
        <f>TrRail_act!E$10</f>
        <v>16866</v>
      </c>
      <c r="F21" s="110">
        <f>TrRail_act!F$10</f>
        <v>18757</v>
      </c>
      <c r="G21" s="110">
        <f>TrRail_act!G$10</f>
        <v>18957</v>
      </c>
      <c r="H21" s="110">
        <f>TrRail_act!H$10</f>
        <v>20980</v>
      </c>
      <c r="I21" s="110">
        <f>TrRail_act!I$10</f>
        <v>21371</v>
      </c>
      <c r="J21" s="110">
        <f>TrRail_act!J$10</f>
        <v>21915</v>
      </c>
      <c r="K21" s="110">
        <f>TrRail_act!K$10</f>
        <v>17767</v>
      </c>
      <c r="L21" s="110">
        <f>TrRail_act!L$10</f>
        <v>19833</v>
      </c>
      <c r="M21" s="110">
        <f>TrRail_act!M$10</f>
        <v>20345</v>
      </c>
      <c r="N21" s="110">
        <f>TrRail_act!N$10</f>
        <v>19499</v>
      </c>
      <c r="O21" s="110">
        <f>TrRail_act!O$10</f>
        <v>19278</v>
      </c>
      <c r="P21" s="110">
        <f>TrRail_act!P$10</f>
        <v>20746</v>
      </c>
      <c r="Q21" s="110">
        <f>TrRail_act!Q$10</f>
        <v>20814</v>
      </c>
      <c r="R21" s="110">
        <f>TrRail_act!R$10</f>
        <v>21361</v>
      </c>
      <c r="S21" s="110">
        <f>TrRail_act!S$10</f>
        <v>22256</v>
      </c>
      <c r="T21" s="110">
        <f>TrRail_act!T$10</f>
        <v>21996</v>
      </c>
      <c r="U21" s="110">
        <f>TrRail_act!U$10</f>
        <v>21736</v>
      </c>
      <c r="V21" s="110">
        <f>TrRail_act!V$10</f>
        <v>20498</v>
      </c>
      <c r="W21" s="110">
        <f>TrRail_act!W$10</f>
        <v>21779</v>
      </c>
      <c r="DA21" s="176" t="s">
        <v>383</v>
      </c>
    </row>
    <row r="22" spans="1:105" ht="11.45" customHeight="1" x14ac:dyDescent="0.25">
      <c r="A22" s="109" t="s">
        <v>26</v>
      </c>
      <c r="B22" s="110">
        <f t="shared" ref="B22" si="18">B23+B24+B25</f>
        <v>139.2532762314847</v>
      </c>
      <c r="C22" s="110">
        <f t="shared" ref="C22:V22" si="19">C23+C24+C25</f>
        <v>124.41682638717992</v>
      </c>
      <c r="D22" s="110">
        <f t="shared" si="19"/>
        <v>138.9961542190818</v>
      </c>
      <c r="E22" s="110">
        <f t="shared" si="19"/>
        <v>140.26740611933369</v>
      </c>
      <c r="F22" s="110">
        <f t="shared" si="19"/>
        <v>174.39532357917057</v>
      </c>
      <c r="G22" s="110">
        <f t="shared" si="19"/>
        <v>222.7318651753711</v>
      </c>
      <c r="H22" s="110">
        <f t="shared" si="19"/>
        <v>212.15089885492145</v>
      </c>
      <c r="I22" s="110">
        <f t="shared" si="19"/>
        <v>181.63972529978196</v>
      </c>
      <c r="J22" s="110">
        <f t="shared" si="19"/>
        <v>157.41398603992297</v>
      </c>
      <c r="K22" s="110">
        <f t="shared" si="19"/>
        <v>132.27774881037698</v>
      </c>
      <c r="L22" s="110">
        <f t="shared" si="19"/>
        <v>138.66486537686347</v>
      </c>
      <c r="M22" s="110">
        <f t="shared" si="19"/>
        <v>174.37912938217261</v>
      </c>
      <c r="N22" s="110">
        <f t="shared" si="19"/>
        <v>192.04022892224631</v>
      </c>
      <c r="O22" s="110">
        <f t="shared" si="19"/>
        <v>224.87592108310122</v>
      </c>
      <c r="P22" s="110">
        <f t="shared" si="19"/>
        <v>296.23422278671097</v>
      </c>
      <c r="Q22" s="110">
        <f t="shared" si="19"/>
        <v>364.93233783362274</v>
      </c>
      <c r="R22" s="110">
        <f t="shared" si="19"/>
        <v>382.03272684271087</v>
      </c>
      <c r="S22" s="110">
        <f t="shared" si="19"/>
        <v>418.18520510499775</v>
      </c>
      <c r="T22" s="110">
        <f t="shared" si="19"/>
        <v>505.79024585555885</v>
      </c>
      <c r="U22" s="110">
        <f t="shared" si="19"/>
        <v>547.84616864362204</v>
      </c>
      <c r="V22" s="110">
        <f t="shared" si="19"/>
        <v>286.67569229418109</v>
      </c>
      <c r="W22" s="110">
        <f t="shared" ref="W22" si="20">W23+W24+W25</f>
        <v>282.93604073155336</v>
      </c>
      <c r="DA22" s="176" t="s">
        <v>193</v>
      </c>
    </row>
    <row r="23" spans="1:105" ht="11.45" customHeight="1" x14ac:dyDescent="0.25">
      <c r="A23" s="128" t="s">
        <v>27</v>
      </c>
      <c r="B23" s="102">
        <f>TrAvia_act!B$9</f>
        <v>0.28801204497396837</v>
      </c>
      <c r="C23" s="102">
        <f>TrAvia_act!C$9</f>
        <v>0.17715871093860264</v>
      </c>
      <c r="D23" s="102">
        <f>TrAvia_act!D$9</f>
        <v>0.18217744828156904</v>
      </c>
      <c r="E23" s="102">
        <f>TrAvia_act!E$9</f>
        <v>0.19377986309623521</v>
      </c>
      <c r="F23" s="102">
        <f>TrAvia_act!F$9</f>
        <v>0.23600020610286512</v>
      </c>
      <c r="G23" s="102">
        <f>TrAvia_act!G$9</f>
        <v>0.24124905848070594</v>
      </c>
      <c r="H23" s="102">
        <f>TrAvia_act!H$9</f>
        <v>0.2387272519643622</v>
      </c>
      <c r="I23" s="102">
        <f>TrAvia_act!I$9</f>
        <v>0.21276308244844544</v>
      </c>
      <c r="J23" s="102">
        <f>TrAvia_act!J$9</f>
        <v>0.22503384529186968</v>
      </c>
      <c r="K23" s="102">
        <f>TrAvia_act!K$9</f>
        <v>0.21629179337214144</v>
      </c>
      <c r="L23" s="102">
        <f>TrAvia_act!L$9</f>
        <v>0.18957164858870607</v>
      </c>
      <c r="M23" s="102">
        <f>TrAvia_act!M$9</f>
        <v>0.14504882517185019</v>
      </c>
      <c r="N23" s="102">
        <f>TrAvia_act!N$9</f>
        <v>0.11128313078255732</v>
      </c>
      <c r="O23" s="102">
        <f>TrAvia_act!O$9</f>
        <v>8.2765899310941249E-2</v>
      </c>
      <c r="P23" s="102">
        <f>TrAvia_act!P$9</f>
        <v>5.6643063536230664E-2</v>
      </c>
      <c r="Q23" s="102">
        <f>TrAvia_act!Q$9</f>
        <v>5.1504044543796486E-2</v>
      </c>
      <c r="R23" s="102">
        <f>TrAvia_act!R$9</f>
        <v>3.2377554553947543E-2</v>
      </c>
      <c r="S23" s="102">
        <f>TrAvia_act!S$9</f>
        <v>2.2563581763753549E-2</v>
      </c>
      <c r="T23" s="102">
        <f>TrAvia_act!T$9</f>
        <v>2.1363242944586577E-2</v>
      </c>
      <c r="U23" s="102">
        <f>TrAvia_act!U$9</f>
        <v>7.0959804615836498E-3</v>
      </c>
      <c r="V23" s="102">
        <f>TrAvia_act!V$9</f>
        <v>3.2187996606338723E-3</v>
      </c>
      <c r="W23" s="102">
        <f>TrAvia_act!W$9</f>
        <v>2.8572198849703681E-3</v>
      </c>
      <c r="DA23" s="175" t="s">
        <v>194</v>
      </c>
    </row>
    <row r="24" spans="1:105" ht="11.45" customHeight="1" x14ac:dyDescent="0.25">
      <c r="A24" s="128" t="s">
        <v>173</v>
      </c>
      <c r="B24" s="102">
        <f>TrAvia_act!B$10</f>
        <v>34.32699973324867</v>
      </c>
      <c r="C24" s="102">
        <f>TrAvia_act!C$10</f>
        <v>32.916103885321533</v>
      </c>
      <c r="D24" s="102">
        <f>TrAvia_act!D$10</f>
        <v>41.005659486925609</v>
      </c>
      <c r="E24" s="102">
        <f>TrAvia_act!E$10</f>
        <v>45.049816992278508</v>
      </c>
      <c r="F24" s="102">
        <f>TrAvia_act!F$10</f>
        <v>65.192656725663895</v>
      </c>
      <c r="G24" s="102">
        <f>TrAvia_act!G$10</f>
        <v>67.767990398462658</v>
      </c>
      <c r="H24" s="102">
        <f>TrAvia_act!H$10</f>
        <v>64.55804094867959</v>
      </c>
      <c r="I24" s="102">
        <f>TrAvia_act!I$10</f>
        <v>53.991924638873748</v>
      </c>
      <c r="J24" s="102">
        <f>TrAvia_act!J$10</f>
        <v>48.393236926037538</v>
      </c>
      <c r="K24" s="102">
        <f>TrAvia_act!K$10</f>
        <v>44.044417947588315</v>
      </c>
      <c r="L24" s="102">
        <f>TrAvia_act!L$10</f>
        <v>46.70519606452995</v>
      </c>
      <c r="M24" s="102">
        <f>TrAvia_act!M$10</f>
        <v>48.024411834106481</v>
      </c>
      <c r="N24" s="102">
        <f>TrAvia_act!N$10</f>
        <v>45.139785100755297</v>
      </c>
      <c r="O24" s="102">
        <f>TrAvia_act!O$10</f>
        <v>48.607475639008911</v>
      </c>
      <c r="P24" s="102">
        <f>TrAvia_act!P$10</f>
        <v>64.213393487112725</v>
      </c>
      <c r="Q24" s="102">
        <f>TrAvia_act!Q$10</f>
        <v>60.888145299482403</v>
      </c>
      <c r="R24" s="102">
        <f>TrAvia_act!R$10</f>
        <v>54.820807654649435</v>
      </c>
      <c r="S24" s="102">
        <f>TrAvia_act!S$10</f>
        <v>59.711553981687224</v>
      </c>
      <c r="T24" s="102">
        <f>TrAvia_act!T$10</f>
        <v>61.85848742848944</v>
      </c>
      <c r="U24" s="102">
        <f>TrAvia_act!U$10</f>
        <v>70.642509370345977</v>
      </c>
      <c r="V24" s="102">
        <f>TrAvia_act!V$10</f>
        <v>54.927995934251165</v>
      </c>
      <c r="W24" s="102">
        <f>TrAvia_act!W$10</f>
        <v>63.265406648666513</v>
      </c>
      <c r="DA24" s="175" t="s">
        <v>195</v>
      </c>
    </row>
    <row r="25" spans="1:105" ht="11.45" customHeight="1" x14ac:dyDescent="0.25">
      <c r="A25" s="128" t="s">
        <v>174</v>
      </c>
      <c r="B25" s="102">
        <f>TrAvia_act!B$11</f>
        <v>104.63826445326207</v>
      </c>
      <c r="C25" s="102">
        <f>TrAvia_act!C$11</f>
        <v>91.323563790919778</v>
      </c>
      <c r="D25" s="102">
        <f>TrAvia_act!D$11</f>
        <v>97.808317283874615</v>
      </c>
      <c r="E25" s="102">
        <f>TrAvia_act!E$11</f>
        <v>95.023809263958952</v>
      </c>
      <c r="F25" s="102">
        <f>TrAvia_act!F$11</f>
        <v>108.9666666474038</v>
      </c>
      <c r="G25" s="102">
        <f>TrAvia_act!G$11</f>
        <v>154.72262571842774</v>
      </c>
      <c r="H25" s="102">
        <f>TrAvia_act!H$11</f>
        <v>147.3541306542775</v>
      </c>
      <c r="I25" s="102">
        <f>TrAvia_act!I$11</f>
        <v>127.43503757845977</v>
      </c>
      <c r="J25" s="102">
        <f>TrAvia_act!J$11</f>
        <v>108.79571526859358</v>
      </c>
      <c r="K25" s="102">
        <f>TrAvia_act!K$11</f>
        <v>88.017039069416512</v>
      </c>
      <c r="L25" s="102">
        <f>TrAvia_act!L$11</f>
        <v>91.770097663744835</v>
      </c>
      <c r="M25" s="102">
        <f>TrAvia_act!M$11</f>
        <v>126.20966872289428</v>
      </c>
      <c r="N25" s="102">
        <f>TrAvia_act!N$11</f>
        <v>146.78916069070846</v>
      </c>
      <c r="O25" s="102">
        <f>TrAvia_act!O$11</f>
        <v>176.18567954478138</v>
      </c>
      <c r="P25" s="102">
        <f>TrAvia_act!P$11</f>
        <v>231.96418623606203</v>
      </c>
      <c r="Q25" s="102">
        <f>TrAvia_act!Q$11</f>
        <v>303.99268848959656</v>
      </c>
      <c r="R25" s="102">
        <f>TrAvia_act!R$11</f>
        <v>327.17954163350748</v>
      </c>
      <c r="S25" s="102">
        <f>TrAvia_act!S$11</f>
        <v>358.45108754154677</v>
      </c>
      <c r="T25" s="102">
        <f>TrAvia_act!T$11</f>
        <v>443.91039518412481</v>
      </c>
      <c r="U25" s="102">
        <f>TrAvia_act!U$11</f>
        <v>477.19656329281446</v>
      </c>
      <c r="V25" s="102">
        <f>TrAvia_act!V$11</f>
        <v>231.7444775602693</v>
      </c>
      <c r="W25" s="102">
        <f>TrAvia_act!W$11</f>
        <v>219.66777686300185</v>
      </c>
      <c r="DA25" s="175" t="s">
        <v>196</v>
      </c>
    </row>
    <row r="26" spans="1:105" ht="11.45" customHeight="1" x14ac:dyDescent="0.25">
      <c r="A26" s="109" t="s">
        <v>142</v>
      </c>
      <c r="B26" s="110">
        <f t="shared" ref="B26:Q26" si="21">B27+B28</f>
        <v>2444</v>
      </c>
      <c r="C26" s="110">
        <f t="shared" si="21"/>
        <v>2557</v>
      </c>
      <c r="D26" s="110">
        <f t="shared" si="21"/>
        <v>2846</v>
      </c>
      <c r="E26" s="110">
        <f t="shared" si="21"/>
        <v>2276</v>
      </c>
      <c r="F26" s="110">
        <f t="shared" si="21"/>
        <v>1747</v>
      </c>
      <c r="G26" s="110">
        <f t="shared" si="21"/>
        <v>1753</v>
      </c>
      <c r="H26" s="110">
        <f t="shared" si="21"/>
        <v>1837</v>
      </c>
      <c r="I26" s="110">
        <f t="shared" si="21"/>
        <v>2597</v>
      </c>
      <c r="J26" s="110">
        <f t="shared" si="21"/>
        <v>2359</v>
      </c>
      <c r="K26" s="110">
        <f t="shared" si="21"/>
        <v>2003</v>
      </c>
      <c r="L26" s="110">
        <f t="shared" si="21"/>
        <v>2375</v>
      </c>
      <c r="M26" s="110">
        <f t="shared" si="21"/>
        <v>2123</v>
      </c>
      <c r="N26" s="110">
        <f t="shared" si="21"/>
        <v>2191</v>
      </c>
      <c r="O26" s="110">
        <f t="shared" si="21"/>
        <v>2353</v>
      </c>
      <c r="P26" s="110">
        <f t="shared" si="21"/>
        <v>2177</v>
      </c>
      <c r="Q26" s="110">
        <f t="shared" si="21"/>
        <v>1806</v>
      </c>
      <c r="R26" s="110">
        <f t="shared" ref="R26:V26" si="22">R27+R28</f>
        <v>1962</v>
      </c>
      <c r="S26" s="110">
        <f t="shared" si="22"/>
        <v>2021.9999999999998</v>
      </c>
      <c r="T26" s="110">
        <f t="shared" si="22"/>
        <v>1489</v>
      </c>
      <c r="U26" s="110">
        <f t="shared" si="22"/>
        <v>1715</v>
      </c>
      <c r="V26" s="110">
        <f t="shared" si="22"/>
        <v>1606</v>
      </c>
      <c r="W26" s="110">
        <f t="shared" ref="W26" si="23">W27+W28</f>
        <v>1506</v>
      </c>
      <c r="DA26" s="176" t="s">
        <v>384</v>
      </c>
    </row>
    <row r="27" spans="1:105" ht="11.45" customHeight="1" x14ac:dyDescent="0.25">
      <c r="A27" s="128" t="str">
        <f>TrNavi_act!$A$4</f>
        <v>Domestic coastal shipping</v>
      </c>
      <c r="B27" s="102">
        <f>TrNavi_act!B4</f>
        <v>0</v>
      </c>
      <c r="C27" s="102">
        <f>TrNavi_act!C4</f>
        <v>0</v>
      </c>
      <c r="D27" s="102">
        <f>TrNavi_act!D4</f>
        <v>0</v>
      </c>
      <c r="E27" s="102">
        <f>TrNavi_act!E4</f>
        <v>0</v>
      </c>
      <c r="F27" s="102">
        <f>TrNavi_act!F4</f>
        <v>0</v>
      </c>
      <c r="G27" s="102">
        <f>TrNavi_act!G4</f>
        <v>0</v>
      </c>
      <c r="H27" s="102">
        <f>TrNavi_act!H4</f>
        <v>0</v>
      </c>
      <c r="I27" s="102">
        <f>TrNavi_act!I4</f>
        <v>0</v>
      </c>
      <c r="J27" s="102">
        <f>TrNavi_act!J4</f>
        <v>0</v>
      </c>
      <c r="K27" s="102">
        <f>TrNavi_act!K4</f>
        <v>0</v>
      </c>
      <c r="L27" s="102">
        <f>TrNavi_act!L4</f>
        <v>0</v>
      </c>
      <c r="M27" s="102">
        <f>TrNavi_act!M4</f>
        <v>0</v>
      </c>
      <c r="N27" s="102">
        <f>TrNavi_act!N4</f>
        <v>0</v>
      </c>
      <c r="O27" s="102">
        <f>TrNavi_act!O4</f>
        <v>0</v>
      </c>
      <c r="P27" s="102">
        <f>TrNavi_act!P4</f>
        <v>0</v>
      </c>
      <c r="Q27" s="102">
        <f>TrNavi_act!Q4</f>
        <v>0</v>
      </c>
      <c r="R27" s="102">
        <f>TrNavi_act!R4</f>
        <v>0</v>
      </c>
      <c r="S27" s="102">
        <f>TrNavi_act!S4</f>
        <v>0</v>
      </c>
      <c r="T27" s="102">
        <f>TrNavi_act!T4</f>
        <v>0</v>
      </c>
      <c r="U27" s="102">
        <f>TrNavi_act!U4</f>
        <v>0</v>
      </c>
      <c r="V27" s="102">
        <f>TrNavi_act!V4</f>
        <v>0</v>
      </c>
      <c r="W27" s="102">
        <f>TrNavi_act!W4</f>
        <v>0</v>
      </c>
      <c r="DA27" s="175" t="s">
        <v>385</v>
      </c>
    </row>
    <row r="28" spans="1:105" ht="11.45" customHeight="1" x14ac:dyDescent="0.25">
      <c r="A28" s="166" t="str">
        <f>TrNavi_act!$A$5</f>
        <v>Inland waterways</v>
      </c>
      <c r="B28" s="169">
        <f>TrNavi_act!B5</f>
        <v>2444</v>
      </c>
      <c r="C28" s="169">
        <f>TrNavi_act!C5</f>
        <v>2557</v>
      </c>
      <c r="D28" s="169">
        <f>TrNavi_act!D5</f>
        <v>2846</v>
      </c>
      <c r="E28" s="169">
        <f>TrNavi_act!E5</f>
        <v>2276</v>
      </c>
      <c r="F28" s="169">
        <f>TrNavi_act!F5</f>
        <v>1747</v>
      </c>
      <c r="G28" s="169">
        <f>TrNavi_act!G5</f>
        <v>1753</v>
      </c>
      <c r="H28" s="169">
        <f>TrNavi_act!H5</f>
        <v>1837</v>
      </c>
      <c r="I28" s="169">
        <f>TrNavi_act!I5</f>
        <v>2597</v>
      </c>
      <c r="J28" s="169">
        <f>TrNavi_act!J5</f>
        <v>2359</v>
      </c>
      <c r="K28" s="169">
        <f>TrNavi_act!K5</f>
        <v>2003</v>
      </c>
      <c r="L28" s="169">
        <f>TrNavi_act!L5</f>
        <v>2375</v>
      </c>
      <c r="M28" s="169">
        <f>TrNavi_act!M5</f>
        <v>2123</v>
      </c>
      <c r="N28" s="169">
        <f>TrNavi_act!N5</f>
        <v>2191</v>
      </c>
      <c r="O28" s="169">
        <f>TrNavi_act!O5</f>
        <v>2353</v>
      </c>
      <c r="P28" s="169">
        <f>TrNavi_act!P5</f>
        <v>2177</v>
      </c>
      <c r="Q28" s="169">
        <f>TrNavi_act!Q5</f>
        <v>1806</v>
      </c>
      <c r="R28" s="169">
        <f>TrNavi_act!R5</f>
        <v>1962</v>
      </c>
      <c r="S28" s="169">
        <f>TrNavi_act!S5</f>
        <v>2021.9999999999998</v>
      </c>
      <c r="T28" s="169">
        <f>TrNavi_act!T5</f>
        <v>1489</v>
      </c>
      <c r="U28" s="169">
        <f>TrNavi_act!U5</f>
        <v>1715</v>
      </c>
      <c r="V28" s="169">
        <f>TrNavi_act!V5</f>
        <v>1606</v>
      </c>
      <c r="W28" s="169">
        <f>TrNavi_act!W5</f>
        <v>1506</v>
      </c>
      <c r="DA28" s="177" t="s">
        <v>386</v>
      </c>
    </row>
    <row r="29" spans="1:105" ht="11.45" customHeight="1" x14ac:dyDescent="0.25">
      <c r="A29" s="27" t="s">
        <v>177</v>
      </c>
      <c r="B29" s="28">
        <f t="shared" ref="B29:W29" si="24">B30+B31</f>
        <v>0</v>
      </c>
      <c r="C29" s="28">
        <f t="shared" si="24"/>
        <v>0</v>
      </c>
      <c r="D29" s="28">
        <f t="shared" si="24"/>
        <v>0</v>
      </c>
      <c r="E29" s="28">
        <f t="shared" si="24"/>
        <v>0</v>
      </c>
      <c r="F29" s="28">
        <f t="shared" si="24"/>
        <v>0</v>
      </c>
      <c r="G29" s="28">
        <f t="shared" si="24"/>
        <v>0</v>
      </c>
      <c r="H29" s="28">
        <f t="shared" si="24"/>
        <v>0</v>
      </c>
      <c r="I29" s="28">
        <f t="shared" si="24"/>
        <v>0</v>
      </c>
      <c r="J29" s="28">
        <f t="shared" si="24"/>
        <v>0</v>
      </c>
      <c r="K29" s="28">
        <f t="shared" si="24"/>
        <v>0</v>
      </c>
      <c r="L29" s="28">
        <f t="shared" si="24"/>
        <v>0</v>
      </c>
      <c r="M29" s="28">
        <f t="shared" si="24"/>
        <v>0</v>
      </c>
      <c r="N29" s="28">
        <f t="shared" si="24"/>
        <v>0</v>
      </c>
      <c r="O29" s="28">
        <f t="shared" si="24"/>
        <v>0</v>
      </c>
      <c r="P29" s="28">
        <f t="shared" si="24"/>
        <v>0</v>
      </c>
      <c r="Q29" s="28">
        <f t="shared" si="24"/>
        <v>0</v>
      </c>
      <c r="R29" s="28">
        <f t="shared" si="24"/>
        <v>0</v>
      </c>
      <c r="S29" s="28">
        <f t="shared" si="24"/>
        <v>0</v>
      </c>
      <c r="T29" s="28">
        <f t="shared" si="24"/>
        <v>0</v>
      </c>
      <c r="U29" s="28">
        <f t="shared" si="24"/>
        <v>0</v>
      </c>
      <c r="V29" s="28">
        <f t="shared" si="24"/>
        <v>0</v>
      </c>
      <c r="W29" s="28">
        <f t="shared" si="24"/>
        <v>0</v>
      </c>
      <c r="DA29" s="173" t="s">
        <v>387</v>
      </c>
    </row>
    <row r="30" spans="1:105" ht="11.45" customHeight="1" x14ac:dyDescent="0.25">
      <c r="A30" s="128" t="s">
        <v>170</v>
      </c>
      <c r="B30" s="102">
        <f>MBunk_act!B$4</f>
        <v>0</v>
      </c>
      <c r="C30" s="102">
        <f>MBunk_act!C$4</f>
        <v>0</v>
      </c>
      <c r="D30" s="102">
        <f>MBunk_act!D$4</f>
        <v>0</v>
      </c>
      <c r="E30" s="102">
        <f>MBunk_act!E$4</f>
        <v>0</v>
      </c>
      <c r="F30" s="102">
        <f>MBunk_act!F$4</f>
        <v>0</v>
      </c>
      <c r="G30" s="102">
        <f>MBunk_act!G$4</f>
        <v>0</v>
      </c>
      <c r="H30" s="102">
        <f>MBunk_act!H$4</f>
        <v>0</v>
      </c>
      <c r="I30" s="102">
        <f>MBunk_act!I$4</f>
        <v>0</v>
      </c>
      <c r="J30" s="102">
        <f>MBunk_act!J$4</f>
        <v>0</v>
      </c>
      <c r="K30" s="102">
        <f>MBunk_act!K$4</f>
        <v>0</v>
      </c>
      <c r="L30" s="102">
        <f>MBunk_act!L$4</f>
        <v>0</v>
      </c>
      <c r="M30" s="102">
        <f>MBunk_act!M$4</f>
        <v>0</v>
      </c>
      <c r="N30" s="102">
        <f>MBunk_act!N$4</f>
        <v>0</v>
      </c>
      <c r="O30" s="102">
        <f>MBunk_act!O$4</f>
        <v>0</v>
      </c>
      <c r="P30" s="102">
        <f>MBunk_act!P$4</f>
        <v>0</v>
      </c>
      <c r="Q30" s="102">
        <f>MBunk_act!Q$4</f>
        <v>0</v>
      </c>
      <c r="R30" s="102">
        <f>MBunk_act!R$4</f>
        <v>0</v>
      </c>
      <c r="S30" s="102">
        <f>MBunk_act!S$4</f>
        <v>0</v>
      </c>
      <c r="T30" s="102">
        <f>MBunk_act!T$4</f>
        <v>0</v>
      </c>
      <c r="U30" s="102">
        <f>MBunk_act!U$4</f>
        <v>0</v>
      </c>
      <c r="V30" s="102">
        <f>MBunk_act!V$4</f>
        <v>0</v>
      </c>
      <c r="W30" s="102">
        <f>MBunk_act!W$4</f>
        <v>0</v>
      </c>
      <c r="DA30" s="175" t="s">
        <v>388</v>
      </c>
    </row>
    <row r="31" spans="1:105" ht="11.45" customHeight="1" x14ac:dyDescent="0.25">
      <c r="A31" s="138" t="s">
        <v>171</v>
      </c>
      <c r="B31" s="86">
        <f>MBunk_act!B$5</f>
        <v>0</v>
      </c>
      <c r="C31" s="86">
        <f>MBunk_act!C$5</f>
        <v>0</v>
      </c>
      <c r="D31" s="86">
        <f>MBunk_act!D$5</f>
        <v>0</v>
      </c>
      <c r="E31" s="86">
        <f>MBunk_act!E$5</f>
        <v>0</v>
      </c>
      <c r="F31" s="86">
        <f>MBunk_act!F$5</f>
        <v>0</v>
      </c>
      <c r="G31" s="86">
        <f>MBunk_act!G$5</f>
        <v>0</v>
      </c>
      <c r="H31" s="86">
        <f>MBunk_act!H$5</f>
        <v>0</v>
      </c>
      <c r="I31" s="86">
        <f>MBunk_act!I$5</f>
        <v>0</v>
      </c>
      <c r="J31" s="86">
        <f>MBunk_act!J$5</f>
        <v>0</v>
      </c>
      <c r="K31" s="86">
        <f>MBunk_act!K$5</f>
        <v>0</v>
      </c>
      <c r="L31" s="86">
        <f>MBunk_act!L$5</f>
        <v>0</v>
      </c>
      <c r="M31" s="86">
        <f>MBunk_act!M$5</f>
        <v>0</v>
      </c>
      <c r="N31" s="86">
        <f>MBunk_act!N$5</f>
        <v>0</v>
      </c>
      <c r="O31" s="86">
        <f>MBunk_act!O$5</f>
        <v>0</v>
      </c>
      <c r="P31" s="86">
        <f>MBunk_act!P$5</f>
        <v>0</v>
      </c>
      <c r="Q31" s="86">
        <f>MBunk_act!Q$5</f>
        <v>0</v>
      </c>
      <c r="R31" s="86">
        <f>MBunk_act!R$5</f>
        <v>0</v>
      </c>
      <c r="S31" s="86">
        <f>MBunk_act!S$5</f>
        <v>0</v>
      </c>
      <c r="T31" s="86">
        <f>MBunk_act!T$5</f>
        <v>0</v>
      </c>
      <c r="U31" s="86">
        <f>MBunk_act!U$5</f>
        <v>0</v>
      </c>
      <c r="V31" s="86">
        <f>MBunk_act!V$5</f>
        <v>0</v>
      </c>
      <c r="W31" s="86">
        <f>MBunk_act!W$5</f>
        <v>0</v>
      </c>
      <c r="DA31" s="178" t="s">
        <v>389</v>
      </c>
    </row>
    <row r="32" spans="1:105" ht="11.45" customHeight="1" x14ac:dyDescent="0.25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DA32" s="171"/>
    </row>
    <row r="33" spans="1:105" ht="11.45" customHeight="1" x14ac:dyDescent="0.25">
      <c r="A33" s="53" t="s">
        <v>32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27" t="s">
        <v>33</v>
      </c>
      <c r="B34" s="28">
        <f t="shared" ref="B34:Q34" si="25">B35+B39+B43</f>
        <v>4776.9390122193981</v>
      </c>
      <c r="C34" s="28">
        <f t="shared" si="25"/>
        <v>4930.0071369742718</v>
      </c>
      <c r="D34" s="28">
        <f t="shared" si="25"/>
        <v>5346.9425566619775</v>
      </c>
      <c r="E34" s="28">
        <f t="shared" si="25"/>
        <v>5614.4815374411628</v>
      </c>
      <c r="F34" s="28">
        <f t="shared" si="25"/>
        <v>5781.97783715891</v>
      </c>
      <c r="G34" s="28">
        <f t="shared" si="25"/>
        <v>5991.7656477462815</v>
      </c>
      <c r="H34" s="28">
        <f t="shared" si="25"/>
        <v>5965.4070084523055</v>
      </c>
      <c r="I34" s="28">
        <f t="shared" si="25"/>
        <v>6117.6215422539499</v>
      </c>
      <c r="J34" s="28">
        <f t="shared" si="25"/>
        <v>5936.0852696289348</v>
      </c>
      <c r="K34" s="28">
        <f t="shared" si="25"/>
        <v>5779.8091152666148</v>
      </c>
      <c r="L34" s="28">
        <f t="shared" si="25"/>
        <v>5889.58204018991</v>
      </c>
      <c r="M34" s="28">
        <f t="shared" si="25"/>
        <v>5760.7515079043169</v>
      </c>
      <c r="N34" s="28">
        <f t="shared" si="25"/>
        <v>5676.117966841397</v>
      </c>
      <c r="O34" s="28">
        <f t="shared" si="25"/>
        <v>5720.4692862043885</v>
      </c>
      <c r="P34" s="28">
        <f t="shared" si="25"/>
        <v>5779.6535472061069</v>
      </c>
      <c r="Q34" s="28">
        <f t="shared" si="25"/>
        <v>5932.9954368900617</v>
      </c>
      <c r="R34" s="28">
        <f t="shared" ref="R34:V34" si="26">R35+R39+R43</f>
        <v>6072.9311953369197</v>
      </c>
      <c r="S34" s="28">
        <f t="shared" si="26"/>
        <v>6062.9335130102836</v>
      </c>
      <c r="T34" s="28">
        <f t="shared" si="26"/>
        <v>6131.541349838848</v>
      </c>
      <c r="U34" s="28">
        <f t="shared" si="26"/>
        <v>6128.9486776401427</v>
      </c>
      <c r="V34" s="28">
        <f t="shared" si="26"/>
        <v>4729.5860332867305</v>
      </c>
      <c r="W34" s="28">
        <f t="shared" ref="W34" si="27">W35+W39+W43</f>
        <v>4945.1151552030606</v>
      </c>
      <c r="DA34" s="173"/>
    </row>
    <row r="35" spans="1:105" ht="11.45" customHeight="1" x14ac:dyDescent="0.25">
      <c r="A35" s="136" t="str">
        <f>$A$5</f>
        <v>Road transport</v>
      </c>
      <c r="B35" s="137">
        <f t="shared" ref="B35:Q35" si="28">B36+B37+B38</f>
        <v>4017.9738239748049</v>
      </c>
      <c r="C35" s="137">
        <f t="shared" si="28"/>
        <v>4194.5590863917369</v>
      </c>
      <c r="D35" s="137">
        <f t="shared" si="28"/>
        <v>4651.8417274352578</v>
      </c>
      <c r="E35" s="137">
        <f t="shared" si="28"/>
        <v>4952.2984632502994</v>
      </c>
      <c r="F35" s="137">
        <f t="shared" si="28"/>
        <v>5038.6519595534064</v>
      </c>
      <c r="G35" s="137">
        <f t="shared" si="28"/>
        <v>5181.903187313962</v>
      </c>
      <c r="H35" s="137">
        <f t="shared" si="28"/>
        <v>5125.9571192646354</v>
      </c>
      <c r="I35" s="137">
        <f t="shared" si="28"/>
        <v>5233.7698216532763</v>
      </c>
      <c r="J35" s="137">
        <f t="shared" si="28"/>
        <v>5040.8055935753491</v>
      </c>
      <c r="K35" s="137">
        <f t="shared" si="28"/>
        <v>4968.6464317521059</v>
      </c>
      <c r="L35" s="137">
        <f t="shared" si="28"/>
        <v>5033.3666517357779</v>
      </c>
      <c r="M35" s="137">
        <f t="shared" si="28"/>
        <v>4891.1286266042089</v>
      </c>
      <c r="N35" s="137">
        <f t="shared" si="28"/>
        <v>4828.5337336973871</v>
      </c>
      <c r="O35" s="137">
        <f t="shared" si="28"/>
        <v>4913.1604591618343</v>
      </c>
      <c r="P35" s="137">
        <f t="shared" si="28"/>
        <v>4970.9933444552125</v>
      </c>
      <c r="Q35" s="137">
        <f t="shared" si="28"/>
        <v>5085.5530325415057</v>
      </c>
      <c r="R35" s="137">
        <f t="shared" ref="R35:V35" si="29">R36+R37+R38</f>
        <v>5160.9398184761912</v>
      </c>
      <c r="S35" s="137">
        <f t="shared" si="29"/>
        <v>5178.4127108898065</v>
      </c>
      <c r="T35" s="137">
        <f t="shared" si="29"/>
        <v>5161.3298143524944</v>
      </c>
      <c r="U35" s="137">
        <f t="shared" si="29"/>
        <v>5041.7428220086458</v>
      </c>
      <c r="V35" s="137">
        <f t="shared" si="29"/>
        <v>4314.8258454455172</v>
      </c>
      <c r="W35" s="137">
        <f t="shared" ref="W35" si="30">W36+W37+W38</f>
        <v>4443.5626319965459</v>
      </c>
      <c r="DA35" s="174" t="s">
        <v>390</v>
      </c>
    </row>
    <row r="36" spans="1:105" ht="11.45" customHeight="1" x14ac:dyDescent="0.25">
      <c r="A36" s="128" t="str">
        <f>$A$6</f>
        <v>Powered two-wheelers</v>
      </c>
      <c r="B36" s="102">
        <f>TrRoad_ene!B$19</f>
        <v>33.000303593944274</v>
      </c>
      <c r="C36" s="102">
        <f>TrRoad_ene!C$19</f>
        <v>33.832976219695347</v>
      </c>
      <c r="D36" s="102">
        <f>TrRoad_ene!D$19</f>
        <v>34.869744849651973</v>
      </c>
      <c r="E36" s="102">
        <f>TrRoad_ene!E$19</f>
        <v>35.859937820475459</v>
      </c>
      <c r="F36" s="102">
        <f>TrRoad_ene!F$19</f>
        <v>37.515154093892356</v>
      </c>
      <c r="G36" s="102">
        <f>TrRoad_ene!G$19</f>
        <v>38.433479539764441</v>
      </c>
      <c r="H36" s="102">
        <f>TrRoad_ene!H$19</f>
        <v>39.519213817919514</v>
      </c>
      <c r="I36" s="102">
        <f>TrRoad_ene!I$19</f>
        <v>40.929284240460149</v>
      </c>
      <c r="J36" s="102">
        <f>TrRoad_ene!J$19</f>
        <v>42.596734817887636</v>
      </c>
      <c r="K36" s="102">
        <f>TrRoad_ene!K$19</f>
        <v>44.323641730337179</v>
      </c>
      <c r="L36" s="102">
        <f>TrRoad_ene!L$19</f>
        <v>45.595928947032576</v>
      </c>
      <c r="M36" s="102">
        <f>TrRoad_ene!M$19</f>
        <v>47.078431729586889</v>
      </c>
      <c r="N36" s="102">
        <f>TrRoad_ene!N$19</f>
        <v>48.937478730496679</v>
      </c>
      <c r="O36" s="102">
        <f>TrRoad_ene!O$19</f>
        <v>50.486205742787654</v>
      </c>
      <c r="P36" s="102">
        <f>TrRoad_ene!P$19</f>
        <v>52.352164061637971</v>
      </c>
      <c r="Q36" s="102">
        <f>TrRoad_ene!Q$19</f>
        <v>53.909205805598098</v>
      </c>
      <c r="R36" s="102">
        <f>TrRoad_ene!R$19</f>
        <v>54.971742828450324</v>
      </c>
      <c r="S36" s="102">
        <f>TrRoad_ene!S$19</f>
        <v>54.055112336131508</v>
      </c>
      <c r="T36" s="102">
        <f>TrRoad_ene!T$19</f>
        <v>51.732395542643346</v>
      </c>
      <c r="U36" s="102">
        <f>TrRoad_ene!U$19</f>
        <v>54.992497047555339</v>
      </c>
      <c r="V36" s="102">
        <f>TrRoad_ene!V$19</f>
        <v>49.669317248899176</v>
      </c>
      <c r="W36" s="102">
        <f>TrRoad_ene!W$19</f>
        <v>47.407669806243213</v>
      </c>
      <c r="DA36" s="175" t="s">
        <v>391</v>
      </c>
    </row>
    <row r="37" spans="1:105" ht="11.45" customHeight="1" x14ac:dyDescent="0.25">
      <c r="A37" s="128" t="str">
        <f>$A$7</f>
        <v>Passenger cars</v>
      </c>
      <c r="B37" s="102">
        <f>TrRoad_ene!B$21</f>
        <v>3727.2279133227926</v>
      </c>
      <c r="C37" s="102">
        <f>TrRoad_ene!C$21</f>
        <v>3902.2936489252752</v>
      </c>
      <c r="D37" s="102">
        <f>TrRoad_ene!D$21</f>
        <v>4349.780674797702</v>
      </c>
      <c r="E37" s="102">
        <f>TrRoad_ene!E$21</f>
        <v>4641.4509422236042</v>
      </c>
      <c r="F37" s="102">
        <f>TrRoad_ene!F$21</f>
        <v>4729.0519499758757</v>
      </c>
      <c r="G37" s="102">
        <f>TrRoad_ene!G$21</f>
        <v>4873.0172192352657</v>
      </c>
      <c r="H37" s="102">
        <f>TrRoad_ene!H$21</f>
        <v>4821.0151732507948</v>
      </c>
      <c r="I37" s="102">
        <f>TrRoad_ene!I$21</f>
        <v>4912.425525435021</v>
      </c>
      <c r="J37" s="102">
        <f>TrRoad_ene!J$21</f>
        <v>4726.1681531838058</v>
      </c>
      <c r="K37" s="102">
        <f>TrRoad_ene!K$21</f>
        <v>4674.1750411286121</v>
      </c>
      <c r="L37" s="102">
        <f>TrRoad_ene!L$21</f>
        <v>4716.5050975875483</v>
      </c>
      <c r="M37" s="102">
        <f>TrRoad_ene!M$21</f>
        <v>4575.4684131716704</v>
      </c>
      <c r="N37" s="102">
        <f>TrRoad_ene!N$21</f>
        <v>4511.1136956038445</v>
      </c>
      <c r="O37" s="102">
        <f>TrRoad_ene!O$21</f>
        <v>4594.6245814358617</v>
      </c>
      <c r="P37" s="102">
        <f>TrRoad_ene!P$21</f>
        <v>4642.6814505024131</v>
      </c>
      <c r="Q37" s="102">
        <f>TrRoad_ene!Q$21</f>
        <v>4750.1133464361892</v>
      </c>
      <c r="R37" s="102">
        <f>TrRoad_ene!R$21</f>
        <v>4812.3917220406638</v>
      </c>
      <c r="S37" s="102">
        <f>TrRoad_ene!S$21</f>
        <v>4820.7449944162699</v>
      </c>
      <c r="T37" s="102">
        <f>TrRoad_ene!T$21</f>
        <v>4815.8741477621852</v>
      </c>
      <c r="U37" s="102">
        <f>TrRoad_ene!U$21</f>
        <v>4694.198399020619</v>
      </c>
      <c r="V37" s="102">
        <f>TrRoad_ene!V$21</f>
        <v>3972.302244057892</v>
      </c>
      <c r="W37" s="102">
        <f>TrRoad_ene!W$21</f>
        <v>4101.9573258974769</v>
      </c>
      <c r="DA37" s="175" t="s">
        <v>392</v>
      </c>
    </row>
    <row r="38" spans="1:105" ht="11.45" customHeight="1" x14ac:dyDescent="0.25">
      <c r="A38" s="128" t="str">
        <f>$A$8</f>
        <v>Motor coaches, buses and trolley buses</v>
      </c>
      <c r="B38" s="102">
        <f>TrRoad_ene!B$33</f>
        <v>257.74560705806806</v>
      </c>
      <c r="C38" s="102">
        <f>TrRoad_ene!C$33</f>
        <v>258.43246124676591</v>
      </c>
      <c r="D38" s="102">
        <f>TrRoad_ene!D$33</f>
        <v>267.19130778790316</v>
      </c>
      <c r="E38" s="102">
        <f>TrRoad_ene!E$33</f>
        <v>274.98758320621994</v>
      </c>
      <c r="F38" s="102">
        <f>TrRoad_ene!F$33</f>
        <v>272.08485548363836</v>
      </c>
      <c r="G38" s="102">
        <f>TrRoad_ene!G$33</f>
        <v>270.45248853893179</v>
      </c>
      <c r="H38" s="102">
        <f>TrRoad_ene!H$33</f>
        <v>265.42273219592158</v>
      </c>
      <c r="I38" s="102">
        <f>TrRoad_ene!I$33</f>
        <v>280.41501197779468</v>
      </c>
      <c r="J38" s="102">
        <f>TrRoad_ene!J$33</f>
        <v>272.0407055736556</v>
      </c>
      <c r="K38" s="102">
        <f>TrRoad_ene!K$33</f>
        <v>250.14774889315649</v>
      </c>
      <c r="L38" s="102">
        <f>TrRoad_ene!L$33</f>
        <v>271.26562520119643</v>
      </c>
      <c r="M38" s="102">
        <f>TrRoad_ene!M$33</f>
        <v>268.58178170295167</v>
      </c>
      <c r="N38" s="102">
        <f>TrRoad_ene!N$33</f>
        <v>268.48255936304577</v>
      </c>
      <c r="O38" s="102">
        <f>TrRoad_ene!O$33</f>
        <v>268.04967198318565</v>
      </c>
      <c r="P38" s="102">
        <f>TrRoad_ene!P$33</f>
        <v>275.95972989116132</v>
      </c>
      <c r="Q38" s="102">
        <f>TrRoad_ene!Q$33</f>
        <v>281.53048029971819</v>
      </c>
      <c r="R38" s="102">
        <f>TrRoad_ene!R$33</f>
        <v>293.57635360707701</v>
      </c>
      <c r="S38" s="102">
        <f>TrRoad_ene!S$33</f>
        <v>303.6126041374053</v>
      </c>
      <c r="T38" s="102">
        <f>TrRoad_ene!T$33</f>
        <v>293.72327104766555</v>
      </c>
      <c r="U38" s="102">
        <f>TrRoad_ene!U$33</f>
        <v>292.55192594047219</v>
      </c>
      <c r="V38" s="102">
        <f>TrRoad_ene!V$33</f>
        <v>292.85428413872597</v>
      </c>
      <c r="W38" s="102">
        <f>TrRoad_ene!W$33</f>
        <v>294.19763629282545</v>
      </c>
      <c r="DA38" s="175" t="s">
        <v>393</v>
      </c>
    </row>
    <row r="39" spans="1:105" ht="11.45" customHeight="1" x14ac:dyDescent="0.25">
      <c r="A39" s="109" t="str">
        <f>$A$9</f>
        <v>Rail, metro and tram</v>
      </c>
      <c r="B39" s="110">
        <f t="shared" ref="B39:Q39" si="31">B40+B41+B42</f>
        <v>176.24553391769223</v>
      </c>
      <c r="C39" s="110">
        <f t="shared" si="31"/>
        <v>168.42937331971126</v>
      </c>
      <c r="D39" s="110">
        <f t="shared" si="31"/>
        <v>163.43513120641578</v>
      </c>
      <c r="E39" s="110">
        <f t="shared" si="31"/>
        <v>159.26473613562854</v>
      </c>
      <c r="F39" s="110">
        <f t="shared" si="31"/>
        <v>153.64574061783912</v>
      </c>
      <c r="G39" s="110">
        <f t="shared" si="31"/>
        <v>147.19065204967347</v>
      </c>
      <c r="H39" s="110">
        <f t="shared" si="31"/>
        <v>146.68558398902854</v>
      </c>
      <c r="I39" s="110">
        <f t="shared" si="31"/>
        <v>147.27643079961609</v>
      </c>
      <c r="J39" s="110">
        <f t="shared" si="31"/>
        <v>156.10006394721103</v>
      </c>
      <c r="K39" s="110">
        <f t="shared" si="31"/>
        <v>165.06913154782038</v>
      </c>
      <c r="L39" s="110">
        <f t="shared" si="31"/>
        <v>166.70889862643455</v>
      </c>
      <c r="M39" s="110">
        <f t="shared" si="31"/>
        <v>149.70955369317983</v>
      </c>
      <c r="N39" s="110">
        <f t="shared" si="31"/>
        <v>150.13961237237234</v>
      </c>
      <c r="O39" s="110">
        <f t="shared" si="31"/>
        <v>143.83242074157511</v>
      </c>
      <c r="P39" s="110">
        <f t="shared" si="31"/>
        <v>146.8395379509783</v>
      </c>
      <c r="Q39" s="110">
        <f t="shared" si="31"/>
        <v>139.51256733593266</v>
      </c>
      <c r="R39" s="110">
        <f t="shared" ref="R39:V39" si="32">R40+R41+R42</f>
        <v>140.99490145404656</v>
      </c>
      <c r="S39" s="110">
        <f t="shared" si="32"/>
        <v>143.86010442066717</v>
      </c>
      <c r="T39" s="110">
        <f t="shared" si="32"/>
        <v>140.06978007683037</v>
      </c>
      <c r="U39" s="110">
        <f t="shared" si="32"/>
        <v>135.76757053998563</v>
      </c>
      <c r="V39" s="110">
        <f t="shared" si="32"/>
        <v>107.23137348252695</v>
      </c>
      <c r="W39" s="110">
        <f t="shared" ref="W39" si="33">W40+W41+W42</f>
        <v>113.59153156644308</v>
      </c>
      <c r="DA39" s="176" t="s">
        <v>394</v>
      </c>
    </row>
    <row r="40" spans="1:105" ht="11.45" customHeight="1" x14ac:dyDescent="0.25">
      <c r="A40" s="128" t="str">
        <f>$A$10</f>
        <v>Metro and tram, urban light rail</v>
      </c>
      <c r="B40" s="102">
        <f>TrRail_ene!B$12</f>
        <v>34.967755972194809</v>
      </c>
      <c r="C40" s="102">
        <f>TrRail_ene!C$12</f>
        <v>37.199444295029949</v>
      </c>
      <c r="D40" s="102">
        <f>TrRail_ene!D$12</f>
        <v>37.223956094577559</v>
      </c>
      <c r="E40" s="102">
        <f>TrRail_ene!E$12</f>
        <v>37.909825092672399</v>
      </c>
      <c r="F40" s="102">
        <f>TrRail_ene!F$12</f>
        <v>37.839740458879774</v>
      </c>
      <c r="G40" s="102">
        <f>TrRail_ene!G$12</f>
        <v>36.070952146202359</v>
      </c>
      <c r="H40" s="102">
        <f>TrRail_ene!H$12</f>
        <v>36.228424722117317</v>
      </c>
      <c r="I40" s="102">
        <f>TrRail_ene!I$12</f>
        <v>36.605958471771913</v>
      </c>
      <c r="J40" s="102">
        <f>TrRail_ene!J$12</f>
        <v>34.392391811663337</v>
      </c>
      <c r="K40" s="102">
        <f>TrRail_ene!K$12</f>
        <v>34.821424220050119</v>
      </c>
      <c r="L40" s="102">
        <f>TrRail_ene!L$12</f>
        <v>35.260703197580561</v>
      </c>
      <c r="M40" s="102">
        <f>TrRail_ene!M$12</f>
        <v>32.950507541509666</v>
      </c>
      <c r="N40" s="102">
        <f>TrRail_ene!N$12</f>
        <v>33.66929861730447</v>
      </c>
      <c r="O40" s="102">
        <f>TrRail_ene!O$12</f>
        <v>33.264382436671596</v>
      </c>
      <c r="P40" s="102">
        <f>TrRail_ene!P$12</f>
        <v>31.667704313555316</v>
      </c>
      <c r="Q40" s="102">
        <f>TrRail_ene!Q$12</f>
        <v>32.183907089420941</v>
      </c>
      <c r="R40" s="102">
        <f>TrRail_ene!R$12</f>
        <v>31.780705061718024</v>
      </c>
      <c r="S40" s="102">
        <f>TrRail_ene!S$12</f>
        <v>31.78505550602215</v>
      </c>
      <c r="T40" s="102">
        <f>TrRail_ene!T$12</f>
        <v>31.229985933421947</v>
      </c>
      <c r="U40" s="102">
        <f>TrRail_ene!U$12</f>
        <v>32.317609653281735</v>
      </c>
      <c r="V40" s="102">
        <f>TrRail_ene!V$12</f>
        <v>32.228168697629975</v>
      </c>
      <c r="W40" s="102">
        <f>TrRail_ene!W$12</f>
        <v>32.190619914054459</v>
      </c>
      <c r="DA40" s="175" t="s">
        <v>395</v>
      </c>
    </row>
    <row r="41" spans="1:105" ht="11.45" customHeight="1" x14ac:dyDescent="0.25">
      <c r="A41" s="128" t="str">
        <f>$A$11</f>
        <v>Conventional passenger trains</v>
      </c>
      <c r="B41" s="102">
        <f>TrRail_ene!B$13</f>
        <v>141.27777794549741</v>
      </c>
      <c r="C41" s="102">
        <f>TrRail_ene!C$13</f>
        <v>131.22992902468133</v>
      </c>
      <c r="D41" s="102">
        <f>TrRail_ene!D$13</f>
        <v>126.21117511183822</v>
      </c>
      <c r="E41" s="102">
        <f>TrRail_ene!E$13</f>
        <v>121.35491104295613</v>
      </c>
      <c r="F41" s="102">
        <f>TrRail_ene!F$13</f>
        <v>115.80600015895934</v>
      </c>
      <c r="G41" s="102">
        <f>TrRail_ene!G$13</f>
        <v>111.11969990347113</v>
      </c>
      <c r="H41" s="102">
        <f>TrRail_ene!H$13</f>
        <v>110.45715926691122</v>
      </c>
      <c r="I41" s="102">
        <f>TrRail_ene!I$13</f>
        <v>110.67047232784418</v>
      </c>
      <c r="J41" s="102">
        <f>TrRail_ene!J$13</f>
        <v>121.70767213554768</v>
      </c>
      <c r="K41" s="102">
        <f>TrRail_ene!K$13</f>
        <v>130.24770732777026</v>
      </c>
      <c r="L41" s="102">
        <f>TrRail_ene!L$13</f>
        <v>131.44819542885398</v>
      </c>
      <c r="M41" s="102">
        <f>TrRail_ene!M$13</f>
        <v>116.75904615167016</v>
      </c>
      <c r="N41" s="102">
        <f>TrRail_ene!N$13</f>
        <v>116.47031375506788</v>
      </c>
      <c r="O41" s="102">
        <f>TrRail_ene!O$13</f>
        <v>110.56803830490352</v>
      </c>
      <c r="P41" s="102">
        <f>TrRail_ene!P$13</f>
        <v>115.17183363742299</v>
      </c>
      <c r="Q41" s="102">
        <f>TrRail_ene!Q$13</f>
        <v>107.3286602465117</v>
      </c>
      <c r="R41" s="102">
        <f>TrRail_ene!R$13</f>
        <v>109.21419639232852</v>
      </c>
      <c r="S41" s="102">
        <f>TrRail_ene!S$13</f>
        <v>112.07504891464501</v>
      </c>
      <c r="T41" s="102">
        <f>TrRail_ene!T$13</f>
        <v>108.83979414340841</v>
      </c>
      <c r="U41" s="102">
        <f>TrRail_ene!U$13</f>
        <v>103.44996088670391</v>
      </c>
      <c r="V41" s="102">
        <f>TrRail_ene!V$13</f>
        <v>75.00320478489698</v>
      </c>
      <c r="W41" s="102">
        <f>TrRail_ene!W$13</f>
        <v>81.400911652388629</v>
      </c>
      <c r="DA41" s="175" t="s">
        <v>396</v>
      </c>
    </row>
    <row r="42" spans="1:105" ht="11.45" customHeight="1" x14ac:dyDescent="0.25">
      <c r="A42" s="128" t="str">
        <f>$A$12</f>
        <v>High speed passenger trains</v>
      </c>
      <c r="B42" s="102">
        <f>TrRail_ene!B$16</f>
        <v>0</v>
      </c>
      <c r="C42" s="102">
        <f>TrRail_ene!C$16</f>
        <v>0</v>
      </c>
      <c r="D42" s="102">
        <f>TrRail_ene!D$16</f>
        <v>0</v>
      </c>
      <c r="E42" s="102">
        <f>TrRail_ene!E$16</f>
        <v>0</v>
      </c>
      <c r="F42" s="102">
        <f>TrRail_ene!F$16</f>
        <v>0</v>
      </c>
      <c r="G42" s="102">
        <f>TrRail_ene!G$16</f>
        <v>0</v>
      </c>
      <c r="H42" s="102">
        <f>TrRail_ene!H$16</f>
        <v>0</v>
      </c>
      <c r="I42" s="102">
        <f>TrRail_ene!I$16</f>
        <v>0</v>
      </c>
      <c r="J42" s="102">
        <f>TrRail_ene!J$16</f>
        <v>0</v>
      </c>
      <c r="K42" s="102">
        <f>TrRail_ene!K$16</f>
        <v>0</v>
      </c>
      <c r="L42" s="102">
        <f>TrRail_ene!L$16</f>
        <v>0</v>
      </c>
      <c r="M42" s="102">
        <f>TrRail_ene!M$16</f>
        <v>0</v>
      </c>
      <c r="N42" s="102">
        <f>TrRail_ene!N$16</f>
        <v>0</v>
      </c>
      <c r="O42" s="102">
        <f>TrRail_ene!O$16</f>
        <v>0</v>
      </c>
      <c r="P42" s="102">
        <f>TrRail_ene!P$16</f>
        <v>0</v>
      </c>
      <c r="Q42" s="102">
        <f>TrRail_ene!Q$16</f>
        <v>0</v>
      </c>
      <c r="R42" s="102">
        <f>TrRail_ene!R$16</f>
        <v>0</v>
      </c>
      <c r="S42" s="102">
        <f>TrRail_ene!S$16</f>
        <v>0</v>
      </c>
      <c r="T42" s="102">
        <f>TrRail_ene!T$16</f>
        <v>0</v>
      </c>
      <c r="U42" s="102">
        <f>TrRail_ene!U$16</f>
        <v>0</v>
      </c>
      <c r="V42" s="102">
        <f>TrRail_ene!V$16</f>
        <v>0</v>
      </c>
      <c r="W42" s="102">
        <f>TrRail_ene!W$16</f>
        <v>0</v>
      </c>
      <c r="DA42" s="175" t="s">
        <v>397</v>
      </c>
    </row>
    <row r="43" spans="1:105" ht="11.45" customHeight="1" x14ac:dyDescent="0.25">
      <c r="A43" s="109" t="str">
        <f>$A$13</f>
        <v>Aviation</v>
      </c>
      <c r="B43" s="110">
        <f t="shared" ref="B43:Q43" si="34">B44+B45+B46</f>
        <v>582.7196543269007</v>
      </c>
      <c r="C43" s="110">
        <f t="shared" si="34"/>
        <v>567.0186772628241</v>
      </c>
      <c r="D43" s="110">
        <f t="shared" si="34"/>
        <v>531.66569802030472</v>
      </c>
      <c r="E43" s="110">
        <f t="shared" si="34"/>
        <v>502.9183380552347</v>
      </c>
      <c r="F43" s="110">
        <f t="shared" si="34"/>
        <v>589.68013698766447</v>
      </c>
      <c r="G43" s="110">
        <f t="shared" si="34"/>
        <v>662.67180838264653</v>
      </c>
      <c r="H43" s="110">
        <f t="shared" si="34"/>
        <v>692.76430519864164</v>
      </c>
      <c r="I43" s="110">
        <f t="shared" si="34"/>
        <v>736.57528980105781</v>
      </c>
      <c r="J43" s="110">
        <f t="shared" si="34"/>
        <v>739.17961210637395</v>
      </c>
      <c r="K43" s="110">
        <f t="shared" si="34"/>
        <v>646.09355196668844</v>
      </c>
      <c r="L43" s="110">
        <f t="shared" si="34"/>
        <v>689.50648982769781</v>
      </c>
      <c r="M43" s="110">
        <f t="shared" si="34"/>
        <v>719.9133276069274</v>
      </c>
      <c r="N43" s="110">
        <f t="shared" si="34"/>
        <v>697.44462077163735</v>
      </c>
      <c r="O43" s="110">
        <f t="shared" si="34"/>
        <v>663.4764063009784</v>
      </c>
      <c r="P43" s="110">
        <f t="shared" si="34"/>
        <v>661.82066479991624</v>
      </c>
      <c r="Q43" s="110">
        <f t="shared" si="34"/>
        <v>707.92983701262347</v>
      </c>
      <c r="R43" s="110">
        <f t="shared" ref="R43:V43" si="35">R44+R45+R46</f>
        <v>770.99647540668275</v>
      </c>
      <c r="S43" s="110">
        <f t="shared" si="35"/>
        <v>740.66069769981016</v>
      </c>
      <c r="T43" s="110">
        <f t="shared" si="35"/>
        <v>830.14175540952306</v>
      </c>
      <c r="U43" s="110">
        <f t="shared" si="35"/>
        <v>951.43828509151149</v>
      </c>
      <c r="V43" s="110">
        <f t="shared" si="35"/>
        <v>307.52881435868665</v>
      </c>
      <c r="W43" s="110">
        <f t="shared" ref="W43" si="36">W44+W45+W46</f>
        <v>387.96099164007103</v>
      </c>
      <c r="DA43" s="176" t="s">
        <v>279</v>
      </c>
    </row>
    <row r="44" spans="1:105" ht="11.45" customHeight="1" x14ac:dyDescent="0.25">
      <c r="A44" s="128" t="str">
        <f>$A$14</f>
        <v>Domestic</v>
      </c>
      <c r="B44" s="102">
        <f>TrAvia_ene!B$7</f>
        <v>34.935283356307032</v>
      </c>
      <c r="C44" s="102">
        <f>TrAvia_ene!C$7</f>
        <v>32.934431310873471</v>
      </c>
      <c r="D44" s="102">
        <f>TrAvia_ene!D$7</f>
        <v>33.956989989309442</v>
      </c>
      <c r="E44" s="102">
        <f>TrAvia_ene!E$7</f>
        <v>32.937689483442718</v>
      </c>
      <c r="F44" s="102">
        <f>TrAvia_ene!F$7</f>
        <v>34.939510361407848</v>
      </c>
      <c r="G44" s="102">
        <f>TrAvia_ene!G$7</f>
        <v>35.335140009482743</v>
      </c>
      <c r="H44" s="102">
        <f>TrAvia_ene!H$7</f>
        <v>37.147653020166636</v>
      </c>
      <c r="I44" s="102">
        <f>TrAvia_ene!I$7</f>
        <v>37.987501094214842</v>
      </c>
      <c r="J44" s="102">
        <f>TrAvia_ene!J$7</f>
        <v>37.211415933149404</v>
      </c>
      <c r="K44" s="102">
        <f>TrAvia_ene!K$7</f>
        <v>36.32302653355331</v>
      </c>
      <c r="L44" s="102">
        <f>TrAvia_ene!L$7</f>
        <v>35.288520832878618</v>
      </c>
      <c r="M44" s="102">
        <f>TrAvia_ene!M$7</f>
        <v>34.897880127790508</v>
      </c>
      <c r="N44" s="102">
        <f>TrAvia_ene!N$7</f>
        <v>32.808833115156737</v>
      </c>
      <c r="O44" s="102">
        <f>TrAvia_ene!O$7</f>
        <v>32.628585555585794</v>
      </c>
      <c r="P44" s="102">
        <f>TrAvia_ene!P$7</f>
        <v>31.617711359184199</v>
      </c>
      <c r="Q44" s="102">
        <f>TrAvia_ene!Q$7</f>
        <v>31.800895798072474</v>
      </c>
      <c r="R44" s="102">
        <f>TrAvia_ene!R$7</f>
        <v>31.241318617613963</v>
      </c>
      <c r="S44" s="102">
        <f>TrAvia_ene!S$7</f>
        <v>29.787570901462303</v>
      </c>
      <c r="T44" s="102">
        <f>TrAvia_ene!T$7</f>
        <v>31.144761514736803</v>
      </c>
      <c r="U44" s="102">
        <f>TrAvia_ene!U$7</f>
        <v>25.80409350399486</v>
      </c>
      <c r="V44" s="102">
        <f>TrAvia_ene!V$7</f>
        <v>16.680363859581263</v>
      </c>
      <c r="W44" s="102">
        <f>TrAvia_ene!W$7</f>
        <v>16.419265746036665</v>
      </c>
      <c r="DA44" s="175" t="s">
        <v>280</v>
      </c>
    </row>
    <row r="45" spans="1:105" ht="11.45" customHeight="1" x14ac:dyDescent="0.25">
      <c r="A45" s="128" t="str">
        <f>$A$15</f>
        <v>International - Intra-EEAwUK</v>
      </c>
      <c r="B45" s="102">
        <f>TrAvia_ene!B$8</f>
        <v>228.17183919665015</v>
      </c>
      <c r="C45" s="102">
        <f>TrAvia_ene!C$8</f>
        <v>231.89061863684415</v>
      </c>
      <c r="D45" s="102">
        <f>TrAvia_ene!D$8</f>
        <v>219.82706322333757</v>
      </c>
      <c r="E45" s="102">
        <f>TrAvia_ene!E$8</f>
        <v>218.28103201375947</v>
      </c>
      <c r="F45" s="102">
        <f>TrAvia_ene!F$8</f>
        <v>248.59700198787738</v>
      </c>
      <c r="G45" s="102">
        <f>TrAvia_ene!G$8</f>
        <v>281.83013812324793</v>
      </c>
      <c r="H45" s="102">
        <f>TrAvia_ene!H$8</f>
        <v>298.95472924720741</v>
      </c>
      <c r="I45" s="102">
        <f>TrAvia_ene!I$8</f>
        <v>324.07992289620239</v>
      </c>
      <c r="J45" s="102">
        <f>TrAvia_ene!J$8</f>
        <v>320.26839464484505</v>
      </c>
      <c r="K45" s="102">
        <f>TrAvia_ene!K$8</f>
        <v>270.92912391107637</v>
      </c>
      <c r="L45" s="102">
        <f>TrAvia_ene!L$8</f>
        <v>288.74156274921671</v>
      </c>
      <c r="M45" s="102">
        <f>TrAvia_ene!M$8</f>
        <v>301.55884754306618</v>
      </c>
      <c r="N45" s="102">
        <f>TrAvia_ene!N$8</f>
        <v>288.00307269647311</v>
      </c>
      <c r="O45" s="102">
        <f>TrAvia_ene!O$8</f>
        <v>271.29971781216381</v>
      </c>
      <c r="P45" s="102">
        <f>TrAvia_ene!P$8</f>
        <v>273.63953873335845</v>
      </c>
      <c r="Q45" s="102">
        <f>TrAvia_ene!Q$8</f>
        <v>295.44525284642435</v>
      </c>
      <c r="R45" s="102">
        <f>TrAvia_ene!R$8</f>
        <v>336.96834158556391</v>
      </c>
      <c r="S45" s="102">
        <f>TrAvia_ene!S$8</f>
        <v>330.05985035808146</v>
      </c>
      <c r="T45" s="102">
        <f>TrAvia_ene!T$8</f>
        <v>370.3608666745173</v>
      </c>
      <c r="U45" s="102">
        <f>TrAvia_ene!U$8</f>
        <v>418.57228214171005</v>
      </c>
      <c r="V45" s="102">
        <f>TrAvia_ene!V$8</f>
        <v>115.11601485398504</v>
      </c>
      <c r="W45" s="102">
        <f>TrAvia_ene!W$8</f>
        <v>158.95291520032842</v>
      </c>
      <c r="DA45" s="175" t="s">
        <v>281</v>
      </c>
    </row>
    <row r="46" spans="1:105" ht="11.45" customHeight="1" x14ac:dyDescent="0.25">
      <c r="A46" s="128" t="str">
        <f>$A$16</f>
        <v>International - Extra-EEAwUK</v>
      </c>
      <c r="B46" s="102">
        <f>TrAvia_ene!B$9</f>
        <v>319.61253177394349</v>
      </c>
      <c r="C46" s="102">
        <f>TrAvia_ene!C$9</f>
        <v>302.19362731510648</v>
      </c>
      <c r="D46" s="102">
        <f>TrAvia_ene!D$9</f>
        <v>277.88164480765766</v>
      </c>
      <c r="E46" s="102">
        <f>TrAvia_ene!E$9</f>
        <v>251.69961655803255</v>
      </c>
      <c r="F46" s="102">
        <f>TrAvia_ene!F$9</f>
        <v>306.14362463837926</v>
      </c>
      <c r="G46" s="102">
        <f>TrAvia_ene!G$9</f>
        <v>345.5065302499159</v>
      </c>
      <c r="H46" s="102">
        <f>TrAvia_ene!H$9</f>
        <v>356.66192293126761</v>
      </c>
      <c r="I46" s="102">
        <f>TrAvia_ene!I$9</f>
        <v>374.50786581064051</v>
      </c>
      <c r="J46" s="102">
        <f>TrAvia_ene!J$9</f>
        <v>381.69980152837945</v>
      </c>
      <c r="K46" s="102">
        <f>TrAvia_ene!K$9</f>
        <v>338.84140152205879</v>
      </c>
      <c r="L46" s="102">
        <f>TrAvia_ene!L$9</f>
        <v>365.47640624560239</v>
      </c>
      <c r="M46" s="102">
        <f>TrAvia_ene!M$9</f>
        <v>383.45659993607075</v>
      </c>
      <c r="N46" s="102">
        <f>TrAvia_ene!N$9</f>
        <v>376.63271496000743</v>
      </c>
      <c r="O46" s="102">
        <f>TrAvia_ene!O$9</f>
        <v>359.54810293322879</v>
      </c>
      <c r="P46" s="102">
        <f>TrAvia_ene!P$9</f>
        <v>356.56341470737357</v>
      </c>
      <c r="Q46" s="102">
        <f>TrAvia_ene!Q$9</f>
        <v>380.6836883681267</v>
      </c>
      <c r="R46" s="102">
        <f>TrAvia_ene!R$9</f>
        <v>402.78681520350489</v>
      </c>
      <c r="S46" s="102">
        <f>TrAvia_ene!S$9</f>
        <v>380.81327644026641</v>
      </c>
      <c r="T46" s="102">
        <f>TrAvia_ene!T$9</f>
        <v>428.63612722026892</v>
      </c>
      <c r="U46" s="102">
        <f>TrAvia_ene!U$9</f>
        <v>507.06190944580663</v>
      </c>
      <c r="V46" s="102">
        <f>TrAvia_ene!V$9</f>
        <v>175.73243564512032</v>
      </c>
      <c r="W46" s="102">
        <f>TrAvia_ene!W$9</f>
        <v>212.58881069370591</v>
      </c>
      <c r="DA46" s="175" t="s">
        <v>282</v>
      </c>
    </row>
    <row r="47" spans="1:105" ht="11.45" customHeight="1" x14ac:dyDescent="0.25">
      <c r="A47" s="27" t="s">
        <v>34</v>
      </c>
      <c r="B47" s="28">
        <f t="shared" ref="B47:Q47" si="37">B48+B51+B52+B56</f>
        <v>2001.1918572915538</v>
      </c>
      <c r="C47" s="28">
        <f t="shared" si="37"/>
        <v>2257.337955233058</v>
      </c>
      <c r="D47" s="28">
        <f t="shared" si="37"/>
        <v>2487.8738685321655</v>
      </c>
      <c r="E47" s="28">
        <f t="shared" si="37"/>
        <v>2663.3234577607404</v>
      </c>
      <c r="F47" s="28">
        <f t="shared" si="37"/>
        <v>2694.8522674771116</v>
      </c>
      <c r="G47" s="28">
        <f t="shared" si="37"/>
        <v>2827.1536620795409</v>
      </c>
      <c r="H47" s="28">
        <f t="shared" si="37"/>
        <v>2688.8169494863864</v>
      </c>
      <c r="I47" s="28">
        <f t="shared" si="37"/>
        <v>2693.7112941902474</v>
      </c>
      <c r="J47" s="28">
        <f t="shared" si="37"/>
        <v>2624.370097572375</v>
      </c>
      <c r="K47" s="28">
        <f t="shared" si="37"/>
        <v>2486.1413196856929</v>
      </c>
      <c r="L47" s="28">
        <f t="shared" si="37"/>
        <v>2681.9757657881173</v>
      </c>
      <c r="M47" s="28">
        <f t="shared" si="37"/>
        <v>2505.513952255219</v>
      </c>
      <c r="N47" s="28">
        <f t="shared" si="37"/>
        <v>2533.4716189546516</v>
      </c>
      <c r="O47" s="28">
        <f t="shared" si="37"/>
        <v>2892.818242521967</v>
      </c>
      <c r="P47" s="28">
        <f t="shared" si="37"/>
        <v>2810.297042855279</v>
      </c>
      <c r="Q47" s="28">
        <f t="shared" si="37"/>
        <v>2897.9396160218694</v>
      </c>
      <c r="R47" s="28">
        <f t="shared" ref="R47:V47" si="38">R48+R51+R52+R56</f>
        <v>2966.198541793352</v>
      </c>
      <c r="S47" s="28">
        <f t="shared" si="38"/>
        <v>3043.2097783190729</v>
      </c>
      <c r="T47" s="28">
        <f t="shared" si="38"/>
        <v>3194.4129483108372</v>
      </c>
      <c r="U47" s="28">
        <f t="shared" si="38"/>
        <v>3342.3987995062575</v>
      </c>
      <c r="V47" s="28">
        <f t="shared" si="38"/>
        <v>3019.9376649095666</v>
      </c>
      <c r="W47" s="28">
        <f t="shared" ref="W47" si="39">W48+W51+W52+W56</f>
        <v>3200.7391807733206</v>
      </c>
      <c r="DA47" s="173"/>
    </row>
    <row r="48" spans="1:105" ht="11.45" customHeight="1" x14ac:dyDescent="0.25">
      <c r="A48" s="136" t="str">
        <f>$A$18</f>
        <v>Road transport</v>
      </c>
      <c r="B48" s="137">
        <f t="shared" ref="B48:Q48" si="40">B49+B50</f>
        <v>1869.0232536186918</v>
      </c>
      <c r="C48" s="137">
        <f t="shared" si="40"/>
        <v>2126.3871236143896</v>
      </c>
      <c r="D48" s="137">
        <f t="shared" si="40"/>
        <v>2357.6642936316289</v>
      </c>
      <c r="E48" s="137">
        <f t="shared" si="40"/>
        <v>2539.1231269645014</v>
      </c>
      <c r="F48" s="137">
        <f t="shared" si="40"/>
        <v>2550.6483944377314</v>
      </c>
      <c r="G48" s="137">
        <f t="shared" si="40"/>
        <v>2681.4532678257046</v>
      </c>
      <c r="H48" s="137">
        <f t="shared" si="40"/>
        <v>2538.6131843318385</v>
      </c>
      <c r="I48" s="137">
        <f t="shared" si="40"/>
        <v>2548.3639606206725</v>
      </c>
      <c r="J48" s="137">
        <f t="shared" si="40"/>
        <v>2482.8649069019702</v>
      </c>
      <c r="K48" s="137">
        <f t="shared" si="40"/>
        <v>2364.986634326599</v>
      </c>
      <c r="L48" s="137">
        <f t="shared" si="40"/>
        <v>2551.1705179567812</v>
      </c>
      <c r="M48" s="137">
        <f t="shared" si="40"/>
        <v>2372.4771602965129</v>
      </c>
      <c r="N48" s="137">
        <f t="shared" si="40"/>
        <v>2408.3903318922989</v>
      </c>
      <c r="O48" s="137">
        <f t="shared" si="40"/>
        <v>2764.6639569247955</v>
      </c>
      <c r="P48" s="137">
        <f t="shared" si="40"/>
        <v>2683.3997219604298</v>
      </c>
      <c r="Q48" s="137">
        <f t="shared" si="40"/>
        <v>2772.0335250995745</v>
      </c>
      <c r="R48" s="137">
        <f t="shared" ref="R48:V48" si="41">R49+R50</f>
        <v>2838.1873391183976</v>
      </c>
      <c r="S48" s="137">
        <f t="shared" si="41"/>
        <v>2909.1155331480632</v>
      </c>
      <c r="T48" s="137">
        <f t="shared" si="41"/>
        <v>3057.1797718453422</v>
      </c>
      <c r="U48" s="137">
        <f t="shared" si="41"/>
        <v>3196.4285588350895</v>
      </c>
      <c r="V48" s="137">
        <f t="shared" si="41"/>
        <v>2890.1825475057244</v>
      </c>
      <c r="W48" s="137">
        <f t="shared" ref="W48" si="42">W49+W50</f>
        <v>3060.3027099987512</v>
      </c>
      <c r="DA48" s="174" t="s">
        <v>398</v>
      </c>
    </row>
    <row r="49" spans="1:105" ht="11.45" customHeight="1" x14ac:dyDescent="0.25">
      <c r="A49" s="128" t="str">
        <f>$A$19</f>
        <v>Light commercial vehicles</v>
      </c>
      <c r="B49" s="102">
        <f>TrRoad_ene!B$43</f>
        <v>431.02083018518084</v>
      </c>
      <c r="C49" s="102">
        <f>TrRoad_ene!C$43</f>
        <v>439.91509242328385</v>
      </c>
      <c r="D49" s="102">
        <f>TrRoad_ene!D$43</f>
        <v>452.185528014113</v>
      </c>
      <c r="E49" s="102">
        <f>TrRoad_ene!E$43</f>
        <v>453.91995076031901</v>
      </c>
      <c r="F49" s="102">
        <f>TrRoad_ene!F$43</f>
        <v>452.42454043936681</v>
      </c>
      <c r="G49" s="102">
        <f>TrRoad_ene!G$43</f>
        <v>460.84505998819031</v>
      </c>
      <c r="H49" s="102">
        <f>TrRoad_ene!H$43</f>
        <v>469.08485520537681</v>
      </c>
      <c r="I49" s="102">
        <f>TrRoad_ene!I$43</f>
        <v>477.80964428638248</v>
      </c>
      <c r="J49" s="102">
        <f>TrRoad_ene!J$43</f>
        <v>470.48571852583126</v>
      </c>
      <c r="K49" s="102">
        <f>TrRoad_ene!K$43</f>
        <v>465.90530978851149</v>
      </c>
      <c r="L49" s="102">
        <f>TrRoad_ene!L$43</f>
        <v>468.33125398430212</v>
      </c>
      <c r="M49" s="102">
        <f>TrRoad_ene!M$43</f>
        <v>474.98647109189886</v>
      </c>
      <c r="N49" s="102">
        <f>TrRoad_ene!N$43</f>
        <v>471.39370894878419</v>
      </c>
      <c r="O49" s="102">
        <f>TrRoad_ene!O$43</f>
        <v>484.48960034062117</v>
      </c>
      <c r="P49" s="102">
        <f>TrRoad_ene!P$43</f>
        <v>506.40821118995723</v>
      </c>
      <c r="Q49" s="102">
        <f>TrRoad_ene!Q$43</f>
        <v>520.68804587669081</v>
      </c>
      <c r="R49" s="102">
        <f>TrRoad_ene!R$43</f>
        <v>530.46019674640672</v>
      </c>
      <c r="S49" s="102">
        <f>TrRoad_ene!S$43</f>
        <v>533.46536531092829</v>
      </c>
      <c r="T49" s="102">
        <f>TrRoad_ene!T$43</f>
        <v>542.43821327295507</v>
      </c>
      <c r="U49" s="102">
        <f>TrRoad_ene!U$43</f>
        <v>557.60348578654407</v>
      </c>
      <c r="V49" s="102">
        <f>TrRoad_ene!V$43</f>
        <v>564.70007856545601</v>
      </c>
      <c r="W49" s="102">
        <f>TrRoad_ene!W$43</f>
        <v>600.15819189462763</v>
      </c>
      <c r="DA49" s="175" t="s">
        <v>399</v>
      </c>
    </row>
    <row r="50" spans="1:105" ht="11.45" customHeight="1" x14ac:dyDescent="0.25">
      <c r="A50" s="128" t="str">
        <f>$A$20</f>
        <v>Heavy goods vehicles</v>
      </c>
      <c r="B50" s="102">
        <f>TrRoad_ene!B$52</f>
        <v>1438.002423433511</v>
      </c>
      <c r="C50" s="102">
        <f>TrRoad_ene!C$52</f>
        <v>1686.4720311911055</v>
      </c>
      <c r="D50" s="102">
        <f>TrRoad_ene!D$52</f>
        <v>1905.4787656175158</v>
      </c>
      <c r="E50" s="102">
        <f>TrRoad_ene!E$52</f>
        <v>2085.2031762041825</v>
      </c>
      <c r="F50" s="102">
        <f>TrRoad_ene!F$52</f>
        <v>2098.2238539983646</v>
      </c>
      <c r="G50" s="102">
        <f>TrRoad_ene!G$52</f>
        <v>2220.6082078375143</v>
      </c>
      <c r="H50" s="102">
        <f>TrRoad_ene!H$52</f>
        <v>2069.5283291264618</v>
      </c>
      <c r="I50" s="102">
        <f>TrRoad_ene!I$52</f>
        <v>2070.55431633429</v>
      </c>
      <c r="J50" s="102">
        <f>TrRoad_ene!J$52</f>
        <v>2012.3791883761392</v>
      </c>
      <c r="K50" s="102">
        <f>TrRoad_ene!K$52</f>
        <v>1899.0813245380873</v>
      </c>
      <c r="L50" s="102">
        <f>TrRoad_ene!L$52</f>
        <v>2082.8392639724789</v>
      </c>
      <c r="M50" s="102">
        <f>TrRoad_ene!M$52</f>
        <v>1897.4906892046142</v>
      </c>
      <c r="N50" s="102">
        <f>TrRoad_ene!N$52</f>
        <v>1936.9966229435149</v>
      </c>
      <c r="O50" s="102">
        <f>TrRoad_ene!O$52</f>
        <v>2280.1743565841743</v>
      </c>
      <c r="P50" s="102">
        <f>TrRoad_ene!P$52</f>
        <v>2176.9915107704728</v>
      </c>
      <c r="Q50" s="102">
        <f>TrRoad_ene!Q$52</f>
        <v>2251.3454792228836</v>
      </c>
      <c r="R50" s="102">
        <f>TrRoad_ene!R$52</f>
        <v>2307.7271423719908</v>
      </c>
      <c r="S50" s="102">
        <f>TrRoad_ene!S$52</f>
        <v>2375.6501678371346</v>
      </c>
      <c r="T50" s="102">
        <f>TrRoad_ene!T$52</f>
        <v>2514.741558572387</v>
      </c>
      <c r="U50" s="102">
        <f>TrRoad_ene!U$52</f>
        <v>2638.8250730485456</v>
      </c>
      <c r="V50" s="102">
        <f>TrRoad_ene!V$52</f>
        <v>2325.4824689402685</v>
      </c>
      <c r="W50" s="102">
        <f>TrRoad_ene!W$52</f>
        <v>2460.1445181041236</v>
      </c>
      <c r="DA50" s="175" t="s">
        <v>400</v>
      </c>
    </row>
    <row r="51" spans="1:105" ht="11.45" customHeight="1" x14ac:dyDescent="0.25">
      <c r="A51" s="109" t="str">
        <f>$A$21</f>
        <v>Rail transport</v>
      </c>
      <c r="B51" s="110">
        <f>TrRail_ene!B$17</f>
        <v>89.649307010940575</v>
      </c>
      <c r="C51" s="110">
        <f>TrRail_ene!C$17</f>
        <v>87.233395381922421</v>
      </c>
      <c r="D51" s="110">
        <f>TrRail_ene!D$17</f>
        <v>83.240105251021873</v>
      </c>
      <c r="E51" s="110">
        <f>TrRail_ene!E$17</f>
        <v>81.51342379558379</v>
      </c>
      <c r="F51" s="110">
        <f>TrRail_ene!F$17</f>
        <v>90.12992576221248</v>
      </c>
      <c r="G51" s="110">
        <f>TrRail_ene!G$17</f>
        <v>88.994558612407317</v>
      </c>
      <c r="H51" s="110">
        <f>TrRail_ene!H$17</f>
        <v>94.167984368667049</v>
      </c>
      <c r="I51" s="110">
        <f>TrRail_ene!I$17</f>
        <v>89.53216765266248</v>
      </c>
      <c r="J51" s="110">
        <f>TrRail_ene!J$17</f>
        <v>89.209566319340993</v>
      </c>
      <c r="K51" s="110">
        <f>TrRail_ene!K$17</f>
        <v>73.933533972385987</v>
      </c>
      <c r="L51" s="110">
        <f>TrRail_ene!L$17</f>
        <v>78.287318054562874</v>
      </c>
      <c r="M51" s="110">
        <f>TrRail_ene!M$17</f>
        <v>79.100420511463327</v>
      </c>
      <c r="N51" s="110">
        <f>TrRail_ene!N$17</f>
        <v>72.314213938891569</v>
      </c>
      <c r="O51" s="110">
        <f>TrRail_ene!O$17</f>
        <v>71.437570659972579</v>
      </c>
      <c r="P51" s="110">
        <f>TrRail_ene!P$17</f>
        <v>68.075165402418065</v>
      </c>
      <c r="Q51" s="110">
        <f>TrRail_ene!Q$17</f>
        <v>66.443752526492105</v>
      </c>
      <c r="R51" s="110">
        <f>TrRail_ene!R$17</f>
        <v>65.220231821963779</v>
      </c>
      <c r="S51" s="110">
        <f>TrRail_ene!S$17</f>
        <v>66.643506929289856</v>
      </c>
      <c r="T51" s="110">
        <f>TrRail_ene!T$17</f>
        <v>67.290409089119734</v>
      </c>
      <c r="U51" s="110">
        <f>TrRail_ene!U$17</f>
        <v>68.569230835766746</v>
      </c>
      <c r="V51" s="110">
        <f>TrRail_ene!V$17</f>
        <v>80.889692725555577</v>
      </c>
      <c r="W51" s="110">
        <f>TrRail_ene!W$17</f>
        <v>77.082673076721122</v>
      </c>
      <c r="DA51" s="176" t="s">
        <v>401</v>
      </c>
    </row>
    <row r="52" spans="1:105" ht="11.45" customHeight="1" x14ac:dyDescent="0.25">
      <c r="A52" s="109" t="str">
        <f>$A$22</f>
        <v>Aviation</v>
      </c>
      <c r="B52" s="110">
        <f t="shared" ref="B52:V52" si="43">B53+B54+B55</f>
        <v>7.776734323142378</v>
      </c>
      <c r="C52" s="110">
        <f t="shared" si="43"/>
        <v>6.9304198996866546</v>
      </c>
      <c r="D52" s="110">
        <f t="shared" si="43"/>
        <v>8.1379133296522141</v>
      </c>
      <c r="E52" s="110">
        <f t="shared" si="43"/>
        <v>7.9443446618761522</v>
      </c>
      <c r="F52" s="110">
        <f t="shared" si="43"/>
        <v>12.175666967623421</v>
      </c>
      <c r="G52" s="110">
        <f t="shared" si="43"/>
        <v>15.163273302650094</v>
      </c>
      <c r="H52" s="110">
        <f t="shared" si="43"/>
        <v>16.615660407549036</v>
      </c>
      <c r="I52" s="110">
        <f t="shared" si="43"/>
        <v>15.251709339096756</v>
      </c>
      <c r="J52" s="110">
        <f t="shared" si="43"/>
        <v>13.896312227246018</v>
      </c>
      <c r="K52" s="110">
        <f t="shared" si="43"/>
        <v>11.447118712589035</v>
      </c>
      <c r="L52" s="110">
        <f t="shared" si="43"/>
        <v>12.953613353729562</v>
      </c>
      <c r="M52" s="110">
        <f t="shared" si="43"/>
        <v>15.768099736150972</v>
      </c>
      <c r="N52" s="110">
        <f t="shared" si="43"/>
        <v>15.883410182790701</v>
      </c>
      <c r="O52" s="110">
        <f t="shared" si="43"/>
        <v>17.470455263939812</v>
      </c>
      <c r="P52" s="110">
        <f t="shared" si="43"/>
        <v>18.957925053910188</v>
      </c>
      <c r="Q52" s="110">
        <f t="shared" si="43"/>
        <v>22.370936848081438</v>
      </c>
      <c r="R52" s="110">
        <f t="shared" si="43"/>
        <v>23.544281257117873</v>
      </c>
      <c r="S52" s="110">
        <f t="shared" si="43"/>
        <v>26.538184501393712</v>
      </c>
      <c r="T52" s="110">
        <f t="shared" si="43"/>
        <v>31.658158605953982</v>
      </c>
      <c r="U52" s="110">
        <f t="shared" si="43"/>
        <v>34.269109577448084</v>
      </c>
      <c r="V52" s="110">
        <f t="shared" si="43"/>
        <v>27.284427257822379</v>
      </c>
      <c r="W52" s="110">
        <f t="shared" ref="W52" si="44">W53+W54+W55</f>
        <v>31.630839830264257</v>
      </c>
      <c r="DA52" s="176" t="s">
        <v>283</v>
      </c>
    </row>
    <row r="53" spans="1:105" ht="11.45" customHeight="1" x14ac:dyDescent="0.25">
      <c r="A53" s="128" t="s">
        <v>27</v>
      </c>
      <c r="B53" s="102">
        <f>TrAvia_ene!B$11</f>
        <v>0.19420933500853202</v>
      </c>
      <c r="C53" s="102">
        <f>TrAvia_ene!C$11</f>
        <v>0.12661770030451863</v>
      </c>
      <c r="D53" s="102">
        <f>TrAvia_ene!D$11</f>
        <v>0.12151387999409029</v>
      </c>
      <c r="E53" s="102">
        <f>TrAvia_ene!E$11</f>
        <v>0.12335952773527492</v>
      </c>
      <c r="F53" s="102">
        <f>TrAvia_ene!F$11</f>
        <v>0.17321534796446639</v>
      </c>
      <c r="G53" s="102">
        <f>TrAvia_ene!G$11</f>
        <v>0.18042318914150213</v>
      </c>
      <c r="H53" s="102">
        <f>TrAvia_ene!H$11</f>
        <v>0.18768661869836853</v>
      </c>
      <c r="I53" s="102">
        <f>TrAvia_ene!I$11</f>
        <v>0.16615324800355433</v>
      </c>
      <c r="J53" s="102">
        <f>TrAvia_ene!J$11</f>
        <v>0.16622809092625374</v>
      </c>
      <c r="K53" s="102">
        <f>TrAvia_ene!K$11</f>
        <v>0.15521938218185413</v>
      </c>
      <c r="L53" s="102">
        <f>TrAvia_ene!L$11</f>
        <v>0.12583858242662327</v>
      </c>
      <c r="M53" s="102">
        <f>TrAvia_ene!M$11</f>
        <v>0.11587739585522615</v>
      </c>
      <c r="N53" s="102">
        <f>TrAvia_ene!N$11</f>
        <v>7.9043067130446107E-2</v>
      </c>
      <c r="O53" s="102">
        <f>TrAvia_ene!O$11</f>
        <v>6.2042131430534428E-2</v>
      </c>
      <c r="P53" s="102">
        <f>TrAvia_ene!P$11</f>
        <v>4.1531977015285181E-2</v>
      </c>
      <c r="Q53" s="102">
        <f>TrAvia_ene!Q$11</f>
        <v>4.3902138298973624E-2</v>
      </c>
      <c r="R53" s="102">
        <f>TrAvia_ene!R$11</f>
        <v>2.6781124432467187E-2</v>
      </c>
      <c r="S53" s="102">
        <f>TrAvia_ene!S$11</f>
        <v>2.0597628202358189E-2</v>
      </c>
      <c r="T53" s="102">
        <f>TrAvia_ene!T$11</f>
        <v>2.1790505899476821E-2</v>
      </c>
      <c r="U53" s="102">
        <f>TrAvia_ene!U$11</f>
        <v>4.9348708976614166E-3</v>
      </c>
      <c r="V53" s="102">
        <f>TrAvia_ene!V$11</f>
        <v>4.8468024995598135E-3</v>
      </c>
      <c r="W53" s="102">
        <f>TrAvia_ene!W$11</f>
        <v>6.1856727079591528E-3</v>
      </c>
      <c r="DA53" s="175" t="s">
        <v>284</v>
      </c>
    </row>
    <row r="54" spans="1:105" ht="11.45" customHeight="1" x14ac:dyDescent="0.25">
      <c r="A54" s="128" t="str">
        <f>$A$24</f>
        <v>International - Intra-EEAwUK</v>
      </c>
      <c r="B54" s="102">
        <f>TrAvia_ene!B$12</f>
        <v>4.3918912323492121</v>
      </c>
      <c r="C54" s="102">
        <f>TrAvia_ene!C$12</f>
        <v>4.0910193965511237</v>
      </c>
      <c r="D54" s="102">
        <f>TrAvia_ene!D$12</f>
        <v>5.1100499049337857</v>
      </c>
      <c r="E54" s="102">
        <f>TrAvia_ene!E$12</f>
        <v>4.97771304155909</v>
      </c>
      <c r="F54" s="102">
        <f>TrAvia_ene!F$12</f>
        <v>8.5718268406255742</v>
      </c>
      <c r="G54" s="102">
        <f>TrAvia_ene!G$12</f>
        <v>9.8939448685304381</v>
      </c>
      <c r="H54" s="102">
        <f>TrAvia_ene!H$12</f>
        <v>11.143860944718501</v>
      </c>
      <c r="I54" s="102">
        <f>TrAvia_ene!I$12</f>
        <v>9.963575816600148</v>
      </c>
      <c r="J54" s="102">
        <f>TrAvia_ene!J$12</f>
        <v>9.1778908720514423</v>
      </c>
      <c r="K54" s="102">
        <f>TrAvia_ene!K$12</f>
        <v>7.9973909198173576</v>
      </c>
      <c r="L54" s="102">
        <f>TrAvia_ene!L$12</f>
        <v>9.1838911024500121</v>
      </c>
      <c r="M54" s="102">
        <f>TrAvia_ene!M$12</f>
        <v>9.8829023545096764</v>
      </c>
      <c r="N54" s="102">
        <f>TrAvia_ene!N$12</f>
        <v>8.6919305303450933</v>
      </c>
      <c r="O54" s="102">
        <f>TrAvia_ene!O$12</f>
        <v>9.5322781525235261</v>
      </c>
      <c r="P54" s="102">
        <f>TrAvia_ene!P$12</f>
        <v>10.368385988236753</v>
      </c>
      <c r="Q54" s="102">
        <f>TrAvia_ene!Q$12</f>
        <v>9.8322406874165491</v>
      </c>
      <c r="R54" s="102">
        <f>TrAvia_ene!R$12</f>
        <v>8.7950835035610844</v>
      </c>
      <c r="S54" s="102">
        <f>TrAvia_ene!S$12</f>
        <v>10.312221568174232</v>
      </c>
      <c r="T54" s="102">
        <f>TrAvia_ene!T$12</f>
        <v>10.576540132155069</v>
      </c>
      <c r="U54" s="102">
        <f>TrAvia_ene!U$12</f>
        <v>11.030306008658588</v>
      </c>
      <c r="V54" s="102">
        <f>TrAvia_ene!V$12</f>
        <v>8.5917677758886626</v>
      </c>
      <c r="W54" s="102">
        <f>TrAvia_ene!W$12</f>
        <v>12.643702499130207</v>
      </c>
      <c r="DA54" s="175" t="s">
        <v>285</v>
      </c>
    </row>
    <row r="55" spans="1:105" ht="11.45" customHeight="1" x14ac:dyDescent="0.25">
      <c r="A55" s="128" t="str">
        <f>$A$25</f>
        <v>International - Extra-EEAwUK</v>
      </c>
      <c r="B55" s="102">
        <f>TrAvia_ene!B$13</f>
        <v>3.190633755784634</v>
      </c>
      <c r="C55" s="102">
        <f>TrAvia_ene!C$13</f>
        <v>2.7127828028310121</v>
      </c>
      <c r="D55" s="102">
        <f>TrAvia_ene!D$13</f>
        <v>2.9063495447243382</v>
      </c>
      <c r="E55" s="102">
        <f>TrAvia_ene!E$13</f>
        <v>2.8432720925817874</v>
      </c>
      <c r="F55" s="102">
        <f>TrAvia_ene!F$13</f>
        <v>3.4306247790333799</v>
      </c>
      <c r="G55" s="102">
        <f>TrAvia_ene!G$13</f>
        <v>5.0889052449781547</v>
      </c>
      <c r="H55" s="102">
        <f>TrAvia_ene!H$13</f>
        <v>5.2841128441321672</v>
      </c>
      <c r="I55" s="102">
        <f>TrAvia_ene!I$13</f>
        <v>5.121980274493052</v>
      </c>
      <c r="J55" s="102">
        <f>TrAvia_ene!J$13</f>
        <v>4.5521932642683209</v>
      </c>
      <c r="K55" s="102">
        <f>TrAvia_ene!K$13</f>
        <v>3.294508410589823</v>
      </c>
      <c r="L55" s="102">
        <f>TrAvia_ene!L$13</f>
        <v>3.6438836688529266</v>
      </c>
      <c r="M55" s="102">
        <f>TrAvia_ene!M$13</f>
        <v>5.7693199857860717</v>
      </c>
      <c r="N55" s="102">
        <f>TrAvia_ene!N$13</f>
        <v>7.1124365853151632</v>
      </c>
      <c r="O55" s="102">
        <f>TrAvia_ene!O$13</f>
        <v>7.8761349799857525</v>
      </c>
      <c r="P55" s="102">
        <f>TrAvia_ene!P$13</f>
        <v>8.5480070886581512</v>
      </c>
      <c r="Q55" s="102">
        <f>TrAvia_ene!Q$13</f>
        <v>12.494794022365916</v>
      </c>
      <c r="R55" s="102">
        <f>TrAvia_ene!R$13</f>
        <v>14.722416629124323</v>
      </c>
      <c r="S55" s="102">
        <f>TrAvia_ene!S$13</f>
        <v>16.205365305017121</v>
      </c>
      <c r="T55" s="102">
        <f>TrAvia_ene!T$13</f>
        <v>21.059827967899437</v>
      </c>
      <c r="U55" s="102">
        <f>TrAvia_ene!U$13</f>
        <v>23.233868697891836</v>
      </c>
      <c r="V55" s="102">
        <f>TrAvia_ene!V$13</f>
        <v>18.687812679434156</v>
      </c>
      <c r="W55" s="102">
        <f>TrAvia_ene!W$13</f>
        <v>18.980951658426093</v>
      </c>
      <c r="DA55" s="175" t="s">
        <v>286</v>
      </c>
    </row>
    <row r="56" spans="1:105" ht="11.45" customHeight="1" x14ac:dyDescent="0.25">
      <c r="A56" s="109" t="s">
        <v>142</v>
      </c>
      <c r="B56" s="110">
        <f t="shared" ref="B56:Q56" si="45">B57+B58</f>
        <v>34.742562338779024</v>
      </c>
      <c r="C56" s="110">
        <f t="shared" si="45"/>
        <v>36.787016337059327</v>
      </c>
      <c r="D56" s="110">
        <f t="shared" si="45"/>
        <v>38.831556319862415</v>
      </c>
      <c r="E56" s="110">
        <f t="shared" si="45"/>
        <v>34.742562338779024</v>
      </c>
      <c r="F56" s="110">
        <f t="shared" si="45"/>
        <v>41.898280309544276</v>
      </c>
      <c r="G56" s="110">
        <f t="shared" si="45"/>
        <v>41.542562338779014</v>
      </c>
      <c r="H56" s="110">
        <f t="shared" si="45"/>
        <v>39.420120378331895</v>
      </c>
      <c r="I56" s="110">
        <f t="shared" si="45"/>
        <v>40.563456577815991</v>
      </c>
      <c r="J56" s="110">
        <f t="shared" si="45"/>
        <v>38.399312123817722</v>
      </c>
      <c r="K56" s="110">
        <f t="shared" si="45"/>
        <v>35.774032674118658</v>
      </c>
      <c r="L56" s="110">
        <f t="shared" si="45"/>
        <v>39.564316423043849</v>
      </c>
      <c r="M56" s="110">
        <f t="shared" si="45"/>
        <v>38.16827171109199</v>
      </c>
      <c r="N56" s="110">
        <f t="shared" si="45"/>
        <v>36.883662940670668</v>
      </c>
      <c r="O56" s="110">
        <f t="shared" si="45"/>
        <v>39.246259673258812</v>
      </c>
      <c r="P56" s="110">
        <f t="shared" si="45"/>
        <v>39.864230438521062</v>
      </c>
      <c r="Q56" s="110">
        <f t="shared" si="45"/>
        <v>37.091401547721411</v>
      </c>
      <c r="R56" s="110">
        <f t="shared" ref="R56:V56" si="46">R57+R58</f>
        <v>39.246689595872738</v>
      </c>
      <c r="S56" s="110">
        <f t="shared" si="46"/>
        <v>40.912553740326736</v>
      </c>
      <c r="T56" s="110">
        <f t="shared" si="46"/>
        <v>38.284608770421322</v>
      </c>
      <c r="U56" s="110">
        <f t="shared" si="46"/>
        <v>43.131900257953561</v>
      </c>
      <c r="V56" s="110">
        <f t="shared" si="46"/>
        <v>21.580997420464314</v>
      </c>
      <c r="W56" s="110">
        <f t="shared" ref="W56" si="47">W57+W58</f>
        <v>31.72295786758383</v>
      </c>
      <c r="DA56" s="176" t="s">
        <v>991</v>
      </c>
    </row>
    <row r="57" spans="1:105" ht="11.45" customHeight="1" x14ac:dyDescent="0.25">
      <c r="A57" s="128" t="str">
        <f>$A$27</f>
        <v>Domestic coastal shipping</v>
      </c>
      <c r="B57" s="102">
        <f>TrNavi_ene!B4</f>
        <v>0</v>
      </c>
      <c r="C57" s="102">
        <f>TrNavi_ene!C4</f>
        <v>0</v>
      </c>
      <c r="D57" s="102">
        <f>TrNavi_ene!D4</f>
        <v>0</v>
      </c>
      <c r="E57" s="102">
        <f>TrNavi_ene!E4</f>
        <v>0</v>
      </c>
      <c r="F57" s="102">
        <f>TrNavi_ene!F4</f>
        <v>0</v>
      </c>
      <c r="G57" s="102">
        <f>TrNavi_ene!G4</f>
        <v>0</v>
      </c>
      <c r="H57" s="102">
        <f>TrNavi_ene!H4</f>
        <v>0</v>
      </c>
      <c r="I57" s="102">
        <f>TrNavi_ene!I4</f>
        <v>0</v>
      </c>
      <c r="J57" s="102">
        <f>TrNavi_ene!J4</f>
        <v>0</v>
      </c>
      <c r="K57" s="102">
        <f>TrNavi_ene!K4</f>
        <v>0</v>
      </c>
      <c r="L57" s="102">
        <f>TrNavi_ene!L4</f>
        <v>0</v>
      </c>
      <c r="M57" s="102">
        <f>TrNavi_ene!M4</f>
        <v>0</v>
      </c>
      <c r="N57" s="102">
        <f>TrNavi_ene!N4</f>
        <v>0</v>
      </c>
      <c r="O57" s="102">
        <f>TrNavi_ene!O4</f>
        <v>0</v>
      </c>
      <c r="P57" s="102">
        <f>TrNavi_ene!P4</f>
        <v>0</v>
      </c>
      <c r="Q57" s="102">
        <f>TrNavi_ene!Q4</f>
        <v>0</v>
      </c>
      <c r="R57" s="102">
        <f>TrNavi_ene!R4</f>
        <v>0</v>
      </c>
      <c r="S57" s="102">
        <f>TrNavi_ene!S4</f>
        <v>0</v>
      </c>
      <c r="T57" s="102">
        <f>TrNavi_ene!T4</f>
        <v>0</v>
      </c>
      <c r="U57" s="102">
        <f>TrNavi_ene!U4</f>
        <v>0</v>
      </c>
      <c r="V57" s="102">
        <f>TrNavi_ene!V4</f>
        <v>0</v>
      </c>
      <c r="W57" s="102">
        <f>TrNavi_ene!W4</f>
        <v>0</v>
      </c>
      <c r="DA57" s="175" t="s">
        <v>992</v>
      </c>
    </row>
    <row r="58" spans="1:105" ht="11.45" customHeight="1" x14ac:dyDescent="0.25">
      <c r="A58" s="166" t="str">
        <f>$A$28</f>
        <v>Inland waterways</v>
      </c>
      <c r="B58" s="169">
        <f>TrNavi_ene!B10</f>
        <v>34.742562338779024</v>
      </c>
      <c r="C58" s="169">
        <f>TrNavi_ene!C10</f>
        <v>36.787016337059327</v>
      </c>
      <c r="D58" s="169">
        <f>TrNavi_ene!D10</f>
        <v>38.831556319862415</v>
      </c>
      <c r="E58" s="169">
        <f>TrNavi_ene!E10</f>
        <v>34.742562338779024</v>
      </c>
      <c r="F58" s="169">
        <f>TrNavi_ene!F10</f>
        <v>41.898280309544276</v>
      </c>
      <c r="G58" s="169">
        <f>TrNavi_ene!G10</f>
        <v>41.542562338779014</v>
      </c>
      <c r="H58" s="169">
        <f>TrNavi_ene!H10</f>
        <v>39.420120378331895</v>
      </c>
      <c r="I58" s="169">
        <f>TrNavi_ene!I10</f>
        <v>40.563456577815991</v>
      </c>
      <c r="J58" s="169">
        <f>TrNavi_ene!J10</f>
        <v>38.399312123817722</v>
      </c>
      <c r="K58" s="169">
        <f>TrNavi_ene!K10</f>
        <v>35.774032674118658</v>
      </c>
      <c r="L58" s="169">
        <f>TrNavi_ene!L10</f>
        <v>39.564316423043849</v>
      </c>
      <c r="M58" s="169">
        <f>TrNavi_ene!M10</f>
        <v>38.16827171109199</v>
      </c>
      <c r="N58" s="169">
        <f>TrNavi_ene!N10</f>
        <v>36.883662940670668</v>
      </c>
      <c r="O58" s="169">
        <f>TrNavi_ene!O10</f>
        <v>39.246259673258812</v>
      </c>
      <c r="P58" s="169">
        <f>TrNavi_ene!P10</f>
        <v>39.864230438521062</v>
      </c>
      <c r="Q58" s="169">
        <f>TrNavi_ene!Q10</f>
        <v>37.091401547721411</v>
      </c>
      <c r="R58" s="169">
        <f>TrNavi_ene!R10</f>
        <v>39.246689595872738</v>
      </c>
      <c r="S58" s="169">
        <f>TrNavi_ene!S10</f>
        <v>40.912553740326736</v>
      </c>
      <c r="T58" s="169">
        <f>TrNavi_ene!T10</f>
        <v>38.284608770421322</v>
      </c>
      <c r="U58" s="169">
        <f>TrNavi_ene!U10</f>
        <v>43.131900257953561</v>
      </c>
      <c r="V58" s="169">
        <f>TrNavi_ene!V10</f>
        <v>21.580997420464314</v>
      </c>
      <c r="W58" s="169">
        <f>TrNavi_ene!W10</f>
        <v>31.72295786758383</v>
      </c>
      <c r="DA58" s="177" t="s">
        <v>993</v>
      </c>
    </row>
    <row r="59" spans="1:105" ht="11.45" customHeight="1" x14ac:dyDescent="0.25">
      <c r="A59" s="27" t="s">
        <v>176</v>
      </c>
      <c r="B59" s="28">
        <f>B60+B61</f>
        <v>0</v>
      </c>
      <c r="C59" s="28">
        <f t="shared" ref="C59:W59" si="48">C60+C61</f>
        <v>0</v>
      </c>
      <c r="D59" s="28">
        <f t="shared" si="48"/>
        <v>0</v>
      </c>
      <c r="E59" s="28">
        <f t="shared" si="48"/>
        <v>0</v>
      </c>
      <c r="F59" s="28">
        <f t="shared" si="48"/>
        <v>0</v>
      </c>
      <c r="G59" s="28">
        <f t="shared" si="48"/>
        <v>0</v>
      </c>
      <c r="H59" s="28">
        <f t="shared" si="48"/>
        <v>0</v>
      </c>
      <c r="I59" s="28">
        <f t="shared" si="48"/>
        <v>0</v>
      </c>
      <c r="J59" s="28">
        <f t="shared" si="48"/>
        <v>0</v>
      </c>
      <c r="K59" s="28">
        <f t="shared" si="48"/>
        <v>0</v>
      </c>
      <c r="L59" s="28">
        <f t="shared" si="48"/>
        <v>0</v>
      </c>
      <c r="M59" s="28">
        <f t="shared" si="48"/>
        <v>0</v>
      </c>
      <c r="N59" s="28">
        <f t="shared" si="48"/>
        <v>0</v>
      </c>
      <c r="O59" s="28">
        <f t="shared" si="48"/>
        <v>0</v>
      </c>
      <c r="P59" s="28">
        <f t="shared" si="48"/>
        <v>0</v>
      </c>
      <c r="Q59" s="28">
        <f t="shared" si="48"/>
        <v>0</v>
      </c>
      <c r="R59" s="28">
        <f t="shared" si="48"/>
        <v>0</v>
      </c>
      <c r="S59" s="28">
        <f t="shared" si="48"/>
        <v>0</v>
      </c>
      <c r="T59" s="28">
        <f t="shared" si="48"/>
        <v>0</v>
      </c>
      <c r="U59" s="28">
        <f t="shared" si="48"/>
        <v>0</v>
      </c>
      <c r="V59" s="28">
        <f t="shared" si="48"/>
        <v>0</v>
      </c>
      <c r="W59" s="28">
        <f t="shared" si="48"/>
        <v>0</v>
      </c>
      <c r="DA59" s="173" t="s">
        <v>954</v>
      </c>
    </row>
    <row r="60" spans="1:105" ht="11.45" customHeight="1" x14ac:dyDescent="0.25">
      <c r="A60" s="128" t="str">
        <f>$A$30</f>
        <v>Intra-EEA</v>
      </c>
      <c r="B60" s="102">
        <f>MBunk_ene!B$4</f>
        <v>0</v>
      </c>
      <c r="C60" s="102">
        <f>MBunk_ene!C$4</f>
        <v>0</v>
      </c>
      <c r="D60" s="102">
        <f>MBunk_ene!D$4</f>
        <v>0</v>
      </c>
      <c r="E60" s="102">
        <f>MBunk_ene!E$4</f>
        <v>0</v>
      </c>
      <c r="F60" s="102">
        <f>MBunk_ene!F$4</f>
        <v>0</v>
      </c>
      <c r="G60" s="102">
        <f>MBunk_ene!G$4</f>
        <v>0</v>
      </c>
      <c r="H60" s="102">
        <f>MBunk_ene!H$4</f>
        <v>0</v>
      </c>
      <c r="I60" s="102">
        <f>MBunk_ene!I$4</f>
        <v>0</v>
      </c>
      <c r="J60" s="102">
        <f>MBunk_ene!J$4</f>
        <v>0</v>
      </c>
      <c r="K60" s="102">
        <f>MBunk_ene!K$4</f>
        <v>0</v>
      </c>
      <c r="L60" s="102">
        <f>MBunk_ene!L$4</f>
        <v>0</v>
      </c>
      <c r="M60" s="102">
        <f>MBunk_ene!M$4</f>
        <v>0</v>
      </c>
      <c r="N60" s="102">
        <f>MBunk_ene!N$4</f>
        <v>0</v>
      </c>
      <c r="O60" s="102">
        <f>MBunk_ene!O$4</f>
        <v>0</v>
      </c>
      <c r="P60" s="102">
        <f>MBunk_ene!P$4</f>
        <v>0</v>
      </c>
      <c r="Q60" s="102">
        <f>MBunk_ene!Q$4</f>
        <v>0</v>
      </c>
      <c r="R60" s="102">
        <f>MBunk_ene!R$4</f>
        <v>0</v>
      </c>
      <c r="S60" s="102">
        <f>MBunk_ene!S$4</f>
        <v>0</v>
      </c>
      <c r="T60" s="102">
        <f>MBunk_ene!T$4</f>
        <v>0</v>
      </c>
      <c r="U60" s="102">
        <f>MBunk_ene!U$4</f>
        <v>0</v>
      </c>
      <c r="V60" s="102">
        <f>MBunk_ene!V$4</f>
        <v>0</v>
      </c>
      <c r="W60" s="102">
        <f>MBunk_ene!W$4</f>
        <v>0</v>
      </c>
      <c r="DA60" s="175" t="s">
        <v>955</v>
      </c>
    </row>
    <row r="61" spans="1:105" ht="11.45" customHeight="1" x14ac:dyDescent="0.25">
      <c r="A61" s="138" t="str">
        <f>$A$31</f>
        <v>Extra-EEA</v>
      </c>
      <c r="B61" s="86">
        <f>MBunk_ene!B$10</f>
        <v>0</v>
      </c>
      <c r="C61" s="86">
        <f>MBunk_ene!C$10</f>
        <v>0</v>
      </c>
      <c r="D61" s="86">
        <f>MBunk_ene!D$10</f>
        <v>0</v>
      </c>
      <c r="E61" s="86">
        <f>MBunk_ene!E$10</f>
        <v>0</v>
      </c>
      <c r="F61" s="86">
        <f>MBunk_ene!F$10</f>
        <v>0</v>
      </c>
      <c r="G61" s="86">
        <f>MBunk_ene!G$10</f>
        <v>0</v>
      </c>
      <c r="H61" s="86">
        <f>MBunk_ene!H$10</f>
        <v>0</v>
      </c>
      <c r="I61" s="86">
        <f>MBunk_ene!I$10</f>
        <v>0</v>
      </c>
      <c r="J61" s="86">
        <f>MBunk_ene!J$10</f>
        <v>0</v>
      </c>
      <c r="K61" s="86">
        <f>MBunk_ene!K$10</f>
        <v>0</v>
      </c>
      <c r="L61" s="86">
        <f>MBunk_ene!L$10</f>
        <v>0</v>
      </c>
      <c r="M61" s="86">
        <f>MBunk_ene!M$10</f>
        <v>0</v>
      </c>
      <c r="N61" s="86">
        <f>MBunk_ene!N$10</f>
        <v>0</v>
      </c>
      <c r="O61" s="86">
        <f>MBunk_ene!O$10</f>
        <v>0</v>
      </c>
      <c r="P61" s="86">
        <f>MBunk_ene!P$10</f>
        <v>0</v>
      </c>
      <c r="Q61" s="86">
        <f>MBunk_ene!Q$10</f>
        <v>0</v>
      </c>
      <c r="R61" s="86">
        <f>MBunk_ene!R$10</f>
        <v>0</v>
      </c>
      <c r="S61" s="86">
        <f>MBunk_ene!S$10</f>
        <v>0</v>
      </c>
      <c r="T61" s="86">
        <f>MBunk_ene!T$10</f>
        <v>0</v>
      </c>
      <c r="U61" s="86">
        <f>MBunk_ene!U$10</f>
        <v>0</v>
      </c>
      <c r="V61" s="86">
        <f>MBunk_ene!V$10</f>
        <v>0</v>
      </c>
      <c r="W61" s="86">
        <f>MBunk_ene!W$10</f>
        <v>0</v>
      </c>
      <c r="DA61" s="178" t="s">
        <v>956</v>
      </c>
    </row>
    <row r="62" spans="1:105" ht="11.45" customHeight="1" x14ac:dyDescent="0.25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DA62" s="171"/>
    </row>
    <row r="63" spans="1:105" ht="11.45" customHeight="1" x14ac:dyDescent="0.25">
      <c r="A63" s="53" t="s">
        <v>35</v>
      </c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DA63" s="172"/>
    </row>
    <row r="64" spans="1:105" ht="11.45" customHeight="1" x14ac:dyDescent="0.25">
      <c r="A64" s="27" t="s">
        <v>33</v>
      </c>
      <c r="B64" s="28">
        <f t="shared" ref="B64:Q64" si="49">B65+B69+B73</f>
        <v>13887.581345612622</v>
      </c>
      <c r="C64" s="28">
        <f t="shared" si="49"/>
        <v>14383.419123476726</v>
      </c>
      <c r="D64" s="28">
        <f t="shared" si="49"/>
        <v>15658.007981087043</v>
      </c>
      <c r="E64" s="28">
        <f t="shared" si="49"/>
        <v>16495.680617217404</v>
      </c>
      <c r="F64" s="28">
        <f t="shared" si="49"/>
        <v>17032.531600790502</v>
      </c>
      <c r="G64" s="28">
        <f t="shared" si="49"/>
        <v>17627.845178184849</v>
      </c>
      <c r="H64" s="28">
        <f t="shared" si="49"/>
        <v>17241.59324531705</v>
      </c>
      <c r="I64" s="28">
        <f t="shared" si="49"/>
        <v>17576.645320578547</v>
      </c>
      <c r="J64" s="28">
        <f t="shared" si="49"/>
        <v>16849.811848747828</v>
      </c>
      <c r="K64" s="28">
        <f t="shared" si="49"/>
        <v>16119.204827290798</v>
      </c>
      <c r="L64" s="28">
        <f t="shared" si="49"/>
        <v>16490.787733766112</v>
      </c>
      <c r="M64" s="28">
        <f t="shared" si="49"/>
        <v>16120.612974762334</v>
      </c>
      <c r="N64" s="28">
        <f t="shared" si="49"/>
        <v>15889.933442360601</v>
      </c>
      <c r="O64" s="28">
        <f t="shared" si="49"/>
        <v>16064.813770852988</v>
      </c>
      <c r="P64" s="28">
        <f t="shared" si="49"/>
        <v>16074.917399295899</v>
      </c>
      <c r="Q64" s="28">
        <f t="shared" si="49"/>
        <v>16446.904893931769</v>
      </c>
      <c r="R64" s="28">
        <f t="shared" ref="R64:V64" si="50">R65+R69+R73</f>
        <v>17065.131303424772</v>
      </c>
      <c r="S64" s="28">
        <f t="shared" si="50"/>
        <v>17154.128184489</v>
      </c>
      <c r="T64" s="28">
        <f t="shared" si="50"/>
        <v>17346.886760725374</v>
      </c>
      <c r="U64" s="28">
        <f t="shared" si="50"/>
        <v>17375.634288849626</v>
      </c>
      <c r="V64" s="28">
        <f t="shared" si="50"/>
        <v>13341.71230520803</v>
      </c>
      <c r="W64" s="28">
        <f t="shared" ref="W64" si="51">W65+W69+W73</f>
        <v>13931.00285604553</v>
      </c>
      <c r="DA64" s="173"/>
    </row>
    <row r="65" spans="1:105" ht="11.45" customHeight="1" x14ac:dyDescent="0.25">
      <c r="A65" s="136" t="str">
        <f>$A$5</f>
        <v>Road transport</v>
      </c>
      <c r="B65" s="137">
        <f t="shared" ref="B65:Q65" si="52">B66+B67+B68</f>
        <v>12035.665434441542</v>
      </c>
      <c r="C65" s="137">
        <f t="shared" si="52"/>
        <v>12578.492191073603</v>
      </c>
      <c r="D65" s="137">
        <f t="shared" si="52"/>
        <v>13957.718343792651</v>
      </c>
      <c r="E65" s="137">
        <f t="shared" si="52"/>
        <v>14875.582427872139</v>
      </c>
      <c r="F65" s="137">
        <f t="shared" si="52"/>
        <v>15152.057547661037</v>
      </c>
      <c r="G65" s="137">
        <f t="shared" si="52"/>
        <v>15516.994272086884</v>
      </c>
      <c r="H65" s="137">
        <f t="shared" si="52"/>
        <v>15047.532137009353</v>
      </c>
      <c r="I65" s="137">
        <f t="shared" si="52"/>
        <v>15251.45525990932</v>
      </c>
      <c r="J65" s="137">
        <f t="shared" si="52"/>
        <v>14498.080935917938</v>
      </c>
      <c r="K65" s="137">
        <f t="shared" si="52"/>
        <v>14042.86147725417</v>
      </c>
      <c r="L65" s="137">
        <f t="shared" si="52"/>
        <v>14288.160013755061</v>
      </c>
      <c r="M65" s="137">
        <f t="shared" si="52"/>
        <v>13846.968391900738</v>
      </c>
      <c r="N65" s="137">
        <f t="shared" si="52"/>
        <v>13679.217832952661</v>
      </c>
      <c r="O65" s="137">
        <f t="shared" si="52"/>
        <v>13973.192358746921</v>
      </c>
      <c r="P65" s="137">
        <f t="shared" si="52"/>
        <v>13979.264261293763</v>
      </c>
      <c r="Q65" s="137">
        <f t="shared" si="52"/>
        <v>14237.469480213096</v>
      </c>
      <c r="R65" s="137">
        <f t="shared" ref="R65:V65" si="53">R66+R67+R68</f>
        <v>14665.233565320559</v>
      </c>
      <c r="S65" s="137">
        <f t="shared" si="53"/>
        <v>14838.641339713096</v>
      </c>
      <c r="T65" s="137">
        <f t="shared" si="53"/>
        <v>14765.513629878327</v>
      </c>
      <c r="U65" s="137">
        <f t="shared" si="53"/>
        <v>14429.850648635838</v>
      </c>
      <c r="V65" s="137">
        <f t="shared" si="53"/>
        <v>12350.558522913985</v>
      </c>
      <c r="W65" s="137">
        <f t="shared" ref="W65" si="54">W66+W67+W68</f>
        <v>12697.582390588104</v>
      </c>
      <c r="DA65" s="174" t="s">
        <v>402</v>
      </c>
    </row>
    <row r="66" spans="1:105" ht="11.45" customHeight="1" x14ac:dyDescent="0.25">
      <c r="A66" s="128" t="str">
        <f>$A$6</f>
        <v>Powered two-wheelers</v>
      </c>
      <c r="B66" s="102">
        <f>TrRoad_emi!B$19</f>
        <v>95.748810063378244</v>
      </c>
      <c r="C66" s="102">
        <f>TrRoad_emi!C$19</f>
        <v>98.164770051777992</v>
      </c>
      <c r="D66" s="102">
        <f>TrRoad_emi!D$19</f>
        <v>101.17290488141036</v>
      </c>
      <c r="E66" s="102">
        <f>TrRoad_emi!E$19</f>
        <v>104.04590265306929</v>
      </c>
      <c r="F66" s="102">
        <f>TrRoad_emi!F$19</f>
        <v>108.8484338820938</v>
      </c>
      <c r="G66" s="102">
        <f>TrRoad_emi!G$19</f>
        <v>111.52496490971674</v>
      </c>
      <c r="H66" s="102">
        <f>TrRoad_emi!H$19</f>
        <v>114.6783849669454</v>
      </c>
      <c r="I66" s="102">
        <f>TrRoad_emi!I$19</f>
        <v>117.99844142562365</v>
      </c>
      <c r="J66" s="102">
        <f>TrRoad_emi!J$19</f>
        <v>120.2093519246074</v>
      </c>
      <c r="K66" s="102">
        <f>TrRoad_emi!K$19</f>
        <v>123.21738466447958</v>
      </c>
      <c r="L66" s="102">
        <f>TrRoad_emi!L$19</f>
        <v>126.72767922654425</v>
      </c>
      <c r="M66" s="102">
        <f>TrRoad_emi!M$19</f>
        <v>130.47082090713417</v>
      </c>
      <c r="N66" s="102">
        <f>TrRoad_emi!N$19</f>
        <v>135.44840500538112</v>
      </c>
      <c r="O66" s="102">
        <f>TrRoad_emi!O$19</f>
        <v>140.60086636781861</v>
      </c>
      <c r="P66" s="102">
        <f>TrRoad_emi!P$19</f>
        <v>145.99631995492729</v>
      </c>
      <c r="Q66" s="102">
        <f>TrRoad_emi!Q$19</f>
        <v>150.69316121251785</v>
      </c>
      <c r="R66" s="102">
        <f>TrRoad_emi!R$19</f>
        <v>153.8598392193405</v>
      </c>
      <c r="S66" s="102">
        <f>TrRoad_emi!S$19</f>
        <v>151.34559272298367</v>
      </c>
      <c r="T66" s="102">
        <f>TrRoad_emi!T$19</f>
        <v>144.88273189094625</v>
      </c>
      <c r="U66" s="102">
        <f>TrRoad_emi!U$19</f>
        <v>154.09026586277159</v>
      </c>
      <c r="V66" s="102">
        <f>TrRoad_emi!V$19</f>
        <v>138.22453417042013</v>
      </c>
      <c r="W66" s="102">
        <f>TrRoad_emi!W$19</f>
        <v>132.59830074960479</v>
      </c>
      <c r="DA66" s="175" t="s">
        <v>403</v>
      </c>
    </row>
    <row r="67" spans="1:105" ht="11.45" customHeight="1" x14ac:dyDescent="0.25">
      <c r="A67" s="128" t="str">
        <f>$A$7</f>
        <v>Passenger cars</v>
      </c>
      <c r="B67" s="102">
        <f>TrRoad_emi!B$20</f>
        <v>11148.386374768146</v>
      </c>
      <c r="C67" s="102">
        <f>TrRoad_emi!C$20</f>
        <v>11686.479927693821</v>
      </c>
      <c r="D67" s="102">
        <f>TrRoad_emi!D$20</f>
        <v>13035.498495447424</v>
      </c>
      <c r="E67" s="102">
        <f>TrRoad_emi!E$20</f>
        <v>13926.228839072266</v>
      </c>
      <c r="F67" s="102">
        <f>TrRoad_emi!F$20</f>
        <v>14206.897826769997</v>
      </c>
      <c r="G67" s="102">
        <f>TrRoad_emi!G$20</f>
        <v>14582.210029457043</v>
      </c>
      <c r="H67" s="102">
        <f>TrRoad_emi!H$20</f>
        <v>14151.612369964236</v>
      </c>
      <c r="I67" s="102">
        <f>TrRoad_emi!I$20</f>
        <v>14315.197617984421</v>
      </c>
      <c r="J67" s="102">
        <f>TrRoad_emi!J$20</f>
        <v>13590.82643558657</v>
      </c>
      <c r="K67" s="102">
        <f>TrRoad_emi!K$20</f>
        <v>13212.594218976505</v>
      </c>
      <c r="L67" s="102">
        <f>TrRoad_emi!L$20</f>
        <v>13390.752815500859</v>
      </c>
      <c r="M67" s="102">
        <f>TrRoad_emi!M$20</f>
        <v>12955.910247737305</v>
      </c>
      <c r="N67" s="102">
        <f>TrRoad_emi!N$20</f>
        <v>12782.977858180202</v>
      </c>
      <c r="O67" s="102">
        <f>TrRoad_emi!O$20</f>
        <v>13072.616026842379</v>
      </c>
      <c r="P67" s="102">
        <f>TrRoad_emi!P$20</f>
        <v>13064.610923215632</v>
      </c>
      <c r="Q67" s="102">
        <f>TrRoad_emi!Q$20</f>
        <v>13307.963123471858</v>
      </c>
      <c r="R67" s="102">
        <f>TrRoad_emi!R$20</f>
        <v>13682.08365627549</v>
      </c>
      <c r="S67" s="102">
        <f>TrRoad_emi!S$20</f>
        <v>13818.597005469748</v>
      </c>
      <c r="T67" s="102">
        <f>TrRoad_emi!T$20</f>
        <v>13782.101136527777</v>
      </c>
      <c r="U67" s="102">
        <f>TrRoad_emi!U$20</f>
        <v>13440.164828533496</v>
      </c>
      <c r="V67" s="102">
        <f>TrRoad_emi!V$20</f>
        <v>11373.52322148217</v>
      </c>
      <c r="W67" s="102">
        <f>TrRoad_emi!W$20</f>
        <v>11722.428268546002</v>
      </c>
      <c r="DA67" s="175" t="s">
        <v>404</v>
      </c>
    </row>
    <row r="68" spans="1:105" ht="11.45" customHeight="1" x14ac:dyDescent="0.25">
      <c r="A68" s="128" t="str">
        <f>$A$8</f>
        <v>Motor coaches, buses and trolley buses</v>
      </c>
      <c r="B68" s="102">
        <f>TrRoad_emi!B$27</f>
        <v>791.53024961001677</v>
      </c>
      <c r="C68" s="102">
        <f>TrRoad_emi!C$27</f>
        <v>793.84749332800311</v>
      </c>
      <c r="D68" s="102">
        <f>TrRoad_emi!D$27</f>
        <v>821.04694346381609</v>
      </c>
      <c r="E68" s="102">
        <f>TrRoad_emi!E$27</f>
        <v>845.30768614680346</v>
      </c>
      <c r="F68" s="102">
        <f>TrRoad_emi!F$27</f>
        <v>836.31128700894703</v>
      </c>
      <c r="G68" s="102">
        <f>TrRoad_emi!G$27</f>
        <v>823.25927772012449</v>
      </c>
      <c r="H68" s="102">
        <f>TrRoad_emi!H$27</f>
        <v>781.24138207817282</v>
      </c>
      <c r="I68" s="102">
        <f>TrRoad_emi!I$27</f>
        <v>818.25920049927709</v>
      </c>
      <c r="J68" s="102">
        <f>TrRoad_emi!J$27</f>
        <v>787.04514840675927</v>
      </c>
      <c r="K68" s="102">
        <f>TrRoad_emi!K$27</f>
        <v>707.04987361318433</v>
      </c>
      <c r="L68" s="102">
        <f>TrRoad_emi!L$27</f>
        <v>770.6795190276581</v>
      </c>
      <c r="M68" s="102">
        <f>TrRoad_emi!M$27</f>
        <v>760.58732325629853</v>
      </c>
      <c r="N68" s="102">
        <f>TrRoad_emi!N$27</f>
        <v>760.79156976707873</v>
      </c>
      <c r="O68" s="102">
        <f>TrRoad_emi!O$27</f>
        <v>759.97546553672316</v>
      </c>
      <c r="P68" s="102">
        <f>TrRoad_emi!P$27</f>
        <v>768.65701812320344</v>
      </c>
      <c r="Q68" s="102">
        <f>TrRoad_emi!Q$27</f>
        <v>778.8131955287206</v>
      </c>
      <c r="R68" s="102">
        <f>TrRoad_emi!R$27</f>
        <v>829.2900698257281</v>
      </c>
      <c r="S68" s="102">
        <f>TrRoad_emi!S$27</f>
        <v>868.69874152036436</v>
      </c>
      <c r="T68" s="102">
        <f>TrRoad_emi!T$27</f>
        <v>838.52976145960395</v>
      </c>
      <c r="U68" s="102">
        <f>TrRoad_emi!U$27</f>
        <v>835.59555423957227</v>
      </c>
      <c r="V68" s="102">
        <f>TrRoad_emi!V$27</f>
        <v>838.81076726139531</v>
      </c>
      <c r="W68" s="102">
        <f>TrRoad_emi!W$27</f>
        <v>842.55582129249694</v>
      </c>
      <c r="DA68" s="175" t="s">
        <v>405</v>
      </c>
    </row>
    <row r="69" spans="1:105" ht="11.45" customHeight="1" x14ac:dyDescent="0.25">
      <c r="A69" s="109" t="str">
        <f>$A$9</f>
        <v>Rail, metro and tram</v>
      </c>
      <c r="B69" s="110">
        <f t="shared" ref="B69:Q69" si="55">B70+B71+B72</f>
        <v>97.910562062538858</v>
      </c>
      <c r="C69" s="110">
        <f t="shared" si="55"/>
        <v>98.186653967833678</v>
      </c>
      <c r="D69" s="110">
        <f t="shared" si="55"/>
        <v>100.05344939504177</v>
      </c>
      <c r="E69" s="110">
        <f t="shared" si="55"/>
        <v>106.31976770323159</v>
      </c>
      <c r="F69" s="110">
        <f t="shared" si="55"/>
        <v>105.59613383763576</v>
      </c>
      <c r="G69" s="110">
        <f t="shared" si="55"/>
        <v>116.22830195416742</v>
      </c>
      <c r="H69" s="110">
        <f t="shared" si="55"/>
        <v>108.85731589774267</v>
      </c>
      <c r="I69" s="110">
        <f t="shared" si="55"/>
        <v>108.10084724227366</v>
      </c>
      <c r="J69" s="110">
        <f t="shared" si="55"/>
        <v>126.80846793776891</v>
      </c>
      <c r="K69" s="110">
        <f t="shared" si="55"/>
        <v>131.66537060987054</v>
      </c>
      <c r="L69" s="110">
        <f t="shared" si="55"/>
        <v>127.23549294221652</v>
      </c>
      <c r="M69" s="110">
        <f t="shared" si="55"/>
        <v>106.83766559394952</v>
      </c>
      <c r="N69" s="110">
        <f t="shared" si="55"/>
        <v>111.39876654565045</v>
      </c>
      <c r="O69" s="110">
        <f t="shared" si="55"/>
        <v>94.537444635368303</v>
      </c>
      <c r="P69" s="110">
        <f t="shared" si="55"/>
        <v>103.56044513199302</v>
      </c>
      <c r="Q69" s="110">
        <f t="shared" si="55"/>
        <v>78.562151325388754</v>
      </c>
      <c r="R69" s="110">
        <f t="shared" ref="R69:V69" si="56">R70+R71+R72</f>
        <v>79.22480534116707</v>
      </c>
      <c r="S69" s="110">
        <f t="shared" si="56"/>
        <v>86.062365594095056</v>
      </c>
      <c r="T69" s="110">
        <f t="shared" si="56"/>
        <v>82.575801354396944</v>
      </c>
      <c r="U69" s="110">
        <f t="shared" si="56"/>
        <v>81.838173817531739</v>
      </c>
      <c r="V69" s="110">
        <f t="shared" si="56"/>
        <v>65.545122394467683</v>
      </c>
      <c r="W69" s="110">
        <f t="shared" ref="W69" si="57">W70+W71+W72</f>
        <v>65.702253733483374</v>
      </c>
      <c r="DA69" s="176" t="s">
        <v>406</v>
      </c>
    </row>
    <row r="70" spans="1:105" ht="11.45" customHeight="1" x14ac:dyDescent="0.25">
      <c r="A70" s="128" t="str">
        <f>$A$10</f>
        <v>Metro and tram, urban light rail</v>
      </c>
      <c r="B70" s="102">
        <f>TrRail_emi!B$10</f>
        <v>0</v>
      </c>
      <c r="C70" s="102">
        <f>TrRail_emi!C$10</f>
        <v>0</v>
      </c>
      <c r="D70" s="102">
        <f>TrRail_emi!D$10</f>
        <v>0</v>
      </c>
      <c r="E70" s="102">
        <f>TrRail_emi!E$10</f>
        <v>0</v>
      </c>
      <c r="F70" s="102">
        <f>TrRail_emi!F$10</f>
        <v>0</v>
      </c>
      <c r="G70" s="102">
        <f>TrRail_emi!G$10</f>
        <v>0</v>
      </c>
      <c r="H70" s="102">
        <f>TrRail_emi!H$10</f>
        <v>0</v>
      </c>
      <c r="I70" s="102">
        <f>TrRail_emi!I$10</f>
        <v>0</v>
      </c>
      <c r="J70" s="102">
        <f>TrRail_emi!J$10</f>
        <v>0</v>
      </c>
      <c r="K70" s="102">
        <f>TrRail_emi!K$10</f>
        <v>0</v>
      </c>
      <c r="L70" s="102">
        <f>TrRail_emi!L$10</f>
        <v>0</v>
      </c>
      <c r="M70" s="102">
        <f>TrRail_emi!M$10</f>
        <v>0</v>
      </c>
      <c r="N70" s="102">
        <f>TrRail_emi!N$10</f>
        <v>0</v>
      </c>
      <c r="O70" s="102">
        <f>TrRail_emi!O$10</f>
        <v>0</v>
      </c>
      <c r="P70" s="102">
        <f>TrRail_emi!P$10</f>
        <v>0</v>
      </c>
      <c r="Q70" s="102">
        <f>TrRail_emi!Q$10</f>
        <v>0</v>
      </c>
      <c r="R70" s="102">
        <f>TrRail_emi!R$10</f>
        <v>0</v>
      </c>
      <c r="S70" s="102">
        <f>TrRail_emi!S$10</f>
        <v>0</v>
      </c>
      <c r="T70" s="102">
        <f>TrRail_emi!T$10</f>
        <v>0</v>
      </c>
      <c r="U70" s="102">
        <f>TrRail_emi!U$10</f>
        <v>0</v>
      </c>
      <c r="V70" s="102">
        <f>TrRail_emi!V$10</f>
        <v>0</v>
      </c>
      <c r="W70" s="102">
        <f>TrRail_emi!W$10</f>
        <v>0</v>
      </c>
      <c r="DA70" s="175" t="s">
        <v>407</v>
      </c>
    </row>
    <row r="71" spans="1:105" ht="11.45" customHeight="1" x14ac:dyDescent="0.25">
      <c r="A71" s="128" t="str">
        <f>$A$11</f>
        <v>Conventional passenger trains</v>
      </c>
      <c r="B71" s="102">
        <f>TrRail_emi!B$11</f>
        <v>97.910562062538858</v>
      </c>
      <c r="C71" s="102">
        <f>TrRail_emi!C$11</f>
        <v>98.186653967833678</v>
      </c>
      <c r="D71" s="102">
        <f>TrRail_emi!D$11</f>
        <v>100.05344939504177</v>
      </c>
      <c r="E71" s="102">
        <f>TrRail_emi!E$11</f>
        <v>106.31976770323159</v>
      </c>
      <c r="F71" s="102">
        <f>TrRail_emi!F$11</f>
        <v>105.59613383763576</v>
      </c>
      <c r="G71" s="102">
        <f>TrRail_emi!G$11</f>
        <v>116.22830195416742</v>
      </c>
      <c r="H71" s="102">
        <f>TrRail_emi!H$11</f>
        <v>108.85731589774267</v>
      </c>
      <c r="I71" s="102">
        <f>TrRail_emi!I$11</f>
        <v>108.10084724227366</v>
      </c>
      <c r="J71" s="102">
        <f>TrRail_emi!J$11</f>
        <v>126.80846793776891</v>
      </c>
      <c r="K71" s="102">
        <f>TrRail_emi!K$11</f>
        <v>131.66537060987054</v>
      </c>
      <c r="L71" s="102">
        <f>TrRail_emi!L$11</f>
        <v>127.23549294221652</v>
      </c>
      <c r="M71" s="102">
        <f>TrRail_emi!M$11</f>
        <v>106.83766559394952</v>
      </c>
      <c r="N71" s="102">
        <f>TrRail_emi!N$11</f>
        <v>111.39876654565045</v>
      </c>
      <c r="O71" s="102">
        <f>TrRail_emi!O$11</f>
        <v>94.537444635368303</v>
      </c>
      <c r="P71" s="102">
        <f>TrRail_emi!P$11</f>
        <v>103.56044513199302</v>
      </c>
      <c r="Q71" s="102">
        <f>TrRail_emi!Q$11</f>
        <v>78.562151325388754</v>
      </c>
      <c r="R71" s="102">
        <f>TrRail_emi!R$11</f>
        <v>79.22480534116707</v>
      </c>
      <c r="S71" s="102">
        <f>TrRail_emi!S$11</f>
        <v>86.062365594095056</v>
      </c>
      <c r="T71" s="102">
        <f>TrRail_emi!T$11</f>
        <v>82.575801354396944</v>
      </c>
      <c r="U71" s="102">
        <f>TrRail_emi!U$11</f>
        <v>81.838173817531739</v>
      </c>
      <c r="V71" s="102">
        <f>TrRail_emi!V$11</f>
        <v>65.545122394467683</v>
      </c>
      <c r="W71" s="102">
        <f>TrRail_emi!W$11</f>
        <v>65.702253733483374</v>
      </c>
      <c r="DA71" s="175" t="s">
        <v>408</v>
      </c>
    </row>
    <row r="72" spans="1:105" ht="11.45" customHeight="1" x14ac:dyDescent="0.25">
      <c r="A72" s="128" t="str">
        <f>$A$12</f>
        <v>High speed passenger trains</v>
      </c>
      <c r="B72" s="102">
        <f>TrRail_emi!B$14</f>
        <v>0</v>
      </c>
      <c r="C72" s="102">
        <f>TrRail_emi!C$14</f>
        <v>0</v>
      </c>
      <c r="D72" s="102">
        <f>TrRail_emi!D$14</f>
        <v>0</v>
      </c>
      <c r="E72" s="102">
        <f>TrRail_emi!E$14</f>
        <v>0</v>
      </c>
      <c r="F72" s="102">
        <f>TrRail_emi!F$14</f>
        <v>0</v>
      </c>
      <c r="G72" s="102">
        <f>TrRail_emi!G$14</f>
        <v>0</v>
      </c>
      <c r="H72" s="102">
        <f>TrRail_emi!H$14</f>
        <v>0</v>
      </c>
      <c r="I72" s="102">
        <f>TrRail_emi!I$14</f>
        <v>0</v>
      </c>
      <c r="J72" s="102">
        <f>TrRail_emi!J$14</f>
        <v>0</v>
      </c>
      <c r="K72" s="102">
        <f>TrRail_emi!K$14</f>
        <v>0</v>
      </c>
      <c r="L72" s="102">
        <f>TrRail_emi!L$14</f>
        <v>0</v>
      </c>
      <c r="M72" s="102">
        <f>TrRail_emi!M$14</f>
        <v>0</v>
      </c>
      <c r="N72" s="102">
        <f>TrRail_emi!N$14</f>
        <v>0</v>
      </c>
      <c r="O72" s="102">
        <f>TrRail_emi!O$14</f>
        <v>0</v>
      </c>
      <c r="P72" s="102">
        <f>TrRail_emi!P$14</f>
        <v>0</v>
      </c>
      <c r="Q72" s="102">
        <f>TrRail_emi!Q$14</f>
        <v>0</v>
      </c>
      <c r="R72" s="102">
        <f>TrRail_emi!R$14</f>
        <v>0</v>
      </c>
      <c r="S72" s="102">
        <f>TrRail_emi!S$14</f>
        <v>0</v>
      </c>
      <c r="T72" s="102">
        <f>TrRail_emi!T$14</f>
        <v>0</v>
      </c>
      <c r="U72" s="102">
        <f>TrRail_emi!U$14</f>
        <v>0</v>
      </c>
      <c r="V72" s="102">
        <f>TrRail_emi!V$14</f>
        <v>0</v>
      </c>
      <c r="W72" s="102">
        <f>TrRail_emi!W$14</f>
        <v>0</v>
      </c>
      <c r="DA72" s="175" t="s">
        <v>409</v>
      </c>
    </row>
    <row r="73" spans="1:105" ht="11.45" customHeight="1" x14ac:dyDescent="0.25">
      <c r="A73" s="109" t="str">
        <f>$A$13</f>
        <v>Aviation</v>
      </c>
      <c r="B73" s="110">
        <f t="shared" ref="B73:Q73" si="58">B74+B75+B76</f>
        <v>1754.00534910854</v>
      </c>
      <c r="C73" s="110">
        <f t="shared" si="58"/>
        <v>1706.7402784352894</v>
      </c>
      <c r="D73" s="110">
        <f t="shared" si="58"/>
        <v>1600.2361878993504</v>
      </c>
      <c r="E73" s="110">
        <f t="shared" si="58"/>
        <v>1513.778421642033</v>
      </c>
      <c r="F73" s="110">
        <f t="shared" si="58"/>
        <v>1774.8779192918298</v>
      </c>
      <c r="G73" s="110">
        <f t="shared" si="58"/>
        <v>1994.6226041437949</v>
      </c>
      <c r="H73" s="110">
        <f t="shared" si="58"/>
        <v>2085.2037924099532</v>
      </c>
      <c r="I73" s="110">
        <f t="shared" si="58"/>
        <v>2217.0892134269516</v>
      </c>
      <c r="J73" s="110">
        <f t="shared" si="58"/>
        <v>2224.9224448921213</v>
      </c>
      <c r="K73" s="110">
        <f t="shared" si="58"/>
        <v>1944.6779794267563</v>
      </c>
      <c r="L73" s="110">
        <f t="shared" si="58"/>
        <v>2075.392227068834</v>
      </c>
      <c r="M73" s="110">
        <f t="shared" si="58"/>
        <v>2166.8069172676451</v>
      </c>
      <c r="N73" s="110">
        <f t="shared" si="58"/>
        <v>2099.3168428622903</v>
      </c>
      <c r="O73" s="110">
        <f t="shared" si="58"/>
        <v>1997.083967470699</v>
      </c>
      <c r="P73" s="110">
        <f t="shared" si="58"/>
        <v>1992.0926928701435</v>
      </c>
      <c r="Q73" s="110">
        <f t="shared" si="58"/>
        <v>2130.8732623932847</v>
      </c>
      <c r="R73" s="110">
        <f t="shared" ref="R73:V73" si="59">R74+R75+R76</f>
        <v>2320.6729327630442</v>
      </c>
      <c r="S73" s="110">
        <f t="shared" si="59"/>
        <v>2229.4244791818078</v>
      </c>
      <c r="T73" s="110">
        <f t="shared" si="59"/>
        <v>2498.7973294926492</v>
      </c>
      <c r="U73" s="110">
        <f t="shared" si="59"/>
        <v>2863.9454663962542</v>
      </c>
      <c r="V73" s="110">
        <f t="shared" si="59"/>
        <v>925.6086598995779</v>
      </c>
      <c r="W73" s="110">
        <f t="shared" ref="W73" si="60">W74+W75+W76</f>
        <v>1167.7182117239431</v>
      </c>
      <c r="DA73" s="176" t="s">
        <v>326</v>
      </c>
    </row>
    <row r="74" spans="1:105" ht="11.45" customHeight="1" x14ac:dyDescent="0.25">
      <c r="A74" s="128" t="str">
        <f>$A$14</f>
        <v>Domestic</v>
      </c>
      <c r="B74" s="102">
        <f>TrAvia_emi!B$7</f>
        <v>105.00501755954922</v>
      </c>
      <c r="C74" s="102">
        <f>TrAvia_emi!C$7</f>
        <v>98.981559271069202</v>
      </c>
      <c r="D74" s="102">
        <f>TrAvia_emi!D$7</f>
        <v>101.97908519353123</v>
      </c>
      <c r="E74" s="102">
        <f>TrAvia_emi!E$7</f>
        <v>98.991351424400605</v>
      </c>
      <c r="F74" s="102">
        <f>TrAvia_emi!F$7</f>
        <v>104.93710734504441</v>
      </c>
      <c r="G74" s="102">
        <f>TrAvia_emi!G$7</f>
        <v>106.14525984271029</v>
      </c>
      <c r="H74" s="102">
        <f>TrAvia_emi!H$7</f>
        <v>111.59495268388936</v>
      </c>
      <c r="I74" s="102">
        <f>TrAvia_emi!I$7</f>
        <v>114.12396607508448</v>
      </c>
      <c r="J74" s="102">
        <f>TrAvia_emi!J$7</f>
        <v>111.78112584445867</v>
      </c>
      <c r="K74" s="102">
        <f>TrAvia_emi!K$7</f>
        <v>109.08015682655514</v>
      </c>
      <c r="L74" s="102">
        <f>TrAvia_emi!L$7</f>
        <v>105.99385619841509</v>
      </c>
      <c r="M74" s="102">
        <f>TrAvia_emi!M$7</f>
        <v>104.6986135790826</v>
      </c>
      <c r="N74" s="102">
        <f>TrAvia_emi!N$7</f>
        <v>98.557616630739531</v>
      </c>
      <c r="O74" s="102">
        <f>TrAvia_emi!O$7</f>
        <v>98.036968880892218</v>
      </c>
      <c r="P74" s="102">
        <f>TrAvia_emi!P$7</f>
        <v>94.986944260335974</v>
      </c>
      <c r="Q74" s="102">
        <f>TrAvia_emi!Q$7</f>
        <v>95.516090268862698</v>
      </c>
      <c r="R74" s="102">
        <f>TrAvia_emi!R$7</f>
        <v>93.781178533468051</v>
      </c>
      <c r="S74" s="102">
        <f>TrAvia_emi!S$7</f>
        <v>89.476565547975056</v>
      </c>
      <c r="T74" s="102">
        <f>TrAvia_emi!T$7</f>
        <v>93.56932799882982</v>
      </c>
      <c r="U74" s="102">
        <f>TrAvia_emi!U$7</f>
        <v>77.500343625789313</v>
      </c>
      <c r="V74" s="102">
        <f>TrAvia_emi!V$7</f>
        <v>50.064893556376134</v>
      </c>
      <c r="W74" s="102">
        <f>TrAvia_emi!W$7</f>
        <v>49.262736081252889</v>
      </c>
      <c r="DA74" s="175" t="s">
        <v>327</v>
      </c>
    </row>
    <row r="75" spans="1:105" ht="11.45" customHeight="1" x14ac:dyDescent="0.25">
      <c r="A75" s="128" t="str">
        <f>$A$15</f>
        <v>International - Intra-EEAwUK</v>
      </c>
      <c r="B75" s="102">
        <f>TrAvia_emi!B$8</f>
        <v>686.86778671459649</v>
      </c>
      <c r="C75" s="102">
        <f>TrAvia_emi!C$8</f>
        <v>698.0624626761836</v>
      </c>
      <c r="D75" s="102">
        <f>TrAvia_emi!D$8</f>
        <v>661.74743083019496</v>
      </c>
      <c r="E75" s="102">
        <f>TrAvia_emi!E$8</f>
        <v>657.09339885651468</v>
      </c>
      <c r="F75" s="102">
        <f>TrAvia_emi!F$8</f>
        <v>748.35384217652563</v>
      </c>
      <c r="G75" s="102">
        <f>TrAvia_emi!G$8</f>
        <v>848.3958576296842</v>
      </c>
      <c r="H75" s="102">
        <f>TrAvia_emi!H$8</f>
        <v>899.94617183637763</v>
      </c>
      <c r="I75" s="102">
        <f>TrAvia_emi!I$8</f>
        <v>975.58077342972945</v>
      </c>
      <c r="J75" s="102">
        <f>TrAvia_emi!J$8</f>
        <v>964.10689486860804</v>
      </c>
      <c r="K75" s="102">
        <f>TrAvia_emi!K$8</f>
        <v>815.58043425745348</v>
      </c>
      <c r="L75" s="102">
        <f>TrAvia_emi!L$8</f>
        <v>869.20138276634452</v>
      </c>
      <c r="M75" s="102">
        <f>TrAvia_emi!M$8</f>
        <v>907.78537310028946</v>
      </c>
      <c r="N75" s="102">
        <f>TrAvia_emi!N$8</f>
        <v>866.97829936646235</v>
      </c>
      <c r="O75" s="102">
        <f>TrAvia_emi!O$8</f>
        <v>816.69603648736074</v>
      </c>
      <c r="P75" s="102">
        <f>TrAvia_emi!P$8</f>
        <v>823.73962093278533</v>
      </c>
      <c r="Q75" s="102">
        <f>TrAvia_emi!Q$8</f>
        <v>889.3815627399174</v>
      </c>
      <c r="R75" s="102">
        <f>TrAvia_emi!R$8</f>
        <v>1014.3788987837654</v>
      </c>
      <c r="S75" s="102">
        <f>TrAvia_emi!S$8</f>
        <v>993.58220408355578</v>
      </c>
      <c r="T75" s="102">
        <f>TrAvia_emi!T$8</f>
        <v>1114.900724270273</v>
      </c>
      <c r="U75" s="102">
        <f>TrAvia_emi!U$8</f>
        <v>1260.0319917961858</v>
      </c>
      <c r="V75" s="102">
        <f>TrAvia_emi!V$8</f>
        <v>346.53479858228792</v>
      </c>
      <c r="W75" s="102">
        <f>TrAvia_emi!W$8</f>
        <v>478.49742299436866</v>
      </c>
      <c r="DA75" s="175" t="s">
        <v>328</v>
      </c>
    </row>
    <row r="76" spans="1:105" ht="11.45" customHeight="1" x14ac:dyDescent="0.25">
      <c r="A76" s="128" t="str">
        <f>$A$16</f>
        <v>International - Extra-EEAwUK</v>
      </c>
      <c r="B76" s="102">
        <f>TrAvia_emi!B$9</f>
        <v>962.13254483439448</v>
      </c>
      <c r="C76" s="102">
        <f>TrAvia_emi!C$9</f>
        <v>909.69625648803651</v>
      </c>
      <c r="D76" s="102">
        <f>TrAvia_emi!D$9</f>
        <v>836.50967187562424</v>
      </c>
      <c r="E76" s="102">
        <f>TrAvia_emi!E$9</f>
        <v>757.69367136111771</v>
      </c>
      <c r="F76" s="102">
        <f>TrAvia_emi!F$9</f>
        <v>921.58696977025977</v>
      </c>
      <c r="G76" s="102">
        <f>TrAvia_emi!G$9</f>
        <v>1040.0814866714004</v>
      </c>
      <c r="H76" s="102">
        <f>TrAvia_emi!H$9</f>
        <v>1073.662667889686</v>
      </c>
      <c r="I76" s="102">
        <f>TrAvia_emi!I$9</f>
        <v>1127.3844739221374</v>
      </c>
      <c r="J76" s="102">
        <f>TrAvia_emi!J$9</f>
        <v>1149.0344241790549</v>
      </c>
      <c r="K76" s="102">
        <f>TrAvia_emi!K$9</f>
        <v>1020.0173883427478</v>
      </c>
      <c r="L76" s="102">
        <f>TrAvia_emi!L$9</f>
        <v>1100.1969881040745</v>
      </c>
      <c r="M76" s="102">
        <f>TrAvia_emi!M$9</f>
        <v>1154.322930588273</v>
      </c>
      <c r="N76" s="102">
        <f>TrAvia_emi!N$9</f>
        <v>1133.7809268650885</v>
      </c>
      <c r="O76" s="102">
        <f>TrAvia_emi!O$9</f>
        <v>1082.3509621024459</v>
      </c>
      <c r="P76" s="102">
        <f>TrAvia_emi!P$9</f>
        <v>1073.3661276770222</v>
      </c>
      <c r="Q76" s="102">
        <f>TrAvia_emi!Q$9</f>
        <v>1145.9756093845047</v>
      </c>
      <c r="R76" s="102">
        <f>TrAvia_emi!R$9</f>
        <v>1212.5128554458106</v>
      </c>
      <c r="S76" s="102">
        <f>TrAvia_emi!S$9</f>
        <v>1146.365709550277</v>
      </c>
      <c r="T76" s="102">
        <f>TrAvia_emi!T$9</f>
        <v>1290.3272772235464</v>
      </c>
      <c r="U76" s="102">
        <f>TrAvia_emi!U$9</f>
        <v>1526.4131309742793</v>
      </c>
      <c r="V76" s="102">
        <f>TrAvia_emi!V$9</f>
        <v>529.00896776091383</v>
      </c>
      <c r="W76" s="102">
        <f>TrAvia_emi!W$9</f>
        <v>639.95805264832154</v>
      </c>
      <c r="DA76" s="175" t="s">
        <v>329</v>
      </c>
    </row>
    <row r="77" spans="1:105" ht="11.45" customHeight="1" x14ac:dyDescent="0.25">
      <c r="A77" s="27" t="s">
        <v>34</v>
      </c>
      <c r="B77" s="28">
        <f t="shared" ref="B77:Q77" si="61">B78+B81+B82+B86+B92</f>
        <v>5934.2503556297961</v>
      </c>
      <c r="C77" s="28">
        <f t="shared" si="61"/>
        <v>6734.2364556714065</v>
      </c>
      <c r="D77" s="28">
        <f t="shared" si="61"/>
        <v>7465.4393795236056</v>
      </c>
      <c r="E77" s="28">
        <f t="shared" si="61"/>
        <v>8015.8297917932405</v>
      </c>
      <c r="F77" s="28">
        <f t="shared" si="61"/>
        <v>8093.1577611694947</v>
      </c>
      <c r="G77" s="28">
        <f t="shared" si="61"/>
        <v>8428.8723950752301</v>
      </c>
      <c r="H77" s="28">
        <f t="shared" si="61"/>
        <v>7740.4474938366893</v>
      </c>
      <c r="I77" s="28">
        <f t="shared" si="61"/>
        <v>7705.6052112236612</v>
      </c>
      <c r="J77" s="28">
        <f t="shared" si="61"/>
        <v>7424.5198094522011</v>
      </c>
      <c r="K77" s="28">
        <f t="shared" si="61"/>
        <v>6926.7792230755322</v>
      </c>
      <c r="L77" s="28">
        <f t="shared" si="61"/>
        <v>7524.9076188848048</v>
      </c>
      <c r="M77" s="28">
        <f t="shared" si="61"/>
        <v>6987.7702064517407</v>
      </c>
      <c r="N77" s="28">
        <f t="shared" si="61"/>
        <v>7097.2508164746587</v>
      </c>
      <c r="O77" s="28">
        <f t="shared" si="61"/>
        <v>8147.7678707954856</v>
      </c>
      <c r="P77" s="28">
        <f t="shared" si="61"/>
        <v>7788.4384124148864</v>
      </c>
      <c r="Q77" s="28">
        <f t="shared" si="61"/>
        <v>7976.9515686406385</v>
      </c>
      <c r="R77" s="28">
        <f t="shared" ref="R77:V77" si="62">R78+R81+R82+R86+R92</f>
        <v>8340.1423682303612</v>
      </c>
      <c r="S77" s="28">
        <f t="shared" si="62"/>
        <v>8658.5674715814166</v>
      </c>
      <c r="T77" s="28">
        <f t="shared" si="62"/>
        <v>9081.2461017518872</v>
      </c>
      <c r="U77" s="28">
        <f t="shared" si="62"/>
        <v>9522.5203969202594</v>
      </c>
      <c r="V77" s="28">
        <f t="shared" si="62"/>
        <v>8587.6015727836111</v>
      </c>
      <c r="W77" s="28">
        <f t="shared" ref="W77" si="63">W78+W81+W82+W86+W92</f>
        <v>9120.4057000244356</v>
      </c>
      <c r="DA77" s="173"/>
    </row>
    <row r="78" spans="1:105" ht="11.45" customHeight="1" x14ac:dyDescent="0.25">
      <c r="A78" s="136" t="str">
        <f>$A$18</f>
        <v>Road transport</v>
      </c>
      <c r="B78" s="137">
        <f t="shared" ref="B78:Q78" si="64">B79+B80</f>
        <v>5762.5360766784606</v>
      </c>
      <c r="C78" s="137">
        <f t="shared" si="64"/>
        <v>6559.0025737263986</v>
      </c>
      <c r="D78" s="137">
        <f t="shared" si="64"/>
        <v>7278.8466694073513</v>
      </c>
      <c r="E78" s="137">
        <f t="shared" si="64"/>
        <v>7842.4896126078593</v>
      </c>
      <c r="F78" s="137">
        <f t="shared" si="64"/>
        <v>7880.2547876989611</v>
      </c>
      <c r="G78" s="137">
        <f t="shared" si="64"/>
        <v>8207.3476861531108</v>
      </c>
      <c r="H78" s="137">
        <f t="shared" si="64"/>
        <v>7515.8621580306472</v>
      </c>
      <c r="I78" s="137">
        <f t="shared" si="64"/>
        <v>7481.8136466906799</v>
      </c>
      <c r="J78" s="137">
        <f t="shared" si="64"/>
        <v>7230.4937689620647</v>
      </c>
      <c r="K78" s="137">
        <f t="shared" si="64"/>
        <v>6755.8324298658281</v>
      </c>
      <c r="L78" s="137">
        <f t="shared" si="64"/>
        <v>7337.5916315249351</v>
      </c>
      <c r="M78" s="137">
        <f t="shared" si="64"/>
        <v>6800.2568572992586</v>
      </c>
      <c r="N78" s="137">
        <f t="shared" si="64"/>
        <v>6914.0735064873406</v>
      </c>
      <c r="O78" s="137">
        <f t="shared" si="64"/>
        <v>7954.7568106530725</v>
      </c>
      <c r="P78" s="137">
        <f t="shared" si="64"/>
        <v>7588.2340541862377</v>
      </c>
      <c r="Q78" s="137">
        <f t="shared" si="64"/>
        <v>7779.4519086269056</v>
      </c>
      <c r="R78" s="137">
        <f t="shared" ref="R78:V78" si="65">R79+R80</f>
        <v>8132.6539937994366</v>
      </c>
      <c r="S78" s="137">
        <f t="shared" si="65"/>
        <v>8435.3102986069043</v>
      </c>
      <c r="T78" s="137">
        <f t="shared" si="65"/>
        <v>8851.8555862016765</v>
      </c>
      <c r="U78" s="137">
        <f t="shared" si="65"/>
        <v>9269.5084119241583</v>
      </c>
      <c r="V78" s="137">
        <f t="shared" si="65"/>
        <v>8418.0650727260181</v>
      </c>
      <c r="W78" s="137">
        <f t="shared" ref="W78" si="66">W79+W80</f>
        <v>8906.6633514918958</v>
      </c>
      <c r="DA78" s="174" t="s">
        <v>410</v>
      </c>
    </row>
    <row r="79" spans="1:105" ht="11.45" customHeight="1" x14ac:dyDescent="0.25">
      <c r="A79" s="128" t="str">
        <f>$A$19</f>
        <v>Light commercial vehicles</v>
      </c>
      <c r="B79" s="102">
        <f>TrRoad_emi!B$34</f>
        <v>1319.4547341708437</v>
      </c>
      <c r="C79" s="102">
        <f>TrRoad_emi!C$34</f>
        <v>1348.0196491651564</v>
      </c>
      <c r="D79" s="102">
        <f>TrRoad_emi!D$34</f>
        <v>1389.7365916936581</v>
      </c>
      <c r="E79" s="102">
        <f>TrRoad_emi!E$34</f>
        <v>1396.4030865464458</v>
      </c>
      <c r="F79" s="102">
        <f>TrRoad_emi!F$34</f>
        <v>1392.8286562493679</v>
      </c>
      <c r="G79" s="102">
        <f>TrRoad_emi!G$34</f>
        <v>1406.6202529651989</v>
      </c>
      <c r="H79" s="102">
        <f>TrRoad_emi!H$34</f>
        <v>1387.3287807351337</v>
      </c>
      <c r="I79" s="102">
        <f>TrRoad_emi!I$34</f>
        <v>1401.5024813769451</v>
      </c>
      <c r="J79" s="102">
        <f>TrRoad_emi!J$34</f>
        <v>1368.1162395332274</v>
      </c>
      <c r="K79" s="102">
        <f>TrRoad_emi!K$34</f>
        <v>1329.3177654421206</v>
      </c>
      <c r="L79" s="102">
        <f>TrRoad_emi!L$34</f>
        <v>1345.0361750601289</v>
      </c>
      <c r="M79" s="102">
        <f>TrRoad_emi!M$34</f>
        <v>1359.5078141895196</v>
      </c>
      <c r="N79" s="102">
        <f>TrRoad_emi!N$34</f>
        <v>1351.0205154747796</v>
      </c>
      <c r="O79" s="102">
        <f>TrRoad_emi!O$34</f>
        <v>1391.4349334424519</v>
      </c>
      <c r="P79" s="102">
        <f>TrRoad_emi!P$34</f>
        <v>1430.318630930087</v>
      </c>
      <c r="Q79" s="102">
        <f>TrRoad_emi!Q$34</f>
        <v>1459.9775114999893</v>
      </c>
      <c r="R79" s="102">
        <f>TrRoad_emi!R$34</f>
        <v>1516.9977470926283</v>
      </c>
      <c r="S79" s="102">
        <f>TrRoad_emi!S$34</f>
        <v>1543.0769228378942</v>
      </c>
      <c r="T79" s="102">
        <f>TrRoad_emi!T$34</f>
        <v>1566.5751270574699</v>
      </c>
      <c r="U79" s="102">
        <f>TrRoad_emi!U$34</f>
        <v>1612.6748239534766</v>
      </c>
      <c r="V79" s="102">
        <f>TrRoad_emi!V$34</f>
        <v>1639.4851190217896</v>
      </c>
      <c r="W79" s="102">
        <f>TrRoad_emi!W$34</f>
        <v>1739.7223612069915</v>
      </c>
      <c r="DA79" s="175" t="s">
        <v>411</v>
      </c>
    </row>
    <row r="80" spans="1:105" ht="11.45" customHeight="1" x14ac:dyDescent="0.25">
      <c r="A80" s="128" t="str">
        <f>$A$20</f>
        <v>Heavy goods vehicles</v>
      </c>
      <c r="B80" s="102">
        <f>TrRoad_emi!B$40</f>
        <v>4443.0813425076167</v>
      </c>
      <c r="C80" s="102">
        <f>TrRoad_emi!C$40</f>
        <v>5210.9829245612418</v>
      </c>
      <c r="D80" s="102">
        <f>TrRoad_emi!D$40</f>
        <v>5889.1100777136935</v>
      </c>
      <c r="E80" s="102">
        <f>TrRoad_emi!E$40</f>
        <v>6446.0865260614137</v>
      </c>
      <c r="F80" s="102">
        <f>TrRoad_emi!F$40</f>
        <v>6487.4261314495934</v>
      </c>
      <c r="G80" s="102">
        <f>TrRoad_emi!G$40</f>
        <v>6800.7274331879125</v>
      </c>
      <c r="H80" s="102">
        <f>TrRoad_emi!H$40</f>
        <v>6128.5333772955137</v>
      </c>
      <c r="I80" s="102">
        <f>TrRoad_emi!I$40</f>
        <v>6080.3111653137348</v>
      </c>
      <c r="J80" s="102">
        <f>TrRoad_emi!J$40</f>
        <v>5862.3775294288371</v>
      </c>
      <c r="K80" s="102">
        <f>TrRoad_emi!K$40</f>
        <v>5426.5146644237075</v>
      </c>
      <c r="L80" s="102">
        <f>TrRoad_emi!L$40</f>
        <v>5992.5554564648064</v>
      </c>
      <c r="M80" s="102">
        <f>TrRoad_emi!M$40</f>
        <v>5440.7490431097394</v>
      </c>
      <c r="N80" s="102">
        <f>TrRoad_emi!N$40</f>
        <v>5563.0529910125606</v>
      </c>
      <c r="O80" s="102">
        <f>TrRoad_emi!O$40</f>
        <v>6563.3218772106211</v>
      </c>
      <c r="P80" s="102">
        <f>TrRoad_emi!P$40</f>
        <v>6157.9154232561505</v>
      </c>
      <c r="Q80" s="102">
        <f>TrRoad_emi!Q$40</f>
        <v>6319.4743971269163</v>
      </c>
      <c r="R80" s="102">
        <f>TrRoad_emi!R$40</f>
        <v>6615.6562467068079</v>
      </c>
      <c r="S80" s="102">
        <f>TrRoad_emi!S$40</f>
        <v>6892.2333757690103</v>
      </c>
      <c r="T80" s="102">
        <f>TrRoad_emi!T$40</f>
        <v>7285.2804591442073</v>
      </c>
      <c r="U80" s="102">
        <f>TrRoad_emi!U$40</f>
        <v>7656.833587970681</v>
      </c>
      <c r="V80" s="102">
        <f>TrRoad_emi!V$40</f>
        <v>6778.5799537042285</v>
      </c>
      <c r="W80" s="102">
        <f>TrRoad_emi!W$40</f>
        <v>7166.9409902849047</v>
      </c>
      <c r="DA80" s="175" t="s">
        <v>412</v>
      </c>
    </row>
    <row r="81" spans="1:105" ht="11.45" customHeight="1" x14ac:dyDescent="0.25">
      <c r="A81" s="109" t="str">
        <f>$A$21</f>
        <v>Rail transport</v>
      </c>
      <c r="B81" s="110">
        <f>TrRail_emi!B$15</f>
        <v>41.132260459875134</v>
      </c>
      <c r="C81" s="110">
        <f>TrRail_emi!C$15</f>
        <v>40.856504060297141</v>
      </c>
      <c r="D81" s="110">
        <f>TrRail_emi!D$15</f>
        <v>42.237630215604028</v>
      </c>
      <c r="E81" s="110">
        <f>TrRail_emi!E$15</f>
        <v>42.253310827414168</v>
      </c>
      <c r="F81" s="110">
        <f>TrRail_emi!F$15</f>
        <v>46.879076522364194</v>
      </c>
      <c r="G81" s="110">
        <f>TrRail_emi!G$15</f>
        <v>47.546981465913809</v>
      </c>
      <c r="H81" s="110">
        <f>TrRail_emi!H$15</f>
        <v>52.821235695995554</v>
      </c>
      <c r="I81" s="110">
        <f>TrRail_emi!I$15</f>
        <v>52.577781919932065</v>
      </c>
      <c r="J81" s="110">
        <f>TrRail_emi!J$15</f>
        <v>33.597500862256865</v>
      </c>
      <c r="K81" s="110">
        <f>TrRail_emi!K$15</f>
        <v>26.014889716460974</v>
      </c>
      <c r="L81" s="110">
        <f>TrRail_emi!L$15</f>
        <v>26.084551908703233</v>
      </c>
      <c r="M81" s="110">
        <f>TrRail_emi!M$15</f>
        <v>22.133324460126968</v>
      </c>
      <c r="N81" s="110">
        <f>TrRail_emi!N$15</f>
        <v>21.415820649608374</v>
      </c>
      <c r="O81" s="110">
        <f>TrRail_emi!O$15</f>
        <v>19.135873053112352</v>
      </c>
      <c r="P81" s="110">
        <f>TrRail_emi!P$15</f>
        <v>19.930961098791254</v>
      </c>
      <c r="Q81" s="110">
        <f>TrRail_emi!Q$15</f>
        <v>15.548963487018247</v>
      </c>
      <c r="R81" s="110">
        <f>TrRail_emi!R$15</f>
        <v>15.308263353968066</v>
      </c>
      <c r="S81" s="110">
        <f>TrRail_emi!S$15</f>
        <v>16.891641116320336</v>
      </c>
      <c r="T81" s="110">
        <f>TrRail_emi!T$15</f>
        <v>15.774419362861037</v>
      </c>
      <c r="U81" s="110">
        <f>TrRail_emi!U$15</f>
        <v>16.493495672355646</v>
      </c>
      <c r="V81" s="110">
        <f>TrRail_emi!V$15</f>
        <v>20.89999035716982</v>
      </c>
      <c r="W81" s="110">
        <f>TrRail_emi!W$15</f>
        <v>20.553194216481717</v>
      </c>
      <c r="DA81" s="176" t="s">
        <v>413</v>
      </c>
    </row>
    <row r="82" spans="1:105" ht="11.45" customHeight="1" x14ac:dyDescent="0.25">
      <c r="A82" s="109" t="str">
        <f>$A$22</f>
        <v>Aviation</v>
      </c>
      <c r="B82" s="110">
        <f t="shared" ref="B82:V82" si="67">B83+B84+B85</f>
        <v>23.409479931460005</v>
      </c>
      <c r="C82" s="110">
        <f t="shared" si="67"/>
        <v>20.86208680471109</v>
      </c>
      <c r="D82" s="110">
        <f t="shared" si="67"/>
        <v>24.496769540649574</v>
      </c>
      <c r="E82" s="110">
        <f t="shared" si="67"/>
        <v>23.91432979796695</v>
      </c>
      <c r="F82" s="110">
        <f t="shared" si="67"/>
        <v>36.651324428169843</v>
      </c>
      <c r="G82" s="110">
        <f t="shared" si="67"/>
        <v>45.644995136205679</v>
      </c>
      <c r="H82" s="110">
        <f t="shared" si="67"/>
        <v>50.017108430046683</v>
      </c>
      <c r="I82" s="110">
        <f t="shared" si="67"/>
        <v>45.911354253049439</v>
      </c>
      <c r="J82" s="110">
        <f t="shared" si="67"/>
        <v>41.831138987878766</v>
      </c>
      <c r="K82" s="110">
        <f t="shared" si="67"/>
        <v>34.45824125324345</v>
      </c>
      <c r="L82" s="110">
        <f t="shared" si="67"/>
        <v>38.993541651166055</v>
      </c>
      <c r="M82" s="110">
        <f t="shared" si="67"/>
        <v>47.465677612355194</v>
      </c>
      <c r="N82" s="110">
        <f t="shared" si="67"/>
        <v>47.813476817710033</v>
      </c>
      <c r="O82" s="110">
        <f t="shared" si="67"/>
        <v>52.591120129301274</v>
      </c>
      <c r="P82" s="110">
        <f t="shared" si="67"/>
        <v>57.068963809857088</v>
      </c>
      <c r="Q82" s="110">
        <f t="shared" si="67"/>
        <v>67.343140966714756</v>
      </c>
      <c r="R82" s="110">
        <f t="shared" si="67"/>
        <v>70.875339436956054</v>
      </c>
      <c r="S82" s="110">
        <f t="shared" si="67"/>
        <v>79.888007338192111</v>
      </c>
      <c r="T82" s="110">
        <f t="shared" si="67"/>
        <v>95.300715947350795</v>
      </c>
      <c r="U82" s="110">
        <f t="shared" si="67"/>
        <v>103.16058180374677</v>
      </c>
      <c r="V82" s="110">
        <f t="shared" si="67"/>
        <v>82.134519340422372</v>
      </c>
      <c r="W82" s="110">
        <f t="shared" ref="W82" si="68">W83+W84+W85</f>
        <v>95.218546236057122</v>
      </c>
      <c r="DA82" s="176" t="s">
        <v>330</v>
      </c>
    </row>
    <row r="83" spans="1:105" ht="11.45" customHeight="1" x14ac:dyDescent="0.25">
      <c r="A83" s="128" t="s">
        <v>27</v>
      </c>
      <c r="B83" s="102">
        <f>TrAvia_emi!B$11</f>
        <v>0.58373520045079708</v>
      </c>
      <c r="C83" s="102">
        <f>TrAvia_emi!C$11</f>
        <v>0.38053844893081284</v>
      </c>
      <c r="D83" s="102">
        <f>TrAvia_emi!D$11</f>
        <v>0.36492852646878166</v>
      </c>
      <c r="E83" s="102">
        <f>TrAvia_emi!E$11</f>
        <v>0.37074629559943006</v>
      </c>
      <c r="F83" s="102">
        <f>TrAvia_emi!F$11</f>
        <v>0.52023389495559091</v>
      </c>
      <c r="G83" s="102">
        <f>TrAvia_emi!G$11</f>
        <v>0.54198359728971546</v>
      </c>
      <c r="H83" s="102">
        <f>TrAvia_emi!H$11</f>
        <v>0.56382779611064826</v>
      </c>
      <c r="I83" s="102">
        <f>TrAvia_emi!I$11</f>
        <v>0.4991659649155098</v>
      </c>
      <c r="J83" s="102">
        <f>TrAvia_emi!J$11</f>
        <v>0.4993403955413277</v>
      </c>
      <c r="K83" s="102">
        <f>TrAvia_emi!K$11</f>
        <v>0.46613281344486396</v>
      </c>
      <c r="L83" s="102">
        <f>TrAvia_emi!L$11</f>
        <v>0.3779732415849143</v>
      </c>
      <c r="M83" s="102">
        <f>TrAvia_emi!M$11</f>
        <v>0.34764870091737682</v>
      </c>
      <c r="N83" s="102">
        <f>TrAvia_emi!N$11</f>
        <v>0.23744508926047186</v>
      </c>
      <c r="O83" s="102">
        <f>TrAvia_emi!O$11</f>
        <v>0.18641391910775795</v>
      </c>
      <c r="P83" s="102">
        <f>TrAvia_emi!P$11</f>
        <v>0.12477169966404036</v>
      </c>
      <c r="Q83" s="102">
        <f>TrAvia_emi!Q$11</f>
        <v>0.13186297113727938</v>
      </c>
      <c r="R83" s="102">
        <f>TrAvia_emi!R$11</f>
        <v>8.0392426531964586E-2</v>
      </c>
      <c r="S83" s="102">
        <f>TrAvia_emi!S$11</f>
        <v>6.1871612024955253E-2</v>
      </c>
      <c r="T83" s="102">
        <f>TrAvia_emi!T$11</f>
        <v>6.5466001170175064E-2</v>
      </c>
      <c r="U83" s="102">
        <f>TrAvia_emi!U$11</f>
        <v>1.4821454210683958E-2</v>
      </c>
      <c r="V83" s="102">
        <f>TrAvia_emi!V$11</f>
        <v>1.4547323623870357E-2</v>
      </c>
      <c r="W83" s="102">
        <f>TrAvia_emi!W$11</f>
        <v>1.8558878747105708E-2</v>
      </c>
      <c r="DA83" s="175" t="s">
        <v>331</v>
      </c>
    </row>
    <row r="84" spans="1:105" ht="11.45" customHeight="1" x14ac:dyDescent="0.25">
      <c r="A84" s="128" t="str">
        <f>$A$24</f>
        <v>International - Intra-EEAwUK</v>
      </c>
      <c r="B84" s="102">
        <f>TrAvia_emi!B$12</f>
        <v>13.220950582140171</v>
      </c>
      <c r="C84" s="102">
        <f>TrAvia_emi!C$12</f>
        <v>12.315233326816298</v>
      </c>
      <c r="D84" s="102">
        <f>TrAvia_emi!D$12</f>
        <v>15.382830241281303</v>
      </c>
      <c r="E84" s="102">
        <f>TrAvia_emi!E$12</f>
        <v>14.984455363965315</v>
      </c>
      <c r="F84" s="102">
        <f>TrAvia_emi!F$12</f>
        <v>25.803849199142103</v>
      </c>
      <c r="G84" s="102">
        <f>TrAvia_emi!G$12</f>
        <v>29.783833262029969</v>
      </c>
      <c r="H84" s="102">
        <f>TrAvia_emi!H$12</f>
        <v>33.546467125406799</v>
      </c>
      <c r="I84" s="102">
        <f>TrAvia_emi!I$12</f>
        <v>29.993443945608956</v>
      </c>
      <c r="J84" s="102">
        <f>TrAvia_emi!J$12</f>
        <v>27.628289328732478</v>
      </c>
      <c r="K84" s="102">
        <f>TrAvia_emi!K$12</f>
        <v>24.074619461922659</v>
      </c>
      <c r="L84" s="102">
        <f>TrAvia_emi!L$12</f>
        <v>27.64635187750342</v>
      </c>
      <c r="M84" s="102">
        <f>TrAvia_emi!M$12</f>
        <v>29.750591880482137</v>
      </c>
      <c r="N84" s="102">
        <f>TrAvia_emi!N$12</f>
        <v>26.165398441258727</v>
      </c>
      <c r="O84" s="102">
        <f>TrAvia_emi!O$12</f>
        <v>28.695104619500583</v>
      </c>
      <c r="P84" s="102">
        <f>TrAvia_emi!P$12</f>
        <v>31.212047729540195</v>
      </c>
      <c r="Q84" s="102">
        <f>TrAvia_emi!Q$12</f>
        <v>29.598084597944357</v>
      </c>
      <c r="R84" s="102">
        <f>TrAvia_emi!R$12</f>
        <v>26.475920785538158</v>
      </c>
      <c r="S84" s="102">
        <f>TrAvia_emi!S$12</f>
        <v>31.042975459113315</v>
      </c>
      <c r="T84" s="102">
        <f>TrAvia_emi!T$12</f>
        <v>31.838656063995625</v>
      </c>
      <c r="U84" s="102">
        <f>TrAvia_emi!U$12</f>
        <v>33.204631656680235</v>
      </c>
      <c r="V84" s="102">
        <f>TrAvia_emi!V$12</f>
        <v>25.863877580021185</v>
      </c>
      <c r="W84" s="102">
        <f>TrAvia_emi!W$12</f>
        <v>38.061453955194665</v>
      </c>
      <c r="DA84" s="175" t="s">
        <v>332</v>
      </c>
    </row>
    <row r="85" spans="1:105" ht="11.45" customHeight="1" x14ac:dyDescent="0.25">
      <c r="A85" s="128" t="str">
        <f>$A$25</f>
        <v>International - Extra-EEAwUK</v>
      </c>
      <c r="B85" s="102">
        <f>TrAvia_emi!B$13</f>
        <v>9.604794148869038</v>
      </c>
      <c r="C85" s="102">
        <f>TrAvia_emi!C$13</f>
        <v>8.1663150289639823</v>
      </c>
      <c r="D85" s="102">
        <f>TrAvia_emi!D$13</f>
        <v>8.7490107728994868</v>
      </c>
      <c r="E85" s="102">
        <f>TrAvia_emi!E$13</f>
        <v>8.5591281384022064</v>
      </c>
      <c r="F85" s="102">
        <f>TrAvia_emi!F$13</f>
        <v>10.327241334072152</v>
      </c>
      <c r="G85" s="102">
        <f>TrAvia_emi!G$13</f>
        <v>15.319178276885994</v>
      </c>
      <c r="H85" s="102">
        <f>TrAvia_emi!H$13</f>
        <v>15.906813508529231</v>
      </c>
      <c r="I85" s="102">
        <f>TrAvia_emi!I$13</f>
        <v>15.41874434252497</v>
      </c>
      <c r="J85" s="102">
        <f>TrAvia_emi!J$13</f>
        <v>13.703509263604959</v>
      </c>
      <c r="K85" s="102">
        <f>TrAvia_emi!K$13</f>
        <v>9.9174889778759248</v>
      </c>
      <c r="L85" s="102">
        <f>TrAvia_emi!L$13</f>
        <v>10.96921653207772</v>
      </c>
      <c r="M85" s="102">
        <f>TrAvia_emi!M$13</f>
        <v>17.367437030955681</v>
      </c>
      <c r="N85" s="102">
        <f>TrAvia_emi!N$13</f>
        <v>21.410633287190834</v>
      </c>
      <c r="O85" s="102">
        <f>TrAvia_emi!O$13</f>
        <v>23.709601590692934</v>
      </c>
      <c r="P85" s="102">
        <f>TrAvia_emi!P$13</f>
        <v>25.732144380652851</v>
      </c>
      <c r="Q85" s="102">
        <f>TrAvia_emi!Q$13</f>
        <v>37.613193397633118</v>
      </c>
      <c r="R85" s="102">
        <f>TrAvia_emi!R$13</f>
        <v>44.319026224885931</v>
      </c>
      <c r="S85" s="102">
        <f>TrAvia_emi!S$13</f>
        <v>48.783160267053844</v>
      </c>
      <c r="T85" s="102">
        <f>TrAvia_emi!T$13</f>
        <v>63.396593882185002</v>
      </c>
      <c r="U85" s="102">
        <f>TrAvia_emi!U$13</f>
        <v>69.941128692855841</v>
      </c>
      <c r="V85" s="102">
        <f>TrAvia_emi!V$13</f>
        <v>56.25609443677731</v>
      </c>
      <c r="W85" s="102">
        <f>TrAvia_emi!W$13</f>
        <v>57.13853340211535</v>
      </c>
      <c r="DA85" s="175" t="s">
        <v>333</v>
      </c>
    </row>
    <row r="86" spans="1:105" ht="11.45" customHeight="1" x14ac:dyDescent="0.25">
      <c r="A86" s="109" t="s">
        <v>142</v>
      </c>
      <c r="B86" s="110">
        <f t="shared" ref="B86:Q86" si="69">B87+B88</f>
        <v>107.17253856000001</v>
      </c>
      <c r="C86" s="110">
        <f t="shared" si="69"/>
        <v>113.51529108</v>
      </c>
      <c r="D86" s="110">
        <f t="shared" si="69"/>
        <v>119.85831035999998</v>
      </c>
      <c r="E86" s="110">
        <f t="shared" si="69"/>
        <v>107.17253856000001</v>
      </c>
      <c r="F86" s="110">
        <f t="shared" si="69"/>
        <v>129.37257252000001</v>
      </c>
      <c r="G86" s="110">
        <f t="shared" si="69"/>
        <v>128.33273231999999</v>
      </c>
      <c r="H86" s="110">
        <f t="shared" si="69"/>
        <v>121.74699167999999</v>
      </c>
      <c r="I86" s="110">
        <f t="shared" si="69"/>
        <v>125.30242835999999</v>
      </c>
      <c r="J86" s="110">
        <f t="shared" si="69"/>
        <v>118.59740064000002</v>
      </c>
      <c r="K86" s="110">
        <f t="shared" si="69"/>
        <v>110.47366223999998</v>
      </c>
      <c r="L86" s="110">
        <f t="shared" si="69"/>
        <v>122.23789379999999</v>
      </c>
      <c r="M86" s="110">
        <f t="shared" si="69"/>
        <v>117.91434707999997</v>
      </c>
      <c r="N86" s="110">
        <f t="shared" si="69"/>
        <v>113.94801251999996</v>
      </c>
      <c r="O86" s="110">
        <f t="shared" si="69"/>
        <v>121.28406696</v>
      </c>
      <c r="P86" s="110">
        <f t="shared" si="69"/>
        <v>123.20443331999998</v>
      </c>
      <c r="Q86" s="110">
        <f t="shared" si="69"/>
        <v>114.60755555999998</v>
      </c>
      <c r="R86" s="110">
        <f t="shared" ref="R86:V86" si="70">R87+R88</f>
        <v>121.30477164</v>
      </c>
      <c r="S86" s="110">
        <f t="shared" si="70"/>
        <v>126.47752451999999</v>
      </c>
      <c r="T86" s="110">
        <f t="shared" si="70"/>
        <v>118.31538024000001</v>
      </c>
      <c r="U86" s="110">
        <f t="shared" si="70"/>
        <v>133.35790751999997</v>
      </c>
      <c r="V86" s="110">
        <f t="shared" si="70"/>
        <v>66.501990359999994</v>
      </c>
      <c r="W86" s="110">
        <f t="shared" ref="W86" si="71">W87+W88</f>
        <v>97.970608079999991</v>
      </c>
      <c r="DA86" s="176" t="s">
        <v>994</v>
      </c>
    </row>
    <row r="87" spans="1:105" ht="11.45" customHeight="1" x14ac:dyDescent="0.25">
      <c r="A87" s="128" t="str">
        <f>$A$27</f>
        <v>Domestic coastal shipping</v>
      </c>
      <c r="B87" s="102">
        <f>TrNavi_emi!B$4</f>
        <v>0</v>
      </c>
      <c r="C87" s="102">
        <f>TrNavi_emi!C$4</f>
        <v>0</v>
      </c>
      <c r="D87" s="102">
        <f>TrNavi_emi!D$4</f>
        <v>0</v>
      </c>
      <c r="E87" s="102">
        <f>TrNavi_emi!E$4</f>
        <v>0</v>
      </c>
      <c r="F87" s="102">
        <f>TrNavi_emi!F$4</f>
        <v>0</v>
      </c>
      <c r="G87" s="102">
        <f>TrNavi_emi!G$4</f>
        <v>0</v>
      </c>
      <c r="H87" s="102">
        <f>TrNavi_emi!H$4</f>
        <v>0</v>
      </c>
      <c r="I87" s="102">
        <f>TrNavi_emi!I$4</f>
        <v>0</v>
      </c>
      <c r="J87" s="102">
        <f>TrNavi_emi!J$4</f>
        <v>0</v>
      </c>
      <c r="K87" s="102">
        <f>TrNavi_emi!K$4</f>
        <v>0</v>
      </c>
      <c r="L87" s="102">
        <f>TrNavi_emi!L$4</f>
        <v>0</v>
      </c>
      <c r="M87" s="102">
        <f>TrNavi_emi!M$4</f>
        <v>0</v>
      </c>
      <c r="N87" s="102">
        <f>TrNavi_emi!N$4</f>
        <v>0</v>
      </c>
      <c r="O87" s="102">
        <f>TrNavi_emi!O$4</f>
        <v>0</v>
      </c>
      <c r="P87" s="102">
        <f>TrNavi_emi!P$4</f>
        <v>0</v>
      </c>
      <c r="Q87" s="102">
        <f>TrNavi_emi!Q$4</f>
        <v>0</v>
      </c>
      <c r="R87" s="102">
        <f>TrNavi_emi!R$4</f>
        <v>0</v>
      </c>
      <c r="S87" s="102">
        <f>TrNavi_emi!S$4</f>
        <v>0</v>
      </c>
      <c r="T87" s="102">
        <f>TrNavi_emi!T$4</f>
        <v>0</v>
      </c>
      <c r="U87" s="102">
        <f>TrNavi_emi!U$4</f>
        <v>0</v>
      </c>
      <c r="V87" s="102">
        <f>TrNavi_emi!V$4</f>
        <v>0</v>
      </c>
      <c r="W87" s="102">
        <f>TrNavi_emi!W$4</f>
        <v>0</v>
      </c>
      <c r="DA87" s="175" t="s">
        <v>995</v>
      </c>
    </row>
    <row r="88" spans="1:105" ht="11.45" customHeight="1" x14ac:dyDescent="0.25">
      <c r="A88" s="166" t="str">
        <f>$A$28</f>
        <v>Inland waterways</v>
      </c>
      <c r="B88" s="169">
        <f>TrNavi_emi!B$5</f>
        <v>107.17253856000001</v>
      </c>
      <c r="C88" s="169">
        <f>TrNavi_emi!C$5</f>
        <v>113.51529108</v>
      </c>
      <c r="D88" s="169">
        <f>TrNavi_emi!D$5</f>
        <v>119.85831035999998</v>
      </c>
      <c r="E88" s="169">
        <f>TrNavi_emi!E$5</f>
        <v>107.17253856000001</v>
      </c>
      <c r="F88" s="169">
        <f>TrNavi_emi!F$5</f>
        <v>129.37257252000001</v>
      </c>
      <c r="G88" s="169">
        <f>TrNavi_emi!G$5</f>
        <v>128.33273231999999</v>
      </c>
      <c r="H88" s="169">
        <f>TrNavi_emi!H$5</f>
        <v>121.74699167999999</v>
      </c>
      <c r="I88" s="169">
        <f>TrNavi_emi!I$5</f>
        <v>125.30242835999999</v>
      </c>
      <c r="J88" s="169">
        <f>TrNavi_emi!J$5</f>
        <v>118.59740064000002</v>
      </c>
      <c r="K88" s="169">
        <f>TrNavi_emi!K$5</f>
        <v>110.47366223999998</v>
      </c>
      <c r="L88" s="169">
        <f>TrNavi_emi!L$5</f>
        <v>122.23789379999999</v>
      </c>
      <c r="M88" s="169">
        <f>TrNavi_emi!M$5</f>
        <v>117.91434707999997</v>
      </c>
      <c r="N88" s="169">
        <f>TrNavi_emi!N$5</f>
        <v>113.94801251999996</v>
      </c>
      <c r="O88" s="169">
        <f>TrNavi_emi!O$5</f>
        <v>121.28406696</v>
      </c>
      <c r="P88" s="169">
        <f>TrNavi_emi!P$5</f>
        <v>123.20443331999998</v>
      </c>
      <c r="Q88" s="169">
        <f>TrNavi_emi!Q$5</f>
        <v>114.60755555999998</v>
      </c>
      <c r="R88" s="169">
        <f>TrNavi_emi!R$5</f>
        <v>121.30477164</v>
      </c>
      <c r="S88" s="169">
        <f>TrNavi_emi!S$5</f>
        <v>126.47752451999999</v>
      </c>
      <c r="T88" s="169">
        <f>TrNavi_emi!T$5</f>
        <v>118.31538024000001</v>
      </c>
      <c r="U88" s="169">
        <f>TrNavi_emi!U$5</f>
        <v>133.35790751999997</v>
      </c>
      <c r="V88" s="169">
        <f>TrNavi_emi!V$5</f>
        <v>66.501990359999994</v>
      </c>
      <c r="W88" s="169">
        <f>TrNavi_emi!W$5</f>
        <v>97.970608079999991</v>
      </c>
      <c r="DA88" s="177" t="s">
        <v>996</v>
      </c>
    </row>
    <row r="89" spans="1:105" ht="11.45" customHeight="1" x14ac:dyDescent="0.25">
      <c r="A89" s="27" t="s">
        <v>176</v>
      </c>
      <c r="B89" s="28">
        <f t="shared" ref="B89:W89" si="72">B90+B91</f>
        <v>0</v>
      </c>
      <c r="C89" s="28">
        <f t="shared" si="72"/>
        <v>0</v>
      </c>
      <c r="D89" s="28">
        <f t="shared" si="72"/>
        <v>0</v>
      </c>
      <c r="E89" s="28">
        <f t="shared" si="72"/>
        <v>0</v>
      </c>
      <c r="F89" s="28">
        <f t="shared" si="72"/>
        <v>0</v>
      </c>
      <c r="G89" s="28">
        <f t="shared" si="72"/>
        <v>0</v>
      </c>
      <c r="H89" s="28">
        <f t="shared" si="72"/>
        <v>0</v>
      </c>
      <c r="I89" s="28">
        <f t="shared" si="72"/>
        <v>0</v>
      </c>
      <c r="J89" s="28">
        <f t="shared" si="72"/>
        <v>0</v>
      </c>
      <c r="K89" s="28">
        <f t="shared" si="72"/>
        <v>0</v>
      </c>
      <c r="L89" s="28">
        <f t="shared" si="72"/>
        <v>0</v>
      </c>
      <c r="M89" s="28">
        <f t="shared" si="72"/>
        <v>0</v>
      </c>
      <c r="N89" s="28">
        <f t="shared" si="72"/>
        <v>0</v>
      </c>
      <c r="O89" s="28">
        <f t="shared" si="72"/>
        <v>0</v>
      </c>
      <c r="P89" s="28">
        <f t="shared" si="72"/>
        <v>0</v>
      </c>
      <c r="Q89" s="28">
        <f t="shared" si="72"/>
        <v>0</v>
      </c>
      <c r="R89" s="28">
        <f t="shared" si="72"/>
        <v>0</v>
      </c>
      <c r="S89" s="28">
        <f t="shared" si="72"/>
        <v>0</v>
      </c>
      <c r="T89" s="28">
        <f t="shared" si="72"/>
        <v>0</v>
      </c>
      <c r="U89" s="28">
        <f t="shared" si="72"/>
        <v>0</v>
      </c>
      <c r="V89" s="28">
        <f t="shared" si="72"/>
        <v>0</v>
      </c>
      <c r="W89" s="28">
        <f t="shared" si="72"/>
        <v>0</v>
      </c>
      <c r="DA89" s="173" t="s">
        <v>957</v>
      </c>
    </row>
    <row r="90" spans="1:105" ht="11.45" customHeight="1" x14ac:dyDescent="0.25">
      <c r="A90" s="128" t="str">
        <f>$A$30</f>
        <v>Intra-EEA</v>
      </c>
      <c r="B90" s="102">
        <f>MBunk_emi!B$4</f>
        <v>0</v>
      </c>
      <c r="C90" s="102">
        <f>MBunk_emi!C$4</f>
        <v>0</v>
      </c>
      <c r="D90" s="102">
        <f>MBunk_emi!D$4</f>
        <v>0</v>
      </c>
      <c r="E90" s="102">
        <f>MBunk_emi!E$4</f>
        <v>0</v>
      </c>
      <c r="F90" s="102">
        <f>MBunk_emi!F$4</f>
        <v>0</v>
      </c>
      <c r="G90" s="102">
        <f>MBunk_emi!G$4</f>
        <v>0</v>
      </c>
      <c r="H90" s="102">
        <f>MBunk_emi!H$4</f>
        <v>0</v>
      </c>
      <c r="I90" s="102">
        <f>MBunk_emi!I$4</f>
        <v>0</v>
      </c>
      <c r="J90" s="102">
        <f>MBunk_emi!J$4</f>
        <v>0</v>
      </c>
      <c r="K90" s="102">
        <f>MBunk_emi!K$4</f>
        <v>0</v>
      </c>
      <c r="L90" s="102">
        <f>MBunk_emi!L$4</f>
        <v>0</v>
      </c>
      <c r="M90" s="102">
        <f>MBunk_emi!M$4</f>
        <v>0</v>
      </c>
      <c r="N90" s="102">
        <f>MBunk_emi!N$4</f>
        <v>0</v>
      </c>
      <c r="O90" s="102">
        <f>MBunk_emi!O$4</f>
        <v>0</v>
      </c>
      <c r="P90" s="102">
        <f>MBunk_emi!P$4</f>
        <v>0</v>
      </c>
      <c r="Q90" s="102">
        <f>MBunk_emi!Q$4</f>
        <v>0</v>
      </c>
      <c r="R90" s="102">
        <f>MBunk_emi!R$4</f>
        <v>0</v>
      </c>
      <c r="S90" s="102">
        <f>MBunk_emi!S$4</f>
        <v>0</v>
      </c>
      <c r="T90" s="102">
        <f>MBunk_emi!T$4</f>
        <v>0</v>
      </c>
      <c r="U90" s="102">
        <f>MBunk_emi!U$4</f>
        <v>0</v>
      </c>
      <c r="V90" s="102">
        <f>MBunk_emi!V$4</f>
        <v>0</v>
      </c>
      <c r="W90" s="102">
        <f>MBunk_emi!W$4</f>
        <v>0</v>
      </c>
      <c r="DA90" s="175" t="s">
        <v>958</v>
      </c>
    </row>
    <row r="91" spans="1:105" ht="11.45" customHeight="1" x14ac:dyDescent="0.25">
      <c r="A91" s="138" t="str">
        <f>$A$31</f>
        <v>Extra-EEA</v>
      </c>
      <c r="B91" s="86">
        <f>MBunk_emi!B$5</f>
        <v>0</v>
      </c>
      <c r="C91" s="86">
        <f>MBunk_emi!C$5</f>
        <v>0</v>
      </c>
      <c r="D91" s="86">
        <f>MBunk_emi!D$5</f>
        <v>0</v>
      </c>
      <c r="E91" s="86">
        <f>MBunk_emi!E$5</f>
        <v>0</v>
      </c>
      <c r="F91" s="86">
        <f>MBunk_emi!F$5</f>
        <v>0</v>
      </c>
      <c r="G91" s="86">
        <f>MBunk_emi!G$5</f>
        <v>0</v>
      </c>
      <c r="H91" s="86">
        <f>MBunk_emi!H$5</f>
        <v>0</v>
      </c>
      <c r="I91" s="86">
        <f>MBunk_emi!I$5</f>
        <v>0</v>
      </c>
      <c r="J91" s="86">
        <f>MBunk_emi!J$5</f>
        <v>0</v>
      </c>
      <c r="K91" s="86">
        <f>MBunk_emi!K$5</f>
        <v>0</v>
      </c>
      <c r="L91" s="86">
        <f>MBunk_emi!L$5</f>
        <v>0</v>
      </c>
      <c r="M91" s="86">
        <f>MBunk_emi!M$5</f>
        <v>0</v>
      </c>
      <c r="N91" s="86">
        <f>MBunk_emi!N$5</f>
        <v>0</v>
      </c>
      <c r="O91" s="86">
        <f>MBunk_emi!O$5</f>
        <v>0</v>
      </c>
      <c r="P91" s="86">
        <f>MBunk_emi!P$5</f>
        <v>0</v>
      </c>
      <c r="Q91" s="86">
        <f>MBunk_emi!Q$5</f>
        <v>0</v>
      </c>
      <c r="R91" s="86">
        <f>MBunk_emi!R$5</f>
        <v>0</v>
      </c>
      <c r="S91" s="86">
        <f>MBunk_emi!S$5</f>
        <v>0</v>
      </c>
      <c r="T91" s="86">
        <f>MBunk_emi!T$5</f>
        <v>0</v>
      </c>
      <c r="U91" s="86">
        <f>MBunk_emi!U$5</f>
        <v>0</v>
      </c>
      <c r="V91" s="86">
        <f>MBunk_emi!V$5</f>
        <v>0</v>
      </c>
      <c r="W91" s="86">
        <f>MBunk_emi!W$5</f>
        <v>0</v>
      </c>
      <c r="DA91" s="178" t="s">
        <v>959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68" t="s">
        <v>36</v>
      </c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DA93" s="179"/>
    </row>
    <row r="94" spans="1:105" x14ac:dyDescent="0.25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DA94" s="171"/>
    </row>
    <row r="95" spans="1:105" ht="11.45" customHeight="1" x14ac:dyDescent="0.25">
      <c r="A95" s="53" t="s">
        <v>37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DA95" s="172"/>
    </row>
    <row r="96" spans="1:105" ht="11.45" customHeight="1" x14ac:dyDescent="0.25">
      <c r="A96" s="27" t="s">
        <v>38</v>
      </c>
      <c r="B96" s="31">
        <f t="shared" ref="B96:Q96" si="73">IF(B4=0,0,B4/B$4)</f>
        <v>1</v>
      </c>
      <c r="C96" s="31">
        <f t="shared" si="73"/>
        <v>1</v>
      </c>
      <c r="D96" s="31">
        <f t="shared" si="73"/>
        <v>1</v>
      </c>
      <c r="E96" s="31">
        <f t="shared" si="73"/>
        <v>1</v>
      </c>
      <c r="F96" s="31">
        <f t="shared" si="73"/>
        <v>1</v>
      </c>
      <c r="G96" s="31">
        <f t="shared" si="73"/>
        <v>1</v>
      </c>
      <c r="H96" s="31">
        <f t="shared" si="73"/>
        <v>1</v>
      </c>
      <c r="I96" s="31">
        <f t="shared" si="73"/>
        <v>1</v>
      </c>
      <c r="J96" s="31">
        <f t="shared" si="73"/>
        <v>1</v>
      </c>
      <c r="K96" s="31">
        <f t="shared" si="73"/>
        <v>1</v>
      </c>
      <c r="L96" s="31">
        <f t="shared" si="73"/>
        <v>1</v>
      </c>
      <c r="M96" s="31">
        <f t="shared" si="73"/>
        <v>1</v>
      </c>
      <c r="N96" s="31">
        <f t="shared" si="73"/>
        <v>1</v>
      </c>
      <c r="O96" s="31">
        <f t="shared" si="73"/>
        <v>1</v>
      </c>
      <c r="P96" s="31">
        <f t="shared" si="73"/>
        <v>1</v>
      </c>
      <c r="Q96" s="31">
        <f t="shared" si="73"/>
        <v>1</v>
      </c>
      <c r="R96" s="31">
        <f t="shared" ref="R96:V96" si="74">IF(R4=0,0,R4/R$4)</f>
        <v>1</v>
      </c>
      <c r="S96" s="31">
        <f t="shared" si="74"/>
        <v>1</v>
      </c>
      <c r="T96" s="31">
        <f t="shared" si="74"/>
        <v>1</v>
      </c>
      <c r="U96" s="31">
        <f t="shared" si="74"/>
        <v>1</v>
      </c>
      <c r="V96" s="31">
        <f t="shared" si="74"/>
        <v>1</v>
      </c>
      <c r="W96" s="31">
        <f t="shared" ref="W96" si="75">IF(W4=0,0,W4/W$4)</f>
        <v>1</v>
      </c>
      <c r="DA96" s="173"/>
    </row>
    <row r="97" spans="1:105" ht="11.45" customHeight="1" x14ac:dyDescent="0.25">
      <c r="A97" s="136" t="str">
        <f>$A$5</f>
        <v>Road transport</v>
      </c>
      <c r="B97" s="139">
        <f t="shared" ref="B97:Q97" si="76">IF(B5=0,0,B5/B$4)</f>
        <v>0.72801006726471063</v>
      </c>
      <c r="C97" s="139">
        <f t="shared" si="76"/>
        <v>0.72976646839466752</v>
      </c>
      <c r="D97" s="139">
        <f t="shared" si="76"/>
        <v>0.72914356187451124</v>
      </c>
      <c r="E97" s="139">
        <f t="shared" si="76"/>
        <v>0.73144186298459279</v>
      </c>
      <c r="F97" s="139">
        <f t="shared" si="76"/>
        <v>0.7199881752602374</v>
      </c>
      <c r="G97" s="139">
        <f t="shared" si="76"/>
        <v>0.70412715805872927</v>
      </c>
      <c r="H97" s="139">
        <f t="shared" si="76"/>
        <v>0.70272869425037199</v>
      </c>
      <c r="I97" s="139">
        <f t="shared" si="76"/>
        <v>0.70048911391320601</v>
      </c>
      <c r="J97" s="139">
        <f t="shared" si="76"/>
        <v>0.68720860181124654</v>
      </c>
      <c r="K97" s="139">
        <f t="shared" si="76"/>
        <v>0.69563957738377347</v>
      </c>
      <c r="L97" s="139">
        <f t="shared" si="76"/>
        <v>0.68963078443284831</v>
      </c>
      <c r="M97" s="139">
        <f t="shared" si="76"/>
        <v>0.685141430443162</v>
      </c>
      <c r="N97" s="139">
        <f t="shared" si="76"/>
        <v>0.6785704023416701</v>
      </c>
      <c r="O97" s="139">
        <f t="shared" si="76"/>
        <v>0.67663938336324414</v>
      </c>
      <c r="P97" s="139">
        <f t="shared" si="76"/>
        <v>0.67403622799977503</v>
      </c>
      <c r="Q97" s="139">
        <f t="shared" si="76"/>
        <v>0.67430489267299609</v>
      </c>
      <c r="R97" s="139">
        <f t="shared" ref="R97:V97" si="77">IF(R5=0,0,R5/R$4)</f>
        <v>0.67781765425682383</v>
      </c>
      <c r="S97" s="139">
        <f t="shared" si="77"/>
        <v>0.67680549504981724</v>
      </c>
      <c r="T97" s="139">
        <f t="shared" si="77"/>
        <v>0.65069430289175356</v>
      </c>
      <c r="U97" s="139">
        <f t="shared" si="77"/>
        <v>0.62110630884681517</v>
      </c>
      <c r="V97" s="139">
        <f t="shared" si="77"/>
        <v>0.77942374749207943</v>
      </c>
      <c r="W97" s="139">
        <f t="shared" ref="W97" si="78">IF(W5=0,0,W5/W$4)</f>
        <v>0.76907770964768007</v>
      </c>
      <c r="DA97" s="174"/>
    </row>
    <row r="98" spans="1:105" ht="11.45" customHeight="1" x14ac:dyDescent="0.25">
      <c r="A98" s="128" t="str">
        <f>$A$6</f>
        <v>Powered two-wheelers</v>
      </c>
      <c r="B98" s="140">
        <f t="shared" ref="B98:Q98" si="79">IF(B6=0,0,B6/B$4)</f>
        <v>1.0078684553061958E-2</v>
      </c>
      <c r="C98" s="140">
        <f t="shared" si="79"/>
        <v>1.0333323419200456E-2</v>
      </c>
      <c r="D98" s="140">
        <f t="shared" si="79"/>
        <v>1.0508211426087582E-2</v>
      </c>
      <c r="E98" s="140">
        <f t="shared" si="79"/>
        <v>1.0629378192378988E-2</v>
      </c>
      <c r="F98" s="140">
        <f t="shared" si="79"/>
        <v>1.0921246278228569E-2</v>
      </c>
      <c r="G98" s="140">
        <f t="shared" si="79"/>
        <v>1.1003284072690285E-2</v>
      </c>
      <c r="H98" s="140">
        <f t="shared" si="79"/>
        <v>1.1194549759107459E-2</v>
      </c>
      <c r="I98" s="140">
        <f t="shared" si="79"/>
        <v>1.1472168617195709E-2</v>
      </c>
      <c r="J98" s="140">
        <f t="shared" si="79"/>
        <v>1.2067255919626938E-2</v>
      </c>
      <c r="K98" s="140">
        <f t="shared" si="79"/>
        <v>1.2936557600684557E-2</v>
      </c>
      <c r="L98" s="140">
        <f t="shared" si="79"/>
        <v>1.304811426214349E-2</v>
      </c>
      <c r="M98" s="140">
        <f t="shared" si="79"/>
        <v>1.3179013799302888E-2</v>
      </c>
      <c r="N98" s="140">
        <f t="shared" si="79"/>
        <v>1.3673282358721669E-2</v>
      </c>
      <c r="O98" s="140">
        <f t="shared" si="79"/>
        <v>1.3788220249433042E-2</v>
      </c>
      <c r="P98" s="140">
        <f t="shared" si="79"/>
        <v>1.3824468040358273E-2</v>
      </c>
      <c r="Q98" s="140">
        <f t="shared" si="79"/>
        <v>1.4032570045884599E-2</v>
      </c>
      <c r="R98" s="140">
        <f t="shared" ref="R98:V98" si="80">IF(R6=0,0,R6/R$4)</f>
        <v>1.4142975296127918E-2</v>
      </c>
      <c r="S98" s="140">
        <f t="shared" si="80"/>
        <v>1.3115276487084934E-2</v>
      </c>
      <c r="T98" s="140">
        <f t="shared" si="80"/>
        <v>1.2259051855750117E-2</v>
      </c>
      <c r="U98" s="140">
        <f t="shared" si="80"/>
        <v>1.2728376557459979E-2</v>
      </c>
      <c r="V98" s="140">
        <f t="shared" si="80"/>
        <v>1.615744645086899E-2</v>
      </c>
      <c r="W98" s="140">
        <f t="shared" ref="W98" si="81">IF(W6=0,0,W6/W$4)</f>
        <v>1.5689238376759302E-2</v>
      </c>
      <c r="DA98" s="175"/>
    </row>
    <row r="99" spans="1:105" ht="11.45" customHeight="1" x14ac:dyDescent="0.25">
      <c r="A99" s="128" t="str">
        <f>$A$7</f>
        <v>Passenger cars</v>
      </c>
      <c r="B99" s="140">
        <f t="shared" ref="B99:Q99" si="82">IF(B7=0,0,B7/B$4)</f>
        <v>0.63052773623478631</v>
      </c>
      <c r="C99" s="140">
        <f t="shared" si="82"/>
        <v>0.63269973689735659</v>
      </c>
      <c r="D99" s="140">
        <f t="shared" si="82"/>
        <v>0.63325106755581151</v>
      </c>
      <c r="E99" s="140">
        <f t="shared" si="82"/>
        <v>0.63509020061472676</v>
      </c>
      <c r="F99" s="140">
        <f t="shared" si="82"/>
        <v>0.62508503304365348</v>
      </c>
      <c r="G99" s="140">
        <f t="shared" si="82"/>
        <v>0.6110043919859246</v>
      </c>
      <c r="H99" s="140">
        <f t="shared" si="82"/>
        <v>0.60886945676005189</v>
      </c>
      <c r="I99" s="140">
        <f t="shared" si="82"/>
        <v>0.60616537878996957</v>
      </c>
      <c r="J99" s="140">
        <f t="shared" si="82"/>
        <v>0.59385383264347535</v>
      </c>
      <c r="K99" s="140">
        <f t="shared" si="82"/>
        <v>0.60777295012542365</v>
      </c>
      <c r="L99" s="140">
        <f t="shared" si="82"/>
        <v>0.60082233468825108</v>
      </c>
      <c r="M99" s="140">
        <f t="shared" si="82"/>
        <v>0.59552939501941882</v>
      </c>
      <c r="N99" s="140">
        <f t="shared" si="82"/>
        <v>0.58997254602658777</v>
      </c>
      <c r="O99" s="140">
        <f t="shared" si="82"/>
        <v>0.58848863962178766</v>
      </c>
      <c r="P99" s="140">
        <f t="shared" si="82"/>
        <v>0.5861889046131884</v>
      </c>
      <c r="Q99" s="140">
        <f t="shared" si="82"/>
        <v>0.5866669071956504</v>
      </c>
      <c r="R99" s="140">
        <f t="shared" ref="R99:V99" si="83">IF(R7=0,0,R7/R$4)</f>
        <v>0.58943698065972616</v>
      </c>
      <c r="S99" s="140">
        <f t="shared" si="83"/>
        <v>0.58897824616765315</v>
      </c>
      <c r="T99" s="140">
        <f t="shared" si="83"/>
        <v>0.56797805855683803</v>
      </c>
      <c r="U99" s="140">
        <f t="shared" si="83"/>
        <v>0.54013199927201594</v>
      </c>
      <c r="V99" s="140">
        <f t="shared" si="83"/>
        <v>0.68502542707573622</v>
      </c>
      <c r="W99" s="140">
        <f t="shared" ref="W99" si="84">IF(W7=0,0,W7/W$4)</f>
        <v>0.67812057547144378</v>
      </c>
      <c r="DA99" s="175"/>
    </row>
    <row r="100" spans="1:105" ht="11.45" customHeight="1" x14ac:dyDescent="0.25">
      <c r="A100" s="128" t="str">
        <f>$A$8</f>
        <v>Motor coaches, buses and trolley buses</v>
      </c>
      <c r="B100" s="140">
        <f t="shared" ref="B100:Q100" si="85">IF(B8=0,0,B8/B$4)</f>
        <v>8.7403646476862426E-2</v>
      </c>
      <c r="C100" s="140">
        <f t="shared" si="85"/>
        <v>8.673340807811053E-2</v>
      </c>
      <c r="D100" s="140">
        <f t="shared" si="85"/>
        <v>8.5384282892612226E-2</v>
      </c>
      <c r="E100" s="140">
        <f t="shared" si="85"/>
        <v>8.572228417748691E-2</v>
      </c>
      <c r="F100" s="140">
        <f t="shared" si="85"/>
        <v>8.3981895938355297E-2</v>
      </c>
      <c r="G100" s="140">
        <f t="shared" si="85"/>
        <v>8.2119482000114277E-2</v>
      </c>
      <c r="H100" s="140">
        <f t="shared" si="85"/>
        <v>8.2664687731212702E-2</v>
      </c>
      <c r="I100" s="140">
        <f t="shared" si="85"/>
        <v>8.2851566506040711E-2</v>
      </c>
      <c r="J100" s="140">
        <f t="shared" si="85"/>
        <v>8.1287513248144261E-2</v>
      </c>
      <c r="K100" s="140">
        <f t="shared" si="85"/>
        <v>7.4930069657665244E-2</v>
      </c>
      <c r="L100" s="140">
        <f t="shared" si="85"/>
        <v>7.5760335482453811E-2</v>
      </c>
      <c r="M100" s="140">
        <f t="shared" si="85"/>
        <v>7.6433021624440434E-2</v>
      </c>
      <c r="N100" s="140">
        <f t="shared" si="85"/>
        <v>7.4924573956360568E-2</v>
      </c>
      <c r="O100" s="140">
        <f t="shared" si="85"/>
        <v>7.4362523492023477E-2</v>
      </c>
      <c r="P100" s="140">
        <f t="shared" si="85"/>
        <v>7.4022855346228308E-2</v>
      </c>
      <c r="Q100" s="140">
        <f t="shared" si="85"/>
        <v>7.3605415431461069E-2</v>
      </c>
      <c r="R100" s="140">
        <f t="shared" ref="R100:V100" si="86">IF(R8=0,0,R8/R$4)</f>
        <v>7.4237698300969837E-2</v>
      </c>
      <c r="S100" s="140">
        <f t="shared" si="86"/>
        <v>7.4711972395079151E-2</v>
      </c>
      <c r="T100" s="140">
        <f t="shared" si="86"/>
        <v>7.0457192479165501E-2</v>
      </c>
      <c r="U100" s="140">
        <f t="shared" si="86"/>
        <v>6.8245933017339333E-2</v>
      </c>
      <c r="V100" s="140">
        <f t="shared" si="86"/>
        <v>7.82408739654743E-2</v>
      </c>
      <c r="W100" s="140">
        <f t="shared" ref="W100" si="87">IF(W8=0,0,W8/W$4)</f>
        <v>7.5267895799477152E-2</v>
      </c>
      <c r="DA100" s="175"/>
    </row>
    <row r="101" spans="1:105" ht="11.45" customHeight="1" x14ac:dyDescent="0.25">
      <c r="A101" s="109" t="str">
        <f>$A$9</f>
        <v>Rail, metro and tram</v>
      </c>
      <c r="B101" s="124">
        <f t="shared" ref="B101:Q101" si="88">IF(B9=0,0,B9/B$4)</f>
        <v>0.14318671188347895</v>
      </c>
      <c r="C101" s="124">
        <f t="shared" si="88"/>
        <v>0.14347514458379251</v>
      </c>
      <c r="D101" s="124">
        <f t="shared" si="88"/>
        <v>0.14249783063736449</v>
      </c>
      <c r="E101" s="124">
        <f t="shared" si="88"/>
        <v>0.13958422943639837</v>
      </c>
      <c r="F101" s="124">
        <f t="shared" si="88"/>
        <v>0.13304613569151186</v>
      </c>
      <c r="G101" s="124">
        <f t="shared" si="88"/>
        <v>0.13482004141497905</v>
      </c>
      <c r="H101" s="124">
        <f t="shared" si="88"/>
        <v>0.13554591478835323</v>
      </c>
      <c r="I101" s="124">
        <f t="shared" si="88"/>
        <v>0.13634290394188095</v>
      </c>
      <c r="J101" s="124">
        <f t="shared" si="88"/>
        <v>0.14881760161320137</v>
      </c>
      <c r="K101" s="124">
        <f t="shared" si="88"/>
        <v>0.15283382663843065</v>
      </c>
      <c r="L101" s="124">
        <f t="shared" si="88"/>
        <v>0.15098997555924876</v>
      </c>
      <c r="M101" s="124">
        <f t="shared" si="88"/>
        <v>0.15294116729867863</v>
      </c>
      <c r="N101" s="124">
        <f t="shared" si="88"/>
        <v>0.15665397092436054</v>
      </c>
      <c r="O101" s="124">
        <f t="shared" si="88"/>
        <v>0.16063805126923678</v>
      </c>
      <c r="P101" s="124">
        <f t="shared" si="88"/>
        <v>0.15617141829599074</v>
      </c>
      <c r="Q101" s="124">
        <f t="shared" si="88"/>
        <v>0.15517383115667174</v>
      </c>
      <c r="R101" s="124">
        <f t="shared" ref="R101:V101" si="89">IF(R9=0,0,R9/R$4)</f>
        <v>0.15496191176117707</v>
      </c>
      <c r="S101" s="124">
        <f t="shared" si="89"/>
        <v>0.15281640018906914</v>
      </c>
      <c r="T101" s="124">
        <f t="shared" si="89"/>
        <v>0.15418377594539609</v>
      </c>
      <c r="U101" s="124">
        <f t="shared" si="89"/>
        <v>0.15308367405629955</v>
      </c>
      <c r="V101" s="124">
        <f t="shared" si="89"/>
        <v>0.13947292588215018</v>
      </c>
      <c r="W101" s="124">
        <f t="shared" ref="W101" si="90">IF(W9=0,0,W9/W$4)</f>
        <v>0.142856146216404</v>
      </c>
      <c r="DA101" s="176"/>
    </row>
    <row r="102" spans="1:105" ht="11.45" customHeight="1" x14ac:dyDescent="0.25">
      <c r="A102" s="128" t="str">
        <f>$A$10</f>
        <v>Metro and tram, urban light rail</v>
      </c>
      <c r="B102" s="140">
        <f t="shared" ref="B102:Q102" si="91">IF(B10=0,0,B10/B$4)</f>
        <v>5.8056657606752084E-2</v>
      </c>
      <c r="C102" s="140">
        <f t="shared" si="91"/>
        <v>5.8637617328392656E-2</v>
      </c>
      <c r="D102" s="140">
        <f t="shared" si="91"/>
        <v>5.8583940876054265E-2</v>
      </c>
      <c r="E102" s="140">
        <f t="shared" si="91"/>
        <v>5.8437522178867107E-2</v>
      </c>
      <c r="F102" s="140">
        <f t="shared" si="91"/>
        <v>5.7727200019041483E-2</v>
      </c>
      <c r="G102" s="140">
        <f t="shared" si="91"/>
        <v>5.7390305514214257E-2</v>
      </c>
      <c r="H102" s="140">
        <f t="shared" si="91"/>
        <v>5.735340771527029E-2</v>
      </c>
      <c r="I102" s="140">
        <f t="shared" si="91"/>
        <v>5.7219703962288308E-2</v>
      </c>
      <c r="J102" s="140">
        <f t="shared" si="91"/>
        <v>5.8563806454024821E-2</v>
      </c>
      <c r="K102" s="140">
        <f t="shared" si="91"/>
        <v>6.1310381411338682E-2</v>
      </c>
      <c r="L102" s="140">
        <f t="shared" si="91"/>
        <v>6.0801014363497503E-2</v>
      </c>
      <c r="M102" s="140">
        <f t="shared" si="91"/>
        <v>6.0301577728148197E-2</v>
      </c>
      <c r="N102" s="140">
        <f t="shared" si="91"/>
        <v>6.0808522008820552E-2</v>
      </c>
      <c r="O102" s="140">
        <f t="shared" si="91"/>
        <v>6.0912987829560263E-2</v>
      </c>
      <c r="P102" s="140">
        <f t="shared" si="91"/>
        <v>5.7646642749466334E-2</v>
      </c>
      <c r="Q102" s="140">
        <f t="shared" si="91"/>
        <v>5.7786095712047729E-2</v>
      </c>
      <c r="R102" s="140">
        <f t="shared" ref="R102:V102" si="92">IF(R10=0,0,R10/R$4)</f>
        <v>5.6571173344896364E-2</v>
      </c>
      <c r="S102" s="140">
        <f t="shared" si="92"/>
        <v>5.5622353347132704E-2</v>
      </c>
      <c r="T102" s="140">
        <f t="shared" si="92"/>
        <v>5.4587238576585588E-2</v>
      </c>
      <c r="U102" s="140">
        <f t="shared" si="92"/>
        <v>5.4705086762080954E-2</v>
      </c>
      <c r="V102" s="140">
        <f t="shared" si="92"/>
        <v>6.1958771520367391E-2</v>
      </c>
      <c r="W102" s="140">
        <f t="shared" ref="W102" si="93">IF(W10=0,0,W10/W$4)</f>
        <v>6.0691801309508631E-2</v>
      </c>
      <c r="DA102" s="175"/>
    </row>
    <row r="103" spans="1:105" ht="11.45" customHeight="1" x14ac:dyDescent="0.25">
      <c r="A103" s="128" t="str">
        <f>$A$11</f>
        <v>Conventional passenger trains</v>
      </c>
      <c r="B103" s="140">
        <f t="shared" ref="B103:Q103" si="94">IF(B11=0,0,B11/B$4)</f>
        <v>8.5130054276726846E-2</v>
      </c>
      <c r="C103" s="140">
        <f t="shared" si="94"/>
        <v>8.4837527255399864E-2</v>
      </c>
      <c r="D103" s="140">
        <f t="shared" si="94"/>
        <v>8.3913889761310201E-2</v>
      </c>
      <c r="E103" s="140">
        <f t="shared" si="94"/>
        <v>8.1146707257531231E-2</v>
      </c>
      <c r="F103" s="140">
        <f t="shared" si="94"/>
        <v>7.5318935672470388E-2</v>
      </c>
      <c r="G103" s="140">
        <f t="shared" si="94"/>
        <v>7.7429735900764809E-2</v>
      </c>
      <c r="H103" s="140">
        <f t="shared" si="94"/>
        <v>7.8192507073082937E-2</v>
      </c>
      <c r="I103" s="140">
        <f t="shared" si="94"/>
        <v>7.9123199979592648E-2</v>
      </c>
      <c r="J103" s="140">
        <f t="shared" si="94"/>
        <v>9.0253795159176559E-2</v>
      </c>
      <c r="K103" s="140">
        <f t="shared" si="94"/>
        <v>9.1523445227091965E-2</v>
      </c>
      <c r="L103" s="140">
        <f t="shared" si="94"/>
        <v>9.018896119575126E-2</v>
      </c>
      <c r="M103" s="140">
        <f t="shared" si="94"/>
        <v>9.2639589570530409E-2</v>
      </c>
      <c r="N103" s="140">
        <f t="shared" si="94"/>
        <v>9.5845448915539977E-2</v>
      </c>
      <c r="O103" s="140">
        <f t="shared" si="94"/>
        <v>9.9725063439676506E-2</v>
      </c>
      <c r="P103" s="140">
        <f t="shared" si="94"/>
        <v>9.8524775546524418E-2</v>
      </c>
      <c r="Q103" s="140">
        <f t="shared" si="94"/>
        <v>9.7387735444624021E-2</v>
      </c>
      <c r="R103" s="140">
        <f t="shared" ref="R103:V103" si="95">IF(R11=0,0,R11/R$4)</f>
        <v>9.839073841628071E-2</v>
      </c>
      <c r="S103" s="140">
        <f t="shared" si="95"/>
        <v>9.719404684193643E-2</v>
      </c>
      <c r="T103" s="140">
        <f t="shared" si="95"/>
        <v>9.9596537368810509E-2</v>
      </c>
      <c r="U103" s="140">
        <f t="shared" si="95"/>
        <v>9.8378587294218584E-2</v>
      </c>
      <c r="V103" s="140">
        <f t="shared" si="95"/>
        <v>7.7514154361782786E-2</v>
      </c>
      <c r="W103" s="140">
        <f t="shared" ref="W103" si="96">IF(W11=0,0,W11/W$4)</f>
        <v>8.2164344906895365E-2</v>
      </c>
      <c r="DA103" s="175"/>
    </row>
    <row r="104" spans="1:105" ht="11.45" customHeight="1" x14ac:dyDescent="0.25">
      <c r="A104" s="128" t="str">
        <f>$A$12</f>
        <v>High speed passenger trains</v>
      </c>
      <c r="B104" s="140">
        <f t="shared" ref="B104:Q104" si="97">IF(B12=0,0,B12/B$4)</f>
        <v>0</v>
      </c>
      <c r="C104" s="140">
        <f t="shared" si="97"/>
        <v>0</v>
      </c>
      <c r="D104" s="140">
        <f t="shared" si="97"/>
        <v>0</v>
      </c>
      <c r="E104" s="140">
        <f t="shared" si="97"/>
        <v>0</v>
      </c>
      <c r="F104" s="140">
        <f t="shared" si="97"/>
        <v>0</v>
      </c>
      <c r="G104" s="140">
        <f t="shared" si="97"/>
        <v>0</v>
      </c>
      <c r="H104" s="140">
        <f t="shared" si="97"/>
        <v>0</v>
      </c>
      <c r="I104" s="140">
        <f t="shared" si="97"/>
        <v>0</v>
      </c>
      <c r="J104" s="140">
        <f t="shared" si="97"/>
        <v>0</v>
      </c>
      <c r="K104" s="140">
        <f t="shared" si="97"/>
        <v>0</v>
      </c>
      <c r="L104" s="140">
        <f t="shared" si="97"/>
        <v>0</v>
      </c>
      <c r="M104" s="140">
        <f t="shared" si="97"/>
        <v>0</v>
      </c>
      <c r="N104" s="140">
        <f t="shared" si="97"/>
        <v>0</v>
      </c>
      <c r="O104" s="140">
        <f t="shared" si="97"/>
        <v>0</v>
      </c>
      <c r="P104" s="140">
        <f t="shared" si="97"/>
        <v>0</v>
      </c>
      <c r="Q104" s="140">
        <f t="shared" si="97"/>
        <v>0</v>
      </c>
      <c r="R104" s="140">
        <f t="shared" ref="R104:V104" si="98">IF(R12=0,0,R12/R$4)</f>
        <v>0</v>
      </c>
      <c r="S104" s="140">
        <f t="shared" si="98"/>
        <v>0</v>
      </c>
      <c r="T104" s="140">
        <f t="shared" si="98"/>
        <v>0</v>
      </c>
      <c r="U104" s="140">
        <f t="shared" si="98"/>
        <v>0</v>
      </c>
      <c r="V104" s="140">
        <f t="shared" si="98"/>
        <v>0</v>
      </c>
      <c r="W104" s="140">
        <f t="shared" ref="W104" si="99">IF(W12=0,0,W12/W$4)</f>
        <v>0</v>
      </c>
      <c r="DA104" s="175"/>
    </row>
    <row r="105" spans="1:105" ht="11.45" customHeight="1" x14ac:dyDescent="0.25">
      <c r="A105" s="109" t="str">
        <f>$A$13</f>
        <v>Aviation</v>
      </c>
      <c r="B105" s="124">
        <f t="shared" ref="B105:Q105" si="100">IF(B13=0,0,B13/B$4)</f>
        <v>0.12880322085181034</v>
      </c>
      <c r="C105" s="124">
        <f t="shared" si="100"/>
        <v>0.12675838702153996</v>
      </c>
      <c r="D105" s="124">
        <f t="shared" si="100"/>
        <v>0.12835860748812428</v>
      </c>
      <c r="E105" s="124">
        <f t="shared" si="100"/>
        <v>0.12897390757900884</v>
      </c>
      <c r="F105" s="124">
        <f t="shared" si="100"/>
        <v>0.14696568904825077</v>
      </c>
      <c r="G105" s="124">
        <f t="shared" si="100"/>
        <v>0.16105280052629165</v>
      </c>
      <c r="H105" s="124">
        <f t="shared" si="100"/>
        <v>0.16172539096127481</v>
      </c>
      <c r="I105" s="124">
        <f t="shared" si="100"/>
        <v>0.16316798214491302</v>
      </c>
      <c r="J105" s="124">
        <f t="shared" si="100"/>
        <v>0.16397379657555225</v>
      </c>
      <c r="K105" s="124">
        <f t="shared" si="100"/>
        <v>0.15152659597779583</v>
      </c>
      <c r="L105" s="124">
        <f t="shared" si="100"/>
        <v>0.15937924000790285</v>
      </c>
      <c r="M105" s="124">
        <f t="shared" si="100"/>
        <v>0.1619174022581594</v>
      </c>
      <c r="N105" s="124">
        <f t="shared" si="100"/>
        <v>0.16477562673396937</v>
      </c>
      <c r="O105" s="124">
        <f t="shared" si="100"/>
        <v>0.16272256536751903</v>
      </c>
      <c r="P105" s="124">
        <f t="shared" si="100"/>
        <v>0.16979235370423421</v>
      </c>
      <c r="Q105" s="124">
        <f t="shared" si="100"/>
        <v>0.17052127617033216</v>
      </c>
      <c r="R105" s="124">
        <f t="shared" ref="R105:V105" si="101">IF(R13=0,0,R13/R$4)</f>
        <v>0.16722043398199912</v>
      </c>
      <c r="S105" s="124">
        <f t="shared" si="101"/>
        <v>0.17037810476111362</v>
      </c>
      <c r="T105" s="124">
        <f t="shared" si="101"/>
        <v>0.19512192116285035</v>
      </c>
      <c r="U105" s="124">
        <f t="shared" si="101"/>
        <v>0.22581001709688536</v>
      </c>
      <c r="V105" s="124">
        <f t="shared" si="101"/>
        <v>8.1103326625770383E-2</v>
      </c>
      <c r="W105" s="124">
        <f t="shared" ref="W105" si="102">IF(W13=0,0,W13/W$4)</f>
        <v>8.8066144135915986E-2</v>
      </c>
      <c r="DA105" s="176"/>
    </row>
    <row r="106" spans="1:105" ht="11.45" customHeight="1" x14ac:dyDescent="0.25">
      <c r="A106" s="128" t="str">
        <f>$A$14</f>
        <v>Domestic</v>
      </c>
      <c r="B106" s="140">
        <f t="shared" ref="B106:Q106" si="103">IF(B14=0,0,B14/B$4)</f>
        <v>1.5363733511025183E-3</v>
      </c>
      <c r="C106" s="140">
        <f t="shared" si="103"/>
        <v>1.5655573089507087E-3</v>
      </c>
      <c r="D106" s="140">
        <f t="shared" si="103"/>
        <v>1.5695199974454395E-3</v>
      </c>
      <c r="E106" s="140">
        <f t="shared" si="103"/>
        <v>1.5865411998607325E-3</v>
      </c>
      <c r="F106" s="140">
        <f t="shared" si="103"/>
        <v>1.6105232073709507E-3</v>
      </c>
      <c r="G106" s="140">
        <f t="shared" si="103"/>
        <v>1.5759030504738885E-3</v>
      </c>
      <c r="H106" s="140">
        <f t="shared" si="103"/>
        <v>1.950848835124179E-3</v>
      </c>
      <c r="I106" s="140">
        <f t="shared" si="103"/>
        <v>2.0652301117889955E-3</v>
      </c>
      <c r="J106" s="140">
        <f t="shared" si="103"/>
        <v>2.2196446842889048E-3</v>
      </c>
      <c r="K106" s="140">
        <f t="shared" si="103"/>
        <v>2.2754788049948998E-3</v>
      </c>
      <c r="L106" s="140">
        <f t="shared" si="103"/>
        <v>2.4070916902906446E-3</v>
      </c>
      <c r="M106" s="140">
        <f t="shared" si="103"/>
        <v>1.8424461271664395E-3</v>
      </c>
      <c r="N106" s="140">
        <f t="shared" si="103"/>
        <v>1.7016248354128503E-3</v>
      </c>
      <c r="O106" s="140">
        <f t="shared" si="103"/>
        <v>1.6065768892658148E-3</v>
      </c>
      <c r="P106" s="140">
        <f t="shared" si="103"/>
        <v>1.4682849402699672E-3</v>
      </c>
      <c r="Q106" s="140">
        <f t="shared" si="103"/>
        <v>1.3110268665526348E-3</v>
      </c>
      <c r="R106" s="140">
        <f t="shared" ref="R106:V106" si="104">IF(R14=0,0,R14/R$4)</f>
        <v>1.2316011365024414E-3</v>
      </c>
      <c r="S106" s="140">
        <f t="shared" si="104"/>
        <v>1.29927444483781E-3</v>
      </c>
      <c r="T106" s="140">
        <f t="shared" si="104"/>
        <v>1.396932080701577E-3</v>
      </c>
      <c r="U106" s="140">
        <f t="shared" si="104"/>
        <v>1.2987354694926167E-3</v>
      </c>
      <c r="V106" s="140">
        <f t="shared" si="104"/>
        <v>4.7462983317012709E-4</v>
      </c>
      <c r="W106" s="140">
        <f t="shared" ref="W106" si="105">IF(W14=0,0,W14/W$4)</f>
        <v>3.1692528936045283E-4</v>
      </c>
      <c r="DA106" s="175"/>
    </row>
    <row r="107" spans="1:105" ht="11.45" customHeight="1" x14ac:dyDescent="0.25">
      <c r="A107" s="128" t="str">
        <f>$A$15</f>
        <v>International - Intra-EEAwUK</v>
      </c>
      <c r="B107" s="140">
        <f t="shared" ref="B107:Q107" si="106">IF(B15=0,0,B15/B$4)</f>
        <v>5.6642795903750473E-2</v>
      </c>
      <c r="C107" s="140">
        <f t="shared" si="106"/>
        <v>5.6625421729902536E-2</v>
      </c>
      <c r="D107" s="140">
        <f t="shared" si="106"/>
        <v>5.7306773275870734E-2</v>
      </c>
      <c r="E107" s="140">
        <f t="shared" si="106"/>
        <v>6.0094922084608489E-2</v>
      </c>
      <c r="F107" s="140">
        <f t="shared" si="106"/>
        <v>6.4657638261920253E-2</v>
      </c>
      <c r="G107" s="140">
        <f t="shared" si="106"/>
        <v>6.6272776131059294E-2</v>
      </c>
      <c r="H107" s="140">
        <f t="shared" si="106"/>
        <v>6.750732254343543E-2</v>
      </c>
      <c r="I107" s="140">
        <f t="shared" si="106"/>
        <v>6.9680415750790883E-2</v>
      </c>
      <c r="J107" s="140">
        <f t="shared" si="106"/>
        <v>6.9625238649957608E-2</v>
      </c>
      <c r="K107" s="140">
        <f t="shared" si="106"/>
        <v>6.4912776661887897E-2</v>
      </c>
      <c r="L107" s="140">
        <f t="shared" si="106"/>
        <v>6.756124301670928E-2</v>
      </c>
      <c r="M107" s="140">
        <f t="shared" si="106"/>
        <v>7.1249666487383401E-2</v>
      </c>
      <c r="N107" s="140">
        <f t="shared" si="106"/>
        <v>7.2233599064735046E-2</v>
      </c>
      <c r="O107" s="140">
        <f t="shared" si="106"/>
        <v>6.9875384411149308E-2</v>
      </c>
      <c r="P107" s="140">
        <f t="shared" si="106"/>
        <v>7.1170506981346818E-2</v>
      </c>
      <c r="Q107" s="140">
        <f t="shared" si="106"/>
        <v>7.1244222987914649E-2</v>
      </c>
      <c r="R107" s="140">
        <f t="shared" ref="R107:V107" si="107">IF(R15=0,0,R15/R$4)</f>
        <v>7.3626511739202746E-2</v>
      </c>
      <c r="S107" s="140">
        <f t="shared" si="107"/>
        <v>7.4137899213574859E-2</v>
      </c>
      <c r="T107" s="140">
        <f t="shared" si="107"/>
        <v>8.0530094797409829E-2</v>
      </c>
      <c r="U107" s="140">
        <f t="shared" si="107"/>
        <v>9.3258386217274697E-2</v>
      </c>
      <c r="V107" s="140">
        <f t="shared" si="107"/>
        <v>3.7832676759160015E-2</v>
      </c>
      <c r="W107" s="140">
        <f t="shared" ref="W107" si="108">IF(W15=0,0,W15/W$4)</f>
        <v>4.2306702565269375E-2</v>
      </c>
      <c r="DA107" s="175"/>
    </row>
    <row r="108" spans="1:105" ht="11.45" customHeight="1" x14ac:dyDescent="0.25">
      <c r="A108" s="128" t="str">
        <f>$A$16</f>
        <v>International - Extra-EEAwUK</v>
      </c>
      <c r="B108" s="140">
        <f t="shared" ref="B108:Q108" si="109">IF(B16=0,0,B16/B$4)</f>
        <v>7.0624051596957338E-2</v>
      </c>
      <c r="C108" s="140">
        <f t="shared" si="109"/>
        <v>6.8567407982686721E-2</v>
      </c>
      <c r="D108" s="140">
        <f t="shared" si="109"/>
        <v>6.9482314214808105E-2</v>
      </c>
      <c r="E108" s="140">
        <f t="shared" si="109"/>
        <v>6.7292444294539622E-2</v>
      </c>
      <c r="F108" s="140">
        <f t="shared" si="109"/>
        <v>8.0697527578959552E-2</v>
      </c>
      <c r="G108" s="140">
        <f t="shared" si="109"/>
        <v>9.3204121344758459E-2</v>
      </c>
      <c r="H108" s="140">
        <f t="shared" si="109"/>
        <v>9.2267219582715193E-2</v>
      </c>
      <c r="I108" s="140">
        <f t="shared" si="109"/>
        <v>9.1422336282333136E-2</v>
      </c>
      <c r="J108" s="140">
        <f t="shared" si="109"/>
        <v>9.2128913241305732E-2</v>
      </c>
      <c r="K108" s="140">
        <f t="shared" si="109"/>
        <v>8.433834051091306E-2</v>
      </c>
      <c r="L108" s="140">
        <f t="shared" si="109"/>
        <v>8.9410905300902913E-2</v>
      </c>
      <c r="M108" s="140">
        <f t="shared" si="109"/>
        <v>8.882528964360957E-2</v>
      </c>
      <c r="N108" s="140">
        <f t="shared" si="109"/>
        <v>9.0840402833821471E-2</v>
      </c>
      <c r="O108" s="140">
        <f t="shared" si="109"/>
        <v>9.1240604067103909E-2</v>
      </c>
      <c r="P108" s="140">
        <f t="shared" si="109"/>
        <v>9.7153561782617429E-2</v>
      </c>
      <c r="Q108" s="140">
        <f t="shared" si="109"/>
        <v>9.796602631586486E-2</v>
      </c>
      <c r="R108" s="140">
        <f t="shared" ref="R108:V108" si="110">IF(R16=0,0,R16/R$4)</f>
        <v>9.2362321106293957E-2</v>
      </c>
      <c r="S108" s="140">
        <f t="shared" si="110"/>
        <v>9.4940931102700965E-2</v>
      </c>
      <c r="T108" s="140">
        <f t="shared" si="110"/>
        <v>0.11319489428473893</v>
      </c>
      <c r="U108" s="140">
        <f t="shared" si="110"/>
        <v>0.13125289541011806</v>
      </c>
      <c r="V108" s="140">
        <f t="shared" si="110"/>
        <v>4.2796020033440241E-2</v>
      </c>
      <c r="W108" s="140">
        <f t="shared" ref="W108" si="111">IF(W16=0,0,W16/W$4)</f>
        <v>4.5442516281286163E-2</v>
      </c>
      <c r="DA108" s="175"/>
    </row>
    <row r="109" spans="1:105" ht="11.45" customHeight="1" x14ac:dyDescent="0.25">
      <c r="A109" s="27" t="s">
        <v>39</v>
      </c>
      <c r="B109" s="31">
        <f t="shared" ref="B109:Q109" si="112">IF(B17=0,0,B17/B$17)</f>
        <v>1</v>
      </c>
      <c r="C109" s="31">
        <f t="shared" si="112"/>
        <v>1</v>
      </c>
      <c r="D109" s="31">
        <f t="shared" si="112"/>
        <v>1</v>
      </c>
      <c r="E109" s="31">
        <f t="shared" si="112"/>
        <v>1</v>
      </c>
      <c r="F109" s="31">
        <f t="shared" si="112"/>
        <v>1</v>
      </c>
      <c r="G109" s="31">
        <f t="shared" si="112"/>
        <v>1</v>
      </c>
      <c r="H109" s="31">
        <f t="shared" si="112"/>
        <v>1</v>
      </c>
      <c r="I109" s="31">
        <f t="shared" si="112"/>
        <v>1</v>
      </c>
      <c r="J109" s="31">
        <f t="shared" si="112"/>
        <v>1</v>
      </c>
      <c r="K109" s="31">
        <f t="shared" si="112"/>
        <v>1</v>
      </c>
      <c r="L109" s="31">
        <f t="shared" si="112"/>
        <v>1</v>
      </c>
      <c r="M109" s="31">
        <f t="shared" si="112"/>
        <v>1</v>
      </c>
      <c r="N109" s="31">
        <f t="shared" si="112"/>
        <v>1</v>
      </c>
      <c r="O109" s="31">
        <f t="shared" si="112"/>
        <v>1</v>
      </c>
      <c r="P109" s="31">
        <f t="shared" si="112"/>
        <v>1</v>
      </c>
      <c r="Q109" s="31">
        <f t="shared" si="112"/>
        <v>1</v>
      </c>
      <c r="R109" s="31">
        <f t="shared" ref="R109:V109" si="113">IF(R17=0,0,R17/R$17)</f>
        <v>1</v>
      </c>
      <c r="S109" s="31">
        <f t="shared" si="113"/>
        <v>1</v>
      </c>
      <c r="T109" s="31">
        <f t="shared" si="113"/>
        <v>1</v>
      </c>
      <c r="U109" s="31">
        <f t="shared" si="113"/>
        <v>1</v>
      </c>
      <c r="V109" s="31">
        <f t="shared" si="113"/>
        <v>1</v>
      </c>
      <c r="W109" s="31">
        <f t="shared" ref="W109" si="114">IF(W17=0,0,W17/W$17)</f>
        <v>1</v>
      </c>
      <c r="DA109" s="173"/>
    </row>
    <row r="110" spans="1:105" ht="11.45" customHeight="1" x14ac:dyDescent="0.25">
      <c r="A110" s="136" t="str">
        <f>$A$18</f>
        <v>Road transport</v>
      </c>
      <c r="B110" s="139">
        <f t="shared" ref="B110:Q110" si="115">IF(B18=0,0,B18/B$17)</f>
        <v>0.58455915436208061</v>
      </c>
      <c r="C110" s="139">
        <f t="shared" si="115"/>
        <v>0.58934868779692351</v>
      </c>
      <c r="D110" s="139">
        <f t="shared" si="115"/>
        <v>0.59225624998570203</v>
      </c>
      <c r="E110" s="139">
        <f t="shared" si="115"/>
        <v>0.60761248955713443</v>
      </c>
      <c r="F110" s="139">
        <f t="shared" si="115"/>
        <v>0.60640865512365938</v>
      </c>
      <c r="G110" s="139">
        <f t="shared" si="115"/>
        <v>0.60964836018613966</v>
      </c>
      <c r="H110" s="139">
        <f t="shared" si="115"/>
        <v>0.60827664295457418</v>
      </c>
      <c r="I110" s="139">
        <f t="shared" si="115"/>
        <v>0.61682816424756948</v>
      </c>
      <c r="J110" s="139">
        <f t="shared" si="115"/>
        <v>0.6291004163617584</v>
      </c>
      <c r="K110" s="139">
        <f t="shared" si="115"/>
        <v>0.64434644295745691</v>
      </c>
      <c r="L110" s="139">
        <f t="shared" si="115"/>
        <v>0.63088199060110672</v>
      </c>
      <c r="M110" s="139">
        <f t="shared" si="115"/>
        <v>0.63515154963125253</v>
      </c>
      <c r="N110" s="139">
        <f t="shared" si="115"/>
        <v>0.63677381867820848</v>
      </c>
      <c r="O110" s="139">
        <f t="shared" si="115"/>
        <v>0.64037204013834148</v>
      </c>
      <c r="P110" s="139">
        <f t="shared" si="115"/>
        <v>0.63301417300409168</v>
      </c>
      <c r="Q110" s="139">
        <f t="shared" si="115"/>
        <v>0.64538161608948275</v>
      </c>
      <c r="R110" s="139">
        <f t="shared" ref="R110:V110" si="116">IF(R18=0,0,R18/R$17)</f>
        <v>0.64726490756622246</v>
      </c>
      <c r="S110" s="139">
        <f t="shared" si="116"/>
        <v>0.651675187492604</v>
      </c>
      <c r="T110" s="139">
        <f t="shared" si="116"/>
        <v>0.66050053248873664</v>
      </c>
      <c r="U110" s="139">
        <f t="shared" si="116"/>
        <v>0.66426442871177938</v>
      </c>
      <c r="V110" s="139">
        <f t="shared" si="116"/>
        <v>0.67926190972234335</v>
      </c>
      <c r="W110" s="139">
        <f t="shared" ref="W110" si="117">IF(W18=0,0,W18/W$17)</f>
        <v>0.680802800606636</v>
      </c>
      <c r="DA110" s="174"/>
    </row>
    <row r="111" spans="1:105" ht="11.45" customHeight="1" x14ac:dyDescent="0.25">
      <c r="A111" s="128" t="str">
        <f>$A$19</f>
        <v>Light commercial vehicles</v>
      </c>
      <c r="B111" s="140">
        <f t="shared" ref="B111:Q111" si="118">IF(B19=0,0,B19/B$17)</f>
        <v>5.7618358098387576E-3</v>
      </c>
      <c r="C111" s="140">
        <f t="shared" si="118"/>
        <v>5.8771844395638624E-3</v>
      </c>
      <c r="D111" s="140">
        <f t="shared" si="118"/>
        <v>5.8933636139323273E-3</v>
      </c>
      <c r="E111" s="140">
        <f t="shared" si="118"/>
        <v>6.0448117587473555E-3</v>
      </c>
      <c r="F111" s="140">
        <f t="shared" si="118"/>
        <v>5.7464674637502291E-3</v>
      </c>
      <c r="G111" s="140">
        <f t="shared" si="118"/>
        <v>5.8033796430858797E-3</v>
      </c>
      <c r="H111" s="140">
        <f t="shared" si="118"/>
        <v>5.4376227409075719E-3</v>
      </c>
      <c r="I111" s="140">
        <f t="shared" si="118"/>
        <v>5.2097716433138347E-3</v>
      </c>
      <c r="J111" s="140">
        <f t="shared" si="118"/>
        <v>4.9830786717462413E-3</v>
      </c>
      <c r="K111" s="140">
        <f t="shared" si="118"/>
        <v>5.8697308466435713E-3</v>
      </c>
      <c r="L111" s="140">
        <f t="shared" si="118"/>
        <v>5.4939028475458054E-3</v>
      </c>
      <c r="M111" s="140">
        <f t="shared" si="118"/>
        <v>5.4645717994526079E-3</v>
      </c>
      <c r="N111" s="140">
        <f t="shared" si="118"/>
        <v>5.6714937441395084E-3</v>
      </c>
      <c r="O111" s="140">
        <f t="shared" si="118"/>
        <v>5.8165101508554336E-3</v>
      </c>
      <c r="P111" s="140">
        <f t="shared" si="118"/>
        <v>5.8419749301368571E-3</v>
      </c>
      <c r="Q111" s="140">
        <f t="shared" si="118"/>
        <v>5.892730793591862E-3</v>
      </c>
      <c r="R111" s="140">
        <f t="shared" ref="R111:V111" si="119">IF(R19=0,0,R19/R$17)</f>
        <v>5.8383701832789379E-3</v>
      </c>
      <c r="S111" s="140">
        <f t="shared" si="119"/>
        <v>5.654134600907708E-3</v>
      </c>
      <c r="T111" s="140">
        <f t="shared" si="119"/>
        <v>5.8357963523651257E-3</v>
      </c>
      <c r="U111" s="140">
        <f t="shared" si="119"/>
        <v>5.9532471203889072E-3</v>
      </c>
      <c r="V111" s="140">
        <f t="shared" si="119"/>
        <v>6.190634206400948E-3</v>
      </c>
      <c r="W111" s="140">
        <f t="shared" ref="W111" si="120">IF(W19=0,0,W19/W$17)</f>
        <v>6.2043428924505283E-3</v>
      </c>
      <c r="DA111" s="175"/>
    </row>
    <row r="112" spans="1:105" ht="11.45" customHeight="1" x14ac:dyDescent="0.25">
      <c r="A112" s="128" t="str">
        <f>$A$20</f>
        <v>Heavy goods vehicles</v>
      </c>
      <c r="B112" s="140">
        <f t="shared" ref="B112:Q112" si="121">IF(B20=0,0,B20/B$17)</f>
        <v>0.57879731855224181</v>
      </c>
      <c r="C112" s="140">
        <f t="shared" si="121"/>
        <v>0.58347150335735976</v>
      </c>
      <c r="D112" s="140">
        <f t="shared" si="121"/>
        <v>0.5863628863717697</v>
      </c>
      <c r="E112" s="140">
        <f t="shared" si="121"/>
        <v>0.60156767779838705</v>
      </c>
      <c r="F112" s="140">
        <f t="shared" si="121"/>
        <v>0.60066218765990909</v>
      </c>
      <c r="G112" s="140">
        <f t="shared" si="121"/>
        <v>0.6038449805430538</v>
      </c>
      <c r="H112" s="140">
        <f t="shared" si="121"/>
        <v>0.60283902021366653</v>
      </c>
      <c r="I112" s="140">
        <f t="shared" si="121"/>
        <v>0.61161839260425555</v>
      </c>
      <c r="J112" s="140">
        <f t="shared" si="121"/>
        <v>0.6241173376900121</v>
      </c>
      <c r="K112" s="140">
        <f t="shared" si="121"/>
        <v>0.63847671211081336</v>
      </c>
      <c r="L112" s="140">
        <f t="shared" si="121"/>
        <v>0.62538808775356081</v>
      </c>
      <c r="M112" s="140">
        <f t="shared" si="121"/>
        <v>0.62968697783179994</v>
      </c>
      <c r="N112" s="140">
        <f t="shared" si="121"/>
        <v>0.63110232493406893</v>
      </c>
      <c r="O112" s="140">
        <f t="shared" si="121"/>
        <v>0.6345555299874861</v>
      </c>
      <c r="P112" s="140">
        <f t="shared" si="121"/>
        <v>0.62717219807395475</v>
      </c>
      <c r="Q112" s="140">
        <f t="shared" si="121"/>
        <v>0.63948888529589087</v>
      </c>
      <c r="R112" s="140">
        <f t="shared" ref="R112:V112" si="122">IF(R20=0,0,R20/R$17)</f>
        <v>0.64142653738294353</v>
      </c>
      <c r="S112" s="140">
        <f t="shared" si="122"/>
        <v>0.64602105289169631</v>
      </c>
      <c r="T112" s="140">
        <f t="shared" si="122"/>
        <v>0.65466473613637155</v>
      </c>
      <c r="U112" s="140">
        <f t="shared" si="122"/>
        <v>0.65831118159139046</v>
      </c>
      <c r="V112" s="140">
        <f t="shared" si="122"/>
        <v>0.67307127551594237</v>
      </c>
      <c r="W112" s="140">
        <f t="shared" ref="W112" si="123">IF(W20=0,0,W20/W$17)</f>
        <v>0.67459845771418547</v>
      </c>
      <c r="DA112" s="175"/>
    </row>
    <row r="113" spans="1:105" ht="11.45" customHeight="1" x14ac:dyDescent="0.25">
      <c r="A113" s="109" t="str">
        <f>$A$21</f>
        <v>Rail transport</v>
      </c>
      <c r="B113" s="124">
        <f t="shared" ref="B113:Q113" si="124">IF(B21=0,0,B21/B$17)</f>
        <v>0.35949679328553547</v>
      </c>
      <c r="C113" s="124">
        <f t="shared" si="124"/>
        <v>0.35439792043740526</v>
      </c>
      <c r="D113" s="124">
        <f t="shared" si="124"/>
        <v>0.34723598176179149</v>
      </c>
      <c r="E113" s="124">
        <f t="shared" si="124"/>
        <v>0.3432172996952168</v>
      </c>
      <c r="F113" s="124">
        <f t="shared" si="124"/>
        <v>0.35701962073562321</v>
      </c>
      <c r="G113" s="124">
        <f t="shared" si="124"/>
        <v>0.35350837547688396</v>
      </c>
      <c r="H113" s="124">
        <f t="shared" si="124"/>
        <v>0.35686752268498423</v>
      </c>
      <c r="I113" s="124">
        <f t="shared" si="124"/>
        <v>0.33908436709664169</v>
      </c>
      <c r="J113" s="124">
        <f t="shared" si="124"/>
        <v>0.33269725526637728</v>
      </c>
      <c r="K113" s="124">
        <f t="shared" si="124"/>
        <v>0.31749615937063108</v>
      </c>
      <c r="L113" s="124">
        <f t="shared" si="124"/>
        <v>0.32759776568496862</v>
      </c>
      <c r="M113" s="124">
        <f t="shared" si="124"/>
        <v>0.32782958364652687</v>
      </c>
      <c r="N113" s="124">
        <f t="shared" si="124"/>
        <v>0.3236694218408559</v>
      </c>
      <c r="O113" s="124">
        <f t="shared" si="124"/>
        <v>0.31721024749803223</v>
      </c>
      <c r="P113" s="124">
        <f t="shared" si="124"/>
        <v>0.32789573910174213</v>
      </c>
      <c r="Q113" s="124">
        <f t="shared" si="124"/>
        <v>0.32112459302584939</v>
      </c>
      <c r="R113" s="124">
        <f t="shared" ref="R113:V113" si="125">IF(R21=0,0,R21/R$17)</f>
        <v>0.31785546960860417</v>
      </c>
      <c r="S113" s="124">
        <f t="shared" si="125"/>
        <v>0.31390747043645056</v>
      </c>
      <c r="T113" s="124">
        <f t="shared" si="125"/>
        <v>0.3112707089199695</v>
      </c>
      <c r="U113" s="124">
        <f t="shared" si="125"/>
        <v>0.30407913473171821</v>
      </c>
      <c r="V113" s="124">
        <f t="shared" si="125"/>
        <v>0.29362621587940896</v>
      </c>
      <c r="W113" s="124">
        <f t="shared" ref="W113" si="126">IF(W21=0,0,W21/W$17)</f>
        <v>0.29496837540519272</v>
      </c>
      <c r="DA113" s="176"/>
    </row>
    <row r="114" spans="1:105" ht="11.45" customHeight="1" x14ac:dyDescent="0.25">
      <c r="A114" s="109" t="str">
        <f>$A$22</f>
        <v>Aviation</v>
      </c>
      <c r="B114" s="124">
        <f t="shared" ref="B114:Q114" si="127">IF(B22=0,0,B22/B$17)</f>
        <v>3.0157292927544353E-3</v>
      </c>
      <c r="C114" s="124">
        <f t="shared" si="127"/>
        <v>2.6101381956454305E-3</v>
      </c>
      <c r="D114" s="124">
        <f t="shared" si="127"/>
        <v>2.8175403427540134E-3</v>
      </c>
      <c r="E114" s="124">
        <f t="shared" si="127"/>
        <v>2.8543934758407468E-3</v>
      </c>
      <c r="F114" s="124">
        <f t="shared" si="127"/>
        <v>3.3194302011143447E-3</v>
      </c>
      <c r="G114" s="124">
        <f t="shared" si="127"/>
        <v>4.153483136840312E-3</v>
      </c>
      <c r="H114" s="124">
        <f t="shared" si="127"/>
        <v>3.6086637611891549E-3</v>
      </c>
      <c r="I114" s="124">
        <f t="shared" si="127"/>
        <v>2.8819985631409113E-3</v>
      </c>
      <c r="J114" s="124">
        <f t="shared" si="127"/>
        <v>2.3897422357299662E-3</v>
      </c>
      <c r="K114" s="124">
        <f t="shared" si="127"/>
        <v>2.3638023986878908E-3</v>
      </c>
      <c r="L114" s="124">
        <f t="shared" si="127"/>
        <v>2.2904401793206997E-3</v>
      </c>
      <c r="M114" s="124">
        <f t="shared" si="127"/>
        <v>2.8098617538462271E-3</v>
      </c>
      <c r="N114" s="124">
        <f t="shared" si="127"/>
        <v>3.1877301331067788E-3</v>
      </c>
      <c r="O114" s="124">
        <f t="shared" si="127"/>
        <v>3.7002254685713507E-3</v>
      </c>
      <c r="P114" s="124">
        <f t="shared" si="127"/>
        <v>4.6820562724322152E-3</v>
      </c>
      <c r="Q114" s="124">
        <f t="shared" si="127"/>
        <v>5.630284830825112E-3</v>
      </c>
      <c r="R114" s="124">
        <f t="shared" ref="R114:V114" si="128">IF(R22=0,0,R22/R$17)</f>
        <v>5.6847147510156581E-3</v>
      </c>
      <c r="S114" s="124">
        <f t="shared" si="128"/>
        <v>5.8982503553404973E-3</v>
      </c>
      <c r="T114" s="124">
        <f t="shared" si="128"/>
        <v>7.1575599378189431E-3</v>
      </c>
      <c r="U114" s="124">
        <f t="shared" si="128"/>
        <v>7.664178732390484E-3</v>
      </c>
      <c r="V114" s="124">
        <f t="shared" si="128"/>
        <v>4.1065225247804774E-3</v>
      </c>
      <c r="W114" s="124">
        <f t="shared" ref="W114" si="129">IF(W22=0,0,W22/W$17)</f>
        <v>3.8320025840563724E-3</v>
      </c>
      <c r="DA114" s="176"/>
    </row>
    <row r="115" spans="1:105" ht="11.45" customHeight="1" x14ac:dyDescent="0.25">
      <c r="A115" s="128" t="s">
        <v>27</v>
      </c>
      <c r="B115" s="140">
        <f t="shared" ref="B115:Q115" si="130">IF(B23=0,0,B23/B$17)</f>
        <v>6.2373136503464489E-6</v>
      </c>
      <c r="C115" s="140">
        <f t="shared" si="130"/>
        <v>3.7166091720838321E-6</v>
      </c>
      <c r="D115" s="140">
        <f t="shared" si="130"/>
        <v>3.692852604139441E-6</v>
      </c>
      <c r="E115" s="140">
        <f t="shared" si="130"/>
        <v>3.9433535721094891E-6</v>
      </c>
      <c r="F115" s="140">
        <f t="shared" si="130"/>
        <v>4.49201386556346E-6</v>
      </c>
      <c r="G115" s="140">
        <f t="shared" si="130"/>
        <v>4.4987900379196146E-6</v>
      </c>
      <c r="H115" s="140">
        <f t="shared" si="130"/>
        <v>4.0607246427986641E-6</v>
      </c>
      <c r="I115" s="140">
        <f t="shared" si="130"/>
        <v>3.3758193417978433E-6</v>
      </c>
      <c r="J115" s="140">
        <f t="shared" si="130"/>
        <v>3.4162967223656683E-6</v>
      </c>
      <c r="K115" s="140">
        <f t="shared" si="130"/>
        <v>3.8651327573051739E-6</v>
      </c>
      <c r="L115" s="140">
        <f t="shared" si="130"/>
        <v>3.1313088546803882E-6</v>
      </c>
      <c r="M115" s="140">
        <f t="shared" si="130"/>
        <v>2.3372472826004185E-6</v>
      </c>
      <c r="N115" s="140">
        <f t="shared" si="130"/>
        <v>1.8472201959603405E-6</v>
      </c>
      <c r="O115" s="140">
        <f t="shared" si="130"/>
        <v>1.3618731924899308E-6</v>
      </c>
      <c r="P115" s="140">
        <f t="shared" si="130"/>
        <v>8.9525784166582929E-7</v>
      </c>
      <c r="Q115" s="140">
        <f t="shared" si="130"/>
        <v>7.9461974360103131E-7</v>
      </c>
      <c r="R115" s="140">
        <f t="shared" ref="R115:V116" si="131">IF(R23=0,0,R23/R$17)</f>
        <v>4.8178375579435409E-7</v>
      </c>
      <c r="S115" s="140">
        <f t="shared" si="131"/>
        <v>3.1824572589171021E-7</v>
      </c>
      <c r="T115" s="140">
        <f t="shared" si="131"/>
        <v>3.0231641099249865E-7</v>
      </c>
      <c r="U115" s="140">
        <f t="shared" si="131"/>
        <v>9.9270316471822534E-8</v>
      </c>
      <c r="V115" s="140">
        <f t="shared" si="131"/>
        <v>4.6108106353100281E-8</v>
      </c>
      <c r="W115" s="140">
        <f t="shared" ref="W115" si="132">IF(W23=0,0,W23/W$17)</f>
        <v>3.8697346418344328E-8</v>
      </c>
      <c r="DA115" s="175"/>
    </row>
    <row r="116" spans="1:105" ht="11.45" customHeight="1" x14ac:dyDescent="0.25">
      <c r="A116" s="128" t="str">
        <f>$A$24</f>
        <v>International - Intra-EEAwUK</v>
      </c>
      <c r="B116" s="140">
        <f t="shared" ref="B116:Q116" si="133">IF(B24=0,0,B24/B$17)</f>
        <v>7.434003811576101E-4</v>
      </c>
      <c r="C116" s="140">
        <f t="shared" si="133"/>
        <v>6.9054630710113933E-4</v>
      </c>
      <c r="D116" s="140">
        <f t="shared" si="133"/>
        <v>8.3121076647590974E-4</v>
      </c>
      <c r="E116" s="140">
        <f t="shared" si="133"/>
        <v>9.1674828292739961E-4</v>
      </c>
      <c r="F116" s="140">
        <f t="shared" si="133"/>
        <v>1.2408731449029269E-3</v>
      </c>
      <c r="G116" s="140">
        <f t="shared" si="133"/>
        <v>1.2637311913854304E-3</v>
      </c>
      <c r="H116" s="140">
        <f t="shared" si="133"/>
        <v>1.0981252689585821E-3</v>
      </c>
      <c r="I116" s="140">
        <f t="shared" si="133"/>
        <v>8.5666639813308115E-4</v>
      </c>
      <c r="J116" s="140">
        <f t="shared" si="133"/>
        <v>7.3467018474780677E-4</v>
      </c>
      <c r="K116" s="140">
        <f t="shared" si="133"/>
        <v>7.8707342489301422E-4</v>
      </c>
      <c r="L116" s="140">
        <f t="shared" si="133"/>
        <v>7.7146764869754454E-4</v>
      </c>
      <c r="M116" s="140">
        <f t="shared" si="133"/>
        <v>7.738423660085754E-4</v>
      </c>
      <c r="N116" s="140">
        <f t="shared" si="133"/>
        <v>7.4928807352079327E-4</v>
      </c>
      <c r="O116" s="140">
        <f t="shared" si="133"/>
        <v>7.9981270763069764E-4</v>
      </c>
      <c r="P116" s="140">
        <f t="shared" si="133"/>
        <v>1.0149088073695084E-3</v>
      </c>
      <c r="Q116" s="140">
        <f t="shared" si="133"/>
        <v>9.3940044582468876E-4</v>
      </c>
      <c r="R116" s="140">
        <f t="shared" si="131"/>
        <v>8.1574334354157384E-4</v>
      </c>
      <c r="S116" s="140">
        <f t="shared" si="131"/>
        <v>8.4219549183236011E-4</v>
      </c>
      <c r="T116" s="140">
        <f t="shared" si="131"/>
        <v>8.7537439691684536E-4</v>
      </c>
      <c r="U116" s="140">
        <f t="shared" si="131"/>
        <v>9.8826431379334286E-4</v>
      </c>
      <c r="V116" s="140">
        <f t="shared" si="131"/>
        <v>7.8682308478942968E-4</v>
      </c>
      <c r="W116" s="140">
        <f t="shared" ref="W116" si="134">IF(W24=0,0,W24/W$17)</f>
        <v>8.5684807468231047E-4</v>
      </c>
      <c r="DA116" s="175"/>
    </row>
    <row r="117" spans="1:105" ht="11.45" customHeight="1" x14ac:dyDescent="0.25">
      <c r="A117" s="128" t="str">
        <f>$A$25</f>
        <v>International - Extra-EEAwUK</v>
      </c>
      <c r="B117" s="140">
        <f t="shared" ref="B117:Q117" si="135">IF(B25=0,0,B25/B$17)</f>
        <v>2.2660915979464788E-3</v>
      </c>
      <c r="C117" s="140">
        <f t="shared" si="135"/>
        <v>1.9158752793722071E-3</v>
      </c>
      <c r="D117" s="140">
        <f t="shared" si="135"/>
        <v>1.9826367236739639E-3</v>
      </c>
      <c r="E117" s="140">
        <f t="shared" si="135"/>
        <v>1.9337018393412377E-3</v>
      </c>
      <c r="F117" s="140">
        <f t="shared" si="135"/>
        <v>2.0740650423458542E-3</v>
      </c>
      <c r="G117" s="140">
        <f t="shared" si="135"/>
        <v>2.8852531554169614E-3</v>
      </c>
      <c r="H117" s="140">
        <f t="shared" si="135"/>
        <v>2.5064777675877742E-3</v>
      </c>
      <c r="I117" s="140">
        <f t="shared" si="135"/>
        <v>2.0219563456660324E-3</v>
      </c>
      <c r="J117" s="140">
        <f t="shared" si="135"/>
        <v>1.6516557542597936E-3</v>
      </c>
      <c r="K117" s="140">
        <f t="shared" si="135"/>
        <v>1.5728638410375713E-3</v>
      </c>
      <c r="L117" s="140">
        <f t="shared" si="135"/>
        <v>1.5158412217684751E-3</v>
      </c>
      <c r="M117" s="140">
        <f t="shared" si="135"/>
        <v>2.0336821405550513E-3</v>
      </c>
      <c r="N117" s="140">
        <f t="shared" si="135"/>
        <v>2.4365948393900252E-3</v>
      </c>
      <c r="O117" s="140">
        <f t="shared" si="135"/>
        <v>2.8990508877481634E-3</v>
      </c>
      <c r="P117" s="140">
        <f t="shared" si="135"/>
        <v>3.6662522072210416E-3</v>
      </c>
      <c r="Q117" s="140">
        <f t="shared" si="135"/>
        <v>4.6900897652568229E-3</v>
      </c>
      <c r="R117" s="140">
        <f t="shared" ref="R117:V117" si="136">IF(R25=0,0,R25/R$17)</f>
        <v>4.8684896237182898E-3</v>
      </c>
      <c r="S117" s="140">
        <f t="shared" si="136"/>
        <v>5.0557366177822454E-3</v>
      </c>
      <c r="T117" s="140">
        <f t="shared" si="136"/>
        <v>6.2818832244911048E-3</v>
      </c>
      <c r="U117" s="140">
        <f t="shared" si="136"/>
        <v>6.6758151482806689E-3</v>
      </c>
      <c r="V117" s="140">
        <f t="shared" si="136"/>
        <v>3.3196533318846947E-3</v>
      </c>
      <c r="W117" s="140">
        <f t="shared" ref="W117" si="137">IF(W25=0,0,W25/W$17)</f>
        <v>2.975115812027643E-3</v>
      </c>
      <c r="DA117" s="175"/>
    </row>
    <row r="118" spans="1:105" ht="11.45" customHeight="1" x14ac:dyDescent="0.25">
      <c r="A118" s="109" t="s">
        <v>142</v>
      </c>
      <c r="B118" s="124">
        <f t="shared" ref="B118:Q118" si="138">IF(B26=0,0,B26/B$17)</f>
        <v>5.292832305962944E-2</v>
      </c>
      <c r="C118" s="124">
        <f t="shared" si="138"/>
        <v>5.3643253570025765E-2</v>
      </c>
      <c r="D118" s="124">
        <f t="shared" si="138"/>
        <v>5.7690227909752402E-2</v>
      </c>
      <c r="E118" s="124">
        <f t="shared" si="138"/>
        <v>4.6315817271807981E-2</v>
      </c>
      <c r="F118" s="124">
        <f t="shared" si="138"/>
        <v>3.3252293939603016E-2</v>
      </c>
      <c r="G118" s="124">
        <f t="shared" si="138"/>
        <v>3.2689781200135971E-2</v>
      </c>
      <c r="H118" s="124">
        <f t="shared" si="138"/>
        <v>3.124717059925243E-2</v>
      </c>
      <c r="I118" s="124">
        <f t="shared" si="138"/>
        <v>4.1205470092647904E-2</v>
      </c>
      <c r="J118" s="124">
        <f t="shared" si="138"/>
        <v>3.581258613613434E-2</v>
      </c>
      <c r="K118" s="124">
        <f t="shared" si="138"/>
        <v>3.5793595273224184E-2</v>
      </c>
      <c r="L118" s="124">
        <f t="shared" si="138"/>
        <v>3.9229803534603966E-2</v>
      </c>
      <c r="M118" s="124">
        <f t="shared" si="138"/>
        <v>3.4209004968374375E-2</v>
      </c>
      <c r="N118" s="124">
        <f t="shared" si="138"/>
        <v>3.6369029347828874E-2</v>
      </c>
      <c r="O118" s="124">
        <f t="shared" si="138"/>
        <v>3.8717486895054977E-2</v>
      </c>
      <c r="P118" s="124">
        <f t="shared" si="138"/>
        <v>3.4408031621733955E-2</v>
      </c>
      <c r="Q118" s="124">
        <f t="shared" si="138"/>
        <v>2.7863506053842798E-2</v>
      </c>
      <c r="R118" s="124">
        <f t="shared" ref="R118:V118" si="139">IF(R26=0,0,R26/R$17)</f>
        <v>2.9194908074157644E-2</v>
      </c>
      <c r="S118" s="124">
        <f t="shared" si="139"/>
        <v>2.8519091715604915E-2</v>
      </c>
      <c r="T118" s="124">
        <f t="shared" si="139"/>
        <v>2.1071198653474933E-2</v>
      </c>
      <c r="U118" s="124">
        <f t="shared" si="139"/>
        <v>2.3992257824111921E-2</v>
      </c>
      <c r="V118" s="124">
        <f t="shared" si="139"/>
        <v>2.3005351873467205E-2</v>
      </c>
      <c r="W118" s="124">
        <f t="shared" ref="W118" si="140">IF(W26=0,0,W26/W$17)</f>
        <v>2.0396821404114987E-2</v>
      </c>
      <c r="DA118" s="176"/>
    </row>
    <row r="119" spans="1:105" ht="11.45" customHeight="1" x14ac:dyDescent="0.25">
      <c r="A119" s="128" t="str">
        <f>$A$27</f>
        <v>Domestic coastal shipping</v>
      </c>
      <c r="B119" s="140">
        <f t="shared" ref="B119:Q119" si="141">IF(B27=0,0,B27/B$17)</f>
        <v>0</v>
      </c>
      <c r="C119" s="140">
        <f t="shared" si="141"/>
        <v>0</v>
      </c>
      <c r="D119" s="140">
        <f t="shared" si="141"/>
        <v>0</v>
      </c>
      <c r="E119" s="140">
        <f t="shared" si="141"/>
        <v>0</v>
      </c>
      <c r="F119" s="140">
        <f t="shared" si="141"/>
        <v>0</v>
      </c>
      <c r="G119" s="140">
        <f t="shared" si="141"/>
        <v>0</v>
      </c>
      <c r="H119" s="140">
        <f t="shared" si="141"/>
        <v>0</v>
      </c>
      <c r="I119" s="140">
        <f t="shared" si="141"/>
        <v>0</v>
      </c>
      <c r="J119" s="140">
        <f t="shared" si="141"/>
        <v>0</v>
      </c>
      <c r="K119" s="140">
        <f t="shared" si="141"/>
        <v>0</v>
      </c>
      <c r="L119" s="140">
        <f t="shared" si="141"/>
        <v>0</v>
      </c>
      <c r="M119" s="140">
        <f t="shared" si="141"/>
        <v>0</v>
      </c>
      <c r="N119" s="140">
        <f t="shared" si="141"/>
        <v>0</v>
      </c>
      <c r="O119" s="140">
        <f t="shared" si="141"/>
        <v>0</v>
      </c>
      <c r="P119" s="140">
        <f t="shared" si="141"/>
        <v>0</v>
      </c>
      <c r="Q119" s="140">
        <f t="shared" si="141"/>
        <v>0</v>
      </c>
      <c r="R119" s="140">
        <f t="shared" ref="R119:V119" si="142">IF(R27=0,0,R27/R$17)</f>
        <v>0</v>
      </c>
      <c r="S119" s="140">
        <f t="shared" si="142"/>
        <v>0</v>
      </c>
      <c r="T119" s="140">
        <f t="shared" si="142"/>
        <v>0</v>
      </c>
      <c r="U119" s="140">
        <f t="shared" si="142"/>
        <v>0</v>
      </c>
      <c r="V119" s="140">
        <f t="shared" si="142"/>
        <v>0</v>
      </c>
      <c r="W119" s="140">
        <f t="shared" ref="W119" si="143">IF(W27=0,0,W27/W$17)</f>
        <v>0</v>
      </c>
      <c r="DA119" s="175"/>
    </row>
    <row r="120" spans="1:105" ht="11.45" customHeight="1" x14ac:dyDescent="0.25">
      <c r="A120" s="138" t="str">
        <f>$A$28</f>
        <v>Inland waterways</v>
      </c>
      <c r="B120" s="127">
        <f t="shared" ref="B120:Q120" si="144">IF(B28=0,0,B28/B$17)</f>
        <v>5.292832305962944E-2</v>
      </c>
      <c r="C120" s="127">
        <f t="shared" si="144"/>
        <v>5.3643253570025765E-2</v>
      </c>
      <c r="D120" s="127">
        <f t="shared" si="144"/>
        <v>5.7690227909752402E-2</v>
      </c>
      <c r="E120" s="127">
        <f t="shared" si="144"/>
        <v>4.6315817271807981E-2</v>
      </c>
      <c r="F120" s="127">
        <f t="shared" si="144"/>
        <v>3.3252293939603016E-2</v>
      </c>
      <c r="G120" s="127">
        <f t="shared" si="144"/>
        <v>3.2689781200135971E-2</v>
      </c>
      <c r="H120" s="127">
        <f t="shared" si="144"/>
        <v>3.124717059925243E-2</v>
      </c>
      <c r="I120" s="127">
        <f t="shared" si="144"/>
        <v>4.1205470092647904E-2</v>
      </c>
      <c r="J120" s="127">
        <f t="shared" si="144"/>
        <v>3.581258613613434E-2</v>
      </c>
      <c r="K120" s="127">
        <f t="shared" si="144"/>
        <v>3.5793595273224184E-2</v>
      </c>
      <c r="L120" s="127">
        <f t="shared" si="144"/>
        <v>3.9229803534603966E-2</v>
      </c>
      <c r="M120" s="127">
        <f t="shared" si="144"/>
        <v>3.4209004968374375E-2</v>
      </c>
      <c r="N120" s="127">
        <f t="shared" si="144"/>
        <v>3.6369029347828874E-2</v>
      </c>
      <c r="O120" s="127">
        <f t="shared" si="144"/>
        <v>3.8717486895054977E-2</v>
      </c>
      <c r="P120" s="127">
        <f t="shared" si="144"/>
        <v>3.4408031621733955E-2</v>
      </c>
      <c r="Q120" s="127">
        <f t="shared" si="144"/>
        <v>2.7863506053842798E-2</v>
      </c>
      <c r="R120" s="127">
        <f t="shared" ref="R120:V120" si="145">IF(R28=0,0,R28/R$17)</f>
        <v>2.9194908074157644E-2</v>
      </c>
      <c r="S120" s="127">
        <f t="shared" si="145"/>
        <v>2.8519091715604915E-2</v>
      </c>
      <c r="T120" s="127">
        <f t="shared" si="145"/>
        <v>2.1071198653474933E-2</v>
      </c>
      <c r="U120" s="127">
        <f t="shared" si="145"/>
        <v>2.3992257824111921E-2</v>
      </c>
      <c r="V120" s="127">
        <f t="shared" si="145"/>
        <v>2.3005351873467205E-2</v>
      </c>
      <c r="W120" s="127">
        <f t="shared" ref="W120" si="146">IF(W28=0,0,W28/W$17)</f>
        <v>2.0396821404114987E-2</v>
      </c>
      <c r="DA120" s="178"/>
    </row>
    <row r="121" spans="1:105" ht="11.45" customHeight="1" x14ac:dyDescent="0.25">
      <c r="A121" s="27" t="s">
        <v>178</v>
      </c>
      <c r="B121" s="31">
        <f t="shared" ref="B121" si="147">IF(B29=0,0,B29/B$29)</f>
        <v>0</v>
      </c>
      <c r="C121" s="31">
        <f>IF(C29=0,0,C29/C$29)</f>
        <v>0</v>
      </c>
      <c r="D121" s="31">
        <f t="shared" ref="D121:W121" si="148">IF(D29=0,0,D29/D$29)</f>
        <v>0</v>
      </c>
      <c r="E121" s="31">
        <f t="shared" si="148"/>
        <v>0</v>
      </c>
      <c r="F121" s="31">
        <f t="shared" si="148"/>
        <v>0</v>
      </c>
      <c r="G121" s="31">
        <f t="shared" si="148"/>
        <v>0</v>
      </c>
      <c r="H121" s="31">
        <f t="shared" si="148"/>
        <v>0</v>
      </c>
      <c r="I121" s="31">
        <f t="shared" si="148"/>
        <v>0</v>
      </c>
      <c r="J121" s="31">
        <f t="shared" si="148"/>
        <v>0</v>
      </c>
      <c r="K121" s="31">
        <f t="shared" si="148"/>
        <v>0</v>
      </c>
      <c r="L121" s="31">
        <f t="shared" si="148"/>
        <v>0</v>
      </c>
      <c r="M121" s="31">
        <f t="shared" si="148"/>
        <v>0</v>
      </c>
      <c r="N121" s="31">
        <f t="shared" si="148"/>
        <v>0</v>
      </c>
      <c r="O121" s="31">
        <f t="shared" si="148"/>
        <v>0</v>
      </c>
      <c r="P121" s="31">
        <f t="shared" si="148"/>
        <v>0</v>
      </c>
      <c r="Q121" s="31">
        <f t="shared" si="148"/>
        <v>0</v>
      </c>
      <c r="R121" s="31">
        <f t="shared" si="148"/>
        <v>0</v>
      </c>
      <c r="S121" s="31">
        <f t="shared" si="148"/>
        <v>0</v>
      </c>
      <c r="T121" s="31">
        <f t="shared" si="148"/>
        <v>0</v>
      </c>
      <c r="U121" s="31">
        <f t="shared" si="148"/>
        <v>0</v>
      </c>
      <c r="V121" s="31">
        <f t="shared" si="148"/>
        <v>0</v>
      </c>
      <c r="W121" s="31">
        <f t="shared" si="148"/>
        <v>0</v>
      </c>
      <c r="DA121" s="173"/>
    </row>
    <row r="122" spans="1:105" ht="11.45" customHeight="1" x14ac:dyDescent="0.25">
      <c r="A122" s="128" t="str">
        <f>$A$30</f>
        <v>Intra-EEA</v>
      </c>
      <c r="B122" s="140">
        <f t="shared" ref="B122" si="149">IF(B30=0,0,B30/B$29)</f>
        <v>0</v>
      </c>
      <c r="C122" s="140">
        <f>IF(C30=0,0,C30/C$29)</f>
        <v>0</v>
      </c>
      <c r="D122" s="140">
        <f t="shared" ref="D122:W122" si="150">IF(D30=0,0,D30/D$29)</f>
        <v>0</v>
      </c>
      <c r="E122" s="140">
        <f t="shared" si="150"/>
        <v>0</v>
      </c>
      <c r="F122" s="140">
        <f t="shared" si="150"/>
        <v>0</v>
      </c>
      <c r="G122" s="140">
        <f t="shared" si="150"/>
        <v>0</v>
      </c>
      <c r="H122" s="140">
        <f t="shared" si="150"/>
        <v>0</v>
      </c>
      <c r="I122" s="140">
        <f t="shared" si="150"/>
        <v>0</v>
      </c>
      <c r="J122" s="140">
        <f t="shared" si="150"/>
        <v>0</v>
      </c>
      <c r="K122" s="140">
        <f t="shared" si="150"/>
        <v>0</v>
      </c>
      <c r="L122" s="140">
        <f t="shared" si="150"/>
        <v>0</v>
      </c>
      <c r="M122" s="140">
        <f t="shared" si="150"/>
        <v>0</v>
      </c>
      <c r="N122" s="140">
        <f t="shared" si="150"/>
        <v>0</v>
      </c>
      <c r="O122" s="140">
        <f t="shared" si="150"/>
        <v>0</v>
      </c>
      <c r="P122" s="140">
        <f t="shared" si="150"/>
        <v>0</v>
      </c>
      <c r="Q122" s="140">
        <f t="shared" si="150"/>
        <v>0</v>
      </c>
      <c r="R122" s="140">
        <f t="shared" si="150"/>
        <v>0</v>
      </c>
      <c r="S122" s="140">
        <f t="shared" si="150"/>
        <v>0</v>
      </c>
      <c r="T122" s="140">
        <f t="shared" si="150"/>
        <v>0</v>
      </c>
      <c r="U122" s="140">
        <f t="shared" si="150"/>
        <v>0</v>
      </c>
      <c r="V122" s="140">
        <f t="shared" si="150"/>
        <v>0</v>
      </c>
      <c r="W122" s="140">
        <f t="shared" si="150"/>
        <v>0</v>
      </c>
      <c r="DA122" s="175"/>
    </row>
    <row r="123" spans="1:105" ht="11.45" customHeight="1" x14ac:dyDescent="0.25">
      <c r="A123" s="138" t="str">
        <f>$A$31</f>
        <v>Extra-EEA</v>
      </c>
      <c r="B123" s="127">
        <f t="shared" ref="B123" si="151">IF(B31=0,0,B31/B$29)</f>
        <v>0</v>
      </c>
      <c r="C123" s="127">
        <f>IF(C31=0,0,C31/C$29)</f>
        <v>0</v>
      </c>
      <c r="D123" s="127">
        <f t="shared" ref="D123:W123" si="152">IF(D31=0,0,D31/D$29)</f>
        <v>0</v>
      </c>
      <c r="E123" s="127">
        <f t="shared" si="152"/>
        <v>0</v>
      </c>
      <c r="F123" s="127">
        <f t="shared" si="152"/>
        <v>0</v>
      </c>
      <c r="G123" s="127">
        <f t="shared" si="152"/>
        <v>0</v>
      </c>
      <c r="H123" s="127">
        <f t="shared" si="152"/>
        <v>0</v>
      </c>
      <c r="I123" s="127">
        <f t="shared" si="152"/>
        <v>0</v>
      </c>
      <c r="J123" s="127">
        <f t="shared" si="152"/>
        <v>0</v>
      </c>
      <c r="K123" s="127">
        <f t="shared" si="152"/>
        <v>0</v>
      </c>
      <c r="L123" s="127">
        <f t="shared" si="152"/>
        <v>0</v>
      </c>
      <c r="M123" s="127">
        <f t="shared" si="152"/>
        <v>0</v>
      </c>
      <c r="N123" s="127">
        <f t="shared" si="152"/>
        <v>0</v>
      </c>
      <c r="O123" s="127">
        <f t="shared" si="152"/>
        <v>0</v>
      </c>
      <c r="P123" s="127">
        <f t="shared" si="152"/>
        <v>0</v>
      </c>
      <c r="Q123" s="127">
        <f t="shared" si="152"/>
        <v>0</v>
      </c>
      <c r="R123" s="127">
        <f t="shared" si="152"/>
        <v>0</v>
      </c>
      <c r="S123" s="127">
        <f t="shared" si="152"/>
        <v>0</v>
      </c>
      <c r="T123" s="127">
        <f t="shared" si="152"/>
        <v>0</v>
      </c>
      <c r="U123" s="127">
        <f t="shared" si="152"/>
        <v>0</v>
      </c>
      <c r="V123" s="127">
        <f t="shared" si="152"/>
        <v>0</v>
      </c>
      <c r="W123" s="127">
        <f t="shared" si="152"/>
        <v>0</v>
      </c>
      <c r="DA123" s="178"/>
    </row>
    <row r="124" spans="1:105" x14ac:dyDescent="0.25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DA124" s="171"/>
    </row>
    <row r="125" spans="1:105" ht="11.45" customHeight="1" x14ac:dyDescent="0.25">
      <c r="A125" s="53" t="s">
        <v>40</v>
      </c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DA125" s="172"/>
    </row>
    <row r="126" spans="1:105" ht="11.45" customHeight="1" x14ac:dyDescent="0.25">
      <c r="A126" s="27" t="s">
        <v>33</v>
      </c>
      <c r="B126" s="31">
        <f t="shared" ref="B126:B138" si="153">IF(B34=0,0,B34/B$34)</f>
        <v>1</v>
      </c>
      <c r="C126" s="31">
        <f t="shared" ref="C126:W126" si="154">IF(C34=0,0,C34/C$34)</f>
        <v>1</v>
      </c>
      <c r="D126" s="31">
        <f t="shared" si="154"/>
        <v>1</v>
      </c>
      <c r="E126" s="31">
        <f t="shared" si="154"/>
        <v>1</v>
      </c>
      <c r="F126" s="31">
        <f t="shared" si="154"/>
        <v>1</v>
      </c>
      <c r="G126" s="31">
        <f t="shared" si="154"/>
        <v>1</v>
      </c>
      <c r="H126" s="31">
        <f t="shared" si="154"/>
        <v>1</v>
      </c>
      <c r="I126" s="31">
        <f t="shared" si="154"/>
        <v>1</v>
      </c>
      <c r="J126" s="31">
        <f t="shared" si="154"/>
        <v>1</v>
      </c>
      <c r="K126" s="31">
        <f t="shared" si="154"/>
        <v>1</v>
      </c>
      <c r="L126" s="31">
        <f t="shared" si="154"/>
        <v>1</v>
      </c>
      <c r="M126" s="31">
        <f t="shared" si="154"/>
        <v>1</v>
      </c>
      <c r="N126" s="31">
        <f t="shared" si="154"/>
        <v>1</v>
      </c>
      <c r="O126" s="31">
        <f t="shared" si="154"/>
        <v>1</v>
      </c>
      <c r="P126" s="31">
        <f t="shared" si="154"/>
        <v>1</v>
      </c>
      <c r="Q126" s="31">
        <f t="shared" si="154"/>
        <v>1</v>
      </c>
      <c r="R126" s="31">
        <f t="shared" si="154"/>
        <v>1</v>
      </c>
      <c r="S126" s="31">
        <f t="shared" si="154"/>
        <v>1</v>
      </c>
      <c r="T126" s="31">
        <f t="shared" si="154"/>
        <v>1</v>
      </c>
      <c r="U126" s="31">
        <f t="shared" si="154"/>
        <v>1</v>
      </c>
      <c r="V126" s="31">
        <f t="shared" si="154"/>
        <v>1</v>
      </c>
      <c r="W126" s="31">
        <f t="shared" si="154"/>
        <v>1</v>
      </c>
      <c r="DA126" s="173"/>
    </row>
    <row r="127" spans="1:105" ht="11.45" customHeight="1" x14ac:dyDescent="0.25">
      <c r="A127" s="136" t="str">
        <f>$A$5</f>
        <v>Road transport</v>
      </c>
      <c r="B127" s="139">
        <f t="shared" si="153"/>
        <v>0.84111892860612991</v>
      </c>
      <c r="C127" s="139">
        <f t="shared" ref="C127:W127" si="155">IF(C35=0,0,C35/C$34)</f>
        <v>0.85082211239274053</v>
      </c>
      <c r="D127" s="139">
        <f t="shared" si="155"/>
        <v>0.87000031852583404</v>
      </c>
      <c r="E127" s="139">
        <f t="shared" si="155"/>
        <v>0.88205801911094039</v>
      </c>
      <c r="F127" s="139">
        <f t="shared" si="155"/>
        <v>0.87144089815972881</v>
      </c>
      <c r="G127" s="139">
        <f t="shared" si="155"/>
        <v>0.86483742722198453</v>
      </c>
      <c r="H127" s="139">
        <f t="shared" si="155"/>
        <v>0.85928036628544124</v>
      </c>
      <c r="I127" s="139">
        <f t="shared" si="155"/>
        <v>0.85552363537103815</v>
      </c>
      <c r="J127" s="139">
        <f t="shared" si="155"/>
        <v>0.84918011864921383</v>
      </c>
      <c r="K127" s="139">
        <f t="shared" si="155"/>
        <v>0.85965580050525747</v>
      </c>
      <c r="L127" s="139">
        <f t="shared" si="155"/>
        <v>0.85462204573917044</v>
      </c>
      <c r="M127" s="139">
        <f t="shared" si="155"/>
        <v>0.84904350064277201</v>
      </c>
      <c r="N127" s="139">
        <f t="shared" si="155"/>
        <v>0.85067536684483902</v>
      </c>
      <c r="O127" s="139">
        <f t="shared" si="155"/>
        <v>0.85887367160776862</v>
      </c>
      <c r="P127" s="139">
        <f t="shared" si="155"/>
        <v>0.86008500403249921</v>
      </c>
      <c r="Q127" s="139">
        <f t="shared" si="155"/>
        <v>0.85716449416439033</v>
      </c>
      <c r="R127" s="139">
        <f t="shared" si="155"/>
        <v>0.84982682208535509</v>
      </c>
      <c r="S127" s="139">
        <f t="shared" si="155"/>
        <v>0.85411009369929458</v>
      </c>
      <c r="T127" s="139">
        <f t="shared" si="155"/>
        <v>0.8417671055073529</v>
      </c>
      <c r="U127" s="139">
        <f t="shared" si="155"/>
        <v>0.82261136243514621</v>
      </c>
      <c r="V127" s="139">
        <f t="shared" si="155"/>
        <v>0.912305181696212</v>
      </c>
      <c r="W127" s="139">
        <f t="shared" si="155"/>
        <v>0.89857616911533389</v>
      </c>
      <c r="DA127" s="174"/>
    </row>
    <row r="128" spans="1:105" ht="11.45" customHeight="1" x14ac:dyDescent="0.25">
      <c r="A128" s="128" t="str">
        <f>$A$6</f>
        <v>Powered two-wheelers</v>
      </c>
      <c r="B128" s="140">
        <f t="shared" si="153"/>
        <v>6.9082530694927402E-3</v>
      </c>
      <c r="C128" s="140">
        <f t="shared" ref="C128:W128" si="156">IF(C36=0,0,C36/C$34)</f>
        <v>6.8626627263789113E-3</v>
      </c>
      <c r="D128" s="140">
        <f t="shared" si="156"/>
        <v>6.5214362189483987E-3</v>
      </c>
      <c r="E128" s="140">
        <f t="shared" si="156"/>
        <v>6.3870435019399603E-3</v>
      </c>
      <c r="F128" s="140">
        <f t="shared" si="156"/>
        <v>6.4882908842705238E-3</v>
      </c>
      <c r="G128" s="140">
        <f t="shared" si="156"/>
        <v>6.4143829714402561E-3</v>
      </c>
      <c r="H128" s="140">
        <f t="shared" si="156"/>
        <v>6.6247305107472584E-3</v>
      </c>
      <c r="I128" s="140">
        <f t="shared" si="156"/>
        <v>6.6903916755498317E-3</v>
      </c>
      <c r="J128" s="140">
        <f t="shared" si="156"/>
        <v>7.1758967203229482E-3</v>
      </c>
      <c r="K128" s="140">
        <f t="shared" si="156"/>
        <v>7.6687033855948701E-3</v>
      </c>
      <c r="L128" s="140">
        <f t="shared" si="156"/>
        <v>7.7417936681908129E-3</v>
      </c>
      <c r="M128" s="140">
        <f t="shared" si="156"/>
        <v>8.1722726045361706E-3</v>
      </c>
      <c r="N128" s="140">
        <f t="shared" si="156"/>
        <v>8.6216458178597424E-3</v>
      </c>
      <c r="O128" s="140">
        <f t="shared" si="156"/>
        <v>8.8255356714424318E-3</v>
      </c>
      <c r="P128" s="140">
        <f t="shared" si="156"/>
        <v>9.0580107672621809E-3</v>
      </c>
      <c r="Q128" s="140">
        <f t="shared" si="156"/>
        <v>9.0863386596258793E-3</v>
      </c>
      <c r="R128" s="140">
        <f t="shared" si="156"/>
        <v>9.0519291360752121E-3</v>
      </c>
      <c r="S128" s="140">
        <f t="shared" si="156"/>
        <v>8.91566965399441E-3</v>
      </c>
      <c r="T128" s="140">
        <f t="shared" si="156"/>
        <v>8.4370947843323274E-3</v>
      </c>
      <c r="U128" s="140">
        <f t="shared" si="156"/>
        <v>8.9725824019674053E-3</v>
      </c>
      <c r="V128" s="140">
        <f t="shared" si="156"/>
        <v>1.0501831851525171E-2</v>
      </c>
      <c r="W128" s="140">
        <f t="shared" si="156"/>
        <v>9.5867676117436171E-3</v>
      </c>
      <c r="DA128" s="175"/>
    </row>
    <row r="129" spans="1:105" ht="11.45" customHeight="1" x14ac:dyDescent="0.25">
      <c r="A129" s="128" t="str">
        <f>$A$7</f>
        <v>Passenger cars</v>
      </c>
      <c r="B129" s="140">
        <f t="shared" si="153"/>
        <v>0.78025444825411272</v>
      </c>
      <c r="C129" s="140">
        <f t="shared" ref="C129:W129" si="157">IF(C37=0,0,C37/C$34)</f>
        <v>0.79153914801840586</v>
      </c>
      <c r="D129" s="140">
        <f t="shared" si="157"/>
        <v>0.81350802420312707</v>
      </c>
      <c r="E129" s="140">
        <f t="shared" si="157"/>
        <v>0.82669270729118405</v>
      </c>
      <c r="F129" s="140">
        <f t="shared" si="157"/>
        <v>0.81789520526761295</v>
      </c>
      <c r="G129" s="140">
        <f t="shared" si="157"/>
        <v>0.81328568333913098</v>
      </c>
      <c r="H129" s="140">
        <f t="shared" si="157"/>
        <v>0.80816198566501207</v>
      </c>
      <c r="I129" s="140">
        <f t="shared" si="157"/>
        <v>0.80299598324369514</v>
      </c>
      <c r="J129" s="140">
        <f t="shared" si="157"/>
        <v>0.79617592041079943</v>
      </c>
      <c r="K129" s="140">
        <f t="shared" si="157"/>
        <v>0.80870751056161805</v>
      </c>
      <c r="L129" s="140">
        <f t="shared" si="157"/>
        <v>0.80082169929930447</v>
      </c>
      <c r="M129" s="140">
        <f t="shared" si="157"/>
        <v>0.79424852936178181</v>
      </c>
      <c r="N129" s="140">
        <f t="shared" si="157"/>
        <v>0.79475333704421836</v>
      </c>
      <c r="O129" s="140">
        <f t="shared" si="157"/>
        <v>0.80319014954181489</v>
      </c>
      <c r="P129" s="140">
        <f t="shared" si="157"/>
        <v>0.80328023342276156</v>
      </c>
      <c r="Q129" s="140">
        <f t="shared" si="157"/>
        <v>0.80062649583396417</v>
      </c>
      <c r="R129" s="140">
        <f t="shared" si="157"/>
        <v>0.79243310474780992</v>
      </c>
      <c r="S129" s="140">
        <f t="shared" si="157"/>
        <v>0.79511757535713767</v>
      </c>
      <c r="T129" s="140">
        <f t="shared" si="157"/>
        <v>0.78542635089442203</v>
      </c>
      <c r="U129" s="140">
        <f t="shared" si="157"/>
        <v>0.76590597277248662</v>
      </c>
      <c r="V129" s="140">
        <f t="shared" si="157"/>
        <v>0.83988370569874604</v>
      </c>
      <c r="W129" s="140">
        <f t="shared" si="157"/>
        <v>0.82949682609141162</v>
      </c>
      <c r="DA129" s="175"/>
    </row>
    <row r="130" spans="1:105" ht="11.45" customHeight="1" x14ac:dyDescent="0.25">
      <c r="A130" s="128" t="str">
        <f>$A$8</f>
        <v>Motor coaches, buses and trolley buses</v>
      </c>
      <c r="B130" s="140">
        <f t="shared" si="153"/>
        <v>5.3956227282524527E-2</v>
      </c>
      <c r="C130" s="140">
        <f t="shared" ref="C130:W130" si="158">IF(C38=0,0,C38/C$34)</f>
        <v>5.2420301647955726E-2</v>
      </c>
      <c r="D130" s="140">
        <f t="shared" si="158"/>
        <v>4.997085810375846E-2</v>
      </c>
      <c r="E130" s="140">
        <f t="shared" si="158"/>
        <v>4.8978268317816459E-2</v>
      </c>
      <c r="F130" s="140">
        <f t="shared" si="158"/>
        <v>4.7057402007845237E-2</v>
      </c>
      <c r="G130" s="140">
        <f t="shared" si="158"/>
        <v>4.5137360911413266E-2</v>
      </c>
      <c r="H130" s="140">
        <f t="shared" si="158"/>
        <v>4.4493650109681981E-2</v>
      </c>
      <c r="I130" s="140">
        <f t="shared" si="158"/>
        <v>4.5837260451793128E-2</v>
      </c>
      <c r="J130" s="140">
        <f t="shared" si="158"/>
        <v>4.5828301518091384E-2</v>
      </c>
      <c r="K130" s="140">
        <f t="shared" si="158"/>
        <v>4.3279586558044578E-2</v>
      </c>
      <c r="L130" s="140">
        <f t="shared" si="158"/>
        <v>4.6058552771675025E-2</v>
      </c>
      <c r="M130" s="140">
        <f t="shared" si="158"/>
        <v>4.6622698676454119E-2</v>
      </c>
      <c r="N130" s="140">
        <f t="shared" si="158"/>
        <v>4.7300383982760826E-2</v>
      </c>
      <c r="O130" s="140">
        <f t="shared" si="158"/>
        <v>4.6857986394511414E-2</v>
      </c>
      <c r="P130" s="140">
        <f t="shared" si="158"/>
        <v>4.774675984247545E-2</v>
      </c>
      <c r="Q130" s="140">
        <f t="shared" si="158"/>
        <v>4.7451659670800277E-2</v>
      </c>
      <c r="R130" s="140">
        <f t="shared" si="158"/>
        <v>4.8341788201469935E-2</v>
      </c>
      <c r="S130" s="140">
        <f t="shared" si="158"/>
        <v>5.0076848688162472E-2</v>
      </c>
      <c r="T130" s="140">
        <f t="shared" si="158"/>
        <v>4.7903659828598455E-2</v>
      </c>
      <c r="U130" s="140">
        <f t="shared" si="158"/>
        <v>4.7732807260692352E-2</v>
      </c>
      <c r="V130" s="140">
        <f t="shared" si="158"/>
        <v>6.1919644145940776E-2</v>
      </c>
      <c r="W130" s="140">
        <f t="shared" si="158"/>
        <v>5.9492575412178617E-2</v>
      </c>
      <c r="DA130" s="175"/>
    </row>
    <row r="131" spans="1:105" ht="11.45" customHeight="1" x14ac:dyDescent="0.25">
      <c r="A131" s="109" t="str">
        <f>$A$9</f>
        <v>Rail, metro and tram</v>
      </c>
      <c r="B131" s="124">
        <f t="shared" si="153"/>
        <v>3.6895077259068328E-2</v>
      </c>
      <c r="C131" s="124">
        <f t="shared" ref="C131:W131" si="159">IF(C39=0,0,C39/C$34)</f>
        <v>3.4164123629054743E-2</v>
      </c>
      <c r="D131" s="124">
        <f t="shared" si="159"/>
        <v>3.0566090709687008E-2</v>
      </c>
      <c r="E131" s="124">
        <f t="shared" si="159"/>
        <v>2.8366775288785524E-2</v>
      </c>
      <c r="F131" s="124">
        <f t="shared" si="159"/>
        <v>2.6573215073639234E-2</v>
      </c>
      <c r="G131" s="124">
        <f t="shared" si="159"/>
        <v>2.4565488822987789E-2</v>
      </c>
      <c r="H131" s="124">
        <f t="shared" si="159"/>
        <v>2.4589367293998833E-2</v>
      </c>
      <c r="I131" s="124">
        <f t="shared" si="159"/>
        <v>2.4074132370299293E-2</v>
      </c>
      <c r="J131" s="124">
        <f t="shared" si="159"/>
        <v>2.6296802835005243E-2</v>
      </c>
      <c r="K131" s="124">
        <f t="shared" si="159"/>
        <v>2.8559616460656412E-2</v>
      </c>
      <c r="L131" s="124">
        <f t="shared" si="159"/>
        <v>2.8305726533534969E-2</v>
      </c>
      <c r="M131" s="124">
        <f t="shared" si="159"/>
        <v>2.5987851322481732E-2</v>
      </c>
      <c r="N131" s="124">
        <f t="shared" si="159"/>
        <v>2.6451108530417117E-2</v>
      </c>
      <c r="O131" s="124">
        <f t="shared" si="159"/>
        <v>2.514346525527977E-2</v>
      </c>
      <c r="P131" s="124">
        <f t="shared" si="159"/>
        <v>2.5406287202450181E-2</v>
      </c>
      <c r="Q131" s="124">
        <f t="shared" si="159"/>
        <v>2.351469317985215E-2</v>
      </c>
      <c r="R131" s="124">
        <f t="shared" si="159"/>
        <v>2.3216943666727038E-2</v>
      </c>
      <c r="S131" s="124">
        <f t="shared" si="159"/>
        <v>2.3727805048820293E-2</v>
      </c>
      <c r="T131" s="124">
        <f t="shared" si="159"/>
        <v>2.2844138542833403E-2</v>
      </c>
      <c r="U131" s="124">
        <f t="shared" si="159"/>
        <v>2.2151853063364341E-2</v>
      </c>
      <c r="V131" s="124">
        <f t="shared" si="159"/>
        <v>2.2672464931990818E-2</v>
      </c>
      <c r="W131" s="124">
        <f t="shared" si="159"/>
        <v>2.2970452254671245E-2</v>
      </c>
      <c r="DA131" s="176"/>
    </row>
    <row r="132" spans="1:105" ht="11.45" customHeight="1" x14ac:dyDescent="0.25">
      <c r="A132" s="128" t="str">
        <f>$A$10</f>
        <v>Metro and tram, urban light rail</v>
      </c>
      <c r="B132" s="140">
        <f t="shared" si="153"/>
        <v>7.320117732871903E-3</v>
      </c>
      <c r="C132" s="140">
        <f t="shared" ref="C132:W132" si="160">IF(C40=0,0,C40/C$34)</f>
        <v>7.5455153028156927E-3</v>
      </c>
      <c r="D132" s="140">
        <f t="shared" si="160"/>
        <v>6.9617273236269742E-3</v>
      </c>
      <c r="E132" s="140">
        <f t="shared" si="160"/>
        <v>6.7521506375725036E-3</v>
      </c>
      <c r="F132" s="140">
        <f t="shared" si="160"/>
        <v>6.5444284853006431E-3</v>
      </c>
      <c r="G132" s="140">
        <f t="shared" si="160"/>
        <v>6.0200872775740058E-3</v>
      </c>
      <c r="H132" s="140">
        <f t="shared" si="160"/>
        <v>6.0730851509018151E-3</v>
      </c>
      <c r="I132" s="140">
        <f t="shared" si="160"/>
        <v>5.9836912464978952E-3</v>
      </c>
      <c r="J132" s="140">
        <f t="shared" si="160"/>
        <v>5.7937833183810059E-3</v>
      </c>
      <c r="K132" s="140">
        <f t="shared" si="160"/>
        <v>6.0246668230052531E-3</v>
      </c>
      <c r="L132" s="140">
        <f t="shared" si="160"/>
        <v>5.9869618857442009E-3</v>
      </c>
      <c r="M132" s="140">
        <f t="shared" si="160"/>
        <v>5.7198279593032838E-3</v>
      </c>
      <c r="N132" s="140">
        <f t="shared" si="160"/>
        <v>5.93174751018089E-3</v>
      </c>
      <c r="O132" s="140">
        <f t="shared" si="160"/>
        <v>5.8149743967497083E-3</v>
      </c>
      <c r="P132" s="140">
        <f t="shared" si="160"/>
        <v>5.479169997804372E-3</v>
      </c>
      <c r="Q132" s="140">
        <f t="shared" si="160"/>
        <v>5.4245629263943943E-3</v>
      </c>
      <c r="R132" s="140">
        <f t="shared" si="160"/>
        <v>5.2331739055632206E-3</v>
      </c>
      <c r="S132" s="140">
        <f t="shared" si="160"/>
        <v>5.2425208750542076E-3</v>
      </c>
      <c r="T132" s="140">
        <f t="shared" si="160"/>
        <v>5.0933336581417245E-3</v>
      </c>
      <c r="U132" s="140">
        <f t="shared" si="160"/>
        <v>5.2729450600857587E-3</v>
      </c>
      <c r="V132" s="140">
        <f t="shared" si="160"/>
        <v>6.8141626922121256E-3</v>
      </c>
      <c r="W132" s="140">
        <f t="shared" si="160"/>
        <v>6.5095794341987617E-3</v>
      </c>
      <c r="DA132" s="175"/>
    </row>
    <row r="133" spans="1:105" ht="11.45" customHeight="1" x14ac:dyDescent="0.25">
      <c r="A133" s="128" t="str">
        <f>$A$11</f>
        <v>Conventional passenger trains</v>
      </c>
      <c r="B133" s="140">
        <f t="shared" si="153"/>
        <v>2.9574959526196421E-2</v>
      </c>
      <c r="C133" s="140">
        <f t="shared" ref="C133:W133" si="161">IF(C41=0,0,C41/C$34)</f>
        <v>2.6618608326239055E-2</v>
      </c>
      <c r="D133" s="140">
        <f t="shared" si="161"/>
        <v>2.3604363386060034E-2</v>
      </c>
      <c r="E133" s="140">
        <f t="shared" si="161"/>
        <v>2.161462465121302E-2</v>
      </c>
      <c r="F133" s="140">
        <f t="shared" si="161"/>
        <v>2.0028786588338589E-2</v>
      </c>
      <c r="G133" s="140">
        <f t="shared" si="161"/>
        <v>1.8545401545413787E-2</v>
      </c>
      <c r="H133" s="140">
        <f t="shared" si="161"/>
        <v>1.8516282143097015E-2</v>
      </c>
      <c r="I133" s="140">
        <f t="shared" si="161"/>
        <v>1.8090441123801398E-2</v>
      </c>
      <c r="J133" s="140">
        <f t="shared" si="161"/>
        <v>2.0503019516624234E-2</v>
      </c>
      <c r="K133" s="140">
        <f t="shared" si="161"/>
        <v>2.2534949637651156E-2</v>
      </c>
      <c r="L133" s="140">
        <f t="shared" si="161"/>
        <v>2.2318764647790767E-2</v>
      </c>
      <c r="M133" s="140">
        <f t="shared" si="161"/>
        <v>2.0268023363178445E-2</v>
      </c>
      <c r="N133" s="140">
        <f t="shared" si="161"/>
        <v>2.0519361020236229E-2</v>
      </c>
      <c r="O133" s="140">
        <f t="shared" si="161"/>
        <v>1.9328490858530063E-2</v>
      </c>
      <c r="P133" s="140">
        <f t="shared" si="161"/>
        <v>1.9927117204645808E-2</v>
      </c>
      <c r="Q133" s="140">
        <f t="shared" si="161"/>
        <v>1.8090130253457754E-2</v>
      </c>
      <c r="R133" s="140">
        <f t="shared" si="161"/>
        <v>1.7983769761163816E-2</v>
      </c>
      <c r="S133" s="140">
        <f t="shared" si="161"/>
        <v>1.8485284173766086E-2</v>
      </c>
      <c r="T133" s="140">
        <f t="shared" si="161"/>
        <v>1.7750804884691676E-2</v>
      </c>
      <c r="U133" s="140">
        <f t="shared" si="161"/>
        <v>1.6878908003278584E-2</v>
      </c>
      <c r="V133" s="140">
        <f t="shared" si="161"/>
        <v>1.5858302239778691E-2</v>
      </c>
      <c r="W133" s="140">
        <f t="shared" si="161"/>
        <v>1.6460872820472483E-2</v>
      </c>
      <c r="DA133" s="175"/>
    </row>
    <row r="134" spans="1:105" ht="11.45" customHeight="1" x14ac:dyDescent="0.25">
      <c r="A134" s="128" t="str">
        <f>$A$12</f>
        <v>High speed passenger trains</v>
      </c>
      <c r="B134" s="140">
        <f t="shared" si="153"/>
        <v>0</v>
      </c>
      <c r="C134" s="140">
        <f t="shared" ref="C134:W134" si="162">IF(C42=0,0,C42/C$34)</f>
        <v>0</v>
      </c>
      <c r="D134" s="140">
        <f t="shared" si="162"/>
        <v>0</v>
      </c>
      <c r="E134" s="140">
        <f t="shared" si="162"/>
        <v>0</v>
      </c>
      <c r="F134" s="140">
        <f t="shared" si="162"/>
        <v>0</v>
      </c>
      <c r="G134" s="140">
        <f t="shared" si="162"/>
        <v>0</v>
      </c>
      <c r="H134" s="140">
        <f t="shared" si="162"/>
        <v>0</v>
      </c>
      <c r="I134" s="140">
        <f t="shared" si="162"/>
        <v>0</v>
      </c>
      <c r="J134" s="140">
        <f t="shared" si="162"/>
        <v>0</v>
      </c>
      <c r="K134" s="140">
        <f t="shared" si="162"/>
        <v>0</v>
      </c>
      <c r="L134" s="140">
        <f t="shared" si="162"/>
        <v>0</v>
      </c>
      <c r="M134" s="140">
        <f t="shared" si="162"/>
        <v>0</v>
      </c>
      <c r="N134" s="140">
        <f t="shared" si="162"/>
        <v>0</v>
      </c>
      <c r="O134" s="140">
        <f t="shared" si="162"/>
        <v>0</v>
      </c>
      <c r="P134" s="140">
        <f t="shared" si="162"/>
        <v>0</v>
      </c>
      <c r="Q134" s="140">
        <f t="shared" si="162"/>
        <v>0</v>
      </c>
      <c r="R134" s="140">
        <f t="shared" si="162"/>
        <v>0</v>
      </c>
      <c r="S134" s="140">
        <f t="shared" si="162"/>
        <v>0</v>
      </c>
      <c r="T134" s="140">
        <f t="shared" si="162"/>
        <v>0</v>
      </c>
      <c r="U134" s="140">
        <f t="shared" si="162"/>
        <v>0</v>
      </c>
      <c r="V134" s="140">
        <f t="shared" si="162"/>
        <v>0</v>
      </c>
      <c r="W134" s="140">
        <f t="shared" si="162"/>
        <v>0</v>
      </c>
      <c r="DA134" s="175"/>
    </row>
    <row r="135" spans="1:105" ht="11.45" customHeight="1" x14ac:dyDescent="0.25">
      <c r="A135" s="109" t="str">
        <f>$A$13</f>
        <v>Aviation</v>
      </c>
      <c r="B135" s="124">
        <f t="shared" si="153"/>
        <v>0.12198599413480166</v>
      </c>
      <c r="C135" s="124">
        <f t="shared" ref="C135:W135" si="163">IF(C43=0,0,C43/C$34)</f>
        <v>0.1150137639782048</v>
      </c>
      <c r="D135" s="124">
        <f t="shared" si="163"/>
        <v>9.9433590764479107E-2</v>
      </c>
      <c r="E135" s="124">
        <f t="shared" si="163"/>
        <v>8.9575205600274016E-2</v>
      </c>
      <c r="F135" s="124">
        <f t="shared" si="163"/>
        <v>0.10198588676663202</v>
      </c>
      <c r="G135" s="124">
        <f t="shared" si="163"/>
        <v>0.11059708395502772</v>
      </c>
      <c r="H135" s="124">
        <f t="shared" si="163"/>
        <v>0.11613026642055993</v>
      </c>
      <c r="I135" s="124">
        <f t="shared" si="163"/>
        <v>0.1204022322586626</v>
      </c>
      <c r="J135" s="124">
        <f t="shared" si="163"/>
        <v>0.12452307851578084</v>
      </c>
      <c r="K135" s="124">
        <f t="shared" si="163"/>
        <v>0.11178458303408607</v>
      </c>
      <c r="L135" s="124">
        <f t="shared" si="163"/>
        <v>0.11707222772729466</v>
      </c>
      <c r="M135" s="124">
        <f t="shared" si="163"/>
        <v>0.1249686480347461</v>
      </c>
      <c r="N135" s="124">
        <f t="shared" si="163"/>
        <v>0.12287352462474384</v>
      </c>
      <c r="O135" s="124">
        <f t="shared" si="163"/>
        <v>0.11598286313695153</v>
      </c>
      <c r="P135" s="124">
        <f t="shared" si="163"/>
        <v>0.11450870876505069</v>
      </c>
      <c r="Q135" s="124">
        <f t="shared" si="163"/>
        <v>0.11932081265575754</v>
      </c>
      <c r="R135" s="124">
        <f t="shared" si="163"/>
        <v>0.12695623424791802</v>
      </c>
      <c r="S135" s="124">
        <f t="shared" si="163"/>
        <v>0.12216210125188517</v>
      </c>
      <c r="T135" s="124">
        <f t="shared" si="163"/>
        <v>0.1353887559498137</v>
      </c>
      <c r="U135" s="124">
        <f t="shared" si="163"/>
        <v>0.15523678450148945</v>
      </c>
      <c r="V135" s="124">
        <f t="shared" si="163"/>
        <v>6.5022353371797251E-2</v>
      </c>
      <c r="W135" s="124">
        <f t="shared" si="163"/>
        <v>7.8453378629994769E-2</v>
      </c>
      <c r="DA135" s="176"/>
    </row>
    <row r="136" spans="1:105" ht="11.45" customHeight="1" x14ac:dyDescent="0.25">
      <c r="A136" s="128" t="str">
        <f>$A$14</f>
        <v>Domestic</v>
      </c>
      <c r="B136" s="140">
        <f t="shared" si="153"/>
        <v>7.3133199454593545E-3</v>
      </c>
      <c r="C136" s="140">
        <f t="shared" ref="C136:W136" si="164">IF(C44=0,0,C44/C$34)</f>
        <v>6.680402359637668E-3</v>
      </c>
      <c r="D136" s="140">
        <f t="shared" si="164"/>
        <v>6.3507302779980341E-3</v>
      </c>
      <c r="E136" s="140">
        <f t="shared" si="164"/>
        <v>5.8665594078085234E-3</v>
      </c>
      <c r="F136" s="140">
        <f t="shared" si="164"/>
        <v>6.0428302123302627E-3</v>
      </c>
      <c r="G136" s="140">
        <f t="shared" si="164"/>
        <v>5.8972833863710208E-3</v>
      </c>
      <c r="H136" s="140">
        <f t="shared" si="164"/>
        <v>6.2271782910256791E-3</v>
      </c>
      <c r="I136" s="140">
        <f t="shared" si="164"/>
        <v>6.2095212709446053E-3</v>
      </c>
      <c r="J136" s="140">
        <f t="shared" si="164"/>
        <v>6.2686794820040539E-3</v>
      </c>
      <c r="K136" s="140">
        <f t="shared" si="164"/>
        <v>6.2844681907592336E-3</v>
      </c>
      <c r="L136" s="140">
        <f t="shared" si="164"/>
        <v>5.9916850791912456E-3</v>
      </c>
      <c r="M136" s="140">
        <f t="shared" si="164"/>
        <v>6.0578693734501809E-3</v>
      </c>
      <c r="N136" s="140">
        <f t="shared" si="164"/>
        <v>5.7801534969531207E-3</v>
      </c>
      <c r="O136" s="140">
        <f t="shared" si="164"/>
        <v>5.7038302144674776E-3</v>
      </c>
      <c r="P136" s="140">
        <f t="shared" si="164"/>
        <v>5.47052017927065E-3</v>
      </c>
      <c r="Q136" s="140">
        <f t="shared" si="164"/>
        <v>5.3600067851631052E-3</v>
      </c>
      <c r="R136" s="140">
        <f t="shared" si="164"/>
        <v>5.1443557670474696E-3</v>
      </c>
      <c r="S136" s="140">
        <f t="shared" si="164"/>
        <v>4.9130624371093575E-3</v>
      </c>
      <c r="T136" s="140">
        <f t="shared" si="164"/>
        <v>5.0794343114974449E-3</v>
      </c>
      <c r="U136" s="140">
        <f t="shared" si="164"/>
        <v>4.2101989853715544E-3</v>
      </c>
      <c r="V136" s="140">
        <f t="shared" si="164"/>
        <v>3.5268126517173388E-3</v>
      </c>
      <c r="W136" s="140">
        <f t="shared" si="164"/>
        <v>3.3202999790128127E-3</v>
      </c>
      <c r="DA136" s="175"/>
    </row>
    <row r="137" spans="1:105" ht="11.45" customHeight="1" x14ac:dyDescent="0.25">
      <c r="A137" s="128" t="str">
        <f>$A$15</f>
        <v>International - Intra-EEAwUK</v>
      </c>
      <c r="B137" s="140">
        <f t="shared" si="153"/>
        <v>4.7765282037929971E-2</v>
      </c>
      <c r="C137" s="140">
        <f t="shared" ref="C137:W137" si="165">IF(C45=0,0,C45/C$34)</f>
        <v>4.7036568547274768E-2</v>
      </c>
      <c r="D137" s="140">
        <f t="shared" si="165"/>
        <v>4.1112665957004892E-2</v>
      </c>
      <c r="E137" s="140">
        <f t="shared" si="165"/>
        <v>3.8878217081686671E-2</v>
      </c>
      <c r="F137" s="140">
        <f t="shared" si="165"/>
        <v>4.29951495818999E-2</v>
      </c>
      <c r="G137" s="140">
        <f t="shared" si="165"/>
        <v>4.7036241851223667E-2</v>
      </c>
      <c r="H137" s="140">
        <f t="shared" si="165"/>
        <v>5.0114724581847049E-2</v>
      </c>
      <c r="I137" s="140">
        <f t="shared" si="165"/>
        <v>5.2974823737919521E-2</v>
      </c>
      <c r="J137" s="140">
        <f t="shared" si="165"/>
        <v>5.395279550370493E-2</v>
      </c>
      <c r="K137" s="140">
        <f t="shared" si="165"/>
        <v>4.6875098901701148E-2</v>
      </c>
      <c r="L137" s="140">
        <f t="shared" si="165"/>
        <v>4.9025815546650614E-2</v>
      </c>
      <c r="M137" s="140">
        <f t="shared" si="165"/>
        <v>5.2347136849992197E-2</v>
      </c>
      <c r="N137" s="140">
        <f t="shared" si="165"/>
        <v>5.0739444525100111E-2</v>
      </c>
      <c r="O137" s="140">
        <f t="shared" si="165"/>
        <v>4.742612961255404E-2</v>
      </c>
      <c r="P137" s="140">
        <f t="shared" si="165"/>
        <v>4.7345318624787851E-2</v>
      </c>
      <c r="Q137" s="140">
        <f t="shared" si="165"/>
        <v>4.9796979618324112E-2</v>
      </c>
      <c r="R137" s="140">
        <f t="shared" si="165"/>
        <v>5.5486935508886372E-2</v>
      </c>
      <c r="S137" s="140">
        <f t="shared" si="165"/>
        <v>5.4438969131001526E-2</v>
      </c>
      <c r="T137" s="140">
        <f t="shared" si="165"/>
        <v>6.0402571807536012E-2</v>
      </c>
      <c r="U137" s="140">
        <f t="shared" si="165"/>
        <v>6.8294303665612496E-2</v>
      </c>
      <c r="V137" s="140">
        <f t="shared" si="165"/>
        <v>2.4339554042108729E-2</v>
      </c>
      <c r="W137" s="140">
        <f t="shared" si="165"/>
        <v>3.2143420367690377E-2</v>
      </c>
      <c r="DA137" s="175"/>
    </row>
    <row r="138" spans="1:105" ht="11.45" customHeight="1" x14ac:dyDescent="0.25">
      <c r="A138" s="128" t="str">
        <f>$A$16</f>
        <v>International - Extra-EEAwUK</v>
      </c>
      <c r="B138" s="140">
        <f t="shared" si="153"/>
        <v>6.6907392151412323E-2</v>
      </c>
      <c r="C138" s="140">
        <f t="shared" ref="C138:W138" si="166">IF(C46=0,0,C46/C$34)</f>
        <v>6.129679307129237E-2</v>
      </c>
      <c r="D138" s="140">
        <f t="shared" si="166"/>
        <v>5.1970194529476176E-2</v>
      </c>
      <c r="E138" s="140">
        <f t="shared" si="166"/>
        <v>4.4830429110778822E-2</v>
      </c>
      <c r="F138" s="140">
        <f t="shared" si="166"/>
        <v>5.2947906972401856E-2</v>
      </c>
      <c r="G138" s="140">
        <f t="shared" si="166"/>
        <v>5.766355871743304E-2</v>
      </c>
      <c r="H138" s="140">
        <f t="shared" si="166"/>
        <v>5.9788363547687205E-2</v>
      </c>
      <c r="I138" s="140">
        <f t="shared" si="166"/>
        <v>6.1217887249798465E-2</v>
      </c>
      <c r="J138" s="140">
        <f t="shared" si="166"/>
        <v>6.430160353007186E-2</v>
      </c>
      <c r="K138" s="140">
        <f t="shared" si="166"/>
        <v>5.8625015941625697E-2</v>
      </c>
      <c r="L138" s="140">
        <f t="shared" si="166"/>
        <v>6.2054727101452788E-2</v>
      </c>
      <c r="M138" s="140">
        <f t="shared" si="166"/>
        <v>6.6563641811303725E-2</v>
      </c>
      <c r="N138" s="140">
        <f t="shared" si="166"/>
        <v>6.6353926602690599E-2</v>
      </c>
      <c r="O138" s="140">
        <f t="shared" si="166"/>
        <v>6.2852903309930014E-2</v>
      </c>
      <c r="P138" s="140">
        <f t="shared" si="166"/>
        <v>6.1692869960992186E-2</v>
      </c>
      <c r="Q138" s="140">
        <f t="shared" si="166"/>
        <v>6.4163826252270337E-2</v>
      </c>
      <c r="R138" s="140">
        <f t="shared" si="166"/>
        <v>6.6324942971984172E-2</v>
      </c>
      <c r="S138" s="140">
        <f t="shared" si="166"/>
        <v>6.2810069683774297E-2</v>
      </c>
      <c r="T138" s="140">
        <f t="shared" si="166"/>
        <v>6.990674983078024E-2</v>
      </c>
      <c r="U138" s="140">
        <f t="shared" si="166"/>
        <v>8.2732281850505393E-2</v>
      </c>
      <c r="V138" s="140">
        <f t="shared" si="166"/>
        <v>3.7155986677971181E-2</v>
      </c>
      <c r="W138" s="140">
        <f t="shared" si="166"/>
        <v>4.2989658283291564E-2</v>
      </c>
      <c r="DA138" s="175"/>
    </row>
    <row r="139" spans="1:105" ht="11.45" customHeight="1" x14ac:dyDescent="0.25">
      <c r="A139" s="27" t="s">
        <v>34</v>
      </c>
      <c r="B139" s="31">
        <f t="shared" ref="B139:B150" si="167">IF(B47=0,0,B47/B$47)</f>
        <v>1</v>
      </c>
      <c r="C139" s="31">
        <f t="shared" ref="C139:W139" si="168">IF(C47=0,0,C47/C$47)</f>
        <v>1</v>
      </c>
      <c r="D139" s="31">
        <f t="shared" si="168"/>
        <v>1</v>
      </c>
      <c r="E139" s="31">
        <f t="shared" si="168"/>
        <v>1</v>
      </c>
      <c r="F139" s="31">
        <f t="shared" si="168"/>
        <v>1</v>
      </c>
      <c r="G139" s="31">
        <f t="shared" si="168"/>
        <v>1</v>
      </c>
      <c r="H139" s="31">
        <f t="shared" si="168"/>
        <v>1</v>
      </c>
      <c r="I139" s="31">
        <f t="shared" si="168"/>
        <v>1</v>
      </c>
      <c r="J139" s="31">
        <f t="shared" si="168"/>
        <v>1</v>
      </c>
      <c r="K139" s="31">
        <f t="shared" si="168"/>
        <v>1</v>
      </c>
      <c r="L139" s="31">
        <f t="shared" si="168"/>
        <v>1</v>
      </c>
      <c r="M139" s="31">
        <f t="shared" si="168"/>
        <v>1</v>
      </c>
      <c r="N139" s="31">
        <f t="shared" si="168"/>
        <v>1</v>
      </c>
      <c r="O139" s="31">
        <f t="shared" si="168"/>
        <v>1</v>
      </c>
      <c r="P139" s="31">
        <f t="shared" si="168"/>
        <v>1</v>
      </c>
      <c r="Q139" s="31">
        <f t="shared" si="168"/>
        <v>1</v>
      </c>
      <c r="R139" s="31">
        <f t="shared" si="168"/>
        <v>1</v>
      </c>
      <c r="S139" s="31">
        <f t="shared" si="168"/>
        <v>1</v>
      </c>
      <c r="T139" s="31">
        <f t="shared" si="168"/>
        <v>1</v>
      </c>
      <c r="U139" s="31">
        <f t="shared" si="168"/>
        <v>1</v>
      </c>
      <c r="V139" s="31">
        <f t="shared" si="168"/>
        <v>1</v>
      </c>
      <c r="W139" s="31">
        <f t="shared" si="168"/>
        <v>1</v>
      </c>
      <c r="DA139" s="173"/>
    </row>
    <row r="140" spans="1:105" ht="11.45" customHeight="1" x14ac:dyDescent="0.25">
      <c r="A140" s="136" t="str">
        <f>$A$18</f>
        <v>Road transport</v>
      </c>
      <c r="B140" s="139">
        <f t="shared" si="167"/>
        <v>0.93395505623746577</v>
      </c>
      <c r="C140" s="139">
        <f t="shared" ref="C140:W140" si="169">IF(C48=0,0,C48/C$47)</f>
        <v>0.94198882302267029</v>
      </c>
      <c r="D140" s="139">
        <f t="shared" si="169"/>
        <v>0.94766230854888167</v>
      </c>
      <c r="E140" s="139">
        <f t="shared" si="169"/>
        <v>0.95336641126547061</v>
      </c>
      <c r="F140" s="139">
        <f t="shared" si="169"/>
        <v>0.94648913605405838</v>
      </c>
      <c r="G140" s="139">
        <f t="shared" si="169"/>
        <v>0.94846392815215252</v>
      </c>
      <c r="H140" s="139">
        <f t="shared" si="169"/>
        <v>0.9441376010430016</v>
      </c>
      <c r="I140" s="139">
        <f t="shared" si="169"/>
        <v>0.94604197789011113</v>
      </c>
      <c r="J140" s="139">
        <f t="shared" si="169"/>
        <v>0.94608032197848102</v>
      </c>
      <c r="K140" s="139">
        <f t="shared" si="169"/>
        <v>0.95126798126889633</v>
      </c>
      <c r="L140" s="139">
        <f t="shared" si="169"/>
        <v>0.95122802767276382</v>
      </c>
      <c r="M140" s="139">
        <f t="shared" si="169"/>
        <v>0.94690239428163658</v>
      </c>
      <c r="N140" s="139">
        <f t="shared" si="169"/>
        <v>0.95062850275229727</v>
      </c>
      <c r="O140" s="139">
        <f t="shared" si="169"/>
        <v>0.95569915741216904</v>
      </c>
      <c r="P140" s="139">
        <f t="shared" si="169"/>
        <v>0.95484558430666078</v>
      </c>
      <c r="Q140" s="139">
        <f t="shared" si="169"/>
        <v>0.95655323864369135</v>
      </c>
      <c r="R140" s="139">
        <f t="shared" si="169"/>
        <v>0.95684334650182945</v>
      </c>
      <c r="S140" s="139">
        <f t="shared" si="169"/>
        <v>0.95593657521530528</v>
      </c>
      <c r="T140" s="139">
        <f t="shared" si="169"/>
        <v>0.95703962553180166</v>
      </c>
      <c r="U140" s="139">
        <f t="shared" si="169"/>
        <v>0.95632770072418316</v>
      </c>
      <c r="V140" s="139">
        <f t="shared" si="169"/>
        <v>0.95703384248239842</v>
      </c>
      <c r="W140" s="139">
        <f t="shared" si="169"/>
        <v>0.95612373803583739</v>
      </c>
      <c r="DA140" s="174"/>
    </row>
    <row r="141" spans="1:105" ht="11.45" customHeight="1" x14ac:dyDescent="0.25">
      <c r="A141" s="128" t="str">
        <f>$A$19</f>
        <v>Light commercial vehicles</v>
      </c>
      <c r="B141" s="140">
        <f t="shared" si="167"/>
        <v>0.21538206275161023</v>
      </c>
      <c r="C141" s="140">
        <f t="shared" ref="C141:W141" si="170">IF(C49=0,0,C49/C$47)</f>
        <v>0.19488224676480265</v>
      </c>
      <c r="D141" s="140">
        <f t="shared" si="170"/>
        <v>0.18175580914031644</v>
      </c>
      <c r="E141" s="140">
        <f t="shared" si="170"/>
        <v>0.17043365477731504</v>
      </c>
      <c r="F141" s="140">
        <f t="shared" si="170"/>
        <v>0.16788472819065561</v>
      </c>
      <c r="G141" s="140">
        <f t="shared" si="170"/>
        <v>0.16300672516300765</v>
      </c>
      <c r="H141" s="140">
        <f t="shared" si="170"/>
        <v>0.17445771282235509</v>
      </c>
      <c r="I141" s="140">
        <f t="shared" si="170"/>
        <v>0.1773796788530807</v>
      </c>
      <c r="J141" s="140">
        <f t="shared" si="170"/>
        <v>0.17927567417455539</v>
      </c>
      <c r="K141" s="140">
        <f t="shared" si="170"/>
        <v>0.18740097600220607</v>
      </c>
      <c r="L141" s="140">
        <f t="shared" si="170"/>
        <v>0.17462173221639074</v>
      </c>
      <c r="M141" s="140">
        <f t="shared" si="170"/>
        <v>0.18957646221221894</v>
      </c>
      <c r="N141" s="140">
        <f t="shared" si="170"/>
        <v>0.18606630736336738</v>
      </c>
      <c r="O141" s="140">
        <f t="shared" si="170"/>
        <v>0.16748013864785427</v>
      </c>
      <c r="P141" s="140">
        <f t="shared" si="170"/>
        <v>0.1801973967404682</v>
      </c>
      <c r="Q141" s="140">
        <f t="shared" si="170"/>
        <v>0.17967525720617411</v>
      </c>
      <c r="R141" s="140">
        <f t="shared" si="170"/>
        <v>0.17883502714747226</v>
      </c>
      <c r="S141" s="140">
        <f t="shared" si="170"/>
        <v>0.17529694111511093</v>
      </c>
      <c r="T141" s="140">
        <f t="shared" si="170"/>
        <v>0.16980841927772336</v>
      </c>
      <c r="U141" s="140">
        <f t="shared" si="170"/>
        <v>0.16682733546604725</v>
      </c>
      <c r="V141" s="140">
        <f t="shared" si="170"/>
        <v>0.18699064061057902</v>
      </c>
      <c r="W141" s="140">
        <f t="shared" si="170"/>
        <v>0.1875061221794477</v>
      </c>
      <c r="DA141" s="175"/>
    </row>
    <row r="142" spans="1:105" ht="11.45" customHeight="1" x14ac:dyDescent="0.25">
      <c r="A142" s="128" t="str">
        <f>$A$20</f>
        <v>Heavy goods vehicles</v>
      </c>
      <c r="B142" s="140">
        <f t="shared" si="167"/>
        <v>0.71857299348585568</v>
      </c>
      <c r="C142" s="140">
        <f t="shared" ref="C142:W142" si="171">IF(C50=0,0,C50/C$47)</f>
        <v>0.74710657625786758</v>
      </c>
      <c r="D142" s="140">
        <f t="shared" si="171"/>
        <v>0.76590649940856514</v>
      </c>
      <c r="E142" s="140">
        <f t="shared" si="171"/>
        <v>0.78293275648815563</v>
      </c>
      <c r="F142" s="140">
        <f t="shared" si="171"/>
        <v>0.77860440786340268</v>
      </c>
      <c r="G142" s="140">
        <f t="shared" si="171"/>
        <v>0.7854572029891449</v>
      </c>
      <c r="H142" s="140">
        <f t="shared" si="171"/>
        <v>0.76967988822064659</v>
      </c>
      <c r="I142" s="140">
        <f t="shared" si="171"/>
        <v>0.76866229903703032</v>
      </c>
      <c r="J142" s="140">
        <f t="shared" si="171"/>
        <v>0.76680464780392565</v>
      </c>
      <c r="K142" s="140">
        <f t="shared" si="171"/>
        <v>0.76386700526669016</v>
      </c>
      <c r="L142" s="140">
        <f t="shared" si="171"/>
        <v>0.77660629545637305</v>
      </c>
      <c r="M142" s="140">
        <f t="shared" si="171"/>
        <v>0.75732593206941767</v>
      </c>
      <c r="N142" s="140">
        <f t="shared" si="171"/>
        <v>0.76456219538892989</v>
      </c>
      <c r="O142" s="140">
        <f t="shared" si="171"/>
        <v>0.78821901876431477</v>
      </c>
      <c r="P142" s="140">
        <f t="shared" si="171"/>
        <v>0.77464818756619269</v>
      </c>
      <c r="Q142" s="140">
        <f t="shared" si="171"/>
        <v>0.77687798143751718</v>
      </c>
      <c r="R142" s="140">
        <f t="shared" si="171"/>
        <v>0.77800831935435721</v>
      </c>
      <c r="S142" s="140">
        <f t="shared" si="171"/>
        <v>0.78063963410019432</v>
      </c>
      <c r="T142" s="140">
        <f t="shared" si="171"/>
        <v>0.78723120625407828</v>
      </c>
      <c r="U142" s="140">
        <f t="shared" si="171"/>
        <v>0.78950036525813605</v>
      </c>
      <c r="V142" s="140">
        <f t="shared" si="171"/>
        <v>0.77004320187181952</v>
      </c>
      <c r="W142" s="140">
        <f t="shared" si="171"/>
        <v>0.76861761585638966</v>
      </c>
      <c r="DA142" s="175"/>
    </row>
    <row r="143" spans="1:105" ht="11.45" customHeight="1" x14ac:dyDescent="0.25">
      <c r="A143" s="109" t="str">
        <f>$A$21</f>
        <v>Rail transport</v>
      </c>
      <c r="B143" s="124">
        <f t="shared" si="167"/>
        <v>4.4797957119550459E-2</v>
      </c>
      <c r="C143" s="124">
        <f t="shared" ref="C143:W143" si="172">IF(C51=0,0,C51/C$47)</f>
        <v>3.8644366555612202E-2</v>
      </c>
      <c r="D143" s="124">
        <f t="shared" si="172"/>
        <v>3.3458330144418923E-2</v>
      </c>
      <c r="E143" s="124">
        <f t="shared" si="172"/>
        <v>3.0605904648216616E-2</v>
      </c>
      <c r="F143" s="124">
        <f t="shared" si="172"/>
        <v>3.3445219558024618E-2</v>
      </c>
      <c r="G143" s="124">
        <f t="shared" si="172"/>
        <v>3.1478500728873184E-2</v>
      </c>
      <c r="H143" s="124">
        <f t="shared" si="172"/>
        <v>3.5022088203756255E-2</v>
      </c>
      <c r="I143" s="124">
        <f t="shared" si="172"/>
        <v>3.3237477173505565E-2</v>
      </c>
      <c r="J143" s="124">
        <f t="shared" si="172"/>
        <v>3.3992753690442766E-2</v>
      </c>
      <c r="K143" s="124">
        <f t="shared" si="172"/>
        <v>2.973826684226178E-2</v>
      </c>
      <c r="L143" s="124">
        <f t="shared" si="172"/>
        <v>2.919016609069083E-2</v>
      </c>
      <c r="M143" s="124">
        <f t="shared" si="172"/>
        <v>3.1570536831481165E-2</v>
      </c>
      <c r="N143" s="124">
        <f t="shared" si="172"/>
        <v>2.8543526360374029E-2</v>
      </c>
      <c r="O143" s="124">
        <f t="shared" si="172"/>
        <v>2.4694800941829343E-2</v>
      </c>
      <c r="P143" s="124">
        <f t="shared" si="172"/>
        <v>2.4223476865368396E-2</v>
      </c>
      <c r="Q143" s="124">
        <f t="shared" si="172"/>
        <v>2.2927928573509202E-2</v>
      </c>
      <c r="R143" s="124">
        <f t="shared" si="172"/>
        <v>2.1987817370624115E-2</v>
      </c>
      <c r="S143" s="124">
        <f t="shared" si="172"/>
        <v>2.189908411969569E-2</v>
      </c>
      <c r="T143" s="124">
        <f t="shared" si="172"/>
        <v>2.1065031408885944E-2</v>
      </c>
      <c r="U143" s="124">
        <f t="shared" si="172"/>
        <v>2.0514975904699303E-2</v>
      </c>
      <c r="V143" s="124">
        <f t="shared" si="172"/>
        <v>2.6785219332657269E-2</v>
      </c>
      <c r="W143" s="124">
        <f t="shared" si="172"/>
        <v>2.4082772360757437E-2</v>
      </c>
      <c r="DA143" s="176"/>
    </row>
    <row r="144" spans="1:105" ht="11.45" customHeight="1" x14ac:dyDescent="0.25">
      <c r="A144" s="109" t="str">
        <f>$A$22</f>
        <v>Aviation</v>
      </c>
      <c r="B144" s="124">
        <f t="shared" si="167"/>
        <v>3.8860513522514222E-3</v>
      </c>
      <c r="C144" s="124">
        <f t="shared" ref="C144:W144" si="173">IF(C52=0,0,C52/C$47)</f>
        <v>3.070173822940538E-3</v>
      </c>
      <c r="D144" s="124">
        <f t="shared" si="173"/>
        <v>3.2710313141612549E-3</v>
      </c>
      <c r="E144" s="124">
        <f t="shared" si="173"/>
        <v>2.982868880881472E-3</v>
      </c>
      <c r="F144" s="124">
        <f t="shared" si="173"/>
        <v>4.5181203862511296E-3</v>
      </c>
      <c r="G144" s="124">
        <f t="shared" si="173"/>
        <v>5.3634415086927381E-3</v>
      </c>
      <c r="H144" s="124">
        <f t="shared" si="173"/>
        <v>6.1795431670136312E-3</v>
      </c>
      <c r="I144" s="124">
        <f t="shared" si="173"/>
        <v>5.6619688130615164E-3</v>
      </c>
      <c r="J144" s="124">
        <f t="shared" si="173"/>
        <v>5.295103857531582E-3</v>
      </c>
      <c r="K144" s="124">
        <f t="shared" si="173"/>
        <v>4.6043716911620377E-3</v>
      </c>
      <c r="L144" s="124">
        <f t="shared" si="173"/>
        <v>4.8298771073805929E-3</v>
      </c>
      <c r="M144" s="124">
        <f t="shared" si="173"/>
        <v>6.2933593811992424E-3</v>
      </c>
      <c r="N144" s="124">
        <f t="shared" si="173"/>
        <v>6.2694249518944426E-3</v>
      </c>
      <c r="O144" s="124">
        <f t="shared" si="173"/>
        <v>6.0392509308531666E-3</v>
      </c>
      <c r="P144" s="124">
        <f t="shared" si="173"/>
        <v>6.7458794443482819E-3</v>
      </c>
      <c r="Q144" s="124">
        <f t="shared" si="173"/>
        <v>7.7196007551016601E-3</v>
      </c>
      <c r="R144" s="124">
        <f t="shared" si="173"/>
        <v>7.9375270823520451E-3</v>
      </c>
      <c r="S144" s="124">
        <f t="shared" si="173"/>
        <v>8.7204584746215438E-3</v>
      </c>
      <c r="T144" s="124">
        <f t="shared" si="173"/>
        <v>9.9104777992758859E-3</v>
      </c>
      <c r="U144" s="124">
        <f t="shared" si="173"/>
        <v>1.025284881699645E-2</v>
      </c>
      <c r="V144" s="124">
        <f t="shared" si="173"/>
        <v>9.0347650465955644E-3</v>
      </c>
      <c r="W144" s="124">
        <f t="shared" si="173"/>
        <v>9.8823546824024656E-3</v>
      </c>
      <c r="DA144" s="176"/>
    </row>
    <row r="145" spans="1:105" ht="11.45" customHeight="1" x14ac:dyDescent="0.25">
      <c r="A145" s="128" t="s">
        <v>27</v>
      </c>
      <c r="B145" s="140">
        <f t="shared" si="167"/>
        <v>9.7046834515596199E-5</v>
      </c>
      <c r="C145" s="140">
        <f t="shared" ref="C145:W145" si="174">IF(C53=0,0,C53/C$47)</f>
        <v>5.6091601176061402E-5</v>
      </c>
      <c r="D145" s="140">
        <f t="shared" si="174"/>
        <v>4.8842460034271328E-5</v>
      </c>
      <c r="E145" s="140">
        <f t="shared" si="174"/>
        <v>4.6317891796362089E-5</v>
      </c>
      <c r="F145" s="140">
        <f t="shared" si="174"/>
        <v>6.4276379842754248E-5</v>
      </c>
      <c r="G145" s="140">
        <f t="shared" si="174"/>
        <v>6.381796347383186E-5</v>
      </c>
      <c r="H145" s="140">
        <f t="shared" si="174"/>
        <v>6.9802676130191799E-5</v>
      </c>
      <c r="I145" s="140">
        <f t="shared" si="174"/>
        <v>6.1681906432181857E-5</v>
      </c>
      <c r="J145" s="140">
        <f t="shared" si="174"/>
        <v>6.3340186309857732E-5</v>
      </c>
      <c r="K145" s="140">
        <f t="shared" si="174"/>
        <v>6.2433853197644266E-5</v>
      </c>
      <c r="L145" s="140">
        <f t="shared" si="174"/>
        <v>4.6920104212666042E-5</v>
      </c>
      <c r="M145" s="140">
        <f t="shared" si="174"/>
        <v>4.6248952535636306E-5</v>
      </c>
      <c r="N145" s="140">
        <f t="shared" si="174"/>
        <v>3.1199507639663423E-5</v>
      </c>
      <c r="O145" s="140">
        <f t="shared" si="174"/>
        <v>2.1446951114511061E-5</v>
      </c>
      <c r="P145" s="140">
        <f t="shared" si="174"/>
        <v>1.4778500771252436E-5</v>
      </c>
      <c r="Q145" s="140">
        <f t="shared" si="174"/>
        <v>1.5149431705288615E-5</v>
      </c>
      <c r="R145" s="140">
        <f t="shared" si="174"/>
        <v>9.0287700081854353E-6</v>
      </c>
      <c r="S145" s="140">
        <f t="shared" si="174"/>
        <v>6.7683892017905379E-6</v>
      </c>
      <c r="T145" s="140">
        <f t="shared" si="174"/>
        <v>6.821443016939732E-6</v>
      </c>
      <c r="U145" s="140">
        <f t="shared" si="174"/>
        <v>1.4764458682759222E-6</v>
      </c>
      <c r="V145" s="140">
        <f t="shared" si="174"/>
        <v>1.6049346169881798E-6</v>
      </c>
      <c r="W145" s="140">
        <f t="shared" si="174"/>
        <v>1.9325763077217217E-6</v>
      </c>
      <c r="DA145" s="175"/>
    </row>
    <row r="146" spans="1:105" ht="11.45" customHeight="1" x14ac:dyDescent="0.25">
      <c r="A146" s="128" t="str">
        <f>$A$24</f>
        <v>International - Intra-EEAwUK</v>
      </c>
      <c r="B146" s="140">
        <f t="shared" si="167"/>
        <v>2.194637768661157E-3</v>
      </c>
      <c r="C146" s="140">
        <f t="shared" ref="C146:W146" si="175">IF(C54=0,0,C54/C$47)</f>
        <v>1.8123202983705415E-3</v>
      </c>
      <c r="D146" s="140">
        <f t="shared" si="175"/>
        <v>2.0539827077120645E-3</v>
      </c>
      <c r="E146" s="140">
        <f t="shared" si="175"/>
        <v>1.8689855440030682E-3</v>
      </c>
      <c r="F146" s="140">
        <f t="shared" si="175"/>
        <v>3.1808151207674239E-3</v>
      </c>
      <c r="G146" s="140">
        <f t="shared" si="175"/>
        <v>3.4996134102073706E-3</v>
      </c>
      <c r="H146" s="140">
        <f t="shared" si="175"/>
        <v>4.144521979023966E-3</v>
      </c>
      <c r="I146" s="140">
        <f t="shared" si="175"/>
        <v>3.6988283926675533E-3</v>
      </c>
      <c r="J146" s="140">
        <f t="shared" si="175"/>
        <v>3.4971785726949415E-3</v>
      </c>
      <c r="K146" s="140">
        <f t="shared" si="175"/>
        <v>3.2167885455636194E-3</v>
      </c>
      <c r="L146" s="140">
        <f t="shared" si="175"/>
        <v>3.4243005546887415E-3</v>
      </c>
      <c r="M146" s="140">
        <f t="shared" si="175"/>
        <v>3.9444611137024613E-3</v>
      </c>
      <c r="N146" s="140">
        <f t="shared" si="175"/>
        <v>3.4308379321539486E-3</v>
      </c>
      <c r="O146" s="140">
        <f t="shared" si="175"/>
        <v>3.2951528071854452E-3</v>
      </c>
      <c r="P146" s="140">
        <f t="shared" si="175"/>
        <v>3.6894270712758566E-3</v>
      </c>
      <c r="Q146" s="140">
        <f t="shared" si="175"/>
        <v>3.3928383576582949E-3</v>
      </c>
      <c r="R146" s="140">
        <f t="shared" si="175"/>
        <v>2.9651027669387268E-3</v>
      </c>
      <c r="S146" s="140">
        <f t="shared" si="175"/>
        <v>3.3886003001312062E-3</v>
      </c>
      <c r="T146" s="140">
        <f t="shared" si="175"/>
        <v>3.3109495557698018E-3</v>
      </c>
      <c r="U146" s="140">
        <f t="shared" si="175"/>
        <v>3.3001166737757315E-3</v>
      </c>
      <c r="V146" s="140">
        <f t="shared" si="175"/>
        <v>2.8450149404477681E-3</v>
      </c>
      <c r="W146" s="140">
        <f t="shared" si="175"/>
        <v>3.9502445482219517E-3</v>
      </c>
      <c r="DA146" s="175"/>
    </row>
    <row r="147" spans="1:105" ht="11.45" customHeight="1" x14ac:dyDescent="0.25">
      <c r="A147" s="128" t="str">
        <f>$A$25</f>
        <v>International - Extra-EEAwUK</v>
      </c>
      <c r="B147" s="140">
        <f t="shared" si="167"/>
        <v>1.5943667490746693E-3</v>
      </c>
      <c r="C147" s="140">
        <f t="shared" ref="C147:W147" si="176">IF(C55=0,0,C55/C$47)</f>
        <v>1.2017619233939351E-3</v>
      </c>
      <c r="D147" s="140">
        <f t="shared" si="176"/>
        <v>1.168206146414919E-3</v>
      </c>
      <c r="E147" s="140">
        <f t="shared" si="176"/>
        <v>1.0675654450820419E-3</v>
      </c>
      <c r="F147" s="140">
        <f t="shared" si="176"/>
        <v>1.2730288856409519E-3</v>
      </c>
      <c r="G147" s="140">
        <f t="shared" si="176"/>
        <v>1.8000101350115366E-3</v>
      </c>
      <c r="H147" s="140">
        <f t="shared" si="176"/>
        <v>1.965218511859474E-3</v>
      </c>
      <c r="I147" s="140">
        <f t="shared" si="176"/>
        <v>1.9014585139617804E-3</v>
      </c>
      <c r="J147" s="140">
        <f t="shared" si="176"/>
        <v>1.7345850985267829E-3</v>
      </c>
      <c r="K147" s="140">
        <f t="shared" si="176"/>
        <v>1.3251492924007742E-3</v>
      </c>
      <c r="L147" s="140">
        <f t="shared" si="176"/>
        <v>1.3586564484791852E-3</v>
      </c>
      <c r="M147" s="140">
        <f t="shared" si="176"/>
        <v>2.3026493149611452E-3</v>
      </c>
      <c r="N147" s="140">
        <f t="shared" si="176"/>
        <v>2.8073875121008307E-3</v>
      </c>
      <c r="O147" s="140">
        <f t="shared" si="176"/>
        <v>2.7226511725532108E-3</v>
      </c>
      <c r="P147" s="140">
        <f t="shared" si="176"/>
        <v>3.0416738723011726E-3</v>
      </c>
      <c r="Q147" s="140">
        <f t="shared" si="176"/>
        <v>4.3116129657380766E-3</v>
      </c>
      <c r="R147" s="140">
        <f t="shared" si="176"/>
        <v>4.9633955454051323E-3</v>
      </c>
      <c r="S147" s="140">
        <f t="shared" si="176"/>
        <v>5.3250897852885476E-3</v>
      </c>
      <c r="T147" s="140">
        <f t="shared" si="176"/>
        <v>6.5927068004891457E-3</v>
      </c>
      <c r="U147" s="140">
        <f t="shared" si="176"/>
        <v>6.9512556973524422E-3</v>
      </c>
      <c r="V147" s="140">
        <f t="shared" si="176"/>
        <v>6.1881451715308077E-3</v>
      </c>
      <c r="W147" s="140">
        <f t="shared" si="176"/>
        <v>5.9301775578727923E-3</v>
      </c>
      <c r="DA147" s="175"/>
    </row>
    <row r="148" spans="1:105" ht="11.45" customHeight="1" x14ac:dyDescent="0.25">
      <c r="A148" s="109" t="s">
        <v>142</v>
      </c>
      <c r="B148" s="124">
        <f t="shared" si="167"/>
        <v>1.7360935290732286E-2</v>
      </c>
      <c r="C148" s="124">
        <f t="shared" ref="C148:W148" si="177">IF(C56=0,0,C56/C$47)</f>
        <v>1.6296636598776927E-2</v>
      </c>
      <c r="D148" s="124">
        <f t="shared" si="177"/>
        <v>1.5608329992538111E-2</v>
      </c>
      <c r="E148" s="124">
        <f t="shared" si="177"/>
        <v>1.3044815205431244E-2</v>
      </c>
      <c r="F148" s="124">
        <f t="shared" si="177"/>
        <v>1.554752400166594E-2</v>
      </c>
      <c r="G148" s="124">
        <f t="shared" si="177"/>
        <v>1.4694129610281589E-2</v>
      </c>
      <c r="H148" s="124">
        <f t="shared" si="177"/>
        <v>1.4660767586228533E-2</v>
      </c>
      <c r="I148" s="124">
        <f t="shared" si="177"/>
        <v>1.5058576123321973E-2</v>
      </c>
      <c r="J148" s="124">
        <f t="shared" si="177"/>
        <v>1.4631820473544603E-2</v>
      </c>
      <c r="K148" s="124">
        <f t="shared" si="177"/>
        <v>1.4389380197679729E-2</v>
      </c>
      <c r="L148" s="124">
        <f t="shared" si="177"/>
        <v>1.4751929129164818E-2</v>
      </c>
      <c r="M148" s="124">
        <f t="shared" si="177"/>
        <v>1.5233709505683111E-2</v>
      </c>
      <c r="N148" s="124">
        <f t="shared" si="177"/>
        <v>1.4558545935434406E-2</v>
      </c>
      <c r="O148" s="124">
        <f t="shared" si="177"/>
        <v>1.3566790715148358E-2</v>
      </c>
      <c r="P148" s="124">
        <f t="shared" si="177"/>
        <v>1.418505938362258E-2</v>
      </c>
      <c r="Q148" s="124">
        <f t="shared" si="177"/>
        <v>1.2799232027697812E-2</v>
      </c>
      <c r="R148" s="124">
        <f t="shared" si="177"/>
        <v>1.3231309045194373E-2</v>
      </c>
      <c r="S148" s="124">
        <f t="shared" si="177"/>
        <v>1.3443882190377596E-2</v>
      </c>
      <c r="T148" s="124">
        <f t="shared" si="177"/>
        <v>1.1984865260036498E-2</v>
      </c>
      <c r="U148" s="124">
        <f t="shared" si="177"/>
        <v>1.2904474554121144E-2</v>
      </c>
      <c r="V148" s="124">
        <f t="shared" si="177"/>
        <v>7.1461731383487236E-3</v>
      </c>
      <c r="W148" s="124">
        <f t="shared" si="177"/>
        <v>9.9111349210026373E-3</v>
      </c>
      <c r="DA148" s="176"/>
    </row>
    <row r="149" spans="1:105" ht="11.45" customHeight="1" x14ac:dyDescent="0.25">
      <c r="A149" s="128" t="str">
        <f>$A$27</f>
        <v>Domestic coastal shipping</v>
      </c>
      <c r="B149" s="140">
        <f t="shared" si="167"/>
        <v>0</v>
      </c>
      <c r="C149" s="140">
        <f t="shared" ref="C149:W149" si="178">IF(C57=0,0,C57/C$47)</f>
        <v>0</v>
      </c>
      <c r="D149" s="140">
        <f t="shared" si="178"/>
        <v>0</v>
      </c>
      <c r="E149" s="140">
        <f t="shared" si="178"/>
        <v>0</v>
      </c>
      <c r="F149" s="140">
        <f t="shared" si="178"/>
        <v>0</v>
      </c>
      <c r="G149" s="140">
        <f t="shared" si="178"/>
        <v>0</v>
      </c>
      <c r="H149" s="140">
        <f t="shared" si="178"/>
        <v>0</v>
      </c>
      <c r="I149" s="140">
        <f t="shared" si="178"/>
        <v>0</v>
      </c>
      <c r="J149" s="140">
        <f t="shared" si="178"/>
        <v>0</v>
      </c>
      <c r="K149" s="140">
        <f t="shared" si="178"/>
        <v>0</v>
      </c>
      <c r="L149" s="140">
        <f t="shared" si="178"/>
        <v>0</v>
      </c>
      <c r="M149" s="140">
        <f t="shared" si="178"/>
        <v>0</v>
      </c>
      <c r="N149" s="140">
        <f t="shared" si="178"/>
        <v>0</v>
      </c>
      <c r="O149" s="140">
        <f t="shared" si="178"/>
        <v>0</v>
      </c>
      <c r="P149" s="140">
        <f t="shared" si="178"/>
        <v>0</v>
      </c>
      <c r="Q149" s="140">
        <f t="shared" si="178"/>
        <v>0</v>
      </c>
      <c r="R149" s="140">
        <f t="shared" si="178"/>
        <v>0</v>
      </c>
      <c r="S149" s="140">
        <f t="shared" si="178"/>
        <v>0</v>
      </c>
      <c r="T149" s="140">
        <f t="shared" si="178"/>
        <v>0</v>
      </c>
      <c r="U149" s="140">
        <f t="shared" si="178"/>
        <v>0</v>
      </c>
      <c r="V149" s="140">
        <f t="shared" si="178"/>
        <v>0</v>
      </c>
      <c r="W149" s="140">
        <f t="shared" si="178"/>
        <v>0</v>
      </c>
      <c r="DA149" s="175"/>
    </row>
    <row r="150" spans="1:105" ht="11.45" customHeight="1" x14ac:dyDescent="0.25">
      <c r="A150" s="138" t="str">
        <f>$A$28</f>
        <v>Inland waterways</v>
      </c>
      <c r="B150" s="127">
        <f t="shared" si="167"/>
        <v>1.7360935290732286E-2</v>
      </c>
      <c r="C150" s="127">
        <f t="shared" ref="C150:W150" si="179">IF(C58=0,0,C58/C$47)</f>
        <v>1.6296636598776927E-2</v>
      </c>
      <c r="D150" s="127">
        <f t="shared" si="179"/>
        <v>1.5608329992538111E-2</v>
      </c>
      <c r="E150" s="127">
        <f t="shared" si="179"/>
        <v>1.3044815205431244E-2</v>
      </c>
      <c r="F150" s="127">
        <f t="shared" si="179"/>
        <v>1.554752400166594E-2</v>
      </c>
      <c r="G150" s="127">
        <f t="shared" si="179"/>
        <v>1.4694129610281589E-2</v>
      </c>
      <c r="H150" s="127">
        <f t="shared" si="179"/>
        <v>1.4660767586228533E-2</v>
      </c>
      <c r="I150" s="127">
        <f t="shared" si="179"/>
        <v>1.5058576123321973E-2</v>
      </c>
      <c r="J150" s="127">
        <f t="shared" si="179"/>
        <v>1.4631820473544603E-2</v>
      </c>
      <c r="K150" s="127">
        <f t="shared" si="179"/>
        <v>1.4389380197679729E-2</v>
      </c>
      <c r="L150" s="127">
        <f t="shared" si="179"/>
        <v>1.4751929129164818E-2</v>
      </c>
      <c r="M150" s="127">
        <f t="shared" si="179"/>
        <v>1.5233709505683111E-2</v>
      </c>
      <c r="N150" s="127">
        <f t="shared" si="179"/>
        <v>1.4558545935434406E-2</v>
      </c>
      <c r="O150" s="127">
        <f t="shared" si="179"/>
        <v>1.3566790715148358E-2</v>
      </c>
      <c r="P150" s="127">
        <f t="shared" si="179"/>
        <v>1.418505938362258E-2</v>
      </c>
      <c r="Q150" s="127">
        <f t="shared" si="179"/>
        <v>1.2799232027697812E-2</v>
      </c>
      <c r="R150" s="127">
        <f t="shared" si="179"/>
        <v>1.3231309045194373E-2</v>
      </c>
      <c r="S150" s="127">
        <f t="shared" si="179"/>
        <v>1.3443882190377596E-2</v>
      </c>
      <c r="T150" s="127">
        <f t="shared" si="179"/>
        <v>1.1984865260036498E-2</v>
      </c>
      <c r="U150" s="127">
        <f t="shared" si="179"/>
        <v>1.2904474554121144E-2</v>
      </c>
      <c r="V150" s="127">
        <f t="shared" si="179"/>
        <v>7.1461731383487236E-3</v>
      </c>
      <c r="W150" s="127">
        <f t="shared" si="179"/>
        <v>9.9111349210026373E-3</v>
      </c>
      <c r="DA150" s="178"/>
    </row>
    <row r="151" spans="1:105" ht="11.45" customHeight="1" x14ac:dyDescent="0.25">
      <c r="A151" s="27" t="s">
        <v>176</v>
      </c>
      <c r="B151" s="31">
        <f>IF(B59=0,0,B59/B$59)</f>
        <v>0</v>
      </c>
      <c r="C151" s="31">
        <f t="shared" ref="C151:W151" si="180">IF(C59=0,0,C59/C$59)</f>
        <v>0</v>
      </c>
      <c r="D151" s="31">
        <f t="shared" si="180"/>
        <v>0</v>
      </c>
      <c r="E151" s="31">
        <f t="shared" si="180"/>
        <v>0</v>
      </c>
      <c r="F151" s="31">
        <f t="shared" si="180"/>
        <v>0</v>
      </c>
      <c r="G151" s="31">
        <f t="shared" si="180"/>
        <v>0</v>
      </c>
      <c r="H151" s="31">
        <f t="shared" si="180"/>
        <v>0</v>
      </c>
      <c r="I151" s="31">
        <f t="shared" si="180"/>
        <v>0</v>
      </c>
      <c r="J151" s="31">
        <f t="shared" si="180"/>
        <v>0</v>
      </c>
      <c r="K151" s="31">
        <f t="shared" si="180"/>
        <v>0</v>
      </c>
      <c r="L151" s="31">
        <f t="shared" si="180"/>
        <v>0</v>
      </c>
      <c r="M151" s="31">
        <f t="shared" si="180"/>
        <v>0</v>
      </c>
      <c r="N151" s="31">
        <f t="shared" si="180"/>
        <v>0</v>
      </c>
      <c r="O151" s="31">
        <f t="shared" si="180"/>
        <v>0</v>
      </c>
      <c r="P151" s="31">
        <f t="shared" si="180"/>
        <v>0</v>
      </c>
      <c r="Q151" s="31">
        <f t="shared" si="180"/>
        <v>0</v>
      </c>
      <c r="R151" s="31">
        <f t="shared" si="180"/>
        <v>0</v>
      </c>
      <c r="S151" s="31">
        <f t="shared" si="180"/>
        <v>0</v>
      </c>
      <c r="T151" s="31">
        <f t="shared" si="180"/>
        <v>0</v>
      </c>
      <c r="U151" s="31">
        <f t="shared" si="180"/>
        <v>0</v>
      </c>
      <c r="V151" s="31">
        <f t="shared" si="180"/>
        <v>0</v>
      </c>
      <c r="W151" s="31">
        <f t="shared" si="180"/>
        <v>0</v>
      </c>
      <c r="DA151" s="173"/>
    </row>
    <row r="152" spans="1:105" ht="11.45" customHeight="1" x14ac:dyDescent="0.25">
      <c r="A152" s="128" t="str">
        <f>$A$30</f>
        <v>Intra-EEA</v>
      </c>
      <c r="B152" s="140">
        <f>IF(B60=0,0,B60/B$59)</f>
        <v>0</v>
      </c>
      <c r="C152" s="140">
        <f t="shared" ref="C152:W152" si="181">IF(C60=0,0,C60/C$59)</f>
        <v>0</v>
      </c>
      <c r="D152" s="140">
        <f t="shared" si="181"/>
        <v>0</v>
      </c>
      <c r="E152" s="140">
        <f t="shared" si="181"/>
        <v>0</v>
      </c>
      <c r="F152" s="140">
        <f t="shared" si="181"/>
        <v>0</v>
      </c>
      <c r="G152" s="140">
        <f t="shared" si="181"/>
        <v>0</v>
      </c>
      <c r="H152" s="140">
        <f t="shared" si="181"/>
        <v>0</v>
      </c>
      <c r="I152" s="140">
        <f t="shared" si="181"/>
        <v>0</v>
      </c>
      <c r="J152" s="140">
        <f t="shared" si="181"/>
        <v>0</v>
      </c>
      <c r="K152" s="140">
        <f t="shared" si="181"/>
        <v>0</v>
      </c>
      <c r="L152" s="140">
        <f t="shared" si="181"/>
        <v>0</v>
      </c>
      <c r="M152" s="140">
        <f t="shared" si="181"/>
        <v>0</v>
      </c>
      <c r="N152" s="140">
        <f t="shared" si="181"/>
        <v>0</v>
      </c>
      <c r="O152" s="140">
        <f t="shared" si="181"/>
        <v>0</v>
      </c>
      <c r="P152" s="140">
        <f t="shared" si="181"/>
        <v>0</v>
      </c>
      <c r="Q152" s="140">
        <f t="shared" si="181"/>
        <v>0</v>
      </c>
      <c r="R152" s="140">
        <f t="shared" si="181"/>
        <v>0</v>
      </c>
      <c r="S152" s="140">
        <f t="shared" si="181"/>
        <v>0</v>
      </c>
      <c r="T152" s="140">
        <f t="shared" si="181"/>
        <v>0</v>
      </c>
      <c r="U152" s="140">
        <f t="shared" si="181"/>
        <v>0</v>
      </c>
      <c r="V152" s="140">
        <f t="shared" si="181"/>
        <v>0</v>
      </c>
      <c r="W152" s="140">
        <f t="shared" si="181"/>
        <v>0</v>
      </c>
      <c r="DA152" s="175"/>
    </row>
    <row r="153" spans="1:105" ht="11.45" customHeight="1" x14ac:dyDescent="0.25">
      <c r="A153" s="138" t="str">
        <f>$A$31</f>
        <v>Extra-EEA</v>
      </c>
      <c r="B153" s="127">
        <f>IF(B61=0,0,B61/B$59)</f>
        <v>0</v>
      </c>
      <c r="C153" s="127">
        <f t="shared" ref="C153:W153" si="182">IF(C61=0,0,C61/C$59)</f>
        <v>0</v>
      </c>
      <c r="D153" s="127">
        <f t="shared" si="182"/>
        <v>0</v>
      </c>
      <c r="E153" s="127">
        <f t="shared" si="182"/>
        <v>0</v>
      </c>
      <c r="F153" s="127">
        <f t="shared" si="182"/>
        <v>0</v>
      </c>
      <c r="G153" s="127">
        <f t="shared" si="182"/>
        <v>0</v>
      </c>
      <c r="H153" s="127">
        <f t="shared" si="182"/>
        <v>0</v>
      </c>
      <c r="I153" s="127">
        <f t="shared" si="182"/>
        <v>0</v>
      </c>
      <c r="J153" s="127">
        <f t="shared" si="182"/>
        <v>0</v>
      </c>
      <c r="K153" s="127">
        <f t="shared" si="182"/>
        <v>0</v>
      </c>
      <c r="L153" s="127">
        <f t="shared" si="182"/>
        <v>0</v>
      </c>
      <c r="M153" s="127">
        <f t="shared" si="182"/>
        <v>0</v>
      </c>
      <c r="N153" s="127">
        <f t="shared" si="182"/>
        <v>0</v>
      </c>
      <c r="O153" s="127">
        <f t="shared" si="182"/>
        <v>0</v>
      </c>
      <c r="P153" s="127">
        <f t="shared" si="182"/>
        <v>0</v>
      </c>
      <c r="Q153" s="127">
        <f t="shared" si="182"/>
        <v>0</v>
      </c>
      <c r="R153" s="127">
        <f t="shared" si="182"/>
        <v>0</v>
      </c>
      <c r="S153" s="127">
        <f t="shared" si="182"/>
        <v>0</v>
      </c>
      <c r="T153" s="127">
        <f t="shared" si="182"/>
        <v>0</v>
      </c>
      <c r="U153" s="127">
        <f t="shared" si="182"/>
        <v>0</v>
      </c>
      <c r="V153" s="127">
        <f t="shared" si="182"/>
        <v>0</v>
      </c>
      <c r="W153" s="127">
        <f t="shared" si="182"/>
        <v>0</v>
      </c>
      <c r="DA153" s="178"/>
    </row>
    <row r="154" spans="1:105" x14ac:dyDescent="0.25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DA154" s="171"/>
    </row>
    <row r="155" spans="1:105" ht="11.45" customHeight="1" x14ac:dyDescent="0.25">
      <c r="A155" s="53" t="s">
        <v>41</v>
      </c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DA155" s="172"/>
    </row>
    <row r="156" spans="1:105" ht="11.45" customHeight="1" x14ac:dyDescent="0.25">
      <c r="A156" s="27" t="s">
        <v>33</v>
      </c>
      <c r="B156" s="31">
        <f t="shared" ref="B156:B168" si="183">IF(B64=0,0,B64/B$64)</f>
        <v>1</v>
      </c>
      <c r="C156" s="31">
        <f t="shared" ref="C156:W156" si="184">IF(C64=0,0,C64/C$64)</f>
        <v>1</v>
      </c>
      <c r="D156" s="31">
        <f t="shared" si="184"/>
        <v>1</v>
      </c>
      <c r="E156" s="31">
        <f t="shared" si="184"/>
        <v>1</v>
      </c>
      <c r="F156" s="31">
        <f t="shared" si="184"/>
        <v>1</v>
      </c>
      <c r="G156" s="31">
        <f t="shared" si="184"/>
        <v>1</v>
      </c>
      <c r="H156" s="31">
        <f t="shared" si="184"/>
        <v>1</v>
      </c>
      <c r="I156" s="31">
        <f t="shared" si="184"/>
        <v>1</v>
      </c>
      <c r="J156" s="31">
        <f t="shared" si="184"/>
        <v>1</v>
      </c>
      <c r="K156" s="31">
        <f t="shared" si="184"/>
        <v>1</v>
      </c>
      <c r="L156" s="31">
        <f t="shared" si="184"/>
        <v>1</v>
      </c>
      <c r="M156" s="31">
        <f t="shared" si="184"/>
        <v>1</v>
      </c>
      <c r="N156" s="31">
        <f t="shared" si="184"/>
        <v>1</v>
      </c>
      <c r="O156" s="31">
        <f t="shared" si="184"/>
        <v>1</v>
      </c>
      <c r="P156" s="31">
        <f t="shared" si="184"/>
        <v>1</v>
      </c>
      <c r="Q156" s="31">
        <f t="shared" si="184"/>
        <v>1</v>
      </c>
      <c r="R156" s="31">
        <f t="shared" si="184"/>
        <v>1</v>
      </c>
      <c r="S156" s="31">
        <f t="shared" si="184"/>
        <v>1</v>
      </c>
      <c r="T156" s="31">
        <f t="shared" si="184"/>
        <v>1</v>
      </c>
      <c r="U156" s="31">
        <f t="shared" si="184"/>
        <v>1</v>
      </c>
      <c r="V156" s="31">
        <f t="shared" si="184"/>
        <v>1</v>
      </c>
      <c r="W156" s="31">
        <f t="shared" si="184"/>
        <v>1</v>
      </c>
      <c r="DA156" s="173"/>
    </row>
    <row r="157" spans="1:105" ht="11.45" customHeight="1" x14ac:dyDescent="0.25">
      <c r="A157" s="136" t="str">
        <f>$A$5</f>
        <v>Road transport</v>
      </c>
      <c r="B157" s="139">
        <f t="shared" si="183"/>
        <v>0.8666495003641409</v>
      </c>
      <c r="C157" s="139">
        <f t="shared" ref="C157:W157" si="185">IF(C65=0,0,C65/C$64)</f>
        <v>0.87451336035552862</v>
      </c>
      <c r="D157" s="139">
        <f t="shared" si="185"/>
        <v>0.89141085894526728</v>
      </c>
      <c r="E157" s="139">
        <f t="shared" si="185"/>
        <v>0.90178652054803465</v>
      </c>
      <c r="F157" s="139">
        <f t="shared" si="185"/>
        <v>0.88959515254666022</v>
      </c>
      <c r="G157" s="139">
        <f t="shared" si="185"/>
        <v>0.88025473988674319</v>
      </c>
      <c r="H157" s="139">
        <f t="shared" si="185"/>
        <v>0.87274603471441825</v>
      </c>
      <c r="I157" s="139">
        <f t="shared" si="185"/>
        <v>0.86771138529222525</v>
      </c>
      <c r="J157" s="139">
        <f t="shared" si="185"/>
        <v>0.86042984135726985</v>
      </c>
      <c r="K157" s="139">
        <f t="shared" si="185"/>
        <v>0.87118822719336297</v>
      </c>
      <c r="L157" s="139">
        <f t="shared" si="185"/>
        <v>0.86643283780185909</v>
      </c>
      <c r="M157" s="139">
        <f t="shared" si="185"/>
        <v>0.85896041382414512</v>
      </c>
      <c r="N157" s="139">
        <f t="shared" si="185"/>
        <v>0.86087319890752689</v>
      </c>
      <c r="O157" s="139">
        <f t="shared" si="185"/>
        <v>0.86980107943106211</v>
      </c>
      <c r="P157" s="139">
        <f t="shared" si="185"/>
        <v>0.86963210535104041</v>
      </c>
      <c r="Q157" s="139">
        <f t="shared" si="185"/>
        <v>0.86566254088732142</v>
      </c>
      <c r="R157" s="139">
        <f t="shared" si="185"/>
        <v>0.85936834030555731</v>
      </c>
      <c r="S157" s="139">
        <f t="shared" si="185"/>
        <v>0.86501868122510595</v>
      </c>
      <c r="T157" s="139">
        <f t="shared" si="185"/>
        <v>0.85119098507684587</v>
      </c>
      <c r="U157" s="139">
        <f t="shared" si="185"/>
        <v>0.83046468455518951</v>
      </c>
      <c r="V157" s="139">
        <f t="shared" si="185"/>
        <v>0.92571015176911431</v>
      </c>
      <c r="W157" s="139">
        <f t="shared" si="185"/>
        <v>0.91146219132945139</v>
      </c>
      <c r="DA157" s="174"/>
    </row>
    <row r="158" spans="1:105" ht="11.45" customHeight="1" x14ac:dyDescent="0.25">
      <c r="A158" s="128" t="str">
        <f>$A$6</f>
        <v>Powered two-wheelers</v>
      </c>
      <c r="B158" s="140">
        <f t="shared" si="183"/>
        <v>6.894563400244442E-3</v>
      </c>
      <c r="C158" s="140">
        <f t="shared" ref="C158:W158" si="186">IF(C66=0,0,C66/C$64)</f>
        <v>6.8248563995157944E-3</v>
      </c>
      <c r="D158" s="140">
        <f t="shared" si="186"/>
        <v>6.4614161011806127E-3</v>
      </c>
      <c r="E158" s="140">
        <f t="shared" si="186"/>
        <v>6.3074634546737736E-3</v>
      </c>
      <c r="F158" s="140">
        <f t="shared" si="186"/>
        <v>6.3906198111525593E-3</v>
      </c>
      <c r="G158" s="140">
        <f t="shared" si="186"/>
        <v>6.3266362838115498E-3</v>
      </c>
      <c r="H158" s="140">
        <f t="shared" si="186"/>
        <v>6.6512637976825564E-3</v>
      </c>
      <c r="I158" s="140">
        <f t="shared" si="186"/>
        <v>6.7133653364144716E-3</v>
      </c>
      <c r="J158" s="140">
        <f t="shared" si="186"/>
        <v>7.1341658294861382E-3</v>
      </c>
      <c r="K158" s="140">
        <f t="shared" si="186"/>
        <v>7.6441354263248164E-3</v>
      </c>
      <c r="L158" s="140">
        <f t="shared" si="186"/>
        <v>7.6847559542022317E-3</v>
      </c>
      <c r="M158" s="140">
        <f t="shared" si="186"/>
        <v>8.0934156233012401E-3</v>
      </c>
      <c r="N158" s="140">
        <f t="shared" si="186"/>
        <v>8.5241644023688855E-3</v>
      </c>
      <c r="O158" s="140">
        <f t="shared" si="186"/>
        <v>8.7521006077839626E-3</v>
      </c>
      <c r="P158" s="140">
        <f t="shared" si="186"/>
        <v>9.0822438665421768E-3</v>
      </c>
      <c r="Q158" s="140">
        <f t="shared" si="186"/>
        <v>9.1624024206595506E-3</v>
      </c>
      <c r="R158" s="140">
        <f t="shared" si="186"/>
        <v>9.0160360611150191E-3</v>
      </c>
      <c r="S158" s="140">
        <f t="shared" si="186"/>
        <v>8.8226921878683667E-3</v>
      </c>
      <c r="T158" s="140">
        <f t="shared" si="186"/>
        <v>8.3520884115627827E-3</v>
      </c>
      <c r="U158" s="140">
        <f t="shared" si="186"/>
        <v>8.8681807697607411E-3</v>
      </c>
      <c r="V158" s="140">
        <f t="shared" si="186"/>
        <v>1.0360329394635742E-2</v>
      </c>
      <c r="W158" s="140">
        <f t="shared" si="186"/>
        <v>9.5182164643704825E-3</v>
      </c>
      <c r="DA158" s="175"/>
    </row>
    <row r="159" spans="1:105" ht="11.45" customHeight="1" x14ac:dyDescent="0.25">
      <c r="A159" s="128" t="str">
        <f>$A$7</f>
        <v>Passenger cars</v>
      </c>
      <c r="B159" s="140">
        <f t="shared" si="183"/>
        <v>0.80275939325389845</v>
      </c>
      <c r="C159" s="140">
        <f t="shared" ref="C159:W159" si="187">IF(C67=0,0,C67/C$64)</f>
        <v>0.81249665516727243</v>
      </c>
      <c r="D159" s="140">
        <f t="shared" si="187"/>
        <v>0.83251321056884831</v>
      </c>
      <c r="E159" s="140">
        <f t="shared" si="187"/>
        <v>0.84423487349389714</v>
      </c>
      <c r="F159" s="140">
        <f t="shared" si="187"/>
        <v>0.83410371163559949</v>
      </c>
      <c r="G159" s="140">
        <f t="shared" si="187"/>
        <v>0.82722589641887145</v>
      </c>
      <c r="H159" s="140">
        <f t="shared" si="187"/>
        <v>0.82078333299087214</v>
      </c>
      <c r="I159" s="140">
        <f t="shared" si="187"/>
        <v>0.81444424444432184</v>
      </c>
      <c r="J159" s="140">
        <f t="shared" si="187"/>
        <v>0.80658624307407656</v>
      </c>
      <c r="K159" s="140">
        <f t="shared" si="187"/>
        <v>0.81968027334740334</v>
      </c>
      <c r="L159" s="140">
        <f t="shared" si="187"/>
        <v>0.8120141397540579</v>
      </c>
      <c r="M159" s="140">
        <f t="shared" si="187"/>
        <v>0.80368595586411407</v>
      </c>
      <c r="N159" s="140">
        <f t="shared" si="187"/>
        <v>0.80447019520562379</v>
      </c>
      <c r="O159" s="140">
        <f t="shared" si="187"/>
        <v>0.81374214561768099</v>
      </c>
      <c r="P159" s="140">
        <f t="shared" si="187"/>
        <v>0.81273269396630798</v>
      </c>
      <c r="Q159" s="140">
        <f t="shared" si="187"/>
        <v>0.80914696165002742</v>
      </c>
      <c r="R159" s="140">
        <f t="shared" si="187"/>
        <v>0.80175671742588095</v>
      </c>
      <c r="S159" s="140">
        <f t="shared" si="187"/>
        <v>0.80555519096357897</v>
      </c>
      <c r="T159" s="140">
        <f t="shared" si="187"/>
        <v>0.79449997723692223</v>
      </c>
      <c r="U159" s="140">
        <f t="shared" si="187"/>
        <v>0.77350642889384369</v>
      </c>
      <c r="V159" s="140">
        <f t="shared" si="187"/>
        <v>0.85247852459256201</v>
      </c>
      <c r="W159" s="140">
        <f t="shared" si="187"/>
        <v>0.84146334543739687</v>
      </c>
      <c r="DA159" s="175"/>
    </row>
    <row r="160" spans="1:105" ht="11.45" customHeight="1" x14ac:dyDescent="0.25">
      <c r="A160" s="128" t="str">
        <f>$A$8</f>
        <v>Motor coaches, buses and trolley buses</v>
      </c>
      <c r="B160" s="140">
        <f t="shared" si="183"/>
        <v>5.699554370999798E-2</v>
      </c>
      <c r="C160" s="140">
        <f t="shared" ref="C160:W160" si="188">IF(C68=0,0,C68/C$64)</f>
        <v>5.5191848788740311E-2</v>
      </c>
      <c r="D160" s="140">
        <f t="shared" si="188"/>
        <v>5.2436232275238352E-2</v>
      </c>
      <c r="E160" s="140">
        <f t="shared" si="188"/>
        <v>5.1244183599463707E-2</v>
      </c>
      <c r="F160" s="140">
        <f t="shared" si="188"/>
        <v>4.9100821099908175E-2</v>
      </c>
      <c r="G160" s="140">
        <f t="shared" si="188"/>
        <v>4.6702207184060145E-2</v>
      </c>
      <c r="H160" s="140">
        <f t="shared" si="188"/>
        <v>4.5311437925863611E-2</v>
      </c>
      <c r="I160" s="140">
        <f t="shared" si="188"/>
        <v>4.6553775511488989E-2</v>
      </c>
      <c r="J160" s="140">
        <f t="shared" si="188"/>
        <v>4.6709432453707046E-2</v>
      </c>
      <c r="K160" s="140">
        <f t="shared" si="188"/>
        <v>4.3863818419634805E-2</v>
      </c>
      <c r="L160" s="140">
        <f t="shared" si="188"/>
        <v>4.6733942093598997E-2</v>
      </c>
      <c r="M160" s="140">
        <f t="shared" si="188"/>
        <v>4.7181042336729866E-2</v>
      </c>
      <c r="N160" s="140">
        <f t="shared" si="188"/>
        <v>4.7878839299534279E-2</v>
      </c>
      <c r="O160" s="140">
        <f t="shared" si="188"/>
        <v>4.7306833205597192E-2</v>
      </c>
      <c r="P160" s="140">
        <f t="shared" si="188"/>
        <v>4.7817167518190269E-2</v>
      </c>
      <c r="Q160" s="140">
        <f t="shared" si="188"/>
        <v>4.7353176816634396E-2</v>
      </c>
      <c r="R160" s="140">
        <f t="shared" si="188"/>
        <v>4.8595586818561382E-2</v>
      </c>
      <c r="S160" s="140">
        <f t="shared" si="188"/>
        <v>5.0640798073658663E-2</v>
      </c>
      <c r="T160" s="140">
        <f t="shared" si="188"/>
        <v>4.8338919428360883E-2</v>
      </c>
      <c r="U160" s="140">
        <f t="shared" si="188"/>
        <v>4.8090074891585087E-2</v>
      </c>
      <c r="V160" s="140">
        <f t="shared" si="188"/>
        <v>6.2871297781916621E-2</v>
      </c>
      <c r="W160" s="140">
        <f t="shared" si="188"/>
        <v>6.0480629427683986E-2</v>
      </c>
      <c r="DA160" s="175"/>
    </row>
    <row r="161" spans="1:105" ht="11.45" customHeight="1" x14ac:dyDescent="0.25">
      <c r="A161" s="109" t="str">
        <f>$A$9</f>
        <v>Rail, metro and tram</v>
      </c>
      <c r="B161" s="124">
        <f t="shared" si="183"/>
        <v>7.0502241985765839E-3</v>
      </c>
      <c r="C161" s="124">
        <f t="shared" ref="C161:W161" si="189">IF(C69=0,0,C69/C$64)</f>
        <v>6.8263778678028424E-3</v>
      </c>
      <c r="D161" s="124">
        <f t="shared" si="189"/>
        <v>6.3899219821508639E-3</v>
      </c>
      <c r="E161" s="124">
        <f t="shared" si="189"/>
        <v>6.4453095431697494E-3</v>
      </c>
      <c r="F161" s="124">
        <f t="shared" si="189"/>
        <v>6.1996734433027506E-3</v>
      </c>
      <c r="G161" s="124">
        <f t="shared" si="189"/>
        <v>6.593449215109088E-3</v>
      </c>
      <c r="H161" s="124">
        <f t="shared" si="189"/>
        <v>6.3136459809077766E-3</v>
      </c>
      <c r="I161" s="124">
        <f t="shared" si="189"/>
        <v>6.1502547995157157E-3</v>
      </c>
      <c r="J161" s="124">
        <f t="shared" si="189"/>
        <v>7.5258091352036387E-3</v>
      </c>
      <c r="K161" s="124">
        <f t="shared" si="189"/>
        <v>8.1682298860644188E-3</v>
      </c>
      <c r="L161" s="124">
        <f t="shared" si="189"/>
        <v>7.7155497357892979E-3</v>
      </c>
      <c r="M161" s="124">
        <f t="shared" si="189"/>
        <v>6.6273947374835863E-3</v>
      </c>
      <c r="N161" s="124">
        <f t="shared" si="189"/>
        <v>7.0106502931393706E-3</v>
      </c>
      <c r="O161" s="124">
        <f t="shared" si="189"/>
        <v>5.8847519793158911E-3</v>
      </c>
      <c r="P161" s="124">
        <f t="shared" si="189"/>
        <v>6.4423625054850419E-3</v>
      </c>
      <c r="Q161" s="124">
        <f t="shared" si="189"/>
        <v>4.7767134200657384E-3</v>
      </c>
      <c r="R161" s="124">
        <f t="shared" si="189"/>
        <v>4.6424960893953144E-3</v>
      </c>
      <c r="S161" s="124">
        <f t="shared" si="189"/>
        <v>5.0170060913916825E-3</v>
      </c>
      <c r="T161" s="124">
        <f t="shared" si="189"/>
        <v>4.7602663517326135E-3</v>
      </c>
      <c r="U161" s="124">
        <f t="shared" si="189"/>
        <v>4.7099387830721855E-3</v>
      </c>
      <c r="V161" s="124">
        <f t="shared" si="189"/>
        <v>4.9127968655778686E-3</v>
      </c>
      <c r="W161" s="124">
        <f t="shared" si="189"/>
        <v>4.7162615938285499E-3</v>
      </c>
      <c r="DA161" s="176"/>
    </row>
    <row r="162" spans="1:105" ht="11.45" customHeight="1" x14ac:dyDescent="0.25">
      <c r="A162" s="128" t="str">
        <f>$A$10</f>
        <v>Metro and tram, urban light rail</v>
      </c>
      <c r="B162" s="140">
        <f t="shared" si="183"/>
        <v>0</v>
      </c>
      <c r="C162" s="140">
        <f t="shared" ref="C162:W162" si="190">IF(C70=0,0,C70/C$64)</f>
        <v>0</v>
      </c>
      <c r="D162" s="140">
        <f t="shared" si="190"/>
        <v>0</v>
      </c>
      <c r="E162" s="140">
        <f t="shared" si="190"/>
        <v>0</v>
      </c>
      <c r="F162" s="140">
        <f t="shared" si="190"/>
        <v>0</v>
      </c>
      <c r="G162" s="140">
        <f t="shared" si="190"/>
        <v>0</v>
      </c>
      <c r="H162" s="140">
        <f t="shared" si="190"/>
        <v>0</v>
      </c>
      <c r="I162" s="140">
        <f t="shared" si="190"/>
        <v>0</v>
      </c>
      <c r="J162" s="140">
        <f t="shared" si="190"/>
        <v>0</v>
      </c>
      <c r="K162" s="140">
        <f t="shared" si="190"/>
        <v>0</v>
      </c>
      <c r="L162" s="140">
        <f t="shared" si="190"/>
        <v>0</v>
      </c>
      <c r="M162" s="140">
        <f t="shared" si="190"/>
        <v>0</v>
      </c>
      <c r="N162" s="140">
        <f t="shared" si="190"/>
        <v>0</v>
      </c>
      <c r="O162" s="140">
        <f t="shared" si="190"/>
        <v>0</v>
      </c>
      <c r="P162" s="140">
        <f t="shared" si="190"/>
        <v>0</v>
      </c>
      <c r="Q162" s="140">
        <f t="shared" si="190"/>
        <v>0</v>
      </c>
      <c r="R162" s="140">
        <f t="shared" si="190"/>
        <v>0</v>
      </c>
      <c r="S162" s="140">
        <f t="shared" si="190"/>
        <v>0</v>
      </c>
      <c r="T162" s="140">
        <f t="shared" si="190"/>
        <v>0</v>
      </c>
      <c r="U162" s="140">
        <f t="shared" si="190"/>
        <v>0</v>
      </c>
      <c r="V162" s="140">
        <f t="shared" si="190"/>
        <v>0</v>
      </c>
      <c r="W162" s="140">
        <f t="shared" si="190"/>
        <v>0</v>
      </c>
      <c r="DA162" s="175"/>
    </row>
    <row r="163" spans="1:105" ht="11.45" customHeight="1" x14ac:dyDescent="0.25">
      <c r="A163" s="128" t="str">
        <f>$A$11</f>
        <v>Conventional passenger trains</v>
      </c>
      <c r="B163" s="140">
        <f t="shared" si="183"/>
        <v>7.0502241985765839E-3</v>
      </c>
      <c r="C163" s="140">
        <f t="shared" ref="C163:W163" si="191">IF(C71=0,0,C71/C$64)</f>
        <v>6.8263778678028424E-3</v>
      </c>
      <c r="D163" s="140">
        <f t="shared" si="191"/>
        <v>6.3899219821508639E-3</v>
      </c>
      <c r="E163" s="140">
        <f t="shared" si="191"/>
        <v>6.4453095431697494E-3</v>
      </c>
      <c r="F163" s="140">
        <f t="shared" si="191"/>
        <v>6.1996734433027506E-3</v>
      </c>
      <c r="G163" s="140">
        <f t="shared" si="191"/>
        <v>6.593449215109088E-3</v>
      </c>
      <c r="H163" s="140">
        <f t="shared" si="191"/>
        <v>6.3136459809077766E-3</v>
      </c>
      <c r="I163" s="140">
        <f t="shared" si="191"/>
        <v>6.1502547995157157E-3</v>
      </c>
      <c r="J163" s="140">
        <f t="shared" si="191"/>
        <v>7.5258091352036387E-3</v>
      </c>
      <c r="K163" s="140">
        <f t="shared" si="191"/>
        <v>8.1682298860644188E-3</v>
      </c>
      <c r="L163" s="140">
        <f t="shared" si="191"/>
        <v>7.7155497357892979E-3</v>
      </c>
      <c r="M163" s="140">
        <f t="shared" si="191"/>
        <v>6.6273947374835863E-3</v>
      </c>
      <c r="N163" s="140">
        <f t="shared" si="191"/>
        <v>7.0106502931393706E-3</v>
      </c>
      <c r="O163" s="140">
        <f t="shared" si="191"/>
        <v>5.8847519793158911E-3</v>
      </c>
      <c r="P163" s="140">
        <f t="shared" si="191"/>
        <v>6.4423625054850419E-3</v>
      </c>
      <c r="Q163" s="140">
        <f t="shared" si="191"/>
        <v>4.7767134200657384E-3</v>
      </c>
      <c r="R163" s="140">
        <f t="shared" si="191"/>
        <v>4.6424960893953144E-3</v>
      </c>
      <c r="S163" s="140">
        <f t="shared" si="191"/>
        <v>5.0170060913916825E-3</v>
      </c>
      <c r="T163" s="140">
        <f t="shared" si="191"/>
        <v>4.7602663517326135E-3</v>
      </c>
      <c r="U163" s="140">
        <f t="shared" si="191"/>
        <v>4.7099387830721855E-3</v>
      </c>
      <c r="V163" s="140">
        <f t="shared" si="191"/>
        <v>4.9127968655778686E-3</v>
      </c>
      <c r="W163" s="140">
        <f t="shared" si="191"/>
        <v>4.7162615938285499E-3</v>
      </c>
      <c r="DA163" s="175"/>
    </row>
    <row r="164" spans="1:105" ht="11.45" customHeight="1" x14ac:dyDescent="0.25">
      <c r="A164" s="128" t="str">
        <f>$A$12</f>
        <v>High speed passenger trains</v>
      </c>
      <c r="B164" s="140">
        <f t="shared" si="183"/>
        <v>0</v>
      </c>
      <c r="C164" s="140">
        <f t="shared" ref="C164:W164" si="192">IF(C72=0,0,C72/C$64)</f>
        <v>0</v>
      </c>
      <c r="D164" s="140">
        <f t="shared" si="192"/>
        <v>0</v>
      </c>
      <c r="E164" s="140">
        <f t="shared" si="192"/>
        <v>0</v>
      </c>
      <c r="F164" s="140">
        <f t="shared" si="192"/>
        <v>0</v>
      </c>
      <c r="G164" s="140">
        <f t="shared" si="192"/>
        <v>0</v>
      </c>
      <c r="H164" s="140">
        <f t="shared" si="192"/>
        <v>0</v>
      </c>
      <c r="I164" s="140">
        <f t="shared" si="192"/>
        <v>0</v>
      </c>
      <c r="J164" s="140">
        <f t="shared" si="192"/>
        <v>0</v>
      </c>
      <c r="K164" s="140">
        <f t="shared" si="192"/>
        <v>0</v>
      </c>
      <c r="L164" s="140">
        <f t="shared" si="192"/>
        <v>0</v>
      </c>
      <c r="M164" s="140">
        <f t="shared" si="192"/>
        <v>0</v>
      </c>
      <c r="N164" s="140">
        <f t="shared" si="192"/>
        <v>0</v>
      </c>
      <c r="O164" s="140">
        <f t="shared" si="192"/>
        <v>0</v>
      </c>
      <c r="P164" s="140">
        <f t="shared" si="192"/>
        <v>0</v>
      </c>
      <c r="Q164" s="140">
        <f t="shared" si="192"/>
        <v>0</v>
      </c>
      <c r="R164" s="140">
        <f t="shared" si="192"/>
        <v>0</v>
      </c>
      <c r="S164" s="140">
        <f t="shared" si="192"/>
        <v>0</v>
      </c>
      <c r="T164" s="140">
        <f t="shared" si="192"/>
        <v>0</v>
      </c>
      <c r="U164" s="140">
        <f t="shared" si="192"/>
        <v>0</v>
      </c>
      <c r="V164" s="140">
        <f t="shared" si="192"/>
        <v>0</v>
      </c>
      <c r="W164" s="140">
        <f t="shared" si="192"/>
        <v>0</v>
      </c>
      <c r="DA164" s="175"/>
    </row>
    <row r="165" spans="1:105" ht="11.45" customHeight="1" x14ac:dyDescent="0.25">
      <c r="A165" s="109" t="str">
        <f>$A$13</f>
        <v>Aviation</v>
      </c>
      <c r="B165" s="124">
        <f t="shared" si="183"/>
        <v>0.12630027543728248</v>
      </c>
      <c r="C165" s="124">
        <f t="shared" ref="C165:W165" si="193">IF(C73=0,0,C73/C$64)</f>
        <v>0.11866026177666859</v>
      </c>
      <c r="D165" s="124">
        <f t="shared" si="193"/>
        <v>0.10219921907258189</v>
      </c>
      <c r="E165" s="124">
        <f t="shared" si="193"/>
        <v>9.1768169908795605E-2</v>
      </c>
      <c r="F165" s="124">
        <f t="shared" si="193"/>
        <v>0.10420517401003709</v>
      </c>
      <c r="G165" s="124">
        <f t="shared" si="193"/>
        <v>0.11315181089814759</v>
      </c>
      <c r="H165" s="124">
        <f t="shared" si="193"/>
        <v>0.12094031930467393</v>
      </c>
      <c r="I165" s="124">
        <f t="shared" si="193"/>
        <v>0.12613835990825892</v>
      </c>
      <c r="J165" s="124">
        <f t="shared" si="193"/>
        <v>0.13204434950752661</v>
      </c>
      <c r="K165" s="124">
        <f t="shared" si="193"/>
        <v>0.12064354292057247</v>
      </c>
      <c r="L165" s="124">
        <f t="shared" si="193"/>
        <v>0.1258516124623516</v>
      </c>
      <c r="M165" s="124">
        <f t="shared" si="193"/>
        <v>0.13441219143837116</v>
      </c>
      <c r="N165" s="124">
        <f t="shared" si="193"/>
        <v>0.13211615079933378</v>
      </c>
      <c r="O165" s="124">
        <f t="shared" si="193"/>
        <v>0.12431416858962197</v>
      </c>
      <c r="P165" s="124">
        <f t="shared" si="193"/>
        <v>0.12392553214347464</v>
      </c>
      <c r="Q165" s="124">
        <f t="shared" si="193"/>
        <v>0.12956074569261292</v>
      </c>
      <c r="R165" s="124">
        <f t="shared" si="193"/>
        <v>0.13598916360504723</v>
      </c>
      <c r="S165" s="124">
        <f t="shared" si="193"/>
        <v>0.12996431268350228</v>
      </c>
      <c r="T165" s="124">
        <f t="shared" si="193"/>
        <v>0.14404874857142147</v>
      </c>
      <c r="U165" s="124">
        <f t="shared" si="193"/>
        <v>0.16482537666173827</v>
      </c>
      <c r="V165" s="124">
        <f t="shared" si="193"/>
        <v>6.937705136530789E-2</v>
      </c>
      <c r="W165" s="124">
        <f t="shared" si="193"/>
        <v>8.382154707672014E-2</v>
      </c>
      <c r="DA165" s="176"/>
    </row>
    <row r="166" spans="1:105" ht="11.45" customHeight="1" x14ac:dyDescent="0.25">
      <c r="A166" s="128" t="str">
        <f>$A$14</f>
        <v>Domestic</v>
      </c>
      <c r="B166" s="140">
        <f t="shared" si="183"/>
        <v>7.5610730872674604E-3</v>
      </c>
      <c r="C166" s="140">
        <f t="shared" ref="C166:W166" si="194">IF(C74=0,0,C74/C$64)</f>
        <v>6.8816432602948176E-3</v>
      </c>
      <c r="D166" s="140">
        <f t="shared" si="194"/>
        <v>6.5129028747915752E-3</v>
      </c>
      <c r="E166" s="140">
        <f t="shared" si="194"/>
        <v>6.0010468025840751E-3</v>
      </c>
      <c r="F166" s="140">
        <f t="shared" si="194"/>
        <v>6.1609812213807456E-3</v>
      </c>
      <c r="G166" s="140">
        <f t="shared" si="194"/>
        <v>6.0214540557724672E-3</v>
      </c>
      <c r="H166" s="140">
        <f t="shared" si="194"/>
        <v>6.4724269443138275E-3</v>
      </c>
      <c r="I166" s="140">
        <f t="shared" si="194"/>
        <v>6.4929321832232325E-3</v>
      </c>
      <c r="J166" s="140">
        <f t="shared" si="194"/>
        <v>6.6339687854001491E-3</v>
      </c>
      <c r="K166" s="140">
        <f t="shared" si="194"/>
        <v>6.7670929177521075E-3</v>
      </c>
      <c r="L166" s="140">
        <f t="shared" si="194"/>
        <v>6.4274586459799488E-3</v>
      </c>
      <c r="M166" s="140">
        <f t="shared" si="194"/>
        <v>6.4947042487152181E-3</v>
      </c>
      <c r="N166" s="140">
        <f t="shared" si="194"/>
        <v>6.2025191602122819E-3</v>
      </c>
      <c r="O166" s="140">
        <f t="shared" si="194"/>
        <v>6.1025898139425976E-3</v>
      </c>
      <c r="P166" s="140">
        <f t="shared" si="194"/>
        <v>5.909016009282668E-3</v>
      </c>
      <c r="Q166" s="140">
        <f t="shared" si="194"/>
        <v>5.80754195910163E-3</v>
      </c>
      <c r="R166" s="140">
        <f t="shared" si="194"/>
        <v>5.4954853183372381E-3</v>
      </c>
      <c r="S166" s="140">
        <f t="shared" si="194"/>
        <v>5.2160368971056774E-3</v>
      </c>
      <c r="T166" s="140">
        <f t="shared" si="194"/>
        <v>5.3940127291703804E-3</v>
      </c>
      <c r="U166" s="140">
        <f t="shared" si="194"/>
        <v>4.4602886051488318E-3</v>
      </c>
      <c r="V166" s="140">
        <f t="shared" si="194"/>
        <v>3.7525088542670012E-3</v>
      </c>
      <c r="W166" s="140">
        <f t="shared" si="194"/>
        <v>3.5361945288723217E-3</v>
      </c>
      <c r="DA166" s="175"/>
    </row>
    <row r="167" spans="1:105" ht="11.45" customHeight="1" x14ac:dyDescent="0.25">
      <c r="A167" s="128" t="str">
        <f>$A$15</f>
        <v>International - Intra-EEAwUK</v>
      </c>
      <c r="B167" s="140">
        <f t="shared" si="183"/>
        <v>4.9459136880706189E-2</v>
      </c>
      <c r="C167" s="140">
        <f t="shared" ref="C167:W167" si="195">IF(C75=0,0,C75/C$64)</f>
        <v>4.8532442577356366E-2</v>
      </c>
      <c r="D167" s="140">
        <f t="shared" si="195"/>
        <v>4.2262555468709995E-2</v>
      </c>
      <c r="E167" s="140">
        <f t="shared" si="195"/>
        <v>3.9834270201053235E-2</v>
      </c>
      <c r="F167" s="140">
        <f t="shared" si="195"/>
        <v>4.3936735872064585E-2</v>
      </c>
      <c r="G167" s="140">
        <f t="shared" si="195"/>
        <v>4.8128165924647866E-2</v>
      </c>
      <c r="H167" s="140">
        <f t="shared" si="195"/>
        <v>5.2196230303763254E-2</v>
      </c>
      <c r="I167" s="140">
        <f t="shared" si="195"/>
        <v>5.5504378431504783E-2</v>
      </c>
      <c r="J167" s="140">
        <f t="shared" si="195"/>
        <v>5.7217665308248199E-2</v>
      </c>
      <c r="K167" s="140">
        <f t="shared" si="195"/>
        <v>5.0596815599527965E-2</v>
      </c>
      <c r="L167" s="140">
        <f t="shared" si="195"/>
        <v>5.2708299736742723E-2</v>
      </c>
      <c r="M167" s="140">
        <f t="shared" si="195"/>
        <v>5.6312087792286504E-2</v>
      </c>
      <c r="N167" s="140">
        <f t="shared" si="195"/>
        <v>5.4561480859020163E-2</v>
      </c>
      <c r="O167" s="140">
        <f t="shared" si="195"/>
        <v>5.0837566381822859E-2</v>
      </c>
      <c r="P167" s="140">
        <f t="shared" si="195"/>
        <v>5.1243785611543247E-2</v>
      </c>
      <c r="Q167" s="140">
        <f t="shared" si="195"/>
        <v>5.4075923006526451E-2</v>
      </c>
      <c r="R167" s="140">
        <f t="shared" si="195"/>
        <v>5.944161112784356E-2</v>
      </c>
      <c r="S167" s="140">
        <f t="shared" si="195"/>
        <v>5.7920880233480271E-2</v>
      </c>
      <c r="T167" s="140">
        <f t="shared" si="195"/>
        <v>6.4270940350777531E-2</v>
      </c>
      <c r="U167" s="140">
        <f t="shared" si="195"/>
        <v>7.2517179565915441E-2</v>
      </c>
      <c r="V167" s="140">
        <f t="shared" si="195"/>
        <v>2.5973787371131939E-2</v>
      </c>
      <c r="W167" s="140">
        <f t="shared" si="195"/>
        <v>3.4347665271399958E-2</v>
      </c>
      <c r="DA167" s="175"/>
    </row>
    <row r="168" spans="1:105" ht="11.45" customHeight="1" x14ac:dyDescent="0.25">
      <c r="A168" s="128" t="str">
        <f>$A$16</f>
        <v>International - Extra-EEAwUK</v>
      </c>
      <c r="B168" s="140">
        <f t="shared" si="183"/>
        <v>6.928006546930883E-2</v>
      </c>
      <c r="C168" s="140">
        <f t="shared" ref="C168:W168" si="196">IF(C76=0,0,C76/C$64)</f>
        <v>6.3246175939017407E-2</v>
      </c>
      <c r="D168" s="140">
        <f t="shared" si="196"/>
        <v>5.3423760729080325E-2</v>
      </c>
      <c r="E168" s="140">
        <f t="shared" si="196"/>
        <v>4.5932852905158292E-2</v>
      </c>
      <c r="F168" s="140">
        <f t="shared" si="196"/>
        <v>5.4107456916591759E-2</v>
      </c>
      <c r="G168" s="140">
        <f t="shared" si="196"/>
        <v>5.9002190917727265E-2</v>
      </c>
      <c r="H168" s="140">
        <f t="shared" si="196"/>
        <v>6.227166205659683E-2</v>
      </c>
      <c r="I168" s="140">
        <f t="shared" si="196"/>
        <v>6.4141049293530872E-2</v>
      </c>
      <c r="J168" s="140">
        <f t="shared" si="196"/>
        <v>6.819271541387828E-2</v>
      </c>
      <c r="K168" s="140">
        <f t="shared" si="196"/>
        <v>6.3279634403292415E-2</v>
      </c>
      <c r="L168" s="140">
        <f t="shared" si="196"/>
        <v>6.6715854079628933E-2</v>
      </c>
      <c r="M168" s="140">
        <f t="shared" si="196"/>
        <v>7.1605399397369457E-2</v>
      </c>
      <c r="N168" s="140">
        <f t="shared" si="196"/>
        <v>7.1352150780101348E-2</v>
      </c>
      <c r="O168" s="140">
        <f t="shared" si="196"/>
        <v>6.73740123938565E-2</v>
      </c>
      <c r="P168" s="140">
        <f t="shared" si="196"/>
        <v>6.6772730522648718E-2</v>
      </c>
      <c r="Q168" s="140">
        <f t="shared" si="196"/>
        <v>6.9677280726984842E-2</v>
      </c>
      <c r="R168" s="140">
        <f t="shared" si="196"/>
        <v>7.1052067158866417E-2</v>
      </c>
      <c r="S168" s="140">
        <f t="shared" si="196"/>
        <v>6.6827395552916335E-2</v>
      </c>
      <c r="T168" s="140">
        <f t="shared" si="196"/>
        <v>7.4383795491473559E-2</v>
      </c>
      <c r="U168" s="140">
        <f t="shared" si="196"/>
        <v>8.7847908490674004E-2</v>
      </c>
      <c r="V168" s="140">
        <f t="shared" si="196"/>
        <v>3.9650755139908955E-2</v>
      </c>
      <c r="W168" s="140">
        <f t="shared" si="196"/>
        <v>4.5937687276447856E-2</v>
      </c>
      <c r="DA168" s="175"/>
    </row>
    <row r="169" spans="1:105" ht="11.45" customHeight="1" x14ac:dyDescent="0.25">
      <c r="A169" s="27" t="s">
        <v>34</v>
      </c>
      <c r="B169" s="31">
        <f t="shared" ref="B169:B180" si="197">IF(B77=0,0,B77/B$77)</f>
        <v>1</v>
      </c>
      <c r="C169" s="31">
        <f t="shared" ref="C169:W169" si="198">IF(C77=0,0,C77/C$77)</f>
        <v>1</v>
      </c>
      <c r="D169" s="31">
        <f t="shared" si="198"/>
        <v>1</v>
      </c>
      <c r="E169" s="31">
        <f t="shared" si="198"/>
        <v>1</v>
      </c>
      <c r="F169" s="31">
        <f t="shared" si="198"/>
        <v>1</v>
      </c>
      <c r="G169" s="31">
        <f t="shared" si="198"/>
        <v>1</v>
      </c>
      <c r="H169" s="31">
        <f t="shared" si="198"/>
        <v>1</v>
      </c>
      <c r="I169" s="31">
        <f t="shared" si="198"/>
        <v>1</v>
      </c>
      <c r="J169" s="31">
        <f t="shared" si="198"/>
        <v>1</v>
      </c>
      <c r="K169" s="31">
        <f t="shared" si="198"/>
        <v>1</v>
      </c>
      <c r="L169" s="31">
        <f t="shared" si="198"/>
        <v>1</v>
      </c>
      <c r="M169" s="31">
        <f t="shared" si="198"/>
        <v>1</v>
      </c>
      <c r="N169" s="31">
        <f t="shared" si="198"/>
        <v>1</v>
      </c>
      <c r="O169" s="31">
        <f t="shared" si="198"/>
        <v>1</v>
      </c>
      <c r="P169" s="31">
        <f t="shared" si="198"/>
        <v>1</v>
      </c>
      <c r="Q169" s="31">
        <f t="shared" si="198"/>
        <v>1</v>
      </c>
      <c r="R169" s="31">
        <f t="shared" si="198"/>
        <v>1</v>
      </c>
      <c r="S169" s="31">
        <f t="shared" si="198"/>
        <v>1</v>
      </c>
      <c r="T169" s="31">
        <f t="shared" si="198"/>
        <v>1</v>
      </c>
      <c r="U169" s="31">
        <f t="shared" si="198"/>
        <v>1</v>
      </c>
      <c r="V169" s="31">
        <f t="shared" si="198"/>
        <v>1</v>
      </c>
      <c r="W169" s="31">
        <f t="shared" si="198"/>
        <v>1</v>
      </c>
      <c r="DA169" s="173"/>
    </row>
    <row r="170" spans="1:105" ht="11.45" customHeight="1" x14ac:dyDescent="0.25">
      <c r="A170" s="136" t="str">
        <f>$A$18</f>
        <v>Road transport</v>
      </c>
      <c r="B170" s="139">
        <f t="shared" si="197"/>
        <v>0.9710638633928832</v>
      </c>
      <c r="C170" s="139">
        <f t="shared" ref="C170:W170" si="199">IF(C78=0,0,C78/C$77)</f>
        <v>0.97397865621462842</v>
      </c>
      <c r="D170" s="139">
        <f t="shared" si="199"/>
        <v>0.97500579662758424</v>
      </c>
      <c r="E170" s="139">
        <f t="shared" si="199"/>
        <v>0.97837526697948973</v>
      </c>
      <c r="F170" s="139">
        <f t="shared" si="199"/>
        <v>0.97369346060544748</v>
      </c>
      <c r="G170" s="139">
        <f t="shared" si="199"/>
        <v>0.97371834587844153</v>
      </c>
      <c r="H170" s="139">
        <f t="shared" si="199"/>
        <v>0.97098548423913889</v>
      </c>
      <c r="I170" s="139">
        <f t="shared" si="199"/>
        <v>0.97095730206797826</v>
      </c>
      <c r="J170" s="139">
        <f t="shared" si="199"/>
        <v>0.97386685664935246</v>
      </c>
      <c r="K170" s="139">
        <f t="shared" si="199"/>
        <v>0.97532088324105659</v>
      </c>
      <c r="L170" s="139">
        <f t="shared" si="199"/>
        <v>0.97510720438749654</v>
      </c>
      <c r="M170" s="139">
        <f t="shared" si="199"/>
        <v>0.97316549577154776</v>
      </c>
      <c r="N170" s="139">
        <f t="shared" si="199"/>
        <v>0.97419038516123546</v>
      </c>
      <c r="O170" s="139">
        <f t="shared" si="199"/>
        <v>0.97631117341545359</v>
      </c>
      <c r="P170" s="139">
        <f t="shared" si="199"/>
        <v>0.974294672740877</v>
      </c>
      <c r="Q170" s="139">
        <f t="shared" si="199"/>
        <v>0.97524121109244877</v>
      </c>
      <c r="R170" s="139">
        <f t="shared" si="199"/>
        <v>0.9751217227152742</v>
      </c>
      <c r="S170" s="139">
        <f t="shared" si="199"/>
        <v>0.97421546073212772</v>
      </c>
      <c r="T170" s="139">
        <f t="shared" si="199"/>
        <v>0.9747401939139213</v>
      </c>
      <c r="U170" s="139">
        <f t="shared" si="199"/>
        <v>0.97343014512440118</v>
      </c>
      <c r="V170" s="139">
        <f t="shared" si="199"/>
        <v>0.9802579918711064</v>
      </c>
      <c r="W170" s="139">
        <f t="shared" si="199"/>
        <v>0.97656438150202385</v>
      </c>
      <c r="DA170" s="174"/>
    </row>
    <row r="171" spans="1:105" ht="11.45" customHeight="1" x14ac:dyDescent="0.25">
      <c r="A171" s="128" t="str">
        <f>$A$19</f>
        <v>Light commercial vehicles</v>
      </c>
      <c r="B171" s="140">
        <f t="shared" si="197"/>
        <v>0.22234564689692995</v>
      </c>
      <c r="C171" s="140">
        <f t="shared" ref="C171:W171" si="200">IF(C79=0,0,C79/C$77)</f>
        <v>0.20017408922876292</v>
      </c>
      <c r="D171" s="140">
        <f t="shared" si="200"/>
        <v>0.18615603463413855</v>
      </c>
      <c r="E171" s="140">
        <f t="shared" si="200"/>
        <v>0.17420568086115176</v>
      </c>
      <c r="F171" s="140">
        <f t="shared" si="200"/>
        <v>0.17209953115359738</v>
      </c>
      <c r="G171" s="140">
        <f t="shared" si="200"/>
        <v>0.16688118968167681</v>
      </c>
      <c r="H171" s="140">
        <f t="shared" si="200"/>
        <v>0.1792310821615663</v>
      </c>
      <c r="I171" s="140">
        <f t="shared" si="200"/>
        <v>0.18188090915111707</v>
      </c>
      <c r="J171" s="140">
        <f t="shared" si="200"/>
        <v>0.18426999653115214</v>
      </c>
      <c r="K171" s="140">
        <f t="shared" si="200"/>
        <v>0.19190993716295976</v>
      </c>
      <c r="L171" s="140">
        <f t="shared" si="200"/>
        <v>0.17874454321333769</v>
      </c>
      <c r="M171" s="140">
        <f t="shared" si="200"/>
        <v>0.19455531221308611</v>
      </c>
      <c r="N171" s="140">
        <f t="shared" si="200"/>
        <v>0.19035828807665806</v>
      </c>
      <c r="O171" s="140">
        <f t="shared" si="200"/>
        <v>0.17077498469609725</v>
      </c>
      <c r="P171" s="140">
        <f t="shared" si="200"/>
        <v>0.18364639420530537</v>
      </c>
      <c r="Q171" s="140">
        <f t="shared" si="200"/>
        <v>0.18302449236867885</v>
      </c>
      <c r="R171" s="140">
        <f t="shared" si="200"/>
        <v>0.18189110930183197</v>
      </c>
      <c r="S171" s="140">
        <f t="shared" si="200"/>
        <v>0.17821388213494671</v>
      </c>
      <c r="T171" s="140">
        <f t="shared" si="200"/>
        <v>0.17250662623879973</v>
      </c>
      <c r="U171" s="140">
        <f t="shared" si="200"/>
        <v>0.16935377995882711</v>
      </c>
      <c r="V171" s="140">
        <f t="shared" si="200"/>
        <v>0.19091303958694977</v>
      </c>
      <c r="W171" s="140">
        <f t="shared" si="200"/>
        <v>0.19075054536250843</v>
      </c>
      <c r="DA171" s="175"/>
    </row>
    <row r="172" spans="1:105" ht="11.45" customHeight="1" x14ac:dyDescent="0.25">
      <c r="A172" s="128" t="str">
        <f>$A$20</f>
        <v>Heavy goods vehicles</v>
      </c>
      <c r="B172" s="140">
        <f t="shared" si="197"/>
        <v>0.74871821649595316</v>
      </c>
      <c r="C172" s="140">
        <f t="shared" ref="C172:W172" si="201">IF(C80=0,0,C80/C$77)</f>
        <v>0.77380456698586542</v>
      </c>
      <c r="D172" s="140">
        <f t="shared" si="201"/>
        <v>0.7888497619934457</v>
      </c>
      <c r="E172" s="140">
        <f t="shared" si="201"/>
        <v>0.804169586118338</v>
      </c>
      <c r="F172" s="140">
        <f t="shared" si="201"/>
        <v>0.80159392945185015</v>
      </c>
      <c r="G172" s="140">
        <f t="shared" si="201"/>
        <v>0.80683715619676477</v>
      </c>
      <c r="H172" s="140">
        <f t="shared" si="201"/>
        <v>0.79175440207757264</v>
      </c>
      <c r="I172" s="140">
        <f t="shared" si="201"/>
        <v>0.78907639291686116</v>
      </c>
      <c r="J172" s="140">
        <f t="shared" si="201"/>
        <v>0.78959686011820029</v>
      </c>
      <c r="K172" s="140">
        <f t="shared" si="201"/>
        <v>0.78341094607809691</v>
      </c>
      <c r="L172" s="140">
        <f t="shared" si="201"/>
        <v>0.79636266117415888</v>
      </c>
      <c r="M172" s="140">
        <f t="shared" si="201"/>
        <v>0.77861018355846168</v>
      </c>
      <c r="N172" s="140">
        <f t="shared" si="201"/>
        <v>0.78383209708457735</v>
      </c>
      <c r="O172" s="140">
        <f t="shared" si="201"/>
        <v>0.80553618871935639</v>
      </c>
      <c r="P172" s="140">
        <f t="shared" si="201"/>
        <v>0.79064827853557162</v>
      </c>
      <c r="Q172" s="140">
        <f t="shared" si="201"/>
        <v>0.79221671872376997</v>
      </c>
      <c r="R172" s="140">
        <f t="shared" si="201"/>
        <v>0.79323061341344214</v>
      </c>
      <c r="S172" s="140">
        <f t="shared" si="201"/>
        <v>0.79600157859718101</v>
      </c>
      <c r="T172" s="140">
        <f t="shared" si="201"/>
        <v>0.80223356767512166</v>
      </c>
      <c r="U172" s="140">
        <f t="shared" si="201"/>
        <v>0.80407636516557401</v>
      </c>
      <c r="V172" s="140">
        <f t="shared" si="201"/>
        <v>0.78934495228415669</v>
      </c>
      <c r="W172" s="140">
        <f t="shared" si="201"/>
        <v>0.7858138361395155</v>
      </c>
      <c r="DA172" s="175"/>
    </row>
    <row r="173" spans="1:105" ht="11.45" customHeight="1" x14ac:dyDescent="0.25">
      <c r="A173" s="109" t="str">
        <f>$A$21</f>
        <v>Rail transport</v>
      </c>
      <c r="B173" s="124">
        <f t="shared" si="197"/>
        <v>6.9313321809642134E-3</v>
      </c>
      <c r="C173" s="124">
        <f t="shared" ref="C173:W173" si="202">IF(C81=0,0,C81/C$77)</f>
        <v>6.0669838858849112E-3</v>
      </c>
      <c r="D173" s="124">
        <f t="shared" si="202"/>
        <v>5.6577554338535603E-3</v>
      </c>
      <c r="E173" s="124">
        <f t="shared" si="202"/>
        <v>5.2712335372532377E-3</v>
      </c>
      <c r="F173" s="124">
        <f t="shared" si="202"/>
        <v>5.792433300545222E-3</v>
      </c>
      <c r="G173" s="124">
        <f t="shared" si="202"/>
        <v>5.6409658655758354E-3</v>
      </c>
      <c r="H173" s="124">
        <f t="shared" si="202"/>
        <v>6.8240545185603704E-3</v>
      </c>
      <c r="I173" s="124">
        <f t="shared" si="202"/>
        <v>6.8233163364442122E-3</v>
      </c>
      <c r="J173" s="124">
        <f t="shared" si="202"/>
        <v>4.5252085959126519E-3</v>
      </c>
      <c r="K173" s="124">
        <f t="shared" si="202"/>
        <v>3.7556978328104132E-3</v>
      </c>
      <c r="L173" s="124">
        <f t="shared" si="202"/>
        <v>3.4664281915223003E-3</v>
      </c>
      <c r="M173" s="124">
        <f t="shared" si="202"/>
        <v>3.1674373664565391E-3</v>
      </c>
      <c r="N173" s="124">
        <f t="shared" si="202"/>
        <v>3.0174811632549892E-3</v>
      </c>
      <c r="O173" s="124">
        <f t="shared" si="202"/>
        <v>2.3486031213164732E-3</v>
      </c>
      <c r="P173" s="124">
        <f t="shared" si="202"/>
        <v>2.5590445790803205E-3</v>
      </c>
      <c r="Q173" s="124">
        <f t="shared" si="202"/>
        <v>1.9492362907335495E-3</v>
      </c>
      <c r="R173" s="124">
        <f t="shared" si="202"/>
        <v>1.8354918511080793E-3</v>
      </c>
      <c r="S173" s="124">
        <f t="shared" si="202"/>
        <v>1.9508586347292407E-3</v>
      </c>
      <c r="T173" s="124">
        <f t="shared" si="202"/>
        <v>1.7370324717681587E-3</v>
      </c>
      <c r="U173" s="124">
        <f t="shared" si="202"/>
        <v>1.7320514931834555E-3</v>
      </c>
      <c r="V173" s="124">
        <f t="shared" si="202"/>
        <v>2.433740105433796E-3</v>
      </c>
      <c r="W173" s="124">
        <f t="shared" si="202"/>
        <v>2.2535394688008945E-3</v>
      </c>
      <c r="DA173" s="176"/>
    </row>
    <row r="174" spans="1:105" ht="11.45" customHeight="1" x14ac:dyDescent="0.25">
      <c r="A174" s="109" t="str">
        <f>$A$22</f>
        <v>Aviation</v>
      </c>
      <c r="B174" s="124">
        <f t="shared" si="197"/>
        <v>3.9448082788168075E-3</v>
      </c>
      <c r="C174" s="124">
        <f t="shared" ref="C174:W174" si="203">IF(C82=0,0,C82/C$77)</f>
        <v>3.0979142092852352E-3</v>
      </c>
      <c r="D174" s="124">
        <f t="shared" si="203"/>
        <v>3.2813567019028952E-3</v>
      </c>
      <c r="E174" s="124">
        <f t="shared" si="203"/>
        <v>2.9833879235373608E-3</v>
      </c>
      <c r="F174" s="124">
        <f t="shared" si="203"/>
        <v>4.5286803383496107E-3</v>
      </c>
      <c r="G174" s="124">
        <f t="shared" si="203"/>
        <v>5.4153145280589204E-3</v>
      </c>
      <c r="H174" s="124">
        <f t="shared" si="203"/>
        <v>6.4617851189963721E-3</v>
      </c>
      <c r="I174" s="124">
        <f t="shared" si="203"/>
        <v>5.9581762878504188E-3</v>
      </c>
      <c r="J174" s="124">
        <f t="shared" si="203"/>
        <v>5.634187807624042E-3</v>
      </c>
      <c r="K174" s="124">
        <f t="shared" si="203"/>
        <v>4.9746411923236936E-3</v>
      </c>
      <c r="L174" s="124">
        <f t="shared" si="203"/>
        <v>5.1819296164256319E-3</v>
      </c>
      <c r="M174" s="124">
        <f t="shared" si="203"/>
        <v>6.7926786671563119E-3</v>
      </c>
      <c r="N174" s="124">
        <f t="shared" si="203"/>
        <v>6.7369010979183496E-3</v>
      </c>
      <c r="O174" s="124">
        <f t="shared" si="203"/>
        <v>6.4546659850002186E-3</v>
      </c>
      <c r="P174" s="124">
        <f t="shared" si="203"/>
        <v>7.3273948881573377E-3</v>
      </c>
      <c r="Q174" s="124">
        <f t="shared" si="203"/>
        <v>8.4422150977394965E-3</v>
      </c>
      <c r="R174" s="124">
        <f t="shared" si="203"/>
        <v>8.4980970716923877E-3</v>
      </c>
      <c r="S174" s="124">
        <f t="shared" si="203"/>
        <v>9.2264693438487717E-3</v>
      </c>
      <c r="T174" s="124">
        <f t="shared" si="203"/>
        <v>1.0494233377175637E-2</v>
      </c>
      <c r="U174" s="124">
        <f t="shared" si="203"/>
        <v>1.0833327470436357E-2</v>
      </c>
      <c r="V174" s="124">
        <f t="shared" si="203"/>
        <v>9.5643141620273195E-3</v>
      </c>
      <c r="W174" s="124">
        <f t="shared" si="203"/>
        <v>1.0440165642609738E-2</v>
      </c>
      <c r="DA174" s="176"/>
    </row>
    <row r="175" spans="1:105" ht="11.45" customHeight="1" x14ac:dyDescent="0.25">
      <c r="A175" s="128" t="s">
        <v>27</v>
      </c>
      <c r="B175" s="140">
        <f t="shared" si="197"/>
        <v>9.8367134089145768E-5</v>
      </c>
      <c r="C175" s="140">
        <f t="shared" ref="C175:W175" si="204">IF(C83=0,0,C83/C$77)</f>
        <v>5.6508031970028738E-5</v>
      </c>
      <c r="D175" s="140">
        <f t="shared" si="204"/>
        <v>4.8882390964116161E-5</v>
      </c>
      <c r="E175" s="140">
        <f t="shared" si="204"/>
        <v>4.6251767468791218E-5</v>
      </c>
      <c r="F175" s="140">
        <f t="shared" si="204"/>
        <v>6.4280706036850432E-5</v>
      </c>
      <c r="G175" s="140">
        <f t="shared" si="204"/>
        <v>6.4300842614058596E-5</v>
      </c>
      <c r="H175" s="140">
        <f t="shared" si="204"/>
        <v>7.284175708957326E-5</v>
      </c>
      <c r="I175" s="140">
        <f t="shared" si="204"/>
        <v>6.4779592417795508E-5</v>
      </c>
      <c r="J175" s="140">
        <f t="shared" si="204"/>
        <v>6.7255581284275711E-5</v>
      </c>
      <c r="K175" s="140">
        <f t="shared" si="204"/>
        <v>6.7294307849745231E-5</v>
      </c>
      <c r="L175" s="140">
        <f t="shared" si="204"/>
        <v>5.02296188509129E-5</v>
      </c>
      <c r="M175" s="140">
        <f t="shared" si="204"/>
        <v>4.9751020804375643E-5</v>
      </c>
      <c r="N175" s="140">
        <f t="shared" si="204"/>
        <v>3.34559247517781E-5</v>
      </c>
      <c r="O175" s="140">
        <f t="shared" si="204"/>
        <v>2.2879139669151857E-5</v>
      </c>
      <c r="P175" s="140">
        <f t="shared" si="204"/>
        <v>1.6020117648378963E-5</v>
      </c>
      <c r="Q175" s="140">
        <f t="shared" si="204"/>
        <v>1.6530496644315255E-5</v>
      </c>
      <c r="R175" s="140">
        <f t="shared" si="204"/>
        <v>9.6392151335688187E-6</v>
      </c>
      <c r="S175" s="140">
        <f t="shared" si="204"/>
        <v>7.1457099835540014E-6</v>
      </c>
      <c r="T175" s="140">
        <f t="shared" si="204"/>
        <v>7.2089227003269787E-6</v>
      </c>
      <c r="U175" s="140">
        <f t="shared" si="204"/>
        <v>1.556463372394294E-6</v>
      </c>
      <c r="V175" s="140">
        <f t="shared" si="204"/>
        <v>1.6939914480865866E-6</v>
      </c>
      <c r="W175" s="140">
        <f t="shared" si="204"/>
        <v>2.034874254229281E-6</v>
      </c>
      <c r="DA175" s="175"/>
    </row>
    <row r="176" spans="1:105" ht="11.45" customHeight="1" x14ac:dyDescent="0.25">
      <c r="A176" s="128" t="str">
        <f>$A$24</f>
        <v>International - Intra-EEAwUK</v>
      </c>
      <c r="B176" s="140">
        <f t="shared" si="197"/>
        <v>2.227905765653705E-3</v>
      </c>
      <c r="C176" s="140">
        <f t="shared" ref="C176:W176" si="205">IF(C84=0,0,C84/C$77)</f>
        <v>1.8287497636713832E-3</v>
      </c>
      <c r="D176" s="140">
        <f t="shared" si="205"/>
        <v>2.0605391671217259E-3</v>
      </c>
      <c r="E176" s="140">
        <f t="shared" si="205"/>
        <v>1.8693579770501971E-3</v>
      </c>
      <c r="F176" s="140">
        <f t="shared" si="205"/>
        <v>3.1883536637513092E-3</v>
      </c>
      <c r="G176" s="140">
        <f t="shared" si="205"/>
        <v>3.5335489572047483E-3</v>
      </c>
      <c r="H176" s="140">
        <f t="shared" si="205"/>
        <v>4.3339183105522107E-3</v>
      </c>
      <c r="I176" s="140">
        <f t="shared" si="205"/>
        <v>3.8924189759841012E-3</v>
      </c>
      <c r="J176" s="140">
        <f t="shared" si="205"/>
        <v>3.721222387144652E-3</v>
      </c>
      <c r="K176" s="140">
        <f t="shared" si="205"/>
        <v>3.475586370895387E-3</v>
      </c>
      <c r="L176" s="140">
        <f t="shared" si="205"/>
        <v>3.6739789081424797E-3</v>
      </c>
      <c r="M176" s="140">
        <f t="shared" si="205"/>
        <v>4.2575229295625239E-3</v>
      </c>
      <c r="N176" s="140">
        <f t="shared" si="205"/>
        <v>3.6866949073466149E-3</v>
      </c>
      <c r="O176" s="140">
        <f t="shared" si="205"/>
        <v>3.5218362960920992E-3</v>
      </c>
      <c r="P176" s="140">
        <f t="shared" si="205"/>
        <v>4.0074846942087551E-3</v>
      </c>
      <c r="Q176" s="140">
        <f t="shared" si="205"/>
        <v>3.7104505829396932E-3</v>
      </c>
      <c r="R176" s="140">
        <f t="shared" si="205"/>
        <v>3.1745166469089791E-3</v>
      </c>
      <c r="S176" s="140">
        <f t="shared" si="205"/>
        <v>3.585232263997542E-3</v>
      </c>
      <c r="T176" s="140">
        <f t="shared" si="205"/>
        <v>3.5059787728749631E-3</v>
      </c>
      <c r="U176" s="140">
        <f t="shared" si="205"/>
        <v>3.4869583127823136E-3</v>
      </c>
      <c r="V176" s="140">
        <f t="shared" si="205"/>
        <v>3.0117696263402202E-3</v>
      </c>
      <c r="W176" s="140">
        <f t="shared" si="205"/>
        <v>4.173219394735115E-3</v>
      </c>
      <c r="DA176" s="175"/>
    </row>
    <row r="177" spans="1:105" ht="11.45" customHeight="1" x14ac:dyDescent="0.25">
      <c r="A177" s="128" t="str">
        <f>$A$25</f>
        <v>International - Extra-EEAwUK</v>
      </c>
      <c r="B177" s="140">
        <f t="shared" si="197"/>
        <v>1.6185353790739573E-3</v>
      </c>
      <c r="C177" s="140">
        <f t="shared" ref="C177:W177" si="206">IF(C85=0,0,C85/C$77)</f>
        <v>1.2126564136438237E-3</v>
      </c>
      <c r="D177" s="140">
        <f t="shared" si="206"/>
        <v>1.1719351438170529E-3</v>
      </c>
      <c r="E177" s="140">
        <f t="shared" si="206"/>
        <v>1.0677781790183725E-3</v>
      </c>
      <c r="F177" s="140">
        <f t="shared" si="206"/>
        <v>1.2760459685614511E-3</v>
      </c>
      <c r="G177" s="140">
        <f t="shared" si="206"/>
        <v>1.8174647282401131E-3</v>
      </c>
      <c r="H177" s="140">
        <f t="shared" si="206"/>
        <v>2.0550250513545875E-3</v>
      </c>
      <c r="I177" s="140">
        <f t="shared" si="206"/>
        <v>2.0009777194485222E-3</v>
      </c>
      <c r="J177" s="140">
        <f t="shared" si="206"/>
        <v>1.8457098391951139E-3</v>
      </c>
      <c r="K177" s="140">
        <f t="shared" si="206"/>
        <v>1.4317605135785603E-3</v>
      </c>
      <c r="L177" s="140">
        <f t="shared" si="206"/>
        <v>1.45772108943224E-3</v>
      </c>
      <c r="M177" s="140">
        <f t="shared" si="206"/>
        <v>2.4854047167894122E-3</v>
      </c>
      <c r="N177" s="140">
        <f t="shared" si="206"/>
        <v>3.0167502658199571E-3</v>
      </c>
      <c r="O177" s="140">
        <f t="shared" si="206"/>
        <v>2.9099505492389674E-3</v>
      </c>
      <c r="P177" s="140">
        <f t="shared" si="206"/>
        <v>3.303890076300203E-3</v>
      </c>
      <c r="Q177" s="140">
        <f t="shared" si="206"/>
        <v>4.715234018155488E-3</v>
      </c>
      <c r="R177" s="140">
        <f t="shared" si="206"/>
        <v>5.3139412096498409E-3</v>
      </c>
      <c r="S177" s="140">
        <f t="shared" si="206"/>
        <v>5.6340913698676763E-3</v>
      </c>
      <c r="T177" s="140">
        <f t="shared" si="206"/>
        <v>6.9810456816003473E-3</v>
      </c>
      <c r="U177" s="140">
        <f t="shared" si="206"/>
        <v>7.3448126942816487E-3</v>
      </c>
      <c r="V177" s="140">
        <f t="shared" si="206"/>
        <v>6.5508505442390119E-3</v>
      </c>
      <c r="W177" s="140">
        <f t="shared" si="206"/>
        <v>6.264911373620393E-3</v>
      </c>
      <c r="DA177" s="175"/>
    </row>
    <row r="178" spans="1:105" ht="11.45" customHeight="1" x14ac:dyDescent="0.25">
      <c r="A178" s="109" t="s">
        <v>142</v>
      </c>
      <c r="B178" s="124">
        <f t="shared" si="197"/>
        <v>1.8059996147335763E-2</v>
      </c>
      <c r="C178" s="124">
        <f t="shared" ref="C178:W178" si="207">IF(C86=0,0,C86/C$77)</f>
        <v>1.6856445690201484E-2</v>
      </c>
      <c r="D178" s="124">
        <f t="shared" si="207"/>
        <v>1.6055091236659207E-2</v>
      </c>
      <c r="E178" s="124">
        <f t="shared" si="207"/>
        <v>1.3370111559719657E-2</v>
      </c>
      <c r="F178" s="124">
        <f t="shared" si="207"/>
        <v>1.5985425755657718E-2</v>
      </c>
      <c r="G178" s="124">
        <f t="shared" si="207"/>
        <v>1.5225373727923732E-2</v>
      </c>
      <c r="H178" s="124">
        <f t="shared" si="207"/>
        <v>1.5728676123304332E-2</v>
      </c>
      <c r="I178" s="124">
        <f t="shared" si="207"/>
        <v>1.6261205307727126E-2</v>
      </c>
      <c r="J178" s="124">
        <f t="shared" si="207"/>
        <v>1.5973746947110699E-2</v>
      </c>
      <c r="K178" s="124">
        <f t="shared" si="207"/>
        <v>1.5948777733809306E-2</v>
      </c>
      <c r="L178" s="124">
        <f t="shared" si="207"/>
        <v>1.6244437804555496E-2</v>
      </c>
      <c r="M178" s="124">
        <f t="shared" si="207"/>
        <v>1.6874388194839433E-2</v>
      </c>
      <c r="N178" s="124">
        <f t="shared" si="207"/>
        <v>1.6055232577591238E-2</v>
      </c>
      <c r="O178" s="124">
        <f t="shared" si="207"/>
        <v>1.4885557478229772E-2</v>
      </c>
      <c r="P178" s="124">
        <f t="shared" si="207"/>
        <v>1.5818887791885249E-2</v>
      </c>
      <c r="Q178" s="124">
        <f t="shared" si="207"/>
        <v>1.4367337519078155E-2</v>
      </c>
      <c r="R178" s="124">
        <f t="shared" si="207"/>
        <v>1.4544688361925271E-2</v>
      </c>
      <c r="S178" s="124">
        <f t="shared" si="207"/>
        <v>1.4607211289294245E-2</v>
      </c>
      <c r="T178" s="124">
        <f t="shared" si="207"/>
        <v>1.302854023713502E-2</v>
      </c>
      <c r="U178" s="124">
        <f t="shared" si="207"/>
        <v>1.4004475911979156E-2</v>
      </c>
      <c r="V178" s="124">
        <f t="shared" si="207"/>
        <v>7.7439538614323296E-3</v>
      </c>
      <c r="W178" s="124">
        <f t="shared" si="207"/>
        <v>1.0741913386565414E-2</v>
      </c>
      <c r="DA178" s="176"/>
    </row>
    <row r="179" spans="1:105" ht="11.45" customHeight="1" x14ac:dyDescent="0.25">
      <c r="A179" s="128" t="str">
        <f>$A$27</f>
        <v>Domestic coastal shipping</v>
      </c>
      <c r="B179" s="140">
        <f t="shared" si="197"/>
        <v>0</v>
      </c>
      <c r="C179" s="140">
        <f t="shared" ref="C179:W179" si="208">IF(C87=0,0,C87/C$77)</f>
        <v>0</v>
      </c>
      <c r="D179" s="140">
        <f t="shared" si="208"/>
        <v>0</v>
      </c>
      <c r="E179" s="140">
        <f t="shared" si="208"/>
        <v>0</v>
      </c>
      <c r="F179" s="140">
        <f t="shared" si="208"/>
        <v>0</v>
      </c>
      <c r="G179" s="140">
        <f t="shared" si="208"/>
        <v>0</v>
      </c>
      <c r="H179" s="140">
        <f t="shared" si="208"/>
        <v>0</v>
      </c>
      <c r="I179" s="140">
        <f t="shared" si="208"/>
        <v>0</v>
      </c>
      <c r="J179" s="140">
        <f t="shared" si="208"/>
        <v>0</v>
      </c>
      <c r="K179" s="140">
        <f t="shared" si="208"/>
        <v>0</v>
      </c>
      <c r="L179" s="140">
        <f t="shared" si="208"/>
        <v>0</v>
      </c>
      <c r="M179" s="140">
        <f t="shared" si="208"/>
        <v>0</v>
      </c>
      <c r="N179" s="140">
        <f t="shared" si="208"/>
        <v>0</v>
      </c>
      <c r="O179" s="140">
        <f t="shared" si="208"/>
        <v>0</v>
      </c>
      <c r="P179" s="140">
        <f t="shared" si="208"/>
        <v>0</v>
      </c>
      <c r="Q179" s="140">
        <f t="shared" si="208"/>
        <v>0</v>
      </c>
      <c r="R179" s="140">
        <f t="shared" si="208"/>
        <v>0</v>
      </c>
      <c r="S179" s="140">
        <f t="shared" si="208"/>
        <v>0</v>
      </c>
      <c r="T179" s="140">
        <f t="shared" si="208"/>
        <v>0</v>
      </c>
      <c r="U179" s="140">
        <f t="shared" si="208"/>
        <v>0</v>
      </c>
      <c r="V179" s="140">
        <f t="shared" si="208"/>
        <v>0</v>
      </c>
      <c r="W179" s="140">
        <f t="shared" si="208"/>
        <v>0</v>
      </c>
      <c r="DA179" s="175"/>
    </row>
    <row r="180" spans="1:105" ht="11.45" customHeight="1" x14ac:dyDescent="0.25">
      <c r="A180" s="138" t="str">
        <f>$A$28</f>
        <v>Inland waterways</v>
      </c>
      <c r="B180" s="127">
        <f t="shared" si="197"/>
        <v>1.8059996147335763E-2</v>
      </c>
      <c r="C180" s="127">
        <f t="shared" ref="C180:W180" si="209">IF(C88=0,0,C88/C$77)</f>
        <v>1.6856445690201484E-2</v>
      </c>
      <c r="D180" s="127">
        <f t="shared" si="209"/>
        <v>1.6055091236659207E-2</v>
      </c>
      <c r="E180" s="127">
        <f t="shared" si="209"/>
        <v>1.3370111559719657E-2</v>
      </c>
      <c r="F180" s="127">
        <f t="shared" si="209"/>
        <v>1.5985425755657718E-2</v>
      </c>
      <c r="G180" s="127">
        <f t="shared" si="209"/>
        <v>1.5225373727923732E-2</v>
      </c>
      <c r="H180" s="127">
        <f t="shared" si="209"/>
        <v>1.5728676123304332E-2</v>
      </c>
      <c r="I180" s="127">
        <f t="shared" si="209"/>
        <v>1.6261205307727126E-2</v>
      </c>
      <c r="J180" s="127">
        <f t="shared" si="209"/>
        <v>1.5973746947110699E-2</v>
      </c>
      <c r="K180" s="127">
        <f t="shared" si="209"/>
        <v>1.5948777733809306E-2</v>
      </c>
      <c r="L180" s="127">
        <f t="shared" si="209"/>
        <v>1.6244437804555496E-2</v>
      </c>
      <c r="M180" s="127">
        <f t="shared" si="209"/>
        <v>1.6874388194839433E-2</v>
      </c>
      <c r="N180" s="127">
        <f t="shared" si="209"/>
        <v>1.6055232577591238E-2</v>
      </c>
      <c r="O180" s="127">
        <f t="shared" si="209"/>
        <v>1.4885557478229772E-2</v>
      </c>
      <c r="P180" s="127">
        <f t="shared" si="209"/>
        <v>1.5818887791885249E-2</v>
      </c>
      <c r="Q180" s="127">
        <f t="shared" si="209"/>
        <v>1.4367337519078155E-2</v>
      </c>
      <c r="R180" s="127">
        <f t="shared" si="209"/>
        <v>1.4544688361925271E-2</v>
      </c>
      <c r="S180" s="127">
        <f t="shared" si="209"/>
        <v>1.4607211289294245E-2</v>
      </c>
      <c r="T180" s="127">
        <f t="shared" si="209"/>
        <v>1.302854023713502E-2</v>
      </c>
      <c r="U180" s="127">
        <f t="shared" si="209"/>
        <v>1.4004475911979156E-2</v>
      </c>
      <c r="V180" s="127">
        <f t="shared" si="209"/>
        <v>7.7439538614323296E-3</v>
      </c>
      <c r="W180" s="127">
        <f t="shared" si="209"/>
        <v>1.0741913386565414E-2</v>
      </c>
      <c r="DA180" s="178"/>
    </row>
    <row r="181" spans="1:105" ht="11.45" customHeight="1" x14ac:dyDescent="0.25">
      <c r="A181" s="27" t="s">
        <v>176</v>
      </c>
      <c r="B181" s="31">
        <f>IF(B89=0,0,B89/B$89)</f>
        <v>0</v>
      </c>
      <c r="C181" s="31">
        <f t="shared" ref="C181:W181" si="210">IF(C89=0,0,C89/C$89)</f>
        <v>0</v>
      </c>
      <c r="D181" s="31">
        <f t="shared" si="210"/>
        <v>0</v>
      </c>
      <c r="E181" s="31">
        <f t="shared" si="210"/>
        <v>0</v>
      </c>
      <c r="F181" s="31">
        <f t="shared" si="210"/>
        <v>0</v>
      </c>
      <c r="G181" s="31">
        <f t="shared" si="210"/>
        <v>0</v>
      </c>
      <c r="H181" s="31">
        <f t="shared" si="210"/>
        <v>0</v>
      </c>
      <c r="I181" s="31">
        <f t="shared" si="210"/>
        <v>0</v>
      </c>
      <c r="J181" s="31">
        <f t="shared" si="210"/>
        <v>0</v>
      </c>
      <c r="K181" s="31">
        <f t="shared" si="210"/>
        <v>0</v>
      </c>
      <c r="L181" s="31">
        <f t="shared" si="210"/>
        <v>0</v>
      </c>
      <c r="M181" s="31">
        <f t="shared" si="210"/>
        <v>0</v>
      </c>
      <c r="N181" s="31">
        <f t="shared" si="210"/>
        <v>0</v>
      </c>
      <c r="O181" s="31">
        <f t="shared" si="210"/>
        <v>0</v>
      </c>
      <c r="P181" s="31">
        <f t="shared" si="210"/>
        <v>0</v>
      </c>
      <c r="Q181" s="31">
        <f t="shared" si="210"/>
        <v>0</v>
      </c>
      <c r="R181" s="31">
        <f t="shared" si="210"/>
        <v>0</v>
      </c>
      <c r="S181" s="31">
        <f t="shared" si="210"/>
        <v>0</v>
      </c>
      <c r="T181" s="31">
        <f t="shared" si="210"/>
        <v>0</v>
      </c>
      <c r="U181" s="31">
        <f t="shared" si="210"/>
        <v>0</v>
      </c>
      <c r="V181" s="31">
        <f t="shared" si="210"/>
        <v>0</v>
      </c>
      <c r="W181" s="31">
        <f t="shared" si="210"/>
        <v>0</v>
      </c>
      <c r="DA181" s="173"/>
    </row>
    <row r="182" spans="1:105" ht="11.45" customHeight="1" x14ac:dyDescent="0.25">
      <c r="A182" s="128" t="str">
        <f>$A$30</f>
        <v>Intra-EEA</v>
      </c>
      <c r="B182" s="140">
        <f>IF(B90=0,0,B90/B$89)</f>
        <v>0</v>
      </c>
      <c r="C182" s="140">
        <f t="shared" ref="C182:W182" si="211">IF(C90=0,0,C90/C$89)</f>
        <v>0</v>
      </c>
      <c r="D182" s="140">
        <f t="shared" si="211"/>
        <v>0</v>
      </c>
      <c r="E182" s="140">
        <f t="shared" si="211"/>
        <v>0</v>
      </c>
      <c r="F182" s="140">
        <f t="shared" si="211"/>
        <v>0</v>
      </c>
      <c r="G182" s="140">
        <f t="shared" si="211"/>
        <v>0</v>
      </c>
      <c r="H182" s="140">
        <f t="shared" si="211"/>
        <v>0</v>
      </c>
      <c r="I182" s="140">
        <f t="shared" si="211"/>
        <v>0</v>
      </c>
      <c r="J182" s="140">
        <f t="shared" si="211"/>
        <v>0</v>
      </c>
      <c r="K182" s="140">
        <f t="shared" si="211"/>
        <v>0</v>
      </c>
      <c r="L182" s="140">
        <f t="shared" si="211"/>
        <v>0</v>
      </c>
      <c r="M182" s="140">
        <f t="shared" si="211"/>
        <v>0</v>
      </c>
      <c r="N182" s="140">
        <f t="shared" si="211"/>
        <v>0</v>
      </c>
      <c r="O182" s="140">
        <f t="shared" si="211"/>
        <v>0</v>
      </c>
      <c r="P182" s="140">
        <f t="shared" si="211"/>
        <v>0</v>
      </c>
      <c r="Q182" s="140">
        <f t="shared" si="211"/>
        <v>0</v>
      </c>
      <c r="R182" s="140">
        <f t="shared" si="211"/>
        <v>0</v>
      </c>
      <c r="S182" s="140">
        <f t="shared" si="211"/>
        <v>0</v>
      </c>
      <c r="T182" s="140">
        <f t="shared" si="211"/>
        <v>0</v>
      </c>
      <c r="U182" s="140">
        <f t="shared" si="211"/>
        <v>0</v>
      </c>
      <c r="V182" s="140">
        <f t="shared" si="211"/>
        <v>0</v>
      </c>
      <c r="W182" s="140">
        <f t="shared" si="211"/>
        <v>0</v>
      </c>
      <c r="DA182" s="175"/>
    </row>
    <row r="183" spans="1:105" ht="11.45" customHeight="1" x14ac:dyDescent="0.25">
      <c r="A183" s="138" t="str">
        <f>$A$31</f>
        <v>Extra-EEA</v>
      </c>
      <c r="B183" s="127">
        <f>IF(B91=0,0,B91/B$89)</f>
        <v>0</v>
      </c>
      <c r="C183" s="127">
        <f t="shared" ref="C183:W183" si="212">IF(C91=0,0,C91/C$89)</f>
        <v>0</v>
      </c>
      <c r="D183" s="127">
        <f t="shared" si="212"/>
        <v>0</v>
      </c>
      <c r="E183" s="127">
        <f t="shared" si="212"/>
        <v>0</v>
      </c>
      <c r="F183" s="127">
        <f t="shared" si="212"/>
        <v>0</v>
      </c>
      <c r="G183" s="127">
        <f t="shared" si="212"/>
        <v>0</v>
      </c>
      <c r="H183" s="127">
        <f t="shared" si="212"/>
        <v>0</v>
      </c>
      <c r="I183" s="127">
        <f t="shared" si="212"/>
        <v>0</v>
      </c>
      <c r="J183" s="127">
        <f t="shared" si="212"/>
        <v>0</v>
      </c>
      <c r="K183" s="127">
        <f t="shared" si="212"/>
        <v>0</v>
      </c>
      <c r="L183" s="127">
        <f t="shared" si="212"/>
        <v>0</v>
      </c>
      <c r="M183" s="127">
        <f t="shared" si="212"/>
        <v>0</v>
      </c>
      <c r="N183" s="127">
        <f t="shared" si="212"/>
        <v>0</v>
      </c>
      <c r="O183" s="127">
        <f t="shared" si="212"/>
        <v>0</v>
      </c>
      <c r="P183" s="127">
        <f t="shared" si="212"/>
        <v>0</v>
      </c>
      <c r="Q183" s="127">
        <f t="shared" si="212"/>
        <v>0</v>
      </c>
      <c r="R183" s="127">
        <f t="shared" si="212"/>
        <v>0</v>
      </c>
      <c r="S183" s="127">
        <f t="shared" si="212"/>
        <v>0</v>
      </c>
      <c r="T183" s="127">
        <f t="shared" si="212"/>
        <v>0</v>
      </c>
      <c r="U183" s="127">
        <f t="shared" si="212"/>
        <v>0</v>
      </c>
      <c r="V183" s="127">
        <f t="shared" si="212"/>
        <v>0</v>
      </c>
      <c r="W183" s="127">
        <f t="shared" si="212"/>
        <v>0</v>
      </c>
      <c r="DA183" s="178"/>
    </row>
    <row r="184" spans="1:105" x14ac:dyDescent="0.25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DA184" s="171"/>
    </row>
    <row r="185" spans="1:105" ht="11.45" customHeight="1" x14ac:dyDescent="0.25">
      <c r="A185" s="53" t="s">
        <v>42</v>
      </c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DA185" s="172"/>
    </row>
    <row r="186" spans="1:105" ht="11.45" customHeight="1" x14ac:dyDescent="0.25">
      <c r="A186" s="27" t="s">
        <v>159</v>
      </c>
      <c r="B186" s="32">
        <f t="shared" ref="B186:V186" si="213">IF(B34=0,0,B34/B4*1000)</f>
        <v>46.529871870746454</v>
      </c>
      <c r="C186" s="32">
        <f t="shared" si="213"/>
        <v>47.74031436607963</v>
      </c>
      <c r="D186" s="32">
        <f t="shared" si="213"/>
        <v>50.929654323243945</v>
      </c>
      <c r="E186" s="32">
        <f t="shared" si="213"/>
        <v>52.529652217807396</v>
      </c>
      <c r="F186" s="32">
        <f t="shared" si="213"/>
        <v>52.633842975177835</v>
      </c>
      <c r="G186" s="32">
        <f t="shared" si="213"/>
        <v>53.418633469691372</v>
      </c>
      <c r="H186" s="32">
        <f t="shared" si="213"/>
        <v>52.368937880568708</v>
      </c>
      <c r="I186" s="32">
        <f t="shared" si="213"/>
        <v>52.803075454044212</v>
      </c>
      <c r="J186" s="32">
        <f t="shared" si="213"/>
        <v>51.688781859382075</v>
      </c>
      <c r="K186" s="32">
        <f t="shared" si="213"/>
        <v>51.943052139056448</v>
      </c>
      <c r="L186" s="32">
        <f t="shared" si="213"/>
        <v>51.756336946495303</v>
      </c>
      <c r="M186" s="32">
        <f t="shared" si="213"/>
        <v>49.515091418637049</v>
      </c>
      <c r="N186" s="32">
        <f t="shared" si="213"/>
        <v>48.526453896126633</v>
      </c>
      <c r="O186" s="32">
        <f t="shared" si="213"/>
        <v>48.328885333061137</v>
      </c>
      <c r="P186" s="32">
        <f t="shared" si="213"/>
        <v>47.528509179129898</v>
      </c>
      <c r="Q186" s="32">
        <f t="shared" si="213"/>
        <v>47.736367316755683</v>
      </c>
      <c r="R186" s="32">
        <f t="shared" si="213"/>
        <v>47.813089914416729</v>
      </c>
      <c r="S186" s="32">
        <f t="shared" si="213"/>
        <v>46.909810847243094</v>
      </c>
      <c r="T186" s="32">
        <f t="shared" si="213"/>
        <v>46.538659288037771</v>
      </c>
      <c r="U186" s="32">
        <f t="shared" si="213"/>
        <v>45.499344438953095</v>
      </c>
      <c r="V186" s="32">
        <f t="shared" si="213"/>
        <v>49.709811776477231</v>
      </c>
      <c r="W186" s="32">
        <f t="shared" ref="W186" si="214">IF(W34=0,0,W34/W4*1000)</f>
        <v>48.485936422007121</v>
      </c>
      <c r="DA186" s="173" t="s">
        <v>414</v>
      </c>
    </row>
    <row r="187" spans="1:105" ht="11.45" customHeight="1" x14ac:dyDescent="0.25">
      <c r="A187" s="136" t="str">
        <f>$A$5</f>
        <v>Road transport</v>
      </c>
      <c r="B187" s="141">
        <f t="shared" ref="B187:V187" si="215">IF(B35=0,0,B35/B5*1000)</f>
        <v>53.7590862213615</v>
      </c>
      <c r="C187" s="141">
        <f t="shared" si="215"/>
        <v>55.659607387269439</v>
      </c>
      <c r="D187" s="141">
        <f t="shared" si="215"/>
        <v>60.768301059563619</v>
      </c>
      <c r="E187" s="141">
        <f t="shared" si="215"/>
        <v>63.346389268400138</v>
      </c>
      <c r="F187" s="141">
        <f t="shared" si="215"/>
        <v>63.705606525146784</v>
      </c>
      <c r="G187" s="141">
        <f t="shared" si="215"/>
        <v>65.610924116335255</v>
      </c>
      <c r="H187" s="141">
        <f t="shared" si="215"/>
        <v>64.035523939999933</v>
      </c>
      <c r="I187" s="141">
        <f t="shared" si="215"/>
        <v>64.48962328458461</v>
      </c>
      <c r="J187" s="141">
        <f t="shared" si="215"/>
        <v>63.871560682587884</v>
      </c>
      <c r="K187" s="141">
        <f t="shared" si="215"/>
        <v>64.190059793927531</v>
      </c>
      <c r="L187" s="141">
        <f t="shared" si="215"/>
        <v>64.138822627467334</v>
      </c>
      <c r="M187" s="141">
        <f t="shared" si="215"/>
        <v>61.360274951602243</v>
      </c>
      <c r="N187" s="141">
        <f t="shared" si="215"/>
        <v>60.834157852027097</v>
      </c>
      <c r="O187" s="141">
        <f t="shared" si="215"/>
        <v>61.344947118506497</v>
      </c>
      <c r="P187" s="141">
        <f t="shared" si="215"/>
        <v>60.64741969478272</v>
      </c>
      <c r="Q187" s="141">
        <f t="shared" si="215"/>
        <v>60.681628724523513</v>
      </c>
      <c r="R187" s="141">
        <f t="shared" si="215"/>
        <v>59.946574127817563</v>
      </c>
      <c r="S187" s="141">
        <f t="shared" si="215"/>
        <v>59.198903128299591</v>
      </c>
      <c r="T187" s="141">
        <f t="shared" si="215"/>
        <v>60.204480581723118</v>
      </c>
      <c r="U187" s="141">
        <f t="shared" si="215"/>
        <v>60.260662604321119</v>
      </c>
      <c r="V187" s="141">
        <f t="shared" si="215"/>
        <v>58.184676834322921</v>
      </c>
      <c r="W187" s="141">
        <f t="shared" ref="W187" si="216">IF(W35=0,0,W35/W5*1000)</f>
        <v>56.650071195036645</v>
      </c>
      <c r="DA187" s="174" t="s">
        <v>415</v>
      </c>
    </row>
    <row r="188" spans="1:105" ht="11.45" customHeight="1" x14ac:dyDescent="0.25">
      <c r="A188" s="128" t="str">
        <f>$A$6</f>
        <v>Powered two-wheelers</v>
      </c>
      <c r="B188" s="97">
        <f t="shared" ref="B188:V188" si="217">IF(B36=0,0,B36/B6*1000)</f>
        <v>31.893063869781781</v>
      </c>
      <c r="C188" s="97">
        <f t="shared" si="217"/>
        <v>31.705740994900214</v>
      </c>
      <c r="D188" s="97">
        <f t="shared" si="217"/>
        <v>31.607138346833334</v>
      </c>
      <c r="E188" s="97">
        <f t="shared" si="217"/>
        <v>31.564327450260908</v>
      </c>
      <c r="F188" s="97">
        <f t="shared" si="217"/>
        <v>31.269662351700443</v>
      </c>
      <c r="G188" s="97">
        <f t="shared" si="217"/>
        <v>31.140482298010877</v>
      </c>
      <c r="H188" s="97">
        <f t="shared" si="217"/>
        <v>30.990982938870076</v>
      </c>
      <c r="I188" s="97">
        <f t="shared" si="217"/>
        <v>30.793938639608506</v>
      </c>
      <c r="J188" s="97">
        <f t="shared" si="217"/>
        <v>30.737175269395877</v>
      </c>
      <c r="K188" s="97">
        <f t="shared" si="217"/>
        <v>30.791488129410446</v>
      </c>
      <c r="L188" s="97">
        <f t="shared" si="217"/>
        <v>30.708413002148585</v>
      </c>
      <c r="M188" s="97">
        <f t="shared" si="217"/>
        <v>30.704181001239707</v>
      </c>
      <c r="N188" s="97">
        <f t="shared" si="217"/>
        <v>30.598205120969833</v>
      </c>
      <c r="O188" s="97">
        <f t="shared" si="217"/>
        <v>30.934253569493158</v>
      </c>
      <c r="P188" s="97">
        <f t="shared" si="217"/>
        <v>31.141433192196871</v>
      </c>
      <c r="Q188" s="97">
        <f t="shared" si="217"/>
        <v>30.910146780100778</v>
      </c>
      <c r="R188" s="97">
        <f t="shared" si="217"/>
        <v>30.601814160036419</v>
      </c>
      <c r="S188" s="97">
        <f t="shared" si="217"/>
        <v>31.88894854464036</v>
      </c>
      <c r="T188" s="97">
        <f t="shared" si="217"/>
        <v>32.029481901958796</v>
      </c>
      <c r="U188" s="97">
        <f t="shared" si="217"/>
        <v>32.073738184209724</v>
      </c>
      <c r="V188" s="97">
        <f t="shared" si="217"/>
        <v>32.309813697043239</v>
      </c>
      <c r="W188" s="97">
        <f t="shared" ref="W188" si="218">IF(W36=0,0,W36/W6*1000)</f>
        <v>29.626894164863209</v>
      </c>
      <c r="DA188" s="175" t="s">
        <v>416</v>
      </c>
    </row>
    <row r="189" spans="1:105" ht="11.45" customHeight="1" x14ac:dyDescent="0.25">
      <c r="A189" s="128" t="str">
        <f>$A$7</f>
        <v>Passenger cars</v>
      </c>
      <c r="B189" s="97">
        <f t="shared" ref="B189:V189" si="219">IF(B37=0,0,B37/B7*1000)</f>
        <v>57.578973005439813</v>
      </c>
      <c r="C189" s="97">
        <f t="shared" si="219"/>
        <v>59.725531015335257</v>
      </c>
      <c r="D189" s="97">
        <f t="shared" si="219"/>
        <v>65.426944516282006</v>
      </c>
      <c r="E189" s="97">
        <f t="shared" si="219"/>
        <v>68.377500334551002</v>
      </c>
      <c r="F189" s="97">
        <f t="shared" si="219"/>
        <v>68.868978664539569</v>
      </c>
      <c r="G189" s="97">
        <f t="shared" si="219"/>
        <v>71.103596625932809</v>
      </c>
      <c r="H189" s="97">
        <f t="shared" si="219"/>
        <v>69.510113136463175</v>
      </c>
      <c r="I189" s="97">
        <f t="shared" si="219"/>
        <v>69.948992430335863</v>
      </c>
      <c r="J189" s="97">
        <f t="shared" si="219"/>
        <v>69.298809251793273</v>
      </c>
      <c r="K189" s="97">
        <f t="shared" si="219"/>
        <v>69.115837382496068</v>
      </c>
      <c r="L189" s="97">
        <f t="shared" si="219"/>
        <v>68.984781873173333</v>
      </c>
      <c r="M189" s="97">
        <f t="shared" si="219"/>
        <v>66.03752706310037</v>
      </c>
      <c r="N189" s="97">
        <f t="shared" si="219"/>
        <v>65.370094640185187</v>
      </c>
      <c r="O189" s="97">
        <f t="shared" si="219"/>
        <v>65.960975326215049</v>
      </c>
      <c r="P189" s="97">
        <f t="shared" si="219"/>
        <v>65.130389959940501</v>
      </c>
      <c r="Q189" s="97">
        <f t="shared" si="219"/>
        <v>65.145996850835218</v>
      </c>
      <c r="R189" s="97">
        <f t="shared" si="219"/>
        <v>64.279433648802666</v>
      </c>
      <c r="S189" s="97">
        <f t="shared" si="219"/>
        <v>63.328001168153072</v>
      </c>
      <c r="T189" s="97">
        <f t="shared" si="219"/>
        <v>64.355812323099542</v>
      </c>
      <c r="U189" s="97">
        <f t="shared" si="219"/>
        <v>64.517969144569946</v>
      </c>
      <c r="V189" s="97">
        <f t="shared" si="219"/>
        <v>60.947315638546272</v>
      </c>
      <c r="W189" s="97">
        <f t="shared" ref="W189" si="220">IF(W37=0,0,W37/W7*1000)</f>
        <v>59.309408720069918</v>
      </c>
      <c r="DA189" s="175" t="s">
        <v>417</v>
      </c>
    </row>
    <row r="190" spans="1:105" ht="11.45" customHeight="1" x14ac:dyDescent="0.25">
      <c r="A190" s="128" t="str">
        <f>$A$8</f>
        <v>Motor coaches, buses and trolley buses</v>
      </c>
      <c r="B190" s="97">
        <f t="shared" ref="B190:V190" si="221">IF(B38=0,0,B38/B8*1000)</f>
        <v>28.723931360796744</v>
      </c>
      <c r="C190" s="97">
        <f t="shared" si="221"/>
        <v>28.853491812340256</v>
      </c>
      <c r="D190" s="97">
        <f t="shared" si="221"/>
        <v>29.806405151415692</v>
      </c>
      <c r="E190" s="97">
        <f t="shared" si="221"/>
        <v>30.013332305032602</v>
      </c>
      <c r="F190" s="97">
        <f t="shared" si="221"/>
        <v>29.49221234441746</v>
      </c>
      <c r="G190" s="97">
        <f t="shared" si="221"/>
        <v>29.361804039540878</v>
      </c>
      <c r="H190" s="97">
        <f t="shared" si="221"/>
        <v>28.18718926574855</v>
      </c>
      <c r="I190" s="97">
        <f t="shared" si="221"/>
        <v>29.213066503289852</v>
      </c>
      <c r="J190" s="97">
        <f t="shared" si="221"/>
        <v>29.141118795495842</v>
      </c>
      <c r="K190" s="97">
        <f t="shared" si="221"/>
        <v>30.002291889119327</v>
      </c>
      <c r="L190" s="97">
        <f t="shared" si="221"/>
        <v>31.465303860366937</v>
      </c>
      <c r="M190" s="97">
        <f t="shared" si="221"/>
        <v>30.203269975264369</v>
      </c>
      <c r="N190" s="97">
        <f t="shared" si="221"/>
        <v>30.635074467629636</v>
      </c>
      <c r="O190" s="97">
        <f t="shared" si="221"/>
        <v>30.453434674542656</v>
      </c>
      <c r="P190" s="97">
        <f t="shared" si="221"/>
        <v>30.657184228201142</v>
      </c>
      <c r="Q190" s="97">
        <f t="shared" si="221"/>
        <v>30.774499981516382</v>
      </c>
      <c r="R190" s="97">
        <f t="shared" si="221"/>
        <v>31.13472425464969</v>
      </c>
      <c r="S190" s="97">
        <f t="shared" si="221"/>
        <v>31.442022268741979</v>
      </c>
      <c r="T190" s="97">
        <f t="shared" si="221"/>
        <v>31.641512029768151</v>
      </c>
      <c r="U190" s="97">
        <f t="shared" si="221"/>
        <v>31.823309354428599</v>
      </c>
      <c r="V190" s="97">
        <f t="shared" si="221"/>
        <v>39.34022844784959</v>
      </c>
      <c r="W190" s="97">
        <f t="shared" ref="W190" si="222">IF(W38=0,0,W38/W8*1000)</f>
        <v>38.323819184492123</v>
      </c>
      <c r="DA190" s="175" t="s">
        <v>418</v>
      </c>
    </row>
    <row r="191" spans="1:105" ht="11.45" customHeight="1" x14ac:dyDescent="0.25">
      <c r="A191" s="109" t="str">
        <f>$A$9</f>
        <v>Rail, metro and tram</v>
      </c>
      <c r="B191" s="130">
        <f t="shared" ref="B191:V191" si="223">IF(B39=0,0,B39/B9*1000)</f>
        <v>11.989403171173862</v>
      </c>
      <c r="C191" s="130">
        <f t="shared" si="223"/>
        <v>11.367864495443255</v>
      </c>
      <c r="D191" s="130">
        <f t="shared" si="223"/>
        <v>10.924520232303724</v>
      </c>
      <c r="E191" s="130">
        <f t="shared" si="223"/>
        <v>10.675252114634914</v>
      </c>
      <c r="F191" s="130">
        <f t="shared" si="223"/>
        <v>10.512522007963797</v>
      </c>
      <c r="G191" s="130">
        <f t="shared" si="223"/>
        <v>9.7333811031835804</v>
      </c>
      <c r="H191" s="130">
        <f t="shared" si="223"/>
        <v>9.5002424112346606</v>
      </c>
      <c r="I191" s="130">
        <f t="shared" si="223"/>
        <v>9.3234645242808725</v>
      </c>
      <c r="J191" s="130">
        <f t="shared" si="223"/>
        <v>9.1336622187384418</v>
      </c>
      <c r="K191" s="130">
        <f t="shared" si="223"/>
        <v>9.7064483662827143</v>
      </c>
      <c r="L191" s="130">
        <f t="shared" si="223"/>
        <v>9.7026356521934733</v>
      </c>
      <c r="M191" s="130">
        <f t="shared" si="223"/>
        <v>8.4136328807642649</v>
      </c>
      <c r="N191" s="130">
        <f t="shared" si="223"/>
        <v>8.1937182379021642</v>
      </c>
      <c r="O191" s="130">
        <f t="shared" si="223"/>
        <v>7.5645567136616094</v>
      </c>
      <c r="P191" s="130">
        <f t="shared" si="223"/>
        <v>7.7320355266330028</v>
      </c>
      <c r="Q191" s="130">
        <f t="shared" si="223"/>
        <v>7.2338616802010272</v>
      </c>
      <c r="R191" s="130">
        <f t="shared" si="223"/>
        <v>7.1635268464290904</v>
      </c>
      <c r="S191" s="130">
        <f t="shared" si="223"/>
        <v>7.2836871257489326</v>
      </c>
      <c r="T191" s="130">
        <f t="shared" si="223"/>
        <v>6.8952493467935492</v>
      </c>
      <c r="U191" s="130">
        <f t="shared" si="223"/>
        <v>6.5839469734729468</v>
      </c>
      <c r="V191" s="130">
        <f t="shared" si="223"/>
        <v>8.0807365096101691</v>
      </c>
      <c r="W191" s="130">
        <f t="shared" ref="W191" si="224">IF(W39=0,0,W39/W9*1000)</f>
        <v>7.7962616037366557</v>
      </c>
      <c r="DA191" s="176" t="s">
        <v>419</v>
      </c>
    </row>
    <row r="192" spans="1:105" ht="11.45" customHeight="1" x14ac:dyDescent="0.25">
      <c r="A192" s="128" t="str">
        <f>$A$10</f>
        <v>Metro and tram, urban light rail</v>
      </c>
      <c r="B192" s="97">
        <f t="shared" ref="B192:V192" si="225">IF(B40=0,0,B40/B10*1000)</f>
        <v>5.8667542058035362</v>
      </c>
      <c r="C192" s="97">
        <f t="shared" si="225"/>
        <v>6.1432453947282513</v>
      </c>
      <c r="D192" s="97">
        <f t="shared" si="225"/>
        <v>6.052142631291078</v>
      </c>
      <c r="E192" s="97">
        <f t="shared" si="225"/>
        <v>6.0695271032931775</v>
      </c>
      <c r="F192" s="97">
        <f t="shared" si="225"/>
        <v>5.9670037892704721</v>
      </c>
      <c r="G192" s="97">
        <f t="shared" si="225"/>
        <v>5.6034696601611378</v>
      </c>
      <c r="H192" s="97">
        <f t="shared" si="225"/>
        <v>5.5452854796333799</v>
      </c>
      <c r="I192" s="97">
        <f t="shared" si="225"/>
        <v>5.5218268970907234</v>
      </c>
      <c r="J192" s="97">
        <f t="shared" si="225"/>
        <v>5.1136293935986323</v>
      </c>
      <c r="K192" s="97">
        <f t="shared" si="225"/>
        <v>5.104185876911389</v>
      </c>
      <c r="L192" s="97">
        <f t="shared" si="225"/>
        <v>5.0963494587753333</v>
      </c>
      <c r="M192" s="97">
        <f t="shared" si="225"/>
        <v>4.6966897877959664</v>
      </c>
      <c r="N192" s="97">
        <f t="shared" si="225"/>
        <v>4.7336567732151664</v>
      </c>
      <c r="O192" s="97">
        <f t="shared" si="225"/>
        <v>4.6136504027934455</v>
      </c>
      <c r="P192" s="97">
        <f t="shared" si="225"/>
        <v>4.5174665707148929</v>
      </c>
      <c r="Q192" s="97">
        <f t="shared" si="225"/>
        <v>4.481163248639934</v>
      </c>
      <c r="R192" s="97">
        <f t="shared" si="225"/>
        <v>4.4229984935790094</v>
      </c>
      <c r="S192" s="97">
        <f t="shared" si="225"/>
        <v>4.4213458764810341</v>
      </c>
      <c r="T192" s="97">
        <f t="shared" si="225"/>
        <v>4.3423504455897932</v>
      </c>
      <c r="U192" s="97">
        <f t="shared" si="225"/>
        <v>4.3856167259169139</v>
      </c>
      <c r="V192" s="97">
        <f t="shared" si="225"/>
        <v>5.4670345543053394</v>
      </c>
      <c r="W192" s="97">
        <f t="shared" ref="W192" si="226">IF(W40=0,0,W40/W10*1000)</f>
        <v>5.2004232494433698</v>
      </c>
      <c r="DA192" s="175" t="s">
        <v>420</v>
      </c>
    </row>
    <row r="193" spans="1:105" ht="11.45" customHeight="1" x14ac:dyDescent="0.25">
      <c r="A193" s="128" t="str">
        <f>$A$11</f>
        <v>Conventional passenger trains</v>
      </c>
      <c r="B193" s="97">
        <f t="shared" ref="B193:V193" si="227">IF(B41=0,0,B41/B11*1000)</f>
        <v>16.164903088904055</v>
      </c>
      <c r="C193" s="97">
        <f t="shared" si="227"/>
        <v>14.97899303048478</v>
      </c>
      <c r="D193" s="97">
        <f t="shared" si="227"/>
        <v>14.326139226673638</v>
      </c>
      <c r="E193" s="97">
        <f t="shared" si="227"/>
        <v>13.992049143082008</v>
      </c>
      <c r="F193" s="97">
        <f t="shared" si="227"/>
        <v>13.996374203403352</v>
      </c>
      <c r="G193" s="97">
        <f t="shared" si="227"/>
        <v>12.79443867627762</v>
      </c>
      <c r="H193" s="97">
        <f t="shared" si="227"/>
        <v>12.401163047817583</v>
      </c>
      <c r="I193" s="97">
        <f t="shared" si="227"/>
        <v>12.072703428367424</v>
      </c>
      <c r="J193" s="97">
        <f t="shared" si="227"/>
        <v>11.742177726536196</v>
      </c>
      <c r="K193" s="97">
        <f t="shared" si="227"/>
        <v>12.78944494577477</v>
      </c>
      <c r="L193" s="97">
        <f t="shared" si="227"/>
        <v>12.807969933630906</v>
      </c>
      <c r="M193" s="97">
        <f t="shared" si="227"/>
        <v>10.83309019777975</v>
      </c>
      <c r="N193" s="97">
        <f t="shared" si="227"/>
        <v>10.388931741599134</v>
      </c>
      <c r="O193" s="97">
        <f t="shared" si="227"/>
        <v>9.3669974843191728</v>
      </c>
      <c r="P193" s="97">
        <f t="shared" si="227"/>
        <v>9.6128731856625489</v>
      </c>
      <c r="Q193" s="97">
        <f t="shared" si="227"/>
        <v>8.8672059027190766</v>
      </c>
      <c r="R193" s="97">
        <f t="shared" si="227"/>
        <v>8.739233127336842</v>
      </c>
      <c r="S193" s="97">
        <f t="shared" si="227"/>
        <v>8.9217520231368415</v>
      </c>
      <c r="T193" s="97">
        <f t="shared" si="227"/>
        <v>8.2944516189154402</v>
      </c>
      <c r="U193" s="97">
        <f t="shared" si="227"/>
        <v>7.8063658984835431</v>
      </c>
      <c r="V193" s="97">
        <f t="shared" si="227"/>
        <v>10.169926072528405</v>
      </c>
      <c r="W193" s="97">
        <f t="shared" ref="W193" si="228">IF(W41=0,0,W41/W11*1000)</f>
        <v>9.7137126076836076</v>
      </c>
      <c r="DA193" s="175" t="s">
        <v>421</v>
      </c>
    </row>
    <row r="194" spans="1:105" ht="11.45" customHeight="1" x14ac:dyDescent="0.25">
      <c r="A194" s="128" t="str">
        <f>$A$12</f>
        <v>High speed passenger trains</v>
      </c>
      <c r="B194" s="97">
        <f t="shared" ref="B194:V194" si="229">IF(B42=0,0,B42/B12*1000)</f>
        <v>0</v>
      </c>
      <c r="C194" s="97">
        <f t="shared" si="229"/>
        <v>0</v>
      </c>
      <c r="D194" s="97">
        <f t="shared" si="229"/>
        <v>0</v>
      </c>
      <c r="E194" s="97">
        <f t="shared" si="229"/>
        <v>0</v>
      </c>
      <c r="F194" s="97">
        <f t="shared" si="229"/>
        <v>0</v>
      </c>
      <c r="G194" s="97">
        <f t="shared" si="229"/>
        <v>0</v>
      </c>
      <c r="H194" s="97">
        <f t="shared" si="229"/>
        <v>0</v>
      </c>
      <c r="I194" s="97">
        <f t="shared" si="229"/>
        <v>0</v>
      </c>
      <c r="J194" s="97">
        <f t="shared" si="229"/>
        <v>0</v>
      </c>
      <c r="K194" s="97">
        <f t="shared" si="229"/>
        <v>0</v>
      </c>
      <c r="L194" s="97">
        <f t="shared" si="229"/>
        <v>0</v>
      </c>
      <c r="M194" s="97">
        <f t="shared" si="229"/>
        <v>0</v>
      </c>
      <c r="N194" s="97">
        <f t="shared" si="229"/>
        <v>0</v>
      </c>
      <c r="O194" s="97">
        <f t="shared" si="229"/>
        <v>0</v>
      </c>
      <c r="P194" s="97">
        <f t="shared" si="229"/>
        <v>0</v>
      </c>
      <c r="Q194" s="97">
        <f t="shared" si="229"/>
        <v>0</v>
      </c>
      <c r="R194" s="97">
        <f t="shared" si="229"/>
        <v>0</v>
      </c>
      <c r="S194" s="97">
        <f t="shared" si="229"/>
        <v>0</v>
      </c>
      <c r="T194" s="97">
        <f t="shared" si="229"/>
        <v>0</v>
      </c>
      <c r="U194" s="97">
        <f t="shared" si="229"/>
        <v>0</v>
      </c>
      <c r="V194" s="97">
        <f t="shared" si="229"/>
        <v>0</v>
      </c>
      <c r="W194" s="97">
        <f t="shared" ref="W194" si="230">IF(W42=0,0,W42/W12*1000)</f>
        <v>0</v>
      </c>
      <c r="DA194" s="175" t="s">
        <v>422</v>
      </c>
    </row>
    <row r="195" spans="1:105" ht="11.45" customHeight="1" x14ac:dyDescent="0.25">
      <c r="A195" s="109" t="str">
        <f>$A$13</f>
        <v>Aviation</v>
      </c>
      <c r="B195" s="130">
        <f t="shared" ref="B195:V195" si="231">IF(B43=0,0,B43/B13*1000)</f>
        <v>44.067164156152955</v>
      </c>
      <c r="C195" s="130">
        <f t="shared" si="231"/>
        <v>43.317001563080282</v>
      </c>
      <c r="D195" s="130">
        <f t="shared" si="231"/>
        <v>39.452892991397981</v>
      </c>
      <c r="E195" s="130">
        <f t="shared" si="231"/>
        <v>36.482994784340448</v>
      </c>
      <c r="F195" s="130">
        <f t="shared" si="231"/>
        <v>36.524913974967461</v>
      </c>
      <c r="G195" s="130">
        <f t="shared" si="231"/>
        <v>36.683280708588768</v>
      </c>
      <c r="H195" s="130">
        <f t="shared" si="231"/>
        <v>37.604600440807978</v>
      </c>
      <c r="I195" s="130">
        <f t="shared" si="231"/>
        <v>38.963576500830833</v>
      </c>
      <c r="J195" s="130">
        <f t="shared" si="231"/>
        <v>39.252895134956873</v>
      </c>
      <c r="K195" s="130">
        <f t="shared" si="231"/>
        <v>38.319559595551603</v>
      </c>
      <c r="L195" s="130">
        <f t="shared" si="231"/>
        <v>38.017684517947536</v>
      </c>
      <c r="M195" s="130">
        <f t="shared" si="231"/>
        <v>38.215991274601308</v>
      </c>
      <c r="N195" s="130">
        <f t="shared" si="231"/>
        <v>36.186276732443396</v>
      </c>
      <c r="O195" s="130">
        <f t="shared" si="231"/>
        <v>34.447112362602468</v>
      </c>
      <c r="P195" s="130">
        <f t="shared" si="231"/>
        <v>32.053435251332544</v>
      </c>
      <c r="Q195" s="130">
        <f t="shared" si="231"/>
        <v>33.403117015025202</v>
      </c>
      <c r="R195" s="130">
        <f t="shared" si="231"/>
        <v>36.300407185553027</v>
      </c>
      <c r="S195" s="130">
        <f t="shared" si="231"/>
        <v>33.634609743209332</v>
      </c>
      <c r="T195" s="130">
        <f t="shared" si="231"/>
        <v>32.291662295191159</v>
      </c>
      <c r="U195" s="130">
        <f t="shared" si="231"/>
        <v>31.279267494135567</v>
      </c>
      <c r="V195" s="130">
        <f t="shared" si="231"/>
        <v>39.853469417968263</v>
      </c>
      <c r="W195" s="130">
        <f t="shared" ref="W195" si="232">IF(W43=0,0,W43/W13*1000)</f>
        <v>43.193506036495599</v>
      </c>
      <c r="DA195" s="176" t="s">
        <v>296</v>
      </c>
    </row>
    <row r="196" spans="1:105" ht="11.45" customHeight="1" x14ac:dyDescent="0.25">
      <c r="A196" s="128" t="str">
        <f>$A$14</f>
        <v>Domestic</v>
      </c>
      <c r="B196" s="97">
        <f t="shared" ref="B196:V196" si="233">IF(B44=0,0,B44/B14*1000)</f>
        <v>221.48772612321343</v>
      </c>
      <c r="C196" s="97">
        <f t="shared" si="233"/>
        <v>203.71308473833946</v>
      </c>
      <c r="D196" s="97">
        <f t="shared" si="233"/>
        <v>206.07606037835296</v>
      </c>
      <c r="E196" s="97">
        <f t="shared" si="233"/>
        <v>194.23909409622587</v>
      </c>
      <c r="F196" s="97">
        <f t="shared" si="233"/>
        <v>197.48698749933234</v>
      </c>
      <c r="G196" s="97">
        <f t="shared" si="233"/>
        <v>199.90114213480521</v>
      </c>
      <c r="H196" s="97">
        <f t="shared" si="233"/>
        <v>167.1634968442809</v>
      </c>
      <c r="I196" s="97">
        <f t="shared" si="233"/>
        <v>158.76285084723776</v>
      </c>
      <c r="J196" s="97">
        <f t="shared" si="233"/>
        <v>145.97850213828093</v>
      </c>
      <c r="K196" s="97">
        <f t="shared" si="233"/>
        <v>143.45748164399197</v>
      </c>
      <c r="L196" s="97">
        <f t="shared" si="233"/>
        <v>128.83085139081948</v>
      </c>
      <c r="M196" s="97">
        <f t="shared" si="233"/>
        <v>162.80310800178441</v>
      </c>
      <c r="N196" s="97">
        <f t="shared" si="233"/>
        <v>164.83677620653546</v>
      </c>
      <c r="O196" s="97">
        <f t="shared" si="233"/>
        <v>171.58205015647971</v>
      </c>
      <c r="P196" s="97">
        <f t="shared" si="233"/>
        <v>177.08120639531609</v>
      </c>
      <c r="Q196" s="97">
        <f t="shared" si="233"/>
        <v>195.16552958953133</v>
      </c>
      <c r="R196" s="97">
        <f t="shared" si="233"/>
        <v>199.71363906020665</v>
      </c>
      <c r="S196" s="97">
        <f t="shared" si="233"/>
        <v>177.38425512884234</v>
      </c>
      <c r="T196" s="97">
        <f t="shared" si="233"/>
        <v>169.22087055229403</v>
      </c>
      <c r="U196" s="97">
        <f t="shared" si="233"/>
        <v>147.49831531650503</v>
      </c>
      <c r="V196" s="97">
        <f t="shared" si="233"/>
        <v>369.37668228058152</v>
      </c>
      <c r="W196" s="97">
        <f t="shared" ref="W196" si="234">IF(W44=0,0,W44/W14*1000)</f>
        <v>507.96783686551549</v>
      </c>
      <c r="DA196" s="175" t="s">
        <v>297</v>
      </c>
    </row>
    <row r="197" spans="1:105" ht="11.45" customHeight="1" x14ac:dyDescent="0.25">
      <c r="A197" s="128" t="str">
        <f>$A$15</f>
        <v>International - Intra-EEAwUK</v>
      </c>
      <c r="B197" s="97">
        <f t="shared" ref="B197:V197" si="235">IF(B45=0,0,B45/B15*1000)</f>
        <v>39.237336675109113</v>
      </c>
      <c r="C197" s="97">
        <f t="shared" si="235"/>
        <v>39.656050242937688</v>
      </c>
      <c r="D197" s="97">
        <f t="shared" si="235"/>
        <v>36.537633264005194</v>
      </c>
      <c r="E197" s="97">
        <f t="shared" si="235"/>
        <v>33.9838900077796</v>
      </c>
      <c r="F197" s="97">
        <f t="shared" si="235"/>
        <v>34.999731085457583</v>
      </c>
      <c r="G197" s="97">
        <f t="shared" si="235"/>
        <v>37.913181096765882</v>
      </c>
      <c r="H197" s="97">
        <f t="shared" si="235"/>
        <v>38.876595895799831</v>
      </c>
      <c r="I197" s="97">
        <f t="shared" si="235"/>
        <v>40.143756102177221</v>
      </c>
      <c r="J197" s="97">
        <f t="shared" si="235"/>
        <v>40.053784110031941</v>
      </c>
      <c r="K197" s="97">
        <f t="shared" si="235"/>
        <v>37.509344561808746</v>
      </c>
      <c r="L197" s="97">
        <f t="shared" si="235"/>
        <v>37.556985561701801</v>
      </c>
      <c r="M197" s="97">
        <f t="shared" si="235"/>
        <v>36.378742447731234</v>
      </c>
      <c r="N197" s="97">
        <f t="shared" si="235"/>
        <v>34.086704073207564</v>
      </c>
      <c r="O197" s="97">
        <f t="shared" si="235"/>
        <v>32.801994567206982</v>
      </c>
      <c r="P197" s="97">
        <f t="shared" si="235"/>
        <v>31.617765648863948</v>
      </c>
      <c r="Q197" s="97">
        <f t="shared" si="235"/>
        <v>33.365890041758959</v>
      </c>
      <c r="R197" s="97">
        <f t="shared" si="235"/>
        <v>36.033240933092102</v>
      </c>
      <c r="S197" s="97">
        <f t="shared" si="235"/>
        <v>34.445563898398049</v>
      </c>
      <c r="T197" s="97">
        <f t="shared" si="235"/>
        <v>34.90688439575225</v>
      </c>
      <c r="U197" s="97">
        <f t="shared" si="235"/>
        <v>33.319749265879651</v>
      </c>
      <c r="V197" s="97">
        <f t="shared" si="235"/>
        <v>31.980677916575836</v>
      </c>
      <c r="W197" s="97">
        <f t="shared" ref="W197" si="236">IF(W45=0,0,W45/W15*1000)</f>
        <v>36.83822519444233</v>
      </c>
      <c r="DA197" s="175" t="s">
        <v>298</v>
      </c>
    </row>
    <row r="198" spans="1:105" ht="11.45" customHeight="1" x14ac:dyDescent="0.25">
      <c r="A198" s="128" t="str">
        <f>$A$16</f>
        <v>International - Extra-EEAwUK</v>
      </c>
      <c r="B198" s="97">
        <f t="shared" ref="B198:V198" si="237">IF(B46=0,0,B46/B16*1000)</f>
        <v>44.081192081383307</v>
      </c>
      <c r="C198" s="97">
        <f t="shared" si="237"/>
        <v>42.678121529618373</v>
      </c>
      <c r="D198" s="97">
        <f t="shared" si="237"/>
        <v>38.093492889646335</v>
      </c>
      <c r="E198" s="97">
        <f t="shared" si="237"/>
        <v>34.995412555631724</v>
      </c>
      <c r="F198" s="97">
        <f t="shared" si="237"/>
        <v>34.534537860814773</v>
      </c>
      <c r="G198" s="97">
        <f t="shared" si="237"/>
        <v>33.049059024875511</v>
      </c>
      <c r="H198" s="97">
        <f t="shared" si="237"/>
        <v>33.934620667774439</v>
      </c>
      <c r="I198" s="97">
        <f t="shared" si="237"/>
        <v>35.357800413299444</v>
      </c>
      <c r="J198" s="97">
        <f t="shared" si="237"/>
        <v>36.076313517005623</v>
      </c>
      <c r="K198" s="97">
        <f t="shared" si="237"/>
        <v>36.106499621187673</v>
      </c>
      <c r="L198" s="97">
        <f t="shared" si="237"/>
        <v>35.920957898557042</v>
      </c>
      <c r="M198" s="97">
        <f t="shared" si="237"/>
        <v>37.105477760535905</v>
      </c>
      <c r="N198" s="97">
        <f t="shared" si="237"/>
        <v>35.445910186052181</v>
      </c>
      <c r="O198" s="97">
        <f t="shared" si="237"/>
        <v>33.292313087729475</v>
      </c>
      <c r="P198" s="97">
        <f t="shared" si="237"/>
        <v>30.180778578027429</v>
      </c>
      <c r="Q198" s="97">
        <f t="shared" si="237"/>
        <v>31.265409995820637</v>
      </c>
      <c r="R198" s="97">
        <f t="shared" si="237"/>
        <v>34.334352189336023</v>
      </c>
      <c r="S198" s="97">
        <f t="shared" si="237"/>
        <v>31.034122521726438</v>
      </c>
      <c r="T198" s="97">
        <f t="shared" si="237"/>
        <v>28.741282306647257</v>
      </c>
      <c r="U198" s="97">
        <f t="shared" si="237"/>
        <v>28.679478470739411</v>
      </c>
      <c r="V198" s="97">
        <f t="shared" si="237"/>
        <v>43.15861855116453</v>
      </c>
      <c r="W198" s="97">
        <f t="shared" ref="W198" si="238">IF(W46=0,0,W46/W16*1000)</f>
        <v>45.868803246396546</v>
      </c>
      <c r="DA198" s="175" t="s">
        <v>299</v>
      </c>
    </row>
    <row r="199" spans="1:105" ht="11.45" customHeight="1" x14ac:dyDescent="0.25">
      <c r="A199" s="27" t="s">
        <v>160</v>
      </c>
      <c r="B199" s="32">
        <f t="shared" ref="B199:V199" si="239">IF(B47=0,0,B47/B17*1000)</f>
        <v>43.338678038881838</v>
      </c>
      <c r="C199" s="32">
        <f t="shared" si="239"/>
        <v>47.356649325698243</v>
      </c>
      <c r="D199" s="32">
        <f t="shared" si="239"/>
        <v>50.430783726752637</v>
      </c>
      <c r="E199" s="32">
        <f t="shared" si="239"/>
        <v>54.197716434695188</v>
      </c>
      <c r="F199" s="32">
        <f t="shared" si="239"/>
        <v>51.293657539756495</v>
      </c>
      <c r="G199" s="32">
        <f t="shared" si="239"/>
        <v>52.720498934708125</v>
      </c>
      <c r="H199" s="32">
        <f t="shared" si="239"/>
        <v>45.736484447883839</v>
      </c>
      <c r="I199" s="32">
        <f t="shared" si="239"/>
        <v>42.739946157483296</v>
      </c>
      <c r="J199" s="32">
        <f t="shared" si="239"/>
        <v>39.841237885716815</v>
      </c>
      <c r="K199" s="32">
        <f t="shared" si="239"/>
        <v>44.427327103778907</v>
      </c>
      <c r="L199" s="32">
        <f t="shared" si="239"/>
        <v>44.300371526920785</v>
      </c>
      <c r="M199" s="32">
        <f t="shared" si="239"/>
        <v>40.372651550179036</v>
      </c>
      <c r="N199" s="32">
        <f t="shared" si="239"/>
        <v>42.053812716409517</v>
      </c>
      <c r="O199" s="32">
        <f t="shared" si="239"/>
        <v>47.59993726928186</v>
      </c>
      <c r="P199" s="32">
        <f t="shared" si="239"/>
        <v>44.417450398268201</v>
      </c>
      <c r="Q199" s="32">
        <f t="shared" si="239"/>
        <v>44.710275766719953</v>
      </c>
      <c r="R199" s="32">
        <f t="shared" si="239"/>
        <v>44.137560528724443</v>
      </c>
      <c r="S199" s="32">
        <f t="shared" si="239"/>
        <v>42.922640345058042</v>
      </c>
      <c r="T199" s="32">
        <f t="shared" si="239"/>
        <v>45.204909210940365</v>
      </c>
      <c r="U199" s="32">
        <f t="shared" si="239"/>
        <v>46.75900510131563</v>
      </c>
      <c r="V199" s="32">
        <f t="shared" si="239"/>
        <v>43.259482327012122</v>
      </c>
      <c r="W199" s="32">
        <f t="shared" ref="W199" si="240">IF(W47=0,0,W47/W17*1000)</f>
        <v>43.349870804373658</v>
      </c>
      <c r="DA199" s="173" t="s">
        <v>423</v>
      </c>
    </row>
    <row r="200" spans="1:105" ht="11.45" customHeight="1" x14ac:dyDescent="0.25">
      <c r="A200" s="136" t="str">
        <f>$A$18</f>
        <v>Road transport</v>
      </c>
      <c r="B200" s="141">
        <f t="shared" ref="B200:V200" si="241">IF(B48=0,0,B48/B18*1000)</f>
        <v>69.242568836737291</v>
      </c>
      <c r="C200" s="141">
        <f t="shared" si="241"/>
        <v>75.692769466186093</v>
      </c>
      <c r="D200" s="141">
        <f t="shared" si="241"/>
        <v>80.693708052177641</v>
      </c>
      <c r="E200" s="141">
        <f t="shared" si="241"/>
        <v>85.038216468837675</v>
      </c>
      <c r="F200" s="141">
        <f t="shared" si="241"/>
        <v>80.059691100478659</v>
      </c>
      <c r="G200" s="141">
        <f t="shared" si="241"/>
        <v>82.020218177060997</v>
      </c>
      <c r="H200" s="141">
        <f t="shared" si="241"/>
        <v>70.989960253973436</v>
      </c>
      <c r="I200" s="141">
        <f t="shared" si="241"/>
        <v>65.551130025110027</v>
      </c>
      <c r="J200" s="141">
        <f t="shared" si="241"/>
        <v>59.915730758736608</v>
      </c>
      <c r="K200" s="141">
        <f t="shared" si="241"/>
        <v>65.589395625755103</v>
      </c>
      <c r="L200" s="141">
        <f t="shared" si="241"/>
        <v>66.79498806515717</v>
      </c>
      <c r="M200" s="141">
        <f t="shared" si="241"/>
        <v>60.188722578976929</v>
      </c>
      <c r="N200" s="141">
        <f t="shared" si="241"/>
        <v>62.781401880827687</v>
      </c>
      <c r="O200" s="141">
        <f t="shared" si="241"/>
        <v>71.038735437757666</v>
      </c>
      <c r="P200" s="141">
        <f t="shared" si="241"/>
        <v>66.99977376126202</v>
      </c>
      <c r="Q200" s="141">
        <f t="shared" si="241"/>
        <v>66.267395939240288</v>
      </c>
      <c r="R200" s="141">
        <f t="shared" si="241"/>
        <v>65.247985220658478</v>
      </c>
      <c r="S200" s="141">
        <f t="shared" si="241"/>
        <v>62.962841915964077</v>
      </c>
      <c r="T200" s="141">
        <f t="shared" si="241"/>
        <v>65.500158221560866</v>
      </c>
      <c r="U200" s="141">
        <f t="shared" si="241"/>
        <v>67.317968423225551</v>
      </c>
      <c r="V200" s="141">
        <f t="shared" si="241"/>
        <v>60.949669049075489</v>
      </c>
      <c r="W200" s="141">
        <f t="shared" ref="W200" si="242">IF(W48=0,0,W48/W18*1000)</f>
        <v>60.880831394811906</v>
      </c>
      <c r="DA200" s="174" t="s">
        <v>424</v>
      </c>
    </row>
    <row r="201" spans="1:105" ht="11.45" customHeight="1" x14ac:dyDescent="0.25">
      <c r="A201" s="128" t="str">
        <f>$A$19</f>
        <v>Light commercial vehicles</v>
      </c>
      <c r="B201" s="97">
        <f t="shared" ref="B201:V201" si="243">IF(B49=0,0,B49/B19*1000)</f>
        <v>1620.034687035537</v>
      </c>
      <c r="C201" s="97">
        <f t="shared" si="243"/>
        <v>1570.3046781580704</v>
      </c>
      <c r="D201" s="97">
        <f t="shared" si="243"/>
        <v>1555.3236661262426</v>
      </c>
      <c r="E201" s="97">
        <f t="shared" si="243"/>
        <v>1528.1062936629523</v>
      </c>
      <c r="F201" s="97">
        <f t="shared" si="243"/>
        <v>1498.5592119487355</v>
      </c>
      <c r="G201" s="97">
        <f t="shared" si="243"/>
        <v>1480.82607184681</v>
      </c>
      <c r="H201" s="97">
        <f t="shared" si="243"/>
        <v>1467.3843422946388</v>
      </c>
      <c r="I201" s="97">
        <f t="shared" si="243"/>
        <v>1455.188143100663</v>
      </c>
      <c r="J201" s="97">
        <f t="shared" si="243"/>
        <v>1433.363840392213</v>
      </c>
      <c r="K201" s="97">
        <f t="shared" si="243"/>
        <v>1418.4167345898397</v>
      </c>
      <c r="L201" s="97">
        <f t="shared" si="243"/>
        <v>1408.0714254559969</v>
      </c>
      <c r="M201" s="97">
        <f t="shared" si="243"/>
        <v>1400.6046094547205</v>
      </c>
      <c r="N201" s="97">
        <f t="shared" si="243"/>
        <v>1379.6713874150869</v>
      </c>
      <c r="O201" s="97">
        <f t="shared" si="243"/>
        <v>1370.588873177853</v>
      </c>
      <c r="P201" s="97">
        <f t="shared" si="243"/>
        <v>1370.0690309927943</v>
      </c>
      <c r="Q201" s="97">
        <f t="shared" si="243"/>
        <v>1363.2610379690764</v>
      </c>
      <c r="R201" s="97">
        <f t="shared" si="243"/>
        <v>1351.9769366430594</v>
      </c>
      <c r="S201" s="97">
        <f t="shared" si="243"/>
        <v>1330.7443292674348</v>
      </c>
      <c r="T201" s="97">
        <f t="shared" si="243"/>
        <v>1315.3601862052276</v>
      </c>
      <c r="U201" s="97">
        <f t="shared" si="243"/>
        <v>1310.32360531108</v>
      </c>
      <c r="V201" s="97">
        <f t="shared" si="243"/>
        <v>1306.6703738441033</v>
      </c>
      <c r="W201" s="97">
        <f t="shared" ref="W201" si="244">IF(W49=0,0,W49/W19*1000)</f>
        <v>1310.1091142784505</v>
      </c>
      <c r="DA201" s="175" t="s">
        <v>425</v>
      </c>
    </row>
    <row r="202" spans="1:105" ht="11.45" customHeight="1" x14ac:dyDescent="0.25">
      <c r="A202" s="128" t="str">
        <f>$A$20</f>
        <v>Heavy goods vehicles</v>
      </c>
      <c r="B202" s="97">
        <f t="shared" ref="B202:V202" si="245">IF(B50=0,0,B50/B20*1000)</f>
        <v>53.804678449470352</v>
      </c>
      <c r="C202" s="97">
        <f t="shared" si="245"/>
        <v>60.637861381719162</v>
      </c>
      <c r="D202" s="97">
        <f t="shared" si="245"/>
        <v>65.872629261358298</v>
      </c>
      <c r="E202" s="97">
        <f t="shared" si="245"/>
        <v>70.537645371632848</v>
      </c>
      <c r="F202" s="97">
        <f t="shared" si="245"/>
        <v>66.489066028079321</v>
      </c>
      <c r="G202" s="97">
        <f t="shared" si="245"/>
        <v>68.576699265111401</v>
      </c>
      <c r="H202" s="97">
        <f t="shared" si="245"/>
        <v>58.394448695400705</v>
      </c>
      <c r="I202" s="97">
        <f t="shared" si="245"/>
        <v>53.714187917476657</v>
      </c>
      <c r="J202" s="97">
        <f t="shared" si="245"/>
        <v>48.949844108005472</v>
      </c>
      <c r="K202" s="97">
        <f t="shared" si="245"/>
        <v>53.152399552009435</v>
      </c>
      <c r="L202" s="97">
        <f t="shared" si="245"/>
        <v>55.012156599343619</v>
      </c>
      <c r="M202" s="97">
        <f t="shared" si="245"/>
        <v>48.556278026636157</v>
      </c>
      <c r="N202" s="97">
        <f t="shared" si="245"/>
        <v>50.946976590986175</v>
      </c>
      <c r="O202" s="97">
        <f t="shared" si="245"/>
        <v>59.126702194804281</v>
      </c>
      <c r="P202" s="97">
        <f t="shared" si="245"/>
        <v>54.861962237797442</v>
      </c>
      <c r="Q202" s="97">
        <f t="shared" si="245"/>
        <v>54.315922584162742</v>
      </c>
      <c r="R202" s="97">
        <f t="shared" si="245"/>
        <v>53.535965985225317</v>
      </c>
      <c r="S202" s="97">
        <f t="shared" si="245"/>
        <v>51.86690759317672</v>
      </c>
      <c r="T202" s="97">
        <f t="shared" si="245"/>
        <v>54.358686580182159</v>
      </c>
      <c r="U202" s="97">
        <f t="shared" si="245"/>
        <v>56.077205794006112</v>
      </c>
      <c r="V202" s="97">
        <f t="shared" si="245"/>
        <v>49.492039690558414</v>
      </c>
      <c r="W202" s="97">
        <f t="shared" ref="W202" si="246">IF(W50=0,0,W50/W20*1000)</f>
        <v>49.391566144755437</v>
      </c>
      <c r="DA202" s="175" t="s">
        <v>426</v>
      </c>
    </row>
    <row r="203" spans="1:105" ht="11.45" customHeight="1" x14ac:dyDescent="0.25">
      <c r="A203" s="109" t="str">
        <f>$A$21</f>
        <v>Rail transport</v>
      </c>
      <c r="B203" s="130">
        <f t="shared" ref="B203:V203" si="247">IF(B51=0,0,B51/B21*1000)</f>
        <v>5.4005606633096734</v>
      </c>
      <c r="C203" s="130">
        <f t="shared" si="247"/>
        <v>5.1638782561962007</v>
      </c>
      <c r="D203" s="130">
        <f t="shared" si="247"/>
        <v>4.85931729428032</v>
      </c>
      <c r="E203" s="130">
        <f t="shared" si="247"/>
        <v>4.8330027152605117</v>
      </c>
      <c r="F203" s="130">
        <f t="shared" si="247"/>
        <v>4.8051354567474798</v>
      </c>
      <c r="G203" s="130">
        <f t="shared" si="247"/>
        <v>4.6945486423172076</v>
      </c>
      <c r="H203" s="130">
        <f t="shared" si="247"/>
        <v>4.4884644598983341</v>
      </c>
      <c r="I203" s="130">
        <f t="shared" si="247"/>
        <v>4.1894234080137789</v>
      </c>
      <c r="J203" s="130">
        <f t="shared" si="247"/>
        <v>4.070708022785352</v>
      </c>
      <c r="K203" s="130">
        <f t="shared" si="247"/>
        <v>4.1612840644107605</v>
      </c>
      <c r="L203" s="130">
        <f t="shared" si="247"/>
        <v>3.9473260754582196</v>
      </c>
      <c r="M203" s="130">
        <f t="shared" si="247"/>
        <v>3.8879538221412302</v>
      </c>
      <c r="N203" s="130">
        <f t="shared" si="247"/>
        <v>3.7086114128361234</v>
      </c>
      <c r="O203" s="130">
        <f t="shared" si="247"/>
        <v>3.7056525915537182</v>
      </c>
      <c r="P203" s="130">
        <f t="shared" si="247"/>
        <v>3.281363414750702</v>
      </c>
      <c r="Q203" s="130">
        <f t="shared" si="247"/>
        <v>3.1922625409095855</v>
      </c>
      <c r="R203" s="130">
        <f t="shared" si="247"/>
        <v>3.0532386977184482</v>
      </c>
      <c r="S203" s="130">
        <f t="shared" si="247"/>
        <v>2.9944063142204285</v>
      </c>
      <c r="T203" s="130">
        <f t="shared" si="247"/>
        <v>3.0592111788106808</v>
      </c>
      <c r="U203" s="130">
        <f t="shared" si="247"/>
        <v>3.1546388864449182</v>
      </c>
      <c r="V203" s="130">
        <f t="shared" si="247"/>
        <v>3.9462236669702198</v>
      </c>
      <c r="W203" s="130">
        <f t="shared" ref="W203" si="248">IF(W51=0,0,W51/W21*1000)</f>
        <v>3.5393118635713816</v>
      </c>
      <c r="DA203" s="176" t="s">
        <v>427</v>
      </c>
    </row>
    <row r="204" spans="1:105" ht="11.45" customHeight="1" x14ac:dyDescent="0.25">
      <c r="A204" s="109" t="str">
        <f>$A$22</f>
        <v>Aviation</v>
      </c>
      <c r="B204" s="130">
        <f t="shared" ref="B204:V204" si="249">IF(B52=0,0,B52/B22*1000)</f>
        <v>55.845970260799398</v>
      </c>
      <c r="C204" s="130">
        <f t="shared" si="249"/>
        <v>55.703236458704382</v>
      </c>
      <c r="D204" s="130">
        <f t="shared" si="249"/>
        <v>58.547758931700123</v>
      </c>
      <c r="E204" s="130">
        <f t="shared" si="249"/>
        <v>56.637139601180287</v>
      </c>
      <c r="F204" s="130">
        <f t="shared" si="249"/>
        <v>69.816476254857903</v>
      </c>
      <c r="G204" s="130">
        <f t="shared" si="249"/>
        <v>68.078598860163424</v>
      </c>
      <c r="H204" s="130">
        <f t="shared" si="249"/>
        <v>78.320009470766323</v>
      </c>
      <c r="I204" s="130">
        <f t="shared" si="249"/>
        <v>83.966815705788036</v>
      </c>
      <c r="J204" s="130">
        <f t="shared" si="249"/>
        <v>88.278764656411568</v>
      </c>
      <c r="K204" s="130">
        <f t="shared" si="249"/>
        <v>86.538505648434693</v>
      </c>
      <c r="L204" s="130">
        <f t="shared" si="249"/>
        <v>93.416694405783488</v>
      </c>
      <c r="M204" s="130">
        <f t="shared" si="249"/>
        <v>90.424237074800999</v>
      </c>
      <c r="N204" s="130">
        <f t="shared" si="249"/>
        <v>82.708765095367667</v>
      </c>
      <c r="O204" s="130">
        <f t="shared" si="249"/>
        <v>77.68931053086709</v>
      </c>
      <c r="P204" s="130">
        <f t="shared" si="249"/>
        <v>63.996404181700228</v>
      </c>
      <c r="Q204" s="130">
        <f t="shared" si="249"/>
        <v>61.301601773314566</v>
      </c>
      <c r="R204" s="130">
        <f t="shared" si="249"/>
        <v>61.628964229578791</v>
      </c>
      <c r="S204" s="130">
        <f t="shared" si="249"/>
        <v>63.460362005706344</v>
      </c>
      <c r="T204" s="130">
        <f t="shared" si="249"/>
        <v>62.591477129819481</v>
      </c>
      <c r="U204" s="130">
        <f t="shared" si="249"/>
        <v>62.552430844397115</v>
      </c>
      <c r="V204" s="130">
        <f t="shared" si="249"/>
        <v>95.17523805200625</v>
      </c>
      <c r="W204" s="130">
        <f t="shared" ref="W204" si="250">IF(W52=0,0,W52/W22*1000)</f>
        <v>111.79501822560404</v>
      </c>
      <c r="DA204" s="176" t="s">
        <v>300</v>
      </c>
    </row>
    <row r="205" spans="1:105" ht="11.45" customHeight="1" x14ac:dyDescent="0.25">
      <c r="A205" s="128" t="s">
        <v>27</v>
      </c>
      <c r="B205" s="97">
        <f t="shared" ref="B205:V205" si="251">IF(B53=0,0,B53/B23*1000)</f>
        <v>674.30976723937158</v>
      </c>
      <c r="C205" s="97">
        <f t="shared" si="251"/>
        <v>714.71337555848527</v>
      </c>
      <c r="D205" s="97">
        <f t="shared" si="251"/>
        <v>667.00835443847791</v>
      </c>
      <c r="E205" s="97">
        <f t="shared" si="251"/>
        <v>636.5962167803367</v>
      </c>
      <c r="F205" s="97">
        <f t="shared" si="251"/>
        <v>733.96269785021809</v>
      </c>
      <c r="G205" s="97">
        <f t="shared" si="251"/>
        <v>747.87106021361569</v>
      </c>
      <c r="H205" s="97">
        <f t="shared" si="251"/>
        <v>786.19687176052628</v>
      </c>
      <c r="I205" s="97">
        <f t="shared" si="251"/>
        <v>780.93081793837462</v>
      </c>
      <c r="J205" s="97">
        <f t="shared" si="251"/>
        <v>738.68040032225076</v>
      </c>
      <c r="K205" s="97">
        <f t="shared" si="251"/>
        <v>717.63879600735015</v>
      </c>
      <c r="L205" s="97">
        <f t="shared" si="251"/>
        <v>663.80486408936702</v>
      </c>
      <c r="M205" s="97">
        <f t="shared" si="251"/>
        <v>798.88544921296341</v>
      </c>
      <c r="N205" s="97">
        <f t="shared" si="251"/>
        <v>710.28795267175781</v>
      </c>
      <c r="O205" s="97">
        <f t="shared" si="251"/>
        <v>749.609826595973</v>
      </c>
      <c r="P205" s="97">
        <f t="shared" si="251"/>
        <v>733.22264761898043</v>
      </c>
      <c r="Q205" s="97">
        <f t="shared" si="251"/>
        <v>852.40176160614772</v>
      </c>
      <c r="R205" s="97">
        <f t="shared" si="251"/>
        <v>827.15093222511371</v>
      </c>
      <c r="S205" s="97">
        <f t="shared" si="251"/>
        <v>912.87050159059868</v>
      </c>
      <c r="T205" s="97">
        <f t="shared" si="251"/>
        <v>1019.9999108748849</v>
      </c>
      <c r="U205" s="97">
        <f t="shared" si="251"/>
        <v>695.44595343489345</v>
      </c>
      <c r="V205" s="97">
        <f t="shared" si="251"/>
        <v>1505.7794863211031</v>
      </c>
      <c r="W205" s="97">
        <f t="shared" ref="W205" si="252">IF(W53=0,0,W53/W23*1000)</f>
        <v>2164.9270819152594</v>
      </c>
      <c r="DA205" s="175" t="s">
        <v>301</v>
      </c>
    </row>
    <row r="206" spans="1:105" ht="11.45" customHeight="1" x14ac:dyDescent="0.25">
      <c r="A206" s="128" t="str">
        <f>$A$24</f>
        <v>International - Intra-EEAwUK</v>
      </c>
      <c r="B206" s="97">
        <f t="shared" ref="B206:V206" si="253">IF(B54=0,0,B54/B24*1000)</f>
        <v>127.94276419372841</v>
      </c>
      <c r="C206" s="97">
        <f t="shared" si="253"/>
        <v>124.28625850750991</v>
      </c>
      <c r="D206" s="97">
        <f t="shared" si="253"/>
        <v>124.61816170919266</v>
      </c>
      <c r="E206" s="97">
        <f t="shared" si="253"/>
        <v>110.49352414488753</v>
      </c>
      <c r="F206" s="97">
        <f t="shared" si="253"/>
        <v>131.48454551708994</v>
      </c>
      <c r="G206" s="97">
        <f t="shared" si="253"/>
        <v>145.99731835570097</v>
      </c>
      <c r="H206" s="97">
        <f t="shared" si="253"/>
        <v>172.61770619057836</v>
      </c>
      <c r="I206" s="97">
        <f t="shared" si="253"/>
        <v>184.53825980906882</v>
      </c>
      <c r="J206" s="97">
        <f t="shared" si="253"/>
        <v>189.65234514233046</v>
      </c>
      <c r="K206" s="97">
        <f t="shared" si="253"/>
        <v>181.57558420533653</v>
      </c>
      <c r="L206" s="97">
        <f t="shared" si="253"/>
        <v>196.63531847208486</v>
      </c>
      <c r="M206" s="97">
        <f t="shared" si="253"/>
        <v>205.78913883732216</v>
      </c>
      <c r="N206" s="97">
        <f t="shared" si="253"/>
        <v>192.55586864102409</v>
      </c>
      <c r="O206" s="97">
        <f t="shared" si="253"/>
        <v>196.10724538168768</v>
      </c>
      <c r="P206" s="97">
        <f t="shared" si="253"/>
        <v>161.46765378966666</v>
      </c>
      <c r="Q206" s="97">
        <f t="shared" si="253"/>
        <v>161.48037748655369</v>
      </c>
      <c r="R206" s="97">
        <f t="shared" si="253"/>
        <v>160.4333077135021</v>
      </c>
      <c r="S206" s="97">
        <f t="shared" si="253"/>
        <v>172.70060617308437</v>
      </c>
      <c r="T206" s="97">
        <f t="shared" si="253"/>
        <v>170.97961123575672</v>
      </c>
      <c r="U206" s="97">
        <f t="shared" si="253"/>
        <v>156.14261309478402</v>
      </c>
      <c r="V206" s="97">
        <f t="shared" si="253"/>
        <v>156.41873747174415</v>
      </c>
      <c r="W206" s="97">
        <f t="shared" ref="W206" si="254">IF(W54=0,0,W54/W24*1000)</f>
        <v>199.85175420344362</v>
      </c>
      <c r="DA206" s="175" t="s">
        <v>302</v>
      </c>
    </row>
    <row r="207" spans="1:105" ht="11.45" customHeight="1" x14ac:dyDescent="0.25">
      <c r="A207" s="128" t="str">
        <f>$A$25</f>
        <v>International - Extra-EEAwUK</v>
      </c>
      <c r="B207" s="97">
        <f t="shared" ref="B207:V207" si="255">IF(B55=0,0,B55/B25*1000)</f>
        <v>30.492036278084189</v>
      </c>
      <c r="C207" s="97">
        <f t="shared" si="255"/>
        <v>29.705178928866349</v>
      </c>
      <c r="D207" s="97">
        <f t="shared" si="255"/>
        <v>29.714748453233025</v>
      </c>
      <c r="E207" s="97">
        <f t="shared" si="255"/>
        <v>29.921680835628173</v>
      </c>
      <c r="F207" s="97">
        <f t="shared" si="255"/>
        <v>31.483249736676392</v>
      </c>
      <c r="G207" s="97">
        <f t="shared" si="255"/>
        <v>32.890504677959697</v>
      </c>
      <c r="H207" s="97">
        <f t="shared" si="255"/>
        <v>35.859957373911435</v>
      </c>
      <c r="I207" s="97">
        <f t="shared" si="255"/>
        <v>40.192872947830601</v>
      </c>
      <c r="J207" s="97">
        <f t="shared" si="255"/>
        <v>41.841659416732725</v>
      </c>
      <c r="K207" s="97">
        <f t="shared" si="255"/>
        <v>37.430348094208654</v>
      </c>
      <c r="L207" s="97">
        <f t="shared" si="255"/>
        <v>39.706655671267725</v>
      </c>
      <c r="M207" s="97">
        <f t="shared" si="255"/>
        <v>45.712187062729569</v>
      </c>
      <c r="N207" s="97">
        <f t="shared" si="255"/>
        <v>48.453418166899908</v>
      </c>
      <c r="O207" s="97">
        <f t="shared" si="255"/>
        <v>44.70360474435644</v>
      </c>
      <c r="P207" s="97">
        <f t="shared" si="255"/>
        <v>36.850546747587735</v>
      </c>
      <c r="Q207" s="97">
        <f t="shared" si="255"/>
        <v>41.102284678118238</v>
      </c>
      <c r="R207" s="97">
        <f t="shared" si="255"/>
        <v>44.997974370951788</v>
      </c>
      <c r="S207" s="97">
        <f t="shared" si="255"/>
        <v>45.209418713616863</v>
      </c>
      <c r="T207" s="97">
        <f t="shared" si="255"/>
        <v>47.441619291578554</v>
      </c>
      <c r="U207" s="97">
        <f t="shared" si="255"/>
        <v>48.688256548979396</v>
      </c>
      <c r="V207" s="97">
        <f t="shared" si="255"/>
        <v>80.639732502683074</v>
      </c>
      <c r="W207" s="97">
        <f t="shared" ref="W207" si="256">IF(W55=0,0,W55/W25*1000)</f>
        <v>86.407537461735984</v>
      </c>
      <c r="DA207" s="175" t="s">
        <v>303</v>
      </c>
    </row>
    <row r="208" spans="1:105" ht="11.45" customHeight="1" x14ac:dyDescent="0.25">
      <c r="A208" s="109" t="s">
        <v>142</v>
      </c>
      <c r="B208" s="130">
        <f t="shared" ref="B208:V208" si="257">IF(B56=0,0,B56/B26*1000)</f>
        <v>14.215451038780289</v>
      </c>
      <c r="C208" s="130">
        <f t="shared" si="257"/>
        <v>14.38678777358597</v>
      </c>
      <c r="D208" s="130">
        <f t="shared" si="257"/>
        <v>13.644257315482225</v>
      </c>
      <c r="E208" s="130">
        <f t="shared" si="257"/>
        <v>15.26474619454263</v>
      </c>
      <c r="F208" s="130">
        <f t="shared" si="257"/>
        <v>23.982988156579438</v>
      </c>
      <c r="G208" s="130">
        <f t="shared" si="257"/>
        <v>23.697981938835717</v>
      </c>
      <c r="H208" s="130">
        <f t="shared" si="257"/>
        <v>21.458965910904677</v>
      </c>
      <c r="I208" s="130">
        <f t="shared" si="257"/>
        <v>15.619351781985364</v>
      </c>
      <c r="J208" s="130">
        <f t="shared" si="257"/>
        <v>16.277792337353844</v>
      </c>
      <c r="K208" s="130">
        <f t="shared" si="257"/>
        <v>17.860225998062234</v>
      </c>
      <c r="L208" s="130">
        <f t="shared" si="257"/>
        <v>16.658659546544776</v>
      </c>
      <c r="M208" s="130">
        <f t="shared" si="257"/>
        <v>17.978460532780023</v>
      </c>
      <c r="N208" s="130">
        <f t="shared" si="257"/>
        <v>16.834168389169633</v>
      </c>
      <c r="O208" s="130">
        <f t="shared" si="257"/>
        <v>16.679243380050494</v>
      </c>
      <c r="P208" s="130">
        <f t="shared" si="257"/>
        <v>18.31154360979378</v>
      </c>
      <c r="Q208" s="130">
        <f t="shared" si="257"/>
        <v>20.537874611141422</v>
      </c>
      <c r="R208" s="130">
        <f t="shared" si="257"/>
        <v>20.003409579955523</v>
      </c>
      <c r="S208" s="130">
        <f t="shared" si="257"/>
        <v>20.233706103030041</v>
      </c>
      <c r="T208" s="130">
        <f t="shared" si="257"/>
        <v>25.711624426072074</v>
      </c>
      <c r="U208" s="130">
        <f t="shared" si="257"/>
        <v>25.149796068777587</v>
      </c>
      <c r="V208" s="130">
        <f t="shared" si="257"/>
        <v>13.437731893190731</v>
      </c>
      <c r="W208" s="130">
        <f t="shared" ref="W208" si="258">IF(W56=0,0,W56/W26*1000)</f>
        <v>21.064381054172532</v>
      </c>
      <c r="DA208" s="176" t="s">
        <v>428</v>
      </c>
    </row>
    <row r="209" spans="1:105" ht="11.45" customHeight="1" x14ac:dyDescent="0.25">
      <c r="A209" s="128" t="str">
        <f>$A$27</f>
        <v>Domestic coastal shipping</v>
      </c>
      <c r="B209" s="97">
        <f t="shared" ref="B209:V209" si="259">IF(B57=0,0,B57/B27*1000)</f>
        <v>0</v>
      </c>
      <c r="C209" s="97">
        <f t="shared" si="259"/>
        <v>0</v>
      </c>
      <c r="D209" s="97">
        <f t="shared" si="259"/>
        <v>0</v>
      </c>
      <c r="E209" s="97">
        <f t="shared" si="259"/>
        <v>0</v>
      </c>
      <c r="F209" s="97">
        <f t="shared" si="259"/>
        <v>0</v>
      </c>
      <c r="G209" s="97">
        <f t="shared" si="259"/>
        <v>0</v>
      </c>
      <c r="H209" s="97">
        <f t="shared" si="259"/>
        <v>0</v>
      </c>
      <c r="I209" s="97">
        <f t="shared" si="259"/>
        <v>0</v>
      </c>
      <c r="J209" s="97">
        <f t="shared" si="259"/>
        <v>0</v>
      </c>
      <c r="K209" s="97">
        <f t="shared" si="259"/>
        <v>0</v>
      </c>
      <c r="L209" s="97">
        <f t="shared" si="259"/>
        <v>0</v>
      </c>
      <c r="M209" s="97">
        <f t="shared" si="259"/>
        <v>0</v>
      </c>
      <c r="N209" s="97">
        <f t="shared" si="259"/>
        <v>0</v>
      </c>
      <c r="O209" s="97">
        <f t="shared" si="259"/>
        <v>0</v>
      </c>
      <c r="P209" s="97">
        <f t="shared" si="259"/>
        <v>0</v>
      </c>
      <c r="Q209" s="97">
        <f t="shared" si="259"/>
        <v>0</v>
      </c>
      <c r="R209" s="97">
        <f t="shared" si="259"/>
        <v>0</v>
      </c>
      <c r="S209" s="97">
        <f t="shared" si="259"/>
        <v>0</v>
      </c>
      <c r="T209" s="97">
        <f t="shared" si="259"/>
        <v>0</v>
      </c>
      <c r="U209" s="97">
        <f t="shared" si="259"/>
        <v>0</v>
      </c>
      <c r="V209" s="97">
        <f t="shared" si="259"/>
        <v>0</v>
      </c>
      <c r="W209" s="97">
        <f t="shared" ref="W209" si="260">IF(W57=0,0,W57/W27*1000)</f>
        <v>0</v>
      </c>
      <c r="DA209" s="175" t="s">
        <v>429</v>
      </c>
    </row>
    <row r="210" spans="1:105" ht="11.45" customHeight="1" x14ac:dyDescent="0.25">
      <c r="A210" s="138" t="str">
        <f>$A$28</f>
        <v>Inland waterways</v>
      </c>
      <c r="B210" s="98">
        <f t="shared" ref="B210:V210" si="261">IF(B58=0,0,B58/B28*1000)</f>
        <v>14.215451038780289</v>
      </c>
      <c r="C210" s="98">
        <f t="shared" si="261"/>
        <v>14.38678777358597</v>
      </c>
      <c r="D210" s="98">
        <f t="shared" si="261"/>
        <v>13.644257315482225</v>
      </c>
      <c r="E210" s="98">
        <f t="shared" si="261"/>
        <v>15.26474619454263</v>
      </c>
      <c r="F210" s="98">
        <f t="shared" si="261"/>
        <v>23.982988156579438</v>
      </c>
      <c r="G210" s="98">
        <f t="shared" si="261"/>
        <v>23.697981938835717</v>
      </c>
      <c r="H210" s="98">
        <f t="shared" si="261"/>
        <v>21.458965910904677</v>
      </c>
      <c r="I210" s="98">
        <f t="shared" si="261"/>
        <v>15.619351781985364</v>
      </c>
      <c r="J210" s="98">
        <f t="shared" si="261"/>
        <v>16.277792337353844</v>
      </c>
      <c r="K210" s="98">
        <f t="shared" si="261"/>
        <v>17.860225998062234</v>
      </c>
      <c r="L210" s="98">
        <f t="shared" si="261"/>
        <v>16.658659546544776</v>
      </c>
      <c r="M210" s="98">
        <f t="shared" si="261"/>
        <v>17.978460532780023</v>
      </c>
      <c r="N210" s="98">
        <f t="shared" si="261"/>
        <v>16.834168389169633</v>
      </c>
      <c r="O210" s="98">
        <f t="shared" si="261"/>
        <v>16.679243380050494</v>
      </c>
      <c r="P210" s="98">
        <f t="shared" si="261"/>
        <v>18.31154360979378</v>
      </c>
      <c r="Q210" s="98">
        <f t="shared" si="261"/>
        <v>20.537874611141422</v>
      </c>
      <c r="R210" s="98">
        <f t="shared" si="261"/>
        <v>20.003409579955523</v>
      </c>
      <c r="S210" s="98">
        <f t="shared" si="261"/>
        <v>20.233706103030041</v>
      </c>
      <c r="T210" s="98">
        <f t="shared" si="261"/>
        <v>25.711624426072074</v>
      </c>
      <c r="U210" s="98">
        <f t="shared" si="261"/>
        <v>25.149796068777587</v>
      </c>
      <c r="V210" s="98">
        <f t="shared" si="261"/>
        <v>13.437731893190731</v>
      </c>
      <c r="W210" s="98">
        <f t="shared" ref="W210:W213" si="262">IF(W58=0,0,W58/W28*1000)</f>
        <v>21.064381054172532</v>
      </c>
      <c r="DA210" s="178" t="s">
        <v>430</v>
      </c>
    </row>
    <row r="211" spans="1:105" ht="11.45" customHeight="1" x14ac:dyDescent="0.25">
      <c r="A211" s="27" t="s">
        <v>179</v>
      </c>
      <c r="B211" s="32">
        <f t="shared" ref="B211:V211" si="263">IF(B59=0,0,B59/B29*1000)</f>
        <v>0</v>
      </c>
      <c r="C211" s="32">
        <f t="shared" si="263"/>
        <v>0</v>
      </c>
      <c r="D211" s="32">
        <f t="shared" si="263"/>
        <v>0</v>
      </c>
      <c r="E211" s="32">
        <f t="shared" si="263"/>
        <v>0</v>
      </c>
      <c r="F211" s="32">
        <f t="shared" si="263"/>
        <v>0</v>
      </c>
      <c r="G211" s="32">
        <f t="shared" si="263"/>
        <v>0</v>
      </c>
      <c r="H211" s="32">
        <f t="shared" si="263"/>
        <v>0</v>
      </c>
      <c r="I211" s="32">
        <f t="shared" si="263"/>
        <v>0</v>
      </c>
      <c r="J211" s="32">
        <f t="shared" si="263"/>
        <v>0</v>
      </c>
      <c r="K211" s="32">
        <f t="shared" si="263"/>
        <v>0</v>
      </c>
      <c r="L211" s="32">
        <f t="shared" si="263"/>
        <v>0</v>
      </c>
      <c r="M211" s="32">
        <f t="shared" si="263"/>
        <v>0</v>
      </c>
      <c r="N211" s="32">
        <f t="shared" si="263"/>
        <v>0</v>
      </c>
      <c r="O211" s="32">
        <f t="shared" si="263"/>
        <v>0</v>
      </c>
      <c r="P211" s="32">
        <f t="shared" si="263"/>
        <v>0</v>
      </c>
      <c r="Q211" s="32">
        <f t="shared" si="263"/>
        <v>0</v>
      </c>
      <c r="R211" s="32">
        <f t="shared" si="263"/>
        <v>0</v>
      </c>
      <c r="S211" s="32">
        <f t="shared" si="263"/>
        <v>0</v>
      </c>
      <c r="T211" s="32">
        <f t="shared" si="263"/>
        <v>0</v>
      </c>
      <c r="U211" s="32">
        <f t="shared" si="263"/>
        <v>0</v>
      </c>
      <c r="V211" s="32">
        <f t="shared" si="263"/>
        <v>0</v>
      </c>
      <c r="W211" s="32">
        <f t="shared" si="262"/>
        <v>0</v>
      </c>
      <c r="DA211" s="173" t="s">
        <v>431</v>
      </c>
    </row>
    <row r="212" spans="1:105" ht="11.45" customHeight="1" x14ac:dyDescent="0.25">
      <c r="A212" s="128" t="str">
        <f>$A$30</f>
        <v>Intra-EEA</v>
      </c>
      <c r="B212" s="97">
        <f t="shared" ref="B212:V212" si="264">IF(B60=0,0,B60/B30*1000)</f>
        <v>0</v>
      </c>
      <c r="C212" s="97">
        <f t="shared" si="264"/>
        <v>0</v>
      </c>
      <c r="D212" s="97">
        <f t="shared" si="264"/>
        <v>0</v>
      </c>
      <c r="E212" s="97">
        <f t="shared" si="264"/>
        <v>0</v>
      </c>
      <c r="F212" s="97">
        <f t="shared" si="264"/>
        <v>0</v>
      </c>
      <c r="G212" s="97">
        <f t="shared" si="264"/>
        <v>0</v>
      </c>
      <c r="H212" s="97">
        <f t="shared" si="264"/>
        <v>0</v>
      </c>
      <c r="I212" s="97">
        <f t="shared" si="264"/>
        <v>0</v>
      </c>
      <c r="J212" s="97">
        <f t="shared" si="264"/>
        <v>0</v>
      </c>
      <c r="K212" s="97">
        <f t="shared" si="264"/>
        <v>0</v>
      </c>
      <c r="L212" s="97">
        <f t="shared" si="264"/>
        <v>0</v>
      </c>
      <c r="M212" s="97">
        <f t="shared" si="264"/>
        <v>0</v>
      </c>
      <c r="N212" s="97">
        <f t="shared" si="264"/>
        <v>0</v>
      </c>
      <c r="O212" s="97">
        <f t="shared" si="264"/>
        <v>0</v>
      </c>
      <c r="P212" s="97">
        <f t="shared" si="264"/>
        <v>0</v>
      </c>
      <c r="Q212" s="97">
        <f t="shared" si="264"/>
        <v>0</v>
      </c>
      <c r="R212" s="97">
        <f t="shared" si="264"/>
        <v>0</v>
      </c>
      <c r="S212" s="97">
        <f t="shared" si="264"/>
        <v>0</v>
      </c>
      <c r="T212" s="97">
        <f t="shared" si="264"/>
        <v>0</v>
      </c>
      <c r="U212" s="97">
        <f t="shared" si="264"/>
        <v>0</v>
      </c>
      <c r="V212" s="97">
        <f t="shared" si="264"/>
        <v>0</v>
      </c>
      <c r="W212" s="97">
        <f t="shared" si="262"/>
        <v>0</v>
      </c>
      <c r="DA212" s="175" t="s">
        <v>432</v>
      </c>
    </row>
    <row r="213" spans="1:105" ht="11.45" customHeight="1" x14ac:dyDescent="0.25">
      <c r="A213" s="138" t="str">
        <f>$A$31</f>
        <v>Extra-EEA</v>
      </c>
      <c r="B213" s="98">
        <f t="shared" ref="B213:V213" si="265">IF(B61=0,0,B61/B31*1000)</f>
        <v>0</v>
      </c>
      <c r="C213" s="98">
        <f t="shared" si="265"/>
        <v>0</v>
      </c>
      <c r="D213" s="98">
        <f t="shared" si="265"/>
        <v>0</v>
      </c>
      <c r="E213" s="98">
        <f t="shared" si="265"/>
        <v>0</v>
      </c>
      <c r="F213" s="98">
        <f t="shared" si="265"/>
        <v>0</v>
      </c>
      <c r="G213" s="98">
        <f t="shared" si="265"/>
        <v>0</v>
      </c>
      <c r="H213" s="98">
        <f t="shared" si="265"/>
        <v>0</v>
      </c>
      <c r="I213" s="98">
        <f t="shared" si="265"/>
        <v>0</v>
      </c>
      <c r="J213" s="98">
        <f t="shared" si="265"/>
        <v>0</v>
      </c>
      <c r="K213" s="98">
        <f t="shared" si="265"/>
        <v>0</v>
      </c>
      <c r="L213" s="98">
        <f t="shared" si="265"/>
        <v>0</v>
      </c>
      <c r="M213" s="98">
        <f t="shared" si="265"/>
        <v>0</v>
      </c>
      <c r="N213" s="98">
        <f t="shared" si="265"/>
        <v>0</v>
      </c>
      <c r="O213" s="98">
        <f t="shared" si="265"/>
        <v>0</v>
      </c>
      <c r="P213" s="98">
        <f t="shared" si="265"/>
        <v>0</v>
      </c>
      <c r="Q213" s="98">
        <f t="shared" si="265"/>
        <v>0</v>
      </c>
      <c r="R213" s="98">
        <f t="shared" si="265"/>
        <v>0</v>
      </c>
      <c r="S213" s="98">
        <f t="shared" si="265"/>
        <v>0</v>
      </c>
      <c r="T213" s="98">
        <f t="shared" si="265"/>
        <v>0</v>
      </c>
      <c r="U213" s="98">
        <f t="shared" si="265"/>
        <v>0</v>
      </c>
      <c r="V213" s="98">
        <f t="shared" si="265"/>
        <v>0</v>
      </c>
      <c r="W213" s="98">
        <f t="shared" si="262"/>
        <v>0</v>
      </c>
      <c r="DA213" s="178" t="s">
        <v>433</v>
      </c>
    </row>
    <row r="214" spans="1:105" x14ac:dyDescent="0.25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DA214" s="171"/>
    </row>
    <row r="215" spans="1:105" ht="11.45" customHeight="1" x14ac:dyDescent="0.25">
      <c r="A215" s="53" t="s">
        <v>43</v>
      </c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DA215" s="172"/>
    </row>
    <row r="216" spans="1:105" ht="11.45" customHeight="1" x14ac:dyDescent="0.25">
      <c r="A216" s="27" t="s">
        <v>164</v>
      </c>
      <c r="B216" s="32">
        <f t="shared" ref="B216:V216" si="266">IF(B4=0,0,B64/B4*1000)</f>
        <v>135.27226932413794</v>
      </c>
      <c r="C216" s="32">
        <f t="shared" si="266"/>
        <v>139.28356116646407</v>
      </c>
      <c r="D216" s="32">
        <f t="shared" si="266"/>
        <v>149.14260353774947</v>
      </c>
      <c r="E216" s="32">
        <f t="shared" si="266"/>
        <v>154.33524184556771</v>
      </c>
      <c r="F216" s="32">
        <f t="shared" si="266"/>
        <v>155.04860430012798</v>
      </c>
      <c r="G216" s="32">
        <f t="shared" si="266"/>
        <v>157.15824946993934</v>
      </c>
      <c r="H216" s="32">
        <f t="shared" si="266"/>
        <v>151.35998672792999</v>
      </c>
      <c r="I216" s="32">
        <f t="shared" si="266"/>
        <v>151.70943849356473</v>
      </c>
      <c r="J216" s="32">
        <f t="shared" si="266"/>
        <v>146.72064322890037</v>
      </c>
      <c r="K216" s="32">
        <f t="shared" si="266"/>
        <v>144.86303614638902</v>
      </c>
      <c r="L216" s="32">
        <f t="shared" si="266"/>
        <v>144.91737455013183</v>
      </c>
      <c r="M216" s="32">
        <f t="shared" si="266"/>
        <v>138.56067634137594</v>
      </c>
      <c r="N216" s="32">
        <f t="shared" si="266"/>
        <v>135.84674016779087</v>
      </c>
      <c r="O216" s="32">
        <f t="shared" si="266"/>
        <v>135.72217658801281</v>
      </c>
      <c r="P216" s="32">
        <f t="shared" si="266"/>
        <v>132.19077111213991</v>
      </c>
      <c r="Q216" s="32">
        <f t="shared" si="266"/>
        <v>132.33037200042295</v>
      </c>
      <c r="R216" s="32">
        <f t="shared" si="266"/>
        <v>134.35631512480998</v>
      </c>
      <c r="S216" s="32">
        <f t="shared" si="266"/>
        <v>132.72401992483725</v>
      </c>
      <c r="T216" s="32">
        <f t="shared" si="266"/>
        <v>131.6636073386</v>
      </c>
      <c r="U216" s="32">
        <f t="shared" si="266"/>
        <v>128.99112244778226</v>
      </c>
      <c r="V216" s="32">
        <f t="shared" si="266"/>
        <v>140.22665045103622</v>
      </c>
      <c r="W216" s="32">
        <f t="shared" ref="W216" si="267">IF(W4=0,0,W64/W4*1000)</f>
        <v>136.59089779988895</v>
      </c>
      <c r="DA216" s="173" t="s">
        <v>434</v>
      </c>
    </row>
    <row r="217" spans="1:105" ht="11.45" customHeight="1" x14ac:dyDescent="0.25">
      <c r="A217" s="136" t="str">
        <f>$A$5</f>
        <v>Road transport</v>
      </c>
      <c r="B217" s="141">
        <f t="shared" ref="B217:V217" si="268">IF(B5=0,0,B65/B5*1000)</f>
        <v>161.03299925969364</v>
      </c>
      <c r="C217" s="141">
        <f t="shared" si="268"/>
        <v>166.91001901733765</v>
      </c>
      <c r="D217" s="141">
        <f t="shared" si="268"/>
        <v>182.33355305659208</v>
      </c>
      <c r="E217" s="141">
        <f t="shared" si="268"/>
        <v>190.27819951944096</v>
      </c>
      <c r="F217" s="141">
        <f t="shared" si="268"/>
        <v>191.57326680353407</v>
      </c>
      <c r="G217" s="141">
        <f t="shared" si="268"/>
        <v>196.46919228285023</v>
      </c>
      <c r="H217" s="141">
        <f t="shared" si="268"/>
        <v>187.97984102832578</v>
      </c>
      <c r="I217" s="141">
        <f t="shared" si="268"/>
        <v>187.92584270405595</v>
      </c>
      <c r="J217" s="141">
        <f t="shared" si="268"/>
        <v>183.7037828754566</v>
      </c>
      <c r="K217" s="141">
        <f t="shared" si="268"/>
        <v>181.42005680708488</v>
      </c>
      <c r="L217" s="141">
        <f t="shared" si="268"/>
        <v>182.07013798191593</v>
      </c>
      <c r="M217" s="141">
        <f t="shared" si="268"/>
        <v>173.71323729898893</v>
      </c>
      <c r="N217" s="141">
        <f t="shared" si="268"/>
        <v>172.3429394589499</v>
      </c>
      <c r="O217" s="141">
        <f t="shared" si="268"/>
        <v>174.46707744413484</v>
      </c>
      <c r="P217" s="141">
        <f t="shared" si="268"/>
        <v>170.55068231475846</v>
      </c>
      <c r="Q217" s="141">
        <f t="shared" si="268"/>
        <v>169.88375333946038</v>
      </c>
      <c r="R217" s="141">
        <f t="shared" si="268"/>
        <v>170.34310454036984</v>
      </c>
      <c r="S217" s="141">
        <f t="shared" si="268"/>
        <v>169.63331048874943</v>
      </c>
      <c r="T217" s="141">
        <f t="shared" si="268"/>
        <v>172.23275988626187</v>
      </c>
      <c r="U217" s="141">
        <f t="shared" si="268"/>
        <v>172.47059044192901</v>
      </c>
      <c r="V217" s="141">
        <f t="shared" si="268"/>
        <v>166.54513579908905</v>
      </c>
      <c r="W217" s="141">
        <f t="shared" ref="W217" si="269">IF(W5=0,0,W65/W5*1000)</f>
        <v>161.87888097989091</v>
      </c>
      <c r="DA217" s="174" t="s">
        <v>435</v>
      </c>
    </row>
    <row r="218" spans="1:105" ht="11.45" customHeight="1" x14ac:dyDescent="0.25">
      <c r="A218" s="128" t="str">
        <f>$A$6</f>
        <v>Powered two-wheelers</v>
      </c>
      <c r="B218" s="97">
        <f t="shared" ref="B218:V218" si="270">IF(B6=0,0,B66/B6*1000)</f>
        <v>92.536206708331633</v>
      </c>
      <c r="C218" s="97">
        <f t="shared" si="270"/>
        <v>91.992698303431609</v>
      </c>
      <c r="D218" s="97">
        <f t="shared" si="270"/>
        <v>91.706607413551609</v>
      </c>
      <c r="E218" s="97">
        <f t="shared" si="270"/>
        <v>91.582393634945404</v>
      </c>
      <c r="F218" s="97">
        <f t="shared" si="270"/>
        <v>90.727436877530891</v>
      </c>
      <c r="G218" s="97">
        <f t="shared" si="270"/>
        <v>90.362393338966569</v>
      </c>
      <c r="H218" s="97">
        <f t="shared" si="270"/>
        <v>89.930834361797508</v>
      </c>
      <c r="I218" s="97">
        <f t="shared" si="270"/>
        <v>88.778409695181168</v>
      </c>
      <c r="J218" s="97">
        <f t="shared" si="270"/>
        <v>86.741294489444087</v>
      </c>
      <c r="K218" s="97">
        <f t="shared" si="270"/>
        <v>85.598711863887758</v>
      </c>
      <c r="L218" s="97">
        <f t="shared" si="270"/>
        <v>85.34985474280586</v>
      </c>
      <c r="M218" s="97">
        <f t="shared" si="270"/>
        <v>85.092037974480121</v>
      </c>
      <c r="N218" s="97">
        <f t="shared" si="270"/>
        <v>84.689244055397324</v>
      </c>
      <c r="O218" s="97">
        <f t="shared" si="270"/>
        <v>86.149925278032356</v>
      </c>
      <c r="P218" s="97">
        <f t="shared" si="270"/>
        <v>86.845209279792229</v>
      </c>
      <c r="Q218" s="97">
        <f t="shared" si="270"/>
        <v>86.403568040555712</v>
      </c>
      <c r="R218" s="97">
        <f t="shared" si="270"/>
        <v>85.651099350747529</v>
      </c>
      <c r="S218" s="97">
        <f t="shared" si="270"/>
        <v>89.283910627919653</v>
      </c>
      <c r="T218" s="97">
        <f t="shared" si="270"/>
        <v>89.702376824637881</v>
      </c>
      <c r="U218" s="97">
        <f t="shared" si="270"/>
        <v>89.871366265546044</v>
      </c>
      <c r="V218" s="97">
        <f t="shared" si="270"/>
        <v>89.914844712423388</v>
      </c>
      <c r="W218" s="97">
        <f t="shared" ref="W218" si="271">IF(W6=0,0,W66/W6*1000)</f>
        <v>82.865828225792583</v>
      </c>
      <c r="DA218" s="175" t="s">
        <v>436</v>
      </c>
    </row>
    <row r="219" spans="1:105" ht="11.45" customHeight="1" x14ac:dyDescent="0.25">
      <c r="A219" s="128" t="str">
        <f>$A$7</f>
        <v>Passenger cars</v>
      </c>
      <c r="B219" s="97">
        <f t="shared" ref="B219:V219" si="272">IF(B7=0,0,B67/B7*1000)</f>
        <v>172.22253456315431</v>
      </c>
      <c r="C219" s="97">
        <f t="shared" si="272"/>
        <v>178.86435060411208</v>
      </c>
      <c r="D219" s="97">
        <f t="shared" si="272"/>
        <v>196.0726070041178</v>
      </c>
      <c r="E219" s="97">
        <f t="shared" si="272"/>
        <v>205.16013827488669</v>
      </c>
      <c r="F219" s="97">
        <f t="shared" si="272"/>
        <v>206.89443754706642</v>
      </c>
      <c r="G219" s="97">
        <f t="shared" si="272"/>
        <v>212.77322307756188</v>
      </c>
      <c r="H219" s="97">
        <f t="shared" si="272"/>
        <v>204.04004997899506</v>
      </c>
      <c r="I219" s="97">
        <f t="shared" si="272"/>
        <v>203.83691205791482</v>
      </c>
      <c r="J219" s="97">
        <f t="shared" si="272"/>
        <v>199.27942853651453</v>
      </c>
      <c r="K219" s="97">
        <f t="shared" si="272"/>
        <v>195.37126988277899</v>
      </c>
      <c r="L219" s="97">
        <f t="shared" si="272"/>
        <v>195.85649606684467</v>
      </c>
      <c r="M219" s="97">
        <f t="shared" si="272"/>
        <v>186.99206209118478</v>
      </c>
      <c r="N219" s="97">
        <f t="shared" si="272"/>
        <v>185.23684587842723</v>
      </c>
      <c r="O219" s="97">
        <f t="shared" si="272"/>
        <v>187.67202584507186</v>
      </c>
      <c r="P219" s="97">
        <f t="shared" si="272"/>
        <v>183.27839486205778</v>
      </c>
      <c r="Q219" s="97">
        <f t="shared" si="272"/>
        <v>182.51364978125693</v>
      </c>
      <c r="R219" s="97">
        <f t="shared" si="272"/>
        <v>182.75249384478437</v>
      </c>
      <c r="S219" s="97">
        <f t="shared" si="272"/>
        <v>181.52881521802809</v>
      </c>
      <c r="T219" s="97">
        <f t="shared" si="272"/>
        <v>184.17389801859869</v>
      </c>
      <c r="U219" s="97">
        <f t="shared" si="272"/>
        <v>184.72422040921271</v>
      </c>
      <c r="V219" s="97">
        <f t="shared" si="272"/>
        <v>174.50477509331915</v>
      </c>
      <c r="W219" s="97">
        <f t="shared" ref="W219" si="273">IF(W7=0,0,W67/W7*1000)</f>
        <v>169.49232625641247</v>
      </c>
      <c r="DA219" s="175" t="s">
        <v>437</v>
      </c>
    </row>
    <row r="220" spans="1:105" ht="11.45" customHeight="1" x14ac:dyDescent="0.25">
      <c r="A220" s="128" t="str">
        <f>$A$8</f>
        <v>Motor coaches, buses and trolley buses</v>
      </c>
      <c r="B220" s="97">
        <f t="shared" ref="B220:V220" si="274">IF(B8=0,0,B68/B8*1000)</f>
        <v>88.210467752686952</v>
      </c>
      <c r="C220" s="97">
        <f t="shared" si="274"/>
        <v>88.631559822181643</v>
      </c>
      <c r="D220" s="97">
        <f t="shared" si="274"/>
        <v>91.591519379216734</v>
      </c>
      <c r="E220" s="97">
        <f t="shared" si="274"/>
        <v>92.260531142950754</v>
      </c>
      <c r="F220" s="97">
        <f t="shared" si="274"/>
        <v>90.650653887585122</v>
      </c>
      <c r="G220" s="97">
        <f t="shared" si="274"/>
        <v>89.377538053870154</v>
      </c>
      <c r="H220" s="97">
        <f t="shared" si="274"/>
        <v>82.965760003621895</v>
      </c>
      <c r="I220" s="97">
        <f t="shared" si="274"/>
        <v>85.244581852155079</v>
      </c>
      <c r="J220" s="97">
        <f t="shared" si="274"/>
        <v>84.308618883986185</v>
      </c>
      <c r="K220" s="97">
        <f t="shared" si="274"/>
        <v>84.802348940458657</v>
      </c>
      <c r="L220" s="97">
        <f t="shared" si="274"/>
        <v>89.39453801852278</v>
      </c>
      <c r="M220" s="97">
        <f t="shared" si="274"/>
        <v>85.531580431172628</v>
      </c>
      <c r="N220" s="97">
        <f t="shared" si="274"/>
        <v>86.809759447515503</v>
      </c>
      <c r="O220" s="97">
        <f t="shared" si="274"/>
        <v>86.341695637029261</v>
      </c>
      <c r="P220" s="97">
        <f t="shared" si="274"/>
        <v>85.392386136182935</v>
      </c>
      <c r="Q220" s="97">
        <f t="shared" si="274"/>
        <v>85.133185742045981</v>
      </c>
      <c r="R220" s="97">
        <f t="shared" si="274"/>
        <v>87.948900972114316</v>
      </c>
      <c r="S220" s="97">
        <f t="shared" si="274"/>
        <v>89.962158367279613</v>
      </c>
      <c r="T220" s="97">
        <f t="shared" si="274"/>
        <v>90.331111457072794</v>
      </c>
      <c r="U220" s="97">
        <f t="shared" si="274"/>
        <v>90.894687267114037</v>
      </c>
      <c r="V220" s="97">
        <f t="shared" si="274"/>
        <v>112.6806367392855</v>
      </c>
      <c r="W220" s="97">
        <f t="shared" ref="W220" si="275">IF(W8=0,0,W68/W8*1000)</f>
        <v>109.75600400784852</v>
      </c>
      <c r="DA220" s="175" t="s">
        <v>438</v>
      </c>
    </row>
    <row r="221" spans="1:105" ht="11.45" customHeight="1" x14ac:dyDescent="0.25">
      <c r="A221" s="109" t="str">
        <f>$A$9</f>
        <v>Rail, metro and tram</v>
      </c>
      <c r="B221" s="130">
        <f t="shared" ref="B221:V221" si="276">IF(B9=0,0,B69/B9*1000)</f>
        <v>6.6605330483564611</v>
      </c>
      <c r="C221" s="130">
        <f t="shared" si="276"/>
        <v>6.6269472810339298</v>
      </c>
      <c r="D221" s="130">
        <f t="shared" si="276"/>
        <v>6.6878884861506602</v>
      </c>
      <c r="E221" s="130">
        <f t="shared" si="276"/>
        <v>7.1264383600577306</v>
      </c>
      <c r="F221" s="130">
        <f t="shared" si="276"/>
        <v>7.2249427576721894</v>
      </c>
      <c r="G221" s="130">
        <f t="shared" si="276"/>
        <v>7.6859117215814932</v>
      </c>
      <c r="H221" s="130">
        <f t="shared" si="276"/>
        <v>7.0502557997945834</v>
      </c>
      <c r="I221" s="130">
        <f t="shared" si="276"/>
        <v>6.843419607848559</v>
      </c>
      <c r="J221" s="130">
        <f t="shared" si="276"/>
        <v>7.4197644980529063</v>
      </c>
      <c r="K221" s="130">
        <f t="shared" si="276"/>
        <v>7.7422296311164009</v>
      </c>
      <c r="L221" s="130">
        <f t="shared" si="276"/>
        <v>7.4052413531439827</v>
      </c>
      <c r="M221" s="130">
        <f t="shared" si="276"/>
        <v>6.0042453802752913</v>
      </c>
      <c r="N221" s="130">
        <f t="shared" si="276"/>
        <v>6.079475567454331</v>
      </c>
      <c r="O221" s="130">
        <f t="shared" si="276"/>
        <v>4.9719935034242022</v>
      </c>
      <c r="P221" s="130">
        <f t="shared" si="276"/>
        <v>5.453116048225505</v>
      </c>
      <c r="Q221" s="130">
        <f t="shared" si="276"/>
        <v>4.0735236032066879</v>
      </c>
      <c r="R221" s="130">
        <f t="shared" si="276"/>
        <v>4.025174060280043</v>
      </c>
      <c r="S221" s="130">
        <f t="shared" si="276"/>
        <v>4.3573675051437935</v>
      </c>
      <c r="T221" s="130">
        <f t="shared" si="276"/>
        <v>4.0649791842147938</v>
      </c>
      <c r="U221" s="130">
        <f t="shared" si="276"/>
        <v>3.9686811414350296</v>
      </c>
      <c r="V221" s="130">
        <f t="shared" si="276"/>
        <v>4.939346073433887</v>
      </c>
      <c r="W221" s="130">
        <f t="shared" ref="W221" si="277">IF(W9=0,0,W69/W9*1000)</f>
        <v>4.509420297425077</v>
      </c>
      <c r="DA221" s="176" t="s">
        <v>439</v>
      </c>
    </row>
    <row r="222" spans="1:105" ht="11.45" customHeight="1" x14ac:dyDescent="0.25">
      <c r="A222" s="128" t="str">
        <f>$A$10</f>
        <v>Metro and tram, urban light rail</v>
      </c>
      <c r="B222" s="97">
        <f t="shared" ref="B222:V222" si="278">IF(B10=0,0,B70/B10*1000)</f>
        <v>0</v>
      </c>
      <c r="C222" s="97">
        <f t="shared" si="278"/>
        <v>0</v>
      </c>
      <c r="D222" s="97">
        <f t="shared" si="278"/>
        <v>0</v>
      </c>
      <c r="E222" s="97">
        <f t="shared" si="278"/>
        <v>0</v>
      </c>
      <c r="F222" s="97">
        <f t="shared" si="278"/>
        <v>0</v>
      </c>
      <c r="G222" s="97">
        <f t="shared" si="278"/>
        <v>0</v>
      </c>
      <c r="H222" s="97">
        <f t="shared" si="278"/>
        <v>0</v>
      </c>
      <c r="I222" s="97">
        <f t="shared" si="278"/>
        <v>0</v>
      </c>
      <c r="J222" s="97">
        <f t="shared" si="278"/>
        <v>0</v>
      </c>
      <c r="K222" s="97">
        <f t="shared" si="278"/>
        <v>0</v>
      </c>
      <c r="L222" s="97">
        <f t="shared" si="278"/>
        <v>0</v>
      </c>
      <c r="M222" s="97">
        <f t="shared" si="278"/>
        <v>0</v>
      </c>
      <c r="N222" s="97">
        <f t="shared" si="278"/>
        <v>0</v>
      </c>
      <c r="O222" s="97">
        <f t="shared" si="278"/>
        <v>0</v>
      </c>
      <c r="P222" s="97">
        <f t="shared" si="278"/>
        <v>0</v>
      </c>
      <c r="Q222" s="97">
        <f t="shared" si="278"/>
        <v>0</v>
      </c>
      <c r="R222" s="97">
        <f t="shared" si="278"/>
        <v>0</v>
      </c>
      <c r="S222" s="97">
        <f t="shared" si="278"/>
        <v>0</v>
      </c>
      <c r="T222" s="97">
        <f t="shared" si="278"/>
        <v>0</v>
      </c>
      <c r="U222" s="97">
        <f t="shared" si="278"/>
        <v>0</v>
      </c>
      <c r="V222" s="97">
        <f t="shared" si="278"/>
        <v>0</v>
      </c>
      <c r="W222" s="97">
        <f t="shared" ref="W222" si="279">IF(W10=0,0,W70/W10*1000)</f>
        <v>0</v>
      </c>
      <c r="DA222" s="175" t="s">
        <v>440</v>
      </c>
    </row>
    <row r="223" spans="1:105" ht="11.45" customHeight="1" x14ac:dyDescent="0.25">
      <c r="A223" s="128" t="str">
        <f>$A$11</f>
        <v>Conventional passenger trains</v>
      </c>
      <c r="B223" s="97">
        <f t="shared" ref="B223:V223" si="280">IF(B11=0,0,B71/B11*1000)</f>
        <v>11.202857024914785</v>
      </c>
      <c r="C223" s="97">
        <f t="shared" si="280"/>
        <v>11.207330647829503</v>
      </c>
      <c r="D223" s="97">
        <f t="shared" si="280"/>
        <v>11.356994694583642</v>
      </c>
      <c r="E223" s="97">
        <f t="shared" si="280"/>
        <v>12.258518438187483</v>
      </c>
      <c r="F223" s="97">
        <f t="shared" si="280"/>
        <v>12.762404379699754</v>
      </c>
      <c r="G223" s="97">
        <f t="shared" si="280"/>
        <v>13.382648469103906</v>
      </c>
      <c r="H223" s="97">
        <f t="shared" si="280"/>
        <v>12.221546637222708</v>
      </c>
      <c r="I223" s="97">
        <f t="shared" si="280"/>
        <v>11.79239088494313</v>
      </c>
      <c r="J223" s="97">
        <f t="shared" si="280"/>
        <v>12.234295025351559</v>
      </c>
      <c r="K223" s="97">
        <f t="shared" si="280"/>
        <v>12.928649902775977</v>
      </c>
      <c r="L223" s="97">
        <f t="shared" si="280"/>
        <v>12.397495171218603</v>
      </c>
      <c r="M223" s="97">
        <f t="shared" si="280"/>
        <v>9.9125687134857596</v>
      </c>
      <c r="N223" s="97">
        <f t="shared" si="280"/>
        <v>9.9365593208144176</v>
      </c>
      <c r="O223" s="97">
        <f t="shared" si="280"/>
        <v>8.0089329579268291</v>
      </c>
      <c r="P223" s="97">
        <f t="shared" si="280"/>
        <v>8.6437229890654379</v>
      </c>
      <c r="Q223" s="97">
        <f t="shared" si="280"/>
        <v>6.4905941280063413</v>
      </c>
      <c r="R223" s="97">
        <f t="shared" si="280"/>
        <v>6.3395059087114563</v>
      </c>
      <c r="S223" s="97">
        <f t="shared" si="280"/>
        <v>6.8510082466243469</v>
      </c>
      <c r="T223" s="97">
        <f t="shared" si="280"/>
        <v>6.2929280105469401</v>
      </c>
      <c r="U223" s="97">
        <f t="shared" si="280"/>
        <v>6.1755337924488183</v>
      </c>
      <c r="V223" s="97">
        <f t="shared" si="280"/>
        <v>8.8874742229786694</v>
      </c>
      <c r="W223" s="97">
        <f t="shared" ref="W223" si="281">IF(W11=0,0,W71/W11*1000)</f>
        <v>7.8403644073369181</v>
      </c>
      <c r="DA223" s="175" t="s">
        <v>441</v>
      </c>
    </row>
    <row r="224" spans="1:105" ht="11.45" customHeight="1" x14ac:dyDescent="0.25">
      <c r="A224" s="128" t="str">
        <f>$A$12</f>
        <v>High speed passenger trains</v>
      </c>
      <c r="B224" s="97">
        <f t="shared" ref="B224:V224" si="282">IF(B12=0,0,B72/B12*1000)</f>
        <v>0</v>
      </c>
      <c r="C224" s="97">
        <f t="shared" si="282"/>
        <v>0</v>
      </c>
      <c r="D224" s="97">
        <f t="shared" si="282"/>
        <v>0</v>
      </c>
      <c r="E224" s="97">
        <f t="shared" si="282"/>
        <v>0</v>
      </c>
      <c r="F224" s="97">
        <f t="shared" si="282"/>
        <v>0</v>
      </c>
      <c r="G224" s="97">
        <f t="shared" si="282"/>
        <v>0</v>
      </c>
      <c r="H224" s="97">
        <f t="shared" si="282"/>
        <v>0</v>
      </c>
      <c r="I224" s="97">
        <f t="shared" si="282"/>
        <v>0</v>
      </c>
      <c r="J224" s="97">
        <f t="shared" si="282"/>
        <v>0</v>
      </c>
      <c r="K224" s="97">
        <f t="shared" si="282"/>
        <v>0</v>
      </c>
      <c r="L224" s="97">
        <f t="shared" si="282"/>
        <v>0</v>
      </c>
      <c r="M224" s="97">
        <f t="shared" si="282"/>
        <v>0</v>
      </c>
      <c r="N224" s="97">
        <f t="shared" si="282"/>
        <v>0</v>
      </c>
      <c r="O224" s="97">
        <f t="shared" si="282"/>
        <v>0</v>
      </c>
      <c r="P224" s="97">
        <f t="shared" si="282"/>
        <v>0</v>
      </c>
      <c r="Q224" s="97">
        <f t="shared" si="282"/>
        <v>0</v>
      </c>
      <c r="R224" s="97">
        <f t="shared" si="282"/>
        <v>0</v>
      </c>
      <c r="S224" s="97">
        <f t="shared" si="282"/>
        <v>0</v>
      </c>
      <c r="T224" s="97">
        <f t="shared" si="282"/>
        <v>0</v>
      </c>
      <c r="U224" s="97">
        <f t="shared" si="282"/>
        <v>0</v>
      </c>
      <c r="V224" s="97">
        <f t="shared" si="282"/>
        <v>0</v>
      </c>
      <c r="W224" s="97">
        <f t="shared" ref="W224" si="283">IF(W12=0,0,W72/W12*1000)</f>
        <v>0</v>
      </c>
      <c r="DA224" s="175" t="s">
        <v>442</v>
      </c>
    </row>
    <row r="225" spans="1:105" ht="11.45" customHeight="1" x14ac:dyDescent="0.25">
      <c r="A225" s="109" t="str">
        <f>$A$13</f>
        <v>Aviation</v>
      </c>
      <c r="B225" s="130">
        <f t="shared" ref="B225:V225" si="284">IF(B13=0,0,B73/B13*1000)</f>
        <v>132.64361528910285</v>
      </c>
      <c r="C225" s="130">
        <f t="shared" si="284"/>
        <v>130.38524879928269</v>
      </c>
      <c r="D225" s="130">
        <f t="shared" si="284"/>
        <v>118.7474522378244</v>
      </c>
      <c r="E225" s="130">
        <f t="shared" si="284"/>
        <v>109.81339530185893</v>
      </c>
      <c r="F225" s="130">
        <f t="shared" si="284"/>
        <v>109.93631844099141</v>
      </c>
      <c r="G225" s="130">
        <f t="shared" si="284"/>
        <v>110.41559331471217</v>
      </c>
      <c r="H225" s="130">
        <f t="shared" si="284"/>
        <v>113.18893722266731</v>
      </c>
      <c r="I225" s="130">
        <f t="shared" si="284"/>
        <v>117.28023784216259</v>
      </c>
      <c r="J225" s="130">
        <f t="shared" si="284"/>
        <v>118.15077957019483</v>
      </c>
      <c r="K225" s="130">
        <f t="shared" si="284"/>
        <v>115.33810157981976</v>
      </c>
      <c r="L225" s="130">
        <f t="shared" si="284"/>
        <v>114.43200042891598</v>
      </c>
      <c r="M225" s="130">
        <f t="shared" si="284"/>
        <v>115.02311607329837</v>
      </c>
      <c r="N225" s="130">
        <f t="shared" si="284"/>
        <v>108.92113576106817</v>
      </c>
      <c r="O225" s="130">
        <f t="shared" si="284"/>
        <v>103.68684578937025</v>
      </c>
      <c r="P225" s="130">
        <f t="shared" si="284"/>
        <v>96.481445113035562</v>
      </c>
      <c r="Q225" s="130">
        <f t="shared" si="284"/>
        <v>100.54359232586233</v>
      </c>
      <c r="R225" s="130">
        <f t="shared" si="284"/>
        <v>109.26297991097125</v>
      </c>
      <c r="S225" s="130">
        <f t="shared" si="284"/>
        <v>101.24180011456417</v>
      </c>
      <c r="T225" s="130">
        <f t="shared" si="284"/>
        <v>97.200651554138759</v>
      </c>
      <c r="U225" s="130">
        <f t="shared" si="284"/>
        <v>94.154416251400974</v>
      </c>
      <c r="V225" s="130">
        <f t="shared" si="284"/>
        <v>119.95206529586919</v>
      </c>
      <c r="W225" s="130">
        <f t="shared" ref="W225" si="285">IF(W13=0,0,W73/W13*1000)</f>
        <v>130.00751290433203</v>
      </c>
      <c r="DA225" s="176" t="s">
        <v>343</v>
      </c>
    </row>
    <row r="226" spans="1:105" ht="11.45" customHeight="1" x14ac:dyDescent="0.25">
      <c r="A226" s="128" t="str">
        <f>$A$14</f>
        <v>Domestic</v>
      </c>
      <c r="B226" s="97">
        <f t="shared" ref="B226:V226" si="286">IF(B14=0,0,B74/B14*1000)</f>
        <v>665.72588902714313</v>
      </c>
      <c r="C226" s="97">
        <f t="shared" si="286"/>
        <v>612.24189909309575</v>
      </c>
      <c r="D226" s="97">
        <f t="shared" si="286"/>
        <v>618.88430406486452</v>
      </c>
      <c r="E226" s="97">
        <f t="shared" si="286"/>
        <v>583.76864696906955</v>
      </c>
      <c r="F226" s="97">
        <f t="shared" si="286"/>
        <v>593.13118564354841</v>
      </c>
      <c r="G226" s="97">
        <f t="shared" si="286"/>
        <v>600.49454081854844</v>
      </c>
      <c r="H226" s="97">
        <f t="shared" si="286"/>
        <v>502.17445798483817</v>
      </c>
      <c r="I226" s="97">
        <f t="shared" si="286"/>
        <v>476.96336116284232</v>
      </c>
      <c r="J226" s="97">
        <f t="shared" si="286"/>
        <v>438.51170155469299</v>
      </c>
      <c r="K226" s="97">
        <f t="shared" si="286"/>
        <v>430.81114348261036</v>
      </c>
      <c r="L226" s="97">
        <f t="shared" si="286"/>
        <v>386.96092706484779</v>
      </c>
      <c r="M226" s="97">
        <f t="shared" si="286"/>
        <v>488.43252460422917</v>
      </c>
      <c r="N226" s="97">
        <f t="shared" si="286"/>
        <v>495.16908263663856</v>
      </c>
      <c r="O226" s="97">
        <f t="shared" si="286"/>
        <v>515.54132136845817</v>
      </c>
      <c r="P226" s="97">
        <f t="shared" si="286"/>
        <v>531.99304941276239</v>
      </c>
      <c r="Q226" s="97">
        <f t="shared" si="286"/>
        <v>586.1925544491728</v>
      </c>
      <c r="R226" s="97">
        <f t="shared" si="286"/>
        <v>599.50671959518854</v>
      </c>
      <c r="S226" s="97">
        <f t="shared" si="286"/>
        <v>532.83075628148765</v>
      </c>
      <c r="T226" s="97">
        <f t="shared" si="286"/>
        <v>508.39635209481327</v>
      </c>
      <c r="U226" s="97">
        <f t="shared" si="286"/>
        <v>442.99832193231077</v>
      </c>
      <c r="V226" s="97">
        <f t="shared" si="286"/>
        <v>1108.6571274020707</v>
      </c>
      <c r="W226" s="97">
        <f t="shared" ref="W226" si="287">IF(W14=0,0,W74/W14*1000)</f>
        <v>1524.0563050945905</v>
      </c>
      <c r="DA226" s="175" t="s">
        <v>344</v>
      </c>
    </row>
    <row r="227" spans="1:105" ht="11.45" customHeight="1" x14ac:dyDescent="0.25">
      <c r="A227" s="128" t="str">
        <f>$A$15</f>
        <v>International - Intra-EEAwUK</v>
      </c>
      <c r="B227" s="97">
        <f t="shared" ref="B227:V227" si="288">IF(B15=0,0,B75/B15*1000)</f>
        <v>118.11651557657837</v>
      </c>
      <c r="C227" s="97">
        <f t="shared" si="288"/>
        <v>119.37697288197758</v>
      </c>
      <c r="D227" s="97">
        <f t="shared" si="288"/>
        <v>109.98957356086089</v>
      </c>
      <c r="E227" s="97">
        <f t="shared" si="288"/>
        <v>102.30201674220699</v>
      </c>
      <c r="F227" s="97">
        <f t="shared" si="288"/>
        <v>105.36001248407896</v>
      </c>
      <c r="G227" s="97">
        <f t="shared" si="288"/>
        <v>114.13039785686045</v>
      </c>
      <c r="H227" s="97">
        <f t="shared" si="288"/>
        <v>117.03057428980848</v>
      </c>
      <c r="I227" s="97">
        <f t="shared" si="288"/>
        <v>120.84511831694032</v>
      </c>
      <c r="J227" s="97">
        <f t="shared" si="288"/>
        <v>120.57427480124301</v>
      </c>
      <c r="K227" s="97">
        <f t="shared" si="288"/>
        <v>112.91472502038287</v>
      </c>
      <c r="L227" s="97">
        <f t="shared" si="288"/>
        <v>113.05813916065811</v>
      </c>
      <c r="M227" s="97">
        <f t="shared" si="288"/>
        <v>109.51126307483582</v>
      </c>
      <c r="N227" s="97">
        <f t="shared" si="288"/>
        <v>102.61151886925425</v>
      </c>
      <c r="O227" s="97">
        <f t="shared" si="288"/>
        <v>98.744146024013233</v>
      </c>
      <c r="P227" s="97">
        <f t="shared" si="288"/>
        <v>95.17925081621911</v>
      </c>
      <c r="Q227" s="97">
        <f t="shared" si="288"/>
        <v>100.44164575889538</v>
      </c>
      <c r="R227" s="97">
        <f t="shared" si="288"/>
        <v>108.47119668670372</v>
      </c>
      <c r="S227" s="97">
        <f t="shared" si="288"/>
        <v>103.6917979025355</v>
      </c>
      <c r="T227" s="97">
        <f t="shared" si="288"/>
        <v>105.08051523986946</v>
      </c>
      <c r="U227" s="97">
        <f t="shared" si="288"/>
        <v>100.30274775677078</v>
      </c>
      <c r="V227" s="97">
        <f t="shared" si="288"/>
        <v>96.271728954505107</v>
      </c>
      <c r="W227" s="97">
        <f t="shared" ref="W227" si="289">IF(W15=0,0,W75/W15*1000)</f>
        <v>110.89444821450158</v>
      </c>
      <c r="DA227" s="175" t="s">
        <v>345</v>
      </c>
    </row>
    <row r="228" spans="1:105" ht="11.45" customHeight="1" x14ac:dyDescent="0.25">
      <c r="A228" s="128" t="str">
        <f>$A$16</f>
        <v>International - Extra-EEAwUK</v>
      </c>
      <c r="B228" s="97">
        <f t="shared" ref="B228:V228" si="290">IF(B16=0,0,B76/B16*1000)</f>
        <v>132.69801806955533</v>
      </c>
      <c r="C228" s="97">
        <f t="shared" si="290"/>
        <v>128.47434187932831</v>
      </c>
      <c r="D228" s="97">
        <f t="shared" si="290"/>
        <v>114.67319210583697</v>
      </c>
      <c r="E228" s="97">
        <f t="shared" si="290"/>
        <v>105.34701237401369</v>
      </c>
      <c r="F228" s="97">
        <f t="shared" si="290"/>
        <v>103.95963704015902</v>
      </c>
      <c r="G228" s="97">
        <f t="shared" si="290"/>
        <v>99.487886433925809</v>
      </c>
      <c r="H228" s="97">
        <f t="shared" si="290"/>
        <v>102.15370079471154</v>
      </c>
      <c r="I228" s="97">
        <f t="shared" si="290"/>
        <v>106.43791187591921</v>
      </c>
      <c r="J228" s="97">
        <f t="shared" si="290"/>
        <v>108.60085848232642</v>
      </c>
      <c r="K228" s="97">
        <f t="shared" si="290"/>
        <v>108.69172798945777</v>
      </c>
      <c r="L228" s="97">
        <f t="shared" si="290"/>
        <v>108.13319003483896</v>
      </c>
      <c r="M228" s="97">
        <f t="shared" si="290"/>
        <v>111.69896107293663</v>
      </c>
      <c r="N228" s="97">
        <f t="shared" si="290"/>
        <v>106.70314953544666</v>
      </c>
      <c r="O228" s="97">
        <f t="shared" si="290"/>
        <v>100.22015637727247</v>
      </c>
      <c r="P228" s="97">
        <f t="shared" si="290"/>
        <v>90.853475416598911</v>
      </c>
      <c r="Q228" s="97">
        <f t="shared" si="290"/>
        <v>94.118551352190806</v>
      </c>
      <c r="R228" s="97">
        <f t="shared" si="290"/>
        <v>103.35701627159838</v>
      </c>
      <c r="S228" s="97">
        <f t="shared" si="290"/>
        <v>93.42230454108028</v>
      </c>
      <c r="T228" s="97">
        <f t="shared" si="290"/>
        <v>86.52014654749749</v>
      </c>
      <c r="U228" s="97">
        <f t="shared" si="290"/>
        <v>86.334097891668819</v>
      </c>
      <c r="V228" s="97">
        <f t="shared" si="290"/>
        <v>129.92078648386129</v>
      </c>
      <c r="W228" s="97">
        <f t="shared" ref="W228" si="291">IF(W16=0,0,W76/W16*1000)</f>
        <v>138.07928040561745</v>
      </c>
      <c r="DA228" s="175" t="s">
        <v>346</v>
      </c>
    </row>
    <row r="229" spans="1:105" ht="11.45" customHeight="1" x14ac:dyDescent="0.25">
      <c r="A229" s="27" t="s">
        <v>163</v>
      </c>
      <c r="B229" s="32">
        <f t="shared" ref="B229:V229" si="292">IF(B17=0,0,B77/B17*1000)</f>
        <v>128.51469719291927</v>
      </c>
      <c r="C229" s="32">
        <f t="shared" si="292"/>
        <v>141.27741642240628</v>
      </c>
      <c r="D229" s="32">
        <f t="shared" si="292"/>
        <v>151.3291986124938</v>
      </c>
      <c r="E229" s="32">
        <f t="shared" si="292"/>
        <v>163.11937957759682</v>
      </c>
      <c r="F229" s="32">
        <f t="shared" si="292"/>
        <v>154.04468275557383</v>
      </c>
      <c r="G229" s="32">
        <f t="shared" si="292"/>
        <v>157.18082963997452</v>
      </c>
      <c r="H229" s="32">
        <f t="shared" si="292"/>
        <v>131.66417166819321</v>
      </c>
      <c r="I229" s="32">
        <f t="shared" si="292"/>
        <v>122.26148828526316</v>
      </c>
      <c r="J229" s="32">
        <f t="shared" si="292"/>
        <v>112.71354607691507</v>
      </c>
      <c r="K229" s="32">
        <f t="shared" si="292"/>
        <v>123.78149378818965</v>
      </c>
      <c r="L229" s="32">
        <f t="shared" si="292"/>
        <v>124.29500947574545</v>
      </c>
      <c r="M229" s="32">
        <f t="shared" si="292"/>
        <v>112.59758158754876</v>
      </c>
      <c r="N229" s="32">
        <f t="shared" si="292"/>
        <v>117.80927577967563</v>
      </c>
      <c r="O229" s="32">
        <f t="shared" si="292"/>
        <v>134.06761400827634</v>
      </c>
      <c r="P229" s="32">
        <f t="shared" si="292"/>
        <v>123.09822470293928</v>
      </c>
      <c r="Q229" s="32">
        <f t="shared" si="292"/>
        <v>123.07078533999405</v>
      </c>
      <c r="R229" s="32">
        <f t="shared" si="292"/>
        <v>124.10279804580674</v>
      </c>
      <c r="S229" s="32">
        <f t="shared" si="292"/>
        <v>122.12387727387923</v>
      </c>
      <c r="T229" s="32">
        <f t="shared" si="292"/>
        <v>128.51090707260499</v>
      </c>
      <c r="U229" s="32">
        <f t="shared" si="292"/>
        <v>133.21677230220143</v>
      </c>
      <c r="V229" s="32">
        <f t="shared" si="292"/>
        <v>123.01419422853509</v>
      </c>
      <c r="W229" s="32">
        <f t="shared" ref="W229" si="293">IF(W17=0,0,W77/W17*1000)</f>
        <v>123.52409441996728</v>
      </c>
      <c r="DA229" s="173" t="s">
        <v>443</v>
      </c>
    </row>
    <row r="230" spans="1:105" ht="11.45" customHeight="1" x14ac:dyDescent="0.25">
      <c r="A230" s="136" t="str">
        <f>$A$18</f>
        <v>Road transport</v>
      </c>
      <c r="B230" s="141">
        <f t="shared" ref="B230:V230" si="294">IF(B18=0,0,B78/B18*1000)</f>
        <v>213.48733901038713</v>
      </c>
      <c r="C230" s="141">
        <f t="shared" si="294"/>
        <v>233.48009599367097</v>
      </c>
      <c r="D230" s="141">
        <f t="shared" si="294"/>
        <v>249.12670123742964</v>
      </c>
      <c r="E230" s="141">
        <f t="shared" si="294"/>
        <v>262.65419043654038</v>
      </c>
      <c r="F230" s="141">
        <f t="shared" si="294"/>
        <v>247.34524973024406</v>
      </c>
      <c r="G230" s="141">
        <f t="shared" si="294"/>
        <v>251.04612336545523</v>
      </c>
      <c r="H230" s="141">
        <f t="shared" si="294"/>
        <v>210.17410575426788</v>
      </c>
      <c r="I230" s="141">
        <f t="shared" si="294"/>
        <v>192.4534119758988</v>
      </c>
      <c r="J230" s="141">
        <f t="shared" si="294"/>
        <v>174.4840473235455</v>
      </c>
      <c r="K230" s="141">
        <f t="shared" si="294"/>
        <v>187.36298953754834</v>
      </c>
      <c r="L230" s="141">
        <f t="shared" si="294"/>
        <v>192.11351887494968</v>
      </c>
      <c r="M230" s="141">
        <f t="shared" si="294"/>
        <v>172.51958429754339</v>
      </c>
      <c r="N230" s="141">
        <f t="shared" si="294"/>
        <v>180.23458311398696</v>
      </c>
      <c r="O230" s="141">
        <f t="shared" si="294"/>
        <v>204.39947615631911</v>
      </c>
      <c r="P230" s="141">
        <f t="shared" si="294"/>
        <v>189.46486455866125</v>
      </c>
      <c r="Q230" s="141">
        <f t="shared" si="294"/>
        <v>185.97322692940358</v>
      </c>
      <c r="R230" s="141">
        <f t="shared" si="294"/>
        <v>186.9641514773943</v>
      </c>
      <c r="S230" s="141">
        <f t="shared" si="294"/>
        <v>182.56789831531887</v>
      </c>
      <c r="T230" s="141">
        <f t="shared" si="294"/>
        <v>189.65124222990846</v>
      </c>
      <c r="U230" s="141">
        <f t="shared" si="294"/>
        <v>195.21927773043899</v>
      </c>
      <c r="V230" s="141">
        <f t="shared" si="294"/>
        <v>177.52452372222217</v>
      </c>
      <c r="W230" s="141">
        <f t="shared" ref="W230" si="295">IF(W18=0,0,W78/W18*1000)</f>
        <v>177.18674300450158</v>
      </c>
      <c r="DA230" s="174" t="s">
        <v>444</v>
      </c>
    </row>
    <row r="231" spans="1:105" ht="11.45" customHeight="1" x14ac:dyDescent="0.25">
      <c r="A231" s="128" t="str">
        <f>$A$19</f>
        <v>Light commercial vehicles</v>
      </c>
      <c r="B231" s="97">
        <f t="shared" ref="B231:V231" si="296">IF(B19=0,0,B79/B19*1000)</f>
        <v>4959.3019353882555</v>
      </c>
      <c r="C231" s="97">
        <f t="shared" si="296"/>
        <v>4811.8411888816745</v>
      </c>
      <c r="D231" s="97">
        <f t="shared" si="296"/>
        <v>4780.0959491903686</v>
      </c>
      <c r="E231" s="97">
        <f t="shared" si="296"/>
        <v>4700.9441675074622</v>
      </c>
      <c r="F231" s="97">
        <f t="shared" si="296"/>
        <v>4613.4460598924934</v>
      </c>
      <c r="G231" s="97">
        <f t="shared" si="296"/>
        <v>4519.8703959894892</v>
      </c>
      <c r="H231" s="97">
        <f t="shared" si="296"/>
        <v>4339.82147979207</v>
      </c>
      <c r="I231" s="97">
        <f t="shared" si="296"/>
        <v>4268.3311603553839</v>
      </c>
      <c r="J231" s="97">
        <f t="shared" si="296"/>
        <v>4168.0507398709351</v>
      </c>
      <c r="K231" s="97">
        <f t="shared" si="296"/>
        <v>4047.0166887485634</v>
      </c>
      <c r="L231" s="97">
        <f t="shared" si="296"/>
        <v>4043.9475012493594</v>
      </c>
      <c r="M231" s="97">
        <f t="shared" si="296"/>
        <v>4008.8150442818555</v>
      </c>
      <c r="N231" s="97">
        <f t="shared" si="296"/>
        <v>3954.1561833058963</v>
      </c>
      <c r="O231" s="97">
        <f t="shared" si="296"/>
        <v>3936.2769318194069</v>
      </c>
      <c r="P231" s="97">
        <f t="shared" si="296"/>
        <v>3869.6751304339564</v>
      </c>
      <c r="Q231" s="97">
        <f t="shared" si="296"/>
        <v>3822.5007727762086</v>
      </c>
      <c r="R231" s="97">
        <f t="shared" si="296"/>
        <v>3866.3522345093024</v>
      </c>
      <c r="S231" s="97">
        <f t="shared" si="296"/>
        <v>3849.2487014468702</v>
      </c>
      <c r="T231" s="97">
        <f t="shared" si="296"/>
        <v>3798.7931167266265</v>
      </c>
      <c r="U231" s="97">
        <f t="shared" si="296"/>
        <v>3789.6568859077315</v>
      </c>
      <c r="V231" s="97">
        <f t="shared" si="296"/>
        <v>3793.6361525328343</v>
      </c>
      <c r="W231" s="97">
        <f t="shared" ref="W231" si="297">IF(W19=0,0,W79/W19*1000)</f>
        <v>3797.7089249353771</v>
      </c>
      <c r="DA231" s="175" t="s">
        <v>445</v>
      </c>
    </row>
    <row r="232" spans="1:105" ht="11.45" customHeight="1" x14ac:dyDescent="0.25">
      <c r="A232" s="128" t="str">
        <f>$A$20</f>
        <v>Heavy goods vehicles</v>
      </c>
      <c r="B232" s="97">
        <f t="shared" ref="B232:V232" si="298">IF(B20=0,0,B80/B20*1000)</f>
        <v>166.24350492238008</v>
      </c>
      <c r="C232" s="97">
        <f t="shared" si="298"/>
        <v>187.36323781123173</v>
      </c>
      <c r="D232" s="97">
        <f t="shared" si="298"/>
        <v>203.58724107998378</v>
      </c>
      <c r="E232" s="97">
        <f t="shared" si="298"/>
        <v>218.05633647550971</v>
      </c>
      <c r="F232" s="97">
        <f t="shared" si="298"/>
        <v>205.57525527329906</v>
      </c>
      <c r="G232" s="97">
        <f t="shared" si="298"/>
        <v>210.01968664426624</v>
      </c>
      <c r="H232" s="97">
        <f t="shared" si="298"/>
        <v>172.9245852022668</v>
      </c>
      <c r="I232" s="97">
        <f t="shared" si="298"/>
        <v>157.73504416373117</v>
      </c>
      <c r="J232" s="97">
        <f t="shared" si="298"/>
        <v>142.59860558356107</v>
      </c>
      <c r="K232" s="97">
        <f t="shared" si="298"/>
        <v>151.87989681718477</v>
      </c>
      <c r="L232" s="97">
        <f t="shared" si="298"/>
        <v>158.27596728349795</v>
      </c>
      <c r="M232" s="97">
        <f t="shared" si="298"/>
        <v>139.22730936884363</v>
      </c>
      <c r="N232" s="97">
        <f t="shared" si="298"/>
        <v>146.31968231149438</v>
      </c>
      <c r="O232" s="97">
        <f t="shared" si="298"/>
        <v>170.19206312969092</v>
      </c>
      <c r="P232" s="97">
        <f t="shared" si="298"/>
        <v>155.1844927932971</v>
      </c>
      <c r="Q232" s="97">
        <f t="shared" si="298"/>
        <v>152.4635313836533</v>
      </c>
      <c r="R232" s="97">
        <f t="shared" si="298"/>
        <v>153.47375401998377</v>
      </c>
      <c r="S232" s="97">
        <f t="shared" si="298"/>
        <v>150.47620918743246</v>
      </c>
      <c r="T232" s="97">
        <f t="shared" si="298"/>
        <v>157.47871815192184</v>
      </c>
      <c r="U232" s="97">
        <f t="shared" si="298"/>
        <v>162.71401891260984</v>
      </c>
      <c r="V232" s="97">
        <f t="shared" si="298"/>
        <v>144.26500848541571</v>
      </c>
      <c r="W232" s="97">
        <f t="shared" ref="W232" si="299">IF(W20=0,0,W80/W20*1000)</f>
        <v>143.88847377552059</v>
      </c>
      <c r="DA232" s="175" t="s">
        <v>446</v>
      </c>
    </row>
    <row r="233" spans="1:105" ht="11.45" customHeight="1" x14ac:dyDescent="0.25">
      <c r="A233" s="109" t="str">
        <f>$A$21</f>
        <v>Rail transport</v>
      </c>
      <c r="B233" s="130">
        <f t="shared" ref="B233:V233" si="300">IF(B21=0,0,B81/B21*1000)</f>
        <v>2.4778470156551289</v>
      </c>
      <c r="C233" s="130">
        <f t="shared" si="300"/>
        <v>2.4185463837268184</v>
      </c>
      <c r="D233" s="130">
        <f t="shared" si="300"/>
        <v>2.4657110458612976</v>
      </c>
      <c r="E233" s="130">
        <f t="shared" si="300"/>
        <v>2.5052360267647438</v>
      </c>
      <c r="F233" s="130">
        <f t="shared" si="300"/>
        <v>2.4992843483693661</v>
      </c>
      <c r="G233" s="130">
        <f t="shared" si="300"/>
        <v>2.5081490460470435</v>
      </c>
      <c r="H233" s="130">
        <f t="shared" si="300"/>
        <v>2.517694742421142</v>
      </c>
      <c r="I233" s="130">
        <f t="shared" si="300"/>
        <v>2.4602396668350597</v>
      </c>
      <c r="J233" s="130">
        <f t="shared" si="300"/>
        <v>1.533082403023357</v>
      </c>
      <c r="K233" s="130">
        <f t="shared" si="300"/>
        <v>1.4642252330984957</v>
      </c>
      <c r="L233" s="130">
        <f t="shared" si="300"/>
        <v>1.3152095955580716</v>
      </c>
      <c r="M233" s="130">
        <f t="shared" si="300"/>
        <v>1.0878999488880299</v>
      </c>
      <c r="N233" s="130">
        <f t="shared" si="300"/>
        <v>1.0983035360586888</v>
      </c>
      <c r="O233" s="130">
        <f t="shared" si="300"/>
        <v>0.99262750560806889</v>
      </c>
      <c r="P233" s="130">
        <f t="shared" si="300"/>
        <v>0.96071344349712007</v>
      </c>
      <c r="Q233" s="130">
        <f t="shared" si="300"/>
        <v>0.74704350374835427</v>
      </c>
      <c r="R233" s="130">
        <f t="shared" si="300"/>
        <v>0.71664544515556694</v>
      </c>
      <c r="S233" s="130">
        <f t="shared" si="300"/>
        <v>0.75897021550684474</v>
      </c>
      <c r="T233" s="130">
        <f t="shared" si="300"/>
        <v>0.71714945275782127</v>
      </c>
      <c r="U233" s="130">
        <f t="shared" si="300"/>
        <v>0.75881006957837904</v>
      </c>
      <c r="V233" s="130">
        <f t="shared" si="300"/>
        <v>1.0196111990033085</v>
      </c>
      <c r="W233" s="130">
        <f t="shared" ref="W233" si="301">IF(W21=0,0,W81/W21*1000)</f>
        <v>0.94371615852342705</v>
      </c>
      <c r="DA233" s="176" t="s">
        <v>447</v>
      </c>
    </row>
    <row r="234" spans="1:105" ht="11.45" customHeight="1" x14ac:dyDescent="0.25">
      <c r="A234" s="109" t="str">
        <f>$A$22</f>
        <v>Aviation</v>
      </c>
      <c r="B234" s="130">
        <f t="shared" ref="B234:V234" si="302">IF(B22=0,0,B82/B22*1000)</f>
        <v>168.10721129853891</v>
      </c>
      <c r="C234" s="130">
        <f t="shared" si="302"/>
        <v>167.6789820999706</v>
      </c>
      <c r="D234" s="130">
        <f t="shared" si="302"/>
        <v>176.24062822657999</v>
      </c>
      <c r="E234" s="130">
        <f t="shared" si="302"/>
        <v>170.4909961593047</v>
      </c>
      <c r="F234" s="130">
        <f t="shared" si="302"/>
        <v>210.16231213064134</v>
      </c>
      <c r="G234" s="130">
        <f t="shared" si="302"/>
        <v>204.93248732176892</v>
      </c>
      <c r="H234" s="130">
        <f t="shared" si="302"/>
        <v>235.76194444620609</v>
      </c>
      <c r="I234" s="130">
        <f t="shared" si="302"/>
        <v>252.76053560021845</v>
      </c>
      <c r="J234" s="130">
        <f t="shared" si="302"/>
        <v>265.73965910036515</v>
      </c>
      <c r="K234" s="130">
        <f t="shared" si="302"/>
        <v>260.49915093913557</v>
      </c>
      <c r="L234" s="130">
        <f t="shared" si="302"/>
        <v>281.20707826881289</v>
      </c>
      <c r="M234" s="130">
        <f t="shared" si="302"/>
        <v>272.19815685814393</v>
      </c>
      <c r="N234" s="130">
        <f t="shared" si="302"/>
        <v>248.97635816227267</v>
      </c>
      <c r="O234" s="130">
        <f t="shared" si="302"/>
        <v>233.86728056965521</v>
      </c>
      <c r="P234" s="130">
        <f t="shared" si="302"/>
        <v>192.64811227076495</v>
      </c>
      <c r="Q234" s="130">
        <f t="shared" si="302"/>
        <v>184.53596457493813</v>
      </c>
      <c r="R234" s="130">
        <f t="shared" si="302"/>
        <v>185.52164371545211</v>
      </c>
      <c r="S234" s="130">
        <f t="shared" si="302"/>
        <v>191.03499206322681</v>
      </c>
      <c r="T234" s="130">
        <f t="shared" si="302"/>
        <v>188.41944210716613</v>
      </c>
      <c r="U234" s="130">
        <f t="shared" si="302"/>
        <v>188.3020959317021</v>
      </c>
      <c r="V234" s="130">
        <f t="shared" si="302"/>
        <v>286.50674454860132</v>
      </c>
      <c r="W234" s="130">
        <f t="shared" ref="W234" si="303">IF(W22=0,0,W82/W22*1000)</f>
        <v>336.53735307054586</v>
      </c>
      <c r="DA234" s="176" t="s">
        <v>347</v>
      </c>
    </row>
    <row r="235" spans="1:105" ht="11.45" customHeight="1" x14ac:dyDescent="0.25">
      <c r="A235" s="128" t="s">
        <v>27</v>
      </c>
      <c r="B235" s="97">
        <f t="shared" ref="B235:V235" si="304">IF(B23=0,0,B83/B23*1000)</f>
        <v>2026.7735694996966</v>
      </c>
      <c r="C235" s="97">
        <f t="shared" si="304"/>
        <v>2148.0086805480028</v>
      </c>
      <c r="D235" s="97">
        <f t="shared" si="304"/>
        <v>2003.1487426739943</v>
      </c>
      <c r="E235" s="97">
        <f t="shared" si="304"/>
        <v>1913.2343767593104</v>
      </c>
      <c r="F235" s="97">
        <f t="shared" si="304"/>
        <v>2204.3789857066358</v>
      </c>
      <c r="G235" s="97">
        <f t="shared" si="304"/>
        <v>2246.5729014775034</v>
      </c>
      <c r="H235" s="97">
        <f t="shared" si="304"/>
        <v>2361.8074244611917</v>
      </c>
      <c r="I235" s="97">
        <f t="shared" si="304"/>
        <v>2346.1117369196909</v>
      </c>
      <c r="J235" s="97">
        <f t="shared" si="304"/>
        <v>2218.9568635494875</v>
      </c>
      <c r="K235" s="97">
        <f t="shared" si="304"/>
        <v>2155.1109553327246</v>
      </c>
      <c r="L235" s="97">
        <f t="shared" si="304"/>
        <v>1993.8278977831944</v>
      </c>
      <c r="M235" s="97">
        <f t="shared" si="304"/>
        <v>2396.7701944879</v>
      </c>
      <c r="N235" s="97">
        <f t="shared" si="304"/>
        <v>2133.7024541880464</v>
      </c>
      <c r="O235" s="97">
        <f t="shared" si="304"/>
        <v>2252.3034324489595</v>
      </c>
      <c r="P235" s="97">
        <f t="shared" si="304"/>
        <v>2202.7710345192136</v>
      </c>
      <c r="Q235" s="97">
        <f t="shared" si="304"/>
        <v>2560.2449730942903</v>
      </c>
      <c r="R235" s="97">
        <f t="shared" si="304"/>
        <v>2482.9678349553724</v>
      </c>
      <c r="S235" s="97">
        <f t="shared" si="304"/>
        <v>2742.1006413240061</v>
      </c>
      <c r="T235" s="97">
        <f t="shared" si="304"/>
        <v>3064.4224446627882</v>
      </c>
      <c r="U235" s="97">
        <f t="shared" si="304"/>
        <v>2088.7112487026452</v>
      </c>
      <c r="V235" s="97">
        <f t="shared" si="304"/>
        <v>4519.4871249009575</v>
      </c>
      <c r="W235" s="97">
        <f t="shared" ref="W235" si="305">IF(W23=0,0,W83/W23*1000)</f>
        <v>6495.4324463194689</v>
      </c>
      <c r="DA235" s="175" t="s">
        <v>348</v>
      </c>
    </row>
    <row r="236" spans="1:105" ht="11.45" customHeight="1" x14ac:dyDescent="0.25">
      <c r="A236" s="128" t="str">
        <f>$A$24</f>
        <v>International - Intra-EEAwUK</v>
      </c>
      <c r="B236" s="97">
        <f t="shared" ref="B236:V236" si="306">IF(B24=0,0,B84/B24*1000)</f>
        <v>385.14728012581116</v>
      </c>
      <c r="C236" s="97">
        <f t="shared" si="306"/>
        <v>374.14006741873544</v>
      </c>
      <c r="D236" s="97">
        <f t="shared" si="306"/>
        <v>375.13919868027045</v>
      </c>
      <c r="E236" s="97">
        <f t="shared" si="306"/>
        <v>332.61967227377716</v>
      </c>
      <c r="F236" s="97">
        <f t="shared" si="306"/>
        <v>395.80913702791463</v>
      </c>
      <c r="G236" s="97">
        <f t="shared" si="306"/>
        <v>439.49707062149548</v>
      </c>
      <c r="H236" s="97">
        <f t="shared" si="306"/>
        <v>519.63266902839507</v>
      </c>
      <c r="I236" s="97">
        <f t="shared" si="306"/>
        <v>555.51722125523042</v>
      </c>
      <c r="J236" s="97">
        <f t="shared" si="306"/>
        <v>570.91219938353265</v>
      </c>
      <c r="K236" s="97">
        <f t="shared" si="306"/>
        <v>546.59865162869937</v>
      </c>
      <c r="L236" s="97">
        <f t="shared" si="306"/>
        <v>591.93310824144714</v>
      </c>
      <c r="M236" s="97">
        <f t="shared" si="306"/>
        <v>619.48893790206819</v>
      </c>
      <c r="N236" s="97">
        <f t="shared" si="306"/>
        <v>579.65270288406657</v>
      </c>
      <c r="O236" s="97">
        <f t="shared" si="306"/>
        <v>590.34344495915218</v>
      </c>
      <c r="P236" s="97">
        <f t="shared" si="306"/>
        <v>486.06756370544849</v>
      </c>
      <c r="Q236" s="97">
        <f t="shared" si="306"/>
        <v>486.10586596724539</v>
      </c>
      <c r="R236" s="97">
        <f t="shared" si="306"/>
        <v>482.95386219638618</v>
      </c>
      <c r="S236" s="97">
        <f t="shared" si="306"/>
        <v>519.88222360841257</v>
      </c>
      <c r="T236" s="97">
        <f t="shared" si="306"/>
        <v>514.70149671542185</v>
      </c>
      <c r="U236" s="97">
        <f t="shared" si="306"/>
        <v>470.03754471126894</v>
      </c>
      <c r="V236" s="97">
        <f t="shared" si="306"/>
        <v>470.86876446357621</v>
      </c>
      <c r="W236" s="97">
        <f t="shared" ref="W236" si="307">IF(W24=0,0,W84/W24*1000)</f>
        <v>601.61557431476513</v>
      </c>
      <c r="DA236" s="175" t="s">
        <v>349</v>
      </c>
    </row>
    <row r="237" spans="1:105" ht="11.45" customHeight="1" x14ac:dyDescent="0.25">
      <c r="A237" s="128" t="str">
        <f>$A$25</f>
        <v>International - Extra-EEAwUK</v>
      </c>
      <c r="B237" s="97">
        <f t="shared" ref="B237:V237" si="308">IF(B25=0,0,B85/B25*1000)</f>
        <v>91.790457334650597</v>
      </c>
      <c r="C237" s="97">
        <f t="shared" si="308"/>
        <v>89.42177341721252</v>
      </c>
      <c r="D237" s="97">
        <f t="shared" si="308"/>
        <v>89.45058064445314</v>
      </c>
      <c r="E237" s="97">
        <f t="shared" si="308"/>
        <v>90.073511098955166</v>
      </c>
      <c r="F237" s="97">
        <f t="shared" si="308"/>
        <v>94.774316328214539</v>
      </c>
      <c r="G237" s="97">
        <f t="shared" si="308"/>
        <v>99.010588824705124</v>
      </c>
      <c r="H237" s="97">
        <f t="shared" si="308"/>
        <v>107.94955959429345</v>
      </c>
      <c r="I237" s="97">
        <f t="shared" si="308"/>
        <v>120.99297520928566</v>
      </c>
      <c r="J237" s="97">
        <f t="shared" si="308"/>
        <v>125.95633228545717</v>
      </c>
      <c r="K237" s="97">
        <f t="shared" si="308"/>
        <v>112.67692122719882</v>
      </c>
      <c r="L237" s="97">
        <f t="shared" si="308"/>
        <v>119.52931086844943</v>
      </c>
      <c r="M237" s="97">
        <f t="shared" si="308"/>
        <v>137.60781726705579</v>
      </c>
      <c r="N237" s="97">
        <f t="shared" si="308"/>
        <v>145.85977047926602</v>
      </c>
      <c r="O237" s="97">
        <f t="shared" si="308"/>
        <v>134.5716726350999</v>
      </c>
      <c r="P237" s="97">
        <f t="shared" si="308"/>
        <v>110.93153989929344</v>
      </c>
      <c r="Q237" s="97">
        <f t="shared" si="308"/>
        <v>123.73058570755836</v>
      </c>
      <c r="R237" s="97">
        <f t="shared" si="308"/>
        <v>135.45781623024035</v>
      </c>
      <c r="S237" s="97">
        <f t="shared" si="308"/>
        <v>136.094329080253</v>
      </c>
      <c r="T237" s="97">
        <f t="shared" si="308"/>
        <v>142.81394301633645</v>
      </c>
      <c r="U237" s="97">
        <f t="shared" si="308"/>
        <v>146.56670662135298</v>
      </c>
      <c r="V237" s="97">
        <f t="shared" si="308"/>
        <v>242.75052863836598</v>
      </c>
      <c r="W237" s="97">
        <f t="shared" ref="W237" si="309">IF(W25=0,0,W85/W25*1000)</f>
        <v>260.11340497040857</v>
      </c>
      <c r="DA237" s="175" t="s">
        <v>350</v>
      </c>
    </row>
    <row r="238" spans="1:105" ht="11.45" customHeight="1" x14ac:dyDescent="0.25">
      <c r="A238" s="109" t="s">
        <v>142</v>
      </c>
      <c r="B238" s="130">
        <f t="shared" ref="B238:V238" si="310">IF(B26=0,0,B86/B26*1000)</f>
        <v>43.851284189852699</v>
      </c>
      <c r="C238" s="130">
        <f t="shared" si="310"/>
        <v>44.393934720375434</v>
      </c>
      <c r="D238" s="130">
        <f t="shared" si="310"/>
        <v>42.114655783555861</v>
      </c>
      <c r="E238" s="130">
        <f t="shared" si="310"/>
        <v>47.088110087873467</v>
      </c>
      <c r="F238" s="130">
        <f t="shared" si="310"/>
        <v>74.054134241556966</v>
      </c>
      <c r="G238" s="130">
        <f t="shared" si="310"/>
        <v>73.207491340559045</v>
      </c>
      <c r="H238" s="130">
        <f t="shared" si="310"/>
        <v>66.274900206859002</v>
      </c>
      <c r="I238" s="130">
        <f t="shared" si="310"/>
        <v>48.248913500192529</v>
      </c>
      <c r="J238" s="130">
        <f t="shared" si="310"/>
        <v>50.274438592624001</v>
      </c>
      <c r="K238" s="130">
        <f t="shared" si="310"/>
        <v>55.154099970044925</v>
      </c>
      <c r="L238" s="130">
        <f t="shared" si="310"/>
        <v>51.468586863157888</v>
      </c>
      <c r="M238" s="130">
        <f t="shared" si="310"/>
        <v>55.541378747056037</v>
      </c>
      <c r="N238" s="130">
        <f t="shared" si="310"/>
        <v>52.007308315837498</v>
      </c>
      <c r="O238" s="130">
        <f t="shared" si="310"/>
        <v>51.544439847003822</v>
      </c>
      <c r="P238" s="130">
        <f t="shared" si="310"/>
        <v>56.593676306844266</v>
      </c>
      <c r="Q238" s="130">
        <f t="shared" si="310"/>
        <v>63.459333089700991</v>
      </c>
      <c r="R238" s="130">
        <f t="shared" si="310"/>
        <v>61.82710073394496</v>
      </c>
      <c r="S238" s="130">
        <f t="shared" si="310"/>
        <v>62.550704510385764</v>
      </c>
      <c r="T238" s="130">
        <f t="shared" si="310"/>
        <v>79.459624069845532</v>
      </c>
      <c r="U238" s="130">
        <f t="shared" si="310"/>
        <v>77.75971283965012</v>
      </c>
      <c r="V238" s="130">
        <f t="shared" si="310"/>
        <v>41.408462241594016</v>
      </c>
      <c r="W238" s="130">
        <f t="shared" ref="W238" si="311">IF(W26=0,0,W86/W26*1000)</f>
        <v>65.053524621513944</v>
      </c>
      <c r="DA238" s="176" t="s">
        <v>448</v>
      </c>
    </row>
    <row r="239" spans="1:105" ht="11.45" customHeight="1" x14ac:dyDescent="0.25">
      <c r="A239" s="128" t="str">
        <f>$A$27</f>
        <v>Domestic coastal shipping</v>
      </c>
      <c r="B239" s="97">
        <f t="shared" ref="B239:V239" si="312">IF(B27=0,0,B87/B27*1000)</f>
        <v>0</v>
      </c>
      <c r="C239" s="97">
        <f t="shared" si="312"/>
        <v>0</v>
      </c>
      <c r="D239" s="97">
        <f t="shared" si="312"/>
        <v>0</v>
      </c>
      <c r="E239" s="97">
        <f t="shared" si="312"/>
        <v>0</v>
      </c>
      <c r="F239" s="97">
        <f t="shared" si="312"/>
        <v>0</v>
      </c>
      <c r="G239" s="97">
        <f t="shared" si="312"/>
        <v>0</v>
      </c>
      <c r="H239" s="97">
        <f t="shared" si="312"/>
        <v>0</v>
      </c>
      <c r="I239" s="97">
        <f t="shared" si="312"/>
        <v>0</v>
      </c>
      <c r="J239" s="97">
        <f t="shared" si="312"/>
        <v>0</v>
      </c>
      <c r="K239" s="97">
        <f t="shared" si="312"/>
        <v>0</v>
      </c>
      <c r="L239" s="97">
        <f t="shared" si="312"/>
        <v>0</v>
      </c>
      <c r="M239" s="97">
        <f t="shared" si="312"/>
        <v>0</v>
      </c>
      <c r="N239" s="97">
        <f t="shared" si="312"/>
        <v>0</v>
      </c>
      <c r="O239" s="97">
        <f t="shared" si="312"/>
        <v>0</v>
      </c>
      <c r="P239" s="97">
        <f t="shared" si="312"/>
        <v>0</v>
      </c>
      <c r="Q239" s="97">
        <f t="shared" si="312"/>
        <v>0</v>
      </c>
      <c r="R239" s="97">
        <f t="shared" si="312"/>
        <v>0</v>
      </c>
      <c r="S239" s="97">
        <f t="shared" si="312"/>
        <v>0</v>
      </c>
      <c r="T239" s="97">
        <f t="shared" si="312"/>
        <v>0</v>
      </c>
      <c r="U239" s="97">
        <f t="shared" si="312"/>
        <v>0</v>
      </c>
      <c r="V239" s="97">
        <f t="shared" si="312"/>
        <v>0</v>
      </c>
      <c r="W239" s="97">
        <f t="shared" ref="W239" si="313">IF(W27=0,0,W87/W27*1000)</f>
        <v>0</v>
      </c>
      <c r="DA239" s="175" t="s">
        <v>449</v>
      </c>
    </row>
    <row r="240" spans="1:105" ht="11.45" customHeight="1" x14ac:dyDescent="0.25">
      <c r="A240" s="138" t="str">
        <f>$A$28</f>
        <v>Inland waterways</v>
      </c>
      <c r="B240" s="98">
        <f t="shared" ref="B240:V240" si="314">IF(B28=0,0,B88/B28*1000)</f>
        <v>43.851284189852699</v>
      </c>
      <c r="C240" s="98">
        <f t="shared" si="314"/>
        <v>44.393934720375434</v>
      </c>
      <c r="D240" s="98">
        <f t="shared" si="314"/>
        <v>42.114655783555861</v>
      </c>
      <c r="E240" s="98">
        <f t="shared" si="314"/>
        <v>47.088110087873467</v>
      </c>
      <c r="F240" s="98">
        <f t="shared" si="314"/>
        <v>74.054134241556966</v>
      </c>
      <c r="G240" s="98">
        <f t="shared" si="314"/>
        <v>73.207491340559045</v>
      </c>
      <c r="H240" s="98">
        <f t="shared" si="314"/>
        <v>66.274900206859002</v>
      </c>
      <c r="I240" s="98">
        <f t="shared" si="314"/>
        <v>48.248913500192529</v>
      </c>
      <c r="J240" s="98">
        <f t="shared" si="314"/>
        <v>50.274438592624001</v>
      </c>
      <c r="K240" s="98">
        <f t="shared" si="314"/>
        <v>55.154099970044925</v>
      </c>
      <c r="L240" s="98">
        <f t="shared" si="314"/>
        <v>51.468586863157888</v>
      </c>
      <c r="M240" s="98">
        <f t="shared" si="314"/>
        <v>55.541378747056037</v>
      </c>
      <c r="N240" s="98">
        <f t="shared" si="314"/>
        <v>52.007308315837498</v>
      </c>
      <c r="O240" s="98">
        <f t="shared" si="314"/>
        <v>51.544439847003822</v>
      </c>
      <c r="P240" s="98">
        <f t="shared" si="314"/>
        <v>56.593676306844266</v>
      </c>
      <c r="Q240" s="98">
        <f t="shared" si="314"/>
        <v>63.459333089700991</v>
      </c>
      <c r="R240" s="98">
        <f t="shared" si="314"/>
        <v>61.82710073394496</v>
      </c>
      <c r="S240" s="98">
        <f t="shared" si="314"/>
        <v>62.550704510385764</v>
      </c>
      <c r="T240" s="98">
        <f t="shared" si="314"/>
        <v>79.459624069845532</v>
      </c>
      <c r="U240" s="98">
        <f t="shared" si="314"/>
        <v>77.75971283965012</v>
      </c>
      <c r="V240" s="98">
        <f t="shared" si="314"/>
        <v>41.408462241594016</v>
      </c>
      <c r="W240" s="98">
        <f t="shared" ref="W240:W243" si="315">IF(W28=0,0,W88/W28*1000)</f>
        <v>65.053524621513944</v>
      </c>
      <c r="DA240" s="178" t="s">
        <v>450</v>
      </c>
    </row>
    <row r="241" spans="1:105" ht="11.45" customHeight="1" x14ac:dyDescent="0.25">
      <c r="A241" s="27" t="s">
        <v>179</v>
      </c>
      <c r="B241" s="32">
        <f t="shared" ref="B241:V241" si="316">IF(B29=0,0,B89/B29*1000)</f>
        <v>0</v>
      </c>
      <c r="C241" s="32">
        <f t="shared" si="316"/>
        <v>0</v>
      </c>
      <c r="D241" s="32">
        <f t="shared" si="316"/>
        <v>0</v>
      </c>
      <c r="E241" s="32">
        <f t="shared" si="316"/>
        <v>0</v>
      </c>
      <c r="F241" s="32">
        <f t="shared" si="316"/>
        <v>0</v>
      </c>
      <c r="G241" s="32">
        <f t="shared" si="316"/>
        <v>0</v>
      </c>
      <c r="H241" s="32">
        <f t="shared" si="316"/>
        <v>0</v>
      </c>
      <c r="I241" s="32">
        <f t="shared" si="316"/>
        <v>0</v>
      </c>
      <c r="J241" s="32">
        <f t="shared" si="316"/>
        <v>0</v>
      </c>
      <c r="K241" s="32">
        <f t="shared" si="316"/>
        <v>0</v>
      </c>
      <c r="L241" s="32">
        <f t="shared" si="316"/>
        <v>0</v>
      </c>
      <c r="M241" s="32">
        <f t="shared" si="316"/>
        <v>0</v>
      </c>
      <c r="N241" s="32">
        <f t="shared" si="316"/>
        <v>0</v>
      </c>
      <c r="O241" s="32">
        <f t="shared" si="316"/>
        <v>0</v>
      </c>
      <c r="P241" s="32">
        <f t="shared" si="316"/>
        <v>0</v>
      </c>
      <c r="Q241" s="32">
        <f t="shared" si="316"/>
        <v>0</v>
      </c>
      <c r="R241" s="32">
        <f t="shared" si="316"/>
        <v>0</v>
      </c>
      <c r="S241" s="32">
        <f t="shared" si="316"/>
        <v>0</v>
      </c>
      <c r="T241" s="32">
        <f t="shared" si="316"/>
        <v>0</v>
      </c>
      <c r="U241" s="32">
        <f t="shared" si="316"/>
        <v>0</v>
      </c>
      <c r="V241" s="32">
        <f t="shared" si="316"/>
        <v>0</v>
      </c>
      <c r="W241" s="32">
        <f t="shared" si="315"/>
        <v>0</v>
      </c>
      <c r="DA241" s="173" t="s">
        <v>451</v>
      </c>
    </row>
    <row r="242" spans="1:105" ht="11.45" customHeight="1" x14ac:dyDescent="0.25">
      <c r="A242" s="128" t="str">
        <f>$A$30</f>
        <v>Intra-EEA</v>
      </c>
      <c r="B242" s="97">
        <f t="shared" ref="B242:V242" si="317">IF(B30=0,0,B90/B30*1000)</f>
        <v>0</v>
      </c>
      <c r="C242" s="97">
        <f t="shared" si="317"/>
        <v>0</v>
      </c>
      <c r="D242" s="97">
        <f t="shared" si="317"/>
        <v>0</v>
      </c>
      <c r="E242" s="97">
        <f t="shared" si="317"/>
        <v>0</v>
      </c>
      <c r="F242" s="97">
        <f t="shared" si="317"/>
        <v>0</v>
      </c>
      <c r="G242" s="97">
        <f t="shared" si="317"/>
        <v>0</v>
      </c>
      <c r="H242" s="97">
        <f t="shared" si="317"/>
        <v>0</v>
      </c>
      <c r="I242" s="97">
        <f t="shared" si="317"/>
        <v>0</v>
      </c>
      <c r="J242" s="97">
        <f t="shared" si="317"/>
        <v>0</v>
      </c>
      <c r="K242" s="97">
        <f t="shared" si="317"/>
        <v>0</v>
      </c>
      <c r="L242" s="97">
        <f t="shared" si="317"/>
        <v>0</v>
      </c>
      <c r="M242" s="97">
        <f t="shared" si="317"/>
        <v>0</v>
      </c>
      <c r="N242" s="97">
        <f t="shared" si="317"/>
        <v>0</v>
      </c>
      <c r="O242" s="97">
        <f t="shared" si="317"/>
        <v>0</v>
      </c>
      <c r="P242" s="97">
        <f t="shared" si="317"/>
        <v>0</v>
      </c>
      <c r="Q242" s="97">
        <f t="shared" si="317"/>
        <v>0</v>
      </c>
      <c r="R242" s="97">
        <f t="shared" si="317"/>
        <v>0</v>
      </c>
      <c r="S242" s="97">
        <f t="shared" si="317"/>
        <v>0</v>
      </c>
      <c r="T242" s="97">
        <f t="shared" si="317"/>
        <v>0</v>
      </c>
      <c r="U242" s="97">
        <f t="shared" si="317"/>
        <v>0</v>
      </c>
      <c r="V242" s="97">
        <f t="shared" si="317"/>
        <v>0</v>
      </c>
      <c r="W242" s="97">
        <f t="shared" si="315"/>
        <v>0</v>
      </c>
      <c r="DA242" s="175" t="s">
        <v>452</v>
      </c>
    </row>
    <row r="243" spans="1:105" ht="11.45" customHeight="1" x14ac:dyDescent="0.25">
      <c r="A243" s="138" t="str">
        <f>$A$31</f>
        <v>Extra-EEA</v>
      </c>
      <c r="B243" s="98">
        <f t="shared" ref="B243:V243" si="318">IF(B31=0,0,B91/B31*1000)</f>
        <v>0</v>
      </c>
      <c r="C243" s="98">
        <f t="shared" si="318"/>
        <v>0</v>
      </c>
      <c r="D243" s="98">
        <f t="shared" si="318"/>
        <v>0</v>
      </c>
      <c r="E243" s="98">
        <f t="shared" si="318"/>
        <v>0</v>
      </c>
      <c r="F243" s="98">
        <f t="shared" si="318"/>
        <v>0</v>
      </c>
      <c r="G243" s="98">
        <f t="shared" si="318"/>
        <v>0</v>
      </c>
      <c r="H243" s="98">
        <f t="shared" si="318"/>
        <v>0</v>
      </c>
      <c r="I243" s="98">
        <f t="shared" si="318"/>
        <v>0</v>
      </c>
      <c r="J243" s="98">
        <f t="shared" si="318"/>
        <v>0</v>
      </c>
      <c r="K243" s="98">
        <f t="shared" si="318"/>
        <v>0</v>
      </c>
      <c r="L243" s="98">
        <f t="shared" si="318"/>
        <v>0</v>
      </c>
      <c r="M243" s="98">
        <f t="shared" si="318"/>
        <v>0</v>
      </c>
      <c r="N243" s="98">
        <f t="shared" si="318"/>
        <v>0</v>
      </c>
      <c r="O243" s="98">
        <f t="shared" si="318"/>
        <v>0</v>
      </c>
      <c r="P243" s="98">
        <f t="shared" si="318"/>
        <v>0</v>
      </c>
      <c r="Q243" s="98">
        <f t="shared" si="318"/>
        <v>0</v>
      </c>
      <c r="R243" s="98">
        <f t="shared" si="318"/>
        <v>0</v>
      </c>
      <c r="S243" s="98">
        <f t="shared" si="318"/>
        <v>0</v>
      </c>
      <c r="T243" s="98">
        <f t="shared" si="318"/>
        <v>0</v>
      </c>
      <c r="U243" s="98">
        <f t="shared" si="318"/>
        <v>0</v>
      </c>
      <c r="V243" s="98">
        <f t="shared" si="318"/>
        <v>0</v>
      </c>
      <c r="W243" s="98">
        <f t="shared" si="315"/>
        <v>0</v>
      </c>
      <c r="DA243" s="178" t="s">
        <v>453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DA27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454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9">
        <f t="shared" ref="B4:K4" si="0">B5+B6+B13</f>
        <v>74740.366817809467</v>
      </c>
      <c r="C4" s="29">
        <f t="shared" si="0"/>
        <v>75360.917607750205</v>
      </c>
      <c r="D4" s="29">
        <f t="shared" si="0"/>
        <v>76550.465396023414</v>
      </c>
      <c r="E4" s="29">
        <f t="shared" si="0"/>
        <v>78178.070138572453</v>
      </c>
      <c r="F4" s="29">
        <f t="shared" si="0"/>
        <v>79092.755479291736</v>
      </c>
      <c r="G4" s="29">
        <f t="shared" si="0"/>
        <v>78979.27452029007</v>
      </c>
      <c r="H4" s="29">
        <f t="shared" si="0"/>
        <v>80048.64806084134</v>
      </c>
      <c r="I4" s="29">
        <f t="shared" si="0"/>
        <v>81156.774610968132</v>
      </c>
      <c r="J4" s="29">
        <f t="shared" si="0"/>
        <v>78920.971081727941</v>
      </c>
      <c r="K4" s="29">
        <f t="shared" si="0"/>
        <v>77405.231397247378</v>
      </c>
      <c r="L4" s="29">
        <f t="shared" ref="L4" si="1">L5+L6+L13</f>
        <v>78476.131078531005</v>
      </c>
      <c r="M4" s="29">
        <f t="shared" ref="M4:V4" si="2">M5+M6+M13</f>
        <v>79711.647812238036</v>
      </c>
      <c r="N4" s="29">
        <f t="shared" si="2"/>
        <v>79372.08147834157</v>
      </c>
      <c r="O4" s="29">
        <f t="shared" si="2"/>
        <v>80090.711459422484</v>
      </c>
      <c r="P4" s="29">
        <f t="shared" si="2"/>
        <v>81965.454910901171</v>
      </c>
      <c r="Q4" s="29">
        <f t="shared" si="2"/>
        <v>83807.128111679383</v>
      </c>
      <c r="R4" s="29">
        <f t="shared" si="2"/>
        <v>86092.322931950708</v>
      </c>
      <c r="S4" s="29">
        <f t="shared" si="2"/>
        <v>87474.80843803515</v>
      </c>
      <c r="T4" s="29">
        <f t="shared" si="2"/>
        <v>85729.994918673401</v>
      </c>
      <c r="U4" s="29">
        <f t="shared" si="2"/>
        <v>83665.572267489755</v>
      </c>
      <c r="V4" s="29">
        <f t="shared" si="2"/>
        <v>74157.425635132473</v>
      </c>
      <c r="W4" s="29">
        <f t="shared" ref="W4" si="3">W5+W6+W13</f>
        <v>78438.782833972247</v>
      </c>
      <c r="DA4" s="173" t="s">
        <v>371</v>
      </c>
    </row>
    <row r="5" spans="1:105" ht="11.45" customHeight="1" x14ac:dyDescent="0.25">
      <c r="A5" s="136" t="s">
        <v>180</v>
      </c>
      <c r="B5" s="152">
        <f t="shared" ref="B5:K5" si="4">IF(B32=0,0,B32*B142)</f>
        <v>1034.717257918001</v>
      </c>
      <c r="C5" s="152">
        <f t="shared" si="4"/>
        <v>1067.0930613208911</v>
      </c>
      <c r="D5" s="152">
        <f t="shared" si="4"/>
        <v>1103.2237232936818</v>
      </c>
      <c r="E5" s="152">
        <f t="shared" si="4"/>
        <v>1136.0906668131477</v>
      </c>
      <c r="F5" s="152">
        <f t="shared" si="4"/>
        <v>1199.7300665401103</v>
      </c>
      <c r="G5" s="152">
        <f t="shared" si="4"/>
        <v>1234.196669530048</v>
      </c>
      <c r="H5" s="152">
        <f t="shared" si="4"/>
        <v>1275.1842655610967</v>
      </c>
      <c r="I5" s="152">
        <f t="shared" si="4"/>
        <v>1329.1344351714438</v>
      </c>
      <c r="J5" s="152">
        <f t="shared" si="4"/>
        <v>1385.837652437112</v>
      </c>
      <c r="K5" s="152">
        <f t="shared" si="4"/>
        <v>1439.4770900339017</v>
      </c>
      <c r="L5" s="152">
        <f t="shared" ref="L5:L7" si="5">IF(L32=0,0,L32*L142)</f>
        <v>1484.8025179237477</v>
      </c>
      <c r="M5" s="152">
        <f t="shared" ref="M5:V5" si="6">IF(M32=0,0,M32*M142)</f>
        <v>1533.2905876136563</v>
      </c>
      <c r="N5" s="152">
        <f t="shared" si="6"/>
        <v>1599.3578230168282</v>
      </c>
      <c r="O5" s="152">
        <f t="shared" si="6"/>
        <v>1632.0486165722873</v>
      </c>
      <c r="P5" s="152">
        <f t="shared" si="6"/>
        <v>1681.1096566601143</v>
      </c>
      <c r="Q5" s="152">
        <f t="shared" si="6"/>
        <v>1744.0617862191314</v>
      </c>
      <c r="R5" s="152">
        <f t="shared" si="6"/>
        <v>1796.3556846979068</v>
      </c>
      <c r="S5" s="152">
        <f t="shared" si="6"/>
        <v>1695.1048812556933</v>
      </c>
      <c r="T5" s="152">
        <f t="shared" si="6"/>
        <v>1615.1493084088756</v>
      </c>
      <c r="U5" s="152">
        <f t="shared" si="6"/>
        <v>1714.5646301567926</v>
      </c>
      <c r="V5" s="152">
        <f t="shared" si="6"/>
        <v>1537.2826879978124</v>
      </c>
      <c r="W5" s="152">
        <f t="shared" ref="W5" si="7">IF(W32=0,0,W32*W142)</f>
        <v>1600.1565855143729</v>
      </c>
      <c r="DA5" s="174" t="s">
        <v>372</v>
      </c>
    </row>
    <row r="6" spans="1:105" ht="11.45" customHeight="1" x14ac:dyDescent="0.25">
      <c r="A6" s="109" t="s">
        <v>20</v>
      </c>
      <c r="B6" s="116">
        <f t="shared" ref="B6:K6" si="8">SUM(B7:B12)</f>
        <v>64732.448648756901</v>
      </c>
      <c r="C6" s="116">
        <f t="shared" si="8"/>
        <v>65337.110990663503</v>
      </c>
      <c r="D6" s="116">
        <f t="shared" si="8"/>
        <v>66483.0171568722</v>
      </c>
      <c r="E6" s="116">
        <f t="shared" si="8"/>
        <v>67879.798464617008</v>
      </c>
      <c r="F6" s="116">
        <f t="shared" si="8"/>
        <v>68667.374508500594</v>
      </c>
      <c r="G6" s="116">
        <f t="shared" si="8"/>
        <v>68534.046805980906</v>
      </c>
      <c r="H6" s="116">
        <f t="shared" si="8"/>
        <v>69357.032462112591</v>
      </c>
      <c r="I6" s="116">
        <f t="shared" si="8"/>
        <v>70228.681711569196</v>
      </c>
      <c r="J6" s="116">
        <f t="shared" si="8"/>
        <v>68199.846493920893</v>
      </c>
      <c r="K6" s="116">
        <f t="shared" si="8"/>
        <v>67628.13297422872</v>
      </c>
      <c r="L6" s="116">
        <f t="shared" ref="L6" si="9">SUM(L7:L12)</f>
        <v>68370.225570310795</v>
      </c>
      <c r="M6" s="116">
        <f t="shared" ref="M6:V6" si="10">SUM(M7:M12)</f>
        <v>69285.883597665699</v>
      </c>
      <c r="N6" s="116">
        <f t="shared" si="10"/>
        <v>69008.829196809995</v>
      </c>
      <c r="O6" s="116">
        <f t="shared" si="10"/>
        <v>69656.710785624295</v>
      </c>
      <c r="P6" s="116">
        <f t="shared" si="10"/>
        <v>71282.875065817498</v>
      </c>
      <c r="Q6" s="116">
        <f t="shared" si="10"/>
        <v>72914.892335019802</v>
      </c>
      <c r="R6" s="116">
        <f t="shared" si="10"/>
        <v>74866.741177802905</v>
      </c>
      <c r="S6" s="116">
        <f t="shared" si="10"/>
        <v>76123.435218109604</v>
      </c>
      <c r="T6" s="116">
        <f t="shared" si="10"/>
        <v>74832</v>
      </c>
      <c r="U6" s="116">
        <f t="shared" si="10"/>
        <v>72757.999999999985</v>
      </c>
      <c r="V6" s="116">
        <f t="shared" si="10"/>
        <v>65176</v>
      </c>
      <c r="W6" s="116">
        <f t="shared" ref="W6" si="11">SUM(W7:W12)</f>
        <v>69162.000000000015</v>
      </c>
      <c r="DA6" s="176" t="s">
        <v>373</v>
      </c>
    </row>
    <row r="7" spans="1:105" ht="11.45" customHeight="1" x14ac:dyDescent="0.25">
      <c r="A7" s="111" t="s">
        <v>110</v>
      </c>
      <c r="B7" s="87">
        <f t="shared" ref="B7:K7" si="12">IF(B34=0,0,B34*B144)</f>
        <v>36488.853723979482</v>
      </c>
      <c r="C7" s="87">
        <f t="shared" si="12"/>
        <v>35866.246631375267</v>
      </c>
      <c r="D7" s="87">
        <f t="shared" si="12"/>
        <v>34523.957918275817</v>
      </c>
      <c r="E7" s="87">
        <f t="shared" si="12"/>
        <v>33302.970505410121</v>
      </c>
      <c r="F7" s="87">
        <f t="shared" si="12"/>
        <v>32126.734386947202</v>
      </c>
      <c r="G7" s="87">
        <f t="shared" si="12"/>
        <v>30247.104415389193</v>
      </c>
      <c r="H7" s="87">
        <f t="shared" si="12"/>
        <v>29232.924801411231</v>
      </c>
      <c r="I7" s="87">
        <f t="shared" si="12"/>
        <v>28220.486350512183</v>
      </c>
      <c r="J7" s="87">
        <f t="shared" si="12"/>
        <v>27161.673781540609</v>
      </c>
      <c r="K7" s="87">
        <f t="shared" si="12"/>
        <v>26195.883442646653</v>
      </c>
      <c r="L7" s="87">
        <f t="shared" si="5"/>
        <v>26388.922233419911</v>
      </c>
      <c r="M7" s="87">
        <f t="shared" ref="M7:V7" si="13">IF(M34=0,0,M34*M144)</f>
        <v>25394.766954977677</v>
      </c>
      <c r="N7" s="87">
        <f t="shared" si="13"/>
        <v>25075.187505544425</v>
      </c>
      <c r="O7" s="87">
        <f t="shared" si="13"/>
        <v>24635.663618808416</v>
      </c>
      <c r="P7" s="87">
        <f t="shared" si="13"/>
        <v>24006.661443884288</v>
      </c>
      <c r="Q7" s="87">
        <f t="shared" si="13"/>
        <v>23747.611537681707</v>
      </c>
      <c r="R7" s="87">
        <f t="shared" si="13"/>
        <v>23513.142304106528</v>
      </c>
      <c r="S7" s="87">
        <f t="shared" si="13"/>
        <v>23469.01267809208</v>
      </c>
      <c r="T7" s="87">
        <f t="shared" si="13"/>
        <v>23921.540570118519</v>
      </c>
      <c r="U7" s="87">
        <f t="shared" si="13"/>
        <v>23795.591440382323</v>
      </c>
      <c r="V7" s="87">
        <f t="shared" si="13"/>
        <v>21387.857287361596</v>
      </c>
      <c r="W7" s="87">
        <f t="shared" ref="W7" si="14">IF(W34=0,0,W34*W144)</f>
        <v>23070.83672345665</v>
      </c>
      <c r="DA7" s="171" t="s">
        <v>455</v>
      </c>
    </row>
    <row r="8" spans="1:105" ht="11.45" customHeight="1" x14ac:dyDescent="0.25">
      <c r="A8" s="111" t="s">
        <v>111</v>
      </c>
      <c r="B8" s="87">
        <f t="shared" ref="B8:K8" si="15">IF(B35=0,0,B35*B145)</f>
        <v>27995.399922649434</v>
      </c>
      <c r="C8" s="87">
        <f t="shared" si="15"/>
        <v>29211.773668106915</v>
      </c>
      <c r="D8" s="87">
        <f t="shared" si="15"/>
        <v>31608.17757930364</v>
      </c>
      <c r="E8" s="87">
        <f t="shared" si="15"/>
        <v>34152.381149636793</v>
      </c>
      <c r="F8" s="87">
        <f t="shared" si="15"/>
        <v>36192.477452045758</v>
      </c>
      <c r="G8" s="87">
        <f t="shared" si="15"/>
        <v>37950.863851517104</v>
      </c>
      <c r="H8" s="87">
        <f t="shared" si="15"/>
        <v>39777.618122969259</v>
      </c>
      <c r="I8" s="87">
        <f t="shared" si="15"/>
        <v>41683.182461473552</v>
      </c>
      <c r="J8" s="87">
        <f t="shared" si="15"/>
        <v>40686.325989213787</v>
      </c>
      <c r="K8" s="87">
        <f t="shared" si="15"/>
        <v>41111.997139862899</v>
      </c>
      <c r="L8" s="87">
        <f t="shared" ref="L8" si="16">IF(L35=0,0,L35*L145)</f>
        <v>41684.338529526489</v>
      </c>
      <c r="M8" s="87">
        <f t="shared" ref="M8:V8" si="17">IF(M35=0,0,M35*M145)</f>
        <v>43568.502199305367</v>
      </c>
      <c r="N8" s="87">
        <f t="shared" si="17"/>
        <v>43584.255857749595</v>
      </c>
      <c r="O8" s="87">
        <f t="shared" si="17"/>
        <v>44668.705581106464</v>
      </c>
      <c r="P8" s="87">
        <f t="shared" si="17"/>
        <v>46911.476034561274</v>
      </c>
      <c r="Q8" s="87">
        <f t="shared" si="17"/>
        <v>48810.054420412176</v>
      </c>
      <c r="R8" s="87">
        <f t="shared" si="17"/>
        <v>50949.827265089734</v>
      </c>
      <c r="S8" s="87">
        <f t="shared" si="17"/>
        <v>52140.902336496576</v>
      </c>
      <c r="T8" s="87">
        <f t="shared" si="17"/>
        <v>50310.93029896808</v>
      </c>
      <c r="U8" s="87">
        <f t="shared" si="17"/>
        <v>48211.244827983624</v>
      </c>
      <c r="V8" s="87">
        <f t="shared" si="17"/>
        <v>42854.347696835765</v>
      </c>
      <c r="W8" s="87">
        <f t="shared" ref="W8" si="18">IF(W35=0,0,W35*W145)</f>
        <v>44335.710780230445</v>
      </c>
      <c r="DA8" s="171" t="s">
        <v>456</v>
      </c>
    </row>
    <row r="9" spans="1:105" ht="11.45" customHeight="1" x14ac:dyDescent="0.25">
      <c r="A9" s="111" t="s">
        <v>112</v>
      </c>
      <c r="B9" s="87">
        <f t="shared" ref="B9:K9" si="19">IF(B36=0,0,B36*B146)</f>
        <v>248.19500212798675</v>
      </c>
      <c r="C9" s="87">
        <f t="shared" si="19"/>
        <v>259.09069118132521</v>
      </c>
      <c r="D9" s="87">
        <f t="shared" si="19"/>
        <v>350.88165929274487</v>
      </c>
      <c r="E9" s="87">
        <f t="shared" si="19"/>
        <v>424.44680957008143</v>
      </c>
      <c r="F9" s="87">
        <f t="shared" si="19"/>
        <v>348.16266950763395</v>
      </c>
      <c r="G9" s="87">
        <f t="shared" si="19"/>
        <v>336.07853907460554</v>
      </c>
      <c r="H9" s="87">
        <f t="shared" si="19"/>
        <v>345.4779535542109</v>
      </c>
      <c r="I9" s="87">
        <f t="shared" si="19"/>
        <v>321.06797465025329</v>
      </c>
      <c r="J9" s="87">
        <f t="shared" si="19"/>
        <v>333.13997829900308</v>
      </c>
      <c r="K9" s="87">
        <f t="shared" si="19"/>
        <v>292.67767604310353</v>
      </c>
      <c r="L9" s="87">
        <f t="shared" ref="L9" si="20">IF(L36=0,0,L36*L146)</f>
        <v>264.73686135686705</v>
      </c>
      <c r="M9" s="87">
        <f t="shared" ref="M9:V9" si="21">IF(M36=0,0,M36*M146)</f>
        <v>258.64610470589128</v>
      </c>
      <c r="N9" s="87">
        <f t="shared" si="21"/>
        <v>268.69804879126269</v>
      </c>
      <c r="O9" s="87">
        <f t="shared" si="21"/>
        <v>249.57256368684673</v>
      </c>
      <c r="P9" s="87">
        <f t="shared" si="21"/>
        <v>223.68503209934283</v>
      </c>
      <c r="Q9" s="87">
        <f t="shared" si="21"/>
        <v>168.37628100671799</v>
      </c>
      <c r="R9" s="87">
        <f t="shared" si="21"/>
        <v>137.41652706633425</v>
      </c>
      <c r="S9" s="87">
        <f t="shared" si="21"/>
        <v>127.45368203319943</v>
      </c>
      <c r="T9" s="87">
        <f t="shared" si="21"/>
        <v>84.423497939928126</v>
      </c>
      <c r="U9" s="87">
        <f t="shared" si="21"/>
        <v>61.909693110825792</v>
      </c>
      <c r="V9" s="87">
        <f t="shared" si="21"/>
        <v>37.987072968778257</v>
      </c>
      <c r="W9" s="87">
        <f t="shared" ref="W9" si="22">IF(W36=0,0,W36*W146)</f>
        <v>38.837163274744853</v>
      </c>
      <c r="DA9" s="171" t="s">
        <v>457</v>
      </c>
    </row>
    <row r="10" spans="1:105" ht="11.45" customHeight="1" x14ac:dyDescent="0.25">
      <c r="A10" s="111" t="s">
        <v>113</v>
      </c>
      <c r="B10" s="87">
        <f t="shared" ref="B10:K10" si="23">IF(B37=0,0,B37*B147)</f>
        <v>0</v>
      </c>
      <c r="C10" s="87">
        <f t="shared" si="23"/>
        <v>0</v>
      </c>
      <c r="D10" s="87">
        <f t="shared" si="23"/>
        <v>0</v>
      </c>
      <c r="E10" s="87">
        <f t="shared" si="23"/>
        <v>0</v>
      </c>
      <c r="F10" s="87">
        <f t="shared" si="23"/>
        <v>0</v>
      </c>
      <c r="G10" s="87">
        <f t="shared" si="23"/>
        <v>0</v>
      </c>
      <c r="H10" s="87">
        <f t="shared" si="23"/>
        <v>1.0115841779088068</v>
      </c>
      <c r="I10" s="87">
        <f t="shared" si="23"/>
        <v>3.9449249332111131</v>
      </c>
      <c r="J10" s="87">
        <f t="shared" si="23"/>
        <v>18.672306765392733</v>
      </c>
      <c r="K10" s="87">
        <f t="shared" si="23"/>
        <v>21.930612254415646</v>
      </c>
      <c r="L10" s="87">
        <f t="shared" ref="L10" si="24">IF(L37=0,0,L37*L147)</f>
        <v>26.15541556459846</v>
      </c>
      <c r="M10" s="87">
        <f t="shared" ref="M10:V10" si="25">IF(M37=0,0,M37*M147)</f>
        <v>46.909021008989114</v>
      </c>
      <c r="N10" s="87">
        <f t="shared" si="25"/>
        <v>53.098888661397623</v>
      </c>
      <c r="O10" s="87">
        <f t="shared" si="25"/>
        <v>61.546507715250925</v>
      </c>
      <c r="P10" s="87">
        <f t="shared" si="25"/>
        <v>72.169208488603246</v>
      </c>
      <c r="Q10" s="87">
        <f t="shared" si="25"/>
        <v>81.164061547638468</v>
      </c>
      <c r="R10" s="87">
        <f t="shared" si="25"/>
        <v>80.11609911321905</v>
      </c>
      <c r="S10" s="87">
        <f t="shared" si="25"/>
        <v>82.138450085149984</v>
      </c>
      <c r="T10" s="87">
        <f t="shared" si="25"/>
        <v>83.584474187927967</v>
      </c>
      <c r="U10" s="87">
        <f t="shared" si="25"/>
        <v>82.245356684556242</v>
      </c>
      <c r="V10" s="87">
        <f t="shared" si="25"/>
        <v>71.607988957121691</v>
      </c>
      <c r="W10" s="87">
        <f t="shared" ref="W10" si="26">IF(W37=0,0,W37*W147)</f>
        <v>71.159536335410849</v>
      </c>
      <c r="DA10" s="171" t="s">
        <v>458</v>
      </c>
    </row>
    <row r="11" spans="1:105" ht="11.45" customHeight="1" x14ac:dyDescent="0.25">
      <c r="A11" s="111" t="s">
        <v>114</v>
      </c>
      <c r="B11" s="87">
        <f t="shared" ref="B11:K11" si="27">IF(B38=0,0,B38*B148)</f>
        <v>0</v>
      </c>
      <c r="C11" s="87">
        <f t="shared" si="27"/>
        <v>0</v>
      </c>
      <c r="D11" s="87">
        <f t="shared" si="27"/>
        <v>0</v>
      </c>
      <c r="E11" s="87">
        <f t="shared" si="27"/>
        <v>0</v>
      </c>
      <c r="F11" s="87">
        <f t="shared" si="27"/>
        <v>0</v>
      </c>
      <c r="G11" s="87">
        <f t="shared" si="27"/>
        <v>0</v>
      </c>
      <c r="H11" s="87">
        <f t="shared" si="27"/>
        <v>0</v>
      </c>
      <c r="I11" s="87">
        <f t="shared" si="27"/>
        <v>0</v>
      </c>
      <c r="J11" s="87">
        <f t="shared" si="27"/>
        <v>0</v>
      </c>
      <c r="K11" s="87">
        <f t="shared" si="27"/>
        <v>0</v>
      </c>
      <c r="L11" s="87">
        <f t="shared" ref="L11" si="28">IF(L38=0,0,L38*L148)</f>
        <v>0</v>
      </c>
      <c r="M11" s="87">
        <f t="shared" ref="M11:V11" si="29">IF(M38=0,0,M38*M148)</f>
        <v>2.7919533549697801E-2</v>
      </c>
      <c r="N11" s="87">
        <f t="shared" si="29"/>
        <v>3.6779626834644525</v>
      </c>
      <c r="O11" s="87">
        <f t="shared" si="29"/>
        <v>5.6309463043468586</v>
      </c>
      <c r="P11" s="87">
        <f t="shared" si="29"/>
        <v>10.652488176997856</v>
      </c>
      <c r="Q11" s="87">
        <f t="shared" si="29"/>
        <v>21.073163496818832</v>
      </c>
      <c r="R11" s="87">
        <f t="shared" si="29"/>
        <v>30.314475569211446</v>
      </c>
      <c r="S11" s="87">
        <f t="shared" si="29"/>
        <v>52.623417841739887</v>
      </c>
      <c r="T11" s="87">
        <f t="shared" si="29"/>
        <v>73.855975122003827</v>
      </c>
      <c r="U11" s="87">
        <f t="shared" si="29"/>
        <v>100.21463237111183</v>
      </c>
      <c r="V11" s="87">
        <f t="shared" si="29"/>
        <v>168.26070549303085</v>
      </c>
      <c r="W11" s="87">
        <f t="shared" ref="W11" si="30">IF(W38=0,0,W38*W148)</f>
        <v>339.65167787036472</v>
      </c>
      <c r="DA11" s="171" t="s">
        <v>459</v>
      </c>
    </row>
    <row r="12" spans="1:105" ht="11.45" customHeight="1" x14ac:dyDescent="0.25">
      <c r="A12" s="111" t="s">
        <v>115</v>
      </c>
      <c r="B12" s="87">
        <f t="shared" ref="B12:K12" si="31">IF(B39=0,0,B39*B149)</f>
        <v>0</v>
      </c>
      <c r="C12" s="87">
        <f t="shared" si="31"/>
        <v>0</v>
      </c>
      <c r="D12" s="87">
        <f t="shared" si="31"/>
        <v>0</v>
      </c>
      <c r="E12" s="87">
        <f t="shared" si="31"/>
        <v>0</v>
      </c>
      <c r="F12" s="87">
        <f t="shared" si="31"/>
        <v>0</v>
      </c>
      <c r="G12" s="87">
        <f t="shared" si="31"/>
        <v>0</v>
      </c>
      <c r="H12" s="87">
        <f t="shared" si="31"/>
        <v>0</v>
      </c>
      <c r="I12" s="87">
        <f t="shared" si="31"/>
        <v>0</v>
      </c>
      <c r="J12" s="87">
        <f t="shared" si="31"/>
        <v>3.443810209776485E-2</v>
      </c>
      <c r="K12" s="87">
        <f t="shared" si="31"/>
        <v>5.6441034216348207</v>
      </c>
      <c r="L12" s="87">
        <f t="shared" ref="L12" si="32">IF(L39=0,0,L39*L149)</f>
        <v>6.0725304429221278</v>
      </c>
      <c r="M12" s="87">
        <f t="shared" ref="M12:V12" si="33">IF(M39=0,0,M39*M149)</f>
        <v>17.031398134222986</v>
      </c>
      <c r="N12" s="87">
        <f t="shared" si="33"/>
        <v>23.910933379848348</v>
      </c>
      <c r="O12" s="87">
        <f t="shared" si="33"/>
        <v>35.591568002965744</v>
      </c>
      <c r="P12" s="87">
        <f t="shared" si="33"/>
        <v>58.230858606989052</v>
      </c>
      <c r="Q12" s="87">
        <f t="shared" si="33"/>
        <v>86.612870874745056</v>
      </c>
      <c r="R12" s="87">
        <f t="shared" si="33"/>
        <v>155.92450685788543</v>
      </c>
      <c r="S12" s="87">
        <f t="shared" si="33"/>
        <v>251.30465356085833</v>
      </c>
      <c r="T12" s="87">
        <f t="shared" si="33"/>
        <v>357.66518366354063</v>
      </c>
      <c r="U12" s="87">
        <f t="shared" si="33"/>
        <v>506.79404946755926</v>
      </c>
      <c r="V12" s="87">
        <f t="shared" si="33"/>
        <v>655.93924838371015</v>
      </c>
      <c r="W12" s="87">
        <f t="shared" ref="W12" si="34">IF(W39=0,0,W39*W149)</f>
        <v>1305.8041188323957</v>
      </c>
      <c r="DA12" s="171" t="s">
        <v>460</v>
      </c>
    </row>
    <row r="13" spans="1:105" ht="11.45" customHeight="1" x14ac:dyDescent="0.25">
      <c r="A13" s="109" t="s">
        <v>21</v>
      </c>
      <c r="B13" s="116">
        <f t="shared" ref="B13:K13" si="35">SUM(B14:B18)</f>
        <v>8973.2009111345651</v>
      </c>
      <c r="C13" s="116">
        <f t="shared" si="35"/>
        <v>8956.7135557658148</v>
      </c>
      <c r="D13" s="116">
        <f t="shared" si="35"/>
        <v>8964.2245158575442</v>
      </c>
      <c r="E13" s="116">
        <f t="shared" si="35"/>
        <v>9162.1810071422933</v>
      </c>
      <c r="F13" s="116">
        <f t="shared" si="35"/>
        <v>9225.6509042510315</v>
      </c>
      <c r="G13" s="116">
        <f t="shared" si="35"/>
        <v>9211.0310447791126</v>
      </c>
      <c r="H13" s="116">
        <f t="shared" si="35"/>
        <v>9416.4313331676531</v>
      </c>
      <c r="I13" s="116">
        <f t="shared" si="35"/>
        <v>9598.9584642274895</v>
      </c>
      <c r="J13" s="116">
        <f t="shared" si="35"/>
        <v>9335.2869353699352</v>
      </c>
      <c r="K13" s="116">
        <f t="shared" si="35"/>
        <v>8337.6213329847451</v>
      </c>
      <c r="L13" s="116">
        <f t="shared" ref="L13" si="36">SUM(L14:L18)</f>
        <v>8621.1029902964692</v>
      </c>
      <c r="M13" s="116">
        <f t="shared" ref="M13:V13" si="37">SUM(M14:M18)</f>
        <v>8892.4736269586901</v>
      </c>
      <c r="N13" s="116">
        <f t="shared" si="37"/>
        <v>8763.8944585147401</v>
      </c>
      <c r="O13" s="116">
        <f t="shared" si="37"/>
        <v>8801.9520572259116</v>
      </c>
      <c r="P13" s="116">
        <f t="shared" si="37"/>
        <v>9001.4701884235528</v>
      </c>
      <c r="Q13" s="116">
        <f t="shared" si="37"/>
        <v>9148.1739904404476</v>
      </c>
      <c r="R13" s="116">
        <f t="shared" si="37"/>
        <v>9429.2260694499018</v>
      </c>
      <c r="S13" s="116">
        <f t="shared" si="37"/>
        <v>9656.2683386698427</v>
      </c>
      <c r="T13" s="116">
        <f t="shared" si="37"/>
        <v>9282.8456102645287</v>
      </c>
      <c r="U13" s="116">
        <f t="shared" si="37"/>
        <v>9193.0076373329812</v>
      </c>
      <c r="V13" s="116">
        <f t="shared" si="37"/>
        <v>7444.1429471346637</v>
      </c>
      <c r="W13" s="116">
        <f t="shared" ref="W13" si="38">SUM(W14:W18)</f>
        <v>7676.6262484578683</v>
      </c>
      <c r="DA13" s="176" t="s">
        <v>374</v>
      </c>
    </row>
    <row r="14" spans="1:105" ht="11.45" customHeight="1" x14ac:dyDescent="0.25">
      <c r="A14" s="111" t="s">
        <v>110</v>
      </c>
      <c r="B14" s="101">
        <f t="shared" ref="B14:K14" si="39">IF(B41=0,0,B41*B151)</f>
        <v>5.0674283052898188</v>
      </c>
      <c r="C14" s="101">
        <f t="shared" si="39"/>
        <v>5.4618508883718437</v>
      </c>
      <c r="D14" s="101">
        <f t="shared" si="39"/>
        <v>4.6566257589819235</v>
      </c>
      <c r="E14" s="101">
        <f t="shared" si="39"/>
        <v>4.310623763120609</v>
      </c>
      <c r="F14" s="101">
        <f t="shared" si="39"/>
        <v>3.8263978679029074</v>
      </c>
      <c r="G14" s="101">
        <f t="shared" si="39"/>
        <v>3.0061819179833895</v>
      </c>
      <c r="H14" s="101">
        <f t="shared" si="39"/>
        <v>2.6348896097134573</v>
      </c>
      <c r="I14" s="101">
        <f t="shared" si="39"/>
        <v>2.6887274146910491</v>
      </c>
      <c r="J14" s="101">
        <f t="shared" si="39"/>
        <v>2.1620641032502146</v>
      </c>
      <c r="K14" s="101">
        <f t="shared" si="39"/>
        <v>1.4719681400709475</v>
      </c>
      <c r="L14" s="101">
        <f t="shared" ref="L14" si="40">IF(L41=0,0,L41*L151)</f>
        <v>1.5403461986135656</v>
      </c>
      <c r="M14" s="101">
        <f t="shared" ref="M14:V14" si="41">IF(M41=0,0,M41*M151)</f>
        <v>1.1698065876042321</v>
      </c>
      <c r="N14" s="101">
        <f t="shared" si="41"/>
        <v>1.1637239255926146</v>
      </c>
      <c r="O14" s="101">
        <f t="shared" si="41"/>
        <v>0.76628341249050724</v>
      </c>
      <c r="P14" s="101">
        <f t="shared" si="41"/>
        <v>0.97555823158147459</v>
      </c>
      <c r="Q14" s="101">
        <f t="shared" si="41"/>
        <v>0.78899549092484145</v>
      </c>
      <c r="R14" s="101">
        <f t="shared" si="41"/>
        <v>1.0650296457212038</v>
      </c>
      <c r="S14" s="101">
        <f t="shared" si="41"/>
        <v>1.077641212352497</v>
      </c>
      <c r="T14" s="101">
        <f t="shared" si="41"/>
        <v>1.0724972056517867</v>
      </c>
      <c r="U14" s="101">
        <f t="shared" si="41"/>
        <v>1.0493152835798112</v>
      </c>
      <c r="V14" s="101">
        <f t="shared" si="41"/>
        <v>0.77720937273728119</v>
      </c>
      <c r="W14" s="101">
        <f t="shared" ref="W14" si="42">IF(W41=0,0,W41*W151)</f>
        <v>1.0315113955491666</v>
      </c>
      <c r="DA14" s="175" t="s">
        <v>461</v>
      </c>
    </row>
    <row r="15" spans="1:105" ht="11.45" customHeight="1" x14ac:dyDescent="0.25">
      <c r="A15" s="111" t="s">
        <v>111</v>
      </c>
      <c r="B15" s="101">
        <f t="shared" ref="B15:K15" si="43">IF(B42=0,0,B42*B152)</f>
        <v>8875.6414517126577</v>
      </c>
      <c r="C15" s="101">
        <f t="shared" si="43"/>
        <v>8855.7646803886364</v>
      </c>
      <c r="D15" s="101">
        <f t="shared" si="43"/>
        <v>8853.6898175895967</v>
      </c>
      <c r="E15" s="101">
        <f t="shared" si="43"/>
        <v>9043.6624900660481</v>
      </c>
      <c r="F15" s="101">
        <f t="shared" si="43"/>
        <v>9087.4328104926099</v>
      </c>
      <c r="G15" s="101">
        <f t="shared" si="43"/>
        <v>9056.305637371197</v>
      </c>
      <c r="H15" s="101">
        <f t="shared" si="43"/>
        <v>9244.6777362123976</v>
      </c>
      <c r="I15" s="101">
        <f t="shared" si="43"/>
        <v>9374.6069649576639</v>
      </c>
      <c r="J15" s="101">
        <f t="shared" si="43"/>
        <v>9081.1369304650325</v>
      </c>
      <c r="K15" s="101">
        <f t="shared" si="43"/>
        <v>7891.5024552295608</v>
      </c>
      <c r="L15" s="101">
        <f t="shared" ref="L15" si="44">IF(L42=0,0,L42*L152)</f>
        <v>8056.4065226237553</v>
      </c>
      <c r="M15" s="101">
        <f t="shared" ref="M15:V15" si="45">IF(M42=0,0,M42*M152)</f>
        <v>8270.8694749898132</v>
      </c>
      <c r="N15" s="101">
        <f t="shared" si="45"/>
        <v>8105.5961594131995</v>
      </c>
      <c r="O15" s="101">
        <f t="shared" si="45"/>
        <v>8042.8353477851506</v>
      </c>
      <c r="P15" s="101">
        <f t="shared" si="45"/>
        <v>8203.0449919205385</v>
      </c>
      <c r="Q15" s="101">
        <f t="shared" si="45"/>
        <v>8367.4637951431705</v>
      </c>
      <c r="R15" s="101">
        <f t="shared" si="45"/>
        <v>8787.6594363526547</v>
      </c>
      <c r="S15" s="101">
        <f t="shared" si="45"/>
        <v>9050.048411148884</v>
      </c>
      <c r="T15" s="101">
        <f t="shared" si="45"/>
        <v>8685.4512041471862</v>
      </c>
      <c r="U15" s="101">
        <f t="shared" si="45"/>
        <v>8599.5237437229989</v>
      </c>
      <c r="V15" s="101">
        <f t="shared" si="45"/>
        <v>6901.7930758886923</v>
      </c>
      <c r="W15" s="101">
        <f t="shared" ref="W15" si="46">IF(W42=0,0,W42*W152)</f>
        <v>7140.0587024636225</v>
      </c>
      <c r="DA15" s="175" t="s">
        <v>462</v>
      </c>
    </row>
    <row r="16" spans="1:105" ht="11.45" customHeight="1" x14ac:dyDescent="0.25">
      <c r="A16" s="111" t="s">
        <v>112</v>
      </c>
      <c r="B16" s="101">
        <f t="shared" ref="B16:K16" si="47">IF(B43=0,0,B43*B153)</f>
        <v>0</v>
      </c>
      <c r="C16" s="101">
        <f t="shared" si="47"/>
        <v>6.4339830497910748</v>
      </c>
      <c r="D16" s="101">
        <f t="shared" si="47"/>
        <v>20.734030827000897</v>
      </c>
      <c r="E16" s="101">
        <f t="shared" si="47"/>
        <v>30.209503488091482</v>
      </c>
      <c r="F16" s="101">
        <f t="shared" si="47"/>
        <v>40.715148453435411</v>
      </c>
      <c r="G16" s="101">
        <f t="shared" si="47"/>
        <v>60.047197440357515</v>
      </c>
      <c r="H16" s="101">
        <f t="shared" si="47"/>
        <v>76.939866147187885</v>
      </c>
      <c r="I16" s="101">
        <f t="shared" si="47"/>
        <v>98.53050288066143</v>
      </c>
      <c r="J16" s="101">
        <f t="shared" si="47"/>
        <v>113.36168977471816</v>
      </c>
      <c r="K16" s="101">
        <f t="shared" si="47"/>
        <v>128.44227973297737</v>
      </c>
      <c r="L16" s="101">
        <f t="shared" ref="L16" si="48">IF(L43=0,0,L43*L153)</f>
        <v>150.36492978763852</v>
      </c>
      <c r="M16" s="101">
        <f t="shared" ref="M16:V16" si="49">IF(M43=0,0,M43*M153)</f>
        <v>169.32443707781397</v>
      </c>
      <c r="N16" s="101">
        <f t="shared" si="49"/>
        <v>169.42044205283582</v>
      </c>
      <c r="O16" s="101">
        <f t="shared" si="49"/>
        <v>164.881318592843</v>
      </c>
      <c r="P16" s="101">
        <f t="shared" si="49"/>
        <v>159.68989681852733</v>
      </c>
      <c r="Q16" s="101">
        <f t="shared" si="49"/>
        <v>130.35210329143905</v>
      </c>
      <c r="R16" s="101">
        <f t="shared" si="49"/>
        <v>107.97298201933394</v>
      </c>
      <c r="S16" s="101">
        <f t="shared" si="49"/>
        <v>87.779943686528597</v>
      </c>
      <c r="T16" s="101">
        <f t="shared" si="49"/>
        <v>86.518587627285669</v>
      </c>
      <c r="U16" s="101">
        <f t="shared" si="49"/>
        <v>7.0206629109062426</v>
      </c>
      <c r="V16" s="101">
        <f t="shared" si="49"/>
        <v>5.6765931455168595</v>
      </c>
      <c r="W16" s="101">
        <f t="shared" ref="W16" si="50">IF(W43=0,0,W43*W153)</f>
        <v>5.3929243876835811</v>
      </c>
      <c r="DA16" s="175" t="s">
        <v>463</v>
      </c>
    </row>
    <row r="17" spans="1:105" ht="11.45" customHeight="1" x14ac:dyDescent="0.25">
      <c r="A17" s="111" t="s">
        <v>113</v>
      </c>
      <c r="B17" s="101">
        <f t="shared" ref="B17:K17" si="51">IF(B44=0,0,B44*B154)</f>
        <v>0</v>
      </c>
      <c r="C17" s="101">
        <f t="shared" si="51"/>
        <v>0</v>
      </c>
      <c r="D17" s="101">
        <f t="shared" si="51"/>
        <v>0</v>
      </c>
      <c r="E17" s="101">
        <f t="shared" si="51"/>
        <v>0</v>
      </c>
      <c r="F17" s="101">
        <f t="shared" si="51"/>
        <v>12.595354152622251</v>
      </c>
      <c r="G17" s="101">
        <f t="shared" si="51"/>
        <v>10.669321332323499</v>
      </c>
      <c r="H17" s="101">
        <f t="shared" si="51"/>
        <v>6.7134383491742149</v>
      </c>
      <c r="I17" s="101">
        <f t="shared" si="51"/>
        <v>47.497596742186637</v>
      </c>
      <c r="J17" s="101">
        <f t="shared" si="51"/>
        <v>62.986148592948972</v>
      </c>
      <c r="K17" s="101">
        <f t="shared" si="51"/>
        <v>239.0630168481668</v>
      </c>
      <c r="L17" s="101">
        <f t="shared" ref="L17" si="52">IF(L44=0,0,L44*L154)</f>
        <v>334.44528341983744</v>
      </c>
      <c r="M17" s="101">
        <f t="shared" ref="M17:V17" si="53">IF(M44=0,0,M44*M154)</f>
        <v>367.79659160158201</v>
      </c>
      <c r="N17" s="101">
        <f t="shared" si="53"/>
        <v>398.63634549847649</v>
      </c>
      <c r="O17" s="101">
        <f t="shared" si="53"/>
        <v>495.01046271737596</v>
      </c>
      <c r="P17" s="101">
        <f t="shared" si="53"/>
        <v>545.23073861651437</v>
      </c>
      <c r="Q17" s="101">
        <f t="shared" si="53"/>
        <v>551.97995357229161</v>
      </c>
      <c r="R17" s="101">
        <f t="shared" si="53"/>
        <v>426.54108653878006</v>
      </c>
      <c r="S17" s="101">
        <f t="shared" si="53"/>
        <v>415.86501103299275</v>
      </c>
      <c r="T17" s="101">
        <f t="shared" si="53"/>
        <v>400.47980364868749</v>
      </c>
      <c r="U17" s="101">
        <f t="shared" si="53"/>
        <v>471.22921450720435</v>
      </c>
      <c r="V17" s="101">
        <f t="shared" si="53"/>
        <v>437.37325198826238</v>
      </c>
      <c r="W17" s="101">
        <f t="shared" ref="W17" si="54">IF(W44=0,0,W44*W154)</f>
        <v>426.91336611548269</v>
      </c>
      <c r="DA17" s="175" t="s">
        <v>464</v>
      </c>
    </row>
    <row r="18" spans="1:105" ht="11.45" customHeight="1" x14ac:dyDescent="0.25">
      <c r="A18" s="111" t="s">
        <v>115</v>
      </c>
      <c r="B18" s="101">
        <f t="shared" ref="B18:K18" si="55">IF(B45=0,0,B45*B155)</f>
        <v>92.49203111661754</v>
      </c>
      <c r="C18" s="101">
        <f t="shared" si="55"/>
        <v>89.053041439015843</v>
      </c>
      <c r="D18" s="101">
        <f t="shared" si="55"/>
        <v>85.144041681964751</v>
      </c>
      <c r="E18" s="101">
        <f t="shared" si="55"/>
        <v>83.99838982503303</v>
      </c>
      <c r="F18" s="101">
        <f t="shared" si="55"/>
        <v>81.081193284462429</v>
      </c>
      <c r="G18" s="101">
        <f t="shared" si="55"/>
        <v>81.002706717252181</v>
      </c>
      <c r="H18" s="101">
        <f t="shared" si="55"/>
        <v>85.465402849181103</v>
      </c>
      <c r="I18" s="101">
        <f t="shared" si="55"/>
        <v>75.634672232287301</v>
      </c>
      <c r="J18" s="101">
        <f t="shared" si="55"/>
        <v>75.640102433986712</v>
      </c>
      <c r="K18" s="101">
        <f t="shared" si="55"/>
        <v>77.141613033969136</v>
      </c>
      <c r="L18" s="101">
        <f t="shared" ref="L18" si="56">IF(L45=0,0,L45*L155)</f>
        <v>78.345908266622587</v>
      </c>
      <c r="M18" s="101">
        <f t="shared" ref="M18:V18" si="57">IF(M45=0,0,M45*M155)</f>
        <v>83.313316701877483</v>
      </c>
      <c r="N18" s="101">
        <f t="shared" si="57"/>
        <v>89.077787624636258</v>
      </c>
      <c r="O18" s="101">
        <f t="shared" si="57"/>
        <v>98.458644718050024</v>
      </c>
      <c r="P18" s="101">
        <f t="shared" si="57"/>
        <v>92.529002836393104</v>
      </c>
      <c r="Q18" s="101">
        <f t="shared" si="57"/>
        <v>97.589142942621379</v>
      </c>
      <c r="R18" s="101">
        <f t="shared" si="57"/>
        <v>105.98753489341331</v>
      </c>
      <c r="S18" s="101">
        <f t="shared" si="57"/>
        <v>101.49733158908481</v>
      </c>
      <c r="T18" s="101">
        <f t="shared" si="57"/>
        <v>109.32351763571494</v>
      </c>
      <c r="U18" s="101">
        <f t="shared" si="57"/>
        <v>114.18470090829089</v>
      </c>
      <c r="V18" s="101">
        <f t="shared" si="57"/>
        <v>98.522816739455351</v>
      </c>
      <c r="W18" s="101">
        <f t="shared" ref="W18" si="58">IF(W45=0,0,W45*W155)</f>
        <v>103.2297440955295</v>
      </c>
      <c r="DA18" s="175" t="s">
        <v>465</v>
      </c>
    </row>
    <row r="19" spans="1:105" ht="11.45" customHeight="1" x14ac:dyDescent="0.25">
      <c r="A19" s="27" t="s">
        <v>28</v>
      </c>
      <c r="B19" s="29">
        <f t="shared" ref="B19:K19" si="59">B20+B26</f>
        <v>26992.40200093593</v>
      </c>
      <c r="C19" s="29">
        <f t="shared" si="59"/>
        <v>28092.341429841606</v>
      </c>
      <c r="D19" s="29">
        <f t="shared" si="59"/>
        <v>29217.448925598157</v>
      </c>
      <c r="E19" s="29">
        <f t="shared" si="59"/>
        <v>29858.612191084288</v>
      </c>
      <c r="F19" s="29">
        <f t="shared" si="59"/>
        <v>31859.333447047011</v>
      </c>
      <c r="G19" s="29">
        <f t="shared" si="59"/>
        <v>32692.588820443299</v>
      </c>
      <c r="H19" s="29">
        <f t="shared" si="59"/>
        <v>35760.171934872269</v>
      </c>
      <c r="I19" s="29">
        <f t="shared" si="59"/>
        <v>38875.972994584467</v>
      </c>
      <c r="J19" s="29">
        <f t="shared" si="59"/>
        <v>41439.282730269151</v>
      </c>
      <c r="K19" s="29">
        <f t="shared" si="59"/>
        <v>36057.454284544976</v>
      </c>
      <c r="L19" s="29">
        <f t="shared" ref="L19" si="60">L20+L26</f>
        <v>38194.041077874965</v>
      </c>
      <c r="M19" s="29">
        <f t="shared" ref="M19:V19" si="61">M20+M26</f>
        <v>39417.303751270934</v>
      </c>
      <c r="N19" s="29">
        <f t="shared" si="61"/>
        <v>38361.525224682475</v>
      </c>
      <c r="O19" s="29">
        <f t="shared" si="61"/>
        <v>38917.696660677801</v>
      </c>
      <c r="P19" s="29">
        <f t="shared" si="61"/>
        <v>40050.877358513106</v>
      </c>
      <c r="Q19" s="29">
        <f t="shared" si="61"/>
        <v>41831.031471965733</v>
      </c>
      <c r="R19" s="29">
        <f t="shared" si="61"/>
        <v>43498.467110058533</v>
      </c>
      <c r="S19" s="29">
        <f t="shared" si="61"/>
        <v>46203.688471222966</v>
      </c>
      <c r="T19" s="29">
        <f t="shared" si="61"/>
        <v>46674.387587036421</v>
      </c>
      <c r="U19" s="29">
        <f t="shared" si="61"/>
        <v>47482.546394437551</v>
      </c>
      <c r="V19" s="29">
        <f t="shared" si="61"/>
        <v>47419.167201360935</v>
      </c>
      <c r="W19" s="29">
        <f t="shared" ref="W19" si="62">W20+W26</f>
        <v>50267.097867844517</v>
      </c>
      <c r="DA19" s="173" t="s">
        <v>380</v>
      </c>
    </row>
    <row r="20" spans="1:105" ht="11.45" customHeight="1" x14ac:dyDescent="0.25">
      <c r="A20" s="136" t="s">
        <v>156</v>
      </c>
      <c r="B20" s="152">
        <f t="shared" ref="B20:K20" si="63">SUM(B21:B25)</f>
        <v>266.05654411875321</v>
      </c>
      <c r="C20" s="152">
        <f t="shared" si="63"/>
        <v>280.14632990796008</v>
      </c>
      <c r="D20" s="152">
        <f t="shared" si="63"/>
        <v>290.73403681970979</v>
      </c>
      <c r="E20" s="152">
        <f t="shared" si="63"/>
        <v>297.04736682436447</v>
      </c>
      <c r="F20" s="152">
        <f t="shared" si="63"/>
        <v>301.9063489997377</v>
      </c>
      <c r="G20" s="152">
        <f t="shared" si="63"/>
        <v>311.20809442087153</v>
      </c>
      <c r="H20" s="152">
        <f t="shared" si="63"/>
        <v>319.67415876323179</v>
      </c>
      <c r="I20" s="152">
        <f t="shared" si="63"/>
        <v>328.34904995053267</v>
      </c>
      <c r="J20" s="152">
        <f t="shared" si="63"/>
        <v>328.23886390010489</v>
      </c>
      <c r="K20" s="152">
        <f t="shared" si="63"/>
        <v>328.4685652860943</v>
      </c>
      <c r="L20" s="152">
        <f t="shared" ref="L20" si="64">SUM(L21:L25)</f>
        <v>332.60475677406447</v>
      </c>
      <c r="M20" s="152">
        <f t="shared" ref="M20:V20" si="65">SUM(M21:M25)</f>
        <v>339.12959295258872</v>
      </c>
      <c r="N20" s="152">
        <f t="shared" si="65"/>
        <v>341.6710045947782</v>
      </c>
      <c r="O20" s="152">
        <f t="shared" si="65"/>
        <v>353.49010182556174</v>
      </c>
      <c r="P20" s="152">
        <f t="shared" si="65"/>
        <v>369.62240568491518</v>
      </c>
      <c r="Q20" s="152">
        <f t="shared" si="65"/>
        <v>381.94302585834032</v>
      </c>
      <c r="R20" s="152">
        <f t="shared" si="65"/>
        <v>392.35890965975523</v>
      </c>
      <c r="S20" s="152">
        <f t="shared" si="65"/>
        <v>400.87742895331149</v>
      </c>
      <c r="T20" s="152">
        <f t="shared" si="65"/>
        <v>412.38758703642395</v>
      </c>
      <c r="U20" s="152">
        <f t="shared" si="65"/>
        <v>425.54639443755201</v>
      </c>
      <c r="V20" s="152">
        <f t="shared" si="65"/>
        <v>432.1672013609375</v>
      </c>
      <c r="W20" s="152">
        <f t="shared" ref="W20" si="66">SUM(W21:W25)</f>
        <v>458.09786784451762</v>
      </c>
      <c r="DA20" s="174" t="s">
        <v>381</v>
      </c>
    </row>
    <row r="21" spans="1:105" ht="11.45" customHeight="1" x14ac:dyDescent="0.25">
      <c r="A21" s="111" t="s">
        <v>110</v>
      </c>
      <c r="B21" s="87">
        <f t="shared" ref="B21:K21" si="67">IF(B48=0,0,B48*B158)</f>
        <v>31.297109741313594</v>
      </c>
      <c r="C21" s="87">
        <f t="shared" si="67"/>
        <v>28.702166939978863</v>
      </c>
      <c r="D21" s="87">
        <f t="shared" si="67"/>
        <v>19.705629802004804</v>
      </c>
      <c r="E21" s="87">
        <f t="shared" si="67"/>
        <v>17.274732377413976</v>
      </c>
      <c r="F21" s="87">
        <f t="shared" si="67"/>
        <v>15.270669570236112</v>
      </c>
      <c r="G21" s="87">
        <f t="shared" si="67"/>
        <v>14.049980308422706</v>
      </c>
      <c r="H21" s="87">
        <f t="shared" si="67"/>
        <v>13.383428606458828</v>
      </c>
      <c r="I21" s="87">
        <f t="shared" si="67"/>
        <v>12.988590248708979</v>
      </c>
      <c r="J21" s="87">
        <f t="shared" si="67"/>
        <v>12.418141337825173</v>
      </c>
      <c r="K21" s="87">
        <f t="shared" si="67"/>
        <v>12.333813363924552</v>
      </c>
      <c r="L21" s="87">
        <f t="shared" ref="L21" si="68">IF(L48=0,0,L48*L158)</f>
        <v>12.237345349310669</v>
      </c>
      <c r="M21" s="87">
        <f t="shared" ref="M21:V21" si="69">IF(M48=0,0,M48*M158)</f>
        <v>12.655120863463674</v>
      </c>
      <c r="N21" s="87">
        <f t="shared" si="69"/>
        <v>12.937206142801145</v>
      </c>
      <c r="O21" s="87">
        <f t="shared" si="69"/>
        <v>13.013277286070235</v>
      </c>
      <c r="P21" s="87">
        <f t="shared" si="69"/>
        <v>13.5963047105563</v>
      </c>
      <c r="Q21" s="87">
        <f t="shared" si="69"/>
        <v>14.186845501104255</v>
      </c>
      <c r="R21" s="87">
        <f t="shared" si="69"/>
        <v>14.26794129336008</v>
      </c>
      <c r="S21" s="87">
        <f t="shared" si="69"/>
        <v>14.634047921718302</v>
      </c>
      <c r="T21" s="87">
        <f t="shared" si="69"/>
        <v>15.369251428129916</v>
      </c>
      <c r="U21" s="87">
        <f t="shared" si="69"/>
        <v>15.43976616569068</v>
      </c>
      <c r="V21" s="87">
        <f t="shared" si="69"/>
        <v>15.17693075851516</v>
      </c>
      <c r="W21" s="87">
        <f t="shared" ref="W21" si="70">IF(W48=0,0,W48*W158)</f>
        <v>15.459189981840602</v>
      </c>
      <c r="DA21" s="171" t="s">
        <v>466</v>
      </c>
    </row>
    <row r="22" spans="1:105" ht="11.45" customHeight="1" x14ac:dyDescent="0.25">
      <c r="A22" s="111" t="s">
        <v>111</v>
      </c>
      <c r="B22" s="87">
        <f t="shared" ref="B22:K22" si="71">IF(B49=0,0,B49*B159)</f>
        <v>234.74240597849342</v>
      </c>
      <c r="C22" s="87">
        <f t="shared" si="71"/>
        <v>251.42167259992209</v>
      </c>
      <c r="D22" s="87">
        <f t="shared" si="71"/>
        <v>271.0086077581405</v>
      </c>
      <c r="E22" s="87">
        <f t="shared" si="71"/>
        <v>279.74709127507703</v>
      </c>
      <c r="F22" s="87">
        <f t="shared" si="71"/>
        <v>286.60071798689341</v>
      </c>
      <c r="G22" s="87">
        <f t="shared" si="71"/>
        <v>297.06694794905587</v>
      </c>
      <c r="H22" s="87">
        <f t="shared" si="71"/>
        <v>306.15761688685643</v>
      </c>
      <c r="I22" s="87">
        <f t="shared" si="71"/>
        <v>315.1774409676546</v>
      </c>
      <c r="J22" s="87">
        <f t="shared" si="71"/>
        <v>315.57773913913707</v>
      </c>
      <c r="K22" s="87">
        <f t="shared" si="71"/>
        <v>315.95832612247864</v>
      </c>
      <c r="L22" s="87">
        <f t="shared" ref="L22" si="72">IF(L49=0,0,L49*L159)</f>
        <v>320.17964839205689</v>
      </c>
      <c r="M22" s="87">
        <f t="shared" ref="M22:V22" si="73">IF(M49=0,0,M49*M159)</f>
        <v>326.25397277147204</v>
      </c>
      <c r="N22" s="87">
        <f t="shared" si="73"/>
        <v>328.28965491636689</v>
      </c>
      <c r="O22" s="87">
        <f t="shared" si="73"/>
        <v>339.41710742483843</v>
      </c>
      <c r="P22" s="87">
        <f t="shared" si="73"/>
        <v>354.77579233483294</v>
      </c>
      <c r="Q22" s="87">
        <f t="shared" si="73"/>
        <v>366.31926662693172</v>
      </c>
      <c r="R22" s="87">
        <f t="shared" si="73"/>
        <v>375.86441276592291</v>
      </c>
      <c r="S22" s="87">
        <f t="shared" si="73"/>
        <v>383.90810067882927</v>
      </c>
      <c r="T22" s="87">
        <f t="shared" si="73"/>
        <v>394.35745517612366</v>
      </c>
      <c r="U22" s="87">
        <f t="shared" si="73"/>
        <v>407.1486395314451</v>
      </c>
      <c r="V22" s="87">
        <f t="shared" si="73"/>
        <v>413.62174049846453</v>
      </c>
      <c r="W22" s="87">
        <f t="shared" ref="W22" si="74">IF(W49=0,0,W49*W159)</f>
        <v>437.6942600264519</v>
      </c>
      <c r="DA22" s="171" t="s">
        <v>467</v>
      </c>
    </row>
    <row r="23" spans="1:105" ht="11.45" customHeight="1" x14ac:dyDescent="0.25">
      <c r="A23" s="111" t="s">
        <v>112</v>
      </c>
      <c r="B23" s="87">
        <f t="shared" ref="B23:K23" si="75">IF(B50=0,0,B50*B160)</f>
        <v>0</v>
      </c>
      <c r="C23" s="87">
        <f t="shared" si="75"/>
        <v>0</v>
      </c>
      <c r="D23" s="87">
        <f t="shared" si="75"/>
        <v>0</v>
      </c>
      <c r="E23" s="87">
        <f t="shared" si="75"/>
        <v>6.4208537988706613E-3</v>
      </c>
      <c r="F23" s="87">
        <f t="shared" si="75"/>
        <v>1.7200629265658626E-2</v>
      </c>
      <c r="G23" s="87">
        <f t="shared" si="75"/>
        <v>7.4759840231554367E-2</v>
      </c>
      <c r="H23" s="87">
        <f t="shared" si="75"/>
        <v>7.2195597026428013E-2</v>
      </c>
      <c r="I23" s="87">
        <f t="shared" si="75"/>
        <v>7.1569288919379553E-2</v>
      </c>
      <c r="J23" s="87">
        <f t="shared" si="75"/>
        <v>6.8087073782545762E-2</v>
      </c>
      <c r="K23" s="87">
        <f t="shared" si="75"/>
        <v>6.421132692841193E-2</v>
      </c>
      <c r="L23" s="87">
        <f t="shared" ref="L23" si="76">IF(L50=0,0,L50*L160)</f>
        <v>6.0220501113440024E-2</v>
      </c>
      <c r="M23" s="87">
        <f t="shared" ref="M23:V23" si="77">IF(M50=0,0,M50*M160)</f>
        <v>5.5948816434290366E-2</v>
      </c>
      <c r="N23" s="87">
        <f t="shared" si="77"/>
        <v>5.9129566975414202E-2</v>
      </c>
      <c r="O23" s="87">
        <f t="shared" si="77"/>
        <v>6.3516879256519332E-2</v>
      </c>
      <c r="P23" s="87">
        <f t="shared" si="77"/>
        <v>7.2691768419950786E-2</v>
      </c>
      <c r="Q23" s="87">
        <f t="shared" si="77"/>
        <v>7.6342987636496343E-2</v>
      </c>
      <c r="R23" s="87">
        <f t="shared" si="77"/>
        <v>0.11898373324152335</v>
      </c>
      <c r="S23" s="87">
        <f t="shared" si="77"/>
        <v>0.12382073930269161</v>
      </c>
      <c r="T23" s="87">
        <f t="shared" si="77"/>
        <v>0.12570114932100626</v>
      </c>
      <c r="U23" s="87">
        <f t="shared" si="77"/>
        <v>0.13823053528642265</v>
      </c>
      <c r="V23" s="87">
        <f t="shared" si="77"/>
        <v>0.15950778211878897</v>
      </c>
      <c r="W23" s="87">
        <f t="shared" ref="W23" si="78">IF(W50=0,0,W50*W160)</f>
        <v>0.18281941680433425</v>
      </c>
      <c r="DA23" s="171" t="s">
        <v>468</v>
      </c>
    </row>
    <row r="24" spans="1:105" ht="11.45" customHeight="1" x14ac:dyDescent="0.25">
      <c r="A24" s="111" t="s">
        <v>113</v>
      </c>
      <c r="B24" s="87">
        <f t="shared" ref="B24:K24" si="79">IF(B51=0,0,B51*B161)</f>
        <v>0</v>
      </c>
      <c r="C24" s="87">
        <f t="shared" si="79"/>
        <v>0</v>
      </c>
      <c r="D24" s="87">
        <f t="shared" si="79"/>
        <v>0</v>
      </c>
      <c r="E24" s="87">
        <f t="shared" si="79"/>
        <v>0</v>
      </c>
      <c r="F24" s="87">
        <f t="shared" si="79"/>
        <v>0</v>
      </c>
      <c r="G24" s="87">
        <f t="shared" si="79"/>
        <v>0</v>
      </c>
      <c r="H24" s="87">
        <f t="shared" si="79"/>
        <v>4.5862013477108617E-2</v>
      </c>
      <c r="I24" s="87">
        <f t="shared" si="79"/>
        <v>9.2276606651200646E-2</v>
      </c>
      <c r="J24" s="87">
        <f t="shared" si="79"/>
        <v>0.15364009977891599</v>
      </c>
      <c r="K24" s="87">
        <f t="shared" si="79"/>
        <v>8.1323373145907082E-2</v>
      </c>
      <c r="L24" s="87">
        <f t="shared" ref="L24" si="80">IF(L51=0,0,L51*L161)</f>
        <v>8.0142736989778737E-2</v>
      </c>
      <c r="M24" s="87">
        <f t="shared" ref="M24:V24" si="81">IF(M51=0,0,M51*M161)</f>
        <v>8.96453612241596E-2</v>
      </c>
      <c r="N24" s="87">
        <f t="shared" si="81"/>
        <v>0.1194690434956958</v>
      </c>
      <c r="O24" s="87">
        <f t="shared" si="81"/>
        <v>0.56986905807041377</v>
      </c>
      <c r="P24" s="87">
        <f t="shared" si="81"/>
        <v>0.61337714106362196</v>
      </c>
      <c r="Q24" s="87">
        <f t="shared" si="81"/>
        <v>0.62407194020667389</v>
      </c>
      <c r="R24" s="87">
        <f t="shared" si="81"/>
        <v>1.097187587863766</v>
      </c>
      <c r="S24" s="87">
        <f t="shared" si="81"/>
        <v>1.034181915756299</v>
      </c>
      <c r="T24" s="87">
        <f t="shared" si="81"/>
        <v>1.0633095688026282</v>
      </c>
      <c r="U24" s="87">
        <f t="shared" si="81"/>
        <v>1.0292505750282055</v>
      </c>
      <c r="V24" s="87">
        <f t="shared" si="81"/>
        <v>0.94073110798524284</v>
      </c>
      <c r="W24" s="87">
        <f t="shared" ref="W24" si="82">IF(W51=0,0,W51*W161)</f>
        <v>0.8977224456973063</v>
      </c>
      <c r="DA24" s="171" t="s">
        <v>469</v>
      </c>
    </row>
    <row r="25" spans="1:105" ht="11.45" customHeight="1" x14ac:dyDescent="0.25">
      <c r="A25" s="111" t="s">
        <v>115</v>
      </c>
      <c r="B25" s="87">
        <f t="shared" ref="B25:K25" si="83">IF(B52=0,0,B52*B162)</f>
        <v>1.7028398946201534E-2</v>
      </c>
      <c r="C25" s="87">
        <f t="shared" si="83"/>
        <v>2.2490368059179481E-2</v>
      </c>
      <c r="D25" s="87">
        <f t="shared" si="83"/>
        <v>1.9799259564464759E-2</v>
      </c>
      <c r="E25" s="87">
        <f t="shared" si="83"/>
        <v>1.9122318074632168E-2</v>
      </c>
      <c r="F25" s="87">
        <f t="shared" si="83"/>
        <v>1.7760813342532211E-2</v>
      </c>
      <c r="G25" s="87">
        <f t="shared" si="83"/>
        <v>1.6406323161382227E-2</v>
      </c>
      <c r="H25" s="87">
        <f t="shared" si="83"/>
        <v>1.5055659412961764E-2</v>
      </c>
      <c r="I25" s="87">
        <f t="shared" si="83"/>
        <v>1.917283859855012E-2</v>
      </c>
      <c r="J25" s="87">
        <f t="shared" si="83"/>
        <v>2.1256249581255899E-2</v>
      </c>
      <c r="K25" s="87">
        <f t="shared" si="83"/>
        <v>3.0891099616828593E-2</v>
      </c>
      <c r="L25" s="87">
        <f t="shared" ref="L25" si="84">IF(L52=0,0,L52*L162)</f>
        <v>4.7399794593698134E-2</v>
      </c>
      <c r="M25" s="87">
        <f t="shared" ref="M25:V25" si="85">IF(M52=0,0,M52*M162)</f>
        <v>7.4905139994601438E-2</v>
      </c>
      <c r="N25" s="87">
        <f t="shared" si="85"/>
        <v>0.26554492513904204</v>
      </c>
      <c r="O25" s="87">
        <f t="shared" si="85"/>
        <v>0.42633117732611442</v>
      </c>
      <c r="P25" s="87">
        <f t="shared" si="85"/>
        <v>0.56423973004237638</v>
      </c>
      <c r="Q25" s="87">
        <f t="shared" si="85"/>
        <v>0.73649880246121147</v>
      </c>
      <c r="R25" s="87">
        <f t="shared" si="85"/>
        <v>1.0103842793669693</v>
      </c>
      <c r="S25" s="87">
        <f t="shared" si="85"/>
        <v>1.1772776977049559</v>
      </c>
      <c r="T25" s="87">
        <f t="shared" si="85"/>
        <v>1.4718697140466859</v>
      </c>
      <c r="U25" s="87">
        <f t="shared" si="85"/>
        <v>1.7905076301016412</v>
      </c>
      <c r="V25" s="87">
        <f t="shared" si="85"/>
        <v>2.2682912138538081</v>
      </c>
      <c r="W25" s="87">
        <f t="shared" ref="W25" si="86">IF(W52=0,0,W52*W162)</f>
        <v>3.8638759737234953</v>
      </c>
      <c r="DA25" s="171" t="s">
        <v>470</v>
      </c>
    </row>
    <row r="26" spans="1:105" ht="11.45" customHeight="1" x14ac:dyDescent="0.25">
      <c r="A26" s="109" t="s">
        <v>158</v>
      </c>
      <c r="B26" s="116">
        <f t="shared" ref="B26:K26" si="87">SUM(B27:B28)</f>
        <v>26726.345456817176</v>
      </c>
      <c r="C26" s="116">
        <f t="shared" si="87"/>
        <v>27812.195099933648</v>
      </c>
      <c r="D26" s="116">
        <f t="shared" si="87"/>
        <v>28926.714888778446</v>
      </c>
      <c r="E26" s="116">
        <f t="shared" si="87"/>
        <v>29561.564824259924</v>
      </c>
      <c r="F26" s="116">
        <f t="shared" si="87"/>
        <v>31557.427098047272</v>
      </c>
      <c r="G26" s="116">
        <f t="shared" si="87"/>
        <v>32381.380726022428</v>
      </c>
      <c r="H26" s="116">
        <f t="shared" si="87"/>
        <v>35440.497776109034</v>
      </c>
      <c r="I26" s="116">
        <f t="shared" si="87"/>
        <v>38547.623944633931</v>
      </c>
      <c r="J26" s="116">
        <f t="shared" si="87"/>
        <v>41111.043866369044</v>
      </c>
      <c r="K26" s="116">
        <f t="shared" si="87"/>
        <v>35728.985719258882</v>
      </c>
      <c r="L26" s="116">
        <f t="shared" ref="L26" si="88">SUM(L27:L28)</f>
        <v>37861.436321100897</v>
      </c>
      <c r="M26" s="116">
        <f t="shared" ref="M26:V26" si="89">SUM(M27:M28)</f>
        <v>39078.174158318347</v>
      </c>
      <c r="N26" s="116">
        <f t="shared" si="89"/>
        <v>38019.854220087698</v>
      </c>
      <c r="O26" s="116">
        <f t="shared" si="89"/>
        <v>38564.206558852238</v>
      </c>
      <c r="P26" s="116">
        <f t="shared" si="89"/>
        <v>39681.254952828189</v>
      </c>
      <c r="Q26" s="116">
        <f t="shared" si="89"/>
        <v>41449.088446107395</v>
      </c>
      <c r="R26" s="116">
        <f t="shared" si="89"/>
        <v>43106.108200398776</v>
      </c>
      <c r="S26" s="116">
        <f t="shared" si="89"/>
        <v>45802.811042269655</v>
      </c>
      <c r="T26" s="116">
        <f t="shared" si="89"/>
        <v>46262</v>
      </c>
      <c r="U26" s="116">
        <f t="shared" si="89"/>
        <v>47057</v>
      </c>
      <c r="V26" s="116">
        <f t="shared" si="89"/>
        <v>46987</v>
      </c>
      <c r="W26" s="116">
        <f t="shared" ref="W26" si="90">SUM(W27:W28)</f>
        <v>49809</v>
      </c>
      <c r="DA26" s="176" t="s">
        <v>382</v>
      </c>
    </row>
    <row r="27" spans="1:105" ht="11.45" customHeight="1" x14ac:dyDescent="0.25">
      <c r="A27" s="128" t="s">
        <v>27</v>
      </c>
      <c r="B27" s="101">
        <f t="shared" ref="B27:K27" si="91">IF(B54=0,0,B54*B164)</f>
        <v>12389</v>
      </c>
      <c r="C27" s="101">
        <f t="shared" si="91"/>
        <v>12454</v>
      </c>
      <c r="D27" s="101">
        <f t="shared" si="91"/>
        <v>12663</v>
      </c>
      <c r="E27" s="101">
        <f t="shared" si="91"/>
        <v>13036</v>
      </c>
      <c r="F27" s="101">
        <f t="shared" si="91"/>
        <v>12376</v>
      </c>
      <c r="G27" s="101">
        <f t="shared" si="91"/>
        <v>12514</v>
      </c>
      <c r="H27" s="101">
        <f t="shared" si="91"/>
        <v>14437</v>
      </c>
      <c r="I27" s="101">
        <f t="shared" si="91"/>
        <v>14744</v>
      </c>
      <c r="J27" s="101">
        <f t="shared" si="91"/>
        <v>14581</v>
      </c>
      <c r="K27" s="101">
        <f t="shared" si="91"/>
        <v>13491.000000000002</v>
      </c>
      <c r="L27" s="101">
        <f t="shared" ref="L27:V27" si="92">IF(L54=0,0,L54*L164)</f>
        <v>13914</v>
      </c>
      <c r="M27" s="101">
        <f t="shared" si="92"/>
        <v>14475</v>
      </c>
      <c r="N27" s="101">
        <f t="shared" si="92"/>
        <v>14118.000000000002</v>
      </c>
      <c r="O27" s="101">
        <f t="shared" si="92"/>
        <v>13853</v>
      </c>
      <c r="P27" s="101">
        <f t="shared" si="92"/>
        <v>14721.000000000002</v>
      </c>
      <c r="Q27" s="101">
        <f t="shared" si="92"/>
        <v>15482.000000000002</v>
      </c>
      <c r="R27" s="101">
        <f t="shared" si="92"/>
        <v>16505</v>
      </c>
      <c r="S27" s="101">
        <f t="shared" si="92"/>
        <v>16803</v>
      </c>
      <c r="T27" s="101">
        <f t="shared" si="92"/>
        <v>16914</v>
      </c>
      <c r="U27" s="101">
        <f t="shared" si="92"/>
        <v>17249</v>
      </c>
      <c r="V27" s="101">
        <f t="shared" si="92"/>
        <v>17097</v>
      </c>
      <c r="W27" s="101">
        <f t="shared" ref="W27" si="93">IF(W54=0,0,W54*W164)</f>
        <v>18011</v>
      </c>
      <c r="DA27" s="175" t="s">
        <v>471</v>
      </c>
    </row>
    <row r="28" spans="1:105" ht="11.45" customHeight="1" x14ac:dyDescent="0.25">
      <c r="A28" s="138" t="s">
        <v>116</v>
      </c>
      <c r="B28" s="88">
        <f t="shared" ref="B28:K28" si="94">IF(B55=0,0,B55*B165)</f>
        <v>14337.345456817176</v>
      </c>
      <c r="C28" s="88">
        <f t="shared" si="94"/>
        <v>15358.195099933648</v>
      </c>
      <c r="D28" s="88">
        <f t="shared" si="94"/>
        <v>16263.714888778446</v>
      </c>
      <c r="E28" s="88">
        <f t="shared" si="94"/>
        <v>16525.564824259924</v>
      </c>
      <c r="F28" s="88">
        <f t="shared" si="94"/>
        <v>19181.427098047272</v>
      </c>
      <c r="G28" s="88">
        <f t="shared" si="94"/>
        <v>19867.380726022428</v>
      </c>
      <c r="H28" s="88">
        <f t="shared" si="94"/>
        <v>21003.497776109034</v>
      </c>
      <c r="I28" s="88">
        <f t="shared" si="94"/>
        <v>23803.623944633931</v>
      </c>
      <c r="J28" s="88">
        <f t="shared" si="94"/>
        <v>26530.043866369044</v>
      </c>
      <c r="K28" s="88">
        <f t="shared" si="94"/>
        <v>22237.985719258882</v>
      </c>
      <c r="L28" s="88">
        <f t="shared" ref="L28:V28" si="95">IF(L55=0,0,L55*L165)</f>
        <v>23947.436321100897</v>
      </c>
      <c r="M28" s="88">
        <f t="shared" si="95"/>
        <v>24603.174158318347</v>
      </c>
      <c r="N28" s="88">
        <f t="shared" si="95"/>
        <v>23901.854220087698</v>
      </c>
      <c r="O28" s="88">
        <f t="shared" si="95"/>
        <v>24711.206558852238</v>
      </c>
      <c r="P28" s="88">
        <f t="shared" si="95"/>
        <v>24960.254952828189</v>
      </c>
      <c r="Q28" s="88">
        <f t="shared" si="95"/>
        <v>25967.088446107395</v>
      </c>
      <c r="R28" s="88">
        <f t="shared" si="95"/>
        <v>26601.108200398776</v>
      </c>
      <c r="S28" s="88">
        <f t="shared" si="95"/>
        <v>28999.811042269655</v>
      </c>
      <c r="T28" s="88">
        <f t="shared" si="95"/>
        <v>29348</v>
      </c>
      <c r="U28" s="88">
        <f t="shared" si="95"/>
        <v>29808</v>
      </c>
      <c r="V28" s="88">
        <f t="shared" si="95"/>
        <v>29890</v>
      </c>
      <c r="W28" s="88">
        <f t="shared" ref="W28" si="96">IF(W55=0,0,W55*W165)</f>
        <v>31798</v>
      </c>
      <c r="DA28" s="178" t="s">
        <v>472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135</v>
      </c>
      <c r="B30" s="62">
        <f t="shared" ref="B30" si="97">B31+B46</f>
        <v>62287.247837986222</v>
      </c>
      <c r="C30" s="62">
        <f t="shared" ref="C30:V30" si="98">C31+C46</f>
        <v>63604.70339504983</v>
      </c>
      <c r="D30" s="62">
        <f t="shared" si="98"/>
        <v>65229.639617302157</v>
      </c>
      <c r="E30" s="62">
        <f t="shared" si="98"/>
        <v>66403.22925200696</v>
      </c>
      <c r="F30" s="62">
        <f t="shared" si="98"/>
        <v>67394.136623031882</v>
      </c>
      <c r="G30" s="62">
        <f t="shared" si="98"/>
        <v>68566.116939177955</v>
      </c>
      <c r="H30" s="62">
        <f t="shared" si="98"/>
        <v>69497.948086609977</v>
      </c>
      <c r="I30" s="62">
        <f t="shared" si="98"/>
        <v>71075.818024442051</v>
      </c>
      <c r="J30" s="62">
        <f t="shared" si="98"/>
        <v>69412.96703057157</v>
      </c>
      <c r="K30" s="62">
        <f t="shared" si="98"/>
        <v>68578.47121570172</v>
      </c>
      <c r="L30" s="62">
        <f t="shared" si="98"/>
        <v>69445.590761594547</v>
      </c>
      <c r="M30" s="62">
        <f t="shared" si="98"/>
        <v>70487.991104711255</v>
      </c>
      <c r="N30" s="62">
        <f t="shared" si="98"/>
        <v>70292.13163587336</v>
      </c>
      <c r="O30" s="62">
        <f t="shared" si="98"/>
        <v>71250.557916185033</v>
      </c>
      <c r="P30" s="62">
        <f t="shared" si="98"/>
        <v>73097.829650807573</v>
      </c>
      <c r="Q30" s="62">
        <f t="shared" si="98"/>
        <v>74961.1712668174</v>
      </c>
      <c r="R30" s="62">
        <f t="shared" si="98"/>
        <v>77013.374685468385</v>
      </c>
      <c r="S30" s="62">
        <f t="shared" si="98"/>
        <v>78265.708646829255</v>
      </c>
      <c r="T30" s="62">
        <f t="shared" si="98"/>
        <v>77214.871749807193</v>
      </c>
      <c r="U30" s="62">
        <f t="shared" si="98"/>
        <v>75731.555692693422</v>
      </c>
      <c r="V30" s="62">
        <f t="shared" si="98"/>
        <v>69649.691554750054</v>
      </c>
      <c r="W30" s="62">
        <f t="shared" ref="W30" si="99">W31+W46</f>
        <v>73115.535905716577</v>
      </c>
      <c r="DA30" s="172" t="s">
        <v>473</v>
      </c>
    </row>
    <row r="31" spans="1:105" ht="11.45" customHeight="1" x14ac:dyDescent="0.25">
      <c r="A31" s="27" t="s">
        <v>33</v>
      </c>
      <c r="B31" s="29">
        <f t="shared" ref="B31" si="100">B32+B33+B40</f>
        <v>55724.9</v>
      </c>
      <c r="C31" s="29">
        <f t="shared" ref="C31:V31" si="101">C32+C33+C40</f>
        <v>56749.94999999999</v>
      </c>
      <c r="D31" s="29">
        <f t="shared" si="101"/>
        <v>58138.400000000001</v>
      </c>
      <c r="E31" s="29">
        <f t="shared" si="101"/>
        <v>59171.45</v>
      </c>
      <c r="F31" s="29">
        <f t="shared" si="101"/>
        <v>59979.4</v>
      </c>
      <c r="G31" s="29">
        <f t="shared" si="101"/>
        <v>60981.093527959631</v>
      </c>
      <c r="H31" s="29">
        <f t="shared" si="101"/>
        <v>61470.031737169862</v>
      </c>
      <c r="I31" s="29">
        <f t="shared" si="101"/>
        <v>62704.611619537274</v>
      </c>
      <c r="J31" s="29">
        <f t="shared" si="101"/>
        <v>60876.143908974889</v>
      </c>
      <c r="K31" s="29">
        <f t="shared" si="101"/>
        <v>60470.989509495615</v>
      </c>
      <c r="L31" s="29">
        <f t="shared" si="101"/>
        <v>61246.526939549905</v>
      </c>
      <c r="M31" s="29">
        <f t="shared" si="101"/>
        <v>62110.49539322652</v>
      </c>
      <c r="N31" s="29">
        <f t="shared" si="101"/>
        <v>61989.107673469378</v>
      </c>
      <c r="O31" s="29">
        <f t="shared" si="101"/>
        <v>62731.024050316999</v>
      </c>
      <c r="P31" s="29">
        <f t="shared" si="101"/>
        <v>64240.832385137815</v>
      </c>
      <c r="Q31" s="29">
        <f t="shared" si="101"/>
        <v>65715.95776875336</v>
      </c>
      <c r="R31" s="29">
        <f t="shared" si="101"/>
        <v>67478.593493452368</v>
      </c>
      <c r="S31" s="29">
        <f t="shared" si="101"/>
        <v>68435.541905214617</v>
      </c>
      <c r="T31" s="29">
        <f t="shared" si="101"/>
        <v>67208.138821039509</v>
      </c>
      <c r="U31" s="29">
        <f t="shared" si="101"/>
        <v>65461.324229451995</v>
      </c>
      <c r="V31" s="29">
        <f t="shared" si="101"/>
        <v>59325.539562320489</v>
      </c>
      <c r="W31" s="29">
        <f t="shared" ref="W31" si="102">W32+W33+W40</f>
        <v>62196.475677549417</v>
      </c>
      <c r="DA31" s="173" t="s">
        <v>474</v>
      </c>
    </row>
    <row r="32" spans="1:105" ht="11.45" customHeight="1" x14ac:dyDescent="0.25">
      <c r="A32" s="136" t="s">
        <v>180</v>
      </c>
      <c r="B32" s="152">
        <v>895.9</v>
      </c>
      <c r="C32" s="152">
        <v>923.94999999999993</v>
      </c>
      <c r="D32" s="152">
        <v>955.4</v>
      </c>
      <c r="E32" s="152">
        <v>983.44999999999993</v>
      </c>
      <c r="F32" s="152">
        <v>1038.4000000000001</v>
      </c>
      <c r="G32" s="152">
        <v>1069.2</v>
      </c>
      <c r="H32" s="152">
        <v>1104.4000000000001</v>
      </c>
      <c r="I32" s="152">
        <v>1149.28</v>
      </c>
      <c r="J32" s="152">
        <v>1197.68</v>
      </c>
      <c r="K32" s="152">
        <v>1243.44</v>
      </c>
      <c r="L32" s="152">
        <v>1284.8</v>
      </c>
      <c r="M32" s="152">
        <v>1327.92</v>
      </c>
      <c r="N32" s="152">
        <v>1393.74</v>
      </c>
      <c r="O32" s="152">
        <v>1422.96</v>
      </c>
      <c r="P32" s="152">
        <v>1462.56</v>
      </c>
      <c r="Q32" s="152">
        <v>1514.7102390399284</v>
      </c>
      <c r="R32" s="152">
        <v>1558.4584934523773</v>
      </c>
      <c r="S32" s="152">
        <v>1472.5419052146303</v>
      </c>
      <c r="T32" s="152">
        <v>1404.6594323942447</v>
      </c>
      <c r="U32" s="152">
        <v>1489.8289237615804</v>
      </c>
      <c r="V32" s="152">
        <v>1337.3553706337123</v>
      </c>
      <c r="W32" s="152">
        <v>1391.9879793943121</v>
      </c>
      <c r="DA32" s="174" t="s">
        <v>475</v>
      </c>
    </row>
    <row r="33" spans="1:105" ht="11.45" customHeight="1" x14ac:dyDescent="0.25">
      <c r="A33" s="109" t="s">
        <v>20</v>
      </c>
      <c r="B33" s="116">
        <f t="shared" ref="B33" si="103">SUM(B34:B39)</f>
        <v>54379</v>
      </c>
      <c r="C33" s="116">
        <f t="shared" ref="C33:V33" si="104">SUM(C34:C39)</f>
        <v>55366.999999999993</v>
      </c>
      <c r="D33" s="116">
        <f t="shared" si="104"/>
        <v>56704</v>
      </c>
      <c r="E33" s="116">
        <f t="shared" si="104"/>
        <v>57691</v>
      </c>
      <c r="F33" s="116">
        <f t="shared" si="104"/>
        <v>58445</v>
      </c>
      <c r="G33" s="116">
        <f t="shared" si="104"/>
        <v>59415.999999999993</v>
      </c>
      <c r="H33" s="116">
        <f t="shared" si="104"/>
        <v>59876.000000000007</v>
      </c>
      <c r="I33" s="116">
        <f t="shared" si="104"/>
        <v>61036</v>
      </c>
      <c r="J33" s="116">
        <f t="shared" si="104"/>
        <v>59172.649999999987</v>
      </c>
      <c r="K33" s="116">
        <f t="shared" si="104"/>
        <v>58759.884000000005</v>
      </c>
      <c r="L33" s="116">
        <f t="shared" si="104"/>
        <v>59452.315999999999</v>
      </c>
      <c r="M33" s="116">
        <f t="shared" si="104"/>
        <v>60275.343999999997</v>
      </c>
      <c r="N33" s="116">
        <f t="shared" si="104"/>
        <v>60087.353999999992</v>
      </c>
      <c r="O33" s="116">
        <f t="shared" si="104"/>
        <v>60798.564000000006</v>
      </c>
      <c r="P33" s="116">
        <f t="shared" si="104"/>
        <v>62255.25999999998</v>
      </c>
      <c r="Q33" s="116">
        <f t="shared" si="104"/>
        <v>63670.087000000014</v>
      </c>
      <c r="R33" s="116">
        <f t="shared" si="104"/>
        <v>65376.134999999995</v>
      </c>
      <c r="S33" s="116">
        <f t="shared" si="104"/>
        <v>66404.999999999985</v>
      </c>
      <c r="T33" s="116">
        <f t="shared" si="104"/>
        <v>65267.269623914719</v>
      </c>
      <c r="U33" s="116">
        <f t="shared" si="104"/>
        <v>63440.526536930658</v>
      </c>
      <c r="V33" s="116">
        <f t="shared" si="104"/>
        <v>57458.334668627998</v>
      </c>
      <c r="W33" s="116">
        <f t="shared" ref="W33" si="105">SUM(W34:W39)</f>
        <v>60274.475207436844</v>
      </c>
      <c r="DA33" s="176" t="s">
        <v>476</v>
      </c>
    </row>
    <row r="34" spans="1:105" ht="11.45" customHeight="1" x14ac:dyDescent="0.25">
      <c r="A34" s="111" t="s">
        <v>110</v>
      </c>
      <c r="B34" s="87">
        <v>30652.747085512652</v>
      </c>
      <c r="C34" s="87">
        <v>30393.239724405943</v>
      </c>
      <c r="D34" s="87">
        <v>29445.813284596912</v>
      </c>
      <c r="E34" s="87">
        <v>28304.174657046198</v>
      </c>
      <c r="F34" s="87">
        <v>27344.091785724067</v>
      </c>
      <c r="G34" s="87">
        <v>26222.907295004905</v>
      </c>
      <c r="H34" s="87">
        <v>25236.815118430219</v>
      </c>
      <c r="I34" s="87">
        <v>24526.526241287957</v>
      </c>
      <c r="J34" s="87">
        <v>23566.449174230063</v>
      </c>
      <c r="K34" s="87">
        <v>22760.750662065628</v>
      </c>
      <c r="L34" s="87">
        <v>22946.868032595481</v>
      </c>
      <c r="M34" s="87">
        <v>22092.210339692945</v>
      </c>
      <c r="N34" s="87">
        <v>21833.462265603452</v>
      </c>
      <c r="O34" s="87">
        <v>21502.78062684109</v>
      </c>
      <c r="P34" s="87">
        <v>20966.339370305133</v>
      </c>
      <c r="Q34" s="87">
        <v>20736.675927589677</v>
      </c>
      <c r="R34" s="87">
        <v>20532.459959713597</v>
      </c>
      <c r="S34" s="87">
        <v>20472.798980017</v>
      </c>
      <c r="T34" s="87">
        <v>20863.983833244332</v>
      </c>
      <c r="U34" s="87">
        <v>20748.300533763086</v>
      </c>
      <c r="V34" s="87">
        <v>18855.263622530943</v>
      </c>
      <c r="W34" s="87">
        <v>20106.164889719956</v>
      </c>
      <c r="DA34" s="171" t="s">
        <v>477</v>
      </c>
    </row>
    <row r="35" spans="1:105" ht="11.45" customHeight="1" x14ac:dyDescent="0.25">
      <c r="A35" s="111" t="s">
        <v>111</v>
      </c>
      <c r="B35" s="87">
        <v>23517.754760895918</v>
      </c>
      <c r="C35" s="87">
        <v>24754.205506778424</v>
      </c>
      <c r="D35" s="87">
        <v>26958.916398570316</v>
      </c>
      <c r="E35" s="87">
        <v>29026.08825408823</v>
      </c>
      <c r="F35" s="87">
        <v>30804.575824039362</v>
      </c>
      <c r="G35" s="87">
        <v>32901.72741419026</v>
      </c>
      <c r="H35" s="87">
        <v>34340.060094583241</v>
      </c>
      <c r="I35" s="87">
        <v>36227.003878094758</v>
      </c>
      <c r="J35" s="87">
        <v>35300.925901061215</v>
      </c>
      <c r="K35" s="87">
        <v>35720.876456359496</v>
      </c>
      <c r="L35" s="87">
        <v>36247.217934944696</v>
      </c>
      <c r="M35" s="87">
        <v>37902.474808250307</v>
      </c>
      <c r="N35" s="87">
        <v>37949.674571094351</v>
      </c>
      <c r="O35" s="87">
        <v>38988.248575620979</v>
      </c>
      <c r="P35" s="87">
        <v>40970.375210298589</v>
      </c>
      <c r="Q35" s="87">
        <v>42621.477065937914</v>
      </c>
      <c r="R35" s="87">
        <v>44491.088206958841</v>
      </c>
      <c r="S35" s="87">
        <v>45484.240296493525</v>
      </c>
      <c r="T35" s="87">
        <v>43880.386102906908</v>
      </c>
      <c r="U35" s="87">
        <v>42037.257166059484</v>
      </c>
      <c r="V35" s="87">
        <v>37779.84920784548</v>
      </c>
      <c r="W35" s="87">
        <v>38638.43874131878</v>
      </c>
      <c r="DA35" s="171" t="s">
        <v>478</v>
      </c>
    </row>
    <row r="36" spans="1:105" ht="11.45" customHeight="1" x14ac:dyDescent="0.25">
      <c r="A36" s="111" t="s">
        <v>112</v>
      </c>
      <c r="B36" s="87">
        <v>208.49815359142877</v>
      </c>
      <c r="C36" s="87">
        <v>219.55476881563223</v>
      </c>
      <c r="D36" s="87">
        <v>299.27031683277272</v>
      </c>
      <c r="E36" s="87">
        <v>360.73708886557068</v>
      </c>
      <c r="F36" s="87">
        <v>296.33239023656955</v>
      </c>
      <c r="G36" s="87">
        <v>291.36529080483444</v>
      </c>
      <c r="H36" s="87">
        <v>298.25148528827134</v>
      </c>
      <c r="I36" s="87">
        <v>279.04133216165121</v>
      </c>
      <c r="J36" s="87">
        <v>289.04427722797925</v>
      </c>
      <c r="K36" s="87">
        <v>254.29810845489311</v>
      </c>
      <c r="L36" s="87">
        <v>230.20575706673219</v>
      </c>
      <c r="M36" s="87">
        <v>225.00951313454641</v>
      </c>
      <c r="N36" s="87">
        <v>233.96071147336912</v>
      </c>
      <c r="O36" s="87">
        <v>217.83476875124506</v>
      </c>
      <c r="P36" s="87">
        <v>195.35645579103053</v>
      </c>
      <c r="Q36" s="87">
        <v>147.02802290616964</v>
      </c>
      <c r="R36" s="87">
        <v>119.99669390422724</v>
      </c>
      <c r="S36" s="87">
        <v>111.18207856969049</v>
      </c>
      <c r="T36" s="87">
        <v>73.632820219148186</v>
      </c>
      <c r="U36" s="87">
        <v>53.981466349962567</v>
      </c>
      <c r="V36" s="87">
        <v>33.488921561950001</v>
      </c>
      <c r="W36" s="87">
        <v>33.846471110303135</v>
      </c>
      <c r="DA36" s="171" t="s">
        <v>479</v>
      </c>
    </row>
    <row r="37" spans="1:105" ht="11.45" customHeight="1" x14ac:dyDescent="0.25">
      <c r="A37" s="111" t="s">
        <v>113</v>
      </c>
      <c r="B37" s="87">
        <v>0</v>
      </c>
      <c r="C37" s="87">
        <v>0</v>
      </c>
      <c r="D37" s="87">
        <v>0</v>
      </c>
      <c r="E37" s="87">
        <v>0</v>
      </c>
      <c r="F37" s="87">
        <v>0</v>
      </c>
      <c r="G37" s="87">
        <v>0</v>
      </c>
      <c r="H37" s="87">
        <v>0.87330169827486293</v>
      </c>
      <c r="I37" s="87">
        <v>3.4285484556348713</v>
      </c>
      <c r="J37" s="87">
        <v>16.200767739553523</v>
      </c>
      <c r="K37" s="87">
        <v>19.054795326221836</v>
      </c>
      <c r="L37" s="87">
        <v>22.74381893999589</v>
      </c>
      <c r="M37" s="87">
        <v>40.808563464943752</v>
      </c>
      <c r="N37" s="87">
        <v>46.234253748960469</v>
      </c>
      <c r="O37" s="87">
        <v>53.719724145723461</v>
      </c>
      <c r="P37" s="87">
        <v>63.029343784236623</v>
      </c>
      <c r="Q37" s="87">
        <v>70.873352404712065</v>
      </c>
      <c r="R37" s="87">
        <v>69.960049401109742</v>
      </c>
      <c r="S37" s="87">
        <v>71.652097179749873</v>
      </c>
      <c r="T37" s="87">
        <v>72.901037165873348</v>
      </c>
      <c r="U37" s="87">
        <v>71.712921373401102</v>
      </c>
      <c r="V37" s="87">
        <v>63.128694526293664</v>
      </c>
      <c r="W37" s="87">
        <v>62.015322122284246</v>
      </c>
      <c r="DA37" s="171" t="s">
        <v>480</v>
      </c>
    </row>
    <row r="38" spans="1:105" ht="11.45" customHeight="1" x14ac:dyDescent="0.25">
      <c r="A38" s="111" t="s">
        <v>114</v>
      </c>
      <c r="B38" s="87">
        <v>0</v>
      </c>
      <c r="C38" s="87">
        <v>0</v>
      </c>
      <c r="D38" s="87">
        <v>0</v>
      </c>
      <c r="E38" s="87">
        <v>0</v>
      </c>
      <c r="F38" s="87">
        <v>0</v>
      </c>
      <c r="G38" s="87">
        <v>0</v>
      </c>
      <c r="H38" s="87">
        <v>0</v>
      </c>
      <c r="I38" s="87">
        <v>0</v>
      </c>
      <c r="J38" s="87">
        <v>0</v>
      </c>
      <c r="K38" s="87">
        <v>0</v>
      </c>
      <c r="L38" s="87">
        <v>0</v>
      </c>
      <c r="M38" s="87">
        <v>2.4288634302475329E-2</v>
      </c>
      <c r="N38" s="87">
        <v>3.2024749344730865</v>
      </c>
      <c r="O38" s="87">
        <v>4.9148667142642433</v>
      </c>
      <c r="P38" s="87">
        <v>9.3034045062520345</v>
      </c>
      <c r="Q38" s="87">
        <v>18.401318444562374</v>
      </c>
      <c r="R38" s="87">
        <v>26.471610972891686</v>
      </c>
      <c r="S38" s="87">
        <v>45.905154592253766</v>
      </c>
      <c r="T38" s="87">
        <v>64.415996386906144</v>
      </c>
      <c r="U38" s="87">
        <v>87.381030873969451</v>
      </c>
      <c r="V38" s="87">
        <v>148.33650312688749</v>
      </c>
      <c r="W38" s="87">
        <v>296.0054168034705</v>
      </c>
      <c r="DA38" s="171" t="s">
        <v>481</v>
      </c>
    </row>
    <row r="39" spans="1:105" ht="11.45" customHeight="1" x14ac:dyDescent="0.25">
      <c r="A39" s="111" t="s">
        <v>115</v>
      </c>
      <c r="B39" s="87">
        <v>0</v>
      </c>
      <c r="C39" s="87">
        <v>0</v>
      </c>
      <c r="D39" s="87">
        <v>0</v>
      </c>
      <c r="E39" s="87">
        <v>0</v>
      </c>
      <c r="F39" s="87">
        <v>0</v>
      </c>
      <c r="G39" s="87">
        <v>0</v>
      </c>
      <c r="H39" s="87">
        <v>0</v>
      </c>
      <c r="I39" s="87">
        <v>0</v>
      </c>
      <c r="J39" s="87">
        <v>2.9879741185003209E-2</v>
      </c>
      <c r="K39" s="87">
        <v>4.9039777937629454</v>
      </c>
      <c r="L39" s="87">
        <v>5.280456453093799</v>
      </c>
      <c r="M39" s="87">
        <v>14.816486822949816</v>
      </c>
      <c r="N39" s="87">
        <v>20.819723145393969</v>
      </c>
      <c r="O39" s="87">
        <v>31.065437926696539</v>
      </c>
      <c r="P39" s="87">
        <v>50.856215314745803</v>
      </c>
      <c r="Q39" s="87">
        <v>75.63131271697965</v>
      </c>
      <c r="R39" s="87">
        <v>136.15847904933074</v>
      </c>
      <c r="S39" s="87">
        <v>219.22139314778033</v>
      </c>
      <c r="T39" s="87">
        <v>311.94983399154484</v>
      </c>
      <c r="U39" s="87">
        <v>441.89341851075125</v>
      </c>
      <c r="V39" s="87">
        <v>578.26771903644783</v>
      </c>
      <c r="W39" s="87">
        <v>1138.0043663620509</v>
      </c>
      <c r="DA39" s="171" t="s">
        <v>482</v>
      </c>
    </row>
    <row r="40" spans="1:105" ht="11.45" customHeight="1" x14ac:dyDescent="0.25">
      <c r="A40" s="109" t="s">
        <v>21</v>
      </c>
      <c r="B40" s="116">
        <f t="shared" ref="B40" si="106">SUM(B41:B45)</f>
        <v>450</v>
      </c>
      <c r="C40" s="116">
        <f t="shared" ref="C40:V40" si="107">SUM(C41:C45)</f>
        <v>459</v>
      </c>
      <c r="D40" s="116">
        <f t="shared" si="107"/>
        <v>479</v>
      </c>
      <c r="E40" s="116">
        <f t="shared" si="107"/>
        <v>497.00000000000011</v>
      </c>
      <c r="F40" s="116">
        <f t="shared" si="107"/>
        <v>495.99999999999989</v>
      </c>
      <c r="G40" s="116">
        <f t="shared" si="107"/>
        <v>495.89352795964368</v>
      </c>
      <c r="H40" s="116">
        <f t="shared" si="107"/>
        <v>489.63173716985165</v>
      </c>
      <c r="I40" s="116">
        <f t="shared" si="107"/>
        <v>519.33161953727495</v>
      </c>
      <c r="J40" s="116">
        <f t="shared" si="107"/>
        <v>505.81390897490439</v>
      </c>
      <c r="K40" s="116">
        <f t="shared" si="107"/>
        <v>467.66550949560946</v>
      </c>
      <c r="L40" s="116">
        <f t="shared" si="107"/>
        <v>509.41093954990424</v>
      </c>
      <c r="M40" s="116">
        <f t="shared" si="107"/>
        <v>507.23139322652594</v>
      </c>
      <c r="N40" s="116">
        <f t="shared" si="107"/>
        <v>508.0136734693877</v>
      </c>
      <c r="O40" s="116">
        <f t="shared" si="107"/>
        <v>509.50005031699715</v>
      </c>
      <c r="P40" s="116">
        <f t="shared" si="107"/>
        <v>523.01238513783471</v>
      </c>
      <c r="Q40" s="116">
        <f t="shared" si="107"/>
        <v>531.16052971341571</v>
      </c>
      <c r="R40" s="116">
        <f t="shared" si="107"/>
        <v>544</v>
      </c>
      <c r="S40" s="116">
        <f t="shared" si="107"/>
        <v>557.99999999999989</v>
      </c>
      <c r="T40" s="116">
        <f t="shared" si="107"/>
        <v>536.20976473054282</v>
      </c>
      <c r="U40" s="116">
        <f t="shared" si="107"/>
        <v>530.96876875975329</v>
      </c>
      <c r="V40" s="116">
        <f t="shared" si="107"/>
        <v>529.8495230587813</v>
      </c>
      <c r="W40" s="116">
        <f t="shared" ref="W40" si="108">SUM(W41:W45)</f>
        <v>530.01249071826226</v>
      </c>
      <c r="DA40" s="176" t="s">
        <v>483</v>
      </c>
    </row>
    <row r="41" spans="1:105" ht="11.45" customHeight="1" x14ac:dyDescent="0.25">
      <c r="A41" s="111" t="s">
        <v>110</v>
      </c>
      <c r="B41" s="101">
        <v>0.660733129226173</v>
      </c>
      <c r="C41" s="101">
        <v>0.72774157726490374</v>
      </c>
      <c r="D41" s="101">
        <v>0.64694516630826526</v>
      </c>
      <c r="E41" s="101">
        <v>0.60795437487670922</v>
      </c>
      <c r="F41" s="101">
        <v>0.53486986898386091</v>
      </c>
      <c r="G41" s="101">
        <v>0.42079328463340904</v>
      </c>
      <c r="H41" s="101">
        <v>0.35622056606598507</v>
      </c>
      <c r="I41" s="101">
        <v>0.3782167655710536</v>
      </c>
      <c r="J41" s="101">
        <v>0.30458254449331879</v>
      </c>
      <c r="K41" s="101">
        <v>0.21466682486610283</v>
      </c>
      <c r="L41" s="101">
        <v>0.23159930044609511</v>
      </c>
      <c r="M41" s="101">
        <v>0.17348860287161694</v>
      </c>
      <c r="N41" s="101">
        <v>0.17464124478919285</v>
      </c>
      <c r="O41" s="101">
        <v>0.1149807663643105</v>
      </c>
      <c r="P41" s="101">
        <v>0.14643724066131539</v>
      </c>
      <c r="Q41" s="101">
        <v>0.1184247104260429</v>
      </c>
      <c r="R41" s="101">
        <v>0.15975462858790901</v>
      </c>
      <c r="S41" s="101">
        <v>0.16167247813774294</v>
      </c>
      <c r="T41" s="101">
        <v>0.16089441411453892</v>
      </c>
      <c r="U41" s="101">
        <v>0.15741516787398227</v>
      </c>
      <c r="V41" s="101">
        <v>0.11883268542828192</v>
      </c>
      <c r="W41" s="101">
        <v>0.15731281789607943</v>
      </c>
      <c r="DA41" s="175" t="s">
        <v>484</v>
      </c>
    </row>
    <row r="42" spans="1:105" ht="11.45" customHeight="1" x14ac:dyDescent="0.25">
      <c r="A42" s="111" t="s">
        <v>111</v>
      </c>
      <c r="B42" s="101">
        <v>444.70504710443083</v>
      </c>
      <c r="C42" s="101">
        <v>453.38366230173574</v>
      </c>
      <c r="D42" s="101">
        <v>472.70020415541984</v>
      </c>
      <c r="E42" s="101">
        <v>490.20153545027648</v>
      </c>
      <c r="F42" s="101">
        <v>488.2446067902352</v>
      </c>
      <c r="G42" s="101">
        <v>487.30890576752466</v>
      </c>
      <c r="H42" s="101">
        <v>480.48568952392787</v>
      </c>
      <c r="I42" s="101">
        <v>506.96617722710016</v>
      </c>
      <c r="J42" s="101">
        <v>491.86092292352191</v>
      </c>
      <c r="K42" s="101">
        <v>442.51719963081933</v>
      </c>
      <c r="L42" s="101">
        <v>475.9122855009237</v>
      </c>
      <c r="M42" s="101">
        <v>471.67545166947701</v>
      </c>
      <c r="N42" s="101">
        <v>469.75517494237164</v>
      </c>
      <c r="O42" s="101">
        <v>465.49412184952695</v>
      </c>
      <c r="P42" s="101">
        <v>476.53968715852784</v>
      </c>
      <c r="Q42" s="101">
        <v>485.76457531441798</v>
      </c>
      <c r="R42" s="101">
        <v>506.89448811172321</v>
      </c>
      <c r="S42" s="101">
        <v>522.87562492127643</v>
      </c>
      <c r="T42" s="101">
        <v>501.60957927544086</v>
      </c>
      <c r="U42" s="101">
        <v>496.59981896364587</v>
      </c>
      <c r="V42" s="101">
        <v>491.18795713024565</v>
      </c>
      <c r="W42" s="101">
        <v>492.88650633747034</v>
      </c>
      <c r="DA42" s="175" t="s">
        <v>485</v>
      </c>
    </row>
    <row r="43" spans="1:105" ht="11.45" customHeight="1" x14ac:dyDescent="0.25">
      <c r="A43" s="111" t="s">
        <v>112</v>
      </c>
      <c r="B43" s="101">
        <v>0</v>
      </c>
      <c r="C43" s="101">
        <v>0.32939705418793414</v>
      </c>
      <c r="D43" s="101">
        <v>1.1069938982294723</v>
      </c>
      <c r="E43" s="101">
        <v>1.6374720984246696</v>
      </c>
      <c r="F43" s="101">
        <v>2.1875211692460401</v>
      </c>
      <c r="G43" s="101">
        <v>3.2310674187406248</v>
      </c>
      <c r="H43" s="101">
        <v>3.9988959802028221</v>
      </c>
      <c r="I43" s="101">
        <v>5.3283975074786811</v>
      </c>
      <c r="J43" s="101">
        <v>6.1400005069527728</v>
      </c>
      <c r="K43" s="101">
        <v>7.2024203583653437</v>
      </c>
      <c r="L43" s="101">
        <v>8.8824362565949109</v>
      </c>
      <c r="M43" s="101">
        <v>9.6563221773556318</v>
      </c>
      <c r="N43" s="101">
        <v>9.8186645164796147</v>
      </c>
      <c r="O43" s="101">
        <v>9.5428143545053974</v>
      </c>
      <c r="P43" s="101">
        <v>9.2768689611273274</v>
      </c>
      <c r="Q43" s="101">
        <v>7.5674583896569567</v>
      </c>
      <c r="R43" s="101">
        <v>6.2281554999931572</v>
      </c>
      <c r="S43" s="101">
        <v>5.0715742972275937</v>
      </c>
      <c r="T43" s="101">
        <v>4.9966951997273208</v>
      </c>
      <c r="U43" s="101">
        <v>0.40542476937815014</v>
      </c>
      <c r="V43" s="101">
        <v>0.40399272478144471</v>
      </c>
      <c r="W43" s="101">
        <v>0.37227980485235296</v>
      </c>
      <c r="DA43" s="175" t="s">
        <v>486</v>
      </c>
    </row>
    <row r="44" spans="1:105" ht="11.45" customHeight="1" x14ac:dyDescent="0.25">
      <c r="A44" s="111" t="s">
        <v>113</v>
      </c>
      <c r="B44" s="101">
        <v>0</v>
      </c>
      <c r="C44" s="101">
        <v>0</v>
      </c>
      <c r="D44" s="101">
        <v>0</v>
      </c>
      <c r="E44" s="101">
        <v>0</v>
      </c>
      <c r="F44" s="101">
        <v>0.67671628103046733</v>
      </c>
      <c r="G44" s="101">
        <v>0.57410333881420061</v>
      </c>
      <c r="H44" s="101">
        <v>0.34892628454141728</v>
      </c>
      <c r="I44" s="101">
        <v>2.5686063573513738</v>
      </c>
      <c r="J44" s="101">
        <v>3.4115139343834895</v>
      </c>
      <c r="K44" s="101">
        <v>13.405495005686946</v>
      </c>
      <c r="L44" s="101">
        <v>19.75652777207458</v>
      </c>
      <c r="M44" s="101">
        <v>20.974895564578365</v>
      </c>
      <c r="N44" s="101">
        <v>23.102740691140134</v>
      </c>
      <c r="O44" s="101">
        <v>28.649655337331708</v>
      </c>
      <c r="P44" s="101">
        <v>31.674102222459648</v>
      </c>
      <c r="Q44" s="101">
        <v>32.044633152132867</v>
      </c>
      <c r="R44" s="101">
        <v>24.603971886447191</v>
      </c>
      <c r="S44" s="101">
        <v>24.027018160355386</v>
      </c>
      <c r="T44" s="101">
        <v>23.128850890395842</v>
      </c>
      <c r="U44" s="101">
        <v>27.2122444903382</v>
      </c>
      <c r="V44" s="101">
        <v>31.127052316019249</v>
      </c>
      <c r="W44" s="101">
        <v>29.470323186674346</v>
      </c>
      <c r="DA44" s="175" t="s">
        <v>487</v>
      </c>
    </row>
    <row r="45" spans="1:105" ht="11.45" customHeight="1" x14ac:dyDescent="0.25">
      <c r="A45" s="111" t="s">
        <v>115</v>
      </c>
      <c r="B45" s="101">
        <v>4.6342197663429792</v>
      </c>
      <c r="C45" s="101">
        <v>4.5591990668114022</v>
      </c>
      <c r="D45" s="101">
        <v>4.5458567800424321</v>
      </c>
      <c r="E45" s="101">
        <v>4.5530380764222151</v>
      </c>
      <c r="F45" s="101">
        <v>4.3562858905043687</v>
      </c>
      <c r="G45" s="101">
        <v>4.3586581499307622</v>
      </c>
      <c r="H45" s="101">
        <v>4.4420048151136085</v>
      </c>
      <c r="I45" s="101">
        <v>4.0902216797737028</v>
      </c>
      <c r="J45" s="101">
        <v>4.0968890655528583</v>
      </c>
      <c r="K45" s="101">
        <v>4.3257276758717449</v>
      </c>
      <c r="L45" s="101">
        <v>4.6280907198649022</v>
      </c>
      <c r="M45" s="101">
        <v>4.7512352122433477</v>
      </c>
      <c r="N45" s="101">
        <v>5.1624520746071516</v>
      </c>
      <c r="O45" s="101">
        <v>5.6984780092687757</v>
      </c>
      <c r="P45" s="101">
        <v>5.3752895550584876</v>
      </c>
      <c r="Q45" s="101">
        <v>5.6654381467818906</v>
      </c>
      <c r="R45" s="101">
        <v>6.1136298732485521</v>
      </c>
      <c r="S45" s="101">
        <v>5.8641101430028213</v>
      </c>
      <c r="T45" s="101">
        <v>6.31374495086426</v>
      </c>
      <c r="U45" s="101">
        <v>6.5938653685170658</v>
      </c>
      <c r="V45" s="101">
        <v>7.0116882023066749</v>
      </c>
      <c r="W45" s="101">
        <v>7.1260685713691254</v>
      </c>
      <c r="DA45" s="175" t="s">
        <v>488</v>
      </c>
    </row>
    <row r="46" spans="1:105" ht="11.45" customHeight="1" x14ac:dyDescent="0.25">
      <c r="A46" s="27" t="s">
        <v>34</v>
      </c>
      <c r="B46" s="29">
        <f t="shared" ref="B46" si="109">B47+B53</f>
        <v>6562.3478379862199</v>
      </c>
      <c r="C46" s="29">
        <f t="shared" ref="C46:V46" si="110">C47+C53</f>
        <v>6854.7533950498419</v>
      </c>
      <c r="D46" s="29">
        <f t="shared" si="110"/>
        <v>7091.2396173021543</v>
      </c>
      <c r="E46" s="29">
        <f t="shared" si="110"/>
        <v>7231.7792520069634</v>
      </c>
      <c r="F46" s="29">
        <f t="shared" si="110"/>
        <v>7414.7366230318767</v>
      </c>
      <c r="G46" s="29">
        <f t="shared" si="110"/>
        <v>7585.0234112183252</v>
      </c>
      <c r="H46" s="29">
        <f t="shared" si="110"/>
        <v>8027.9163494401091</v>
      </c>
      <c r="I46" s="29">
        <f t="shared" si="110"/>
        <v>8371.2064049047804</v>
      </c>
      <c r="J46" s="29">
        <f t="shared" si="110"/>
        <v>8536.8231215966844</v>
      </c>
      <c r="K46" s="29">
        <f t="shared" si="110"/>
        <v>8107.481706206112</v>
      </c>
      <c r="L46" s="29">
        <f t="shared" si="110"/>
        <v>8199.0638220446417</v>
      </c>
      <c r="M46" s="29">
        <f t="shared" si="110"/>
        <v>8377.4957114847366</v>
      </c>
      <c r="N46" s="29">
        <f t="shared" si="110"/>
        <v>8303.0239624039805</v>
      </c>
      <c r="O46" s="29">
        <f t="shared" si="110"/>
        <v>8519.5338658680412</v>
      </c>
      <c r="P46" s="29">
        <f t="shared" si="110"/>
        <v>8856.9972656697628</v>
      </c>
      <c r="Q46" s="29">
        <f t="shared" si="110"/>
        <v>9245.2134980640367</v>
      </c>
      <c r="R46" s="29">
        <f t="shared" si="110"/>
        <v>9534.7811920160148</v>
      </c>
      <c r="S46" s="29">
        <f t="shared" si="110"/>
        <v>9830.1667416146429</v>
      </c>
      <c r="T46" s="29">
        <f t="shared" si="110"/>
        <v>10006.732928767684</v>
      </c>
      <c r="U46" s="29">
        <f t="shared" si="110"/>
        <v>10270.231463241435</v>
      </c>
      <c r="V46" s="29">
        <f t="shared" si="110"/>
        <v>10324.151992429557</v>
      </c>
      <c r="W46" s="29">
        <f t="shared" ref="W46" si="111">W47+W53</f>
        <v>10919.060228167158</v>
      </c>
      <c r="DA46" s="173" t="s">
        <v>489</v>
      </c>
    </row>
    <row r="47" spans="1:105" ht="11.45" customHeight="1" x14ac:dyDescent="0.25">
      <c r="A47" s="136" t="s">
        <v>156</v>
      </c>
      <c r="B47" s="152">
        <f t="shared" ref="B47" si="112">SUM(B48:B52)</f>
        <v>3980.7420920866166</v>
      </c>
      <c r="C47" s="152">
        <f t="shared" ref="C47:V47" si="113">SUM(C48:C52)</f>
        <v>4197.6114400064744</v>
      </c>
      <c r="D47" s="152">
        <f t="shared" si="113"/>
        <v>4385.9789012101992</v>
      </c>
      <c r="E47" s="152">
        <f t="shared" si="113"/>
        <v>4460.4283308645063</v>
      </c>
      <c r="F47" s="152">
        <f t="shared" si="113"/>
        <v>4506.9628031531038</v>
      </c>
      <c r="G47" s="152">
        <f t="shared" si="113"/>
        <v>4641.8643433448242</v>
      </c>
      <c r="H47" s="152">
        <f t="shared" si="113"/>
        <v>4762.1275924365445</v>
      </c>
      <c r="I47" s="152">
        <f t="shared" si="113"/>
        <v>4882.831486281817</v>
      </c>
      <c r="J47" s="152">
        <f t="shared" si="113"/>
        <v>4838.3057143591695</v>
      </c>
      <c r="K47" s="152">
        <f t="shared" si="113"/>
        <v>4807.0302723310342</v>
      </c>
      <c r="L47" s="152">
        <f t="shared" si="113"/>
        <v>4843.0912073138652</v>
      </c>
      <c r="M47" s="152">
        <f t="shared" si="113"/>
        <v>4919.6891164628787</v>
      </c>
      <c r="N47" s="152">
        <f t="shared" si="113"/>
        <v>4929.22351682508</v>
      </c>
      <c r="O47" s="152">
        <f t="shared" si="113"/>
        <v>5092.6079341268405</v>
      </c>
      <c r="P47" s="152">
        <f t="shared" si="113"/>
        <v>5346.5508493136094</v>
      </c>
      <c r="Q47" s="152">
        <f t="shared" si="113"/>
        <v>5536.1573037222097</v>
      </c>
      <c r="R47" s="152">
        <f t="shared" si="113"/>
        <v>5681.2971282510753</v>
      </c>
      <c r="S47" s="152">
        <f t="shared" si="113"/>
        <v>5777.0734533932246</v>
      </c>
      <c r="T47" s="152">
        <f t="shared" si="113"/>
        <v>5920.5442501371235</v>
      </c>
      <c r="U47" s="152">
        <f t="shared" si="113"/>
        <v>6115.4935596653722</v>
      </c>
      <c r="V47" s="152">
        <f t="shared" si="113"/>
        <v>6192.7467507781557</v>
      </c>
      <c r="W47" s="152">
        <f t="shared" ref="W47" si="114">SUM(W48:W52)</f>
        <v>6559.3703715110596</v>
      </c>
      <c r="DA47" s="174" t="s">
        <v>490</v>
      </c>
    </row>
    <row r="48" spans="1:105" ht="11.45" customHeight="1" x14ac:dyDescent="0.25">
      <c r="A48" s="111" t="s">
        <v>110</v>
      </c>
      <c r="B48" s="87">
        <v>582.19156895929018</v>
      </c>
      <c r="C48" s="87">
        <v>533.9362864425907</v>
      </c>
      <c r="D48" s="87">
        <v>368.89739269645912</v>
      </c>
      <c r="E48" s="87">
        <v>321.91611714572252</v>
      </c>
      <c r="F48" s="87">
        <v>283.35738589955417</v>
      </c>
      <c r="G48" s="87">
        <v>260.90907416792709</v>
      </c>
      <c r="H48" s="87">
        <v>249.2254106792544</v>
      </c>
      <c r="I48" s="87">
        <v>241.8872534682454</v>
      </c>
      <c r="J48" s="87">
        <v>228.9192987435313</v>
      </c>
      <c r="K48" s="87">
        <v>225.33386137517141</v>
      </c>
      <c r="L48" s="87">
        <v>222.08227215739998</v>
      </c>
      <c r="M48" s="87">
        <v>229.92040871507476</v>
      </c>
      <c r="N48" s="87">
        <v>234.43377821402004</v>
      </c>
      <c r="O48" s="87">
        <v>233.72717221434135</v>
      </c>
      <c r="P48" s="87">
        <v>244.57313506646983</v>
      </c>
      <c r="Q48" s="87">
        <v>255.92335315130202</v>
      </c>
      <c r="R48" s="87">
        <v>256.18211293675131</v>
      </c>
      <c r="S48" s="87">
        <v>260.61206805074022</v>
      </c>
      <c r="T48" s="87">
        <v>271.64075718659018</v>
      </c>
      <c r="U48" s="87">
        <v>272.34067664972224</v>
      </c>
      <c r="V48" s="87">
        <v>266.05604896541126</v>
      </c>
      <c r="W48" s="87">
        <v>269.66000829188522</v>
      </c>
      <c r="DA48" s="171" t="s">
        <v>491</v>
      </c>
    </row>
    <row r="49" spans="1:105" ht="11.45" customHeight="1" x14ac:dyDescent="0.25">
      <c r="A49" s="111" t="s">
        <v>111</v>
      </c>
      <c r="B49" s="87">
        <v>3398.2442155350723</v>
      </c>
      <c r="C49" s="87">
        <v>3663.2705378812439</v>
      </c>
      <c r="D49" s="87">
        <v>4016.7251499661488</v>
      </c>
      <c r="E49" s="87">
        <v>4138.0473554654664</v>
      </c>
      <c r="F49" s="87">
        <v>4222.9635374798081</v>
      </c>
      <c r="G49" s="87">
        <v>4379.2571675383115</v>
      </c>
      <c r="H49" s="87">
        <v>4510.4347490934533</v>
      </c>
      <c r="I49" s="87">
        <v>4637.5578278308649</v>
      </c>
      <c r="J49" s="87">
        <v>4604.929391893078</v>
      </c>
      <c r="K49" s="87">
        <v>4578.4723826723302</v>
      </c>
      <c r="L49" s="87">
        <v>4617.5914282315171</v>
      </c>
      <c r="M49" s="87">
        <v>4685.7654880283826</v>
      </c>
      <c r="N49" s="87">
        <v>4686.7651660218107</v>
      </c>
      <c r="O49" s="87">
        <v>4839.7868977747075</v>
      </c>
      <c r="P49" s="87">
        <v>5079.4455539967694</v>
      </c>
      <c r="Q49" s="87">
        <v>5254.3127702761049</v>
      </c>
      <c r="R49" s="87">
        <v>5385.0310674037755</v>
      </c>
      <c r="S49" s="87">
        <v>5474.5665879363578</v>
      </c>
      <c r="T49" s="87">
        <v>5601.2872413699652</v>
      </c>
      <c r="U49" s="87">
        <v>5790.1954397686786</v>
      </c>
      <c r="V49" s="87">
        <v>5866.5026747729353</v>
      </c>
      <c r="W49" s="87">
        <v>6201.1029817923918</v>
      </c>
      <c r="DA49" s="171" t="s">
        <v>492</v>
      </c>
    </row>
    <row r="50" spans="1:105" ht="11.45" customHeight="1" x14ac:dyDescent="0.25">
      <c r="A50" s="111" t="s">
        <v>112</v>
      </c>
      <c r="B50" s="87">
        <v>0</v>
      </c>
      <c r="C50" s="87">
        <v>0</v>
      </c>
      <c r="D50" s="87">
        <v>0</v>
      </c>
      <c r="E50" s="87">
        <v>0.12065762588640047</v>
      </c>
      <c r="F50" s="87">
        <v>0.32216646226190393</v>
      </c>
      <c r="G50" s="87">
        <v>1.4027177795918162</v>
      </c>
      <c r="H50" s="87">
        <v>1.3597311555672087</v>
      </c>
      <c r="I50" s="87">
        <v>1.3493481118422548</v>
      </c>
      <c r="J50" s="87">
        <v>1.2719374311328318</v>
      </c>
      <c r="K50" s="87">
        <v>1.1899944477620086</v>
      </c>
      <c r="L50" s="87">
        <v>1.1096964030016179</v>
      </c>
      <c r="M50" s="87">
        <v>1.02697113734462</v>
      </c>
      <c r="N50" s="87">
        <v>1.0771184556019919</v>
      </c>
      <c r="O50" s="87">
        <v>1.147700297878177</v>
      </c>
      <c r="P50" s="87">
        <v>1.3089193519518689</v>
      </c>
      <c r="Q50" s="87">
        <v>1.3771880002499337</v>
      </c>
      <c r="R50" s="87">
        <v>2.13852766884128</v>
      </c>
      <c r="S50" s="87">
        <v>2.2095459012106549</v>
      </c>
      <c r="T50" s="87">
        <v>2.228439480305219</v>
      </c>
      <c r="U50" s="87">
        <v>2.4481326982503613</v>
      </c>
      <c r="V50" s="87">
        <v>2.810412219734137</v>
      </c>
      <c r="W50" s="87">
        <v>3.2084175650520437</v>
      </c>
      <c r="DA50" s="171" t="s">
        <v>493</v>
      </c>
    </row>
    <row r="51" spans="1:105" ht="11.45" customHeight="1" x14ac:dyDescent="0.25">
      <c r="A51" s="111" t="s">
        <v>113</v>
      </c>
      <c r="B51" s="87">
        <v>0</v>
      </c>
      <c r="C51" s="87">
        <v>0</v>
      </c>
      <c r="D51" s="87">
        <v>0</v>
      </c>
      <c r="E51" s="87">
        <v>0</v>
      </c>
      <c r="F51" s="87">
        <v>0</v>
      </c>
      <c r="G51" s="87">
        <v>0</v>
      </c>
      <c r="H51" s="87">
        <v>0.83656090996283705</v>
      </c>
      <c r="I51" s="87">
        <v>1.6917191601255983</v>
      </c>
      <c r="J51" s="87">
        <v>2.8020910565423964</v>
      </c>
      <c r="K51" s="87">
        <v>1.4772789014690071</v>
      </c>
      <c r="L51" s="87">
        <v>1.4533661468863022</v>
      </c>
      <c r="M51" s="87">
        <v>1.6258611301500179</v>
      </c>
      <c r="N51" s="87">
        <v>2.1589355797843996</v>
      </c>
      <c r="O51" s="87">
        <v>10.255980429968981</v>
      </c>
      <c r="P51" s="87">
        <v>11.044733501939888</v>
      </c>
      <c r="Q51" s="87">
        <v>11.257934932251093</v>
      </c>
      <c r="R51" s="87">
        <v>19.720057108924564</v>
      </c>
      <c r="S51" s="87">
        <v>18.45468235720541</v>
      </c>
      <c r="T51" s="87">
        <v>18.850432440000912</v>
      </c>
      <c r="U51" s="87">
        <v>18.228548288541802</v>
      </c>
      <c r="V51" s="87">
        <v>16.575004468414168</v>
      </c>
      <c r="W51" s="87">
        <v>15.75471858330768</v>
      </c>
      <c r="DA51" s="171" t="s">
        <v>494</v>
      </c>
    </row>
    <row r="52" spans="1:105" ht="11.45" customHeight="1" x14ac:dyDescent="0.25">
      <c r="A52" s="111" t="s">
        <v>115</v>
      </c>
      <c r="B52" s="87">
        <v>0.30630759225421311</v>
      </c>
      <c r="C52" s="87">
        <v>0.40461568263973313</v>
      </c>
      <c r="D52" s="87">
        <v>0.35635854759105678</v>
      </c>
      <c r="E52" s="87">
        <v>0.3442006274310479</v>
      </c>
      <c r="F52" s="87">
        <v>0.31971331147997117</v>
      </c>
      <c r="G52" s="87">
        <v>0.29538385899380404</v>
      </c>
      <c r="H52" s="87">
        <v>0.2711405983074372</v>
      </c>
      <c r="I52" s="87">
        <v>0.34533771073884634</v>
      </c>
      <c r="J52" s="87">
        <v>0.38299523488455073</v>
      </c>
      <c r="K52" s="87">
        <v>0.55675493430269429</v>
      </c>
      <c r="L52" s="87">
        <v>0.85444437506082616</v>
      </c>
      <c r="M52" s="87">
        <v>1.3503874519267287</v>
      </c>
      <c r="N52" s="87">
        <v>4.7885185538628576</v>
      </c>
      <c r="O52" s="87">
        <v>7.6901834099446233</v>
      </c>
      <c r="P52" s="87">
        <v>10.17850739647883</v>
      </c>
      <c r="Q52" s="87">
        <v>13.286057362302314</v>
      </c>
      <c r="R52" s="87">
        <v>18.225363132782846</v>
      </c>
      <c r="S52" s="87">
        <v>21.230569147710479</v>
      </c>
      <c r="T52" s="87">
        <v>26.537379660261568</v>
      </c>
      <c r="U52" s="87">
        <v>32.280762260179571</v>
      </c>
      <c r="V52" s="87">
        <v>40.802610351661144</v>
      </c>
      <c r="W52" s="87">
        <v>69.644245278423625</v>
      </c>
      <c r="DA52" s="171" t="s">
        <v>495</v>
      </c>
    </row>
    <row r="53" spans="1:105" ht="11.45" customHeight="1" x14ac:dyDescent="0.25">
      <c r="A53" s="109" t="s">
        <v>158</v>
      </c>
      <c r="B53" s="116">
        <f t="shared" ref="B53" si="115">SUM(B54:B55)</f>
        <v>2581.6057458996033</v>
      </c>
      <c r="C53" s="116">
        <f t="shared" ref="C53:V53" si="116">SUM(C54:C55)</f>
        <v>2657.141955043367</v>
      </c>
      <c r="D53" s="116">
        <f t="shared" si="116"/>
        <v>2705.2607160919551</v>
      </c>
      <c r="E53" s="116">
        <f t="shared" si="116"/>
        <v>2771.3509211424566</v>
      </c>
      <c r="F53" s="116">
        <f t="shared" si="116"/>
        <v>2907.7738198787729</v>
      </c>
      <c r="G53" s="116">
        <f t="shared" si="116"/>
        <v>2943.159067873501</v>
      </c>
      <c r="H53" s="116">
        <f t="shared" si="116"/>
        <v>3265.7887570035641</v>
      </c>
      <c r="I53" s="116">
        <f t="shared" si="116"/>
        <v>3488.3749186229625</v>
      </c>
      <c r="J53" s="116">
        <f t="shared" si="116"/>
        <v>3698.5174072375148</v>
      </c>
      <c r="K53" s="116">
        <f t="shared" si="116"/>
        <v>3300.4514338750778</v>
      </c>
      <c r="L53" s="116">
        <f t="shared" si="116"/>
        <v>3355.9726147307756</v>
      </c>
      <c r="M53" s="116">
        <f t="shared" si="116"/>
        <v>3457.8065950218579</v>
      </c>
      <c r="N53" s="116">
        <f t="shared" si="116"/>
        <v>3373.8004455789005</v>
      </c>
      <c r="O53" s="116">
        <f t="shared" si="116"/>
        <v>3426.9259317411997</v>
      </c>
      <c r="P53" s="116">
        <f t="shared" si="116"/>
        <v>3510.4464163561538</v>
      </c>
      <c r="Q53" s="116">
        <f t="shared" si="116"/>
        <v>3709.0561943418261</v>
      </c>
      <c r="R53" s="116">
        <f t="shared" si="116"/>
        <v>3853.4840637649395</v>
      </c>
      <c r="S53" s="116">
        <f t="shared" si="116"/>
        <v>4053.0932882214188</v>
      </c>
      <c r="T53" s="116">
        <f t="shared" si="116"/>
        <v>4086.1886786305599</v>
      </c>
      <c r="U53" s="116">
        <f t="shared" si="116"/>
        <v>4154.7379035760614</v>
      </c>
      <c r="V53" s="116">
        <f t="shared" si="116"/>
        <v>4131.4052416514023</v>
      </c>
      <c r="W53" s="116">
        <f t="shared" ref="W53" si="117">SUM(W54:W55)</f>
        <v>4359.6898566560985</v>
      </c>
      <c r="DA53" s="176" t="s">
        <v>496</v>
      </c>
    </row>
    <row r="54" spans="1:105" ht="11.45" customHeight="1" x14ac:dyDescent="0.25">
      <c r="A54" s="128" t="s">
        <v>27</v>
      </c>
      <c r="B54" s="101">
        <v>1576</v>
      </c>
      <c r="C54" s="101">
        <v>1579</v>
      </c>
      <c r="D54" s="101">
        <v>1571</v>
      </c>
      <c r="E54" s="101">
        <v>1612</v>
      </c>
      <c r="F54" s="101">
        <v>1537</v>
      </c>
      <c r="G54" s="101">
        <v>1524</v>
      </c>
      <c r="H54" s="101">
        <v>1775</v>
      </c>
      <c r="I54" s="101">
        <v>1802</v>
      </c>
      <c r="J54" s="101">
        <v>1792</v>
      </c>
      <c r="K54" s="101">
        <v>1681</v>
      </c>
      <c r="L54" s="101">
        <v>1667</v>
      </c>
      <c r="M54" s="101">
        <v>1717</v>
      </c>
      <c r="N54" s="101">
        <v>1677</v>
      </c>
      <c r="O54" s="101">
        <v>1675</v>
      </c>
      <c r="P54" s="101">
        <v>1745</v>
      </c>
      <c r="Q54" s="101">
        <v>1855</v>
      </c>
      <c r="R54" s="101">
        <v>1944</v>
      </c>
      <c r="S54" s="101">
        <v>1989</v>
      </c>
      <c r="T54" s="101">
        <v>2013</v>
      </c>
      <c r="U54" s="101">
        <v>2041</v>
      </c>
      <c r="V54" s="101">
        <v>1979</v>
      </c>
      <c r="W54" s="101">
        <v>2095</v>
      </c>
      <c r="DA54" s="175" t="s">
        <v>497</v>
      </c>
    </row>
    <row r="55" spans="1:105" ht="11.45" customHeight="1" x14ac:dyDescent="0.25">
      <c r="A55" s="138" t="s">
        <v>116</v>
      </c>
      <c r="B55" s="88">
        <v>1005.6057458996032</v>
      </c>
      <c r="C55" s="88">
        <v>1078.141955043367</v>
      </c>
      <c r="D55" s="88">
        <v>1134.2607160919551</v>
      </c>
      <c r="E55" s="88">
        <v>1159.3509211424566</v>
      </c>
      <c r="F55" s="88">
        <v>1370.7738198787729</v>
      </c>
      <c r="G55" s="88">
        <v>1419.1590678735008</v>
      </c>
      <c r="H55" s="88">
        <v>1490.7887570035641</v>
      </c>
      <c r="I55" s="88">
        <v>1686.3749186229622</v>
      </c>
      <c r="J55" s="88">
        <v>1906.517407237515</v>
      </c>
      <c r="K55" s="88">
        <v>1619.4514338750776</v>
      </c>
      <c r="L55" s="88">
        <v>1688.9726147307758</v>
      </c>
      <c r="M55" s="88">
        <v>1740.8065950218579</v>
      </c>
      <c r="N55" s="88">
        <v>1696.8004455789003</v>
      </c>
      <c r="O55" s="88">
        <v>1751.9259317412</v>
      </c>
      <c r="P55" s="88">
        <v>1765.4464163561538</v>
      </c>
      <c r="Q55" s="88">
        <v>1854.0561943418259</v>
      </c>
      <c r="R55" s="88">
        <v>1909.4840637649397</v>
      </c>
      <c r="S55" s="88">
        <v>2064.0932882214188</v>
      </c>
      <c r="T55" s="88">
        <v>2073.1886786305599</v>
      </c>
      <c r="U55" s="88">
        <v>2113.7379035760614</v>
      </c>
      <c r="V55" s="88">
        <v>2152.4052416514023</v>
      </c>
      <c r="W55" s="88">
        <v>2264.6898566560985</v>
      </c>
      <c r="DA55" s="178" t="s">
        <v>498</v>
      </c>
    </row>
    <row r="56" spans="1:105" ht="11.45" customHeight="1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53" t="s">
        <v>109</v>
      </c>
      <c r="B57" s="54">
        <f t="shared" ref="B57:K57" si="118">B58+B73</f>
        <v>5029840</v>
      </c>
      <c r="C57" s="54">
        <f t="shared" si="118"/>
        <v>5118158</v>
      </c>
      <c r="D57" s="54">
        <f t="shared" si="118"/>
        <v>4925975</v>
      </c>
      <c r="E57" s="54">
        <f t="shared" si="118"/>
        <v>5009617</v>
      </c>
      <c r="F57" s="54">
        <f t="shared" si="118"/>
        <v>5079844</v>
      </c>
      <c r="G57" s="54">
        <f t="shared" si="118"/>
        <v>5150252</v>
      </c>
      <c r="H57" s="54">
        <f t="shared" si="118"/>
        <v>5222916</v>
      </c>
      <c r="I57" s="54">
        <f t="shared" si="118"/>
        <v>5297854</v>
      </c>
      <c r="J57" s="54">
        <f t="shared" si="118"/>
        <v>5373748</v>
      </c>
      <c r="K57" s="54">
        <f t="shared" si="118"/>
        <v>5476320</v>
      </c>
      <c r="L57" s="54">
        <f t="shared" ref="L57" si="119">L58+L73</f>
        <v>5583456</v>
      </c>
      <c r="M57" s="54">
        <f t="shared" ref="M57:V57" si="120">M58+M73</f>
        <v>5683033</v>
      </c>
      <c r="N57" s="54">
        <f t="shared" si="120"/>
        <v>5783081</v>
      </c>
      <c r="O57" s="54">
        <f t="shared" si="120"/>
        <v>5864559</v>
      </c>
      <c r="P57" s="54">
        <f t="shared" si="120"/>
        <v>5940159</v>
      </c>
      <c r="Q57" s="54">
        <f t="shared" si="120"/>
        <v>6015599</v>
      </c>
      <c r="R57" s="54">
        <f t="shared" si="120"/>
        <v>6119838</v>
      </c>
      <c r="S57" s="54">
        <f t="shared" si="120"/>
        <v>6232267</v>
      </c>
      <c r="T57" s="54">
        <f t="shared" si="120"/>
        <v>6348065</v>
      </c>
      <c r="U57" s="54">
        <f t="shared" si="120"/>
        <v>6435104</v>
      </c>
      <c r="V57" s="54">
        <f t="shared" si="120"/>
        <v>6523621</v>
      </c>
      <c r="W57" s="54">
        <f t="shared" ref="W57" si="121">W58+W73</f>
        <v>6622323</v>
      </c>
      <c r="DA57" s="172" t="s">
        <v>499</v>
      </c>
    </row>
    <row r="58" spans="1:105" ht="11.45" customHeight="1" x14ac:dyDescent="0.25">
      <c r="A58" s="27" t="s">
        <v>33</v>
      </c>
      <c r="B58" s="28">
        <f t="shared" ref="B58:K58" si="122">B59+B60+B67</f>
        <v>4691319</v>
      </c>
      <c r="C58" s="28">
        <f t="shared" si="122"/>
        <v>4774940</v>
      </c>
      <c r="D58" s="28">
        <f t="shared" si="122"/>
        <v>4593011</v>
      </c>
      <c r="E58" s="28">
        <f t="shared" si="122"/>
        <v>4670104</v>
      </c>
      <c r="F58" s="28">
        <f t="shared" si="122"/>
        <v>4730579</v>
      </c>
      <c r="G58" s="28">
        <f t="shared" si="122"/>
        <v>4794026</v>
      </c>
      <c r="H58" s="28">
        <f t="shared" si="122"/>
        <v>4859620</v>
      </c>
      <c r="I58" s="28">
        <f t="shared" si="122"/>
        <v>4922901</v>
      </c>
      <c r="J58" s="28">
        <f t="shared" si="122"/>
        <v>4985625</v>
      </c>
      <c r="K58" s="28">
        <f t="shared" si="122"/>
        <v>5081879</v>
      </c>
      <c r="L58" s="28">
        <f t="shared" ref="L58" si="123">L59+L60+L67</f>
        <v>5178769</v>
      </c>
      <c r="M58" s="28">
        <f t="shared" ref="M58:V58" si="124">M59+M60+M67</f>
        <v>5266315</v>
      </c>
      <c r="N58" s="28">
        <f t="shared" si="124"/>
        <v>5356231</v>
      </c>
      <c r="O58" s="28">
        <f t="shared" si="124"/>
        <v>5427631</v>
      </c>
      <c r="P58" s="28">
        <f t="shared" si="124"/>
        <v>5493175</v>
      </c>
      <c r="Q58" s="28">
        <f t="shared" si="124"/>
        <v>5558076</v>
      </c>
      <c r="R58" s="28">
        <f t="shared" si="124"/>
        <v>5648286</v>
      </c>
      <c r="S58" s="28">
        <f t="shared" si="124"/>
        <v>5741175</v>
      </c>
      <c r="T58" s="28">
        <f t="shared" si="124"/>
        <v>5836244</v>
      </c>
      <c r="U58" s="28">
        <f t="shared" si="124"/>
        <v>5910454</v>
      </c>
      <c r="V58" s="28">
        <f t="shared" si="124"/>
        <v>5986384</v>
      </c>
      <c r="W58" s="28">
        <f t="shared" ref="W58" si="125">W59+W60+W67</f>
        <v>6053514</v>
      </c>
      <c r="DA58" s="173" t="s">
        <v>500</v>
      </c>
    </row>
    <row r="59" spans="1:105" ht="11.45" customHeight="1" x14ac:dyDescent="0.25">
      <c r="A59" s="136" t="s">
        <v>180</v>
      </c>
      <c r="B59" s="137">
        <v>565901</v>
      </c>
      <c r="C59" s="137">
        <v>583038</v>
      </c>
      <c r="D59" s="137">
        <v>596824</v>
      </c>
      <c r="E59" s="137">
        <v>606868</v>
      </c>
      <c r="F59" s="137">
        <v>612160</v>
      </c>
      <c r="G59" s="137">
        <v>627711</v>
      </c>
      <c r="H59" s="137">
        <v>645313</v>
      </c>
      <c r="I59" s="137">
        <v>667577</v>
      </c>
      <c r="J59" s="137">
        <v>691243</v>
      </c>
      <c r="K59" s="137">
        <v>712092</v>
      </c>
      <c r="L59" s="137">
        <v>727852</v>
      </c>
      <c r="M59" s="137">
        <v>743429</v>
      </c>
      <c r="N59" s="137">
        <v>762392</v>
      </c>
      <c r="O59" s="137">
        <v>776337</v>
      </c>
      <c r="P59" s="137">
        <v>788184</v>
      </c>
      <c r="Q59" s="137">
        <v>799906</v>
      </c>
      <c r="R59" s="137">
        <v>816477</v>
      </c>
      <c r="S59" s="137">
        <v>832200</v>
      </c>
      <c r="T59" s="137">
        <v>847355</v>
      </c>
      <c r="U59" s="137">
        <v>860758</v>
      </c>
      <c r="V59" s="137">
        <v>884493</v>
      </c>
      <c r="W59" s="137">
        <v>909542</v>
      </c>
      <c r="DA59" s="174" t="s">
        <v>501</v>
      </c>
    </row>
    <row r="60" spans="1:105" ht="11.45" customHeight="1" x14ac:dyDescent="0.25">
      <c r="A60" s="109" t="s">
        <v>20</v>
      </c>
      <c r="B60" s="110">
        <f t="shared" ref="B60:K60" si="126">SUM(B61:B66)</f>
        <v>4115500</v>
      </c>
      <c r="C60" s="110">
        <f t="shared" si="126"/>
        <v>4182000</v>
      </c>
      <c r="D60" s="110">
        <f t="shared" si="126"/>
        <v>3987000</v>
      </c>
      <c r="E60" s="110">
        <f t="shared" si="126"/>
        <v>4054000</v>
      </c>
      <c r="F60" s="110">
        <f t="shared" si="126"/>
        <v>4109000</v>
      </c>
      <c r="G60" s="110">
        <f t="shared" si="126"/>
        <v>4157000</v>
      </c>
      <c r="H60" s="110">
        <f t="shared" si="126"/>
        <v>4205000</v>
      </c>
      <c r="I60" s="110">
        <f t="shared" si="126"/>
        <v>4246000</v>
      </c>
      <c r="J60" s="110">
        <f t="shared" si="126"/>
        <v>4285000</v>
      </c>
      <c r="K60" s="110">
        <f t="shared" si="126"/>
        <v>4360000</v>
      </c>
      <c r="L60" s="110">
        <f t="shared" ref="L60" si="127">SUM(L61:L66)</f>
        <v>4441000</v>
      </c>
      <c r="M60" s="110">
        <f t="shared" ref="M60:V60" si="128">SUM(M61:M66)</f>
        <v>4513000</v>
      </c>
      <c r="N60" s="110">
        <f t="shared" si="128"/>
        <v>4584000</v>
      </c>
      <c r="O60" s="110">
        <f t="shared" si="128"/>
        <v>4641308</v>
      </c>
      <c r="P60" s="110">
        <f t="shared" si="128"/>
        <v>4694921</v>
      </c>
      <c r="Q60" s="110">
        <f t="shared" si="128"/>
        <v>4748048</v>
      </c>
      <c r="R60" s="110">
        <f t="shared" si="128"/>
        <v>4821557</v>
      </c>
      <c r="S60" s="110">
        <f t="shared" si="128"/>
        <v>4898578</v>
      </c>
      <c r="T60" s="110">
        <f t="shared" si="128"/>
        <v>4978852</v>
      </c>
      <c r="U60" s="110">
        <f t="shared" si="128"/>
        <v>5039548</v>
      </c>
      <c r="V60" s="110">
        <f t="shared" si="128"/>
        <v>5091827</v>
      </c>
      <c r="W60" s="110">
        <f t="shared" ref="W60" si="129">SUM(W61:W66)</f>
        <v>5133836</v>
      </c>
      <c r="DA60" s="176" t="s">
        <v>502</v>
      </c>
    </row>
    <row r="61" spans="1:105" ht="11.45" customHeight="1" x14ac:dyDescent="0.25">
      <c r="A61" s="111" t="s">
        <v>110</v>
      </c>
      <c r="B61" s="84">
        <v>2598000</v>
      </c>
      <c r="C61" s="84">
        <v>2532933</v>
      </c>
      <c r="D61" s="84">
        <v>2229586</v>
      </c>
      <c r="E61" s="84">
        <v>2152286</v>
      </c>
      <c r="F61" s="84">
        <v>2073993</v>
      </c>
      <c r="G61" s="84">
        <v>2016724</v>
      </c>
      <c r="H61" s="84">
        <v>1971457</v>
      </c>
      <c r="I61" s="84">
        <v>1950719</v>
      </c>
      <c r="J61" s="84">
        <v>1948861</v>
      </c>
      <c r="K61" s="84">
        <v>1965476</v>
      </c>
      <c r="L61" s="84">
        <v>1984314</v>
      </c>
      <c r="M61" s="84">
        <v>1995411</v>
      </c>
      <c r="N61" s="84">
        <v>2001262</v>
      </c>
      <c r="O61" s="84">
        <v>2006553</v>
      </c>
      <c r="P61" s="84">
        <v>2016745</v>
      </c>
      <c r="Q61" s="84">
        <v>2028565</v>
      </c>
      <c r="R61" s="84">
        <v>2051338</v>
      </c>
      <c r="S61" s="84">
        <v>2099856</v>
      </c>
      <c r="T61" s="84">
        <v>2166343</v>
      </c>
      <c r="U61" s="84">
        <v>2216232</v>
      </c>
      <c r="V61" s="84">
        <v>2249710</v>
      </c>
      <c r="W61" s="84">
        <v>2277926</v>
      </c>
      <c r="DA61" s="171" t="s">
        <v>503</v>
      </c>
    </row>
    <row r="62" spans="1:105" ht="11.45" customHeight="1" x14ac:dyDescent="0.25">
      <c r="A62" s="111" t="s">
        <v>111</v>
      </c>
      <c r="B62" s="84">
        <v>1499000</v>
      </c>
      <c r="C62" s="84">
        <v>1629238</v>
      </c>
      <c r="D62" s="84">
        <v>1731804</v>
      </c>
      <c r="E62" s="84">
        <v>1870475</v>
      </c>
      <c r="F62" s="84">
        <v>2009398</v>
      </c>
      <c r="G62" s="84">
        <v>2114801</v>
      </c>
      <c r="H62" s="84">
        <v>2207036</v>
      </c>
      <c r="I62" s="84">
        <v>2270075</v>
      </c>
      <c r="J62" s="84">
        <v>2309318</v>
      </c>
      <c r="K62" s="84">
        <v>2370094</v>
      </c>
      <c r="L62" s="84">
        <v>2433626</v>
      </c>
      <c r="M62" s="84">
        <v>2492794</v>
      </c>
      <c r="N62" s="84">
        <v>2555354</v>
      </c>
      <c r="O62" s="84">
        <v>2607130</v>
      </c>
      <c r="P62" s="84">
        <v>2650382</v>
      </c>
      <c r="Q62" s="84">
        <v>2693495</v>
      </c>
      <c r="R62" s="84">
        <v>2740919</v>
      </c>
      <c r="S62" s="84">
        <v>2763203</v>
      </c>
      <c r="T62" s="84">
        <v>2772203</v>
      </c>
      <c r="U62" s="84">
        <v>2773838</v>
      </c>
      <c r="V62" s="84">
        <v>2772263</v>
      </c>
      <c r="W62" s="84">
        <v>2740563</v>
      </c>
      <c r="DA62" s="171" t="s">
        <v>504</v>
      </c>
    </row>
    <row r="63" spans="1:105" ht="11.45" customHeight="1" x14ac:dyDescent="0.25">
      <c r="A63" s="111" t="s">
        <v>112</v>
      </c>
      <c r="B63" s="84">
        <v>18500</v>
      </c>
      <c r="C63" s="84">
        <v>19829</v>
      </c>
      <c r="D63" s="84">
        <v>25610</v>
      </c>
      <c r="E63" s="84">
        <v>31239</v>
      </c>
      <c r="F63" s="84">
        <v>25609</v>
      </c>
      <c r="G63" s="84">
        <v>25475</v>
      </c>
      <c r="H63" s="84">
        <v>26453</v>
      </c>
      <c r="I63" s="84">
        <v>24994</v>
      </c>
      <c r="J63" s="84">
        <v>25819</v>
      </c>
      <c r="K63" s="84">
        <v>22886</v>
      </c>
      <c r="L63" s="84">
        <v>21234</v>
      </c>
      <c r="M63" s="84">
        <v>21134</v>
      </c>
      <c r="N63" s="84">
        <v>22619</v>
      </c>
      <c r="O63" s="84">
        <v>21496</v>
      </c>
      <c r="P63" s="84">
        <v>19370</v>
      </c>
      <c r="Q63" s="84">
        <v>14669</v>
      </c>
      <c r="R63" s="84">
        <v>12909</v>
      </c>
      <c r="S63" s="84">
        <v>11747</v>
      </c>
      <c r="T63" s="84">
        <v>8223</v>
      </c>
      <c r="U63" s="84">
        <v>6167</v>
      </c>
      <c r="V63" s="84">
        <v>4379</v>
      </c>
      <c r="W63" s="84">
        <v>4332</v>
      </c>
      <c r="DA63" s="171" t="s">
        <v>505</v>
      </c>
    </row>
    <row r="64" spans="1:105" ht="11.45" customHeight="1" x14ac:dyDescent="0.25">
      <c r="A64" s="111" t="s">
        <v>113</v>
      </c>
      <c r="B64" s="84">
        <v>0</v>
      </c>
      <c r="C64" s="84">
        <v>0</v>
      </c>
      <c r="D64" s="84">
        <v>0</v>
      </c>
      <c r="E64" s="84">
        <v>0</v>
      </c>
      <c r="F64" s="84">
        <v>0</v>
      </c>
      <c r="G64" s="84">
        <v>0</v>
      </c>
      <c r="H64" s="84">
        <v>54</v>
      </c>
      <c r="I64" s="84">
        <v>212</v>
      </c>
      <c r="J64" s="84">
        <v>1000</v>
      </c>
      <c r="K64" s="84">
        <v>1216</v>
      </c>
      <c r="L64" s="84">
        <v>1473</v>
      </c>
      <c r="M64" s="84">
        <v>2670</v>
      </c>
      <c r="N64" s="84">
        <v>3109</v>
      </c>
      <c r="O64" s="84">
        <v>3651</v>
      </c>
      <c r="P64" s="84">
        <v>4262</v>
      </c>
      <c r="Q64" s="84">
        <v>4775</v>
      </c>
      <c r="R64" s="84">
        <v>5031</v>
      </c>
      <c r="S64" s="84">
        <v>5206</v>
      </c>
      <c r="T64" s="84">
        <v>5542</v>
      </c>
      <c r="U64" s="84">
        <v>5746</v>
      </c>
      <c r="V64" s="84">
        <v>5731</v>
      </c>
      <c r="W64" s="84">
        <v>5455</v>
      </c>
      <c r="DA64" s="171" t="s">
        <v>506</v>
      </c>
    </row>
    <row r="65" spans="1:105" ht="11.45" customHeight="1" x14ac:dyDescent="0.25">
      <c r="A65" s="111" t="s">
        <v>114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2</v>
      </c>
      <c r="N65" s="84">
        <v>267</v>
      </c>
      <c r="O65" s="84">
        <v>408</v>
      </c>
      <c r="P65" s="84">
        <v>776</v>
      </c>
      <c r="Q65" s="84">
        <v>1512</v>
      </c>
      <c r="R65" s="84">
        <v>2287</v>
      </c>
      <c r="S65" s="84">
        <v>3948</v>
      </c>
      <c r="T65" s="84">
        <v>5710</v>
      </c>
      <c r="U65" s="84">
        <v>8042</v>
      </c>
      <c r="V65" s="84">
        <v>15237</v>
      </c>
      <c r="W65" s="84">
        <v>29021</v>
      </c>
      <c r="DA65" s="171" t="s">
        <v>507</v>
      </c>
    </row>
    <row r="66" spans="1:105" ht="11.45" customHeight="1" x14ac:dyDescent="0.25">
      <c r="A66" s="111" t="s">
        <v>115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2</v>
      </c>
      <c r="K66" s="84">
        <v>328</v>
      </c>
      <c r="L66" s="84">
        <v>353</v>
      </c>
      <c r="M66" s="84">
        <v>989</v>
      </c>
      <c r="N66" s="84">
        <v>1389</v>
      </c>
      <c r="O66" s="84">
        <v>2070</v>
      </c>
      <c r="P66" s="84">
        <v>3386</v>
      </c>
      <c r="Q66" s="84">
        <v>5032</v>
      </c>
      <c r="R66" s="84">
        <v>9073</v>
      </c>
      <c r="S66" s="84">
        <v>14618</v>
      </c>
      <c r="T66" s="84">
        <v>20831</v>
      </c>
      <c r="U66" s="84">
        <v>29523</v>
      </c>
      <c r="V66" s="84">
        <v>44507</v>
      </c>
      <c r="W66" s="84">
        <v>76539</v>
      </c>
      <c r="DA66" s="171" t="s">
        <v>508</v>
      </c>
    </row>
    <row r="67" spans="1:105" ht="11.45" customHeight="1" x14ac:dyDescent="0.25">
      <c r="A67" s="109" t="s">
        <v>21</v>
      </c>
      <c r="B67" s="110">
        <f t="shared" ref="B67:K67" si="130">SUM(B68:B72)</f>
        <v>9918</v>
      </c>
      <c r="C67" s="110">
        <f t="shared" si="130"/>
        <v>9902</v>
      </c>
      <c r="D67" s="110">
        <f t="shared" si="130"/>
        <v>9187</v>
      </c>
      <c r="E67" s="110">
        <f t="shared" si="130"/>
        <v>9236</v>
      </c>
      <c r="F67" s="110">
        <f t="shared" si="130"/>
        <v>9419</v>
      </c>
      <c r="G67" s="110">
        <f t="shared" si="130"/>
        <v>9315</v>
      </c>
      <c r="H67" s="110">
        <f t="shared" si="130"/>
        <v>9307</v>
      </c>
      <c r="I67" s="110">
        <f t="shared" si="130"/>
        <v>9324</v>
      </c>
      <c r="J67" s="110">
        <f t="shared" si="130"/>
        <v>9382</v>
      </c>
      <c r="K67" s="110">
        <f t="shared" si="130"/>
        <v>9787</v>
      </c>
      <c r="L67" s="110">
        <f t="shared" ref="L67" si="131">SUM(L68:L72)</f>
        <v>9917</v>
      </c>
      <c r="M67" s="110">
        <f t="shared" ref="M67:V67" si="132">SUM(M68:M72)</f>
        <v>9886</v>
      </c>
      <c r="N67" s="110">
        <f t="shared" si="132"/>
        <v>9839</v>
      </c>
      <c r="O67" s="110">
        <f t="shared" si="132"/>
        <v>9986</v>
      </c>
      <c r="P67" s="110">
        <f t="shared" si="132"/>
        <v>10070</v>
      </c>
      <c r="Q67" s="110">
        <f t="shared" si="132"/>
        <v>10122</v>
      </c>
      <c r="R67" s="110">
        <f t="shared" si="132"/>
        <v>10252</v>
      </c>
      <c r="S67" s="110">
        <f t="shared" si="132"/>
        <v>10397</v>
      </c>
      <c r="T67" s="110">
        <f t="shared" si="132"/>
        <v>10037</v>
      </c>
      <c r="U67" s="110">
        <f t="shared" si="132"/>
        <v>10148</v>
      </c>
      <c r="V67" s="110">
        <f t="shared" si="132"/>
        <v>10064</v>
      </c>
      <c r="W67" s="110">
        <f t="shared" ref="W67" si="133">SUM(W68:W72)</f>
        <v>10136</v>
      </c>
      <c r="DA67" s="176" t="s">
        <v>509</v>
      </c>
    </row>
    <row r="68" spans="1:105" ht="11.45" customHeight="1" x14ac:dyDescent="0.25">
      <c r="A68" s="111" t="s">
        <v>110</v>
      </c>
      <c r="B68" s="102">
        <v>13</v>
      </c>
      <c r="C68" s="102">
        <v>14</v>
      </c>
      <c r="D68" s="102">
        <v>11</v>
      </c>
      <c r="E68" s="102">
        <v>10</v>
      </c>
      <c r="F68" s="102">
        <v>9</v>
      </c>
      <c r="G68" s="102">
        <v>7</v>
      </c>
      <c r="H68" s="102">
        <v>6</v>
      </c>
      <c r="I68" s="102">
        <v>6</v>
      </c>
      <c r="J68" s="102">
        <v>5</v>
      </c>
      <c r="K68" s="102">
        <v>4</v>
      </c>
      <c r="L68" s="102">
        <v>4</v>
      </c>
      <c r="M68" s="102">
        <v>3</v>
      </c>
      <c r="N68" s="102">
        <v>3</v>
      </c>
      <c r="O68" s="102">
        <v>2</v>
      </c>
      <c r="P68" s="102">
        <v>3</v>
      </c>
      <c r="Q68" s="102">
        <v>3</v>
      </c>
      <c r="R68" s="102">
        <v>4</v>
      </c>
      <c r="S68" s="102">
        <v>4</v>
      </c>
      <c r="T68" s="102">
        <v>4</v>
      </c>
      <c r="U68" s="102">
        <v>4</v>
      </c>
      <c r="V68" s="102">
        <v>3</v>
      </c>
      <c r="W68" s="102">
        <v>4</v>
      </c>
      <c r="DA68" s="175" t="s">
        <v>510</v>
      </c>
    </row>
    <row r="69" spans="1:105" ht="11.45" customHeight="1" x14ac:dyDescent="0.25">
      <c r="A69" s="111" t="s">
        <v>111</v>
      </c>
      <c r="B69" s="102">
        <v>9789</v>
      </c>
      <c r="C69" s="102">
        <v>9758</v>
      </c>
      <c r="D69" s="102">
        <v>9015</v>
      </c>
      <c r="E69" s="102">
        <v>9045</v>
      </c>
      <c r="F69" s="102">
        <v>9197</v>
      </c>
      <c r="G69" s="102">
        <v>9054</v>
      </c>
      <c r="H69" s="102">
        <v>9016</v>
      </c>
      <c r="I69" s="102">
        <v>8960</v>
      </c>
      <c r="J69" s="102">
        <v>8950</v>
      </c>
      <c r="K69" s="102">
        <v>9077</v>
      </c>
      <c r="L69" s="102">
        <v>9028</v>
      </c>
      <c r="M69" s="102">
        <v>8947</v>
      </c>
      <c r="N69" s="102">
        <v>8859</v>
      </c>
      <c r="O69" s="102">
        <v>8883</v>
      </c>
      <c r="P69" s="102">
        <v>8919</v>
      </c>
      <c r="Q69" s="102">
        <v>9067</v>
      </c>
      <c r="R69" s="102">
        <v>9259</v>
      </c>
      <c r="S69" s="102">
        <v>9457</v>
      </c>
      <c r="T69" s="102">
        <v>9167</v>
      </c>
      <c r="U69" s="102">
        <v>9426</v>
      </c>
      <c r="V69" s="102">
        <v>9325</v>
      </c>
      <c r="W69" s="102">
        <v>9455</v>
      </c>
      <c r="DA69" s="175" t="s">
        <v>511</v>
      </c>
    </row>
    <row r="70" spans="1:105" ht="11.45" customHeight="1" x14ac:dyDescent="0.25">
      <c r="A70" s="111" t="s">
        <v>112</v>
      </c>
      <c r="B70" s="102">
        <v>0</v>
      </c>
      <c r="C70" s="102">
        <v>16</v>
      </c>
      <c r="D70" s="102">
        <v>48</v>
      </c>
      <c r="E70" s="102">
        <v>68</v>
      </c>
      <c r="F70" s="102">
        <v>92</v>
      </c>
      <c r="G70" s="102">
        <v>133</v>
      </c>
      <c r="H70" s="102">
        <v>165</v>
      </c>
      <c r="I70" s="102">
        <v>205</v>
      </c>
      <c r="J70" s="102">
        <v>242</v>
      </c>
      <c r="K70" s="102">
        <v>319</v>
      </c>
      <c r="L70" s="102">
        <v>361</v>
      </c>
      <c r="M70" s="102">
        <v>389</v>
      </c>
      <c r="N70" s="102">
        <v>389</v>
      </c>
      <c r="O70" s="102">
        <v>379</v>
      </c>
      <c r="P70" s="102">
        <v>358</v>
      </c>
      <c r="Q70" s="102">
        <v>286</v>
      </c>
      <c r="R70" s="102">
        <v>235</v>
      </c>
      <c r="S70" s="102">
        <v>191</v>
      </c>
      <c r="T70" s="102">
        <v>191</v>
      </c>
      <c r="U70" s="102">
        <v>16</v>
      </c>
      <c r="V70" s="102">
        <v>16</v>
      </c>
      <c r="W70" s="102">
        <v>15</v>
      </c>
      <c r="DA70" s="175" t="s">
        <v>512</v>
      </c>
    </row>
    <row r="71" spans="1:105" ht="11.45" customHeight="1" x14ac:dyDescent="0.25">
      <c r="A71" s="111" t="s">
        <v>113</v>
      </c>
      <c r="B71" s="102">
        <v>0</v>
      </c>
      <c r="C71" s="102">
        <v>0</v>
      </c>
      <c r="D71" s="102">
        <v>0</v>
      </c>
      <c r="E71" s="102">
        <v>0</v>
      </c>
      <c r="F71" s="102">
        <v>13</v>
      </c>
      <c r="G71" s="102">
        <v>13</v>
      </c>
      <c r="H71" s="102">
        <v>10</v>
      </c>
      <c r="I71" s="102">
        <v>52</v>
      </c>
      <c r="J71" s="102">
        <v>84</v>
      </c>
      <c r="K71" s="102">
        <v>281</v>
      </c>
      <c r="L71" s="102">
        <v>411</v>
      </c>
      <c r="M71" s="102">
        <v>431</v>
      </c>
      <c r="N71" s="102">
        <v>462</v>
      </c>
      <c r="O71" s="102">
        <v>583</v>
      </c>
      <c r="P71" s="102">
        <v>659</v>
      </c>
      <c r="Q71" s="102">
        <v>628</v>
      </c>
      <c r="R71" s="102">
        <v>605</v>
      </c>
      <c r="S71" s="102">
        <v>602</v>
      </c>
      <c r="T71" s="102">
        <v>521</v>
      </c>
      <c r="U71" s="102">
        <v>541</v>
      </c>
      <c r="V71" s="102">
        <v>548</v>
      </c>
      <c r="W71" s="102">
        <v>488</v>
      </c>
      <c r="DA71" s="175" t="s">
        <v>513</v>
      </c>
    </row>
    <row r="72" spans="1:105" ht="11.45" customHeight="1" x14ac:dyDescent="0.25">
      <c r="A72" s="111" t="s">
        <v>115</v>
      </c>
      <c r="B72" s="102">
        <v>116</v>
      </c>
      <c r="C72" s="102">
        <v>114</v>
      </c>
      <c r="D72" s="102">
        <v>113</v>
      </c>
      <c r="E72" s="102">
        <v>113</v>
      </c>
      <c r="F72" s="102">
        <v>108</v>
      </c>
      <c r="G72" s="102">
        <v>108</v>
      </c>
      <c r="H72" s="102">
        <v>110</v>
      </c>
      <c r="I72" s="102">
        <v>101</v>
      </c>
      <c r="J72" s="102">
        <v>101</v>
      </c>
      <c r="K72" s="102">
        <v>106</v>
      </c>
      <c r="L72" s="102">
        <v>113</v>
      </c>
      <c r="M72" s="102">
        <v>116</v>
      </c>
      <c r="N72" s="102">
        <v>126</v>
      </c>
      <c r="O72" s="102">
        <v>139</v>
      </c>
      <c r="P72" s="102">
        <v>131</v>
      </c>
      <c r="Q72" s="102">
        <v>138</v>
      </c>
      <c r="R72" s="102">
        <v>149</v>
      </c>
      <c r="S72" s="102">
        <v>143</v>
      </c>
      <c r="T72" s="102">
        <v>154</v>
      </c>
      <c r="U72" s="102">
        <v>161</v>
      </c>
      <c r="V72" s="102">
        <v>172</v>
      </c>
      <c r="W72" s="102">
        <v>174</v>
      </c>
      <c r="DA72" s="175" t="s">
        <v>514</v>
      </c>
    </row>
    <row r="73" spans="1:105" ht="11.45" customHeight="1" x14ac:dyDescent="0.25">
      <c r="A73" s="27" t="s">
        <v>34</v>
      </c>
      <c r="B73" s="28">
        <f t="shared" ref="B73:K73" si="134">B74+B80</f>
        <v>338521</v>
      </c>
      <c r="C73" s="28">
        <f t="shared" si="134"/>
        <v>343218</v>
      </c>
      <c r="D73" s="28">
        <f t="shared" si="134"/>
        <v>332964</v>
      </c>
      <c r="E73" s="28">
        <f t="shared" si="134"/>
        <v>339513</v>
      </c>
      <c r="F73" s="28">
        <f t="shared" si="134"/>
        <v>349265</v>
      </c>
      <c r="G73" s="28">
        <f t="shared" si="134"/>
        <v>356226</v>
      </c>
      <c r="H73" s="28">
        <f t="shared" si="134"/>
        <v>363296</v>
      </c>
      <c r="I73" s="28">
        <f t="shared" si="134"/>
        <v>374953</v>
      </c>
      <c r="J73" s="28">
        <f t="shared" si="134"/>
        <v>388123</v>
      </c>
      <c r="K73" s="28">
        <f t="shared" si="134"/>
        <v>394441</v>
      </c>
      <c r="L73" s="28">
        <f t="shared" ref="L73" si="135">L74+L80</f>
        <v>404687</v>
      </c>
      <c r="M73" s="28">
        <f t="shared" ref="M73:V73" si="136">M74+M80</f>
        <v>416718</v>
      </c>
      <c r="N73" s="28">
        <f t="shared" si="136"/>
        <v>426850</v>
      </c>
      <c r="O73" s="28">
        <f t="shared" si="136"/>
        <v>436928</v>
      </c>
      <c r="P73" s="28">
        <f t="shared" si="136"/>
        <v>446984</v>
      </c>
      <c r="Q73" s="28">
        <f t="shared" si="136"/>
        <v>457523</v>
      </c>
      <c r="R73" s="28">
        <f t="shared" si="136"/>
        <v>471552</v>
      </c>
      <c r="S73" s="28">
        <f t="shared" si="136"/>
        <v>491092</v>
      </c>
      <c r="T73" s="28">
        <f t="shared" si="136"/>
        <v>511821</v>
      </c>
      <c r="U73" s="28">
        <f t="shared" si="136"/>
        <v>524650</v>
      </c>
      <c r="V73" s="28">
        <f t="shared" si="136"/>
        <v>537237</v>
      </c>
      <c r="W73" s="28">
        <f t="shared" ref="W73" si="137">W74+W80</f>
        <v>568809</v>
      </c>
      <c r="DA73" s="173" t="s">
        <v>515</v>
      </c>
    </row>
    <row r="74" spans="1:105" ht="11.45" customHeight="1" x14ac:dyDescent="0.25">
      <c r="A74" s="136" t="s">
        <v>156</v>
      </c>
      <c r="B74" s="137">
        <f t="shared" ref="B74:K74" si="138">SUM(B75:B79)</f>
        <v>253915</v>
      </c>
      <c r="C74" s="137">
        <f t="shared" si="138"/>
        <v>260666</v>
      </c>
      <c r="D74" s="137">
        <f t="shared" si="138"/>
        <v>251753</v>
      </c>
      <c r="E74" s="137">
        <f t="shared" si="138"/>
        <v>258819</v>
      </c>
      <c r="F74" s="137">
        <f t="shared" si="138"/>
        <v>266660</v>
      </c>
      <c r="G74" s="137">
        <f t="shared" si="138"/>
        <v>273942</v>
      </c>
      <c r="H74" s="137">
        <f t="shared" si="138"/>
        <v>281677</v>
      </c>
      <c r="I74" s="137">
        <f t="shared" si="138"/>
        <v>290544</v>
      </c>
      <c r="J74" s="137">
        <f t="shared" si="138"/>
        <v>300301</v>
      </c>
      <c r="K74" s="137">
        <f t="shared" si="138"/>
        <v>309052</v>
      </c>
      <c r="L74" s="137">
        <f t="shared" ref="L74" si="139">SUM(L75:L79)</f>
        <v>319017</v>
      </c>
      <c r="M74" s="137">
        <f t="shared" ref="M74:V74" si="140">SUM(M75:M79)</f>
        <v>330440</v>
      </c>
      <c r="N74" s="137">
        <f t="shared" si="140"/>
        <v>340946</v>
      </c>
      <c r="O74" s="137">
        <f t="shared" si="140"/>
        <v>355214</v>
      </c>
      <c r="P74" s="137">
        <f t="shared" si="140"/>
        <v>365686</v>
      </c>
      <c r="Q74" s="137">
        <f t="shared" si="140"/>
        <v>375163</v>
      </c>
      <c r="R74" s="137">
        <f t="shared" si="140"/>
        <v>387786</v>
      </c>
      <c r="S74" s="137">
        <f t="shared" si="140"/>
        <v>403984</v>
      </c>
      <c r="T74" s="137">
        <f t="shared" si="140"/>
        <v>422745</v>
      </c>
      <c r="U74" s="137">
        <f t="shared" si="140"/>
        <v>434295</v>
      </c>
      <c r="V74" s="137">
        <f t="shared" si="140"/>
        <v>446067</v>
      </c>
      <c r="W74" s="137">
        <f t="shared" ref="W74" si="141">SUM(W75:W79)</f>
        <v>475560</v>
      </c>
      <c r="DA74" s="174" t="s">
        <v>516</v>
      </c>
    </row>
    <row r="75" spans="1:105" ht="11.45" customHeight="1" x14ac:dyDescent="0.25">
      <c r="A75" s="111" t="s">
        <v>110</v>
      </c>
      <c r="B75" s="84">
        <v>34436</v>
      </c>
      <c r="C75" s="84">
        <v>31577</v>
      </c>
      <c r="D75" s="84">
        <v>21139</v>
      </c>
      <c r="E75" s="84">
        <v>18873</v>
      </c>
      <c r="F75" s="84">
        <v>16971</v>
      </c>
      <c r="G75" s="84">
        <v>15566</v>
      </c>
      <c r="H75" s="84">
        <v>14663</v>
      </c>
      <c r="I75" s="84">
        <v>14227</v>
      </c>
      <c r="J75" s="84">
        <v>14168</v>
      </c>
      <c r="K75" s="84">
        <v>14586</v>
      </c>
      <c r="L75" s="84">
        <v>14864</v>
      </c>
      <c r="M75" s="84">
        <v>15303</v>
      </c>
      <c r="N75" s="84">
        <v>15808</v>
      </c>
      <c r="O75" s="84">
        <v>16476</v>
      </c>
      <c r="P75" s="84">
        <v>17109</v>
      </c>
      <c r="Q75" s="84">
        <v>17650</v>
      </c>
      <c r="R75" s="84">
        <v>18087</v>
      </c>
      <c r="S75" s="84">
        <v>19169</v>
      </c>
      <c r="T75" s="84">
        <v>20751</v>
      </c>
      <c r="U75" s="84">
        <v>21014</v>
      </c>
      <c r="V75" s="84">
        <v>21173</v>
      </c>
      <c r="W75" s="84">
        <v>22000</v>
      </c>
      <c r="DA75" s="171" t="s">
        <v>517</v>
      </c>
    </row>
    <row r="76" spans="1:105" ht="11.45" customHeight="1" x14ac:dyDescent="0.25">
      <c r="A76" s="111" t="s">
        <v>111</v>
      </c>
      <c r="B76" s="84">
        <v>219454</v>
      </c>
      <c r="C76" s="84">
        <v>229056</v>
      </c>
      <c r="D76" s="84">
        <v>230585</v>
      </c>
      <c r="E76" s="84">
        <v>239911</v>
      </c>
      <c r="F76" s="84">
        <v>249644</v>
      </c>
      <c r="G76" s="84">
        <v>258270</v>
      </c>
      <c r="H76" s="84">
        <v>266843</v>
      </c>
      <c r="I76" s="84">
        <v>276072</v>
      </c>
      <c r="J76" s="84">
        <v>285788</v>
      </c>
      <c r="K76" s="84">
        <v>294219</v>
      </c>
      <c r="L76" s="84">
        <v>303886</v>
      </c>
      <c r="M76" s="84">
        <v>314819</v>
      </c>
      <c r="N76" s="84">
        <v>324487</v>
      </c>
      <c r="O76" s="84">
        <v>337107</v>
      </c>
      <c r="P76" s="84">
        <v>346664</v>
      </c>
      <c r="Q76" s="84">
        <v>355336</v>
      </c>
      <c r="R76" s="84">
        <v>366275</v>
      </c>
      <c r="S76" s="84">
        <v>381190</v>
      </c>
      <c r="T76" s="84">
        <v>397835</v>
      </c>
      <c r="U76" s="84">
        <v>408692</v>
      </c>
      <c r="V76" s="84">
        <v>419666</v>
      </c>
      <c r="W76" s="84">
        <v>446049</v>
      </c>
      <c r="DA76" s="171" t="s">
        <v>518</v>
      </c>
    </row>
    <row r="77" spans="1:105" ht="11.45" customHeight="1" x14ac:dyDescent="0.25">
      <c r="A77" s="111" t="s">
        <v>112</v>
      </c>
      <c r="B77" s="84">
        <v>0</v>
      </c>
      <c r="C77" s="84">
        <v>0</v>
      </c>
      <c r="D77" s="84">
        <v>0</v>
      </c>
      <c r="E77" s="84">
        <v>7</v>
      </c>
      <c r="F77" s="84">
        <v>19</v>
      </c>
      <c r="G77" s="84">
        <v>82</v>
      </c>
      <c r="H77" s="84">
        <v>78</v>
      </c>
      <c r="I77" s="84">
        <v>77</v>
      </c>
      <c r="J77" s="84">
        <v>76</v>
      </c>
      <c r="K77" s="84">
        <v>74</v>
      </c>
      <c r="L77" s="84">
        <v>71</v>
      </c>
      <c r="M77" s="84">
        <v>67</v>
      </c>
      <c r="N77" s="84">
        <v>73</v>
      </c>
      <c r="O77" s="84">
        <v>81</v>
      </c>
      <c r="P77" s="84">
        <v>94</v>
      </c>
      <c r="Q77" s="84">
        <v>98</v>
      </c>
      <c r="R77" s="84">
        <v>155</v>
      </c>
      <c r="S77" s="84">
        <v>166</v>
      </c>
      <c r="T77" s="84">
        <v>173</v>
      </c>
      <c r="U77" s="84">
        <v>191</v>
      </c>
      <c r="V77" s="84">
        <v>225</v>
      </c>
      <c r="W77" s="84">
        <v>262</v>
      </c>
      <c r="DA77" s="171" t="s">
        <v>519</v>
      </c>
    </row>
    <row r="78" spans="1:105" ht="11.45" customHeight="1" x14ac:dyDescent="0.25">
      <c r="A78" s="111" t="s">
        <v>113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71</v>
      </c>
      <c r="I78" s="84">
        <v>140</v>
      </c>
      <c r="J78" s="84">
        <v>238</v>
      </c>
      <c r="K78" s="84">
        <v>128</v>
      </c>
      <c r="L78" s="84">
        <v>127</v>
      </c>
      <c r="M78" s="84">
        <v>142</v>
      </c>
      <c r="N78" s="84">
        <v>192</v>
      </c>
      <c r="O78" s="84">
        <v>931</v>
      </c>
      <c r="P78" s="84">
        <v>1000</v>
      </c>
      <c r="Q78" s="84">
        <v>1010</v>
      </c>
      <c r="R78" s="84">
        <v>1802</v>
      </c>
      <c r="S78" s="84">
        <v>1748</v>
      </c>
      <c r="T78" s="84">
        <v>1845</v>
      </c>
      <c r="U78" s="84">
        <v>1793</v>
      </c>
      <c r="V78" s="84">
        <v>1673</v>
      </c>
      <c r="W78" s="84">
        <v>1622</v>
      </c>
      <c r="DA78" s="171" t="s">
        <v>520</v>
      </c>
    </row>
    <row r="79" spans="1:105" ht="11.45" customHeight="1" x14ac:dyDescent="0.25">
      <c r="A79" s="111" t="s">
        <v>115</v>
      </c>
      <c r="B79" s="84">
        <v>25</v>
      </c>
      <c r="C79" s="84">
        <v>33</v>
      </c>
      <c r="D79" s="84">
        <v>29</v>
      </c>
      <c r="E79" s="84">
        <v>28</v>
      </c>
      <c r="F79" s="84">
        <v>26</v>
      </c>
      <c r="G79" s="84">
        <v>24</v>
      </c>
      <c r="H79" s="84">
        <v>22</v>
      </c>
      <c r="I79" s="84">
        <v>28</v>
      </c>
      <c r="J79" s="84">
        <v>31</v>
      </c>
      <c r="K79" s="84">
        <v>45</v>
      </c>
      <c r="L79" s="84">
        <v>69</v>
      </c>
      <c r="M79" s="84">
        <v>109</v>
      </c>
      <c r="N79" s="84">
        <v>386</v>
      </c>
      <c r="O79" s="84">
        <v>619</v>
      </c>
      <c r="P79" s="84">
        <v>819</v>
      </c>
      <c r="Q79" s="84">
        <v>1069</v>
      </c>
      <c r="R79" s="84">
        <v>1467</v>
      </c>
      <c r="S79" s="84">
        <v>1711</v>
      </c>
      <c r="T79" s="84">
        <v>2141</v>
      </c>
      <c r="U79" s="84">
        <v>2605</v>
      </c>
      <c r="V79" s="84">
        <v>3330</v>
      </c>
      <c r="W79" s="84">
        <v>5627</v>
      </c>
      <c r="DA79" s="171" t="s">
        <v>521</v>
      </c>
    </row>
    <row r="80" spans="1:105" ht="11.45" customHeight="1" x14ac:dyDescent="0.25">
      <c r="A80" s="109" t="s">
        <v>158</v>
      </c>
      <c r="B80" s="110">
        <f t="shared" ref="B80:K80" si="142">SUM(B81:B82)</f>
        <v>84606</v>
      </c>
      <c r="C80" s="110">
        <f t="shared" si="142"/>
        <v>82552</v>
      </c>
      <c r="D80" s="110">
        <f t="shared" si="142"/>
        <v>81211</v>
      </c>
      <c r="E80" s="110">
        <f t="shared" si="142"/>
        <v>80694</v>
      </c>
      <c r="F80" s="110">
        <f t="shared" si="142"/>
        <v>82605</v>
      </c>
      <c r="G80" s="110">
        <f t="shared" si="142"/>
        <v>82284</v>
      </c>
      <c r="H80" s="110">
        <f t="shared" si="142"/>
        <v>81619</v>
      </c>
      <c r="I80" s="110">
        <f t="shared" si="142"/>
        <v>84409</v>
      </c>
      <c r="J80" s="110">
        <f t="shared" si="142"/>
        <v>87822</v>
      </c>
      <c r="K80" s="110">
        <f t="shared" si="142"/>
        <v>85389</v>
      </c>
      <c r="L80" s="110">
        <f t="shared" ref="L80" si="143">SUM(L81:L82)</f>
        <v>85670</v>
      </c>
      <c r="M80" s="110">
        <f t="shared" ref="M80:V80" si="144">SUM(M81:M82)</f>
        <v>86278</v>
      </c>
      <c r="N80" s="110">
        <f t="shared" si="144"/>
        <v>85904</v>
      </c>
      <c r="O80" s="110">
        <f t="shared" si="144"/>
        <v>81714</v>
      </c>
      <c r="P80" s="110">
        <f t="shared" si="144"/>
        <v>81298</v>
      </c>
      <c r="Q80" s="110">
        <f t="shared" si="144"/>
        <v>82360</v>
      </c>
      <c r="R80" s="110">
        <f t="shared" si="144"/>
        <v>83766</v>
      </c>
      <c r="S80" s="110">
        <f t="shared" si="144"/>
        <v>87108</v>
      </c>
      <c r="T80" s="110">
        <f t="shared" si="144"/>
        <v>89076</v>
      </c>
      <c r="U80" s="110">
        <f t="shared" si="144"/>
        <v>90355</v>
      </c>
      <c r="V80" s="110">
        <f t="shared" si="144"/>
        <v>91170</v>
      </c>
      <c r="W80" s="110">
        <f t="shared" ref="W80" si="145">SUM(W81:W82)</f>
        <v>93249</v>
      </c>
      <c r="DA80" s="176" t="s">
        <v>522</v>
      </c>
    </row>
    <row r="81" spans="1:105" ht="11.45" customHeight="1" x14ac:dyDescent="0.25">
      <c r="A81" s="128" t="s">
        <v>27</v>
      </c>
      <c r="B81" s="102">
        <v>72775</v>
      </c>
      <c r="C81" s="102">
        <v>69868</v>
      </c>
      <c r="D81" s="102">
        <v>67867</v>
      </c>
      <c r="E81" s="102">
        <v>67055</v>
      </c>
      <c r="F81" s="102">
        <v>66478</v>
      </c>
      <c r="G81" s="102">
        <v>65588</v>
      </c>
      <c r="H81" s="102">
        <v>64080</v>
      </c>
      <c r="I81" s="102">
        <v>64569</v>
      </c>
      <c r="J81" s="102">
        <v>65392</v>
      </c>
      <c r="K81" s="102">
        <v>66337</v>
      </c>
      <c r="L81" s="102">
        <v>65800</v>
      </c>
      <c r="M81" s="102">
        <v>65798</v>
      </c>
      <c r="N81" s="102">
        <v>65942</v>
      </c>
      <c r="O81" s="102">
        <v>61103</v>
      </c>
      <c r="P81" s="102">
        <v>60528</v>
      </c>
      <c r="Q81" s="102">
        <v>60548</v>
      </c>
      <c r="R81" s="102">
        <v>61301</v>
      </c>
      <c r="S81" s="102">
        <v>62825</v>
      </c>
      <c r="T81" s="102">
        <v>64686</v>
      </c>
      <c r="U81" s="102">
        <v>65487</v>
      </c>
      <c r="V81" s="102">
        <v>65848</v>
      </c>
      <c r="W81" s="102">
        <v>66606</v>
      </c>
      <c r="DA81" s="175" t="s">
        <v>523</v>
      </c>
    </row>
    <row r="82" spans="1:105" ht="11.45" customHeight="1" x14ac:dyDescent="0.25">
      <c r="A82" s="138" t="s">
        <v>116</v>
      </c>
      <c r="B82" s="86">
        <v>11831</v>
      </c>
      <c r="C82" s="86">
        <v>12684</v>
      </c>
      <c r="D82" s="86">
        <v>13344</v>
      </c>
      <c r="E82" s="86">
        <v>13639</v>
      </c>
      <c r="F82" s="86">
        <v>16127</v>
      </c>
      <c r="G82" s="86">
        <v>16696</v>
      </c>
      <c r="H82" s="86">
        <v>17539</v>
      </c>
      <c r="I82" s="86">
        <v>19840</v>
      </c>
      <c r="J82" s="86">
        <v>22430</v>
      </c>
      <c r="K82" s="86">
        <v>19052</v>
      </c>
      <c r="L82" s="86">
        <v>19870</v>
      </c>
      <c r="M82" s="86">
        <v>20480</v>
      </c>
      <c r="N82" s="86">
        <v>19962</v>
      </c>
      <c r="O82" s="86">
        <v>20611</v>
      </c>
      <c r="P82" s="86">
        <v>20770</v>
      </c>
      <c r="Q82" s="86">
        <v>21812</v>
      </c>
      <c r="R82" s="86">
        <v>22465</v>
      </c>
      <c r="S82" s="86">
        <v>24283</v>
      </c>
      <c r="T82" s="86">
        <v>24390</v>
      </c>
      <c r="U82" s="86">
        <v>24868</v>
      </c>
      <c r="V82" s="86">
        <v>25322</v>
      </c>
      <c r="W82" s="86">
        <v>26643</v>
      </c>
      <c r="DA82" s="178" t="s">
        <v>524</v>
      </c>
    </row>
    <row r="83" spans="1:105" ht="11.45" hidden="1" customHeight="1" x14ac:dyDescent="0.25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DA83" s="171"/>
    </row>
    <row r="84" spans="1:105" ht="11.45" hidden="1" customHeight="1" x14ac:dyDescent="0.25">
      <c r="A84" s="53" t="s">
        <v>136</v>
      </c>
      <c r="B84" s="54">
        <f t="shared" ref="B84:C84" si="146">B85+B100</f>
        <v>5029840</v>
      </c>
      <c r="C84" s="54">
        <f t="shared" si="146"/>
        <v>5118158</v>
      </c>
      <c r="D84" s="54">
        <f t="shared" ref="D84:V84" si="147">D85+D100</f>
        <v>4925975</v>
      </c>
      <c r="E84" s="54">
        <f t="shared" si="147"/>
        <v>5009617</v>
      </c>
      <c r="F84" s="54">
        <f t="shared" si="147"/>
        <v>5079844</v>
      </c>
      <c r="G84" s="54">
        <f t="shared" si="147"/>
        <v>5150252</v>
      </c>
      <c r="H84" s="54">
        <f t="shared" si="147"/>
        <v>5222916</v>
      </c>
      <c r="I84" s="54">
        <f t="shared" si="147"/>
        <v>5297854</v>
      </c>
      <c r="J84" s="54">
        <f t="shared" si="147"/>
        <v>5373748</v>
      </c>
      <c r="K84" s="54">
        <f t="shared" si="147"/>
        <v>5476320</v>
      </c>
      <c r="L84" s="54">
        <f t="shared" si="147"/>
        <v>5583456</v>
      </c>
      <c r="M84" s="54">
        <f t="shared" si="147"/>
        <v>5683033</v>
      </c>
      <c r="N84" s="54">
        <f t="shared" si="147"/>
        <v>5783081</v>
      </c>
      <c r="O84" s="54">
        <f t="shared" si="147"/>
        <v>5864559</v>
      </c>
      <c r="P84" s="54">
        <f t="shared" si="147"/>
        <v>5940159</v>
      </c>
      <c r="Q84" s="54">
        <f t="shared" si="147"/>
        <v>6015599</v>
      </c>
      <c r="R84" s="54">
        <f t="shared" si="147"/>
        <v>6119838</v>
      </c>
      <c r="S84" s="54">
        <f t="shared" si="147"/>
        <v>6232267</v>
      </c>
      <c r="T84" s="54">
        <f t="shared" si="147"/>
        <v>6348065</v>
      </c>
      <c r="U84" s="54">
        <f t="shared" si="147"/>
        <v>6435104</v>
      </c>
      <c r="V84" s="54">
        <f t="shared" si="147"/>
        <v>6523621</v>
      </c>
      <c r="W84" s="54">
        <f t="shared" ref="W84" si="148">W85+W100</f>
        <v>6622323</v>
      </c>
      <c r="DA84" s="172"/>
    </row>
    <row r="85" spans="1:105" ht="11.45" hidden="1" customHeight="1" x14ac:dyDescent="0.25">
      <c r="A85" s="27" t="s">
        <v>33</v>
      </c>
      <c r="B85" s="28">
        <f t="shared" ref="B85:C85" si="149">B86+B87+B94</f>
        <v>4691319</v>
      </c>
      <c r="C85" s="28">
        <f t="shared" si="149"/>
        <v>4774940</v>
      </c>
      <c r="D85" s="28">
        <f t="shared" ref="D85:V85" si="150">D86+D87+D94</f>
        <v>4593011</v>
      </c>
      <c r="E85" s="28">
        <f t="shared" si="150"/>
        <v>4670104</v>
      </c>
      <c r="F85" s="28">
        <f t="shared" si="150"/>
        <v>4730579</v>
      </c>
      <c r="G85" s="28">
        <f t="shared" si="150"/>
        <v>4794026</v>
      </c>
      <c r="H85" s="28">
        <f t="shared" si="150"/>
        <v>4859620</v>
      </c>
      <c r="I85" s="28">
        <f t="shared" si="150"/>
        <v>4922901</v>
      </c>
      <c r="J85" s="28">
        <f t="shared" si="150"/>
        <v>4985625</v>
      </c>
      <c r="K85" s="28">
        <f t="shared" si="150"/>
        <v>5081879</v>
      </c>
      <c r="L85" s="28">
        <f t="shared" si="150"/>
        <v>5178769</v>
      </c>
      <c r="M85" s="28">
        <f t="shared" si="150"/>
        <v>5266315</v>
      </c>
      <c r="N85" s="28">
        <f t="shared" si="150"/>
        <v>5356231</v>
      </c>
      <c r="O85" s="28">
        <f t="shared" si="150"/>
        <v>5427631</v>
      </c>
      <c r="P85" s="28">
        <f t="shared" si="150"/>
        <v>5493175</v>
      </c>
      <c r="Q85" s="28">
        <f t="shared" si="150"/>
        <v>5558076</v>
      </c>
      <c r="R85" s="28">
        <f t="shared" si="150"/>
        <v>5648286</v>
      </c>
      <c r="S85" s="28">
        <f t="shared" si="150"/>
        <v>5741175</v>
      </c>
      <c r="T85" s="28">
        <f t="shared" si="150"/>
        <v>5836244</v>
      </c>
      <c r="U85" s="28">
        <f t="shared" si="150"/>
        <v>5910454</v>
      </c>
      <c r="V85" s="28">
        <f t="shared" si="150"/>
        <v>5986384</v>
      </c>
      <c r="W85" s="28">
        <f t="shared" ref="W85" si="151">W86+W87+W94</f>
        <v>6053514</v>
      </c>
      <c r="DA85" s="173"/>
    </row>
    <row r="86" spans="1:105" ht="11.45" hidden="1" customHeight="1" x14ac:dyDescent="0.25">
      <c r="A86" s="136" t="s">
        <v>180</v>
      </c>
      <c r="B86" s="137">
        <v>565901</v>
      </c>
      <c r="C86" s="137">
        <v>583038</v>
      </c>
      <c r="D86" s="137">
        <v>596824</v>
      </c>
      <c r="E86" s="137">
        <v>606868</v>
      </c>
      <c r="F86" s="137">
        <v>612160</v>
      </c>
      <c r="G86" s="137">
        <v>627711</v>
      </c>
      <c r="H86" s="137">
        <v>645313</v>
      </c>
      <c r="I86" s="137">
        <v>667577</v>
      </c>
      <c r="J86" s="137">
        <v>691243</v>
      </c>
      <c r="K86" s="137">
        <v>712092</v>
      </c>
      <c r="L86" s="137">
        <v>727852</v>
      </c>
      <c r="M86" s="137">
        <v>743429</v>
      </c>
      <c r="N86" s="137">
        <v>762392</v>
      </c>
      <c r="O86" s="137">
        <v>776337</v>
      </c>
      <c r="P86" s="137">
        <v>788184</v>
      </c>
      <c r="Q86" s="137">
        <v>799906</v>
      </c>
      <c r="R86" s="137">
        <v>816477</v>
      </c>
      <c r="S86" s="137">
        <v>832200</v>
      </c>
      <c r="T86" s="137">
        <v>847355</v>
      </c>
      <c r="U86" s="137">
        <v>860758</v>
      </c>
      <c r="V86" s="137">
        <v>884493</v>
      </c>
      <c r="W86" s="137">
        <v>909542</v>
      </c>
      <c r="DA86" s="174"/>
    </row>
    <row r="87" spans="1:105" ht="11.45" hidden="1" customHeight="1" x14ac:dyDescent="0.25">
      <c r="A87" s="109" t="s">
        <v>20</v>
      </c>
      <c r="B87" s="110">
        <f t="shared" ref="B87:C87" si="152">SUM(B88:B93)</f>
        <v>4115500</v>
      </c>
      <c r="C87" s="110">
        <f t="shared" si="152"/>
        <v>4182000</v>
      </c>
      <c r="D87" s="110">
        <f t="shared" ref="D87:V87" si="153">SUM(D88:D93)</f>
        <v>3987000</v>
      </c>
      <c r="E87" s="110">
        <f t="shared" si="153"/>
        <v>4054000</v>
      </c>
      <c r="F87" s="110">
        <f t="shared" si="153"/>
        <v>4109000</v>
      </c>
      <c r="G87" s="110">
        <f t="shared" si="153"/>
        <v>4157000</v>
      </c>
      <c r="H87" s="110">
        <f t="shared" si="153"/>
        <v>4205000</v>
      </c>
      <c r="I87" s="110">
        <f t="shared" si="153"/>
        <v>4246000</v>
      </c>
      <c r="J87" s="110">
        <f t="shared" si="153"/>
        <v>4285000</v>
      </c>
      <c r="K87" s="110">
        <f t="shared" si="153"/>
        <v>4360000</v>
      </c>
      <c r="L87" s="110">
        <f t="shared" si="153"/>
        <v>4441000</v>
      </c>
      <c r="M87" s="110">
        <f t="shared" si="153"/>
        <v>4513000</v>
      </c>
      <c r="N87" s="110">
        <f t="shared" si="153"/>
        <v>4584000</v>
      </c>
      <c r="O87" s="110">
        <f t="shared" si="153"/>
        <v>4641308</v>
      </c>
      <c r="P87" s="110">
        <f t="shared" si="153"/>
        <v>4694921</v>
      </c>
      <c r="Q87" s="110">
        <f t="shared" si="153"/>
        <v>4748048</v>
      </c>
      <c r="R87" s="110">
        <f t="shared" si="153"/>
        <v>4821557</v>
      </c>
      <c r="S87" s="110">
        <f t="shared" si="153"/>
        <v>4898578</v>
      </c>
      <c r="T87" s="110">
        <f t="shared" si="153"/>
        <v>4978852</v>
      </c>
      <c r="U87" s="110">
        <f t="shared" si="153"/>
        <v>5039548</v>
      </c>
      <c r="V87" s="110">
        <f t="shared" si="153"/>
        <v>5091827</v>
      </c>
      <c r="W87" s="110">
        <f t="shared" ref="W87" si="154">SUM(W88:W93)</f>
        <v>5133836</v>
      </c>
      <c r="DA87" s="176"/>
    </row>
    <row r="88" spans="1:105" ht="11.45" hidden="1" customHeight="1" x14ac:dyDescent="0.25">
      <c r="A88" s="111" t="s">
        <v>110</v>
      </c>
      <c r="B88" s="84">
        <v>2598000</v>
      </c>
      <c r="C88" s="84">
        <v>2532933</v>
      </c>
      <c r="D88" s="84">
        <v>2229586</v>
      </c>
      <c r="E88" s="84">
        <v>2152286</v>
      </c>
      <c r="F88" s="84">
        <v>2073993</v>
      </c>
      <c r="G88" s="84">
        <v>2016724</v>
      </c>
      <c r="H88" s="84">
        <v>1971457</v>
      </c>
      <c r="I88" s="84">
        <v>1950719</v>
      </c>
      <c r="J88" s="84">
        <v>1948861</v>
      </c>
      <c r="K88" s="84">
        <v>1965476</v>
      </c>
      <c r="L88" s="84">
        <v>1984314</v>
      </c>
      <c r="M88" s="84">
        <v>1995411</v>
      </c>
      <c r="N88" s="84">
        <v>2001262</v>
      </c>
      <c r="O88" s="84">
        <v>2006553</v>
      </c>
      <c r="P88" s="84">
        <v>2016745</v>
      </c>
      <c r="Q88" s="84">
        <v>2028565</v>
      </c>
      <c r="R88" s="84">
        <v>2051338</v>
      </c>
      <c r="S88" s="84">
        <v>2099856</v>
      </c>
      <c r="T88" s="84">
        <v>2166343</v>
      </c>
      <c r="U88" s="84">
        <v>2216232</v>
      </c>
      <c r="V88" s="84">
        <v>2249710</v>
      </c>
      <c r="W88" s="84">
        <v>2277926</v>
      </c>
      <c r="DA88" s="171"/>
    </row>
    <row r="89" spans="1:105" ht="11.45" hidden="1" customHeight="1" x14ac:dyDescent="0.25">
      <c r="A89" s="111" t="s">
        <v>111</v>
      </c>
      <c r="B89" s="84">
        <v>1499000</v>
      </c>
      <c r="C89" s="84">
        <v>1629238</v>
      </c>
      <c r="D89" s="84">
        <v>1731804</v>
      </c>
      <c r="E89" s="84">
        <v>1870475</v>
      </c>
      <c r="F89" s="84">
        <v>2009398</v>
      </c>
      <c r="G89" s="84">
        <v>2114801</v>
      </c>
      <c r="H89" s="84">
        <v>2207036</v>
      </c>
      <c r="I89" s="84">
        <v>2270075</v>
      </c>
      <c r="J89" s="84">
        <v>2309318</v>
      </c>
      <c r="K89" s="84">
        <v>2370094</v>
      </c>
      <c r="L89" s="84">
        <v>2433626</v>
      </c>
      <c r="M89" s="84">
        <v>2492794</v>
      </c>
      <c r="N89" s="84">
        <v>2555354</v>
      </c>
      <c r="O89" s="84">
        <v>2607130</v>
      </c>
      <c r="P89" s="84">
        <v>2650382</v>
      </c>
      <c r="Q89" s="84">
        <v>2693495</v>
      </c>
      <c r="R89" s="84">
        <v>2740919</v>
      </c>
      <c r="S89" s="84">
        <v>2763203</v>
      </c>
      <c r="T89" s="84">
        <v>2772203</v>
      </c>
      <c r="U89" s="84">
        <v>2773838</v>
      </c>
      <c r="V89" s="84">
        <v>2772263</v>
      </c>
      <c r="W89" s="84">
        <v>2740563</v>
      </c>
      <c r="DA89" s="171"/>
    </row>
    <row r="90" spans="1:105" ht="11.45" hidden="1" customHeight="1" x14ac:dyDescent="0.25">
      <c r="A90" s="111" t="s">
        <v>112</v>
      </c>
      <c r="B90" s="84">
        <v>18500</v>
      </c>
      <c r="C90" s="84">
        <v>19829</v>
      </c>
      <c r="D90" s="84">
        <v>25610</v>
      </c>
      <c r="E90" s="84">
        <v>31239</v>
      </c>
      <c r="F90" s="84">
        <v>25609</v>
      </c>
      <c r="G90" s="84">
        <v>25475</v>
      </c>
      <c r="H90" s="84">
        <v>26453</v>
      </c>
      <c r="I90" s="84">
        <v>24994</v>
      </c>
      <c r="J90" s="84">
        <v>25819</v>
      </c>
      <c r="K90" s="84">
        <v>22886</v>
      </c>
      <c r="L90" s="84">
        <v>21234</v>
      </c>
      <c r="M90" s="84">
        <v>21134</v>
      </c>
      <c r="N90" s="84">
        <v>22619</v>
      </c>
      <c r="O90" s="84">
        <v>21496</v>
      </c>
      <c r="P90" s="84">
        <v>19370</v>
      </c>
      <c r="Q90" s="84">
        <v>14669</v>
      </c>
      <c r="R90" s="84">
        <v>12909</v>
      </c>
      <c r="S90" s="84">
        <v>11747</v>
      </c>
      <c r="T90" s="84">
        <v>8223</v>
      </c>
      <c r="U90" s="84">
        <v>6167</v>
      </c>
      <c r="V90" s="84">
        <v>4379</v>
      </c>
      <c r="W90" s="84">
        <v>4332</v>
      </c>
      <c r="DA90" s="171"/>
    </row>
    <row r="91" spans="1:105" ht="11.45" hidden="1" customHeight="1" x14ac:dyDescent="0.25">
      <c r="A91" s="111" t="s">
        <v>113</v>
      </c>
      <c r="B91" s="84">
        <v>0</v>
      </c>
      <c r="C91" s="84">
        <v>0</v>
      </c>
      <c r="D91" s="84">
        <v>0</v>
      </c>
      <c r="E91" s="84">
        <v>0</v>
      </c>
      <c r="F91" s="84">
        <v>0</v>
      </c>
      <c r="G91" s="84">
        <v>0</v>
      </c>
      <c r="H91" s="84">
        <v>54</v>
      </c>
      <c r="I91" s="84">
        <v>212</v>
      </c>
      <c r="J91" s="84">
        <v>1000</v>
      </c>
      <c r="K91" s="84">
        <v>1216</v>
      </c>
      <c r="L91" s="84">
        <v>1473</v>
      </c>
      <c r="M91" s="84">
        <v>2670</v>
      </c>
      <c r="N91" s="84">
        <v>3109</v>
      </c>
      <c r="O91" s="84">
        <v>3651</v>
      </c>
      <c r="P91" s="84">
        <v>4262</v>
      </c>
      <c r="Q91" s="84">
        <v>4775</v>
      </c>
      <c r="R91" s="84">
        <v>5031</v>
      </c>
      <c r="S91" s="84">
        <v>5206</v>
      </c>
      <c r="T91" s="84">
        <v>5542</v>
      </c>
      <c r="U91" s="84">
        <v>5746</v>
      </c>
      <c r="V91" s="84">
        <v>5731</v>
      </c>
      <c r="W91" s="84">
        <v>5455</v>
      </c>
      <c r="DA91" s="171"/>
    </row>
    <row r="92" spans="1:105" ht="11.45" hidden="1" customHeight="1" x14ac:dyDescent="0.25">
      <c r="A92" s="111" t="s">
        <v>114</v>
      </c>
      <c r="B92" s="84">
        <v>0</v>
      </c>
      <c r="C92" s="84">
        <v>0</v>
      </c>
      <c r="D92" s="84">
        <v>0</v>
      </c>
      <c r="E92" s="84">
        <v>0</v>
      </c>
      <c r="F92" s="84">
        <v>0</v>
      </c>
      <c r="G92" s="84">
        <v>0</v>
      </c>
      <c r="H92" s="84">
        <v>0</v>
      </c>
      <c r="I92" s="84">
        <v>0</v>
      </c>
      <c r="J92" s="84">
        <v>0</v>
      </c>
      <c r="K92" s="84">
        <v>0</v>
      </c>
      <c r="L92" s="84">
        <v>0</v>
      </c>
      <c r="M92" s="84">
        <v>2</v>
      </c>
      <c r="N92" s="84">
        <v>267</v>
      </c>
      <c r="O92" s="84">
        <v>408</v>
      </c>
      <c r="P92" s="84">
        <v>776</v>
      </c>
      <c r="Q92" s="84">
        <v>1512</v>
      </c>
      <c r="R92" s="84">
        <v>2287</v>
      </c>
      <c r="S92" s="84">
        <v>3948</v>
      </c>
      <c r="T92" s="84">
        <v>5710</v>
      </c>
      <c r="U92" s="84">
        <v>8042</v>
      </c>
      <c r="V92" s="84">
        <v>15237</v>
      </c>
      <c r="W92" s="84">
        <v>29021</v>
      </c>
      <c r="DA92" s="171"/>
    </row>
    <row r="93" spans="1:105" ht="11.45" hidden="1" customHeight="1" x14ac:dyDescent="0.25">
      <c r="A93" s="111" t="s">
        <v>115</v>
      </c>
      <c r="B93" s="84">
        <v>0</v>
      </c>
      <c r="C93" s="84">
        <v>0</v>
      </c>
      <c r="D93" s="84">
        <v>0</v>
      </c>
      <c r="E93" s="84">
        <v>0</v>
      </c>
      <c r="F93" s="84">
        <v>0</v>
      </c>
      <c r="G93" s="84">
        <v>0</v>
      </c>
      <c r="H93" s="84">
        <v>0</v>
      </c>
      <c r="I93" s="84">
        <v>0</v>
      </c>
      <c r="J93" s="84">
        <v>2</v>
      </c>
      <c r="K93" s="84">
        <v>328</v>
      </c>
      <c r="L93" s="84">
        <v>353</v>
      </c>
      <c r="M93" s="84">
        <v>989</v>
      </c>
      <c r="N93" s="84">
        <v>1389</v>
      </c>
      <c r="O93" s="84">
        <v>2070</v>
      </c>
      <c r="P93" s="84">
        <v>3386</v>
      </c>
      <c r="Q93" s="84">
        <v>5032</v>
      </c>
      <c r="R93" s="84">
        <v>9073</v>
      </c>
      <c r="S93" s="84">
        <v>14618</v>
      </c>
      <c r="T93" s="84">
        <v>20831</v>
      </c>
      <c r="U93" s="84">
        <v>29523</v>
      </c>
      <c r="V93" s="84">
        <v>44507</v>
      </c>
      <c r="W93" s="84">
        <v>76539</v>
      </c>
      <c r="DA93" s="171"/>
    </row>
    <row r="94" spans="1:105" ht="11.45" hidden="1" customHeight="1" x14ac:dyDescent="0.25">
      <c r="A94" s="109" t="s">
        <v>21</v>
      </c>
      <c r="B94" s="110">
        <f t="shared" ref="B94:C94" si="155">SUM(B95:B99)</f>
        <v>9918</v>
      </c>
      <c r="C94" s="110">
        <f t="shared" si="155"/>
        <v>9902</v>
      </c>
      <c r="D94" s="110">
        <f t="shared" ref="D94:V94" si="156">SUM(D95:D99)</f>
        <v>9187</v>
      </c>
      <c r="E94" s="110">
        <f t="shared" si="156"/>
        <v>9236</v>
      </c>
      <c r="F94" s="110">
        <f t="shared" si="156"/>
        <v>9419</v>
      </c>
      <c r="G94" s="110">
        <f t="shared" si="156"/>
        <v>9315</v>
      </c>
      <c r="H94" s="110">
        <f t="shared" si="156"/>
        <v>9307</v>
      </c>
      <c r="I94" s="110">
        <f t="shared" si="156"/>
        <v>9324</v>
      </c>
      <c r="J94" s="110">
        <f t="shared" si="156"/>
        <v>9382</v>
      </c>
      <c r="K94" s="110">
        <f t="shared" si="156"/>
        <v>9787</v>
      </c>
      <c r="L94" s="110">
        <f t="shared" si="156"/>
        <v>9917</v>
      </c>
      <c r="M94" s="110">
        <f t="shared" si="156"/>
        <v>9886</v>
      </c>
      <c r="N94" s="110">
        <f t="shared" si="156"/>
        <v>9839</v>
      </c>
      <c r="O94" s="110">
        <f t="shared" si="156"/>
        <v>9986</v>
      </c>
      <c r="P94" s="110">
        <f t="shared" si="156"/>
        <v>10070</v>
      </c>
      <c r="Q94" s="110">
        <f t="shared" si="156"/>
        <v>10122</v>
      </c>
      <c r="R94" s="110">
        <f t="shared" si="156"/>
        <v>10252</v>
      </c>
      <c r="S94" s="110">
        <f t="shared" si="156"/>
        <v>10397</v>
      </c>
      <c r="T94" s="110">
        <f t="shared" si="156"/>
        <v>10037</v>
      </c>
      <c r="U94" s="110">
        <f t="shared" si="156"/>
        <v>10148</v>
      </c>
      <c r="V94" s="110">
        <f t="shared" si="156"/>
        <v>10064</v>
      </c>
      <c r="W94" s="110">
        <f t="shared" ref="W94" si="157">SUM(W95:W99)</f>
        <v>10136</v>
      </c>
      <c r="DA94" s="176"/>
    </row>
    <row r="95" spans="1:105" ht="11.45" hidden="1" customHeight="1" x14ac:dyDescent="0.25">
      <c r="A95" s="111" t="s">
        <v>110</v>
      </c>
      <c r="B95" s="102">
        <v>13</v>
      </c>
      <c r="C95" s="102">
        <v>14</v>
      </c>
      <c r="D95" s="102">
        <v>11</v>
      </c>
      <c r="E95" s="102">
        <v>10</v>
      </c>
      <c r="F95" s="102">
        <v>9</v>
      </c>
      <c r="G95" s="102">
        <v>7</v>
      </c>
      <c r="H95" s="102">
        <v>6</v>
      </c>
      <c r="I95" s="102">
        <v>6</v>
      </c>
      <c r="J95" s="102">
        <v>5</v>
      </c>
      <c r="K95" s="102">
        <v>4</v>
      </c>
      <c r="L95" s="102">
        <v>4</v>
      </c>
      <c r="M95" s="102">
        <v>3</v>
      </c>
      <c r="N95" s="102">
        <v>3</v>
      </c>
      <c r="O95" s="102">
        <v>2</v>
      </c>
      <c r="P95" s="102">
        <v>3</v>
      </c>
      <c r="Q95" s="102">
        <v>3</v>
      </c>
      <c r="R95" s="102">
        <v>4</v>
      </c>
      <c r="S95" s="102">
        <v>4</v>
      </c>
      <c r="T95" s="102">
        <v>4</v>
      </c>
      <c r="U95" s="102">
        <v>4</v>
      </c>
      <c r="V95" s="102">
        <v>3</v>
      </c>
      <c r="W95" s="102">
        <v>4</v>
      </c>
      <c r="DA95" s="175"/>
    </row>
    <row r="96" spans="1:105" ht="11.45" hidden="1" customHeight="1" x14ac:dyDescent="0.25">
      <c r="A96" s="111" t="s">
        <v>111</v>
      </c>
      <c r="B96" s="102">
        <v>9789</v>
      </c>
      <c r="C96" s="102">
        <v>9758</v>
      </c>
      <c r="D96" s="102">
        <v>9015</v>
      </c>
      <c r="E96" s="102">
        <v>9045</v>
      </c>
      <c r="F96" s="102">
        <v>9197</v>
      </c>
      <c r="G96" s="102">
        <v>9054</v>
      </c>
      <c r="H96" s="102">
        <v>9016</v>
      </c>
      <c r="I96" s="102">
        <v>8960</v>
      </c>
      <c r="J96" s="102">
        <v>8950</v>
      </c>
      <c r="K96" s="102">
        <v>9077</v>
      </c>
      <c r="L96" s="102">
        <v>9028</v>
      </c>
      <c r="M96" s="102">
        <v>8947</v>
      </c>
      <c r="N96" s="102">
        <v>8859</v>
      </c>
      <c r="O96" s="102">
        <v>8883</v>
      </c>
      <c r="P96" s="102">
        <v>8919</v>
      </c>
      <c r="Q96" s="102">
        <v>9067</v>
      </c>
      <c r="R96" s="102">
        <v>9259</v>
      </c>
      <c r="S96" s="102">
        <v>9457</v>
      </c>
      <c r="T96" s="102">
        <v>9167</v>
      </c>
      <c r="U96" s="102">
        <v>9426</v>
      </c>
      <c r="V96" s="102">
        <v>9325</v>
      </c>
      <c r="W96" s="102">
        <v>9455</v>
      </c>
      <c r="DA96" s="175"/>
    </row>
    <row r="97" spans="1:105" ht="11.45" hidden="1" customHeight="1" x14ac:dyDescent="0.25">
      <c r="A97" s="111" t="s">
        <v>112</v>
      </c>
      <c r="B97" s="102">
        <v>0</v>
      </c>
      <c r="C97" s="102">
        <v>16</v>
      </c>
      <c r="D97" s="102">
        <v>48</v>
      </c>
      <c r="E97" s="102">
        <v>68</v>
      </c>
      <c r="F97" s="102">
        <v>92</v>
      </c>
      <c r="G97" s="102">
        <v>133</v>
      </c>
      <c r="H97" s="102">
        <v>165</v>
      </c>
      <c r="I97" s="102">
        <v>205</v>
      </c>
      <c r="J97" s="102">
        <v>242</v>
      </c>
      <c r="K97" s="102">
        <v>319</v>
      </c>
      <c r="L97" s="102">
        <v>361</v>
      </c>
      <c r="M97" s="102">
        <v>389</v>
      </c>
      <c r="N97" s="102">
        <v>389</v>
      </c>
      <c r="O97" s="102">
        <v>379</v>
      </c>
      <c r="P97" s="102">
        <v>358</v>
      </c>
      <c r="Q97" s="102">
        <v>286</v>
      </c>
      <c r="R97" s="102">
        <v>235</v>
      </c>
      <c r="S97" s="102">
        <v>191</v>
      </c>
      <c r="T97" s="102">
        <v>191</v>
      </c>
      <c r="U97" s="102">
        <v>16</v>
      </c>
      <c r="V97" s="102">
        <v>16</v>
      </c>
      <c r="W97" s="102">
        <v>15</v>
      </c>
      <c r="DA97" s="175"/>
    </row>
    <row r="98" spans="1:105" ht="11.45" hidden="1" customHeight="1" x14ac:dyDescent="0.25">
      <c r="A98" s="111" t="s">
        <v>113</v>
      </c>
      <c r="B98" s="102">
        <v>0</v>
      </c>
      <c r="C98" s="102">
        <v>0</v>
      </c>
      <c r="D98" s="102">
        <v>0</v>
      </c>
      <c r="E98" s="102">
        <v>0</v>
      </c>
      <c r="F98" s="102">
        <v>13</v>
      </c>
      <c r="G98" s="102">
        <v>13</v>
      </c>
      <c r="H98" s="102">
        <v>10</v>
      </c>
      <c r="I98" s="102">
        <v>52</v>
      </c>
      <c r="J98" s="102">
        <v>84</v>
      </c>
      <c r="K98" s="102">
        <v>281</v>
      </c>
      <c r="L98" s="102">
        <v>411</v>
      </c>
      <c r="M98" s="102">
        <v>431</v>
      </c>
      <c r="N98" s="102">
        <v>462</v>
      </c>
      <c r="O98" s="102">
        <v>583</v>
      </c>
      <c r="P98" s="102">
        <v>659</v>
      </c>
      <c r="Q98" s="102">
        <v>628</v>
      </c>
      <c r="R98" s="102">
        <v>605</v>
      </c>
      <c r="S98" s="102">
        <v>602</v>
      </c>
      <c r="T98" s="102">
        <v>521</v>
      </c>
      <c r="U98" s="102">
        <v>541</v>
      </c>
      <c r="V98" s="102">
        <v>548</v>
      </c>
      <c r="W98" s="102">
        <v>488</v>
      </c>
      <c r="DA98" s="175"/>
    </row>
    <row r="99" spans="1:105" ht="11.45" hidden="1" customHeight="1" x14ac:dyDescent="0.25">
      <c r="A99" s="111" t="s">
        <v>115</v>
      </c>
      <c r="B99" s="102">
        <v>116</v>
      </c>
      <c r="C99" s="102">
        <v>114</v>
      </c>
      <c r="D99" s="102">
        <v>113</v>
      </c>
      <c r="E99" s="102">
        <v>113</v>
      </c>
      <c r="F99" s="102">
        <v>108</v>
      </c>
      <c r="G99" s="102">
        <v>108</v>
      </c>
      <c r="H99" s="102">
        <v>110</v>
      </c>
      <c r="I99" s="102">
        <v>101</v>
      </c>
      <c r="J99" s="102">
        <v>101</v>
      </c>
      <c r="K99" s="102">
        <v>106</v>
      </c>
      <c r="L99" s="102">
        <v>113</v>
      </c>
      <c r="M99" s="102">
        <v>116</v>
      </c>
      <c r="N99" s="102">
        <v>126</v>
      </c>
      <c r="O99" s="102">
        <v>139</v>
      </c>
      <c r="P99" s="102">
        <v>131</v>
      </c>
      <c r="Q99" s="102">
        <v>138</v>
      </c>
      <c r="R99" s="102">
        <v>149</v>
      </c>
      <c r="S99" s="102">
        <v>143</v>
      </c>
      <c r="T99" s="102">
        <v>154</v>
      </c>
      <c r="U99" s="102">
        <v>161</v>
      </c>
      <c r="V99" s="102">
        <v>172</v>
      </c>
      <c r="W99" s="102">
        <v>174</v>
      </c>
      <c r="DA99" s="175"/>
    </row>
    <row r="100" spans="1:105" ht="11.45" hidden="1" customHeight="1" x14ac:dyDescent="0.25">
      <c r="A100" s="27" t="s">
        <v>34</v>
      </c>
      <c r="B100" s="28">
        <f t="shared" ref="B100:C100" si="158">B101+B107</f>
        <v>338521</v>
      </c>
      <c r="C100" s="28">
        <f t="shared" si="158"/>
        <v>343218</v>
      </c>
      <c r="D100" s="28">
        <f t="shared" ref="D100:V100" si="159">D101+D107</f>
        <v>332964</v>
      </c>
      <c r="E100" s="28">
        <f t="shared" si="159"/>
        <v>339513</v>
      </c>
      <c r="F100" s="28">
        <f t="shared" si="159"/>
        <v>349265</v>
      </c>
      <c r="G100" s="28">
        <f t="shared" si="159"/>
        <v>356226</v>
      </c>
      <c r="H100" s="28">
        <f t="shared" si="159"/>
        <v>363296</v>
      </c>
      <c r="I100" s="28">
        <f t="shared" si="159"/>
        <v>374953</v>
      </c>
      <c r="J100" s="28">
        <f t="shared" si="159"/>
        <v>388123</v>
      </c>
      <c r="K100" s="28">
        <f t="shared" si="159"/>
        <v>394441</v>
      </c>
      <c r="L100" s="28">
        <f t="shared" si="159"/>
        <v>404687</v>
      </c>
      <c r="M100" s="28">
        <f t="shared" si="159"/>
        <v>416718</v>
      </c>
      <c r="N100" s="28">
        <f t="shared" si="159"/>
        <v>426850</v>
      </c>
      <c r="O100" s="28">
        <f t="shared" si="159"/>
        <v>436928</v>
      </c>
      <c r="P100" s="28">
        <f t="shared" si="159"/>
        <v>446984</v>
      </c>
      <c r="Q100" s="28">
        <f t="shared" si="159"/>
        <v>457523</v>
      </c>
      <c r="R100" s="28">
        <f t="shared" si="159"/>
        <v>471552</v>
      </c>
      <c r="S100" s="28">
        <f t="shared" si="159"/>
        <v>491092</v>
      </c>
      <c r="T100" s="28">
        <f t="shared" si="159"/>
        <v>511821</v>
      </c>
      <c r="U100" s="28">
        <f t="shared" si="159"/>
        <v>524650</v>
      </c>
      <c r="V100" s="28">
        <f t="shared" si="159"/>
        <v>537237</v>
      </c>
      <c r="W100" s="28">
        <f t="shared" ref="W100" si="160">W101+W107</f>
        <v>568809</v>
      </c>
      <c r="DA100" s="173"/>
    </row>
    <row r="101" spans="1:105" ht="11.45" hidden="1" customHeight="1" x14ac:dyDescent="0.25">
      <c r="A101" s="136" t="s">
        <v>156</v>
      </c>
      <c r="B101" s="137">
        <f t="shared" ref="B101:C101" si="161">SUM(B102:B106)</f>
        <v>253915</v>
      </c>
      <c r="C101" s="137">
        <f t="shared" si="161"/>
        <v>260666</v>
      </c>
      <c r="D101" s="137">
        <f t="shared" ref="D101:V101" si="162">SUM(D102:D106)</f>
        <v>251753</v>
      </c>
      <c r="E101" s="137">
        <f t="shared" si="162"/>
        <v>258819</v>
      </c>
      <c r="F101" s="137">
        <f t="shared" si="162"/>
        <v>266660</v>
      </c>
      <c r="G101" s="137">
        <f t="shared" si="162"/>
        <v>273942</v>
      </c>
      <c r="H101" s="137">
        <f t="shared" si="162"/>
        <v>281677</v>
      </c>
      <c r="I101" s="137">
        <f t="shared" si="162"/>
        <v>290544</v>
      </c>
      <c r="J101" s="137">
        <f t="shared" si="162"/>
        <v>300301</v>
      </c>
      <c r="K101" s="137">
        <f t="shared" si="162"/>
        <v>309052</v>
      </c>
      <c r="L101" s="137">
        <f t="shared" si="162"/>
        <v>319017</v>
      </c>
      <c r="M101" s="137">
        <f t="shared" si="162"/>
        <v>330440</v>
      </c>
      <c r="N101" s="137">
        <f t="shared" si="162"/>
        <v>340946</v>
      </c>
      <c r="O101" s="137">
        <f t="shared" si="162"/>
        <v>355214</v>
      </c>
      <c r="P101" s="137">
        <f t="shared" si="162"/>
        <v>365686</v>
      </c>
      <c r="Q101" s="137">
        <f t="shared" si="162"/>
        <v>375163</v>
      </c>
      <c r="R101" s="137">
        <f t="shared" si="162"/>
        <v>387786</v>
      </c>
      <c r="S101" s="137">
        <f t="shared" si="162"/>
        <v>403984</v>
      </c>
      <c r="T101" s="137">
        <f t="shared" si="162"/>
        <v>422745</v>
      </c>
      <c r="U101" s="137">
        <f t="shared" si="162"/>
        <v>434295</v>
      </c>
      <c r="V101" s="137">
        <f t="shared" si="162"/>
        <v>446067</v>
      </c>
      <c r="W101" s="137">
        <f t="shared" ref="W101" si="163">SUM(W102:W106)</f>
        <v>475560</v>
      </c>
      <c r="DA101" s="174"/>
    </row>
    <row r="102" spans="1:105" ht="11.45" hidden="1" customHeight="1" x14ac:dyDescent="0.25">
      <c r="A102" s="111" t="s">
        <v>110</v>
      </c>
      <c r="B102" s="84">
        <v>34436</v>
      </c>
      <c r="C102" s="84">
        <v>31577</v>
      </c>
      <c r="D102" s="84">
        <v>21139</v>
      </c>
      <c r="E102" s="84">
        <v>18873</v>
      </c>
      <c r="F102" s="84">
        <v>16971</v>
      </c>
      <c r="G102" s="84">
        <v>15566</v>
      </c>
      <c r="H102" s="84">
        <v>14663</v>
      </c>
      <c r="I102" s="84">
        <v>14227</v>
      </c>
      <c r="J102" s="84">
        <v>14168</v>
      </c>
      <c r="K102" s="84">
        <v>14586</v>
      </c>
      <c r="L102" s="84">
        <v>14864</v>
      </c>
      <c r="M102" s="84">
        <v>15303</v>
      </c>
      <c r="N102" s="84">
        <v>15808</v>
      </c>
      <c r="O102" s="84">
        <v>16476</v>
      </c>
      <c r="P102" s="84">
        <v>17109</v>
      </c>
      <c r="Q102" s="84">
        <v>17650</v>
      </c>
      <c r="R102" s="84">
        <v>18087</v>
      </c>
      <c r="S102" s="84">
        <v>19169</v>
      </c>
      <c r="T102" s="84">
        <v>20751</v>
      </c>
      <c r="U102" s="84">
        <v>21014</v>
      </c>
      <c r="V102" s="84">
        <v>21173</v>
      </c>
      <c r="W102" s="84">
        <v>22000</v>
      </c>
      <c r="DA102" s="171"/>
    </row>
    <row r="103" spans="1:105" ht="11.45" hidden="1" customHeight="1" x14ac:dyDescent="0.25">
      <c r="A103" s="111" t="s">
        <v>111</v>
      </c>
      <c r="B103" s="84">
        <v>219454</v>
      </c>
      <c r="C103" s="84">
        <v>229056</v>
      </c>
      <c r="D103" s="84">
        <v>230585</v>
      </c>
      <c r="E103" s="84">
        <v>239911</v>
      </c>
      <c r="F103" s="84">
        <v>249644</v>
      </c>
      <c r="G103" s="84">
        <v>258270</v>
      </c>
      <c r="H103" s="84">
        <v>266843</v>
      </c>
      <c r="I103" s="84">
        <v>276072</v>
      </c>
      <c r="J103" s="84">
        <v>285788</v>
      </c>
      <c r="K103" s="84">
        <v>294219</v>
      </c>
      <c r="L103" s="84">
        <v>303886</v>
      </c>
      <c r="M103" s="84">
        <v>314819</v>
      </c>
      <c r="N103" s="84">
        <v>324487</v>
      </c>
      <c r="O103" s="84">
        <v>337107</v>
      </c>
      <c r="P103" s="84">
        <v>346664</v>
      </c>
      <c r="Q103" s="84">
        <v>355336</v>
      </c>
      <c r="R103" s="84">
        <v>366275</v>
      </c>
      <c r="S103" s="84">
        <v>381190</v>
      </c>
      <c r="T103" s="84">
        <v>397835</v>
      </c>
      <c r="U103" s="84">
        <v>408692</v>
      </c>
      <c r="V103" s="84">
        <v>419666</v>
      </c>
      <c r="W103" s="84">
        <v>446049</v>
      </c>
      <c r="DA103" s="171"/>
    </row>
    <row r="104" spans="1:105" ht="11.45" hidden="1" customHeight="1" x14ac:dyDescent="0.25">
      <c r="A104" s="111" t="s">
        <v>112</v>
      </c>
      <c r="B104" s="84">
        <v>0</v>
      </c>
      <c r="C104" s="84">
        <v>0</v>
      </c>
      <c r="D104" s="84">
        <v>0</v>
      </c>
      <c r="E104" s="84">
        <v>7</v>
      </c>
      <c r="F104" s="84">
        <v>19</v>
      </c>
      <c r="G104" s="84">
        <v>82</v>
      </c>
      <c r="H104" s="84">
        <v>78</v>
      </c>
      <c r="I104" s="84">
        <v>77</v>
      </c>
      <c r="J104" s="84">
        <v>76</v>
      </c>
      <c r="K104" s="84">
        <v>74</v>
      </c>
      <c r="L104" s="84">
        <v>71</v>
      </c>
      <c r="M104" s="84">
        <v>67</v>
      </c>
      <c r="N104" s="84">
        <v>73</v>
      </c>
      <c r="O104" s="84">
        <v>81</v>
      </c>
      <c r="P104" s="84">
        <v>94</v>
      </c>
      <c r="Q104" s="84">
        <v>98</v>
      </c>
      <c r="R104" s="84">
        <v>155</v>
      </c>
      <c r="S104" s="84">
        <v>166</v>
      </c>
      <c r="T104" s="84">
        <v>173</v>
      </c>
      <c r="U104" s="84">
        <v>191</v>
      </c>
      <c r="V104" s="84">
        <v>225</v>
      </c>
      <c r="W104" s="84">
        <v>262</v>
      </c>
      <c r="DA104" s="171"/>
    </row>
    <row r="105" spans="1:105" ht="11.45" hidden="1" customHeight="1" x14ac:dyDescent="0.25">
      <c r="A105" s="111" t="s">
        <v>113</v>
      </c>
      <c r="B105" s="84">
        <v>0</v>
      </c>
      <c r="C105" s="84">
        <v>0</v>
      </c>
      <c r="D105" s="84">
        <v>0</v>
      </c>
      <c r="E105" s="84">
        <v>0</v>
      </c>
      <c r="F105" s="84">
        <v>0</v>
      </c>
      <c r="G105" s="84">
        <v>0</v>
      </c>
      <c r="H105" s="84">
        <v>71</v>
      </c>
      <c r="I105" s="84">
        <v>140</v>
      </c>
      <c r="J105" s="84">
        <v>238</v>
      </c>
      <c r="K105" s="84">
        <v>128</v>
      </c>
      <c r="L105" s="84">
        <v>127</v>
      </c>
      <c r="M105" s="84">
        <v>142</v>
      </c>
      <c r="N105" s="84">
        <v>192</v>
      </c>
      <c r="O105" s="84">
        <v>931</v>
      </c>
      <c r="P105" s="84">
        <v>1000</v>
      </c>
      <c r="Q105" s="84">
        <v>1010</v>
      </c>
      <c r="R105" s="84">
        <v>1802</v>
      </c>
      <c r="S105" s="84">
        <v>1748</v>
      </c>
      <c r="T105" s="84">
        <v>1845</v>
      </c>
      <c r="U105" s="84">
        <v>1793</v>
      </c>
      <c r="V105" s="84">
        <v>1673</v>
      </c>
      <c r="W105" s="84">
        <v>1622</v>
      </c>
      <c r="DA105" s="171"/>
    </row>
    <row r="106" spans="1:105" ht="11.45" hidden="1" customHeight="1" x14ac:dyDescent="0.25">
      <c r="A106" s="111" t="s">
        <v>115</v>
      </c>
      <c r="B106" s="84">
        <v>25</v>
      </c>
      <c r="C106" s="84">
        <v>33</v>
      </c>
      <c r="D106" s="84">
        <v>29</v>
      </c>
      <c r="E106" s="84">
        <v>28</v>
      </c>
      <c r="F106" s="84">
        <v>26</v>
      </c>
      <c r="G106" s="84">
        <v>24</v>
      </c>
      <c r="H106" s="84">
        <v>22</v>
      </c>
      <c r="I106" s="84">
        <v>28</v>
      </c>
      <c r="J106" s="84">
        <v>31</v>
      </c>
      <c r="K106" s="84">
        <v>45</v>
      </c>
      <c r="L106" s="84">
        <v>69</v>
      </c>
      <c r="M106" s="84">
        <v>109</v>
      </c>
      <c r="N106" s="84">
        <v>386</v>
      </c>
      <c r="O106" s="84">
        <v>619</v>
      </c>
      <c r="P106" s="84">
        <v>819</v>
      </c>
      <c r="Q106" s="84">
        <v>1069</v>
      </c>
      <c r="R106" s="84">
        <v>1467</v>
      </c>
      <c r="S106" s="84">
        <v>1711</v>
      </c>
      <c r="T106" s="84">
        <v>2141</v>
      </c>
      <c r="U106" s="84">
        <v>2605</v>
      </c>
      <c r="V106" s="84">
        <v>3330</v>
      </c>
      <c r="W106" s="84">
        <v>5627</v>
      </c>
      <c r="DA106" s="171"/>
    </row>
    <row r="107" spans="1:105" ht="11.45" hidden="1" customHeight="1" x14ac:dyDescent="0.25">
      <c r="A107" s="109" t="s">
        <v>158</v>
      </c>
      <c r="B107" s="110">
        <f t="shared" ref="B107:C107" si="164">SUM(B108:B109)</f>
        <v>84606</v>
      </c>
      <c r="C107" s="110">
        <f t="shared" si="164"/>
        <v>82552</v>
      </c>
      <c r="D107" s="110">
        <f t="shared" ref="D107:V107" si="165">SUM(D108:D109)</f>
        <v>81211</v>
      </c>
      <c r="E107" s="110">
        <f t="shared" si="165"/>
        <v>80694</v>
      </c>
      <c r="F107" s="110">
        <f t="shared" si="165"/>
        <v>82605</v>
      </c>
      <c r="G107" s="110">
        <f t="shared" si="165"/>
        <v>82284</v>
      </c>
      <c r="H107" s="110">
        <f t="shared" si="165"/>
        <v>81619</v>
      </c>
      <c r="I107" s="110">
        <f t="shared" si="165"/>
        <v>84409</v>
      </c>
      <c r="J107" s="110">
        <f t="shared" si="165"/>
        <v>87822</v>
      </c>
      <c r="K107" s="110">
        <f t="shared" si="165"/>
        <v>85389</v>
      </c>
      <c r="L107" s="110">
        <f t="shared" si="165"/>
        <v>85670</v>
      </c>
      <c r="M107" s="110">
        <f t="shared" si="165"/>
        <v>86278</v>
      </c>
      <c r="N107" s="110">
        <f t="shared" si="165"/>
        <v>85904</v>
      </c>
      <c r="O107" s="110">
        <f t="shared" si="165"/>
        <v>81714</v>
      </c>
      <c r="P107" s="110">
        <f t="shared" si="165"/>
        <v>81298</v>
      </c>
      <c r="Q107" s="110">
        <f t="shared" si="165"/>
        <v>82360</v>
      </c>
      <c r="R107" s="110">
        <f t="shared" si="165"/>
        <v>83766</v>
      </c>
      <c r="S107" s="110">
        <f t="shared" si="165"/>
        <v>87108</v>
      </c>
      <c r="T107" s="110">
        <f t="shared" si="165"/>
        <v>89076</v>
      </c>
      <c r="U107" s="110">
        <f t="shared" si="165"/>
        <v>90355</v>
      </c>
      <c r="V107" s="110">
        <f t="shared" si="165"/>
        <v>91170</v>
      </c>
      <c r="W107" s="110">
        <f t="shared" ref="W107" si="166">SUM(W108:W109)</f>
        <v>93249</v>
      </c>
      <c r="DA107" s="176"/>
    </row>
    <row r="108" spans="1:105" ht="11.45" hidden="1" customHeight="1" x14ac:dyDescent="0.25">
      <c r="A108" s="128" t="s">
        <v>27</v>
      </c>
      <c r="B108" s="102">
        <v>72775</v>
      </c>
      <c r="C108" s="102">
        <v>69868</v>
      </c>
      <c r="D108" s="102">
        <v>67867</v>
      </c>
      <c r="E108" s="102">
        <v>67055</v>
      </c>
      <c r="F108" s="102">
        <v>66478</v>
      </c>
      <c r="G108" s="102">
        <v>65588</v>
      </c>
      <c r="H108" s="102">
        <v>64080</v>
      </c>
      <c r="I108" s="102">
        <v>64569</v>
      </c>
      <c r="J108" s="102">
        <v>65392</v>
      </c>
      <c r="K108" s="102">
        <v>66337</v>
      </c>
      <c r="L108" s="102">
        <v>65800</v>
      </c>
      <c r="M108" s="102">
        <v>65798</v>
      </c>
      <c r="N108" s="102">
        <v>65942</v>
      </c>
      <c r="O108" s="102">
        <v>61103</v>
      </c>
      <c r="P108" s="102">
        <v>60528</v>
      </c>
      <c r="Q108" s="102">
        <v>60548</v>
      </c>
      <c r="R108" s="102">
        <v>61301</v>
      </c>
      <c r="S108" s="102">
        <v>62825</v>
      </c>
      <c r="T108" s="102">
        <v>64686</v>
      </c>
      <c r="U108" s="102">
        <v>65487</v>
      </c>
      <c r="V108" s="102">
        <v>65848</v>
      </c>
      <c r="W108" s="102">
        <v>66606</v>
      </c>
      <c r="DA108" s="175"/>
    </row>
    <row r="109" spans="1:105" ht="11.45" hidden="1" customHeight="1" x14ac:dyDescent="0.25">
      <c r="A109" s="138" t="s">
        <v>116</v>
      </c>
      <c r="B109" s="86">
        <v>11831</v>
      </c>
      <c r="C109" s="86">
        <v>12684</v>
      </c>
      <c r="D109" s="86">
        <v>13344</v>
      </c>
      <c r="E109" s="86">
        <v>13639</v>
      </c>
      <c r="F109" s="86">
        <v>16127</v>
      </c>
      <c r="G109" s="86">
        <v>16696</v>
      </c>
      <c r="H109" s="86">
        <v>17539</v>
      </c>
      <c r="I109" s="86">
        <v>19840</v>
      </c>
      <c r="J109" s="86">
        <v>22430</v>
      </c>
      <c r="K109" s="86">
        <v>19052</v>
      </c>
      <c r="L109" s="86">
        <v>19870</v>
      </c>
      <c r="M109" s="86">
        <v>20480</v>
      </c>
      <c r="N109" s="86">
        <v>19962</v>
      </c>
      <c r="O109" s="86">
        <v>20611</v>
      </c>
      <c r="P109" s="86">
        <v>20770</v>
      </c>
      <c r="Q109" s="86">
        <v>21812</v>
      </c>
      <c r="R109" s="86">
        <v>22465</v>
      </c>
      <c r="S109" s="86">
        <v>24283</v>
      </c>
      <c r="T109" s="86">
        <v>24390</v>
      </c>
      <c r="U109" s="86">
        <v>24868</v>
      </c>
      <c r="V109" s="86">
        <v>25322</v>
      </c>
      <c r="W109" s="86">
        <v>26643</v>
      </c>
      <c r="DA109" s="178"/>
    </row>
    <row r="110" spans="1:105" ht="11.45" customHeight="1" x14ac:dyDescent="0.25">
      <c r="A110" s="106"/>
      <c r="B110" s="106"/>
      <c r="C110" s="106"/>
      <c r="L110" s="106"/>
      <c r="M110" s="106"/>
      <c r="N110" s="106"/>
    </row>
    <row r="111" spans="1:105" ht="11.45" customHeight="1" x14ac:dyDescent="0.25">
      <c r="A111" s="53" t="s">
        <v>117</v>
      </c>
      <c r="B111" s="54">
        <f t="shared" ref="B111:K111" si="167">B112+B127</f>
        <v>393072</v>
      </c>
      <c r="C111" s="54">
        <f t="shared" si="167"/>
        <v>377938</v>
      </c>
      <c r="D111" s="54">
        <f t="shared" si="167"/>
        <v>359797</v>
      </c>
      <c r="E111" s="54">
        <f t="shared" si="167"/>
        <v>376663</v>
      </c>
      <c r="F111" s="54">
        <f t="shared" si="167"/>
        <v>387369</v>
      </c>
      <c r="G111" s="54">
        <f t="shared" si="167"/>
        <v>393700</v>
      </c>
      <c r="H111" s="54">
        <f t="shared" si="167"/>
        <v>402028</v>
      </c>
      <c r="I111" s="54">
        <f t="shared" si="167"/>
        <v>404014</v>
      </c>
      <c r="J111" s="54">
        <f t="shared" si="167"/>
        <v>404840</v>
      </c>
      <c r="K111" s="54">
        <f t="shared" si="167"/>
        <v>411800</v>
      </c>
      <c r="L111" s="54">
        <f t="shared" ref="L111" si="168">L112+L127</f>
        <v>419232</v>
      </c>
      <c r="M111" s="54">
        <f t="shared" ref="M111:V111" si="169">M112+M127</f>
        <v>452974</v>
      </c>
      <c r="N111" s="54">
        <f t="shared" si="169"/>
        <v>440374</v>
      </c>
      <c r="O111" s="54">
        <f t="shared" si="169"/>
        <v>414515</v>
      </c>
      <c r="P111" s="54">
        <f t="shared" si="169"/>
        <v>395886</v>
      </c>
      <c r="Q111" s="54">
        <f t="shared" si="169"/>
        <v>403635</v>
      </c>
      <c r="R111" s="54">
        <f t="shared" si="169"/>
        <v>439516</v>
      </c>
      <c r="S111" s="54">
        <f t="shared" si="169"/>
        <v>467596</v>
      </c>
      <c r="T111" s="54">
        <f t="shared" si="169"/>
        <v>456997</v>
      </c>
      <c r="U111" s="54">
        <f t="shared" si="169"/>
        <v>453964</v>
      </c>
      <c r="V111" s="54">
        <f t="shared" si="169"/>
        <v>393806</v>
      </c>
      <c r="W111" s="54">
        <f t="shared" ref="W111" si="170">W112+W127</f>
        <v>426706</v>
      </c>
      <c r="DA111" s="172" t="s">
        <v>525</v>
      </c>
    </row>
    <row r="112" spans="1:105" ht="11.45" customHeight="1" x14ac:dyDescent="0.25">
      <c r="A112" s="27" t="s">
        <v>33</v>
      </c>
      <c r="B112" s="28">
        <f t="shared" ref="B112:K112" si="171">B113+B114+B121</f>
        <v>359956</v>
      </c>
      <c r="C112" s="28">
        <f t="shared" si="171"/>
        <v>347638</v>
      </c>
      <c r="D112" s="28">
        <f t="shared" si="171"/>
        <v>331651</v>
      </c>
      <c r="E112" s="28">
        <f t="shared" si="171"/>
        <v>345211</v>
      </c>
      <c r="F112" s="28">
        <f t="shared" si="171"/>
        <v>349716</v>
      </c>
      <c r="G112" s="28">
        <f t="shared" si="171"/>
        <v>358042</v>
      </c>
      <c r="H112" s="28">
        <f t="shared" si="171"/>
        <v>364563</v>
      </c>
      <c r="I112" s="28">
        <f t="shared" si="171"/>
        <v>362899</v>
      </c>
      <c r="J112" s="28">
        <f t="shared" si="171"/>
        <v>362600</v>
      </c>
      <c r="K112" s="28">
        <f t="shared" si="171"/>
        <v>382577</v>
      </c>
      <c r="L112" s="28">
        <f t="shared" ref="L112" si="172">L113+L114+L121</f>
        <v>384707</v>
      </c>
      <c r="M112" s="28">
        <f t="shared" ref="M112:V112" si="173">M113+M114+M121</f>
        <v>413086</v>
      </c>
      <c r="N112" s="28">
        <f t="shared" si="173"/>
        <v>402855</v>
      </c>
      <c r="O112" s="28">
        <f t="shared" si="173"/>
        <v>374946</v>
      </c>
      <c r="P112" s="28">
        <f t="shared" si="173"/>
        <v>356765</v>
      </c>
      <c r="Q112" s="28">
        <f t="shared" si="173"/>
        <v>361943</v>
      </c>
      <c r="R112" s="28">
        <f t="shared" si="173"/>
        <v>394026</v>
      </c>
      <c r="S112" s="28">
        <f t="shared" si="173"/>
        <v>417512</v>
      </c>
      <c r="T112" s="28">
        <f t="shared" si="173"/>
        <v>404857</v>
      </c>
      <c r="U112" s="28">
        <f t="shared" si="173"/>
        <v>400996</v>
      </c>
      <c r="V112" s="28">
        <f t="shared" si="173"/>
        <v>347233</v>
      </c>
      <c r="W112" s="28">
        <f t="shared" ref="W112" si="174">W113+W114+W121</f>
        <v>360069</v>
      </c>
      <c r="DA112" s="173" t="s">
        <v>526</v>
      </c>
    </row>
    <row r="113" spans="1:105" ht="11.45" customHeight="1" x14ac:dyDescent="0.25">
      <c r="A113" s="136" t="s">
        <v>180</v>
      </c>
      <c r="B113" s="137">
        <v>47550</v>
      </c>
      <c r="C113" s="137">
        <v>51250</v>
      </c>
      <c r="D113" s="137">
        <v>45064</v>
      </c>
      <c r="E113" s="137">
        <v>37992</v>
      </c>
      <c r="F113" s="137">
        <v>37496</v>
      </c>
      <c r="G113" s="137">
        <v>49466</v>
      </c>
      <c r="H113" s="137">
        <v>54036</v>
      </c>
      <c r="I113" s="137">
        <v>63888</v>
      </c>
      <c r="J113" s="137">
        <v>67360</v>
      </c>
      <c r="K113" s="137">
        <v>62436</v>
      </c>
      <c r="L113" s="137">
        <v>52882</v>
      </c>
      <c r="M113" s="137">
        <v>52990</v>
      </c>
      <c r="N113" s="137">
        <v>60228</v>
      </c>
      <c r="O113" s="137">
        <v>51992</v>
      </c>
      <c r="P113" s="137">
        <v>50310</v>
      </c>
      <c r="Q113" s="137">
        <v>49782</v>
      </c>
      <c r="R113" s="137">
        <v>59526</v>
      </c>
      <c r="S113" s="137">
        <v>55940</v>
      </c>
      <c r="T113" s="137">
        <v>55276</v>
      </c>
      <c r="U113" s="137">
        <v>55976</v>
      </c>
      <c r="V113" s="137">
        <v>73292</v>
      </c>
      <c r="W113" s="137">
        <v>76632</v>
      </c>
      <c r="DA113" s="174" t="s">
        <v>527</v>
      </c>
    </row>
    <row r="114" spans="1:105" ht="11.45" customHeight="1" x14ac:dyDescent="0.25">
      <c r="A114" s="109" t="s">
        <v>20</v>
      </c>
      <c r="B114" s="110">
        <f t="shared" ref="B114:K114" si="175">SUM(B115:B120)</f>
        <v>311614</v>
      </c>
      <c r="C114" s="110">
        <f t="shared" si="175"/>
        <v>295780</v>
      </c>
      <c r="D114" s="110">
        <f t="shared" si="175"/>
        <v>285876</v>
      </c>
      <c r="E114" s="110">
        <f t="shared" si="175"/>
        <v>306464</v>
      </c>
      <c r="F114" s="110">
        <f t="shared" si="175"/>
        <v>311277</v>
      </c>
      <c r="G114" s="110">
        <f t="shared" si="175"/>
        <v>307915</v>
      </c>
      <c r="H114" s="110">
        <f t="shared" si="175"/>
        <v>309697</v>
      </c>
      <c r="I114" s="110">
        <f t="shared" si="175"/>
        <v>298223</v>
      </c>
      <c r="J114" s="110">
        <f t="shared" si="175"/>
        <v>294277</v>
      </c>
      <c r="K114" s="110">
        <f t="shared" si="175"/>
        <v>319309</v>
      </c>
      <c r="L114" s="110">
        <f t="shared" ref="L114" si="176">SUM(L115:L120)</f>
        <v>330983</v>
      </c>
      <c r="M114" s="110">
        <f t="shared" ref="M114:V114" si="177">SUM(M115:M120)</f>
        <v>359475</v>
      </c>
      <c r="N114" s="110">
        <f t="shared" si="177"/>
        <v>341895</v>
      </c>
      <c r="O114" s="110">
        <f t="shared" si="177"/>
        <v>322127</v>
      </c>
      <c r="P114" s="110">
        <f t="shared" si="177"/>
        <v>305555</v>
      </c>
      <c r="Q114" s="110">
        <f t="shared" si="177"/>
        <v>311262</v>
      </c>
      <c r="R114" s="110">
        <f t="shared" si="177"/>
        <v>333457</v>
      </c>
      <c r="S114" s="110">
        <f t="shared" si="177"/>
        <v>360328</v>
      </c>
      <c r="T114" s="110">
        <f t="shared" si="177"/>
        <v>348456</v>
      </c>
      <c r="U114" s="110">
        <f t="shared" si="177"/>
        <v>343857</v>
      </c>
      <c r="V114" s="110">
        <f t="shared" si="177"/>
        <v>273069</v>
      </c>
      <c r="W114" s="110">
        <f t="shared" ref="W114" si="178">SUM(W115:W120)</f>
        <v>282550</v>
      </c>
      <c r="DA114" s="176" t="s">
        <v>528</v>
      </c>
    </row>
    <row r="115" spans="1:105" ht="11.45" customHeight="1" x14ac:dyDescent="0.25">
      <c r="A115" s="111" t="s">
        <v>110</v>
      </c>
      <c r="B115" s="84">
        <v>118133</v>
      </c>
      <c r="C115" s="84">
        <v>100833</v>
      </c>
      <c r="D115" s="84">
        <v>84905</v>
      </c>
      <c r="E115" s="84">
        <v>85586</v>
      </c>
      <c r="F115" s="84">
        <v>91022</v>
      </c>
      <c r="G115" s="84">
        <v>103340</v>
      </c>
      <c r="H115" s="84">
        <v>116899</v>
      </c>
      <c r="I115" s="84">
        <v>121319</v>
      </c>
      <c r="J115" s="84">
        <v>132203</v>
      </c>
      <c r="K115" s="84">
        <v>171805</v>
      </c>
      <c r="L115" s="84">
        <v>162923</v>
      </c>
      <c r="M115" s="84">
        <v>162332</v>
      </c>
      <c r="N115" s="84">
        <v>147965</v>
      </c>
      <c r="O115" s="84">
        <v>139008</v>
      </c>
      <c r="P115" s="84">
        <v>130389</v>
      </c>
      <c r="Q115" s="84">
        <v>126838</v>
      </c>
      <c r="R115" s="84">
        <v>138506</v>
      </c>
      <c r="S115" s="84">
        <v>176905</v>
      </c>
      <c r="T115" s="84">
        <v>196884</v>
      </c>
      <c r="U115" s="84">
        <v>197195</v>
      </c>
      <c r="V115" s="84">
        <v>143102</v>
      </c>
      <c r="W115" s="84">
        <v>150164</v>
      </c>
      <c r="DA115" s="171" t="s">
        <v>529</v>
      </c>
    </row>
    <row r="116" spans="1:105" ht="11.45" customHeight="1" x14ac:dyDescent="0.25">
      <c r="A116" s="111" t="s">
        <v>111</v>
      </c>
      <c r="B116" s="84">
        <v>191281</v>
      </c>
      <c r="C116" s="84">
        <v>192681</v>
      </c>
      <c r="D116" s="84">
        <v>194555</v>
      </c>
      <c r="E116" s="84">
        <v>214505</v>
      </c>
      <c r="F116" s="84">
        <v>220255</v>
      </c>
      <c r="G116" s="84">
        <v>204575</v>
      </c>
      <c r="H116" s="84">
        <v>191766</v>
      </c>
      <c r="I116" s="84">
        <v>176746</v>
      </c>
      <c r="J116" s="84">
        <v>160459</v>
      </c>
      <c r="K116" s="84">
        <v>146962</v>
      </c>
      <c r="L116" s="84">
        <v>167618</v>
      </c>
      <c r="M116" s="84">
        <v>195291</v>
      </c>
      <c r="N116" s="84">
        <v>191108</v>
      </c>
      <c r="O116" s="84">
        <v>181062</v>
      </c>
      <c r="P116" s="84">
        <v>172664</v>
      </c>
      <c r="Q116" s="84">
        <v>181038</v>
      </c>
      <c r="R116" s="84">
        <v>189228</v>
      </c>
      <c r="S116" s="84">
        <v>175601</v>
      </c>
      <c r="T116" s="84">
        <v>141938</v>
      </c>
      <c r="U116" s="84">
        <v>134073</v>
      </c>
      <c r="V116" s="84">
        <v>105826</v>
      </c>
      <c r="W116" s="84">
        <v>83914</v>
      </c>
      <c r="DA116" s="171" t="s">
        <v>530</v>
      </c>
    </row>
    <row r="117" spans="1:105" ht="11.45" customHeight="1" x14ac:dyDescent="0.25">
      <c r="A117" s="111" t="s">
        <v>112</v>
      </c>
      <c r="B117" s="84">
        <v>2200</v>
      </c>
      <c r="C117" s="84">
        <v>2266</v>
      </c>
      <c r="D117" s="84">
        <v>6416</v>
      </c>
      <c r="E117" s="84">
        <v>6373</v>
      </c>
      <c r="F117" s="84">
        <v>0</v>
      </c>
      <c r="G117" s="84">
        <v>0</v>
      </c>
      <c r="H117" s="84">
        <v>978</v>
      </c>
      <c r="I117" s="84">
        <v>0</v>
      </c>
      <c r="J117" s="84">
        <v>825</v>
      </c>
      <c r="K117" s="84">
        <v>0</v>
      </c>
      <c r="L117" s="84">
        <v>0</v>
      </c>
      <c r="M117" s="84">
        <v>12</v>
      </c>
      <c r="N117" s="84">
        <v>1668</v>
      </c>
      <c r="O117" s="84">
        <v>591</v>
      </c>
      <c r="P117" s="84">
        <v>2</v>
      </c>
      <c r="Q117" s="84">
        <v>0</v>
      </c>
      <c r="R117" s="84">
        <v>2</v>
      </c>
      <c r="S117" s="84">
        <v>0</v>
      </c>
      <c r="T117" s="84">
        <v>1</v>
      </c>
      <c r="U117" s="84">
        <v>2</v>
      </c>
      <c r="V117" s="84">
        <v>0</v>
      </c>
      <c r="W117" s="84">
        <v>375</v>
      </c>
      <c r="DA117" s="171" t="s">
        <v>531</v>
      </c>
    </row>
    <row r="118" spans="1:105" ht="11.45" customHeight="1" x14ac:dyDescent="0.25">
      <c r="A118" s="111" t="s">
        <v>113</v>
      </c>
      <c r="B118" s="84">
        <v>0</v>
      </c>
      <c r="C118" s="84">
        <v>0</v>
      </c>
      <c r="D118" s="84">
        <v>0</v>
      </c>
      <c r="E118" s="84">
        <v>0</v>
      </c>
      <c r="F118" s="84">
        <v>0</v>
      </c>
      <c r="G118" s="84">
        <v>0</v>
      </c>
      <c r="H118" s="84">
        <v>54</v>
      </c>
      <c r="I118" s="84">
        <v>158</v>
      </c>
      <c r="J118" s="84">
        <v>788</v>
      </c>
      <c r="K118" s="84">
        <v>216</v>
      </c>
      <c r="L118" s="84">
        <v>330</v>
      </c>
      <c r="M118" s="84">
        <v>1201</v>
      </c>
      <c r="N118" s="84">
        <v>460</v>
      </c>
      <c r="O118" s="84">
        <v>628</v>
      </c>
      <c r="P118" s="84">
        <v>788</v>
      </c>
      <c r="Q118" s="84">
        <v>703</v>
      </c>
      <c r="R118" s="84">
        <v>484</v>
      </c>
      <c r="S118" s="84">
        <v>435</v>
      </c>
      <c r="T118" s="84">
        <v>641</v>
      </c>
      <c r="U118" s="84">
        <v>579</v>
      </c>
      <c r="V118" s="84">
        <v>407</v>
      </c>
      <c r="W118" s="84">
        <v>85</v>
      </c>
      <c r="DA118" s="171" t="s">
        <v>532</v>
      </c>
    </row>
    <row r="119" spans="1:105" ht="11.45" customHeight="1" x14ac:dyDescent="0.25">
      <c r="A119" s="111" t="s">
        <v>114</v>
      </c>
      <c r="B119" s="84">
        <v>0</v>
      </c>
      <c r="C119" s="84">
        <v>0</v>
      </c>
      <c r="D119" s="84">
        <v>0</v>
      </c>
      <c r="E119" s="84">
        <v>0</v>
      </c>
      <c r="F119" s="84">
        <v>0</v>
      </c>
      <c r="G119" s="84">
        <v>0</v>
      </c>
      <c r="H119" s="84">
        <v>0</v>
      </c>
      <c r="I119" s="84">
        <v>0</v>
      </c>
      <c r="J119" s="84">
        <v>0</v>
      </c>
      <c r="K119" s="84">
        <v>0</v>
      </c>
      <c r="L119" s="84">
        <v>0</v>
      </c>
      <c r="M119" s="84">
        <v>2</v>
      </c>
      <c r="N119" s="84">
        <v>267</v>
      </c>
      <c r="O119" s="84">
        <v>154</v>
      </c>
      <c r="P119" s="84">
        <v>368</v>
      </c>
      <c r="Q119" s="84">
        <v>984</v>
      </c>
      <c r="R119" s="84">
        <v>1182</v>
      </c>
      <c r="S119" s="84">
        <v>1820</v>
      </c>
      <c r="T119" s="84">
        <v>2218</v>
      </c>
      <c r="U119" s="84">
        <v>2766</v>
      </c>
      <c r="V119" s="84">
        <v>7762</v>
      </c>
      <c r="W119" s="84">
        <v>14633</v>
      </c>
      <c r="DA119" s="171" t="s">
        <v>533</v>
      </c>
    </row>
    <row r="120" spans="1:105" ht="11.45" customHeight="1" x14ac:dyDescent="0.25">
      <c r="A120" s="111" t="s">
        <v>115</v>
      </c>
      <c r="B120" s="84">
        <v>0</v>
      </c>
      <c r="C120" s="84">
        <v>0</v>
      </c>
      <c r="D120" s="84">
        <v>0</v>
      </c>
      <c r="E120" s="84">
        <v>0</v>
      </c>
      <c r="F120" s="84">
        <v>0</v>
      </c>
      <c r="G120" s="84">
        <v>0</v>
      </c>
      <c r="H120" s="84">
        <v>0</v>
      </c>
      <c r="I120" s="84">
        <v>0</v>
      </c>
      <c r="J120" s="84">
        <v>2</v>
      </c>
      <c r="K120" s="84">
        <v>326</v>
      </c>
      <c r="L120" s="84">
        <v>112</v>
      </c>
      <c r="M120" s="84">
        <v>637</v>
      </c>
      <c r="N120" s="84">
        <v>427</v>
      </c>
      <c r="O120" s="84">
        <v>684</v>
      </c>
      <c r="P120" s="84">
        <v>1344</v>
      </c>
      <c r="Q120" s="84">
        <v>1699</v>
      </c>
      <c r="R120" s="84">
        <v>4055</v>
      </c>
      <c r="S120" s="84">
        <v>5567</v>
      </c>
      <c r="T120" s="84">
        <v>6774</v>
      </c>
      <c r="U120" s="84">
        <v>9242</v>
      </c>
      <c r="V120" s="84">
        <v>15972</v>
      </c>
      <c r="W120" s="84">
        <v>33379</v>
      </c>
      <c r="DA120" s="171" t="s">
        <v>534</v>
      </c>
    </row>
    <row r="121" spans="1:105" ht="11.45" customHeight="1" x14ac:dyDescent="0.25">
      <c r="A121" s="109" t="s">
        <v>21</v>
      </c>
      <c r="B121" s="110">
        <f t="shared" ref="B121:K121" si="179">SUM(B122:B126)</f>
        <v>792</v>
      </c>
      <c r="C121" s="110">
        <f t="shared" si="179"/>
        <v>608</v>
      </c>
      <c r="D121" s="110">
        <f t="shared" si="179"/>
        <v>711</v>
      </c>
      <c r="E121" s="110">
        <f t="shared" si="179"/>
        <v>755</v>
      </c>
      <c r="F121" s="110">
        <f t="shared" si="179"/>
        <v>943</v>
      </c>
      <c r="G121" s="110">
        <f t="shared" si="179"/>
        <v>661</v>
      </c>
      <c r="H121" s="110">
        <f t="shared" si="179"/>
        <v>830</v>
      </c>
      <c r="I121" s="110">
        <f t="shared" si="179"/>
        <v>788</v>
      </c>
      <c r="J121" s="110">
        <f t="shared" si="179"/>
        <v>963</v>
      </c>
      <c r="K121" s="110">
        <f t="shared" si="179"/>
        <v>832</v>
      </c>
      <c r="L121" s="110">
        <f t="shared" ref="L121" si="180">SUM(L122:L126)</f>
        <v>842</v>
      </c>
      <c r="M121" s="110">
        <f t="shared" ref="M121:V121" si="181">SUM(M122:M126)</f>
        <v>621</v>
      </c>
      <c r="N121" s="110">
        <f t="shared" si="181"/>
        <v>732</v>
      </c>
      <c r="O121" s="110">
        <f t="shared" si="181"/>
        <v>827</v>
      </c>
      <c r="P121" s="110">
        <f t="shared" si="181"/>
        <v>900</v>
      </c>
      <c r="Q121" s="110">
        <f t="shared" si="181"/>
        <v>899</v>
      </c>
      <c r="R121" s="110">
        <f t="shared" si="181"/>
        <v>1043</v>
      </c>
      <c r="S121" s="110">
        <f t="shared" si="181"/>
        <v>1244</v>
      </c>
      <c r="T121" s="110">
        <f t="shared" si="181"/>
        <v>1125</v>
      </c>
      <c r="U121" s="110">
        <f t="shared" si="181"/>
        <v>1163</v>
      </c>
      <c r="V121" s="110">
        <f t="shared" si="181"/>
        <v>872</v>
      </c>
      <c r="W121" s="110">
        <f t="shared" ref="W121" si="182">SUM(W122:W126)</f>
        <v>887</v>
      </c>
      <c r="DA121" s="176" t="s">
        <v>535</v>
      </c>
    </row>
    <row r="122" spans="1:105" ht="11.45" customHeight="1" x14ac:dyDescent="0.25">
      <c r="A122" s="111" t="s">
        <v>110</v>
      </c>
      <c r="B122" s="102">
        <v>0</v>
      </c>
      <c r="C122" s="102">
        <v>1</v>
      </c>
      <c r="D122" s="102">
        <v>0</v>
      </c>
      <c r="E122" s="102">
        <v>0</v>
      </c>
      <c r="F122" s="102">
        <v>0</v>
      </c>
      <c r="G122" s="102">
        <v>0</v>
      </c>
      <c r="H122" s="102">
        <v>0</v>
      </c>
      <c r="I122" s="102">
        <v>1</v>
      </c>
      <c r="J122" s="102">
        <v>0</v>
      </c>
      <c r="K122" s="102">
        <v>0</v>
      </c>
      <c r="L122" s="102">
        <v>0</v>
      </c>
      <c r="M122" s="102">
        <v>0</v>
      </c>
      <c r="N122" s="102">
        <v>0</v>
      </c>
      <c r="O122" s="102">
        <v>0</v>
      </c>
      <c r="P122" s="102">
        <v>1</v>
      </c>
      <c r="Q122" s="102">
        <v>0</v>
      </c>
      <c r="R122" s="102">
        <v>1</v>
      </c>
      <c r="S122" s="102">
        <v>0</v>
      </c>
      <c r="T122" s="102">
        <v>0</v>
      </c>
      <c r="U122" s="102">
        <v>0</v>
      </c>
      <c r="V122" s="102">
        <v>0</v>
      </c>
      <c r="W122" s="102">
        <v>1</v>
      </c>
      <c r="DA122" s="175" t="s">
        <v>536</v>
      </c>
    </row>
    <row r="123" spans="1:105" ht="11.45" customHeight="1" x14ac:dyDescent="0.25">
      <c r="A123" s="111" t="s">
        <v>111</v>
      </c>
      <c r="B123" s="102">
        <v>781</v>
      </c>
      <c r="C123" s="102">
        <v>582</v>
      </c>
      <c r="D123" s="102">
        <v>669</v>
      </c>
      <c r="E123" s="102">
        <v>724</v>
      </c>
      <c r="F123" s="102">
        <v>905</v>
      </c>
      <c r="G123" s="102">
        <v>612</v>
      </c>
      <c r="H123" s="102">
        <v>794</v>
      </c>
      <c r="I123" s="102">
        <v>705</v>
      </c>
      <c r="J123" s="102">
        <v>880</v>
      </c>
      <c r="K123" s="102">
        <v>549</v>
      </c>
      <c r="L123" s="102">
        <v>659</v>
      </c>
      <c r="M123" s="102">
        <v>566</v>
      </c>
      <c r="N123" s="102">
        <v>684</v>
      </c>
      <c r="O123" s="102">
        <v>691</v>
      </c>
      <c r="P123" s="102">
        <v>822</v>
      </c>
      <c r="Q123" s="102">
        <v>876</v>
      </c>
      <c r="R123" s="102">
        <v>1020</v>
      </c>
      <c r="S123" s="102">
        <v>1215</v>
      </c>
      <c r="T123" s="102">
        <v>1102</v>
      </c>
      <c r="U123" s="102">
        <v>1121</v>
      </c>
      <c r="V123" s="102">
        <v>844</v>
      </c>
      <c r="W123" s="102">
        <v>870</v>
      </c>
      <c r="DA123" s="175" t="s">
        <v>537</v>
      </c>
    </row>
    <row r="124" spans="1:105" ht="11.45" customHeight="1" x14ac:dyDescent="0.25">
      <c r="A124" s="111" t="s">
        <v>112</v>
      </c>
      <c r="B124" s="102">
        <v>0</v>
      </c>
      <c r="C124" s="102">
        <v>16</v>
      </c>
      <c r="D124" s="102">
        <v>32</v>
      </c>
      <c r="E124" s="102">
        <v>20</v>
      </c>
      <c r="F124" s="102">
        <v>25</v>
      </c>
      <c r="G124" s="102">
        <v>41</v>
      </c>
      <c r="H124" s="102">
        <v>32</v>
      </c>
      <c r="I124" s="102">
        <v>40</v>
      </c>
      <c r="J124" s="102">
        <v>38</v>
      </c>
      <c r="K124" s="102">
        <v>79</v>
      </c>
      <c r="L124" s="102">
        <v>44</v>
      </c>
      <c r="M124" s="102">
        <v>30</v>
      </c>
      <c r="N124" s="102">
        <v>3</v>
      </c>
      <c r="O124" s="102">
        <v>0</v>
      </c>
      <c r="P124" s="102">
        <v>0</v>
      </c>
      <c r="Q124" s="102">
        <v>0</v>
      </c>
      <c r="R124" s="102">
        <v>0</v>
      </c>
      <c r="S124" s="102">
        <v>0</v>
      </c>
      <c r="T124" s="102">
        <v>6</v>
      </c>
      <c r="U124" s="102">
        <v>0</v>
      </c>
      <c r="V124" s="102">
        <v>6</v>
      </c>
      <c r="W124" s="102">
        <v>5</v>
      </c>
      <c r="DA124" s="175" t="s">
        <v>538</v>
      </c>
    </row>
    <row r="125" spans="1:105" ht="11.45" customHeight="1" x14ac:dyDescent="0.25">
      <c r="A125" s="111" t="s">
        <v>113</v>
      </c>
      <c r="B125" s="102">
        <v>0</v>
      </c>
      <c r="C125" s="102">
        <v>0</v>
      </c>
      <c r="D125" s="102">
        <v>0</v>
      </c>
      <c r="E125" s="102">
        <v>0</v>
      </c>
      <c r="F125" s="102">
        <v>13</v>
      </c>
      <c r="G125" s="102">
        <v>0</v>
      </c>
      <c r="H125" s="102">
        <v>2</v>
      </c>
      <c r="I125" s="102">
        <v>42</v>
      </c>
      <c r="J125" s="102">
        <v>43</v>
      </c>
      <c r="K125" s="102">
        <v>197</v>
      </c>
      <c r="L125" s="102">
        <v>130</v>
      </c>
      <c r="M125" s="102">
        <v>20</v>
      </c>
      <c r="N125" s="102">
        <v>31</v>
      </c>
      <c r="O125" s="102">
        <v>121</v>
      </c>
      <c r="P125" s="102">
        <v>76</v>
      </c>
      <c r="Q125" s="102">
        <v>11</v>
      </c>
      <c r="R125" s="102">
        <v>0</v>
      </c>
      <c r="S125" s="102">
        <v>23</v>
      </c>
      <c r="T125" s="102">
        <v>0</v>
      </c>
      <c r="U125" s="102">
        <v>20</v>
      </c>
      <c r="V125" s="102">
        <v>8</v>
      </c>
      <c r="W125" s="102">
        <v>0</v>
      </c>
      <c r="DA125" s="175" t="s">
        <v>539</v>
      </c>
    </row>
    <row r="126" spans="1:105" ht="11.45" customHeight="1" x14ac:dyDescent="0.25">
      <c r="A126" s="111" t="s">
        <v>115</v>
      </c>
      <c r="B126" s="102">
        <v>11</v>
      </c>
      <c r="C126" s="102">
        <v>9</v>
      </c>
      <c r="D126" s="102">
        <v>10</v>
      </c>
      <c r="E126" s="102">
        <v>11</v>
      </c>
      <c r="F126" s="102">
        <v>0</v>
      </c>
      <c r="G126" s="102">
        <v>8</v>
      </c>
      <c r="H126" s="102">
        <v>2</v>
      </c>
      <c r="I126" s="102">
        <v>0</v>
      </c>
      <c r="J126" s="102">
        <v>2</v>
      </c>
      <c r="K126" s="102">
        <v>7</v>
      </c>
      <c r="L126" s="102">
        <v>9</v>
      </c>
      <c r="M126" s="102">
        <v>5</v>
      </c>
      <c r="N126" s="102">
        <v>14</v>
      </c>
      <c r="O126" s="102">
        <v>15</v>
      </c>
      <c r="P126" s="102">
        <v>1</v>
      </c>
      <c r="Q126" s="102">
        <v>12</v>
      </c>
      <c r="R126" s="102">
        <v>22</v>
      </c>
      <c r="S126" s="102">
        <v>6</v>
      </c>
      <c r="T126" s="102">
        <v>17</v>
      </c>
      <c r="U126" s="102">
        <v>22</v>
      </c>
      <c r="V126" s="102">
        <v>14</v>
      </c>
      <c r="W126" s="102">
        <v>11</v>
      </c>
      <c r="DA126" s="175" t="s">
        <v>540</v>
      </c>
    </row>
    <row r="127" spans="1:105" ht="11.45" customHeight="1" x14ac:dyDescent="0.25">
      <c r="A127" s="27" t="s">
        <v>34</v>
      </c>
      <c r="B127" s="28">
        <f t="shared" ref="B127:K127" si="183">B128+B134</f>
        <v>33116</v>
      </c>
      <c r="C127" s="28">
        <f t="shared" si="183"/>
        <v>30300</v>
      </c>
      <c r="D127" s="28">
        <f t="shared" si="183"/>
        <v>28146</v>
      </c>
      <c r="E127" s="28">
        <f t="shared" si="183"/>
        <v>31452</v>
      </c>
      <c r="F127" s="28">
        <f t="shared" si="183"/>
        <v>37653</v>
      </c>
      <c r="G127" s="28">
        <f t="shared" si="183"/>
        <v>35658</v>
      </c>
      <c r="H127" s="28">
        <f t="shared" si="183"/>
        <v>37465</v>
      </c>
      <c r="I127" s="28">
        <f t="shared" si="183"/>
        <v>41115</v>
      </c>
      <c r="J127" s="28">
        <f t="shared" si="183"/>
        <v>42240</v>
      </c>
      <c r="K127" s="28">
        <f t="shared" si="183"/>
        <v>29223</v>
      </c>
      <c r="L127" s="28">
        <f t="shared" ref="L127" si="184">L128+L134</f>
        <v>34525</v>
      </c>
      <c r="M127" s="28">
        <f t="shared" ref="M127:V127" si="185">M128+M134</f>
        <v>39888</v>
      </c>
      <c r="N127" s="28">
        <f t="shared" si="185"/>
        <v>37519</v>
      </c>
      <c r="O127" s="28">
        <f t="shared" si="185"/>
        <v>39569</v>
      </c>
      <c r="P127" s="28">
        <f t="shared" si="185"/>
        <v>39121</v>
      </c>
      <c r="Q127" s="28">
        <f t="shared" si="185"/>
        <v>41692</v>
      </c>
      <c r="R127" s="28">
        <f t="shared" si="185"/>
        <v>45490</v>
      </c>
      <c r="S127" s="28">
        <f t="shared" si="185"/>
        <v>50084</v>
      </c>
      <c r="T127" s="28">
        <f t="shared" si="185"/>
        <v>52140</v>
      </c>
      <c r="U127" s="28">
        <f t="shared" si="185"/>
        <v>52968</v>
      </c>
      <c r="V127" s="28">
        <f t="shared" si="185"/>
        <v>46573</v>
      </c>
      <c r="W127" s="28">
        <f t="shared" ref="W127" si="186">W128+W134</f>
        <v>66637</v>
      </c>
      <c r="DA127" s="173" t="s">
        <v>541</v>
      </c>
    </row>
    <row r="128" spans="1:105" ht="11.45" customHeight="1" x14ac:dyDescent="0.25">
      <c r="A128" s="136" t="s">
        <v>156</v>
      </c>
      <c r="B128" s="137">
        <f t="shared" ref="B128:K128" si="187">SUM(B129:B133)</f>
        <v>26360</v>
      </c>
      <c r="C128" s="137">
        <f t="shared" si="187"/>
        <v>23313</v>
      </c>
      <c r="D128" s="137">
        <f t="shared" si="187"/>
        <v>21795</v>
      </c>
      <c r="E128" s="137">
        <f t="shared" si="187"/>
        <v>24837</v>
      </c>
      <c r="F128" s="137">
        <f t="shared" si="187"/>
        <v>28196</v>
      </c>
      <c r="G128" s="137">
        <f t="shared" si="187"/>
        <v>28195</v>
      </c>
      <c r="H128" s="137">
        <f t="shared" si="187"/>
        <v>29860</v>
      </c>
      <c r="I128" s="137">
        <f t="shared" si="187"/>
        <v>31794</v>
      </c>
      <c r="J128" s="137">
        <f t="shared" si="187"/>
        <v>32203</v>
      </c>
      <c r="K128" s="137">
        <f t="shared" si="187"/>
        <v>25156</v>
      </c>
      <c r="L128" s="137">
        <f t="shared" ref="L128" si="188">SUM(L129:L133)</f>
        <v>27741</v>
      </c>
      <c r="M128" s="137">
        <f t="shared" ref="M128:V128" si="189">SUM(M129:M133)</f>
        <v>35348</v>
      </c>
      <c r="N128" s="137">
        <f t="shared" si="189"/>
        <v>31516</v>
      </c>
      <c r="O128" s="137">
        <f t="shared" si="189"/>
        <v>32296</v>
      </c>
      <c r="P128" s="137">
        <f t="shared" si="189"/>
        <v>32148</v>
      </c>
      <c r="Q128" s="137">
        <f t="shared" si="189"/>
        <v>33834</v>
      </c>
      <c r="R128" s="137">
        <f t="shared" si="189"/>
        <v>37460</v>
      </c>
      <c r="S128" s="137">
        <f t="shared" si="189"/>
        <v>40852</v>
      </c>
      <c r="T128" s="137">
        <f t="shared" si="189"/>
        <v>44158</v>
      </c>
      <c r="U128" s="137">
        <f t="shared" si="189"/>
        <v>44217</v>
      </c>
      <c r="V128" s="137">
        <f t="shared" si="189"/>
        <v>38750</v>
      </c>
      <c r="W128" s="137">
        <f t="shared" ref="W128" si="190">SUM(W129:W133)</f>
        <v>57780</v>
      </c>
      <c r="DA128" s="174" t="s">
        <v>542</v>
      </c>
    </row>
    <row r="129" spans="1:105" ht="11.45" customHeight="1" x14ac:dyDescent="0.25">
      <c r="A129" s="111" t="s">
        <v>110</v>
      </c>
      <c r="B129" s="84">
        <v>378</v>
      </c>
      <c r="C129" s="84">
        <v>199</v>
      </c>
      <c r="D129" s="84">
        <v>217</v>
      </c>
      <c r="E129" s="84">
        <v>317</v>
      </c>
      <c r="F129" s="84">
        <v>473</v>
      </c>
      <c r="G129" s="84">
        <v>500</v>
      </c>
      <c r="H129" s="84">
        <v>651</v>
      </c>
      <c r="I129" s="84">
        <v>903</v>
      </c>
      <c r="J129" s="84">
        <v>1070</v>
      </c>
      <c r="K129" s="84">
        <v>1294</v>
      </c>
      <c r="L129" s="84">
        <v>1149</v>
      </c>
      <c r="M129" s="84">
        <v>1235</v>
      </c>
      <c r="N129" s="84">
        <v>1400</v>
      </c>
      <c r="O129" s="84">
        <v>2301</v>
      </c>
      <c r="P129" s="84">
        <v>2300</v>
      </c>
      <c r="Q129" s="84">
        <v>2087</v>
      </c>
      <c r="R129" s="84">
        <v>1846</v>
      </c>
      <c r="S129" s="84">
        <v>2230</v>
      </c>
      <c r="T129" s="84">
        <v>2654</v>
      </c>
      <c r="U129" s="84">
        <v>2079</v>
      </c>
      <c r="V129" s="84">
        <v>1124</v>
      </c>
      <c r="W129" s="84">
        <v>1919</v>
      </c>
      <c r="DA129" s="171" t="s">
        <v>543</v>
      </c>
    </row>
    <row r="130" spans="1:105" ht="11.45" customHeight="1" x14ac:dyDescent="0.25">
      <c r="A130" s="111" t="s">
        <v>111</v>
      </c>
      <c r="B130" s="84">
        <v>25982</v>
      </c>
      <c r="C130" s="84">
        <v>23105</v>
      </c>
      <c r="D130" s="84">
        <v>21578</v>
      </c>
      <c r="E130" s="84">
        <v>24513</v>
      </c>
      <c r="F130" s="84">
        <v>27711</v>
      </c>
      <c r="G130" s="84">
        <v>27631</v>
      </c>
      <c r="H130" s="84">
        <v>29138</v>
      </c>
      <c r="I130" s="84">
        <v>30812</v>
      </c>
      <c r="J130" s="84">
        <v>30891</v>
      </c>
      <c r="K130" s="84">
        <v>23719</v>
      </c>
      <c r="L130" s="84">
        <v>26440</v>
      </c>
      <c r="M130" s="84">
        <v>33930</v>
      </c>
      <c r="N130" s="84">
        <v>29637</v>
      </c>
      <c r="O130" s="84">
        <v>29004</v>
      </c>
      <c r="P130" s="84">
        <v>29456</v>
      </c>
      <c r="Q130" s="84">
        <v>31334</v>
      </c>
      <c r="R130" s="84">
        <v>34304</v>
      </c>
      <c r="S130" s="84">
        <v>38242</v>
      </c>
      <c r="T130" s="84">
        <v>40922</v>
      </c>
      <c r="U130" s="84">
        <v>41541</v>
      </c>
      <c r="V130" s="84">
        <v>36755</v>
      </c>
      <c r="W130" s="84">
        <v>53423</v>
      </c>
      <c r="DA130" s="171" t="s">
        <v>544</v>
      </c>
    </row>
    <row r="131" spans="1:105" ht="11.45" customHeight="1" x14ac:dyDescent="0.25">
      <c r="A131" s="111" t="s">
        <v>112</v>
      </c>
      <c r="B131" s="84">
        <v>0</v>
      </c>
      <c r="C131" s="84">
        <v>0</v>
      </c>
      <c r="D131" s="84">
        <v>0</v>
      </c>
      <c r="E131" s="84">
        <v>7</v>
      </c>
      <c r="F131" s="84">
        <v>12</v>
      </c>
      <c r="G131" s="84">
        <v>64</v>
      </c>
      <c r="H131" s="84">
        <v>0</v>
      </c>
      <c r="I131" s="84">
        <v>0</v>
      </c>
      <c r="J131" s="84">
        <v>0</v>
      </c>
      <c r="K131" s="84">
        <v>0</v>
      </c>
      <c r="L131" s="84">
        <v>0</v>
      </c>
      <c r="M131" s="84">
        <v>0</v>
      </c>
      <c r="N131" s="84">
        <v>9</v>
      </c>
      <c r="O131" s="84">
        <v>13</v>
      </c>
      <c r="P131" s="84">
        <v>18</v>
      </c>
      <c r="Q131" s="84">
        <v>11</v>
      </c>
      <c r="R131" s="84">
        <v>59</v>
      </c>
      <c r="S131" s="84">
        <v>13</v>
      </c>
      <c r="T131" s="84">
        <v>9</v>
      </c>
      <c r="U131" s="84">
        <v>20</v>
      </c>
      <c r="V131" s="84">
        <v>36</v>
      </c>
      <c r="W131" s="84">
        <v>40</v>
      </c>
      <c r="DA131" s="171" t="s">
        <v>545</v>
      </c>
    </row>
    <row r="132" spans="1:105" ht="11.45" customHeight="1" x14ac:dyDescent="0.25">
      <c r="A132" s="111" t="s">
        <v>113</v>
      </c>
      <c r="B132" s="84">
        <v>0</v>
      </c>
      <c r="C132" s="84">
        <v>0</v>
      </c>
      <c r="D132" s="84">
        <v>0</v>
      </c>
      <c r="E132" s="84">
        <v>0</v>
      </c>
      <c r="F132" s="84">
        <v>0</v>
      </c>
      <c r="G132" s="84">
        <v>0</v>
      </c>
      <c r="H132" s="84">
        <v>71</v>
      </c>
      <c r="I132" s="84">
        <v>73</v>
      </c>
      <c r="J132" s="84">
        <v>238</v>
      </c>
      <c r="K132" s="84">
        <v>128</v>
      </c>
      <c r="L132" s="84">
        <v>127</v>
      </c>
      <c r="M132" s="84">
        <v>142</v>
      </c>
      <c r="N132" s="84">
        <v>192</v>
      </c>
      <c r="O132" s="84">
        <v>744</v>
      </c>
      <c r="P132" s="84">
        <v>172</v>
      </c>
      <c r="Q132" s="84">
        <v>149</v>
      </c>
      <c r="R132" s="84">
        <v>806</v>
      </c>
      <c r="S132" s="84">
        <v>100</v>
      </c>
      <c r="T132" s="84">
        <v>120</v>
      </c>
      <c r="U132" s="84">
        <v>88</v>
      </c>
      <c r="V132" s="84">
        <v>52</v>
      </c>
      <c r="W132" s="84">
        <v>78</v>
      </c>
      <c r="DA132" s="171" t="s">
        <v>546</v>
      </c>
    </row>
    <row r="133" spans="1:105" ht="11.45" customHeight="1" x14ac:dyDescent="0.25">
      <c r="A133" s="111" t="s">
        <v>115</v>
      </c>
      <c r="B133" s="84">
        <v>0</v>
      </c>
      <c r="C133" s="84">
        <v>9</v>
      </c>
      <c r="D133" s="84">
        <v>0</v>
      </c>
      <c r="E133" s="84">
        <v>0</v>
      </c>
      <c r="F133" s="84">
        <v>0</v>
      </c>
      <c r="G133" s="84">
        <v>0</v>
      </c>
      <c r="H133" s="84">
        <v>0</v>
      </c>
      <c r="I133" s="84">
        <v>6</v>
      </c>
      <c r="J133" s="84">
        <v>4</v>
      </c>
      <c r="K133" s="84">
        <v>15</v>
      </c>
      <c r="L133" s="84">
        <v>25</v>
      </c>
      <c r="M133" s="84">
        <v>41</v>
      </c>
      <c r="N133" s="84">
        <v>278</v>
      </c>
      <c r="O133" s="84">
        <v>234</v>
      </c>
      <c r="P133" s="84">
        <v>202</v>
      </c>
      <c r="Q133" s="84">
        <v>253</v>
      </c>
      <c r="R133" s="84">
        <v>445</v>
      </c>
      <c r="S133" s="84">
        <v>267</v>
      </c>
      <c r="T133" s="84">
        <v>453</v>
      </c>
      <c r="U133" s="84">
        <v>489</v>
      </c>
      <c r="V133" s="84">
        <v>783</v>
      </c>
      <c r="W133" s="84">
        <v>2320</v>
      </c>
      <c r="DA133" s="171" t="s">
        <v>547</v>
      </c>
    </row>
    <row r="134" spans="1:105" ht="11.45" customHeight="1" x14ac:dyDescent="0.25">
      <c r="A134" s="109" t="s">
        <v>158</v>
      </c>
      <c r="B134" s="110">
        <f t="shared" ref="B134:K134" si="191">SUM(B135:B136)</f>
        <v>6756</v>
      </c>
      <c r="C134" s="110">
        <f t="shared" si="191"/>
        <v>6987</v>
      </c>
      <c r="D134" s="110">
        <f t="shared" si="191"/>
        <v>6351</v>
      </c>
      <c r="E134" s="110">
        <f t="shared" si="191"/>
        <v>6615</v>
      </c>
      <c r="F134" s="110">
        <f t="shared" si="191"/>
        <v>9457</v>
      </c>
      <c r="G134" s="110">
        <f t="shared" si="191"/>
        <v>7463</v>
      </c>
      <c r="H134" s="110">
        <f t="shared" si="191"/>
        <v>7605</v>
      </c>
      <c r="I134" s="110">
        <f t="shared" si="191"/>
        <v>9321</v>
      </c>
      <c r="J134" s="110">
        <f t="shared" si="191"/>
        <v>10037</v>
      </c>
      <c r="K134" s="110">
        <f t="shared" si="191"/>
        <v>4067</v>
      </c>
      <c r="L134" s="110">
        <f t="shared" ref="L134" si="192">SUM(L135:L136)</f>
        <v>6784</v>
      </c>
      <c r="M134" s="110">
        <f t="shared" ref="M134:V134" si="193">SUM(M135:M136)</f>
        <v>4540</v>
      </c>
      <c r="N134" s="110">
        <f t="shared" si="193"/>
        <v>6003</v>
      </c>
      <c r="O134" s="110">
        <f t="shared" si="193"/>
        <v>7273</v>
      </c>
      <c r="P134" s="110">
        <f t="shared" si="193"/>
        <v>6973</v>
      </c>
      <c r="Q134" s="110">
        <f t="shared" si="193"/>
        <v>7858</v>
      </c>
      <c r="R134" s="110">
        <f t="shared" si="193"/>
        <v>8030</v>
      </c>
      <c r="S134" s="110">
        <f t="shared" si="193"/>
        <v>9232</v>
      </c>
      <c r="T134" s="110">
        <f t="shared" si="193"/>
        <v>7982</v>
      </c>
      <c r="U134" s="110">
        <f t="shared" si="193"/>
        <v>8751</v>
      </c>
      <c r="V134" s="110">
        <f t="shared" si="193"/>
        <v>7823</v>
      </c>
      <c r="W134" s="110">
        <f t="shared" ref="W134" si="194">SUM(W135:W136)</f>
        <v>8857</v>
      </c>
      <c r="DA134" s="176" t="s">
        <v>548</v>
      </c>
    </row>
    <row r="135" spans="1:105" ht="11.45" customHeight="1" x14ac:dyDescent="0.25">
      <c r="A135" s="128" t="s">
        <v>27</v>
      </c>
      <c r="B135" s="102">
        <v>5573</v>
      </c>
      <c r="C135" s="102">
        <v>4975</v>
      </c>
      <c r="D135" s="102">
        <v>4334</v>
      </c>
      <c r="E135" s="102">
        <v>4788</v>
      </c>
      <c r="F135" s="102">
        <v>5295</v>
      </c>
      <c r="G135" s="102">
        <v>5079</v>
      </c>
      <c r="H135" s="102">
        <v>4842</v>
      </c>
      <c r="I135" s="102">
        <v>5037</v>
      </c>
      <c r="J135" s="102">
        <v>5420</v>
      </c>
      <c r="K135" s="102">
        <v>4067</v>
      </c>
      <c r="L135" s="102">
        <v>4057</v>
      </c>
      <c r="M135" s="102">
        <v>1854</v>
      </c>
      <c r="N135" s="102">
        <v>4290</v>
      </c>
      <c r="O135" s="102">
        <v>4266</v>
      </c>
      <c r="P135" s="102">
        <v>4344</v>
      </c>
      <c r="Q135" s="102">
        <v>4288</v>
      </c>
      <c r="R135" s="102">
        <v>4784</v>
      </c>
      <c r="S135" s="102">
        <v>4759</v>
      </c>
      <c r="T135" s="102">
        <v>5135</v>
      </c>
      <c r="U135" s="102">
        <v>5487</v>
      </c>
      <c r="V135" s="102">
        <v>4564</v>
      </c>
      <c r="W135" s="102">
        <v>4675</v>
      </c>
      <c r="DA135" s="175" t="s">
        <v>549</v>
      </c>
    </row>
    <row r="136" spans="1:105" ht="11.45" customHeight="1" x14ac:dyDescent="0.25">
      <c r="A136" s="138" t="s">
        <v>116</v>
      </c>
      <c r="B136" s="86">
        <v>1183</v>
      </c>
      <c r="C136" s="86">
        <v>2012</v>
      </c>
      <c r="D136" s="86">
        <v>2017</v>
      </c>
      <c r="E136" s="86">
        <v>1827</v>
      </c>
      <c r="F136" s="86">
        <v>4162</v>
      </c>
      <c r="G136" s="86">
        <v>2384</v>
      </c>
      <c r="H136" s="86">
        <v>2763</v>
      </c>
      <c r="I136" s="86">
        <v>4284</v>
      </c>
      <c r="J136" s="86">
        <v>4617</v>
      </c>
      <c r="K136" s="86">
        <v>0</v>
      </c>
      <c r="L136" s="86">
        <v>2727</v>
      </c>
      <c r="M136" s="86">
        <v>2686</v>
      </c>
      <c r="N136" s="86">
        <v>1713</v>
      </c>
      <c r="O136" s="86">
        <v>3007</v>
      </c>
      <c r="P136" s="86">
        <v>2629</v>
      </c>
      <c r="Q136" s="86">
        <v>3570</v>
      </c>
      <c r="R136" s="86">
        <v>3246</v>
      </c>
      <c r="S136" s="86">
        <v>4473</v>
      </c>
      <c r="T136" s="86">
        <v>2847</v>
      </c>
      <c r="U136" s="86">
        <v>3264</v>
      </c>
      <c r="V136" s="86">
        <v>3259</v>
      </c>
      <c r="W136" s="86">
        <v>4182</v>
      </c>
      <c r="DA136" s="178" t="s">
        <v>550</v>
      </c>
    </row>
    <row r="137" spans="1:105" ht="11.45" customHeight="1" x14ac:dyDescent="0.25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DA137" s="171"/>
    </row>
    <row r="138" spans="1:105" ht="11.45" customHeight="1" x14ac:dyDescent="0.25">
      <c r="A138" s="143" t="s">
        <v>36</v>
      </c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DA138" s="179"/>
    </row>
    <row r="139" spans="1:105" ht="11.45" customHeight="1" x14ac:dyDescent="0.25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DA139" s="171"/>
    </row>
    <row r="140" spans="1:105" ht="11.45" customHeight="1" x14ac:dyDescent="0.25">
      <c r="A140" s="53" t="s">
        <v>99</v>
      </c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DA140" s="172"/>
    </row>
    <row r="141" spans="1:105" ht="11.45" customHeight="1" x14ac:dyDescent="0.25">
      <c r="A141" s="27" t="s">
        <v>100</v>
      </c>
      <c r="B141" s="32">
        <f t="shared" ref="B141:K141" si="195">IF(B4=0,0,B4/B31)</f>
        <v>1.3412382403164378</v>
      </c>
      <c r="C141" s="32">
        <f t="shared" si="195"/>
        <v>1.3279468547152944</v>
      </c>
      <c r="D141" s="32">
        <f t="shared" si="195"/>
        <v>1.3166937066727569</v>
      </c>
      <c r="E141" s="32">
        <f t="shared" si="195"/>
        <v>1.3212126817675156</v>
      </c>
      <c r="F141" s="32">
        <f t="shared" si="195"/>
        <v>1.3186653330858884</v>
      </c>
      <c r="G141" s="32">
        <f t="shared" si="195"/>
        <v>1.2951436248692119</v>
      </c>
      <c r="H141" s="32">
        <f t="shared" si="195"/>
        <v>1.3022385998287571</v>
      </c>
      <c r="I141" s="32">
        <f t="shared" si="195"/>
        <v>1.2942712268658978</v>
      </c>
      <c r="J141" s="32">
        <f t="shared" si="195"/>
        <v>1.2964186956344441</v>
      </c>
      <c r="K141" s="32">
        <f t="shared" si="195"/>
        <v>1.280039106770241</v>
      </c>
      <c r="L141" s="32">
        <f t="shared" ref="L141" si="196">IF(L4=0,0,L4/L31)</f>
        <v>1.2813156108588273</v>
      </c>
      <c r="M141" s="32">
        <f t="shared" ref="M141:V141" si="197">IF(M4=0,0,M4/M31)</f>
        <v>1.28338451186997</v>
      </c>
      <c r="N141" s="32">
        <f t="shared" si="197"/>
        <v>1.2804198101453217</v>
      </c>
      <c r="O141" s="32">
        <f t="shared" si="197"/>
        <v>1.2767320902522037</v>
      </c>
      <c r="P141" s="32">
        <f t="shared" si="197"/>
        <v>1.2759089798136545</v>
      </c>
      <c r="Q141" s="32">
        <f t="shared" si="197"/>
        <v>1.2752934136117546</v>
      </c>
      <c r="R141" s="32">
        <f t="shared" si="197"/>
        <v>1.2758464347705243</v>
      </c>
      <c r="S141" s="32">
        <f t="shared" si="197"/>
        <v>1.2782072882419857</v>
      </c>
      <c r="T141" s="32">
        <f t="shared" si="197"/>
        <v>1.275589481014398</v>
      </c>
      <c r="U141" s="32">
        <f t="shared" si="197"/>
        <v>1.27809165568098</v>
      </c>
      <c r="V141" s="32">
        <f t="shared" si="197"/>
        <v>1.2500084480012412</v>
      </c>
      <c r="W141" s="32">
        <f t="shared" ref="W141" si="198">IF(W4=0,0,W4/W31)</f>
        <v>1.2611451369146578</v>
      </c>
      <c r="DA141" s="173" t="s">
        <v>551</v>
      </c>
    </row>
    <row r="142" spans="1:105" ht="11.45" customHeight="1" x14ac:dyDescent="0.25">
      <c r="A142" s="136" t="s">
        <v>180</v>
      </c>
      <c r="B142" s="141">
        <v>1.1549472685768511</v>
      </c>
      <c r="C142" s="141">
        <v>1.1549251164250134</v>
      </c>
      <c r="D142" s="141">
        <v>1.1547244330057378</v>
      </c>
      <c r="E142" s="141">
        <v>1.1552093820866824</v>
      </c>
      <c r="F142" s="141">
        <v>1.1553640856511076</v>
      </c>
      <c r="G142" s="141">
        <v>1.1543178727366703</v>
      </c>
      <c r="H142" s="141">
        <v>1.1546398637822317</v>
      </c>
      <c r="I142" s="141">
        <v>1.1564931393319677</v>
      </c>
      <c r="J142" s="141">
        <v>1.1571017737935942</v>
      </c>
      <c r="K142" s="141">
        <v>1.1576570562583652</v>
      </c>
      <c r="L142" s="141">
        <v>1.1556682113354202</v>
      </c>
      <c r="M142" s="141">
        <v>1.1546558434345866</v>
      </c>
      <c r="N142" s="141">
        <v>1.1475295413899496</v>
      </c>
      <c r="O142" s="141">
        <v>1.1469392088128179</v>
      </c>
      <c r="P142" s="141">
        <v>1.1494295322312345</v>
      </c>
      <c r="Q142" s="141">
        <v>1.1514161199072459</v>
      </c>
      <c r="R142" s="141">
        <v>1.1526490389349591</v>
      </c>
      <c r="S142" s="141">
        <v>1.151142032191351</v>
      </c>
      <c r="T142" s="141">
        <v>1.1498511818312076</v>
      </c>
      <c r="U142" s="141">
        <v>1.1508466528007728</v>
      </c>
      <c r="V142" s="141">
        <v>1.1494945335803779</v>
      </c>
      <c r="W142" s="141">
        <v>1.1495477038606612</v>
      </c>
      <c r="DA142" s="174" t="s">
        <v>552</v>
      </c>
    </row>
    <row r="143" spans="1:105" ht="11.45" customHeight="1" x14ac:dyDescent="0.25">
      <c r="A143" s="109" t="s">
        <v>20</v>
      </c>
      <c r="B143" s="130">
        <f t="shared" ref="B143:K143" si="199">IF(B6=0,0,B6/B33)</f>
        <v>1.1903942449981959</v>
      </c>
      <c r="C143" s="130">
        <f t="shared" si="199"/>
        <v>1.1800731661578832</v>
      </c>
      <c r="D143" s="130">
        <f t="shared" si="199"/>
        <v>1.1724572720949527</v>
      </c>
      <c r="E143" s="130">
        <f t="shared" si="199"/>
        <v>1.1766098432098075</v>
      </c>
      <c r="F143" s="130">
        <f t="shared" si="199"/>
        <v>1.1749058860210555</v>
      </c>
      <c r="G143" s="130">
        <f t="shared" si="199"/>
        <v>1.1534611351484603</v>
      </c>
      <c r="H143" s="130">
        <f t="shared" si="199"/>
        <v>1.1583444529045457</v>
      </c>
      <c r="I143" s="130">
        <f t="shared" si="199"/>
        <v>1.1506108151184415</v>
      </c>
      <c r="J143" s="130">
        <f t="shared" si="199"/>
        <v>1.1525569075226632</v>
      </c>
      <c r="K143" s="130">
        <f t="shared" si="199"/>
        <v>1.1509235275928849</v>
      </c>
      <c r="L143" s="130">
        <f t="shared" ref="L143" si="200">IF(L6=0,0,L6/L33)</f>
        <v>1.1500010457172232</v>
      </c>
      <c r="M143" s="130">
        <f t="shared" ref="M143:V143" si="201">IF(M6=0,0,M6/M33)</f>
        <v>1.1494896420278531</v>
      </c>
      <c r="N143" s="130">
        <f t="shared" si="201"/>
        <v>1.1484750883989667</v>
      </c>
      <c r="O143" s="130">
        <f t="shared" si="201"/>
        <v>1.1456966448356294</v>
      </c>
      <c r="P143" s="130">
        <f t="shared" si="201"/>
        <v>1.145009675741737</v>
      </c>
      <c r="Q143" s="130">
        <f t="shared" si="201"/>
        <v>1.1451985660867683</v>
      </c>
      <c r="R143" s="130">
        <f t="shared" si="201"/>
        <v>1.1451692758803027</v>
      </c>
      <c r="S143" s="130">
        <f t="shared" si="201"/>
        <v>1.1463509557730536</v>
      </c>
      <c r="T143" s="130">
        <f t="shared" si="201"/>
        <v>1.1465471197309078</v>
      </c>
      <c r="U143" s="130">
        <f t="shared" si="201"/>
        <v>1.1468694219876208</v>
      </c>
      <c r="V143" s="130">
        <f t="shared" si="201"/>
        <v>1.1343175951040192</v>
      </c>
      <c r="W143" s="130">
        <f t="shared" ref="W143" si="202">IF(W6=0,0,W6/W33)</f>
        <v>1.1474508863325052</v>
      </c>
      <c r="DA143" s="176" t="s">
        <v>553</v>
      </c>
    </row>
    <row r="144" spans="1:105" ht="11.45" customHeight="1" x14ac:dyDescent="0.25">
      <c r="A144" s="111" t="s">
        <v>110</v>
      </c>
      <c r="B144" s="96">
        <v>1.1903942449981959</v>
      </c>
      <c r="C144" s="96">
        <v>1.1800731661578832</v>
      </c>
      <c r="D144" s="96">
        <v>1.1724572720949529</v>
      </c>
      <c r="E144" s="96">
        <v>1.1766098432098071</v>
      </c>
      <c r="F144" s="96">
        <v>1.1749058860210555</v>
      </c>
      <c r="G144" s="96">
        <v>1.15346113514846</v>
      </c>
      <c r="H144" s="96">
        <v>1.1583444529045461</v>
      </c>
      <c r="I144" s="96">
        <v>1.1506108151184415</v>
      </c>
      <c r="J144" s="96">
        <v>1.1525569075226627</v>
      </c>
      <c r="K144" s="96">
        <v>1.1509235275928844</v>
      </c>
      <c r="L144" s="96">
        <v>1.1500010457172227</v>
      </c>
      <c r="M144" s="96">
        <v>1.1494896420278531</v>
      </c>
      <c r="N144" s="96">
        <v>1.1484750883989665</v>
      </c>
      <c r="O144" s="96">
        <v>1.1456966448356298</v>
      </c>
      <c r="P144" s="96">
        <v>1.1450096757417367</v>
      </c>
      <c r="Q144" s="96">
        <v>1.1451985660867685</v>
      </c>
      <c r="R144" s="96">
        <v>1.1451692758803027</v>
      </c>
      <c r="S144" s="96">
        <v>1.1463509557730533</v>
      </c>
      <c r="T144" s="96">
        <v>1.1465471197309081</v>
      </c>
      <c r="U144" s="96">
        <v>1.1468694219876212</v>
      </c>
      <c r="V144" s="96">
        <v>1.1343175951040192</v>
      </c>
      <c r="W144" s="96">
        <v>1.1474508863325048</v>
      </c>
      <c r="DA144" s="171" t="s">
        <v>554</v>
      </c>
    </row>
    <row r="145" spans="1:105" ht="11.45" customHeight="1" x14ac:dyDescent="0.25">
      <c r="A145" s="111" t="s">
        <v>111</v>
      </c>
      <c r="B145" s="96">
        <v>1.1903942449981963</v>
      </c>
      <c r="C145" s="96">
        <v>1.1800731661578829</v>
      </c>
      <c r="D145" s="96">
        <v>1.1724572720949527</v>
      </c>
      <c r="E145" s="96">
        <v>1.1766098432098078</v>
      </c>
      <c r="F145" s="96">
        <v>1.1749058860210557</v>
      </c>
      <c r="G145" s="96">
        <v>1.15346113514846</v>
      </c>
      <c r="H145" s="96">
        <v>1.1583444529045461</v>
      </c>
      <c r="I145" s="96">
        <v>1.1506108151184415</v>
      </c>
      <c r="J145" s="96">
        <v>1.1525569075226629</v>
      </c>
      <c r="K145" s="96">
        <v>1.1509235275928849</v>
      </c>
      <c r="L145" s="96">
        <v>1.1500010457172232</v>
      </c>
      <c r="M145" s="96">
        <v>1.1494896420278531</v>
      </c>
      <c r="N145" s="96">
        <v>1.1484750883989665</v>
      </c>
      <c r="O145" s="96">
        <v>1.1456966448356294</v>
      </c>
      <c r="P145" s="96">
        <v>1.1450096757417367</v>
      </c>
      <c r="Q145" s="96">
        <v>1.1451985660867683</v>
      </c>
      <c r="R145" s="96">
        <v>1.1451692758803027</v>
      </c>
      <c r="S145" s="96">
        <v>1.1463509557730533</v>
      </c>
      <c r="T145" s="96">
        <v>1.1465471197309081</v>
      </c>
      <c r="U145" s="96">
        <v>1.1468694219876212</v>
      </c>
      <c r="V145" s="96">
        <v>1.134317595104019</v>
      </c>
      <c r="W145" s="96">
        <v>1.1474508863325052</v>
      </c>
      <c r="DA145" s="171" t="s">
        <v>555</v>
      </c>
    </row>
    <row r="146" spans="1:105" ht="11.45" customHeight="1" x14ac:dyDescent="0.25">
      <c r="A146" s="111" t="s">
        <v>112</v>
      </c>
      <c r="B146" s="96">
        <v>1.1903942449981959</v>
      </c>
      <c r="C146" s="96">
        <v>1.1800731661578832</v>
      </c>
      <c r="D146" s="96">
        <v>1.1724572720949527</v>
      </c>
      <c r="E146" s="96">
        <v>1.1766098432098073</v>
      </c>
      <c r="F146" s="96">
        <v>1.1749058860210555</v>
      </c>
      <c r="G146" s="96">
        <v>1.1534611351484603</v>
      </c>
      <c r="H146" s="96">
        <v>1.1583444529045459</v>
      </c>
      <c r="I146" s="96">
        <v>1.1506108151184415</v>
      </c>
      <c r="J146" s="96">
        <v>1.1525569075226632</v>
      </c>
      <c r="K146" s="96">
        <v>1.1509235275928846</v>
      </c>
      <c r="L146" s="96">
        <v>1.1500010457172232</v>
      </c>
      <c r="M146" s="96">
        <v>1.1494896420278531</v>
      </c>
      <c r="N146" s="96">
        <v>1.1484750883989665</v>
      </c>
      <c r="O146" s="96">
        <v>1.1456966448356296</v>
      </c>
      <c r="P146" s="96">
        <v>1.145009675741737</v>
      </c>
      <c r="Q146" s="96">
        <v>1.1451985660867683</v>
      </c>
      <c r="R146" s="96">
        <v>1.1451692758803027</v>
      </c>
      <c r="S146" s="96">
        <v>1.1463509557730536</v>
      </c>
      <c r="T146" s="96">
        <v>1.1465471197309081</v>
      </c>
      <c r="U146" s="96">
        <v>1.1468694219876212</v>
      </c>
      <c r="V146" s="96">
        <v>1.1343175951040192</v>
      </c>
      <c r="W146" s="96">
        <v>1.1474508863325048</v>
      </c>
      <c r="DA146" s="171" t="s">
        <v>556</v>
      </c>
    </row>
    <row r="147" spans="1:105" ht="11.45" customHeight="1" x14ac:dyDescent="0.25">
      <c r="A147" s="111" t="s">
        <v>113</v>
      </c>
      <c r="B147" s="96">
        <v>0</v>
      </c>
      <c r="C147" s="96">
        <v>0</v>
      </c>
      <c r="D147" s="96">
        <v>0</v>
      </c>
      <c r="E147" s="96">
        <v>0</v>
      </c>
      <c r="F147" s="96">
        <v>0</v>
      </c>
      <c r="G147" s="96">
        <v>0</v>
      </c>
      <c r="H147" s="96">
        <v>1.1583444529045459</v>
      </c>
      <c r="I147" s="96">
        <v>1.1506108151184415</v>
      </c>
      <c r="J147" s="96">
        <v>1.1525569075226632</v>
      </c>
      <c r="K147" s="96">
        <v>1.1509235275928846</v>
      </c>
      <c r="L147" s="96">
        <v>1.1500010457172232</v>
      </c>
      <c r="M147" s="96">
        <v>1.1494896420278531</v>
      </c>
      <c r="N147" s="96">
        <v>1.1484750883989665</v>
      </c>
      <c r="O147" s="96">
        <v>1.1456966448356296</v>
      </c>
      <c r="P147" s="96">
        <v>1.145009675741737</v>
      </c>
      <c r="Q147" s="96">
        <v>1.1451985660867683</v>
      </c>
      <c r="R147" s="96">
        <v>1.1451692758803027</v>
      </c>
      <c r="S147" s="96">
        <v>1.1463509557730536</v>
      </c>
      <c r="T147" s="96">
        <v>1.1465471197309081</v>
      </c>
      <c r="U147" s="96">
        <v>1.1468694219876212</v>
      </c>
      <c r="V147" s="96">
        <v>1.1343175951040192</v>
      </c>
      <c r="W147" s="96">
        <v>1.1474508863325048</v>
      </c>
      <c r="DA147" s="171" t="s">
        <v>557</v>
      </c>
    </row>
    <row r="148" spans="1:105" ht="11.45" customHeight="1" x14ac:dyDescent="0.25">
      <c r="A148" s="111" t="s">
        <v>114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0</v>
      </c>
      <c r="H148" s="96">
        <v>0</v>
      </c>
      <c r="I148" s="96">
        <v>0</v>
      </c>
      <c r="J148" s="96">
        <v>0</v>
      </c>
      <c r="K148" s="96">
        <v>0</v>
      </c>
      <c r="L148" s="96">
        <v>0</v>
      </c>
      <c r="M148" s="96">
        <v>1.1494896420278531</v>
      </c>
      <c r="N148" s="96">
        <v>1.1484750883989665</v>
      </c>
      <c r="O148" s="96">
        <v>1.1456966448356296</v>
      </c>
      <c r="P148" s="96">
        <v>1.145009675741737</v>
      </c>
      <c r="Q148" s="96">
        <v>1.1451985660867683</v>
      </c>
      <c r="R148" s="96">
        <v>1.1451692758803027</v>
      </c>
      <c r="S148" s="96">
        <v>1.1463509557730536</v>
      </c>
      <c r="T148" s="96">
        <v>1.1465471197309081</v>
      </c>
      <c r="U148" s="96">
        <v>1.1468694219876212</v>
      </c>
      <c r="V148" s="96">
        <v>1.1343175951040192</v>
      </c>
      <c r="W148" s="96">
        <v>1.1474508863325048</v>
      </c>
      <c r="DA148" s="171" t="s">
        <v>558</v>
      </c>
    </row>
    <row r="149" spans="1:105" ht="11.45" customHeight="1" x14ac:dyDescent="0.25">
      <c r="A149" s="111" t="s">
        <v>115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1.1525569075226632</v>
      </c>
      <c r="K149" s="96">
        <v>1.1509235275928846</v>
      </c>
      <c r="L149" s="96">
        <v>1.1500010457172232</v>
      </c>
      <c r="M149" s="96">
        <v>1.1494896420278531</v>
      </c>
      <c r="N149" s="96">
        <v>1.1484750883989665</v>
      </c>
      <c r="O149" s="96">
        <v>1.1456966448356296</v>
      </c>
      <c r="P149" s="96">
        <v>1.145009675741737</v>
      </c>
      <c r="Q149" s="96">
        <v>1.1451985660867683</v>
      </c>
      <c r="R149" s="96">
        <v>1.1451692758803027</v>
      </c>
      <c r="S149" s="96">
        <v>1.1463509557730536</v>
      </c>
      <c r="T149" s="96">
        <v>1.1465471197309081</v>
      </c>
      <c r="U149" s="96">
        <v>1.1468694219876212</v>
      </c>
      <c r="V149" s="96">
        <v>1.1343175951040192</v>
      </c>
      <c r="W149" s="96">
        <v>1.1474508863325048</v>
      </c>
      <c r="DA149" s="171" t="s">
        <v>559</v>
      </c>
    </row>
    <row r="150" spans="1:105" ht="11.45" customHeight="1" x14ac:dyDescent="0.25">
      <c r="A150" s="109" t="s">
        <v>21</v>
      </c>
      <c r="B150" s="130">
        <f t="shared" ref="B150:K150" si="203">IF(B13=0,0,B13/B40)</f>
        <v>19.940446469187922</v>
      </c>
      <c r="C150" s="130">
        <f t="shared" si="203"/>
        <v>19.513537158531186</v>
      </c>
      <c r="D150" s="130">
        <f t="shared" si="203"/>
        <v>18.714456191769404</v>
      </c>
      <c r="E150" s="130">
        <f t="shared" si="203"/>
        <v>18.434971845356724</v>
      </c>
      <c r="F150" s="130">
        <f t="shared" si="203"/>
        <v>18.600102629538373</v>
      </c>
      <c r="G150" s="130">
        <f t="shared" si="203"/>
        <v>18.574614358606262</v>
      </c>
      <c r="H150" s="130">
        <f t="shared" si="203"/>
        <v>19.231660487524984</v>
      </c>
      <c r="I150" s="130">
        <f t="shared" si="203"/>
        <v>18.483292954086199</v>
      </c>
      <c r="J150" s="130">
        <f t="shared" si="203"/>
        <v>18.455971197567639</v>
      </c>
      <c r="K150" s="130">
        <f t="shared" si="203"/>
        <v>17.828172408902052</v>
      </c>
      <c r="L150" s="130">
        <f t="shared" ref="L150" si="204">IF(L13=0,0,L13/L40)</f>
        <v>16.923670696812561</v>
      </c>
      <c r="M150" s="130">
        <f t="shared" ref="M150:V150" si="205">IF(M13=0,0,M13/M40)</f>
        <v>17.531394439908759</v>
      </c>
      <c r="N150" s="130">
        <f t="shared" si="205"/>
        <v>17.251296404412315</v>
      </c>
      <c r="O150" s="130">
        <f t="shared" si="205"/>
        <v>17.275664745763176</v>
      </c>
      <c r="P150" s="130">
        <f t="shared" si="205"/>
        <v>17.210816501126079</v>
      </c>
      <c r="Q150" s="130">
        <f t="shared" si="205"/>
        <v>17.222992821729971</v>
      </c>
      <c r="R150" s="130">
        <f t="shared" si="205"/>
        <v>17.333136157077025</v>
      </c>
      <c r="S150" s="130">
        <f t="shared" si="205"/>
        <v>17.305140391881441</v>
      </c>
      <c r="T150" s="130">
        <f t="shared" si="205"/>
        <v>17.311966735498302</v>
      </c>
      <c r="U150" s="130">
        <f t="shared" si="205"/>
        <v>17.313650403217085</v>
      </c>
      <c r="V150" s="130">
        <f t="shared" si="205"/>
        <v>14.049541658847192</v>
      </c>
      <c r="W150" s="130">
        <f t="shared" ref="W150" si="206">IF(W13=0,0,W13/W40)</f>
        <v>14.483859121989104</v>
      </c>
      <c r="DA150" s="176" t="s">
        <v>560</v>
      </c>
    </row>
    <row r="151" spans="1:105" ht="11.45" customHeight="1" x14ac:dyDescent="0.25">
      <c r="A151" s="111" t="s">
        <v>110</v>
      </c>
      <c r="B151" s="97">
        <v>7.6694024881492009</v>
      </c>
      <c r="C151" s="97">
        <v>7.5052065994350716</v>
      </c>
      <c r="D151" s="97">
        <v>7.1978677660651549</v>
      </c>
      <c r="E151" s="97">
        <v>7.0903737866756638</v>
      </c>
      <c r="F151" s="97">
        <v>7.15388562674553</v>
      </c>
      <c r="G151" s="97">
        <v>7.1440824456177943</v>
      </c>
      <c r="H151" s="97">
        <v>7.3967924952019182</v>
      </c>
      <c r="I151" s="97">
        <v>7.1089588284946927</v>
      </c>
      <c r="J151" s="97">
        <v>7.0984504606029413</v>
      </c>
      <c r="K151" s="97">
        <v>6.856989388039251</v>
      </c>
      <c r="L151" s="97">
        <v>6.6509104114158673</v>
      </c>
      <c r="M151" s="97">
        <v>6.7428440153495215</v>
      </c>
      <c r="N151" s="97">
        <v>6.6635114001697051</v>
      </c>
      <c r="O151" s="97">
        <v>6.6644486440678143</v>
      </c>
      <c r="P151" s="97">
        <v>6.6619544808125415</v>
      </c>
      <c r="Q151" s="97">
        <v>6.6624228008357678</v>
      </c>
      <c r="R151" s="97">
        <v>6.6666590829645003</v>
      </c>
      <c r="S151" s="97">
        <v>6.6655823227646707</v>
      </c>
      <c r="T151" s="97">
        <v>6.6658448744422421</v>
      </c>
      <c r="U151" s="97">
        <v>6.6659096308929646</v>
      </c>
      <c r="V151" s="97">
        <v>6.5403669868787384</v>
      </c>
      <c r="W151" s="97">
        <v>6.5570715046918888</v>
      </c>
      <c r="DA151" s="175" t="s">
        <v>561</v>
      </c>
    </row>
    <row r="152" spans="1:105" ht="11.45" customHeight="1" x14ac:dyDescent="0.25">
      <c r="A152" s="111" t="s">
        <v>111</v>
      </c>
      <c r="B152" s="97">
        <v>19.958490486006056</v>
      </c>
      <c r="C152" s="97">
        <v>19.532606524526575</v>
      </c>
      <c r="D152" s="97">
        <v>18.730031719382499</v>
      </c>
      <c r="E152" s="97">
        <v>18.448866101080156</v>
      </c>
      <c r="F152" s="97">
        <v>18.612459173352114</v>
      </c>
      <c r="G152" s="97">
        <v>18.584322039235609</v>
      </c>
      <c r="H152" s="97">
        <v>19.24027694846054</v>
      </c>
      <c r="I152" s="97">
        <v>18.491582646071127</v>
      </c>
      <c r="J152" s="97">
        <v>18.462814399827881</v>
      </c>
      <c r="K152" s="97">
        <v>17.833210690597422</v>
      </c>
      <c r="L152" s="97">
        <v>16.928343243217491</v>
      </c>
      <c r="M152" s="97">
        <v>17.535085715644922</v>
      </c>
      <c r="N152" s="97">
        <v>17.25493744780475</v>
      </c>
      <c r="O152" s="97">
        <v>17.278059958800153</v>
      </c>
      <c r="P152" s="97">
        <v>17.213770884085204</v>
      </c>
      <c r="Q152" s="97">
        <v>17.225347875001408</v>
      </c>
      <c r="R152" s="97">
        <v>17.336269465245774</v>
      </c>
      <c r="S152" s="97">
        <v>17.308223944291626</v>
      </c>
      <c r="T152" s="97">
        <v>17.315162155980044</v>
      </c>
      <c r="U152" s="97">
        <v>17.316808052144168</v>
      </c>
      <c r="V152" s="97">
        <v>14.051226166480667</v>
      </c>
      <c r="W152" s="97">
        <v>14.486212567513373</v>
      </c>
      <c r="DA152" s="175" t="s">
        <v>562</v>
      </c>
    </row>
    <row r="153" spans="1:105" ht="11.45" customHeight="1" x14ac:dyDescent="0.25">
      <c r="A153" s="111" t="s">
        <v>112</v>
      </c>
      <c r="B153" s="97">
        <v>0</v>
      </c>
      <c r="C153" s="97">
        <v>19.532606524526571</v>
      </c>
      <c r="D153" s="97">
        <v>18.730031719382499</v>
      </c>
      <c r="E153" s="97">
        <v>18.44886610108016</v>
      </c>
      <c r="F153" s="97">
        <v>18.612459173352118</v>
      </c>
      <c r="G153" s="97">
        <v>18.584322039235612</v>
      </c>
      <c r="H153" s="97">
        <v>19.240276948460544</v>
      </c>
      <c r="I153" s="97">
        <v>18.491582646071127</v>
      </c>
      <c r="J153" s="97">
        <v>18.462814399827884</v>
      </c>
      <c r="K153" s="97">
        <v>17.833210690597422</v>
      </c>
      <c r="L153" s="97">
        <v>16.928343243217491</v>
      </c>
      <c r="M153" s="97">
        <v>17.535085715644918</v>
      </c>
      <c r="N153" s="97">
        <v>17.25493744780475</v>
      </c>
      <c r="O153" s="97">
        <v>17.278059958800149</v>
      </c>
      <c r="P153" s="97">
        <v>17.213770884085204</v>
      </c>
      <c r="Q153" s="97">
        <v>17.225347875001411</v>
      </c>
      <c r="R153" s="97">
        <v>17.336269465245781</v>
      </c>
      <c r="S153" s="97">
        <v>17.308223944291623</v>
      </c>
      <c r="T153" s="97">
        <v>17.315162155980047</v>
      </c>
      <c r="U153" s="97">
        <v>17.316808052144168</v>
      </c>
      <c r="V153" s="97">
        <v>14.051226166480669</v>
      </c>
      <c r="W153" s="97">
        <v>14.486212567513371</v>
      </c>
      <c r="DA153" s="175" t="s">
        <v>563</v>
      </c>
    </row>
    <row r="154" spans="1:105" ht="11.45" customHeight="1" x14ac:dyDescent="0.25">
      <c r="A154" s="111" t="s">
        <v>113</v>
      </c>
      <c r="B154" s="97">
        <v>0</v>
      </c>
      <c r="C154" s="97">
        <v>0</v>
      </c>
      <c r="D154" s="97">
        <v>0</v>
      </c>
      <c r="E154" s="97">
        <v>0</v>
      </c>
      <c r="F154" s="97">
        <v>18.612459173352118</v>
      </c>
      <c r="G154" s="97">
        <v>18.584322039235612</v>
      </c>
      <c r="H154" s="97">
        <v>19.240276948460544</v>
      </c>
      <c r="I154" s="97">
        <v>18.491582646071127</v>
      </c>
      <c r="J154" s="97">
        <v>18.462814399827884</v>
      </c>
      <c r="K154" s="97">
        <v>17.833210690597422</v>
      </c>
      <c r="L154" s="97">
        <v>16.928343243217491</v>
      </c>
      <c r="M154" s="97">
        <v>17.535085715644918</v>
      </c>
      <c r="N154" s="97">
        <v>17.25493744780475</v>
      </c>
      <c r="O154" s="97">
        <v>17.278059958800149</v>
      </c>
      <c r="P154" s="97">
        <v>17.213770884085204</v>
      </c>
      <c r="Q154" s="97">
        <v>17.225347875001411</v>
      </c>
      <c r="R154" s="97">
        <v>17.336269465245781</v>
      </c>
      <c r="S154" s="97">
        <v>17.308223944291623</v>
      </c>
      <c r="T154" s="97">
        <v>17.315162155980047</v>
      </c>
      <c r="U154" s="97">
        <v>17.316808052144168</v>
      </c>
      <c r="V154" s="97">
        <v>14.051226166480669</v>
      </c>
      <c r="W154" s="97">
        <v>14.486212567513373</v>
      </c>
      <c r="DA154" s="175" t="s">
        <v>564</v>
      </c>
    </row>
    <row r="155" spans="1:105" ht="11.45" customHeight="1" x14ac:dyDescent="0.25">
      <c r="A155" s="111" t="s">
        <v>115</v>
      </c>
      <c r="B155" s="97">
        <v>19.958490486006053</v>
      </c>
      <c r="C155" s="97">
        <v>19.532606524526571</v>
      </c>
      <c r="D155" s="97">
        <v>18.730031719382499</v>
      </c>
      <c r="E155" s="97">
        <v>18.44886610108016</v>
      </c>
      <c r="F155" s="97">
        <v>18.612459173352118</v>
      </c>
      <c r="G155" s="97">
        <v>18.584322039235612</v>
      </c>
      <c r="H155" s="97">
        <v>19.240276948460544</v>
      </c>
      <c r="I155" s="97">
        <v>18.491582646071127</v>
      </c>
      <c r="J155" s="97">
        <v>18.462814399827884</v>
      </c>
      <c r="K155" s="97">
        <v>17.833210690597422</v>
      </c>
      <c r="L155" s="97">
        <v>16.928343243217491</v>
      </c>
      <c r="M155" s="97">
        <v>17.535085715644918</v>
      </c>
      <c r="N155" s="97">
        <v>17.25493744780475</v>
      </c>
      <c r="O155" s="97">
        <v>17.278059958800149</v>
      </c>
      <c r="P155" s="97">
        <v>17.213770884085204</v>
      </c>
      <c r="Q155" s="97">
        <v>17.225347875001411</v>
      </c>
      <c r="R155" s="97">
        <v>17.336269465245781</v>
      </c>
      <c r="S155" s="97">
        <v>17.308223944291623</v>
      </c>
      <c r="T155" s="97">
        <v>17.315162155980047</v>
      </c>
      <c r="U155" s="97">
        <v>17.316808052144168</v>
      </c>
      <c r="V155" s="97">
        <v>14.051226166480669</v>
      </c>
      <c r="W155" s="97">
        <v>14.486212567513373</v>
      </c>
      <c r="DA155" s="175" t="s">
        <v>565</v>
      </c>
    </row>
    <row r="156" spans="1:105" ht="11.45" customHeight="1" x14ac:dyDescent="0.25">
      <c r="A156" s="27" t="s">
        <v>101</v>
      </c>
      <c r="B156" s="32">
        <f t="shared" ref="B156:K156" si="207">IF(B19=0,0,B19/B46)</f>
        <v>4.1132232955848709</v>
      </c>
      <c r="C156" s="32">
        <f t="shared" si="207"/>
        <v>4.0982278735407878</v>
      </c>
      <c r="D156" s="32">
        <f t="shared" si="207"/>
        <v>4.1202174094229616</v>
      </c>
      <c r="E156" s="32">
        <f t="shared" si="207"/>
        <v>4.1288058098286013</v>
      </c>
      <c r="F156" s="32">
        <f t="shared" si="207"/>
        <v>4.2967586128527611</v>
      </c>
      <c r="G156" s="32">
        <f t="shared" si="207"/>
        <v>4.3101500216981048</v>
      </c>
      <c r="H156" s="32">
        <f t="shared" si="207"/>
        <v>4.4544773984056638</v>
      </c>
      <c r="I156" s="32">
        <f t="shared" si="207"/>
        <v>4.6440108049189437</v>
      </c>
      <c r="J156" s="32">
        <f t="shared" si="207"/>
        <v>4.8541807813066828</v>
      </c>
      <c r="K156" s="32">
        <f t="shared" si="207"/>
        <v>4.44742962009322</v>
      </c>
      <c r="L156" s="32">
        <f t="shared" ref="L156" si="208">IF(L19=0,0,L19/L46)</f>
        <v>4.6583417213052414</v>
      </c>
      <c r="M156" s="32">
        <f t="shared" ref="M156:V156" si="209">IF(M19=0,0,M19/M46)</f>
        <v>4.7051416209301813</v>
      </c>
      <c r="N156" s="32">
        <f t="shared" si="209"/>
        <v>4.6201872231590713</v>
      </c>
      <c r="O156" s="32">
        <f t="shared" si="209"/>
        <v>4.5680546932965962</v>
      </c>
      <c r="P156" s="32">
        <f t="shared" si="209"/>
        <v>4.5219475807848148</v>
      </c>
      <c r="Q156" s="32">
        <f t="shared" si="209"/>
        <v>4.5246149784129077</v>
      </c>
      <c r="R156" s="32">
        <f t="shared" si="209"/>
        <v>4.5620834116762046</v>
      </c>
      <c r="S156" s="32">
        <f t="shared" si="209"/>
        <v>4.7001937694124845</v>
      </c>
      <c r="T156" s="32">
        <f t="shared" si="209"/>
        <v>4.6642983198697507</v>
      </c>
      <c r="U156" s="32">
        <f t="shared" si="209"/>
        <v>4.6233180395577342</v>
      </c>
      <c r="V156" s="32">
        <f t="shared" si="209"/>
        <v>4.5930326516049185</v>
      </c>
      <c r="W156" s="32">
        <f t="shared" ref="W156" si="210">IF(W19=0,0,W19/W46)</f>
        <v>4.6036102757427697</v>
      </c>
      <c r="DA156" s="173" t="s">
        <v>566</v>
      </c>
    </row>
    <row r="157" spans="1:105" ht="11.45" customHeight="1" x14ac:dyDescent="0.25">
      <c r="A157" s="136" t="s">
        <v>156</v>
      </c>
      <c r="B157" s="141">
        <f t="shared" ref="B157:K157" si="211">IF(B20=0,0,B20/B47)</f>
        <v>6.6835916008638543E-2</v>
      </c>
      <c r="C157" s="141">
        <f t="shared" si="211"/>
        <v>6.6739462170783484E-2</v>
      </c>
      <c r="D157" s="141">
        <f t="shared" si="211"/>
        <v>6.6287148973628016E-2</v>
      </c>
      <c r="E157" s="141">
        <f t="shared" si="211"/>
        <v>6.6596152833329272E-2</v>
      </c>
      <c r="F157" s="141">
        <f t="shared" si="211"/>
        <v>6.6986652028395224E-2</v>
      </c>
      <c r="G157" s="141">
        <f t="shared" si="211"/>
        <v>6.7043771941991293E-2</v>
      </c>
      <c r="H157" s="141">
        <f t="shared" si="211"/>
        <v>6.7128432104791705E-2</v>
      </c>
      <c r="I157" s="141">
        <f t="shared" si="211"/>
        <v>6.7245623952622666E-2</v>
      </c>
      <c r="J157" s="141">
        <f t="shared" si="211"/>
        <v>6.7841695684080994E-2</v>
      </c>
      <c r="K157" s="141">
        <f t="shared" si="211"/>
        <v>6.8330870969700114E-2</v>
      </c>
      <c r="L157" s="141">
        <f t="shared" ref="L157" si="212">IF(L20=0,0,L20/L47)</f>
        <v>6.8676129054058802E-2</v>
      </c>
      <c r="M157" s="141">
        <f t="shared" ref="M157:V157" si="213">IF(M20=0,0,M20/M47)</f>
        <v>6.8933134782389174E-2</v>
      </c>
      <c r="N157" s="141">
        <f t="shared" si="213"/>
        <v>6.9315380694046719E-2</v>
      </c>
      <c r="O157" s="141">
        <f t="shared" si="213"/>
        <v>6.9412392706836135E-2</v>
      </c>
      <c r="P157" s="141">
        <f t="shared" si="213"/>
        <v>6.9132870162895266E-2</v>
      </c>
      <c r="Q157" s="141">
        <f t="shared" si="213"/>
        <v>6.8990638254000244E-2</v>
      </c>
      <c r="R157" s="141">
        <f t="shared" si="213"/>
        <v>6.9061501414649409E-2</v>
      </c>
      <c r="S157" s="141">
        <f t="shared" si="213"/>
        <v>6.9391090867617744E-2</v>
      </c>
      <c r="T157" s="141">
        <f t="shared" si="213"/>
        <v>6.9653661827943067E-2</v>
      </c>
      <c r="U157" s="141">
        <f t="shared" si="213"/>
        <v>6.9584963222631052E-2</v>
      </c>
      <c r="V157" s="141">
        <f t="shared" si="213"/>
        <v>6.9786028519030444E-2</v>
      </c>
      <c r="W157" s="141">
        <f t="shared" ref="W157" si="214">IF(W20=0,0,W20/W47)</f>
        <v>6.9838695164119419E-2</v>
      </c>
      <c r="DA157" s="174" t="s">
        <v>567</v>
      </c>
    </row>
    <row r="158" spans="1:105" ht="11.45" customHeight="1" x14ac:dyDescent="0.25">
      <c r="A158" s="111" t="s">
        <v>110</v>
      </c>
      <c r="B158" s="96">
        <v>5.3757408059445892E-2</v>
      </c>
      <c r="C158" s="96">
        <v>5.3755790098496979E-2</v>
      </c>
      <c r="D158" s="96">
        <v>5.3417644559551669E-2</v>
      </c>
      <c r="E158" s="96">
        <v>5.3662216513360166E-2</v>
      </c>
      <c r="F158" s="96">
        <v>5.389190587623973E-2</v>
      </c>
      <c r="G158" s="96">
        <v>5.3850102198361317E-2</v>
      </c>
      <c r="H158" s="96">
        <v>5.3700096510956898E-2</v>
      </c>
      <c r="I158" s="96">
        <v>5.3696877625732775E-2</v>
      </c>
      <c r="J158" s="96">
        <v>5.4246808399224487E-2</v>
      </c>
      <c r="K158" s="96">
        <v>5.4735729857259538E-2</v>
      </c>
      <c r="L158" s="96">
        <v>5.5102756426399925E-2</v>
      </c>
      <c r="M158" s="96">
        <v>5.5041311618171024E-2</v>
      </c>
      <c r="N158" s="96">
        <v>5.5184906549560743E-2</v>
      </c>
      <c r="O158" s="96">
        <v>5.5677211865363715E-2</v>
      </c>
      <c r="P158" s="96">
        <v>5.5591979498734033E-2</v>
      </c>
      <c r="Q158" s="96">
        <v>5.5433962264150954E-2</v>
      </c>
      <c r="R158" s="96">
        <v>5.5694525780114419E-2</v>
      </c>
      <c r="S158" s="96">
        <v>5.6152610395881999E-2</v>
      </c>
      <c r="T158" s="96">
        <v>5.6579327738998937E-2</v>
      </c>
      <c r="U158" s="96">
        <v>5.6692839114697947E-2</v>
      </c>
      <c r="V158" s="96">
        <v>5.7044110883899671E-2</v>
      </c>
      <c r="W158" s="96">
        <v>5.7328448811390952E-2</v>
      </c>
      <c r="DA158" s="171" t="s">
        <v>568</v>
      </c>
    </row>
    <row r="159" spans="1:105" ht="11.45" customHeight="1" x14ac:dyDescent="0.25">
      <c r="A159" s="111" t="s">
        <v>111</v>
      </c>
      <c r="B159" s="96">
        <v>6.9077556258425626E-2</v>
      </c>
      <c r="C159" s="96">
        <v>6.8633116227702615E-2</v>
      </c>
      <c r="D159" s="96">
        <v>6.7470040303958673E-2</v>
      </c>
      <c r="E159" s="96">
        <v>6.7603646658511915E-2</v>
      </c>
      <c r="F159" s="96">
        <v>6.7867201656666876E-2</v>
      </c>
      <c r="G159" s="96">
        <v>6.7835008674780456E-2</v>
      </c>
      <c r="H159" s="96">
        <v>6.7877629079633767E-2</v>
      </c>
      <c r="I159" s="96">
        <v>6.7961943046017659E-2</v>
      </c>
      <c r="J159" s="96">
        <v>6.8530418662815507E-2</v>
      </c>
      <c r="K159" s="96">
        <v>6.9009551595910754E-2</v>
      </c>
      <c r="L159" s="96">
        <v>6.9339103159822418E-2</v>
      </c>
      <c r="M159" s="96">
        <v>6.9626611405332856E-2</v>
      </c>
      <c r="N159" s="96">
        <v>7.004610713086433E-2</v>
      </c>
      <c r="O159" s="96">
        <v>7.0130589340803309E-2</v>
      </c>
      <c r="P159" s="96">
        <v>6.9845377524654653E-2</v>
      </c>
      <c r="Q159" s="96">
        <v>6.971782660126688E-2</v>
      </c>
      <c r="R159" s="96">
        <v>6.9798002659831299E-2</v>
      </c>
      <c r="S159" s="96">
        <v>7.0125752333490887E-2</v>
      </c>
      <c r="T159" s="96">
        <v>7.0404790574473658E-2</v>
      </c>
      <c r="U159" s="96">
        <v>7.0316907912129287E-2</v>
      </c>
      <c r="V159" s="96">
        <v>7.050567662350446E-2</v>
      </c>
      <c r="W159" s="96">
        <v>7.0583291603381657E-2</v>
      </c>
      <c r="DA159" s="171" t="s">
        <v>569</v>
      </c>
    </row>
    <row r="160" spans="1:105" ht="11.45" customHeight="1" x14ac:dyDescent="0.25">
      <c r="A160" s="111" t="s">
        <v>112</v>
      </c>
      <c r="B160" s="96">
        <v>0</v>
      </c>
      <c r="C160" s="96">
        <v>0</v>
      </c>
      <c r="D160" s="96">
        <v>0</v>
      </c>
      <c r="E160" s="96">
        <v>5.3215482665935392E-2</v>
      </c>
      <c r="F160" s="96">
        <v>5.3390502366057718E-2</v>
      </c>
      <c r="G160" s="96">
        <v>5.3296423071866321E-2</v>
      </c>
      <c r="H160" s="96">
        <v>5.309549371641175E-2</v>
      </c>
      <c r="I160" s="96">
        <v>5.3039900001539665E-2</v>
      </c>
      <c r="J160" s="96">
        <v>5.3530206845084388E-2</v>
      </c>
      <c r="K160" s="96">
        <v>5.3959350019802607E-2</v>
      </c>
      <c r="L160" s="96">
        <v>5.4267546466357452E-2</v>
      </c>
      <c r="M160" s="96">
        <v>5.4479443871182198E-2</v>
      </c>
      <c r="N160" s="96">
        <v>5.4896067064756783E-2</v>
      </c>
      <c r="O160" s="96">
        <v>5.5342740063714223E-2</v>
      </c>
      <c r="P160" s="96">
        <v>5.5535712197663178E-2</v>
      </c>
      <c r="Q160" s="96">
        <v>5.5433962264150954E-2</v>
      </c>
      <c r="R160" s="96">
        <v>5.5638154687048025E-2</v>
      </c>
      <c r="S160" s="96">
        <v>5.6038998436216111E-2</v>
      </c>
      <c r="T160" s="96">
        <v>5.6407701636927363E-2</v>
      </c>
      <c r="U160" s="96">
        <v>5.6463661216246019E-2</v>
      </c>
      <c r="V160" s="96">
        <v>5.6756009313778992E-2</v>
      </c>
      <c r="W160" s="96">
        <v>5.6981179381296883E-2</v>
      </c>
      <c r="DA160" s="171" t="s">
        <v>570</v>
      </c>
    </row>
    <row r="161" spans="1:105" ht="11.45" customHeight="1" x14ac:dyDescent="0.25">
      <c r="A161" s="111" t="s">
        <v>113</v>
      </c>
      <c r="B161" s="96">
        <v>0</v>
      </c>
      <c r="C161" s="96">
        <v>0</v>
      </c>
      <c r="D161" s="96">
        <v>0</v>
      </c>
      <c r="E161" s="96">
        <v>0</v>
      </c>
      <c r="F161" s="96">
        <v>0</v>
      </c>
      <c r="G161" s="96">
        <v>0</v>
      </c>
      <c r="H161" s="96">
        <v>5.4822085195381606E-2</v>
      </c>
      <c r="I161" s="96">
        <v>5.4546055176409869E-2</v>
      </c>
      <c r="J161" s="96">
        <v>5.4830516453129891E-2</v>
      </c>
      <c r="K161" s="96">
        <v>5.5049437898990548E-2</v>
      </c>
      <c r="L161" s="96">
        <v>5.514284006234553E-2</v>
      </c>
      <c r="M161" s="96">
        <v>5.5137157511040341E-2</v>
      </c>
      <c r="N161" s="96">
        <v>5.5337011726689166E-2</v>
      </c>
      <c r="O161" s="96">
        <v>5.5564561765855218E-2</v>
      </c>
      <c r="P161" s="96">
        <v>5.5535712197663158E-2</v>
      </c>
      <c r="Q161" s="96">
        <v>5.5433962264150954E-2</v>
      </c>
      <c r="R161" s="96">
        <v>5.5638154687048025E-2</v>
      </c>
      <c r="S161" s="96">
        <v>5.6038998436216111E-2</v>
      </c>
      <c r="T161" s="96">
        <v>5.640770163692737E-2</v>
      </c>
      <c r="U161" s="96">
        <v>5.6463661216246019E-2</v>
      </c>
      <c r="V161" s="96">
        <v>5.6756009313778985E-2</v>
      </c>
      <c r="W161" s="96">
        <v>5.6981179381296876E-2</v>
      </c>
      <c r="DA161" s="171" t="s">
        <v>571</v>
      </c>
    </row>
    <row r="162" spans="1:105" ht="11.45" customHeight="1" x14ac:dyDescent="0.25">
      <c r="A162" s="111" t="s">
        <v>115</v>
      </c>
      <c r="B162" s="96">
        <v>5.5592480816045842E-2</v>
      </c>
      <c r="C162" s="96">
        <v>5.5584518900629813E-2</v>
      </c>
      <c r="D162" s="96">
        <v>5.5559940117349507E-2</v>
      </c>
      <c r="E162" s="96">
        <v>5.5555732763627373E-2</v>
      </c>
      <c r="F162" s="96">
        <v>5.5552311101206238E-2</v>
      </c>
      <c r="G162" s="96">
        <v>5.554238209653279E-2</v>
      </c>
      <c r="H162" s="96">
        <v>5.5527130599198053E-2</v>
      </c>
      <c r="I162" s="96">
        <v>5.5519099137855632E-2</v>
      </c>
      <c r="J162" s="96">
        <v>5.5500036671900989E-2</v>
      </c>
      <c r="K162" s="96">
        <v>5.5484195493512849E-2</v>
      </c>
      <c r="L162" s="96">
        <v>5.5474406499924397E-2</v>
      </c>
      <c r="M162" s="96">
        <v>5.5469369096792932E-2</v>
      </c>
      <c r="N162" s="96">
        <v>5.5454504801872216E-2</v>
      </c>
      <c r="O162" s="96">
        <v>5.5438362728098371E-2</v>
      </c>
      <c r="P162" s="96">
        <v>5.5434427471907168E-2</v>
      </c>
      <c r="Q162" s="96">
        <v>5.5433962264150954E-2</v>
      </c>
      <c r="R162" s="96">
        <v>5.5438362023609945E-2</v>
      </c>
      <c r="S162" s="96">
        <v>5.54520083523957E-2</v>
      </c>
      <c r="T162" s="96">
        <v>5.5464018410632268E-2</v>
      </c>
      <c r="U162" s="96">
        <v>5.5466708489419696E-2</v>
      </c>
      <c r="V162" s="96">
        <v>5.5591816168238412E-2</v>
      </c>
      <c r="W162" s="96">
        <v>5.5480190190539069E-2</v>
      </c>
      <c r="DA162" s="171" t="s">
        <v>572</v>
      </c>
    </row>
    <row r="163" spans="1:105" ht="11.45" customHeight="1" x14ac:dyDescent="0.25">
      <c r="A163" s="109" t="s">
        <v>158</v>
      </c>
      <c r="B163" s="130">
        <f t="shared" ref="B163:K163" si="215">IF(B26=0,0,B26/B53)</f>
        <v>10.352605350087622</v>
      </c>
      <c r="C163" s="130">
        <f t="shared" si="215"/>
        <v>10.466958698666788</v>
      </c>
      <c r="D163" s="130">
        <f t="shared" si="215"/>
        <v>10.692764182287853</v>
      </c>
      <c r="E163" s="130">
        <f t="shared" si="215"/>
        <v>10.666842873898307</v>
      </c>
      <c r="F163" s="130">
        <f t="shared" si="215"/>
        <v>10.852779154385166</v>
      </c>
      <c r="G163" s="130">
        <f t="shared" si="215"/>
        <v>11.002253014281932</v>
      </c>
      <c r="H163" s="130">
        <f t="shared" si="215"/>
        <v>10.852048437029497</v>
      </c>
      <c r="I163" s="130">
        <f t="shared" si="215"/>
        <v>11.050309913319358</v>
      </c>
      <c r="J163" s="130">
        <f t="shared" si="215"/>
        <v>11.11554694481635</v>
      </c>
      <c r="K163" s="130">
        <f t="shared" si="215"/>
        <v>10.82548446329031</v>
      </c>
      <c r="L163" s="130">
        <f t="shared" ref="L163" si="216">IF(L26=0,0,L26/L53)</f>
        <v>11.281807293334614</v>
      </c>
      <c r="M163" s="130">
        <f t="shared" ref="M163:V163" si="217">IF(M26=0,0,M26/M53)</f>
        <v>11.301434329663923</v>
      </c>
      <c r="N163" s="130">
        <f t="shared" si="217"/>
        <v>11.269147311279101</v>
      </c>
      <c r="O163" s="130">
        <f t="shared" si="217"/>
        <v>11.253294447265162</v>
      </c>
      <c r="P163" s="130">
        <f t="shared" si="217"/>
        <v>11.303763181782836</v>
      </c>
      <c r="Q163" s="130">
        <f t="shared" si="217"/>
        <v>11.175103927877414</v>
      </c>
      <c r="R163" s="130">
        <f t="shared" si="217"/>
        <v>11.186268708292815</v>
      </c>
      <c r="S163" s="130">
        <f t="shared" si="217"/>
        <v>11.300704865435968</v>
      </c>
      <c r="T163" s="130">
        <f t="shared" si="217"/>
        <v>11.321552585649126</v>
      </c>
      <c r="U163" s="130">
        <f t="shared" si="217"/>
        <v>11.326105543143203</v>
      </c>
      <c r="V163" s="130">
        <f t="shared" si="217"/>
        <v>11.373127846741655</v>
      </c>
      <c r="W163" s="130">
        <f t="shared" ref="W163" si="218">IF(W26=0,0,W26/W53)</f>
        <v>11.424895264958991</v>
      </c>
      <c r="DA163" s="176" t="s">
        <v>573</v>
      </c>
    </row>
    <row r="164" spans="1:105" ht="11.45" customHeight="1" x14ac:dyDescent="0.25">
      <c r="A164" s="128" t="s">
        <v>27</v>
      </c>
      <c r="B164" s="97">
        <v>7.8610406091370555</v>
      </c>
      <c r="C164" s="97">
        <v>7.8872704243191896</v>
      </c>
      <c r="D164" s="97">
        <v>8.0604710375556969</v>
      </c>
      <c r="E164" s="97">
        <v>8.0868486352357323</v>
      </c>
      <c r="F164" s="97">
        <v>8.0520494469746264</v>
      </c>
      <c r="G164" s="97">
        <v>8.2112860892388451</v>
      </c>
      <c r="H164" s="97">
        <v>8.1335211267605629</v>
      </c>
      <c r="I164" s="97">
        <v>8.1820199778024421</v>
      </c>
      <c r="J164" s="97">
        <v>8.13671875</v>
      </c>
      <c r="K164" s="97">
        <v>8.0255800118976808</v>
      </c>
      <c r="L164" s="97">
        <v>8.3467306538692263</v>
      </c>
      <c r="M164" s="97">
        <v>8.4304018637157832</v>
      </c>
      <c r="N164" s="97">
        <v>8.4186046511627914</v>
      </c>
      <c r="O164" s="97">
        <v>8.2704477611940295</v>
      </c>
      <c r="P164" s="97">
        <v>8.436103151862465</v>
      </c>
      <c r="Q164" s="97">
        <v>8.3460916442048525</v>
      </c>
      <c r="R164" s="97">
        <v>8.4902263374485596</v>
      </c>
      <c r="S164" s="97">
        <v>8.4479638009049776</v>
      </c>
      <c r="T164" s="97">
        <v>8.402384500745157</v>
      </c>
      <c r="U164" s="97">
        <v>8.4512493875551193</v>
      </c>
      <c r="V164" s="97">
        <v>8.6392117230924708</v>
      </c>
      <c r="W164" s="97">
        <v>8.5971360381861572</v>
      </c>
      <c r="DA164" s="175" t="s">
        <v>574</v>
      </c>
    </row>
    <row r="165" spans="1:105" ht="11.45" customHeight="1" x14ac:dyDescent="0.25">
      <c r="A165" s="138" t="s">
        <v>116</v>
      </c>
      <c r="B165" s="98">
        <v>14.257421972058397</v>
      </c>
      <c r="C165" s="98">
        <v>14.245058387803748</v>
      </c>
      <c r="D165" s="98">
        <v>14.338603689647607</v>
      </c>
      <c r="E165" s="98">
        <v>14.254152494203543</v>
      </c>
      <c r="F165" s="98">
        <v>13.993137904941619</v>
      </c>
      <c r="G165" s="98">
        <v>13.999403714336371</v>
      </c>
      <c r="H165" s="98">
        <v>14.088849058887034</v>
      </c>
      <c r="I165" s="98">
        <v>14.115262081857326</v>
      </c>
      <c r="J165" s="98">
        <v>13.915448013039786</v>
      </c>
      <c r="K165" s="98">
        <v>13.731801555818866</v>
      </c>
      <c r="L165" s="98">
        <v>14.178700182725073</v>
      </c>
      <c r="M165" s="98">
        <v>14.133203670456812</v>
      </c>
      <c r="N165" s="98">
        <v>14.086426180736334</v>
      </c>
      <c r="O165" s="98">
        <v>14.105166269382361</v>
      </c>
      <c r="P165" s="98">
        <v>14.138211571635042</v>
      </c>
      <c r="Q165" s="98">
        <v>14.005556317739059</v>
      </c>
      <c r="R165" s="98">
        <v>13.931044885469865</v>
      </c>
      <c r="S165" s="98">
        <v>14.049661034098957</v>
      </c>
      <c r="T165" s="98">
        <v>14.155971572922999</v>
      </c>
      <c r="U165" s="98">
        <v>14.102032210128922</v>
      </c>
      <c r="V165" s="98">
        <v>13.886790192476637</v>
      </c>
      <c r="W165" s="98">
        <v>14.040774681152573</v>
      </c>
      <c r="DA165" s="178" t="s">
        <v>575</v>
      </c>
    </row>
    <row r="166" spans="1:105" ht="11.45" customHeight="1" x14ac:dyDescent="0.25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DA166" s="171"/>
    </row>
    <row r="167" spans="1:105" ht="11.45" customHeight="1" x14ac:dyDescent="0.25">
      <c r="A167" s="53" t="s">
        <v>137</v>
      </c>
      <c r="B167" s="54">
        <f t="shared" ref="B167:V180" si="219">IF(B30=0,0,B30*1000000/B57)</f>
        <v>12383.544573582107</v>
      </c>
      <c r="C167" s="54">
        <f t="shared" si="219"/>
        <v>12427.264534437942</v>
      </c>
      <c r="D167" s="54">
        <f t="shared" si="219"/>
        <v>13241.975368795447</v>
      </c>
      <c r="E167" s="54">
        <f t="shared" si="219"/>
        <v>13255.150893173462</v>
      </c>
      <c r="F167" s="54">
        <f t="shared" si="219"/>
        <v>13266.969738250207</v>
      </c>
      <c r="G167" s="54">
        <f t="shared" si="219"/>
        <v>13313.157674455144</v>
      </c>
      <c r="H167" s="54">
        <f t="shared" si="219"/>
        <v>13306.349955965206</v>
      </c>
      <c r="I167" s="54">
        <f t="shared" si="219"/>
        <v>13415.963902448435</v>
      </c>
      <c r="J167" s="54">
        <f t="shared" si="219"/>
        <v>12917.049149043007</v>
      </c>
      <c r="K167" s="54">
        <f t="shared" si="219"/>
        <v>12522.728988755536</v>
      </c>
      <c r="L167" s="54">
        <f t="shared" si="219"/>
        <v>12437.742996737959</v>
      </c>
      <c r="M167" s="54">
        <f>IF(M30=0,0,M30*1000000/M57)</f>
        <v>12403.234523662146</v>
      </c>
      <c r="N167" s="54">
        <f t="shared" ref="N167:V167" si="220">IF(N30=0,0,N30*1000000/N57)</f>
        <v>12154.789399607816</v>
      </c>
      <c r="O167" s="54">
        <f t="shared" si="220"/>
        <v>12149.346253688474</v>
      </c>
      <c r="P167" s="54">
        <f t="shared" si="220"/>
        <v>12305.702532677589</v>
      </c>
      <c r="Q167" s="54">
        <f t="shared" si="220"/>
        <v>12461.131678959551</v>
      </c>
      <c r="R167" s="54">
        <f t="shared" si="220"/>
        <v>12584.217864176859</v>
      </c>
      <c r="S167" s="54">
        <f t="shared" si="220"/>
        <v>12558.144355309112</v>
      </c>
      <c r="T167" s="54">
        <f t="shared" si="220"/>
        <v>12163.528846948982</v>
      </c>
      <c r="U167" s="54">
        <f t="shared" si="220"/>
        <v>11768.505325274218</v>
      </c>
      <c r="V167" s="54">
        <f t="shared" si="220"/>
        <v>10676.538620920814</v>
      </c>
      <c r="W167" s="54">
        <f t="shared" ref="W167:W191" si="221">IF(W30=0,0,W30*1000000/W57)</f>
        <v>11040.768610307377</v>
      </c>
      <c r="DA167" s="172" t="s">
        <v>576</v>
      </c>
    </row>
    <row r="168" spans="1:105" ht="11.45" customHeight="1" x14ac:dyDescent="0.25">
      <c r="A168" s="27" t="s">
        <v>33</v>
      </c>
      <c r="B168" s="28">
        <f t="shared" si="219"/>
        <v>11878.301177131634</v>
      </c>
      <c r="C168" s="28">
        <f t="shared" si="219"/>
        <v>11884.955622479025</v>
      </c>
      <c r="D168" s="28">
        <f t="shared" si="219"/>
        <v>12658.014535562837</v>
      </c>
      <c r="E168" s="28">
        <f t="shared" si="219"/>
        <v>12670.263874209226</v>
      </c>
      <c r="F168" s="28">
        <f t="shared" si="219"/>
        <v>12679.082201142819</v>
      </c>
      <c r="G168" s="28">
        <f t="shared" si="219"/>
        <v>12720.225866100775</v>
      </c>
      <c r="H168" s="28">
        <f t="shared" si="219"/>
        <v>12649.143706127199</v>
      </c>
      <c r="I168" s="28">
        <f t="shared" si="219"/>
        <v>12737.329395723635</v>
      </c>
      <c r="J168" s="28">
        <f t="shared" si="219"/>
        <v>12210.333490580397</v>
      </c>
      <c r="K168" s="28">
        <f t="shared" si="219"/>
        <v>11899.336743258864</v>
      </c>
      <c r="L168" s="28">
        <f t="shared" si="219"/>
        <v>11826.464346942275</v>
      </c>
      <c r="M168" s="28">
        <f t="shared" ref="M168:M192" si="222">IF(M31=0,0,M31*1000000/M58)</f>
        <v>11793.919542075724</v>
      </c>
      <c r="N168" s="28">
        <f t="shared" si="219"/>
        <v>11573.270023915955</v>
      </c>
      <c r="O168" s="28">
        <f t="shared" si="219"/>
        <v>11557.717179063389</v>
      </c>
      <c r="P168" s="28">
        <f t="shared" si="219"/>
        <v>11694.663356826939</v>
      </c>
      <c r="Q168" s="28">
        <f t="shared" si="219"/>
        <v>11823.50830912592</v>
      </c>
      <c r="R168" s="28">
        <f t="shared" si="219"/>
        <v>11946.73808894457</v>
      </c>
      <c r="S168" s="28">
        <f t="shared" si="219"/>
        <v>11920.128180244395</v>
      </c>
      <c r="T168" s="28">
        <f t="shared" si="219"/>
        <v>11515.649246508459</v>
      </c>
      <c r="U168" s="28">
        <f t="shared" si="219"/>
        <v>11075.515388403664</v>
      </c>
      <c r="V168" s="28">
        <f t="shared" si="219"/>
        <v>9910.0792001182162</v>
      </c>
      <c r="W168" s="28">
        <f t="shared" si="221"/>
        <v>10274.441535536123</v>
      </c>
      <c r="DA168" s="173" t="s">
        <v>577</v>
      </c>
    </row>
    <row r="169" spans="1:105" ht="11.45" customHeight="1" x14ac:dyDescent="0.25">
      <c r="A169" s="136" t="s">
        <v>180</v>
      </c>
      <c r="B169" s="137">
        <f t="shared" si="219"/>
        <v>1583.1391003019962</v>
      </c>
      <c r="C169" s="137">
        <f t="shared" si="219"/>
        <v>1584.7166050926353</v>
      </c>
      <c r="D169" s="137">
        <f t="shared" si="219"/>
        <v>1600.8069380587913</v>
      </c>
      <c r="E169" s="137">
        <f t="shared" si="219"/>
        <v>1620.5336251046353</v>
      </c>
      <c r="F169" s="137">
        <f t="shared" si="219"/>
        <v>1696.288552012546</v>
      </c>
      <c r="G169" s="137">
        <f t="shared" si="219"/>
        <v>1703.3316287272328</v>
      </c>
      <c r="H169" s="137">
        <f t="shared" si="219"/>
        <v>1711.4175601607283</v>
      </c>
      <c r="I169" s="137">
        <f t="shared" si="219"/>
        <v>1721.5691972611398</v>
      </c>
      <c r="J169" s="137">
        <f t="shared" si="219"/>
        <v>1732.6468405466674</v>
      </c>
      <c r="K169" s="137">
        <f t="shared" si="219"/>
        <v>1746.1788645287406</v>
      </c>
      <c r="L169" s="137">
        <f t="shared" si="219"/>
        <v>1765.1940229607119</v>
      </c>
      <c r="M169" s="137">
        <f t="shared" si="222"/>
        <v>1786.2095775117732</v>
      </c>
      <c r="N169" s="137">
        <f t="shared" si="219"/>
        <v>1828.1146706681077</v>
      </c>
      <c r="O169" s="137">
        <f t="shared" si="219"/>
        <v>1832.9153447536314</v>
      </c>
      <c r="P169" s="137">
        <f t="shared" si="219"/>
        <v>1855.607320118145</v>
      </c>
      <c r="Q169" s="137">
        <f t="shared" si="219"/>
        <v>1893.6102980099267</v>
      </c>
      <c r="R169" s="137">
        <f t="shared" si="219"/>
        <v>1908.7598223249122</v>
      </c>
      <c r="S169" s="137">
        <f t="shared" si="219"/>
        <v>1769.4567474340668</v>
      </c>
      <c r="T169" s="137">
        <f t="shared" si="219"/>
        <v>1657.6988775592811</v>
      </c>
      <c r="U169" s="137">
        <f t="shared" si="219"/>
        <v>1730.8336649343723</v>
      </c>
      <c r="V169" s="137">
        <f t="shared" si="219"/>
        <v>1512.0022098916693</v>
      </c>
      <c r="W169" s="137">
        <f t="shared" si="221"/>
        <v>1530.4273792681504</v>
      </c>
      <c r="DA169" s="174" t="s">
        <v>578</v>
      </c>
    </row>
    <row r="170" spans="1:105" ht="11.45" customHeight="1" x14ac:dyDescent="0.25">
      <c r="A170" s="109" t="s">
        <v>20</v>
      </c>
      <c r="B170" s="110">
        <f t="shared" si="219"/>
        <v>13213.218320981654</v>
      </c>
      <c r="C170" s="110">
        <f t="shared" si="219"/>
        <v>13239.359158297464</v>
      </c>
      <c r="D170" s="110">
        <f t="shared" si="219"/>
        <v>14222.222222222223</v>
      </c>
      <c r="E170" s="110">
        <f t="shared" si="219"/>
        <v>14230.636408485447</v>
      </c>
      <c r="F170" s="110">
        <f t="shared" si="219"/>
        <v>14223.655390605987</v>
      </c>
      <c r="G170" s="110">
        <f t="shared" si="219"/>
        <v>14292.999759441904</v>
      </c>
      <c r="H170" s="110">
        <f t="shared" si="219"/>
        <v>14239.239001189062</v>
      </c>
      <c r="I170" s="110">
        <f t="shared" si="219"/>
        <v>14374.941121055112</v>
      </c>
      <c r="J170" s="110">
        <f t="shared" si="219"/>
        <v>13809.253208868142</v>
      </c>
      <c r="K170" s="110">
        <f t="shared" si="219"/>
        <v>13477.0376146789</v>
      </c>
      <c r="L170" s="110">
        <f t="shared" si="219"/>
        <v>13387.146138257149</v>
      </c>
      <c r="M170" s="110">
        <f t="shared" si="222"/>
        <v>13355.937070684689</v>
      </c>
      <c r="N170" s="110">
        <f t="shared" si="219"/>
        <v>13108.061518324606</v>
      </c>
      <c r="O170" s="110">
        <f t="shared" si="219"/>
        <v>13099.446104417118</v>
      </c>
      <c r="P170" s="110">
        <f t="shared" si="219"/>
        <v>13260.129403668343</v>
      </c>
      <c r="Q170" s="110">
        <f t="shared" si="219"/>
        <v>13409.739539280145</v>
      </c>
      <c r="R170" s="110">
        <f t="shared" si="219"/>
        <v>13559.133491525661</v>
      </c>
      <c r="S170" s="110">
        <f t="shared" si="219"/>
        <v>13555.974815548509</v>
      </c>
      <c r="T170" s="110">
        <f t="shared" si="219"/>
        <v>13108.899325369526</v>
      </c>
      <c r="U170" s="110">
        <f t="shared" si="219"/>
        <v>12588.535030707249</v>
      </c>
      <c r="V170" s="110">
        <f t="shared" si="219"/>
        <v>11284.423973679388</v>
      </c>
      <c r="W170" s="110">
        <f t="shared" si="221"/>
        <v>11740.631217560678</v>
      </c>
      <c r="DA170" s="176" t="s">
        <v>579</v>
      </c>
    </row>
    <row r="171" spans="1:105" ht="11.45" customHeight="1" x14ac:dyDescent="0.25">
      <c r="A171" s="111" t="s">
        <v>110</v>
      </c>
      <c r="B171" s="84">
        <f t="shared" si="219"/>
        <v>11798.593951313569</v>
      </c>
      <c r="C171" s="84">
        <f t="shared" si="219"/>
        <v>11999.227663900287</v>
      </c>
      <c r="D171" s="84">
        <f t="shared" si="219"/>
        <v>13206.852431167452</v>
      </c>
      <c r="E171" s="84">
        <f t="shared" si="219"/>
        <v>13150.749787456778</v>
      </c>
      <c r="F171" s="84">
        <f t="shared" si="219"/>
        <v>13184.273903395078</v>
      </c>
      <c r="G171" s="84">
        <f t="shared" si="219"/>
        <v>13002.724862204697</v>
      </c>
      <c r="H171" s="84">
        <f t="shared" si="219"/>
        <v>12801.098435537888</v>
      </c>
      <c r="I171" s="84">
        <f t="shared" si="219"/>
        <v>12573.069848239524</v>
      </c>
      <c r="J171" s="84">
        <f t="shared" si="219"/>
        <v>12092.421765446619</v>
      </c>
      <c r="K171" s="84">
        <f t="shared" si="219"/>
        <v>11580.274021186537</v>
      </c>
      <c r="L171" s="84">
        <f t="shared" si="219"/>
        <v>11564.131499649491</v>
      </c>
      <c r="M171" s="84">
        <f t="shared" si="222"/>
        <v>11071.508746665697</v>
      </c>
      <c r="N171" s="84">
        <f t="shared" si="219"/>
        <v>10909.847019332527</v>
      </c>
      <c r="O171" s="84">
        <f t="shared" si="219"/>
        <v>10716.278427153975</v>
      </c>
      <c r="P171" s="84">
        <f t="shared" si="219"/>
        <v>10396.128102613437</v>
      </c>
      <c r="Q171" s="84">
        <f t="shared" si="219"/>
        <v>10222.337429458596</v>
      </c>
      <c r="R171" s="84">
        <f t="shared" si="219"/>
        <v>10009.30122666942</v>
      </c>
      <c r="S171" s="84">
        <f t="shared" si="219"/>
        <v>9749.6204406478337</v>
      </c>
      <c r="T171" s="84">
        <f t="shared" si="219"/>
        <v>9630.9697186661251</v>
      </c>
      <c r="U171" s="84">
        <f t="shared" si="219"/>
        <v>9361.9713702189511</v>
      </c>
      <c r="V171" s="84">
        <f t="shared" si="219"/>
        <v>8381.1974087908857</v>
      </c>
      <c r="W171" s="84">
        <f t="shared" si="221"/>
        <v>8826.5224110528416</v>
      </c>
      <c r="DA171" s="171" t="s">
        <v>580</v>
      </c>
    </row>
    <row r="172" spans="1:105" ht="11.45" customHeight="1" x14ac:dyDescent="0.25">
      <c r="A172" s="111" t="s">
        <v>111</v>
      </c>
      <c r="B172" s="84">
        <f t="shared" si="219"/>
        <v>15688.962482252113</v>
      </c>
      <c r="C172" s="84">
        <f t="shared" si="219"/>
        <v>15193.731981931691</v>
      </c>
      <c r="D172" s="84">
        <f t="shared" si="219"/>
        <v>15566.955844062213</v>
      </c>
      <c r="E172" s="84">
        <f t="shared" si="219"/>
        <v>15518.030582653193</v>
      </c>
      <c r="F172" s="84">
        <f t="shared" si="219"/>
        <v>15330.251062278037</v>
      </c>
      <c r="G172" s="84">
        <f t="shared" si="219"/>
        <v>15557.836134080822</v>
      </c>
      <c r="H172" s="84">
        <f t="shared" si="219"/>
        <v>15559.356573514542</v>
      </c>
      <c r="I172" s="84">
        <f t="shared" si="219"/>
        <v>15958.505282025817</v>
      </c>
      <c r="J172" s="84">
        <f t="shared" si="219"/>
        <v>15286.299202215207</v>
      </c>
      <c r="K172" s="84">
        <f t="shared" si="219"/>
        <v>15071.501997962738</v>
      </c>
      <c r="L172" s="84">
        <f t="shared" si="219"/>
        <v>14894.325559861989</v>
      </c>
      <c r="M172" s="84">
        <f t="shared" si="222"/>
        <v>15204.816285762203</v>
      </c>
      <c r="N172" s="84">
        <f t="shared" si="219"/>
        <v>14851.04395363396</v>
      </c>
      <c r="O172" s="84">
        <f t="shared" si="219"/>
        <v>14954.470462010326</v>
      </c>
      <c r="P172" s="84">
        <f t="shared" si="219"/>
        <v>15458.290620106305</v>
      </c>
      <c r="Q172" s="84">
        <f t="shared" si="219"/>
        <v>15823.85601827288</v>
      </c>
      <c r="R172" s="84">
        <f t="shared" si="219"/>
        <v>16232.179136617624</v>
      </c>
      <c r="S172" s="84">
        <f t="shared" si="219"/>
        <v>16460.694453680575</v>
      </c>
      <c r="T172" s="84">
        <f t="shared" si="219"/>
        <v>15828.705943578774</v>
      </c>
      <c r="U172" s="84">
        <f t="shared" si="219"/>
        <v>15154.907087601903</v>
      </c>
      <c r="V172" s="84">
        <f t="shared" si="219"/>
        <v>13627.801261224307</v>
      </c>
      <c r="W172" s="84">
        <f t="shared" si="221"/>
        <v>14098.723051182833</v>
      </c>
      <c r="DA172" s="171" t="s">
        <v>581</v>
      </c>
    </row>
    <row r="173" spans="1:105" ht="11.45" customHeight="1" x14ac:dyDescent="0.25">
      <c r="A173" s="111" t="s">
        <v>112</v>
      </c>
      <c r="B173" s="84">
        <f t="shared" si="219"/>
        <v>11270.170464401555</v>
      </c>
      <c r="C173" s="84">
        <f t="shared" si="219"/>
        <v>11072.4075251214</v>
      </c>
      <c r="D173" s="84">
        <f t="shared" si="219"/>
        <v>11685.682031736538</v>
      </c>
      <c r="E173" s="84">
        <f t="shared" si="219"/>
        <v>11547.651617067469</v>
      </c>
      <c r="F173" s="84">
        <f t="shared" si="219"/>
        <v>11571.415917707429</v>
      </c>
      <c r="G173" s="84">
        <f t="shared" si="219"/>
        <v>11437.302877520488</v>
      </c>
      <c r="H173" s="84">
        <f t="shared" si="219"/>
        <v>11274.769791262668</v>
      </c>
      <c r="I173" s="84">
        <f t="shared" si="219"/>
        <v>11164.332726320365</v>
      </c>
      <c r="J173" s="84">
        <f t="shared" si="219"/>
        <v>11195.022163057409</v>
      </c>
      <c r="K173" s="84">
        <f t="shared" si="219"/>
        <v>11111.513958528931</v>
      </c>
      <c r="L173" s="84">
        <f t="shared" si="219"/>
        <v>10841.375014916275</v>
      </c>
      <c r="M173" s="84">
        <f t="shared" si="222"/>
        <v>10646.801984221936</v>
      </c>
      <c r="N173" s="84">
        <f t="shared" si="219"/>
        <v>10343.547967344672</v>
      </c>
      <c r="O173" s="84">
        <f t="shared" si="219"/>
        <v>10133.735055417057</v>
      </c>
      <c r="P173" s="84">
        <f t="shared" si="219"/>
        <v>10085.516561230281</v>
      </c>
      <c r="Q173" s="84">
        <f t="shared" si="219"/>
        <v>10023.043350342195</v>
      </c>
      <c r="R173" s="84">
        <f t="shared" si="219"/>
        <v>9295.5840037359394</v>
      </c>
      <c r="S173" s="84">
        <f t="shared" si="219"/>
        <v>9464.7210836545928</v>
      </c>
      <c r="T173" s="84">
        <f t="shared" si="219"/>
        <v>8954.4959527116862</v>
      </c>
      <c r="U173" s="84">
        <f t="shared" si="219"/>
        <v>8753.2781498236691</v>
      </c>
      <c r="V173" s="84">
        <f t="shared" si="219"/>
        <v>7647.6185343571597</v>
      </c>
      <c r="W173" s="84">
        <f t="shared" si="221"/>
        <v>7813.1281418058943</v>
      </c>
      <c r="DA173" s="171" t="s">
        <v>582</v>
      </c>
    </row>
    <row r="174" spans="1:105" ht="11.45" customHeight="1" x14ac:dyDescent="0.25">
      <c r="A174" s="111" t="s">
        <v>113</v>
      </c>
      <c r="B174" s="84">
        <f t="shared" si="219"/>
        <v>0</v>
      </c>
      <c r="C174" s="84">
        <f t="shared" si="219"/>
        <v>0</v>
      </c>
      <c r="D174" s="84">
        <f t="shared" si="219"/>
        <v>0</v>
      </c>
      <c r="E174" s="84">
        <f t="shared" si="219"/>
        <v>0</v>
      </c>
      <c r="F174" s="84">
        <f t="shared" si="219"/>
        <v>0</v>
      </c>
      <c r="G174" s="84">
        <f t="shared" si="219"/>
        <v>0</v>
      </c>
      <c r="H174" s="84">
        <f t="shared" si="219"/>
        <v>16172.253671756722</v>
      </c>
      <c r="I174" s="84">
        <f t="shared" si="219"/>
        <v>16172.398375636187</v>
      </c>
      <c r="J174" s="84">
        <f t="shared" si="219"/>
        <v>16200.767739553523</v>
      </c>
      <c r="K174" s="84">
        <f t="shared" si="219"/>
        <v>15670.061945906114</v>
      </c>
      <c r="L174" s="84">
        <f t="shared" si="219"/>
        <v>15440.474501015538</v>
      </c>
      <c r="M174" s="84">
        <f t="shared" si="222"/>
        <v>15284.106166645601</v>
      </c>
      <c r="N174" s="84">
        <f t="shared" si="219"/>
        <v>14871.101238005942</v>
      </c>
      <c r="O174" s="84">
        <f t="shared" si="219"/>
        <v>14713.701491570382</v>
      </c>
      <c r="P174" s="84">
        <f t="shared" si="219"/>
        <v>14788.677565517744</v>
      </c>
      <c r="Q174" s="84">
        <f t="shared" si="219"/>
        <v>14842.586891039176</v>
      </c>
      <c r="R174" s="84">
        <f t="shared" si="219"/>
        <v>13905.793957684305</v>
      </c>
      <c r="S174" s="84">
        <f t="shared" si="219"/>
        <v>13763.368647666131</v>
      </c>
      <c r="T174" s="84">
        <f t="shared" si="219"/>
        <v>13154.283140720561</v>
      </c>
      <c r="U174" s="84">
        <f t="shared" si="219"/>
        <v>12480.494495892988</v>
      </c>
      <c r="V174" s="84">
        <f t="shared" si="219"/>
        <v>11015.301784382074</v>
      </c>
      <c r="W174" s="84">
        <f t="shared" si="221"/>
        <v>11368.528345056691</v>
      </c>
      <c r="DA174" s="171" t="s">
        <v>583</v>
      </c>
    </row>
    <row r="175" spans="1:105" ht="11.45" customHeight="1" x14ac:dyDescent="0.25">
      <c r="A175" s="111" t="s">
        <v>114</v>
      </c>
      <c r="B175" s="84">
        <f t="shared" si="219"/>
        <v>0</v>
      </c>
      <c r="C175" s="84">
        <f t="shared" si="219"/>
        <v>0</v>
      </c>
      <c r="D175" s="84">
        <f t="shared" si="219"/>
        <v>0</v>
      </c>
      <c r="E175" s="84">
        <f t="shared" si="219"/>
        <v>0</v>
      </c>
      <c r="F175" s="84">
        <f t="shared" si="219"/>
        <v>0</v>
      </c>
      <c r="G175" s="84">
        <f t="shared" si="219"/>
        <v>0</v>
      </c>
      <c r="H175" s="84">
        <f t="shared" si="219"/>
        <v>0</v>
      </c>
      <c r="I175" s="84">
        <f t="shared" si="219"/>
        <v>0</v>
      </c>
      <c r="J175" s="84">
        <f t="shared" si="219"/>
        <v>0</v>
      </c>
      <c r="K175" s="84">
        <f t="shared" si="219"/>
        <v>0</v>
      </c>
      <c r="L175" s="84">
        <f t="shared" si="219"/>
        <v>0</v>
      </c>
      <c r="M175" s="84">
        <f t="shared" si="222"/>
        <v>12144.317151237665</v>
      </c>
      <c r="N175" s="84">
        <f t="shared" si="219"/>
        <v>11994.288144093958</v>
      </c>
      <c r="O175" s="84">
        <f t="shared" si="219"/>
        <v>12046.241946726086</v>
      </c>
      <c r="P175" s="84">
        <f t="shared" si="219"/>
        <v>11988.923332799013</v>
      </c>
      <c r="Q175" s="84">
        <f t="shared" si="219"/>
        <v>12170.184156456598</v>
      </c>
      <c r="R175" s="84">
        <f t="shared" si="219"/>
        <v>11574.818964972315</v>
      </c>
      <c r="S175" s="84">
        <f t="shared" si="219"/>
        <v>11627.445438767418</v>
      </c>
      <c r="T175" s="84">
        <f t="shared" si="219"/>
        <v>11281.260312943283</v>
      </c>
      <c r="U175" s="84">
        <f t="shared" si="219"/>
        <v>10865.584540409034</v>
      </c>
      <c r="V175" s="84">
        <f t="shared" si="219"/>
        <v>9735.2827411490125</v>
      </c>
      <c r="W175" s="84">
        <f t="shared" si="221"/>
        <v>10199.697350314273</v>
      </c>
      <c r="DA175" s="171" t="s">
        <v>584</v>
      </c>
    </row>
    <row r="176" spans="1:105" ht="11.45" customHeight="1" x14ac:dyDescent="0.25">
      <c r="A176" s="111" t="s">
        <v>115</v>
      </c>
      <c r="B176" s="84">
        <f t="shared" si="219"/>
        <v>0</v>
      </c>
      <c r="C176" s="84">
        <f t="shared" si="219"/>
        <v>0</v>
      </c>
      <c r="D176" s="84">
        <f t="shared" si="219"/>
        <v>0</v>
      </c>
      <c r="E176" s="84">
        <f t="shared" si="219"/>
        <v>0</v>
      </c>
      <c r="F176" s="84">
        <f t="shared" si="219"/>
        <v>0</v>
      </c>
      <c r="G176" s="84">
        <f t="shared" si="219"/>
        <v>0</v>
      </c>
      <c r="H176" s="84">
        <f t="shared" si="219"/>
        <v>0</v>
      </c>
      <c r="I176" s="84">
        <f t="shared" si="219"/>
        <v>0</v>
      </c>
      <c r="J176" s="84">
        <f t="shared" si="219"/>
        <v>14939.870592501604</v>
      </c>
      <c r="K176" s="84">
        <f t="shared" si="219"/>
        <v>14951.151810252883</v>
      </c>
      <c r="L176" s="84">
        <f t="shared" si="219"/>
        <v>14958.800150407362</v>
      </c>
      <c r="M176" s="84">
        <f t="shared" si="222"/>
        <v>14981.280912992735</v>
      </c>
      <c r="N176" s="84">
        <f t="shared" si="219"/>
        <v>14989.001544560091</v>
      </c>
      <c r="O176" s="84">
        <f t="shared" si="219"/>
        <v>15007.457935602193</v>
      </c>
      <c r="P176" s="84">
        <f t="shared" si="219"/>
        <v>15019.555615695748</v>
      </c>
      <c r="Q176" s="84">
        <f t="shared" si="219"/>
        <v>15030.070094789278</v>
      </c>
      <c r="R176" s="84">
        <f t="shared" si="219"/>
        <v>15006.996478489005</v>
      </c>
      <c r="S176" s="84">
        <f t="shared" si="219"/>
        <v>14996.674863030534</v>
      </c>
      <c r="T176" s="84">
        <f t="shared" si="219"/>
        <v>14975.269261751469</v>
      </c>
      <c r="U176" s="84">
        <f t="shared" si="219"/>
        <v>14967.768130296759</v>
      </c>
      <c r="V176" s="84">
        <f t="shared" si="219"/>
        <v>12992.736401834496</v>
      </c>
      <c r="W176" s="84">
        <f t="shared" si="221"/>
        <v>14868.294155424695</v>
      </c>
      <c r="DA176" s="171" t="s">
        <v>585</v>
      </c>
    </row>
    <row r="177" spans="1:105" ht="11.45" customHeight="1" x14ac:dyDescent="0.25">
      <c r="A177" s="109" t="s">
        <v>21</v>
      </c>
      <c r="B177" s="110">
        <f t="shared" si="219"/>
        <v>45372.050816696916</v>
      </c>
      <c r="C177" s="110">
        <f t="shared" si="219"/>
        <v>46354.271864269846</v>
      </c>
      <c r="D177" s="110">
        <f t="shared" si="219"/>
        <v>52138.891912485036</v>
      </c>
      <c r="E177" s="110">
        <f t="shared" si="219"/>
        <v>53811.173668254669</v>
      </c>
      <c r="F177" s="110">
        <f t="shared" si="219"/>
        <v>52659.517995540918</v>
      </c>
      <c r="G177" s="110">
        <f t="shared" si="219"/>
        <v>53236.020178168939</v>
      </c>
      <c r="H177" s="110">
        <f t="shared" si="219"/>
        <v>52608.97573545199</v>
      </c>
      <c r="I177" s="110">
        <f t="shared" si="219"/>
        <v>55698.371893744632</v>
      </c>
      <c r="J177" s="110">
        <f t="shared" si="219"/>
        <v>53913.228413441102</v>
      </c>
      <c r="K177" s="110">
        <f t="shared" si="219"/>
        <v>47784.357770063296</v>
      </c>
      <c r="L177" s="110">
        <f t="shared" si="219"/>
        <v>51367.443738015958</v>
      </c>
      <c r="M177" s="110">
        <f t="shared" si="222"/>
        <v>51308.051105252474</v>
      </c>
      <c r="N177" s="110">
        <f t="shared" si="219"/>
        <v>51632.653061224482</v>
      </c>
      <c r="O177" s="110">
        <f t="shared" si="219"/>
        <v>51021.435040756776</v>
      </c>
      <c r="P177" s="110">
        <f t="shared" si="219"/>
        <v>51937.674790251709</v>
      </c>
      <c r="Q177" s="110">
        <f t="shared" si="219"/>
        <v>52475.847630252494</v>
      </c>
      <c r="R177" s="110">
        <f t="shared" si="219"/>
        <v>53062.817011314866</v>
      </c>
      <c r="S177" s="110">
        <f t="shared" si="219"/>
        <v>53669.327690679995</v>
      </c>
      <c r="T177" s="110">
        <f t="shared" si="219"/>
        <v>53423.310225220965</v>
      </c>
      <c r="U177" s="110">
        <f t="shared" si="219"/>
        <v>52322.503819447506</v>
      </c>
      <c r="V177" s="110">
        <f t="shared" si="219"/>
        <v>52648.00507340832</v>
      </c>
      <c r="W177" s="110">
        <f t="shared" si="221"/>
        <v>52290.103662022717</v>
      </c>
      <c r="DA177" s="176" t="s">
        <v>586</v>
      </c>
    </row>
    <row r="178" spans="1:105" ht="11.45" customHeight="1" x14ac:dyDescent="0.25">
      <c r="A178" s="111" t="s">
        <v>110</v>
      </c>
      <c r="B178" s="102">
        <f t="shared" si="219"/>
        <v>50825.625325090237</v>
      </c>
      <c r="C178" s="102">
        <f t="shared" si="219"/>
        <v>51981.541233207405</v>
      </c>
      <c r="D178" s="102">
        <f t="shared" si="219"/>
        <v>58813.196937115026</v>
      </c>
      <c r="E178" s="102">
        <f t="shared" si="219"/>
        <v>60795.437487670919</v>
      </c>
      <c r="F178" s="102">
        <f t="shared" si="219"/>
        <v>59429.985442651217</v>
      </c>
      <c r="G178" s="102">
        <f t="shared" si="219"/>
        <v>60113.326376201294</v>
      </c>
      <c r="H178" s="102">
        <f t="shared" si="219"/>
        <v>59370.094344330842</v>
      </c>
      <c r="I178" s="102">
        <f t="shared" si="219"/>
        <v>63036.127595175603</v>
      </c>
      <c r="J178" s="102">
        <f t="shared" si="219"/>
        <v>60916.508898663757</v>
      </c>
      <c r="K178" s="102">
        <f t="shared" si="219"/>
        <v>53666.706216525708</v>
      </c>
      <c r="L178" s="102">
        <f t="shared" si="219"/>
        <v>57899.82511152378</v>
      </c>
      <c r="M178" s="102">
        <f t="shared" si="222"/>
        <v>57829.534290538977</v>
      </c>
      <c r="N178" s="102">
        <f t="shared" si="219"/>
        <v>58213.748263064284</v>
      </c>
      <c r="O178" s="102">
        <f t="shared" si="219"/>
        <v>57490.383182155245</v>
      </c>
      <c r="P178" s="102">
        <f t="shared" si="219"/>
        <v>48812.413553771796</v>
      </c>
      <c r="Q178" s="102">
        <f t="shared" si="219"/>
        <v>39474.903475347637</v>
      </c>
      <c r="R178" s="102">
        <f t="shared" si="219"/>
        <v>39938.657146977253</v>
      </c>
      <c r="S178" s="102">
        <f t="shared" si="219"/>
        <v>40418.119534435733</v>
      </c>
      <c r="T178" s="102">
        <f t="shared" si="219"/>
        <v>40223.603528634732</v>
      </c>
      <c r="U178" s="102">
        <f t="shared" si="219"/>
        <v>39353.79196849557</v>
      </c>
      <c r="V178" s="102">
        <f t="shared" si="219"/>
        <v>39610.895142760637</v>
      </c>
      <c r="W178" s="102">
        <f t="shared" si="221"/>
        <v>39328.204474019854</v>
      </c>
      <c r="DA178" s="175" t="s">
        <v>587</v>
      </c>
    </row>
    <row r="179" spans="1:105" ht="11.45" customHeight="1" x14ac:dyDescent="0.25">
      <c r="A179" s="111" t="s">
        <v>111</v>
      </c>
      <c r="B179" s="102">
        <f t="shared" si="219"/>
        <v>45429.05783067023</v>
      </c>
      <c r="C179" s="102">
        <f t="shared" si="219"/>
        <v>46462.765146724305</v>
      </c>
      <c r="D179" s="102">
        <f t="shared" si="219"/>
        <v>52434.85348368495</v>
      </c>
      <c r="E179" s="102">
        <f t="shared" si="219"/>
        <v>54195.857982341236</v>
      </c>
      <c r="F179" s="102">
        <f t="shared" si="219"/>
        <v>53087.377056674486</v>
      </c>
      <c r="G179" s="102">
        <f t="shared" si="219"/>
        <v>53822.498980287681</v>
      </c>
      <c r="H179" s="102">
        <f t="shared" si="219"/>
        <v>53292.556513301672</v>
      </c>
      <c r="I179" s="102">
        <f t="shared" si="219"/>
        <v>56581.046565524572</v>
      </c>
      <c r="J179" s="102">
        <f t="shared" si="219"/>
        <v>54956.527700952174</v>
      </c>
      <c r="K179" s="102">
        <f t="shared" si="219"/>
        <v>48751.481726431564</v>
      </c>
      <c r="L179" s="102">
        <f t="shared" si="219"/>
        <v>52715.140175113389</v>
      </c>
      <c r="M179" s="102">
        <f t="shared" si="222"/>
        <v>52718.838903484633</v>
      </c>
      <c r="N179" s="102">
        <f t="shared" si="219"/>
        <v>53025.756286530268</v>
      </c>
      <c r="O179" s="102">
        <f t="shared" si="219"/>
        <v>52402.805566759758</v>
      </c>
      <c r="P179" s="102">
        <f t="shared" si="219"/>
        <v>53429.721623335332</v>
      </c>
      <c r="Q179" s="102">
        <f t="shared" si="219"/>
        <v>53575.005549180321</v>
      </c>
      <c r="R179" s="102">
        <f t="shared" si="219"/>
        <v>54746.137607919125</v>
      </c>
      <c r="S179" s="102">
        <f t="shared" si="219"/>
        <v>55289.798553587447</v>
      </c>
      <c r="T179" s="102">
        <f t="shared" si="219"/>
        <v>54719.055228039804</v>
      </c>
      <c r="U179" s="102">
        <f t="shared" si="219"/>
        <v>52684.046145092922</v>
      </c>
      <c r="V179" s="102">
        <f t="shared" si="219"/>
        <v>52674.311756594703</v>
      </c>
      <c r="W179" s="102">
        <f t="shared" si="221"/>
        <v>52129.720395290358</v>
      </c>
      <c r="DA179" s="175" t="s">
        <v>588</v>
      </c>
    </row>
    <row r="180" spans="1:105" ht="11.45" customHeight="1" x14ac:dyDescent="0.25">
      <c r="A180" s="111" t="s">
        <v>112</v>
      </c>
      <c r="B180" s="102">
        <f t="shared" si="219"/>
        <v>0</v>
      </c>
      <c r="C180" s="102">
        <f t="shared" si="219"/>
        <v>20587.315886745884</v>
      </c>
      <c r="D180" s="102">
        <f t="shared" si="219"/>
        <v>23062.372879780673</v>
      </c>
      <c r="E180" s="102">
        <f t="shared" si="219"/>
        <v>24080.472035656905</v>
      </c>
      <c r="F180" s="102">
        <f t="shared" ref="B180:V192" si="223">IF(F43=0,0,F43*1000000/F70)</f>
        <v>23777.404013543917</v>
      </c>
      <c r="G180" s="102">
        <f t="shared" si="223"/>
        <v>24293.739990531012</v>
      </c>
      <c r="H180" s="102">
        <f t="shared" si="223"/>
        <v>24235.733213350435</v>
      </c>
      <c r="I180" s="102">
        <f t="shared" si="223"/>
        <v>25992.182963310643</v>
      </c>
      <c r="J180" s="102">
        <f t="shared" si="223"/>
        <v>25371.902921292451</v>
      </c>
      <c r="K180" s="102">
        <f t="shared" si="223"/>
        <v>22578.120245659386</v>
      </c>
      <c r="L180" s="102">
        <f t="shared" si="223"/>
        <v>24605.086583365406</v>
      </c>
      <c r="M180" s="102">
        <f t="shared" si="222"/>
        <v>24823.450327392369</v>
      </c>
      <c r="N180" s="102">
        <f t="shared" si="223"/>
        <v>25240.782818713662</v>
      </c>
      <c r="O180" s="102">
        <f t="shared" si="223"/>
        <v>25178.929695264902</v>
      </c>
      <c r="P180" s="102">
        <f t="shared" si="223"/>
        <v>25913.041790858457</v>
      </c>
      <c r="Q180" s="102">
        <f t="shared" si="223"/>
        <v>26459.644719080268</v>
      </c>
      <c r="R180" s="102">
        <f t="shared" si="223"/>
        <v>26502.789361673011</v>
      </c>
      <c r="S180" s="102">
        <f t="shared" si="223"/>
        <v>26552.745011662795</v>
      </c>
      <c r="T180" s="102">
        <f t="shared" si="223"/>
        <v>26160.707851975501</v>
      </c>
      <c r="U180" s="102">
        <f t="shared" si="223"/>
        <v>25339.048086134382</v>
      </c>
      <c r="V180" s="102">
        <f t="shared" si="223"/>
        <v>25249.545298840294</v>
      </c>
      <c r="W180" s="102">
        <f t="shared" si="221"/>
        <v>24818.653656823528</v>
      </c>
      <c r="DA180" s="175" t="s">
        <v>589</v>
      </c>
    </row>
    <row r="181" spans="1:105" ht="11.45" customHeight="1" x14ac:dyDescent="0.25">
      <c r="A181" s="111" t="s">
        <v>113</v>
      </c>
      <c r="B181" s="102">
        <f t="shared" si="223"/>
        <v>0</v>
      </c>
      <c r="C181" s="102">
        <f t="shared" si="223"/>
        <v>0</v>
      </c>
      <c r="D181" s="102">
        <f t="shared" si="223"/>
        <v>0</v>
      </c>
      <c r="E181" s="102">
        <f t="shared" si="223"/>
        <v>0</v>
      </c>
      <c r="F181" s="102">
        <f t="shared" si="223"/>
        <v>52055.098540805178</v>
      </c>
      <c r="G181" s="102">
        <f t="shared" si="223"/>
        <v>44161.79529340005</v>
      </c>
      <c r="H181" s="102">
        <f t="shared" si="223"/>
        <v>34892.628454141726</v>
      </c>
      <c r="I181" s="102">
        <f t="shared" si="223"/>
        <v>49396.276102911033</v>
      </c>
      <c r="J181" s="102">
        <f t="shared" si="223"/>
        <v>40613.261123612974</v>
      </c>
      <c r="K181" s="102">
        <f t="shared" si="223"/>
        <v>47706.387920594112</v>
      </c>
      <c r="L181" s="102">
        <f t="shared" si="223"/>
        <v>48069.410637651046</v>
      </c>
      <c r="M181" s="102">
        <f t="shared" si="222"/>
        <v>48665.650961898762</v>
      </c>
      <c r="N181" s="102">
        <f t="shared" si="223"/>
        <v>50005.932231905055</v>
      </c>
      <c r="O181" s="102">
        <f t="shared" si="223"/>
        <v>49141.775878785091</v>
      </c>
      <c r="P181" s="102">
        <f t="shared" si="223"/>
        <v>48063.888046221015</v>
      </c>
      <c r="Q181" s="102">
        <f t="shared" si="223"/>
        <v>51026.485911039599</v>
      </c>
      <c r="R181" s="102">
        <f t="shared" si="223"/>
        <v>40667.722126358996</v>
      </c>
      <c r="S181" s="102">
        <f t="shared" si="223"/>
        <v>39911.990299593665</v>
      </c>
      <c r="T181" s="102">
        <f t="shared" si="223"/>
        <v>44393.187889435401</v>
      </c>
      <c r="U181" s="102">
        <f t="shared" si="223"/>
        <v>50299.897394340478</v>
      </c>
      <c r="V181" s="102">
        <f t="shared" si="223"/>
        <v>56801.190357699357</v>
      </c>
      <c r="W181" s="102">
        <f t="shared" si="221"/>
        <v>60390.006530070379</v>
      </c>
      <c r="DA181" s="175" t="s">
        <v>590</v>
      </c>
    </row>
    <row r="182" spans="1:105" ht="11.45" customHeight="1" x14ac:dyDescent="0.25">
      <c r="A182" s="111" t="s">
        <v>115</v>
      </c>
      <c r="B182" s="102">
        <f t="shared" si="223"/>
        <v>39950.170399508439</v>
      </c>
      <c r="C182" s="102">
        <f t="shared" si="223"/>
        <v>39992.974270275459</v>
      </c>
      <c r="D182" s="102">
        <f t="shared" si="223"/>
        <v>40228.821062322408</v>
      </c>
      <c r="E182" s="102">
        <f t="shared" si="223"/>
        <v>40292.372357718719</v>
      </c>
      <c r="F182" s="102">
        <f t="shared" si="223"/>
        <v>40335.980467633046</v>
      </c>
      <c r="G182" s="102">
        <f t="shared" si="223"/>
        <v>40357.945832692239</v>
      </c>
      <c r="H182" s="102">
        <f t="shared" si="223"/>
        <v>40381.861955578264</v>
      </c>
      <c r="I182" s="102">
        <f t="shared" si="223"/>
        <v>40497.244354195078</v>
      </c>
      <c r="J182" s="102">
        <f t="shared" si="223"/>
        <v>40563.258074780773</v>
      </c>
      <c r="K182" s="102">
        <f t="shared" si="223"/>
        <v>40808.751659167407</v>
      </c>
      <c r="L182" s="102">
        <f t="shared" si="223"/>
        <v>40956.555043052234</v>
      </c>
      <c r="M182" s="102">
        <f t="shared" si="222"/>
        <v>40958.924243477129</v>
      </c>
      <c r="N182" s="102">
        <f t="shared" si="223"/>
        <v>40971.841861961519</v>
      </c>
      <c r="O182" s="102">
        <f t="shared" si="223"/>
        <v>40996.244670998385</v>
      </c>
      <c r="P182" s="102">
        <f t="shared" si="223"/>
        <v>41032.744695102956</v>
      </c>
      <c r="Q182" s="102">
        <f t="shared" si="223"/>
        <v>41053.89961436153</v>
      </c>
      <c r="R182" s="102">
        <f t="shared" si="223"/>
        <v>41031.072974822499</v>
      </c>
      <c r="S182" s="102">
        <f t="shared" si="223"/>
        <v>41007.763237781968</v>
      </c>
      <c r="T182" s="102">
        <f t="shared" si="223"/>
        <v>40998.343836780907</v>
      </c>
      <c r="U182" s="102">
        <f t="shared" si="223"/>
        <v>40955.685518739534</v>
      </c>
      <c r="V182" s="102">
        <f t="shared" si="223"/>
        <v>40765.629083178341</v>
      </c>
      <c r="W182" s="102">
        <f t="shared" si="221"/>
        <v>40954.417076834055</v>
      </c>
      <c r="DA182" s="175" t="s">
        <v>591</v>
      </c>
    </row>
    <row r="183" spans="1:105" ht="11.45" customHeight="1" x14ac:dyDescent="0.25">
      <c r="A183" s="27" t="s">
        <v>34</v>
      </c>
      <c r="B183" s="28">
        <f t="shared" si="223"/>
        <v>19385.349322453319</v>
      </c>
      <c r="C183" s="28">
        <f t="shared" si="223"/>
        <v>19972.010194831979</v>
      </c>
      <c r="D183" s="28">
        <f t="shared" si="223"/>
        <v>21297.316278342867</v>
      </c>
      <c r="E183" s="28">
        <f t="shared" si="223"/>
        <v>21300.448736887731</v>
      </c>
      <c r="F183" s="28">
        <f t="shared" si="223"/>
        <v>21229.543822117521</v>
      </c>
      <c r="G183" s="28">
        <f t="shared" si="223"/>
        <v>21292.728243357658</v>
      </c>
      <c r="H183" s="28">
        <f t="shared" si="223"/>
        <v>22097.453177134099</v>
      </c>
      <c r="I183" s="28">
        <f t="shared" si="223"/>
        <v>22326.015273660381</v>
      </c>
      <c r="J183" s="28">
        <f t="shared" si="223"/>
        <v>21995.148758503579</v>
      </c>
      <c r="K183" s="28">
        <f t="shared" si="223"/>
        <v>20554.35846224432</v>
      </c>
      <c r="L183" s="28">
        <f t="shared" si="223"/>
        <v>20260.259959041534</v>
      </c>
      <c r="M183" s="28">
        <f t="shared" si="222"/>
        <v>20103.512954767339</v>
      </c>
      <c r="N183" s="28">
        <f t="shared" si="223"/>
        <v>19451.85419328565</v>
      </c>
      <c r="O183" s="28">
        <f t="shared" si="223"/>
        <v>19498.71343989866</v>
      </c>
      <c r="P183" s="28">
        <f t="shared" si="223"/>
        <v>19815.020818798355</v>
      </c>
      <c r="Q183" s="28">
        <f t="shared" si="223"/>
        <v>20207.101059540259</v>
      </c>
      <c r="R183" s="28">
        <f t="shared" si="223"/>
        <v>20219.999474111049</v>
      </c>
      <c r="S183" s="28">
        <f t="shared" si="223"/>
        <v>20016.955563549483</v>
      </c>
      <c r="T183" s="28">
        <f t="shared" si="223"/>
        <v>19551.235546739354</v>
      </c>
      <c r="U183" s="28">
        <f t="shared" si="223"/>
        <v>19575.395908208204</v>
      </c>
      <c r="V183" s="28">
        <f t="shared" si="223"/>
        <v>19217.127622314842</v>
      </c>
      <c r="W183" s="28">
        <f t="shared" si="221"/>
        <v>19196.356295640817</v>
      </c>
      <c r="DA183" s="173" t="s">
        <v>592</v>
      </c>
    </row>
    <row r="184" spans="1:105" ht="11.45" customHeight="1" x14ac:dyDescent="0.25">
      <c r="A184" s="136" t="s">
        <v>156</v>
      </c>
      <c r="B184" s="137">
        <f t="shared" si="223"/>
        <v>15677.459354849523</v>
      </c>
      <c r="C184" s="137">
        <f t="shared" si="223"/>
        <v>16103.409880868523</v>
      </c>
      <c r="D184" s="137">
        <f t="shared" si="223"/>
        <v>17421.754263942035</v>
      </c>
      <c r="E184" s="137">
        <f t="shared" si="223"/>
        <v>17233.774687578989</v>
      </c>
      <c r="F184" s="137">
        <f t="shared" si="223"/>
        <v>16901.533050150392</v>
      </c>
      <c r="G184" s="137">
        <f t="shared" si="223"/>
        <v>16944.697575927839</v>
      </c>
      <c r="H184" s="137">
        <f t="shared" si="223"/>
        <v>16906.341633986958</v>
      </c>
      <c r="I184" s="137">
        <f t="shared" si="223"/>
        <v>16805.824543896339</v>
      </c>
      <c r="J184" s="137">
        <f t="shared" si="223"/>
        <v>16111.520488973296</v>
      </c>
      <c r="K184" s="137">
        <f t="shared" si="223"/>
        <v>15554.114751986834</v>
      </c>
      <c r="L184" s="137">
        <f t="shared" si="223"/>
        <v>15181.295063629417</v>
      </c>
      <c r="M184" s="137">
        <f t="shared" si="222"/>
        <v>14888.297774067541</v>
      </c>
      <c r="N184" s="137">
        <f t="shared" si="223"/>
        <v>14457.490385061212</v>
      </c>
      <c r="O184" s="137">
        <f t="shared" si="223"/>
        <v>14336.732037945691</v>
      </c>
      <c r="P184" s="137">
        <f t="shared" si="223"/>
        <v>14620.605791071053</v>
      </c>
      <c r="Q184" s="137">
        <f t="shared" si="223"/>
        <v>14756.67190986907</v>
      </c>
      <c r="R184" s="137">
        <f t="shared" si="223"/>
        <v>14650.598856717557</v>
      </c>
      <c r="S184" s="137">
        <f t="shared" si="223"/>
        <v>14300.253112482735</v>
      </c>
      <c r="T184" s="137">
        <f t="shared" si="223"/>
        <v>14005.001242207769</v>
      </c>
      <c r="U184" s="137">
        <f t="shared" si="223"/>
        <v>14081.427508180781</v>
      </c>
      <c r="V184" s="137">
        <f t="shared" si="223"/>
        <v>13882.99683854254</v>
      </c>
      <c r="W184" s="137">
        <f t="shared" si="221"/>
        <v>13792.93963224632</v>
      </c>
      <c r="DA184" s="174" t="s">
        <v>593</v>
      </c>
    </row>
    <row r="185" spans="1:105" ht="11.45" customHeight="1" x14ac:dyDescent="0.25">
      <c r="A185" s="111" t="s">
        <v>110</v>
      </c>
      <c r="B185" s="84">
        <f t="shared" si="223"/>
        <v>16906.480687631843</v>
      </c>
      <c r="C185" s="84">
        <f t="shared" si="223"/>
        <v>16909.025127231551</v>
      </c>
      <c r="D185" s="84">
        <f t="shared" si="223"/>
        <v>17451.033289013631</v>
      </c>
      <c r="E185" s="84">
        <f t="shared" si="223"/>
        <v>17056.965884900255</v>
      </c>
      <c r="F185" s="84">
        <f t="shared" si="223"/>
        <v>16696.563897210195</v>
      </c>
      <c r="G185" s="84">
        <f t="shared" si="223"/>
        <v>16761.472065265778</v>
      </c>
      <c r="H185" s="84">
        <f t="shared" si="223"/>
        <v>16996.890859936873</v>
      </c>
      <c r="I185" s="84">
        <f t="shared" si="223"/>
        <v>17001.985904846097</v>
      </c>
      <c r="J185" s="84">
        <f t="shared" si="223"/>
        <v>16157.488618261666</v>
      </c>
      <c r="K185" s="84">
        <f t="shared" si="223"/>
        <v>15448.639885861197</v>
      </c>
      <c r="L185" s="84">
        <f t="shared" si="223"/>
        <v>14940.949418554897</v>
      </c>
      <c r="M185" s="84">
        <f t="shared" si="222"/>
        <v>15024.531707186483</v>
      </c>
      <c r="N185" s="84">
        <f t="shared" si="223"/>
        <v>14830.072002405113</v>
      </c>
      <c r="O185" s="84">
        <f t="shared" si="223"/>
        <v>14185.917225925063</v>
      </c>
      <c r="P185" s="84">
        <f t="shared" si="223"/>
        <v>14294.998834909686</v>
      </c>
      <c r="Q185" s="84">
        <f t="shared" si="223"/>
        <v>14499.90669412476</v>
      </c>
      <c r="R185" s="84">
        <f t="shared" si="223"/>
        <v>14163.880850154879</v>
      </c>
      <c r="S185" s="84">
        <f t="shared" si="223"/>
        <v>13595.496272666294</v>
      </c>
      <c r="T185" s="84">
        <f t="shared" si="223"/>
        <v>13090.489961283321</v>
      </c>
      <c r="U185" s="84">
        <f t="shared" si="223"/>
        <v>12959.963674203969</v>
      </c>
      <c r="V185" s="84">
        <f t="shared" si="223"/>
        <v>12565.817265640735</v>
      </c>
      <c r="W185" s="84">
        <f t="shared" si="221"/>
        <v>12257.2731041766</v>
      </c>
      <c r="DA185" s="171" t="s">
        <v>594</v>
      </c>
    </row>
    <row r="186" spans="1:105" ht="11.45" customHeight="1" x14ac:dyDescent="0.25">
      <c r="A186" s="111" t="s">
        <v>111</v>
      </c>
      <c r="B186" s="84">
        <f t="shared" si="223"/>
        <v>15484.995559593684</v>
      </c>
      <c r="C186" s="84">
        <f t="shared" si="223"/>
        <v>15992.903647497746</v>
      </c>
      <c r="D186" s="84">
        <f t="shared" si="223"/>
        <v>17419.715722905432</v>
      </c>
      <c r="E186" s="84">
        <f t="shared" si="223"/>
        <v>17248.260210934332</v>
      </c>
      <c r="F186" s="84">
        <f t="shared" si="223"/>
        <v>16915.942451970841</v>
      </c>
      <c r="G186" s="84">
        <f t="shared" si="223"/>
        <v>16956.120213490962</v>
      </c>
      <c r="H186" s="84">
        <f t="shared" si="223"/>
        <v>16902.953231276268</v>
      </c>
      <c r="I186" s="84">
        <f t="shared" si="223"/>
        <v>16798.363571209196</v>
      </c>
      <c r="J186" s="84">
        <f t="shared" si="223"/>
        <v>16113.095692936995</v>
      </c>
      <c r="K186" s="84">
        <f t="shared" si="223"/>
        <v>15561.443627611847</v>
      </c>
      <c r="L186" s="84">
        <f t="shared" si="223"/>
        <v>15195.143666478603</v>
      </c>
      <c r="M186" s="84">
        <f t="shared" si="222"/>
        <v>14883.998386464547</v>
      </c>
      <c r="N186" s="84">
        <f t="shared" si="223"/>
        <v>14443.614585551381</v>
      </c>
      <c r="O186" s="84">
        <f t="shared" si="223"/>
        <v>14356.827054243038</v>
      </c>
      <c r="P186" s="84">
        <f t="shared" si="223"/>
        <v>14652.359500832994</v>
      </c>
      <c r="Q186" s="84">
        <f t="shared" si="223"/>
        <v>14786.885568239933</v>
      </c>
      <c r="R186" s="84">
        <f t="shared" si="223"/>
        <v>14702.152938103271</v>
      </c>
      <c r="S186" s="84">
        <f t="shared" si="223"/>
        <v>14361.779133598357</v>
      </c>
      <c r="T186" s="84">
        <f t="shared" si="223"/>
        <v>14079.422980305819</v>
      </c>
      <c r="U186" s="84">
        <f t="shared" si="223"/>
        <v>14167.626084603267</v>
      </c>
      <c r="V186" s="84">
        <f t="shared" si="223"/>
        <v>13978.980128895204</v>
      </c>
      <c r="W186" s="84">
        <f t="shared" si="221"/>
        <v>13902.290963083409</v>
      </c>
      <c r="DA186" s="171" t="s">
        <v>595</v>
      </c>
    </row>
    <row r="187" spans="1:105" ht="11.45" customHeight="1" x14ac:dyDescent="0.25">
      <c r="A187" s="111" t="s">
        <v>112</v>
      </c>
      <c r="B187" s="84">
        <f t="shared" si="223"/>
        <v>0</v>
      </c>
      <c r="C187" s="84">
        <f t="shared" si="223"/>
        <v>0</v>
      </c>
      <c r="D187" s="84">
        <f t="shared" si="223"/>
        <v>0</v>
      </c>
      <c r="E187" s="84">
        <f t="shared" si="223"/>
        <v>17236.803698057211</v>
      </c>
      <c r="F187" s="84">
        <f t="shared" si="223"/>
        <v>16956.129592731784</v>
      </c>
      <c r="G187" s="84">
        <f t="shared" si="223"/>
        <v>17106.314385266051</v>
      </c>
      <c r="H187" s="84">
        <f t="shared" si="223"/>
        <v>17432.450712400114</v>
      </c>
      <c r="I187" s="84">
        <f t="shared" si="223"/>
        <v>17524.001452496817</v>
      </c>
      <c r="J187" s="84">
        <f t="shared" si="223"/>
        <v>16736.018830695157</v>
      </c>
      <c r="K187" s="84">
        <f t="shared" si="223"/>
        <v>16081.006050837954</v>
      </c>
      <c r="L187" s="84">
        <f t="shared" si="223"/>
        <v>15629.526802839688</v>
      </c>
      <c r="M187" s="84">
        <f t="shared" si="222"/>
        <v>15327.927423054029</v>
      </c>
      <c r="N187" s="84">
        <f t="shared" si="223"/>
        <v>14755.047337013588</v>
      </c>
      <c r="O187" s="84">
        <f t="shared" si="223"/>
        <v>14169.139479977493</v>
      </c>
      <c r="P187" s="84">
        <f t="shared" si="223"/>
        <v>13924.673956934776</v>
      </c>
      <c r="Q187" s="84">
        <f t="shared" si="223"/>
        <v>14052.938778060548</v>
      </c>
      <c r="R187" s="84">
        <f t="shared" si="223"/>
        <v>13796.952702201806</v>
      </c>
      <c r="S187" s="84">
        <f t="shared" si="223"/>
        <v>13310.51747717262</v>
      </c>
      <c r="T187" s="84">
        <f t="shared" si="223"/>
        <v>12881.153065348088</v>
      </c>
      <c r="U187" s="84">
        <f t="shared" si="223"/>
        <v>12817.448681939064</v>
      </c>
      <c r="V187" s="84">
        <f t="shared" si="223"/>
        <v>12490.720976596163</v>
      </c>
      <c r="W187" s="84">
        <f t="shared" si="221"/>
        <v>12245.868568900931</v>
      </c>
      <c r="DA187" s="171" t="s">
        <v>596</v>
      </c>
    </row>
    <row r="188" spans="1:105" ht="11.45" customHeight="1" x14ac:dyDescent="0.25">
      <c r="A188" s="111" t="s">
        <v>113</v>
      </c>
      <c r="B188" s="84">
        <f t="shared" si="223"/>
        <v>0</v>
      </c>
      <c r="C188" s="84">
        <f t="shared" si="223"/>
        <v>0</v>
      </c>
      <c r="D188" s="84">
        <f t="shared" si="223"/>
        <v>0</v>
      </c>
      <c r="E188" s="84">
        <f t="shared" si="223"/>
        <v>0</v>
      </c>
      <c r="F188" s="84">
        <f t="shared" si="223"/>
        <v>0</v>
      </c>
      <c r="G188" s="84">
        <f t="shared" si="223"/>
        <v>0</v>
      </c>
      <c r="H188" s="84">
        <f t="shared" si="223"/>
        <v>11782.548027645591</v>
      </c>
      <c r="I188" s="84">
        <f t="shared" si="223"/>
        <v>12083.708286611416</v>
      </c>
      <c r="J188" s="84">
        <f t="shared" si="223"/>
        <v>11773.491834211751</v>
      </c>
      <c r="K188" s="84">
        <f t="shared" si="223"/>
        <v>11541.241417726618</v>
      </c>
      <c r="L188" s="84">
        <f t="shared" si="223"/>
        <v>11443.827928238599</v>
      </c>
      <c r="M188" s="84">
        <f t="shared" si="222"/>
        <v>11449.726268662098</v>
      </c>
      <c r="N188" s="84">
        <f t="shared" si="223"/>
        <v>11244.456144710415</v>
      </c>
      <c r="O188" s="84">
        <f t="shared" si="223"/>
        <v>11016.09068739955</v>
      </c>
      <c r="P188" s="84">
        <f t="shared" si="223"/>
        <v>11044.733501939887</v>
      </c>
      <c r="Q188" s="84">
        <f t="shared" si="223"/>
        <v>11146.470229951576</v>
      </c>
      <c r="R188" s="84">
        <f t="shared" si="223"/>
        <v>10943.427918382111</v>
      </c>
      <c r="S188" s="84">
        <f t="shared" si="223"/>
        <v>10557.598602520256</v>
      </c>
      <c r="T188" s="84">
        <f t="shared" si="223"/>
        <v>10217.036552846022</v>
      </c>
      <c r="U188" s="84">
        <f t="shared" si="223"/>
        <v>10166.507690207363</v>
      </c>
      <c r="V188" s="84">
        <f t="shared" si="223"/>
        <v>9907.3547330628608</v>
      </c>
      <c r="W188" s="84">
        <f t="shared" si="221"/>
        <v>9713.1433929147224</v>
      </c>
      <c r="DA188" s="171" t="s">
        <v>597</v>
      </c>
    </row>
    <row r="189" spans="1:105" ht="11.45" customHeight="1" x14ac:dyDescent="0.25">
      <c r="A189" s="111" t="s">
        <v>115</v>
      </c>
      <c r="B189" s="84">
        <f t="shared" si="223"/>
        <v>12252.303690168525</v>
      </c>
      <c r="C189" s="84">
        <f t="shared" si="223"/>
        <v>12261.081292113126</v>
      </c>
      <c r="D189" s="84">
        <f t="shared" si="223"/>
        <v>12288.225779001958</v>
      </c>
      <c r="E189" s="84">
        <f t="shared" si="223"/>
        <v>12292.879551108854</v>
      </c>
      <c r="F189" s="84">
        <f t="shared" si="223"/>
        <v>12296.665826152737</v>
      </c>
      <c r="G189" s="84">
        <f t="shared" si="223"/>
        <v>12307.660791408502</v>
      </c>
      <c r="H189" s="84">
        <f t="shared" si="223"/>
        <v>12324.572650338056</v>
      </c>
      <c r="I189" s="84">
        <f t="shared" si="223"/>
        <v>12333.489669244513</v>
      </c>
      <c r="J189" s="84">
        <f t="shared" si="223"/>
        <v>12354.68499627583</v>
      </c>
      <c r="K189" s="84">
        <f t="shared" si="223"/>
        <v>12372.331873393206</v>
      </c>
      <c r="L189" s="84">
        <f t="shared" si="223"/>
        <v>12383.251812475743</v>
      </c>
      <c r="M189" s="84">
        <f t="shared" si="222"/>
        <v>12388.875705749804</v>
      </c>
      <c r="N189" s="84">
        <f t="shared" si="223"/>
        <v>12405.488481509994</v>
      </c>
      <c r="O189" s="84">
        <f t="shared" si="223"/>
        <v>12423.559628343495</v>
      </c>
      <c r="P189" s="84">
        <f t="shared" si="223"/>
        <v>12427.96995907061</v>
      </c>
      <c r="Q189" s="84">
        <f t="shared" si="223"/>
        <v>12428.491452106937</v>
      </c>
      <c r="R189" s="84">
        <f t="shared" si="223"/>
        <v>12423.560417711551</v>
      </c>
      <c r="S189" s="84">
        <f t="shared" si="223"/>
        <v>12408.281208480701</v>
      </c>
      <c r="T189" s="84">
        <f t="shared" si="223"/>
        <v>12394.852713807364</v>
      </c>
      <c r="U189" s="84">
        <f t="shared" si="223"/>
        <v>12391.847316767589</v>
      </c>
      <c r="V189" s="84">
        <f t="shared" si="223"/>
        <v>12253.036141639983</v>
      </c>
      <c r="W189" s="84">
        <f t="shared" si="221"/>
        <v>12376.798521134462</v>
      </c>
      <c r="DA189" s="171" t="s">
        <v>598</v>
      </c>
    </row>
    <row r="190" spans="1:105" ht="11.45" customHeight="1" x14ac:dyDescent="0.25">
      <c r="A190" s="109" t="s">
        <v>158</v>
      </c>
      <c r="B190" s="110">
        <f t="shared" si="223"/>
        <v>30513.270286972594</v>
      </c>
      <c r="C190" s="110">
        <f t="shared" si="223"/>
        <v>32187.49339862592</v>
      </c>
      <c r="D190" s="110">
        <f t="shared" si="223"/>
        <v>33311.506028640892</v>
      </c>
      <c r="E190" s="110">
        <f t="shared" si="223"/>
        <v>34343.952724396564</v>
      </c>
      <c r="F190" s="110">
        <f t="shared" si="223"/>
        <v>35200.942072256796</v>
      </c>
      <c r="G190" s="110">
        <f t="shared" si="223"/>
        <v>35768.303289503434</v>
      </c>
      <c r="H190" s="110">
        <f t="shared" si="223"/>
        <v>40012.604381376441</v>
      </c>
      <c r="I190" s="110">
        <f t="shared" si="223"/>
        <v>41327.049468930592</v>
      </c>
      <c r="J190" s="110">
        <f t="shared" si="223"/>
        <v>42113.791615284499</v>
      </c>
      <c r="K190" s="110">
        <f t="shared" si="223"/>
        <v>38651.950882140292</v>
      </c>
      <c r="L190" s="110">
        <f t="shared" si="223"/>
        <v>39173.25335275798</v>
      </c>
      <c r="M190" s="110">
        <f t="shared" si="222"/>
        <v>40077.500579775347</v>
      </c>
      <c r="N190" s="110">
        <f t="shared" si="223"/>
        <v>39274.078571182952</v>
      </c>
      <c r="O190" s="110">
        <f t="shared" si="223"/>
        <v>41938.051395613969</v>
      </c>
      <c r="P190" s="110">
        <f t="shared" si="223"/>
        <v>43179.98494865992</v>
      </c>
      <c r="Q190" s="110">
        <f t="shared" si="223"/>
        <v>45034.679387346114</v>
      </c>
      <c r="R190" s="110">
        <f t="shared" si="223"/>
        <v>46002.961389644239</v>
      </c>
      <c r="S190" s="110">
        <f t="shared" si="223"/>
        <v>46529.518393504834</v>
      </c>
      <c r="T190" s="110">
        <f t="shared" si="223"/>
        <v>45873.05984362297</v>
      </c>
      <c r="U190" s="110">
        <f t="shared" si="223"/>
        <v>45982.37954264912</v>
      </c>
      <c r="V190" s="110">
        <f t="shared" si="223"/>
        <v>45315.40245312496</v>
      </c>
      <c r="W190" s="110">
        <f t="shared" si="221"/>
        <v>46753.207612479469</v>
      </c>
      <c r="DA190" s="176" t="s">
        <v>599</v>
      </c>
    </row>
    <row r="191" spans="1:105" ht="11.45" customHeight="1" x14ac:dyDescent="0.25">
      <c r="A191" s="128" t="s">
        <v>27</v>
      </c>
      <c r="B191" s="102">
        <f t="shared" si="223"/>
        <v>21655.788388869805</v>
      </c>
      <c r="C191" s="102">
        <f t="shared" si="223"/>
        <v>22599.759546573539</v>
      </c>
      <c r="D191" s="102">
        <f t="shared" si="223"/>
        <v>23148.216364359705</v>
      </c>
      <c r="E191" s="102">
        <f t="shared" si="223"/>
        <v>24039.967191111773</v>
      </c>
      <c r="F191" s="102">
        <f t="shared" si="223"/>
        <v>23120.430819218389</v>
      </c>
      <c r="G191" s="102">
        <f t="shared" si="223"/>
        <v>23235.957797158018</v>
      </c>
      <c r="H191" s="102">
        <f t="shared" si="223"/>
        <v>27699.750312109863</v>
      </c>
      <c r="I191" s="102">
        <f t="shared" si="223"/>
        <v>27908.129288048443</v>
      </c>
      <c r="J191" s="102">
        <f t="shared" si="223"/>
        <v>27403.963787619279</v>
      </c>
      <c r="K191" s="102">
        <f t="shared" si="223"/>
        <v>25340.307822180683</v>
      </c>
      <c r="L191" s="102">
        <f t="shared" si="223"/>
        <v>25334.346504559271</v>
      </c>
      <c r="M191" s="102">
        <f t="shared" si="222"/>
        <v>26095.018085656098</v>
      </c>
      <c r="N191" s="102">
        <f t="shared" si="223"/>
        <v>25431.439750083406</v>
      </c>
      <c r="O191" s="102">
        <f t="shared" si="223"/>
        <v>27412.729325892346</v>
      </c>
      <c r="P191" s="102">
        <f t="shared" si="223"/>
        <v>28829.632566745968</v>
      </c>
      <c r="Q191" s="102">
        <f t="shared" si="223"/>
        <v>30636.850102398097</v>
      </c>
      <c r="R191" s="102">
        <f t="shared" si="223"/>
        <v>31712.370108154842</v>
      </c>
      <c r="S191" s="102">
        <f t="shared" si="223"/>
        <v>31659.371269399126</v>
      </c>
      <c r="T191" s="102">
        <f t="shared" si="223"/>
        <v>31119.5621927465</v>
      </c>
      <c r="U191" s="102">
        <f t="shared" si="223"/>
        <v>31166.491059294211</v>
      </c>
      <c r="V191" s="102">
        <f t="shared" si="223"/>
        <v>30054.063904750335</v>
      </c>
      <c r="W191" s="102">
        <f t="shared" si="221"/>
        <v>31453.62279674504</v>
      </c>
      <c r="DA191" s="175" t="s">
        <v>600</v>
      </c>
    </row>
    <row r="192" spans="1:105" ht="11.45" customHeight="1" x14ac:dyDescent="0.25">
      <c r="A192" s="138" t="s">
        <v>116</v>
      </c>
      <c r="B192" s="86">
        <f t="shared" si="223"/>
        <v>84997.527334933926</v>
      </c>
      <c r="C192" s="86">
        <f t="shared" si="223"/>
        <v>85000.154134607947</v>
      </c>
      <c r="D192" s="86">
        <f t="shared" si="223"/>
        <v>85001.552464924695</v>
      </c>
      <c r="E192" s="86">
        <f t="shared" si="223"/>
        <v>85002.633707929941</v>
      </c>
      <c r="F192" s="86">
        <f t="shared" si="223"/>
        <v>84998.68666700396</v>
      </c>
      <c r="G192" s="86">
        <f t="shared" si="223"/>
        <v>84999.944170669667</v>
      </c>
      <c r="H192" s="86">
        <f t="shared" si="223"/>
        <v>84998.503734737678</v>
      </c>
      <c r="I192" s="86">
        <f t="shared" si="223"/>
        <v>84998.735817689623</v>
      </c>
      <c r="J192" s="86">
        <f t="shared" si="223"/>
        <v>84998.54691206041</v>
      </c>
      <c r="K192" s="86">
        <f t="shared" si="223"/>
        <v>85001.64989896481</v>
      </c>
      <c r="L192" s="86">
        <f t="shared" si="223"/>
        <v>85001.138134412467</v>
      </c>
      <c r="M192" s="86">
        <f t="shared" si="222"/>
        <v>85000.322022551656</v>
      </c>
      <c r="N192" s="86">
        <f t="shared" si="223"/>
        <v>85001.525176780895</v>
      </c>
      <c r="O192" s="86">
        <f t="shared" si="223"/>
        <v>84999.560028198539</v>
      </c>
      <c r="P192" s="86">
        <f t="shared" si="223"/>
        <v>84999.827460575529</v>
      </c>
      <c r="Q192" s="86">
        <f t="shared" si="223"/>
        <v>85001.659377490651</v>
      </c>
      <c r="R192" s="86">
        <f t="shared" si="223"/>
        <v>84998.177777206307</v>
      </c>
      <c r="S192" s="86">
        <f t="shared" si="223"/>
        <v>85001.576750048131</v>
      </c>
      <c r="T192" s="86">
        <f t="shared" si="223"/>
        <v>85001.585839711348</v>
      </c>
      <c r="U192" s="86">
        <f t="shared" si="223"/>
        <v>84998.307205085308</v>
      </c>
      <c r="V192" s="86">
        <f t="shared" ref="V192:W192" si="224">IF(V55=0,0,V55*1000000/V82)</f>
        <v>85001.391740439241</v>
      </c>
      <c r="W192" s="86">
        <f t="shared" si="224"/>
        <v>85001.308285707259</v>
      </c>
      <c r="DA192" s="178" t="s">
        <v>601</v>
      </c>
    </row>
    <row r="193" spans="1:105" ht="11.45" customHeight="1" x14ac:dyDescent="0.25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DA193" s="171"/>
    </row>
    <row r="194" spans="1:105" ht="11.45" customHeight="1" x14ac:dyDescent="0.25">
      <c r="A194" s="53" t="s">
        <v>138</v>
      </c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DA194" s="172"/>
    </row>
    <row r="195" spans="1:105" ht="11.45" customHeight="1" x14ac:dyDescent="0.25">
      <c r="A195" s="27" t="s">
        <v>107</v>
      </c>
      <c r="B195" s="28">
        <f t="shared" ref="B195:L195" si="225">IF(B4=0,0,B4*1000000/B58)</f>
        <v>15931.631768764704</v>
      </c>
      <c r="C195" s="28">
        <f t="shared" si="225"/>
        <v>15782.589437301871</v>
      </c>
      <c r="D195" s="28">
        <f t="shared" si="225"/>
        <v>16666.728077947868</v>
      </c>
      <c r="E195" s="28">
        <f t="shared" si="225"/>
        <v>16740.113311946039</v>
      </c>
      <c r="F195" s="28">
        <f t="shared" si="225"/>
        <v>16719.466153993355</v>
      </c>
      <c r="G195" s="28">
        <f t="shared" si="225"/>
        <v>16474.519437376868</v>
      </c>
      <c r="H195" s="28">
        <f t="shared" si="225"/>
        <v>16472.203188899821</v>
      </c>
      <c r="I195" s="28">
        <f t="shared" si="225"/>
        <v>16485.558943998294</v>
      </c>
      <c r="J195" s="28">
        <f t="shared" si="225"/>
        <v>15829.704617119807</v>
      </c>
      <c r="K195" s="28">
        <f t="shared" si="225"/>
        <v>15231.616375999385</v>
      </c>
      <c r="L195" s="28">
        <f t="shared" si="225"/>
        <v>15153.433389002485</v>
      </c>
      <c r="M195" s="28">
        <f>IF(M4=0,0,M4*1000000/M58)</f>
        <v>15136.133674540553</v>
      </c>
      <c r="N195" s="28">
        <f t="shared" ref="N195:V195" si="226">IF(N4=0,0,N4*1000000/N58)</f>
        <v>14818.64420678301</v>
      </c>
      <c r="O195" s="28">
        <f t="shared" si="226"/>
        <v>14756.108412569403</v>
      </c>
      <c r="P195" s="28">
        <f t="shared" si="226"/>
        <v>14921.325992873188</v>
      </c>
      <c r="Q195" s="28">
        <f t="shared" si="226"/>
        <v>15078.442272412141</v>
      </c>
      <c r="R195" s="28">
        <f t="shared" si="226"/>
        <v>15242.203197917159</v>
      </c>
      <c r="S195" s="28">
        <f t="shared" si="226"/>
        <v>15236.394716767065</v>
      </c>
      <c r="T195" s="28">
        <f t="shared" si="226"/>
        <v>14689.241045897566</v>
      </c>
      <c r="U195" s="28">
        <f t="shared" si="226"/>
        <v>14155.523800285015</v>
      </c>
      <c r="V195" s="28">
        <f t="shared" si="226"/>
        <v>12387.682720509154</v>
      </c>
      <c r="W195" s="28">
        <f t="shared" ref="W195" si="227">IF(W4=0,0,W4*1000000/W58)</f>
        <v>12957.561977055351</v>
      </c>
      <c r="DA195" s="173" t="s">
        <v>602</v>
      </c>
    </row>
    <row r="196" spans="1:105" ht="11.45" customHeight="1" x14ac:dyDescent="0.25">
      <c r="A196" s="136" t="s">
        <v>180</v>
      </c>
      <c r="B196" s="137">
        <f t="shared" ref="B196:L196" si="228">IF(B5=0,0,B5*1000000/B59)</f>
        <v>1828.4421796710042</v>
      </c>
      <c r="C196" s="137">
        <f t="shared" si="228"/>
        <v>1830.229009637264</v>
      </c>
      <c r="D196" s="137">
        <f t="shared" si="228"/>
        <v>1848.4908839015889</v>
      </c>
      <c r="E196" s="137">
        <f t="shared" si="228"/>
        <v>1872.0556477078171</v>
      </c>
      <c r="F196" s="137">
        <f t="shared" si="228"/>
        <v>1959.8308718964165</v>
      </c>
      <c r="G196" s="137">
        <f t="shared" si="228"/>
        <v>1966.1861422375073</v>
      </c>
      <c r="H196" s="137">
        <f t="shared" si="228"/>
        <v>1976.0709385385026</v>
      </c>
      <c r="I196" s="137">
        <f t="shared" si="228"/>
        <v>1990.9829655177512</v>
      </c>
      <c r="J196" s="137">
        <f t="shared" si="228"/>
        <v>2004.8487325544156</v>
      </c>
      <c r="K196" s="137">
        <f t="shared" si="228"/>
        <v>2021.4762840109167</v>
      </c>
      <c r="L196" s="137">
        <f t="shared" si="228"/>
        <v>2039.9786191749804</v>
      </c>
      <c r="M196" s="137">
        <f>IF(M5=0,0,M5*1000000/M59)</f>
        <v>2062.4573262727931</v>
      </c>
      <c r="N196" s="137">
        <f t="shared" ref="N196:V196" si="229">IF(N5=0,0,N5*1000000/N59)</f>
        <v>2097.8155896400121</v>
      </c>
      <c r="O196" s="137">
        <f t="shared" si="229"/>
        <v>2102.2424753326036</v>
      </c>
      <c r="P196" s="137">
        <f t="shared" si="229"/>
        <v>2132.8898539682541</v>
      </c>
      <c r="Q196" s="137">
        <f t="shared" si="229"/>
        <v>2180.3334219509934</v>
      </c>
      <c r="R196" s="137">
        <f t="shared" si="229"/>
        <v>2200.130174760473</v>
      </c>
      <c r="S196" s="137">
        <f t="shared" si="229"/>
        <v>2036.8960361159495</v>
      </c>
      <c r="T196" s="137">
        <f t="shared" si="229"/>
        <v>1906.107013481806</v>
      </c>
      <c r="U196" s="137">
        <f t="shared" si="229"/>
        <v>1991.9241298446168</v>
      </c>
      <c r="V196" s="137">
        <f t="shared" si="229"/>
        <v>1738.038275031925</v>
      </c>
      <c r="W196" s="137">
        <f t="shared" ref="W196" si="230">IF(W5=0,0,W5*1000000/W59)</f>
        <v>1759.2992797631916</v>
      </c>
      <c r="DA196" s="174" t="s">
        <v>603</v>
      </c>
    </row>
    <row r="197" spans="1:105" ht="11.45" customHeight="1" x14ac:dyDescent="0.25">
      <c r="A197" s="109" t="s">
        <v>20</v>
      </c>
      <c r="B197" s="110">
        <f t="shared" ref="B197:V210" si="231">IF(B6=0,0,B6*1000000/B60)</f>
        <v>15728.939047201289</v>
      </c>
      <c r="C197" s="110">
        <f t="shared" si="231"/>
        <v>15623.412479833454</v>
      </c>
      <c r="D197" s="110">
        <f t="shared" si="231"/>
        <v>16674.947869794883</v>
      </c>
      <c r="E197" s="110">
        <f t="shared" si="231"/>
        <v>16743.906873363838</v>
      </c>
      <c r="F197" s="110">
        <f t="shared" si="231"/>
        <v>16711.45643915809</v>
      </c>
      <c r="G197" s="110">
        <f t="shared" si="231"/>
        <v>16486.419727202527</v>
      </c>
      <c r="H197" s="110">
        <f t="shared" si="231"/>
        <v>16493.943510609417</v>
      </c>
      <c r="I197" s="110">
        <f t="shared" si="231"/>
        <v>16539.962720576827</v>
      </c>
      <c r="J197" s="110">
        <f t="shared" si="231"/>
        <v>15915.950173610476</v>
      </c>
      <c r="K197" s="110">
        <f t="shared" si="231"/>
        <v>15511.03967298824</v>
      </c>
      <c r="L197" s="110">
        <f t="shared" si="231"/>
        <v>15395.232058165007</v>
      </c>
      <c r="M197" s="110">
        <f>IF(M6=0,0,M6*1000000/M60)</f>
        <v>15352.511322327873</v>
      </c>
      <c r="N197" s="110">
        <f t="shared" ref="N197:V197" si="232">IF(N6=0,0,N6*1000000/N60)</f>
        <v>15054.282110996945</v>
      </c>
      <c r="O197" s="110">
        <f t="shared" si="232"/>
        <v>15007.99145103585</v>
      </c>
      <c r="P197" s="110">
        <f t="shared" si="232"/>
        <v>15182.976468787761</v>
      </c>
      <c r="Q197" s="110">
        <f t="shared" si="232"/>
        <v>15356.814491980664</v>
      </c>
      <c r="R197" s="110">
        <f t="shared" si="232"/>
        <v>15527.503082054802</v>
      </c>
      <c r="S197" s="110">
        <f t="shared" si="232"/>
        <v>15539.904686239477</v>
      </c>
      <c r="T197" s="110">
        <f t="shared" si="232"/>
        <v>15029.970764344873</v>
      </c>
      <c r="U197" s="110">
        <f t="shared" si="232"/>
        <v>14437.405894338141</v>
      </c>
      <c r="V197" s="110">
        <f t="shared" si="232"/>
        <v>12800.120663958143</v>
      </c>
      <c r="W197" s="110">
        <f t="shared" ref="W197:W209" si="233">IF(W6=0,0,W6*1000000/W60)</f>
        <v>13471.79769669308</v>
      </c>
      <c r="DA197" s="176" t="s">
        <v>604</v>
      </c>
    </row>
    <row r="198" spans="1:105" ht="11.45" customHeight="1" x14ac:dyDescent="0.25">
      <c r="A198" s="111" t="s">
        <v>110</v>
      </c>
      <c r="B198" s="84">
        <f t="shared" si="231"/>
        <v>14044.978338714198</v>
      </c>
      <c r="C198" s="84">
        <f t="shared" si="231"/>
        <v>14159.96658078807</v>
      </c>
      <c r="D198" s="84">
        <f t="shared" si="231"/>
        <v>15484.470174407184</v>
      </c>
      <c r="E198" s="84">
        <f t="shared" si="231"/>
        <v>15473.301645510923</v>
      </c>
      <c r="F198" s="84">
        <f t="shared" si="231"/>
        <v>15490.281012012674</v>
      </c>
      <c r="G198" s="84">
        <f t="shared" si="231"/>
        <v>14998.137779581733</v>
      </c>
      <c r="H198" s="84">
        <f t="shared" si="231"/>
        <v>14828.081363890378</v>
      </c>
      <c r="I198" s="84">
        <f t="shared" si="231"/>
        <v>14466.71014662398</v>
      </c>
      <c r="J198" s="84">
        <f t="shared" si="231"/>
        <v>13937.204234442892</v>
      </c>
      <c r="K198" s="84">
        <f t="shared" si="231"/>
        <v>13328.009826956244</v>
      </c>
      <c r="L198" s="84">
        <f t="shared" si="231"/>
        <v>13298.763317408389</v>
      </c>
      <c r="M198" s="84">
        <f t="shared" ref="M198:M219" si="234">IF(M7=0,0,M7*1000000/M61)</f>
        <v>12726.584625912996</v>
      </c>
      <c r="N198" s="84">
        <f t="shared" si="231"/>
        <v>12529.687519947127</v>
      </c>
      <c r="O198" s="84">
        <f t="shared" si="231"/>
        <v>12277.604239114748</v>
      </c>
      <c r="P198" s="84">
        <f t="shared" si="231"/>
        <v>11903.667267742967</v>
      </c>
      <c r="Q198" s="84">
        <f t="shared" si="231"/>
        <v>11706.606166271085</v>
      </c>
      <c r="R198" s="84">
        <f t="shared" si="231"/>
        <v>11462.344237812847</v>
      </c>
      <c r="S198" s="84">
        <f t="shared" si="231"/>
        <v>11176.486710561143</v>
      </c>
      <c r="T198" s="84">
        <f t="shared" si="231"/>
        <v>11042.360591152241</v>
      </c>
      <c r="U198" s="84">
        <f t="shared" si="231"/>
        <v>10736.958694027668</v>
      </c>
      <c r="V198" s="84">
        <f t="shared" si="231"/>
        <v>9506.9396888317133</v>
      </c>
      <c r="W198" s="84">
        <f t="shared" si="233"/>
        <v>10128.000963796299</v>
      </c>
      <c r="DA198" s="171" t="s">
        <v>605</v>
      </c>
    </row>
    <row r="199" spans="1:105" ht="11.45" customHeight="1" x14ac:dyDescent="0.25">
      <c r="A199" s="111" t="s">
        <v>111</v>
      </c>
      <c r="B199" s="84">
        <f t="shared" si="231"/>
        <v>18676.050648865534</v>
      </c>
      <c r="C199" s="84">
        <f t="shared" si="231"/>
        <v>17929.715405672414</v>
      </c>
      <c r="D199" s="84">
        <f t="shared" si="231"/>
        <v>18251.590583751764</v>
      </c>
      <c r="E199" s="84">
        <f t="shared" si="231"/>
        <v>18258.667530780571</v>
      </c>
      <c r="F199" s="84">
        <f t="shared" si="231"/>
        <v>18011.60220725101</v>
      </c>
      <c r="G199" s="84">
        <f t="shared" si="231"/>
        <v>17945.359327670598</v>
      </c>
      <c r="H199" s="84">
        <f t="shared" si="231"/>
        <v>18023.094377694455</v>
      </c>
      <c r="I199" s="84">
        <f t="shared" si="231"/>
        <v>18362.028770623678</v>
      </c>
      <c r="J199" s="84">
        <f t="shared" si="231"/>
        <v>17618.329735971307</v>
      </c>
      <c r="K199" s="84">
        <f t="shared" si="231"/>
        <v>17346.146245618485</v>
      </c>
      <c r="L199" s="84">
        <f t="shared" si="231"/>
        <v>17128.489969094055</v>
      </c>
      <c r="M199" s="84">
        <f t="shared" si="234"/>
        <v>17477.778829420065</v>
      </c>
      <c r="N199" s="84">
        <f t="shared" si="231"/>
        <v>17056.054017466697</v>
      </c>
      <c r="O199" s="84">
        <f t="shared" si="231"/>
        <v>17133.286633618754</v>
      </c>
      <c r="P199" s="84">
        <f t="shared" si="231"/>
        <v>17699.892330449449</v>
      </c>
      <c r="Q199" s="84">
        <f t="shared" si="231"/>
        <v>18121.457222089583</v>
      </c>
      <c r="R199" s="84">
        <f t="shared" si="231"/>
        <v>18588.592827839762</v>
      </c>
      <c r="S199" s="84">
        <f t="shared" si="231"/>
        <v>18869.732819664921</v>
      </c>
      <c r="T199" s="84">
        <f t="shared" si="231"/>
        <v>18148.357208677749</v>
      </c>
      <c r="U199" s="84">
        <f t="shared" si="231"/>
        <v>17380.699531834096</v>
      </c>
      <c r="V199" s="84">
        <f t="shared" si="231"/>
        <v>15458.254753187472</v>
      </c>
      <c r="W199" s="84">
        <f t="shared" si="233"/>
        <v>16177.592261236266</v>
      </c>
      <c r="DA199" s="171" t="s">
        <v>606</v>
      </c>
    </row>
    <row r="200" spans="1:105" ht="11.45" customHeight="1" x14ac:dyDescent="0.25">
      <c r="A200" s="111" t="s">
        <v>112</v>
      </c>
      <c r="B200" s="84">
        <f t="shared" si="231"/>
        <v>13415.946060972257</v>
      </c>
      <c r="C200" s="84">
        <f t="shared" si="231"/>
        <v>13066.251005160382</v>
      </c>
      <c r="D200" s="84">
        <f t="shared" si="231"/>
        <v>13700.962877498823</v>
      </c>
      <c r="E200" s="84">
        <f t="shared" si="231"/>
        <v>13587.080558599233</v>
      </c>
      <c r="F200" s="84">
        <f t="shared" si="231"/>
        <v>13595.324671312192</v>
      </c>
      <c r="G200" s="84">
        <f t="shared" si="231"/>
        <v>13192.484360141532</v>
      </c>
      <c r="H200" s="84">
        <f t="shared" si="231"/>
        <v>13060.067045484857</v>
      </c>
      <c r="I200" s="84">
        <f t="shared" si="231"/>
        <v>12845.801978484968</v>
      </c>
      <c r="J200" s="84">
        <f t="shared" si="231"/>
        <v>12902.900123901121</v>
      </c>
      <c r="K200" s="84">
        <f t="shared" si="231"/>
        <v>12788.502842047694</v>
      </c>
      <c r="L200" s="84">
        <f t="shared" si="231"/>
        <v>12467.592604166291</v>
      </c>
      <c r="M200" s="84">
        <f t="shared" si="234"/>
        <v>12238.388601584711</v>
      </c>
      <c r="N200" s="84">
        <f t="shared" si="231"/>
        <v>11879.30716615512</v>
      </c>
      <c r="O200" s="84">
        <f t="shared" si="231"/>
        <v>11610.186252644526</v>
      </c>
      <c r="P200" s="84">
        <f t="shared" si="231"/>
        <v>11548.0140474622</v>
      </c>
      <c r="Q200" s="84">
        <f t="shared" si="231"/>
        <v>11478.374872637398</v>
      </c>
      <c r="R200" s="84">
        <f t="shared" si="231"/>
        <v>10645.01720244281</v>
      </c>
      <c r="S200" s="84">
        <f t="shared" si="231"/>
        <v>10849.892060372813</v>
      </c>
      <c r="T200" s="84">
        <f t="shared" si="231"/>
        <v>10266.751543223656</v>
      </c>
      <c r="U200" s="84">
        <f t="shared" si="231"/>
        <v>10038.867052185145</v>
      </c>
      <c r="V200" s="84">
        <f t="shared" si="231"/>
        <v>8674.8282641649366</v>
      </c>
      <c r="W200" s="84">
        <f t="shared" si="233"/>
        <v>8965.1808113446114</v>
      </c>
      <c r="DA200" s="171" t="s">
        <v>607</v>
      </c>
    </row>
    <row r="201" spans="1:105" ht="11.45" customHeight="1" x14ac:dyDescent="0.25">
      <c r="A201" s="111" t="s">
        <v>113</v>
      </c>
      <c r="B201" s="84">
        <f t="shared" si="231"/>
        <v>0</v>
      </c>
      <c r="C201" s="84">
        <f t="shared" si="231"/>
        <v>0</v>
      </c>
      <c r="D201" s="84">
        <f t="shared" si="231"/>
        <v>0</v>
      </c>
      <c r="E201" s="84">
        <f t="shared" si="231"/>
        <v>0</v>
      </c>
      <c r="F201" s="84">
        <f t="shared" si="231"/>
        <v>0</v>
      </c>
      <c r="G201" s="84">
        <f t="shared" si="231"/>
        <v>0</v>
      </c>
      <c r="H201" s="84">
        <f t="shared" si="231"/>
        <v>18733.04033164457</v>
      </c>
      <c r="I201" s="84">
        <f t="shared" si="231"/>
        <v>18608.136477410913</v>
      </c>
      <c r="J201" s="84">
        <f t="shared" si="231"/>
        <v>18672.306765392732</v>
      </c>
      <c r="K201" s="84">
        <f t="shared" si="231"/>
        <v>18035.042972381289</v>
      </c>
      <c r="L201" s="84">
        <f t="shared" si="231"/>
        <v>17756.561822537991</v>
      </c>
      <c r="M201" s="84">
        <f t="shared" si="234"/>
        <v>17568.921726213153</v>
      </c>
      <c r="N201" s="84">
        <f t="shared" si="231"/>
        <v>17079.089308908853</v>
      </c>
      <c r="O201" s="84">
        <f t="shared" si="231"/>
        <v>16857.438432005183</v>
      </c>
      <c r="P201" s="84">
        <f t="shared" si="231"/>
        <v>16933.178903942575</v>
      </c>
      <c r="Q201" s="84">
        <f t="shared" si="231"/>
        <v>16997.709224636328</v>
      </c>
      <c r="R201" s="84">
        <f t="shared" si="231"/>
        <v>15924.487997062026</v>
      </c>
      <c r="S201" s="84">
        <f t="shared" si="231"/>
        <v>15777.650803908949</v>
      </c>
      <c r="T201" s="84">
        <f t="shared" si="231"/>
        <v>15082.005447118001</v>
      </c>
      <c r="U201" s="84">
        <f t="shared" si="231"/>
        <v>14313.497508624478</v>
      </c>
      <c r="V201" s="84">
        <f t="shared" si="231"/>
        <v>12494.850629405284</v>
      </c>
      <c r="W201" s="84">
        <f t="shared" si="233"/>
        <v>13044.827925831503</v>
      </c>
      <c r="DA201" s="171" t="s">
        <v>608</v>
      </c>
    </row>
    <row r="202" spans="1:105" ht="11.45" customHeight="1" x14ac:dyDescent="0.25">
      <c r="A202" s="111" t="s">
        <v>114</v>
      </c>
      <c r="B202" s="84">
        <f t="shared" si="231"/>
        <v>0</v>
      </c>
      <c r="C202" s="84">
        <f t="shared" si="231"/>
        <v>0</v>
      </c>
      <c r="D202" s="84">
        <f t="shared" si="231"/>
        <v>0</v>
      </c>
      <c r="E202" s="84">
        <f t="shared" si="231"/>
        <v>0</v>
      </c>
      <c r="F202" s="84">
        <f t="shared" si="231"/>
        <v>0</v>
      </c>
      <c r="G202" s="84">
        <f t="shared" si="231"/>
        <v>0</v>
      </c>
      <c r="H202" s="84">
        <f t="shared" si="231"/>
        <v>0</v>
      </c>
      <c r="I202" s="84">
        <f t="shared" si="231"/>
        <v>0</v>
      </c>
      <c r="J202" s="84">
        <f t="shared" si="231"/>
        <v>0</v>
      </c>
      <c r="K202" s="84">
        <f t="shared" si="231"/>
        <v>0</v>
      </c>
      <c r="L202" s="84">
        <f t="shared" si="231"/>
        <v>0</v>
      </c>
      <c r="M202" s="84">
        <f t="shared" si="234"/>
        <v>13959.7667748489</v>
      </c>
      <c r="N202" s="84">
        <f t="shared" si="231"/>
        <v>13775.141136570983</v>
      </c>
      <c r="O202" s="84">
        <f t="shared" si="231"/>
        <v>13801.338981242301</v>
      </c>
      <c r="P202" s="84">
        <f t="shared" si="231"/>
        <v>13727.433217780745</v>
      </c>
      <c r="Q202" s="84">
        <f t="shared" si="231"/>
        <v>13937.277444986001</v>
      </c>
      <c r="R202" s="84">
        <f t="shared" si="231"/>
        <v>13255.127052562941</v>
      </c>
      <c r="S202" s="84">
        <f t="shared" si="231"/>
        <v>13329.133191930063</v>
      </c>
      <c r="T202" s="84">
        <f t="shared" si="231"/>
        <v>12934.496518739725</v>
      </c>
      <c r="U202" s="84">
        <f t="shared" si="231"/>
        <v>12461.406661416544</v>
      </c>
      <c r="V202" s="84">
        <f t="shared" si="231"/>
        <v>11042.902506597811</v>
      </c>
      <c r="W202" s="84">
        <f t="shared" si="233"/>
        <v>11703.651764941413</v>
      </c>
      <c r="DA202" s="171" t="s">
        <v>609</v>
      </c>
    </row>
    <row r="203" spans="1:105" ht="11.45" customHeight="1" x14ac:dyDescent="0.25">
      <c r="A203" s="111" t="s">
        <v>115</v>
      </c>
      <c r="B203" s="84">
        <f t="shared" si="231"/>
        <v>0</v>
      </c>
      <c r="C203" s="84">
        <f t="shared" si="231"/>
        <v>0</v>
      </c>
      <c r="D203" s="84">
        <f t="shared" si="231"/>
        <v>0</v>
      </c>
      <c r="E203" s="84">
        <f t="shared" si="231"/>
        <v>0</v>
      </c>
      <c r="F203" s="84">
        <f t="shared" si="231"/>
        <v>0</v>
      </c>
      <c r="G203" s="84">
        <f t="shared" si="231"/>
        <v>0</v>
      </c>
      <c r="H203" s="84">
        <f t="shared" si="231"/>
        <v>0</v>
      </c>
      <c r="I203" s="84">
        <f t="shared" si="231"/>
        <v>0</v>
      </c>
      <c r="J203" s="84">
        <f t="shared" si="231"/>
        <v>17219.051048882426</v>
      </c>
      <c r="K203" s="84">
        <f t="shared" si="231"/>
        <v>17207.632383032989</v>
      </c>
      <c r="L203" s="84">
        <f t="shared" si="231"/>
        <v>17202.635815643422</v>
      </c>
      <c r="M203" s="84">
        <f t="shared" si="234"/>
        <v>17220.827233794727</v>
      </c>
      <c r="N203" s="84">
        <f t="shared" si="231"/>
        <v>17214.494873900901</v>
      </c>
      <c r="O203" s="84">
        <f t="shared" si="231"/>
        <v>17193.994204331277</v>
      </c>
      <c r="P203" s="84">
        <f t="shared" si="231"/>
        <v>17197.536505312775</v>
      </c>
      <c r="Q203" s="84">
        <f t="shared" si="231"/>
        <v>17212.414720736298</v>
      </c>
      <c r="R203" s="84">
        <f t="shared" si="231"/>
        <v>17185.551290409501</v>
      </c>
      <c r="S203" s="84">
        <f t="shared" si="231"/>
        <v>17191.452562652779</v>
      </c>
      <c r="T203" s="84">
        <f t="shared" si="231"/>
        <v>17169.851839255945</v>
      </c>
      <c r="U203" s="84">
        <f t="shared" si="231"/>
        <v>17166.075584038183</v>
      </c>
      <c r="V203" s="84">
        <f t="shared" si="231"/>
        <v>14737.88950914935</v>
      </c>
      <c r="W203" s="84">
        <f t="shared" si="233"/>
        <v>17060.63730689447</v>
      </c>
      <c r="DA203" s="171" t="s">
        <v>610</v>
      </c>
    </row>
    <row r="204" spans="1:105" ht="11.45" customHeight="1" x14ac:dyDescent="0.25">
      <c r="A204" s="109" t="s">
        <v>21</v>
      </c>
      <c r="B204" s="110">
        <f t="shared" si="231"/>
        <v>904738.95050761907</v>
      </c>
      <c r="C204" s="110">
        <f t="shared" si="231"/>
        <v>904535.80648008641</v>
      </c>
      <c r="D204" s="110">
        <f t="shared" si="231"/>
        <v>975751.00858360121</v>
      </c>
      <c r="E204" s="110">
        <f t="shared" si="231"/>
        <v>992007.47153987596</v>
      </c>
      <c r="F204" s="110">
        <f t="shared" si="231"/>
        <v>979472.43913908396</v>
      </c>
      <c r="G204" s="110">
        <f t="shared" si="231"/>
        <v>988838.54479646939</v>
      </c>
      <c r="H204" s="110">
        <f t="shared" si="231"/>
        <v>1011757.9599406525</v>
      </c>
      <c r="I204" s="110">
        <f t="shared" si="231"/>
        <v>1029489.3247777231</v>
      </c>
      <c r="J204" s="110">
        <f t="shared" si="231"/>
        <v>995020.99076635425</v>
      </c>
      <c r="K204" s="110">
        <f t="shared" si="231"/>
        <v>851907.76877334679</v>
      </c>
      <c r="L204" s="110">
        <f t="shared" si="231"/>
        <v>869325.70235922851</v>
      </c>
      <c r="M204" s="110">
        <f t="shared" si="234"/>
        <v>899501.68186917773</v>
      </c>
      <c r="N204" s="110">
        <f t="shared" si="231"/>
        <v>890730.20210537047</v>
      </c>
      <c r="O204" s="110">
        <f t="shared" si="231"/>
        <v>881429.20661184785</v>
      </c>
      <c r="P204" s="110">
        <f t="shared" si="231"/>
        <v>893889.79031018401</v>
      </c>
      <c r="Q204" s="110">
        <f t="shared" si="231"/>
        <v>903791.14705003425</v>
      </c>
      <c r="R204" s="110">
        <f t="shared" si="231"/>
        <v>919745.03213518357</v>
      </c>
      <c r="S204" s="110">
        <f t="shared" si="231"/>
        <v>928755.25042510743</v>
      </c>
      <c r="T204" s="110">
        <f t="shared" si="231"/>
        <v>924862.56951923168</v>
      </c>
      <c r="U204" s="110">
        <f t="shared" si="231"/>
        <v>905893.53935090476</v>
      </c>
      <c r="V204" s="110">
        <f t="shared" si="231"/>
        <v>739680.3405340485</v>
      </c>
      <c r="W204" s="110">
        <f t="shared" si="233"/>
        <v>757362.49491494359</v>
      </c>
      <c r="DA204" s="176" t="s">
        <v>611</v>
      </c>
    </row>
    <row r="205" spans="1:105" ht="11.45" customHeight="1" x14ac:dyDescent="0.25">
      <c r="A205" s="111" t="s">
        <v>110</v>
      </c>
      <c r="B205" s="102">
        <f t="shared" si="231"/>
        <v>389802.17732998607</v>
      </c>
      <c r="C205" s="102">
        <f t="shared" si="231"/>
        <v>390132.20631227456</v>
      </c>
      <c r="D205" s="102">
        <f t="shared" si="231"/>
        <v>423329.61445290217</v>
      </c>
      <c r="E205" s="102">
        <f t="shared" si="231"/>
        <v>431062.37631206092</v>
      </c>
      <c r="F205" s="102">
        <f t="shared" si="231"/>
        <v>425155.3186558786</v>
      </c>
      <c r="G205" s="102">
        <f t="shared" si="231"/>
        <v>429454.55971191276</v>
      </c>
      <c r="H205" s="102">
        <f t="shared" si="231"/>
        <v>439148.26828557625</v>
      </c>
      <c r="I205" s="102">
        <f t="shared" si="231"/>
        <v>448121.2357818415</v>
      </c>
      <c r="J205" s="102">
        <f t="shared" si="231"/>
        <v>432412.82065004285</v>
      </c>
      <c r="K205" s="102">
        <f t="shared" si="231"/>
        <v>367992.03501773684</v>
      </c>
      <c r="L205" s="102">
        <f t="shared" si="231"/>
        <v>385086.54965339141</v>
      </c>
      <c r="M205" s="102">
        <f t="shared" si="234"/>
        <v>389935.52920141071</v>
      </c>
      <c r="N205" s="102">
        <f t="shared" si="231"/>
        <v>387907.97519753821</v>
      </c>
      <c r="O205" s="102">
        <f t="shared" si="231"/>
        <v>383141.70624525362</v>
      </c>
      <c r="P205" s="102">
        <f t="shared" si="231"/>
        <v>325186.07719382487</v>
      </c>
      <c r="Q205" s="102">
        <f t="shared" si="231"/>
        <v>262998.49697494716</v>
      </c>
      <c r="R205" s="102">
        <f t="shared" si="231"/>
        <v>266257.41143030097</v>
      </c>
      <c r="S205" s="102">
        <f t="shared" si="231"/>
        <v>269410.30308812426</v>
      </c>
      <c r="T205" s="102">
        <f t="shared" si="231"/>
        <v>268124.30141294666</v>
      </c>
      <c r="U205" s="102">
        <f t="shared" si="231"/>
        <v>262328.82089495281</v>
      </c>
      <c r="V205" s="102">
        <f t="shared" si="231"/>
        <v>259069.79091242704</v>
      </c>
      <c r="W205" s="102">
        <f t="shared" si="233"/>
        <v>257877.84888729165</v>
      </c>
      <c r="DA205" s="175" t="s">
        <v>612</v>
      </c>
    </row>
    <row r="206" spans="1:105" ht="11.45" customHeight="1" x14ac:dyDescent="0.25">
      <c r="A206" s="111" t="s">
        <v>111</v>
      </c>
      <c r="B206" s="102">
        <f t="shared" si="231"/>
        <v>906695.41850165057</v>
      </c>
      <c r="C206" s="102">
        <f t="shared" si="231"/>
        <v>907538.90965245292</v>
      </c>
      <c r="D206" s="102">
        <f t="shared" si="231"/>
        <v>982106.46895059303</v>
      </c>
      <c r="E206" s="102">
        <f t="shared" si="231"/>
        <v>999852.12714936957</v>
      </c>
      <c r="F206" s="102">
        <f t="shared" si="231"/>
        <v>988086.6380877035</v>
      </c>
      <c r="G206" s="102">
        <f t="shared" si="231"/>
        <v>1000254.6540060964</v>
      </c>
      <c r="H206" s="102">
        <f t="shared" si="231"/>
        <v>1025363.5466074089</v>
      </c>
      <c r="I206" s="102">
        <f t="shared" si="231"/>
        <v>1046273.0987675965</v>
      </c>
      <c r="J206" s="102">
        <f t="shared" si="231"/>
        <v>1014652.1710016796</v>
      </c>
      <c r="K206" s="102">
        <f t="shared" si="231"/>
        <v>869395.44510626432</v>
      </c>
      <c r="L206" s="102">
        <f t="shared" si="231"/>
        <v>892379.98699864373</v>
      </c>
      <c r="M206" s="102">
        <f t="shared" si="234"/>
        <v>924429.35900187911</v>
      </c>
      <c r="N206" s="102">
        <f t="shared" si="231"/>
        <v>914956.10784661921</v>
      </c>
      <c r="O206" s="102">
        <f t="shared" si="231"/>
        <v>905418.81659182149</v>
      </c>
      <c r="P206" s="102">
        <f t="shared" si="231"/>
        <v>919726.9864245475</v>
      </c>
      <c r="Q206" s="102">
        <f t="shared" si="231"/>
        <v>922848.10798976186</v>
      </c>
      <c r="R206" s="102">
        <f t="shared" si="231"/>
        <v>949093.79375231185</v>
      </c>
      <c r="S206" s="102">
        <f t="shared" si="231"/>
        <v>956968.21520026261</v>
      </c>
      <c r="T206" s="102">
        <f t="shared" si="231"/>
        <v>947469.31429553684</v>
      </c>
      <c r="U206" s="102">
        <f t="shared" si="231"/>
        <v>912319.51450488006</v>
      </c>
      <c r="V206" s="102">
        <f t="shared" si="231"/>
        <v>740138.66765562375</v>
      </c>
      <c r="W206" s="102">
        <f t="shared" si="233"/>
        <v>755162.21073121333</v>
      </c>
      <c r="DA206" s="175" t="s">
        <v>613</v>
      </c>
    </row>
    <row r="207" spans="1:105" ht="11.45" customHeight="1" x14ac:dyDescent="0.25">
      <c r="A207" s="111" t="s">
        <v>112</v>
      </c>
      <c r="B207" s="102">
        <f t="shared" si="231"/>
        <v>0</v>
      </c>
      <c r="C207" s="102">
        <f t="shared" si="231"/>
        <v>402123.94061194221</v>
      </c>
      <c r="D207" s="102">
        <f t="shared" si="231"/>
        <v>431958.9755625187</v>
      </c>
      <c r="E207" s="102">
        <f t="shared" si="231"/>
        <v>444257.40423663938</v>
      </c>
      <c r="F207" s="102">
        <f t="shared" si="231"/>
        <v>442555.96145038493</v>
      </c>
      <c r="G207" s="102">
        <f t="shared" si="231"/>
        <v>451482.68752148509</v>
      </c>
      <c r="H207" s="102">
        <f t="shared" si="231"/>
        <v>466302.21907386597</v>
      </c>
      <c r="I207" s="102">
        <f t="shared" si="231"/>
        <v>480636.59941786062</v>
      </c>
      <c r="J207" s="102">
        <f t="shared" si="231"/>
        <v>468436.73460627341</v>
      </c>
      <c r="K207" s="102">
        <f t="shared" si="231"/>
        <v>402640.37533848709</v>
      </c>
      <c r="L207" s="102">
        <f t="shared" si="231"/>
        <v>416523.35121229506</v>
      </c>
      <c r="M207" s="102">
        <f t="shared" si="234"/>
        <v>435281.3292488791</v>
      </c>
      <c r="N207" s="102">
        <f t="shared" si="231"/>
        <v>435528.12867052911</v>
      </c>
      <c r="O207" s="102">
        <f t="shared" si="231"/>
        <v>435043.05697320052</v>
      </c>
      <c r="P207" s="102">
        <f t="shared" si="231"/>
        <v>446061.16429756238</v>
      </c>
      <c r="Q207" s="102">
        <f t="shared" si="231"/>
        <v>455776.58493510162</v>
      </c>
      <c r="R207" s="102">
        <f t="shared" si="231"/>
        <v>459459.49795461254</v>
      </c>
      <c r="S207" s="102">
        <f t="shared" si="231"/>
        <v>459580.8569975319</v>
      </c>
      <c r="T207" s="102">
        <f t="shared" si="231"/>
        <v>452976.89857217629</v>
      </c>
      <c r="U207" s="102">
        <f t="shared" si="231"/>
        <v>438791.43193164014</v>
      </c>
      <c r="V207" s="102">
        <f t="shared" si="231"/>
        <v>354787.07159480371</v>
      </c>
      <c r="W207" s="102">
        <f t="shared" si="233"/>
        <v>359528.29251223872</v>
      </c>
      <c r="DA207" s="175" t="s">
        <v>614</v>
      </c>
    </row>
    <row r="208" spans="1:105" ht="11.45" customHeight="1" x14ac:dyDescent="0.25">
      <c r="A208" s="111" t="s">
        <v>113</v>
      </c>
      <c r="B208" s="102">
        <f t="shared" si="231"/>
        <v>0</v>
      </c>
      <c r="C208" s="102">
        <f t="shared" si="231"/>
        <v>0</v>
      </c>
      <c r="D208" s="102">
        <f t="shared" si="231"/>
        <v>0</v>
      </c>
      <c r="E208" s="102">
        <f t="shared" si="231"/>
        <v>0</v>
      </c>
      <c r="F208" s="102">
        <f t="shared" si="231"/>
        <v>968873.39635555772</v>
      </c>
      <c r="G208" s="102">
        <f t="shared" si="231"/>
        <v>820717.02556334611</v>
      </c>
      <c r="H208" s="102">
        <f t="shared" si="231"/>
        <v>671343.83491742145</v>
      </c>
      <c r="I208" s="102">
        <f t="shared" si="231"/>
        <v>913415.3219651276</v>
      </c>
      <c r="J208" s="102">
        <f t="shared" si="231"/>
        <v>749835.10229701153</v>
      </c>
      <c r="K208" s="102">
        <f t="shared" si="231"/>
        <v>850758.06707532669</v>
      </c>
      <c r="L208" s="102">
        <f t="shared" si="231"/>
        <v>813735.48277332704</v>
      </c>
      <c r="M208" s="102">
        <f t="shared" si="234"/>
        <v>853356.36102455214</v>
      </c>
      <c r="N208" s="102">
        <f t="shared" si="231"/>
        <v>862849.23268068512</v>
      </c>
      <c r="O208" s="102">
        <f t="shared" si="231"/>
        <v>849074.55011556763</v>
      </c>
      <c r="P208" s="102">
        <f t="shared" si="231"/>
        <v>827360.75662597013</v>
      </c>
      <c r="Q208" s="102">
        <f t="shared" si="231"/>
        <v>878948.97065651533</v>
      </c>
      <c r="R208" s="102">
        <f t="shared" si="231"/>
        <v>705026.5893202977</v>
      </c>
      <c r="S208" s="102">
        <f t="shared" si="231"/>
        <v>690805.66616776213</v>
      </c>
      <c r="T208" s="102">
        <f t="shared" si="231"/>
        <v>768675.24692646344</v>
      </c>
      <c r="U208" s="102">
        <f t="shared" si="231"/>
        <v>871033.66822034074</v>
      </c>
      <c r="V208" s="102">
        <f t="shared" si="231"/>
        <v>798126.37224135466</v>
      </c>
      <c r="W208" s="102">
        <f t="shared" si="233"/>
        <v>874822.47154812026</v>
      </c>
      <c r="DA208" s="175" t="s">
        <v>615</v>
      </c>
    </row>
    <row r="209" spans="1:105" ht="11.45" customHeight="1" x14ac:dyDescent="0.25">
      <c r="A209" s="111" t="s">
        <v>115</v>
      </c>
      <c r="B209" s="102">
        <f t="shared" si="231"/>
        <v>797345.09583290992</v>
      </c>
      <c r="C209" s="102">
        <f t="shared" si="231"/>
        <v>781167.03016680561</v>
      </c>
      <c r="D209" s="102">
        <f t="shared" si="231"/>
        <v>753487.09453066159</v>
      </c>
      <c r="E209" s="102">
        <f t="shared" si="231"/>
        <v>743348.58252241614</v>
      </c>
      <c r="F209" s="102">
        <f t="shared" si="231"/>
        <v>750751.7896709484</v>
      </c>
      <c r="G209" s="102">
        <f t="shared" si="231"/>
        <v>750025.06219677941</v>
      </c>
      <c r="H209" s="102">
        <f t="shared" si="231"/>
        <v>776958.20771982823</v>
      </c>
      <c r="I209" s="102">
        <f t="shared" si="231"/>
        <v>748858.14091373573</v>
      </c>
      <c r="J209" s="102">
        <f t="shared" si="231"/>
        <v>748911.90528699709</v>
      </c>
      <c r="K209" s="102">
        <f t="shared" si="231"/>
        <v>727751.06635819934</v>
      </c>
      <c r="L209" s="102">
        <f t="shared" si="231"/>
        <v>693326.62182851846</v>
      </c>
      <c r="M209" s="102">
        <f t="shared" si="234"/>
        <v>718218.24742997834</v>
      </c>
      <c r="N209" s="102">
        <f t="shared" si="231"/>
        <v>706966.5684494942</v>
      </c>
      <c r="O209" s="102">
        <f t="shared" si="231"/>
        <v>708335.57351115125</v>
      </c>
      <c r="P209" s="102">
        <f t="shared" si="231"/>
        <v>706328.26592666493</v>
      </c>
      <c r="Q209" s="102">
        <f t="shared" si="231"/>
        <v>707167.70248276368</v>
      </c>
      <c r="R209" s="102">
        <f t="shared" si="231"/>
        <v>711325.73753968661</v>
      </c>
      <c r="S209" s="102">
        <f t="shared" si="231"/>
        <v>709771.54957401962</v>
      </c>
      <c r="T209" s="102">
        <f t="shared" si="231"/>
        <v>709892.97166048654</v>
      </c>
      <c r="U209" s="102">
        <f t="shared" si="231"/>
        <v>709221.74477199314</v>
      </c>
      <c r="V209" s="102">
        <f t="shared" si="231"/>
        <v>572807.07406660088</v>
      </c>
      <c r="W209" s="102">
        <f t="shared" si="233"/>
        <v>593274.39135361777</v>
      </c>
      <c r="DA209" s="175" t="s">
        <v>616</v>
      </c>
    </row>
    <row r="210" spans="1:105" ht="11.45" customHeight="1" x14ac:dyDescent="0.25">
      <c r="A210" s="27" t="s">
        <v>108</v>
      </c>
      <c r="B210" s="28">
        <f t="shared" si="231"/>
        <v>79736.270426165371</v>
      </c>
      <c r="C210" s="28">
        <f t="shared" si="231"/>
        <v>81849.848871101189</v>
      </c>
      <c r="D210" s="28">
        <f t="shared" si="231"/>
        <v>87749.573304015314</v>
      </c>
      <c r="E210" s="28">
        <f t="shared" si="231"/>
        <v>87945.416496818347</v>
      </c>
      <c r="F210" s="28">
        <f t="shared" ref="B210:V219" si="235">IF(F19=0,0,F19*1000000/F73)</f>
        <v>91218.225264618595</v>
      </c>
      <c r="G210" s="28">
        <f t="shared" si="235"/>
        <v>91774.853100119857</v>
      </c>
      <c r="H210" s="28">
        <f t="shared" si="235"/>
        <v>98432.605739871258</v>
      </c>
      <c r="I210" s="28">
        <f t="shared" si="235"/>
        <v>103682.25616166416</v>
      </c>
      <c r="J210" s="28">
        <f t="shared" si="235"/>
        <v>106768.42838550961</v>
      </c>
      <c r="K210" s="28">
        <f t="shared" si="235"/>
        <v>91414.062646999111</v>
      </c>
      <c r="L210" s="28">
        <f t="shared" si="235"/>
        <v>94379.214251693193</v>
      </c>
      <c r="M210" s="28">
        <f t="shared" si="234"/>
        <v>94589.875530384903</v>
      </c>
      <c r="N210" s="28">
        <f t="shared" si="235"/>
        <v>89871.208210571567</v>
      </c>
      <c r="O210" s="28">
        <f t="shared" si="235"/>
        <v>89071.189442374496</v>
      </c>
      <c r="P210" s="28">
        <f t="shared" si="235"/>
        <v>89602.485454765963</v>
      </c>
      <c r="Q210" s="28">
        <f t="shared" si="235"/>
        <v>91429.352124299185</v>
      </c>
      <c r="R210" s="28">
        <f t="shared" si="235"/>
        <v>92245.324184943616</v>
      </c>
      <c r="S210" s="28">
        <f t="shared" si="235"/>
        <v>94083.569822401856</v>
      </c>
      <c r="T210" s="28">
        <f t="shared" si="235"/>
        <v>91192.795112034131</v>
      </c>
      <c r="U210" s="28">
        <f t="shared" si="235"/>
        <v>90503.281033903651</v>
      </c>
      <c r="V210" s="28">
        <f t="shared" si="235"/>
        <v>88264.894639350852</v>
      </c>
      <c r="W210" s="28">
        <f t="shared" ref="W210" si="236">IF(W19=0,0,W19*1000000/W73)</f>
        <v>88372.543099431481</v>
      </c>
      <c r="DA210" s="173" t="s">
        <v>617</v>
      </c>
    </row>
    <row r="211" spans="1:105" ht="11.45" customHeight="1" x14ac:dyDescent="0.25">
      <c r="A211" s="136" t="s">
        <v>156</v>
      </c>
      <c r="B211" s="137">
        <f t="shared" si="235"/>
        <v>1047.8173566695673</v>
      </c>
      <c r="C211" s="137">
        <f t="shared" si="235"/>
        <v>1074.7329145648457</v>
      </c>
      <c r="D211" s="137">
        <f t="shared" si="235"/>
        <v>1154.8384202758648</v>
      </c>
      <c r="E211" s="137">
        <f t="shared" si="235"/>
        <v>1147.7030929891719</v>
      </c>
      <c r="F211" s="137">
        <f t="shared" si="235"/>
        <v>1132.1771131768458</v>
      </c>
      <c r="G211" s="137">
        <f t="shared" si="235"/>
        <v>1136.0364399065188</v>
      </c>
      <c r="H211" s="137">
        <f t="shared" si="235"/>
        <v>1134.8962065175069</v>
      </c>
      <c r="I211" s="137">
        <f t="shared" si="235"/>
        <v>1130.1181574926093</v>
      </c>
      <c r="J211" s="137">
        <f t="shared" si="235"/>
        <v>1093.0328700207622</v>
      </c>
      <c r="K211" s="137">
        <f t="shared" si="235"/>
        <v>1062.8262081659213</v>
      </c>
      <c r="L211" s="137">
        <f t="shared" si="235"/>
        <v>1042.5925789975597</v>
      </c>
      <c r="M211" s="137">
        <f t="shared" si="234"/>
        <v>1026.2970371401427</v>
      </c>
      <c r="N211" s="137">
        <f t="shared" si="235"/>
        <v>1002.1264499210379</v>
      </c>
      <c r="O211" s="137">
        <f t="shared" si="235"/>
        <v>995.14687435056544</v>
      </c>
      <c r="P211" s="137">
        <f t="shared" si="235"/>
        <v>1010.7644418569898</v>
      </c>
      <c r="Q211" s="137">
        <f t="shared" si="235"/>
        <v>1018.0722135667438</v>
      </c>
      <c r="R211" s="137">
        <f t="shared" si="235"/>
        <v>1011.7923536686607</v>
      </c>
      <c r="S211" s="137">
        <f t="shared" si="235"/>
        <v>992.31016315822285</v>
      </c>
      <c r="T211" s="137">
        <f t="shared" si="235"/>
        <v>975.49962042466257</v>
      </c>
      <c r="U211" s="137">
        <f t="shared" si="235"/>
        <v>979.85561527890502</v>
      </c>
      <c r="V211" s="137">
        <f t="shared" si="235"/>
        <v>968.83921330413921</v>
      </c>
      <c r="W211" s="137">
        <f t="shared" ref="W211" si="237">IF(W20=0,0,W20*1000000/W74)</f>
        <v>963.28090639355207</v>
      </c>
      <c r="DA211" s="174" t="s">
        <v>618</v>
      </c>
    </row>
    <row r="212" spans="1:105" ht="11.45" customHeight="1" x14ac:dyDescent="0.25">
      <c r="A212" s="111" t="s">
        <v>110</v>
      </c>
      <c r="B212" s="84">
        <f t="shared" si="235"/>
        <v>908.84858117416638</v>
      </c>
      <c r="C212" s="84">
        <f t="shared" si="235"/>
        <v>908.95800550967044</v>
      </c>
      <c r="D212" s="84">
        <f t="shared" si="235"/>
        <v>932.19309342943393</v>
      </c>
      <c r="E212" s="84">
        <f t="shared" si="235"/>
        <v>915.31459637651551</v>
      </c>
      <c r="F212" s="84">
        <f t="shared" si="235"/>
        <v>899.8096500050741</v>
      </c>
      <c r="G212" s="84">
        <f t="shared" si="235"/>
        <v>902.60698370954037</v>
      </c>
      <c r="H212" s="84">
        <f t="shared" si="235"/>
        <v>912.73467956481124</v>
      </c>
      <c r="I212" s="84">
        <f t="shared" si="235"/>
        <v>912.95355652695423</v>
      </c>
      <c r="J212" s="84">
        <f t="shared" si="235"/>
        <v>876.4921892874911</v>
      </c>
      <c r="K212" s="84">
        <f t="shared" si="235"/>
        <v>845.5925794545833</v>
      </c>
      <c r="L212" s="84">
        <f t="shared" si="235"/>
        <v>823.287496589792</v>
      </c>
      <c r="M212" s="84">
        <f t="shared" si="234"/>
        <v>826.96993161234229</v>
      </c>
      <c r="N212" s="84">
        <f t="shared" si="235"/>
        <v>818.3961375759834</v>
      </c>
      <c r="O212" s="84">
        <f t="shared" si="235"/>
        <v>789.83231889234253</v>
      </c>
      <c r="P212" s="84">
        <f t="shared" si="235"/>
        <v>794.68728216472618</v>
      </c>
      <c r="Q212" s="84">
        <f t="shared" si="235"/>
        <v>803.78728051582175</v>
      </c>
      <c r="R212" s="84">
        <f t="shared" si="235"/>
        <v>788.85062715541994</v>
      </c>
      <c r="S212" s="84">
        <f t="shared" si="235"/>
        <v>763.4226053376965</v>
      </c>
      <c r="T212" s="84">
        <f t="shared" si="235"/>
        <v>740.65112178352445</v>
      </c>
      <c r="U212" s="84">
        <f t="shared" si="235"/>
        <v>734.73713551397543</v>
      </c>
      <c r="V212" s="84">
        <f t="shared" si="235"/>
        <v>716.80587344803098</v>
      </c>
      <c r="W212" s="84">
        <f t="shared" ref="W212" si="238">IF(W21=0,0,W21*1000000/W75)</f>
        <v>702.69045372002734</v>
      </c>
      <c r="DA212" s="171" t="s">
        <v>619</v>
      </c>
    </row>
    <row r="213" spans="1:105" ht="11.45" customHeight="1" x14ac:dyDescent="0.25">
      <c r="A213" s="111" t="s">
        <v>111</v>
      </c>
      <c r="B213" s="84">
        <f t="shared" si="235"/>
        <v>1069.6656519293037</v>
      </c>
      <c r="C213" s="84">
        <f t="shared" si="235"/>
        <v>1097.642814857162</v>
      </c>
      <c r="D213" s="84">
        <f t="shared" si="235"/>
        <v>1175.308921907932</v>
      </c>
      <c r="E213" s="84">
        <f t="shared" si="235"/>
        <v>1166.0452887740748</v>
      </c>
      <c r="F213" s="84">
        <f t="shared" si="235"/>
        <v>1148.0376776004766</v>
      </c>
      <c r="G213" s="84">
        <f t="shared" si="235"/>
        <v>1150.2185617727798</v>
      </c>
      <c r="H213" s="84">
        <f t="shared" si="235"/>
        <v>1147.3323897829675</v>
      </c>
      <c r="I213" s="84">
        <f t="shared" si="235"/>
        <v>1141.649428292817</v>
      </c>
      <c r="J213" s="84">
        <f t="shared" si="235"/>
        <v>1104.2371937909818</v>
      </c>
      <c r="K213" s="84">
        <f t="shared" si="235"/>
        <v>1073.8882469265366</v>
      </c>
      <c r="L213" s="84">
        <f t="shared" si="235"/>
        <v>1053.6176342182821</v>
      </c>
      <c r="M213" s="84">
        <f t="shared" si="234"/>
        <v>1036.3223718119682</v>
      </c>
      <c r="N213" s="84">
        <f t="shared" si="235"/>
        <v>1011.7189746164465</v>
      </c>
      <c r="O213" s="84">
        <f t="shared" si="235"/>
        <v>1006.8527423780533</v>
      </c>
      <c r="P213" s="84">
        <f t="shared" si="235"/>
        <v>1023.3995809626409</v>
      </c>
      <c r="Q213" s="84">
        <f t="shared" si="235"/>
        <v>1030.9095240193274</v>
      </c>
      <c r="R213" s="84">
        <f t="shared" si="235"/>
        <v>1026.1809098789786</v>
      </c>
      <c r="S213" s="84">
        <f t="shared" si="235"/>
        <v>1007.1305665910156</v>
      </c>
      <c r="T213" s="84">
        <f t="shared" si="235"/>
        <v>991.25882633786284</v>
      </c>
      <c r="U213" s="84">
        <f t="shared" si="235"/>
        <v>996.22365872452872</v>
      </c>
      <c r="V213" s="84">
        <f t="shared" si="235"/>
        <v>985.59745249427999</v>
      </c>
      <c r="W213" s="84">
        <f t="shared" ref="W213" si="239">IF(W22=0,0,W22*1000000/W76)</f>
        <v>981.26945700237388</v>
      </c>
      <c r="DA213" s="171" t="s">
        <v>620</v>
      </c>
    </row>
    <row r="214" spans="1:105" ht="11.45" customHeight="1" x14ac:dyDescent="0.25">
      <c r="A214" s="111" t="s">
        <v>112</v>
      </c>
      <c r="B214" s="84">
        <f t="shared" si="235"/>
        <v>0</v>
      </c>
      <c r="C214" s="84">
        <f t="shared" si="235"/>
        <v>0</v>
      </c>
      <c r="D214" s="84">
        <f t="shared" si="235"/>
        <v>0</v>
      </c>
      <c r="E214" s="84">
        <f t="shared" si="235"/>
        <v>917.26482841009442</v>
      </c>
      <c r="F214" s="84">
        <f t="shared" si="235"/>
        <v>905.29627713992772</v>
      </c>
      <c r="G214" s="84">
        <f t="shared" si="235"/>
        <v>911.70536867749229</v>
      </c>
      <c r="H214" s="84">
        <f t="shared" si="235"/>
        <v>925.58457726189772</v>
      </c>
      <c r="I214" s="84">
        <f t="shared" si="235"/>
        <v>929.47128466726701</v>
      </c>
      <c r="J214" s="84">
        <f t="shared" si="235"/>
        <v>895.88254977033898</v>
      </c>
      <c r="K214" s="84">
        <f t="shared" si="235"/>
        <v>867.7206341677288</v>
      </c>
      <c r="L214" s="84">
        <f t="shared" si="235"/>
        <v>848.17607202028205</v>
      </c>
      <c r="M214" s="84">
        <f t="shared" si="234"/>
        <v>835.05696170582644</v>
      </c>
      <c r="N214" s="84">
        <f t="shared" si="235"/>
        <v>809.99406815635894</v>
      </c>
      <c r="O214" s="84">
        <f t="shared" si="235"/>
        <v>784.15900316690534</v>
      </c>
      <c r="P214" s="84">
        <f t="shared" si="235"/>
        <v>773.31668531862545</v>
      </c>
      <c r="Q214" s="84">
        <f t="shared" si="235"/>
        <v>779.01007792343205</v>
      </c>
      <c r="R214" s="84">
        <f t="shared" si="235"/>
        <v>767.63698865498941</v>
      </c>
      <c r="S214" s="84">
        <f t="shared" si="235"/>
        <v>745.90806808850368</v>
      </c>
      <c r="T214" s="84">
        <f t="shared" si="235"/>
        <v>726.59623884974712</v>
      </c>
      <c r="U214" s="84">
        <f t="shared" si="235"/>
        <v>723.72008003362646</v>
      </c>
      <c r="V214" s="84">
        <f t="shared" si="235"/>
        <v>708.92347608350656</v>
      </c>
      <c r="W214" s="84">
        <f t="shared" ref="W214" si="240">IF(W23=0,0,W23*1000000/W77)</f>
        <v>697.78403360432912</v>
      </c>
      <c r="DA214" s="171" t="s">
        <v>621</v>
      </c>
    </row>
    <row r="215" spans="1:105" ht="11.45" customHeight="1" x14ac:dyDescent="0.25">
      <c r="A215" s="111" t="s">
        <v>113</v>
      </c>
      <c r="B215" s="84">
        <f t="shared" si="235"/>
        <v>0</v>
      </c>
      <c r="C215" s="84">
        <f t="shared" si="235"/>
        <v>0</v>
      </c>
      <c r="D215" s="84">
        <f t="shared" si="235"/>
        <v>0</v>
      </c>
      <c r="E215" s="84">
        <f t="shared" si="235"/>
        <v>0</v>
      </c>
      <c r="F215" s="84">
        <f t="shared" si="235"/>
        <v>0</v>
      </c>
      <c r="G215" s="84">
        <f t="shared" si="235"/>
        <v>0</v>
      </c>
      <c r="H215" s="84">
        <f t="shared" si="235"/>
        <v>645.94385179026222</v>
      </c>
      <c r="I215" s="84">
        <f t="shared" si="235"/>
        <v>659.11861893714752</v>
      </c>
      <c r="J215" s="84">
        <f t="shared" si="235"/>
        <v>645.54663772653771</v>
      </c>
      <c r="K215" s="84">
        <f t="shared" si="235"/>
        <v>635.33885270239909</v>
      </c>
      <c r="L215" s="84">
        <f t="shared" si="235"/>
        <v>631.04517314786415</v>
      </c>
      <c r="M215" s="84">
        <f t="shared" si="234"/>
        <v>631.30536073351834</v>
      </c>
      <c r="N215" s="84">
        <f t="shared" si="235"/>
        <v>622.23460154008228</v>
      </c>
      <c r="O215" s="84">
        <f t="shared" si="235"/>
        <v>612.10425141827477</v>
      </c>
      <c r="P215" s="84">
        <f t="shared" si="235"/>
        <v>613.37714106362193</v>
      </c>
      <c r="Q215" s="84">
        <f t="shared" si="235"/>
        <v>617.8930101056178</v>
      </c>
      <c r="R215" s="84">
        <f t="shared" si="235"/>
        <v>608.87213532950398</v>
      </c>
      <c r="S215" s="84">
        <f t="shared" si="235"/>
        <v>591.63725157683007</v>
      </c>
      <c r="T215" s="84">
        <f t="shared" si="235"/>
        <v>576.31954948651935</v>
      </c>
      <c r="U215" s="84">
        <f t="shared" si="235"/>
        <v>574.03824597222842</v>
      </c>
      <c r="V215" s="84">
        <f t="shared" si="235"/>
        <v>562.30191750462814</v>
      </c>
      <c r="W215" s="84">
        <f t="shared" ref="W215" si="241">IF(W24=0,0,W24*1000000/W78)</f>
        <v>553.46636602793239</v>
      </c>
      <c r="DA215" s="171" t="s">
        <v>622</v>
      </c>
    </row>
    <row r="216" spans="1:105" ht="11.45" customHeight="1" x14ac:dyDescent="0.25">
      <c r="A216" s="111" t="s">
        <v>115</v>
      </c>
      <c r="B216" s="84">
        <f t="shared" si="235"/>
        <v>681.13595784806137</v>
      </c>
      <c r="C216" s="84">
        <f t="shared" si="235"/>
        <v>681.52630482362065</v>
      </c>
      <c r="D216" s="84">
        <f t="shared" si="235"/>
        <v>682.7330884298193</v>
      </c>
      <c r="E216" s="84">
        <f t="shared" si="235"/>
        <v>682.93993123686312</v>
      </c>
      <c r="F216" s="84">
        <f t="shared" si="235"/>
        <v>683.1082054820082</v>
      </c>
      <c r="G216" s="84">
        <f t="shared" si="235"/>
        <v>683.59679839092621</v>
      </c>
      <c r="H216" s="84">
        <f t="shared" si="235"/>
        <v>684.3481551346257</v>
      </c>
      <c r="I216" s="84">
        <f t="shared" si="235"/>
        <v>684.74423566250425</v>
      </c>
      <c r="J216" s="84">
        <f t="shared" si="235"/>
        <v>685.68547036309349</v>
      </c>
      <c r="K216" s="84">
        <f t="shared" si="235"/>
        <v>686.46888037396877</v>
      </c>
      <c r="L216" s="84">
        <f t="shared" si="235"/>
        <v>686.95354483620486</v>
      </c>
      <c r="M216" s="84">
        <f t="shared" si="234"/>
        <v>687.20311921652694</v>
      </c>
      <c r="N216" s="84">
        <f t="shared" si="235"/>
        <v>687.94022056746644</v>
      </c>
      <c r="O216" s="84">
        <f t="shared" si="235"/>
        <v>688.74180505026561</v>
      </c>
      <c r="P216" s="84">
        <f t="shared" si="235"/>
        <v>688.93739931914081</v>
      </c>
      <c r="Q216" s="84">
        <f t="shared" si="235"/>
        <v>688.96052615641861</v>
      </c>
      <c r="R216" s="84">
        <f t="shared" si="235"/>
        <v>688.74184005928373</v>
      </c>
      <c r="S216" s="84">
        <f t="shared" si="235"/>
        <v>688.06411321154644</v>
      </c>
      <c r="T216" s="84">
        <f t="shared" si="235"/>
        <v>687.46833911568706</v>
      </c>
      <c r="U216" s="84">
        <f t="shared" si="235"/>
        <v>687.33498276454554</v>
      </c>
      <c r="V216" s="84">
        <f t="shared" si="235"/>
        <v>681.16853268883131</v>
      </c>
      <c r="W216" s="84">
        <f t="shared" ref="W216" si="242">IF(W25=0,0,W25*1000000/W79)</f>
        <v>686.66713590252277</v>
      </c>
      <c r="DA216" s="171" t="s">
        <v>623</v>
      </c>
    </row>
    <row r="217" spans="1:105" ht="11.45" customHeight="1" x14ac:dyDescent="0.25">
      <c r="A217" s="109" t="s">
        <v>158</v>
      </c>
      <c r="B217" s="110">
        <f t="shared" si="235"/>
        <v>315891.8452215821</v>
      </c>
      <c r="C217" s="110">
        <f t="shared" si="235"/>
        <v>336905.16401702742</v>
      </c>
      <c r="D217" s="110">
        <f t="shared" si="235"/>
        <v>356192.07852111716</v>
      </c>
      <c r="E217" s="110">
        <f t="shared" si="235"/>
        <v>366341.54737972986</v>
      </c>
      <c r="F217" s="110">
        <f t="shared" si="235"/>
        <v>382028.05033650837</v>
      </c>
      <c r="G217" s="110">
        <f t="shared" si="235"/>
        <v>393531.92268268956</v>
      </c>
      <c r="H217" s="110">
        <f t="shared" si="235"/>
        <v>434218.72083839588</v>
      </c>
      <c r="I217" s="110">
        <f t="shared" si="235"/>
        <v>456676.70443476329</v>
      </c>
      <c r="J217" s="110">
        <f t="shared" si="235"/>
        <v>468117.82772390795</v>
      </c>
      <c r="K217" s="110">
        <f t="shared" si="235"/>
        <v>418426.09375046997</v>
      </c>
      <c r="L217" s="110">
        <f t="shared" si="235"/>
        <v>441945.09537878953</v>
      </c>
      <c r="M217" s="110">
        <f t="shared" si="234"/>
        <v>452933.24089939898</v>
      </c>
      <c r="N217" s="110">
        <f t="shared" si="235"/>
        <v>442585.37693341053</v>
      </c>
      <c r="O217" s="110">
        <f t="shared" si="235"/>
        <v>471941.24089938373</v>
      </c>
      <c r="P217" s="110">
        <f t="shared" si="235"/>
        <v>488096.32405259891</v>
      </c>
      <c r="Q217" s="110">
        <f t="shared" si="235"/>
        <v>503267.22251223156</v>
      </c>
      <c r="R217" s="110">
        <f t="shared" si="235"/>
        <v>514601.48748177988</v>
      </c>
      <c r="S217" s="110">
        <f t="shared" si="235"/>
        <v>525816.35489587241</v>
      </c>
      <c r="T217" s="110">
        <f t="shared" si="235"/>
        <v>519354.25928420672</v>
      </c>
      <c r="U217" s="110">
        <f t="shared" si="235"/>
        <v>520801.28382491285</v>
      </c>
      <c r="V217" s="110">
        <f t="shared" si="235"/>
        <v>515377.86552594055</v>
      </c>
      <c r="W217" s="110">
        <f t="shared" ref="W217" si="243">IF(W26=0,0,W26*1000000/W80)</f>
        <v>534150.50027346134</v>
      </c>
      <c r="DA217" s="176" t="s">
        <v>624</v>
      </c>
    </row>
    <row r="218" spans="1:105" ht="11.45" customHeight="1" x14ac:dyDescent="0.25">
      <c r="A218" s="111" t="s">
        <v>27</v>
      </c>
      <c r="B218" s="163">
        <f t="shared" si="235"/>
        <v>170237.03194778427</v>
      </c>
      <c r="C218" s="163">
        <f t="shared" si="235"/>
        <v>178250.41506841473</v>
      </c>
      <c r="D218" s="163">
        <f t="shared" si="235"/>
        <v>186585.52757599423</v>
      </c>
      <c r="E218" s="163">
        <f t="shared" si="235"/>
        <v>194407.57587055402</v>
      </c>
      <c r="F218" s="163">
        <f t="shared" si="235"/>
        <v>186166.85219170252</v>
      </c>
      <c r="G218" s="163">
        <f t="shared" si="235"/>
        <v>190797.0970299445</v>
      </c>
      <c r="H218" s="163">
        <f t="shared" si="235"/>
        <v>225296.50436953807</v>
      </c>
      <c r="I218" s="163">
        <f t="shared" si="235"/>
        <v>228344.8713779058</v>
      </c>
      <c r="J218" s="163">
        <f t="shared" si="235"/>
        <v>222978.34597504282</v>
      </c>
      <c r="K218" s="163">
        <f t="shared" si="235"/>
        <v>203370.66795302776</v>
      </c>
      <c r="L218" s="163">
        <f t="shared" si="235"/>
        <v>211458.96656534955</v>
      </c>
      <c r="M218" s="163">
        <f t="shared" si="234"/>
        <v>219991.48910301225</v>
      </c>
      <c r="N218" s="163">
        <f t="shared" si="235"/>
        <v>214097.23696581848</v>
      </c>
      <c r="O218" s="163">
        <f t="shared" si="235"/>
        <v>226715.54588154427</v>
      </c>
      <c r="P218" s="163">
        <f t="shared" si="235"/>
        <v>243209.75416336244</v>
      </c>
      <c r="Q218" s="163">
        <f t="shared" si="235"/>
        <v>255697.95864438135</v>
      </c>
      <c r="R218" s="163">
        <f t="shared" si="235"/>
        <v>269245.19991517265</v>
      </c>
      <c r="S218" s="163">
        <f t="shared" si="235"/>
        <v>267457.22244329489</v>
      </c>
      <c r="T218" s="163">
        <f t="shared" si="235"/>
        <v>261478.52703830812</v>
      </c>
      <c r="U218" s="163">
        <f t="shared" si="235"/>
        <v>263395.78847710235</v>
      </c>
      <c r="V218" s="163">
        <f t="shared" si="235"/>
        <v>259643.42121248937</v>
      </c>
      <c r="W218" s="163">
        <f t="shared" ref="W218" si="244">IF(W27=0,0,W27*1000000/W81)</f>
        <v>270411.07407741045</v>
      </c>
      <c r="DA218" s="207" t="s">
        <v>625</v>
      </c>
    </row>
    <row r="219" spans="1:105" ht="11.45" customHeight="1" x14ac:dyDescent="0.25">
      <c r="A219" s="138" t="s">
        <v>116</v>
      </c>
      <c r="B219" s="86">
        <f t="shared" si="235"/>
        <v>1211845.6137957212</v>
      </c>
      <c r="C219" s="86">
        <f t="shared" si="235"/>
        <v>1210832.1586198083</v>
      </c>
      <c r="D219" s="86">
        <f t="shared" si="235"/>
        <v>1218803.573799344</v>
      </c>
      <c r="E219" s="86">
        <f t="shared" si="235"/>
        <v>1211640.50328176</v>
      </c>
      <c r="F219" s="86">
        <f t="shared" si="235"/>
        <v>1189398.344270309</v>
      </c>
      <c r="G219" s="86">
        <f t="shared" si="235"/>
        <v>1189948.5341412569</v>
      </c>
      <c r="H219" s="86">
        <f t="shared" si="235"/>
        <v>1197531.0893499649</v>
      </c>
      <c r="I219" s="86">
        <f t="shared" si="235"/>
        <v>1199779.4326932426</v>
      </c>
      <c r="J219" s="86">
        <f t="shared" si="235"/>
        <v>1182792.8607387003</v>
      </c>
      <c r="K219" s="86">
        <f t="shared" si="235"/>
        <v>1167225.7883297754</v>
      </c>
      <c r="L219" s="86">
        <f t="shared" si="235"/>
        <v>1205205.6527982333</v>
      </c>
      <c r="M219" s="86">
        <f t="shared" si="234"/>
        <v>1201326.8631991381</v>
      </c>
      <c r="N219" s="86">
        <f t="shared" si="235"/>
        <v>1197367.7096527251</v>
      </c>
      <c r="O219" s="86">
        <f t="shared" si="235"/>
        <v>1198932.9270220872</v>
      </c>
      <c r="P219" s="86">
        <f t="shared" si="235"/>
        <v>1201745.5441900911</v>
      </c>
      <c r="Q219" s="86">
        <f t="shared" si="235"/>
        <v>1190495.5275127175</v>
      </c>
      <c r="R219" s="86">
        <f t="shared" si="235"/>
        <v>1184113.4297974082</v>
      </c>
      <c r="S219" s="86">
        <f t="shared" si="235"/>
        <v>1194243.3407021232</v>
      </c>
      <c r="T219" s="86">
        <f t="shared" si="235"/>
        <v>1203280.032800328</v>
      </c>
      <c r="U219" s="86">
        <f t="shared" si="235"/>
        <v>1198648.8660125462</v>
      </c>
      <c r="V219" s="86">
        <f t="shared" si="235"/>
        <v>1180396.4931679962</v>
      </c>
      <c r="W219" s="86">
        <f t="shared" ref="W219" si="245">IF(W28=0,0,W28*1000000/W82)</f>
        <v>1193484.217242803</v>
      </c>
      <c r="DA219" s="178" t="s">
        <v>626</v>
      </c>
    </row>
    <row r="220" spans="1:105" ht="11.45" customHeight="1" x14ac:dyDescent="0.25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DA220" s="171"/>
    </row>
    <row r="221" spans="1:105" ht="11.45" customHeight="1" x14ac:dyDescent="0.25">
      <c r="A221" s="53" t="s">
        <v>37</v>
      </c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DA221" s="183"/>
    </row>
    <row r="222" spans="1:105" ht="11.45" customHeight="1" x14ac:dyDescent="0.25">
      <c r="A222" s="27" t="s">
        <v>38</v>
      </c>
      <c r="B222" s="46">
        <f t="shared" ref="B222:K222" si="246">IF(B4=0,0,B4/B$4)</f>
        <v>1</v>
      </c>
      <c r="C222" s="46">
        <f t="shared" si="246"/>
        <v>1</v>
      </c>
      <c r="D222" s="46">
        <f t="shared" si="246"/>
        <v>1</v>
      </c>
      <c r="E222" s="46">
        <f t="shared" si="246"/>
        <v>1</v>
      </c>
      <c r="F222" s="46">
        <f t="shared" si="246"/>
        <v>1</v>
      </c>
      <c r="G222" s="46">
        <f t="shared" si="246"/>
        <v>1</v>
      </c>
      <c r="H222" s="46">
        <f t="shared" si="246"/>
        <v>1</v>
      </c>
      <c r="I222" s="46">
        <f t="shared" si="246"/>
        <v>1</v>
      </c>
      <c r="J222" s="46">
        <f t="shared" si="246"/>
        <v>1</v>
      </c>
      <c r="K222" s="46">
        <f t="shared" si="246"/>
        <v>1</v>
      </c>
      <c r="L222" s="46">
        <f t="shared" ref="L222" si="247">IF(L4=0,0,L4/L$4)</f>
        <v>1</v>
      </c>
      <c r="M222" s="46">
        <f t="shared" ref="M222:V222" si="248">IF(M4=0,0,M4/M$4)</f>
        <v>1</v>
      </c>
      <c r="N222" s="46">
        <f t="shared" si="248"/>
        <v>1</v>
      </c>
      <c r="O222" s="46">
        <f t="shared" si="248"/>
        <v>1</v>
      </c>
      <c r="P222" s="46">
        <f t="shared" si="248"/>
        <v>1</v>
      </c>
      <c r="Q222" s="46">
        <f t="shared" si="248"/>
        <v>1</v>
      </c>
      <c r="R222" s="46">
        <f t="shared" si="248"/>
        <v>1</v>
      </c>
      <c r="S222" s="46">
        <f t="shared" si="248"/>
        <v>1</v>
      </c>
      <c r="T222" s="46">
        <f t="shared" si="248"/>
        <v>1</v>
      </c>
      <c r="U222" s="46">
        <f t="shared" si="248"/>
        <v>1</v>
      </c>
      <c r="V222" s="46">
        <f t="shared" si="248"/>
        <v>1</v>
      </c>
      <c r="W222" s="46">
        <f t="shared" ref="W222" si="249">IF(W4=0,0,W4/W$4)</f>
        <v>1</v>
      </c>
      <c r="DA222" s="211"/>
    </row>
    <row r="223" spans="1:105" ht="11.45" customHeight="1" x14ac:dyDescent="0.25">
      <c r="A223" s="153" t="s">
        <v>180</v>
      </c>
      <c r="B223" s="154">
        <f t="shared" ref="B223:K223" si="250">IF(B5=0,0,B5/B$4)</f>
        <v>1.3844155467423314E-2</v>
      </c>
      <c r="C223" s="154">
        <f t="shared" si="250"/>
        <v>1.4159767359456224E-2</v>
      </c>
      <c r="D223" s="154">
        <f t="shared" si="250"/>
        <v>1.4411718042291501E-2</v>
      </c>
      <c r="E223" s="154">
        <f t="shared" si="250"/>
        <v>1.4532088919557627E-2</v>
      </c>
      <c r="F223" s="154">
        <f t="shared" si="250"/>
        <v>1.5168646727123153E-2</v>
      </c>
      <c r="G223" s="154">
        <f t="shared" si="250"/>
        <v>1.5626842320677157E-2</v>
      </c>
      <c r="H223" s="154">
        <f t="shared" si="250"/>
        <v>1.5930116203735096E-2</v>
      </c>
      <c r="I223" s="154">
        <f t="shared" si="250"/>
        <v>1.6377368883161783E-2</v>
      </c>
      <c r="J223" s="154">
        <f t="shared" si="250"/>
        <v>1.755981500787648E-2</v>
      </c>
      <c r="K223" s="154">
        <f t="shared" si="250"/>
        <v>1.8596638289813203E-2</v>
      </c>
      <c r="L223" s="154">
        <f t="shared" ref="L223" si="251">IF(L5=0,0,L5/L$4)</f>
        <v>1.8920434755351368E-2</v>
      </c>
      <c r="M223" s="154">
        <f t="shared" ref="M223:V223" si="252">IF(M5=0,0,M5/M$4)</f>
        <v>1.9235464699278892E-2</v>
      </c>
      <c r="N223" s="154">
        <f t="shared" si="252"/>
        <v>2.0150130791936564E-2</v>
      </c>
      <c r="O223" s="154">
        <f t="shared" si="252"/>
        <v>2.0377501795562844E-2</v>
      </c>
      <c r="P223" s="154">
        <f t="shared" si="252"/>
        <v>2.0509977752060662E-2</v>
      </c>
      <c r="Q223" s="154">
        <f t="shared" si="252"/>
        <v>2.0810422997612283E-2</v>
      </c>
      <c r="R223" s="154">
        <f t="shared" si="252"/>
        <v>2.086545726170946E-2</v>
      </c>
      <c r="S223" s="154">
        <f t="shared" si="252"/>
        <v>1.9378206269024995E-2</v>
      </c>
      <c r="T223" s="154">
        <f t="shared" si="252"/>
        <v>1.8839955723093944E-2</v>
      </c>
      <c r="U223" s="154">
        <f t="shared" si="252"/>
        <v>2.0493072403486415E-2</v>
      </c>
      <c r="V223" s="154">
        <f t="shared" si="252"/>
        <v>2.0729989948161262E-2</v>
      </c>
      <c r="W223" s="154">
        <f t="shared" ref="W223" si="253">IF(W5=0,0,W5/W$4)</f>
        <v>2.0400069043668749E-2</v>
      </c>
      <c r="DA223" s="212"/>
    </row>
    <row r="224" spans="1:105" ht="11.45" customHeight="1" x14ac:dyDescent="0.25">
      <c r="A224" s="155" t="s">
        <v>20</v>
      </c>
      <c r="B224" s="156">
        <f t="shared" ref="B224:K224" si="254">IF(B6=0,0,B6/B$4)</f>
        <v>0.86609755082620443</v>
      </c>
      <c r="C224" s="156">
        <f t="shared" si="254"/>
        <v>0.86698932370675064</v>
      </c>
      <c r="D224" s="156">
        <f t="shared" si="254"/>
        <v>0.86848612628194166</v>
      </c>
      <c r="E224" s="156">
        <f t="shared" si="254"/>
        <v>0.86827160537857329</v>
      </c>
      <c r="F224" s="156">
        <f t="shared" si="254"/>
        <v>0.86818791547197083</v>
      </c>
      <c r="G224" s="156">
        <f t="shared" si="254"/>
        <v>0.86774723143822063</v>
      </c>
      <c r="H224" s="156">
        <f t="shared" si="254"/>
        <v>0.86643602537044051</v>
      </c>
      <c r="I224" s="156">
        <f t="shared" si="254"/>
        <v>0.86534589439041076</v>
      </c>
      <c r="J224" s="156">
        <f t="shared" si="254"/>
        <v>0.86415366611867195</v>
      </c>
      <c r="K224" s="156">
        <f t="shared" si="254"/>
        <v>0.87368943614621963</v>
      </c>
      <c r="L224" s="156">
        <f t="shared" ref="L224" si="255">IF(L6=0,0,L6/L$4)</f>
        <v>0.87122319399121195</v>
      </c>
      <c r="M224" s="156">
        <f t="shared" ref="M224:V224" si="256">IF(M6=0,0,M6/M$4)</f>
        <v>0.86920651497344059</v>
      </c>
      <c r="N224" s="156">
        <f t="shared" si="256"/>
        <v>0.86943454060280101</v>
      </c>
      <c r="O224" s="156">
        <f t="shared" si="256"/>
        <v>0.86972271211394447</v>
      </c>
      <c r="P224" s="156">
        <f t="shared" si="256"/>
        <v>0.86966973029435457</v>
      </c>
      <c r="Q224" s="156">
        <f t="shared" si="256"/>
        <v>0.87003210798316766</v>
      </c>
      <c r="R224" s="156">
        <f t="shared" si="256"/>
        <v>0.86960995624405724</v>
      </c>
      <c r="S224" s="156">
        <f t="shared" si="256"/>
        <v>0.8702326598638217</v>
      </c>
      <c r="T224" s="156">
        <f t="shared" si="256"/>
        <v>0.87288002374184626</v>
      </c>
      <c r="U224" s="156">
        <f t="shared" si="256"/>
        <v>0.86962890503375945</v>
      </c>
      <c r="V224" s="156">
        <f t="shared" si="256"/>
        <v>0.87888703581320826</v>
      </c>
      <c r="W224" s="156">
        <f t="shared" ref="W224" si="257">IF(W6=0,0,W6/W$4)</f>
        <v>0.88173219294327942</v>
      </c>
      <c r="DA224" s="213"/>
    </row>
    <row r="225" spans="1:105" ht="11.45" customHeight="1" x14ac:dyDescent="0.25">
      <c r="A225" s="157" t="s">
        <v>110</v>
      </c>
      <c r="B225" s="103">
        <f t="shared" ref="B225:K225" si="258">IF(B7=0,0,B7/B$4)</f>
        <v>0.48820811667845276</v>
      </c>
      <c r="C225" s="103">
        <f t="shared" si="258"/>
        <v>0.47592635241063919</v>
      </c>
      <c r="D225" s="103">
        <f t="shared" si="258"/>
        <v>0.45099605521234676</v>
      </c>
      <c r="E225" s="103">
        <f t="shared" si="258"/>
        <v>0.4259886493281278</v>
      </c>
      <c r="F225" s="103">
        <f t="shared" si="258"/>
        <v>0.40619060737312035</v>
      </c>
      <c r="G225" s="103">
        <f t="shared" si="258"/>
        <v>0.38297521215668545</v>
      </c>
      <c r="H225" s="103">
        <f t="shared" si="258"/>
        <v>0.36518948801224743</v>
      </c>
      <c r="I225" s="103">
        <f t="shared" si="258"/>
        <v>0.34772804224649728</v>
      </c>
      <c r="J225" s="103">
        <f t="shared" si="258"/>
        <v>0.34416294438917738</v>
      </c>
      <c r="K225" s="103">
        <f t="shared" si="258"/>
        <v>0.33842523263328439</v>
      </c>
      <c r="L225" s="103">
        <f t="shared" ref="L225" si="259">IF(L7=0,0,L7/L$4)</f>
        <v>0.33626686064597827</v>
      </c>
      <c r="M225" s="103">
        <f t="shared" ref="M225:V225" si="260">IF(M7=0,0,M7/M$4)</f>
        <v>0.31858288784589456</v>
      </c>
      <c r="N225" s="103">
        <f t="shared" si="260"/>
        <v>0.31591949005881553</v>
      </c>
      <c r="O225" s="103">
        <f t="shared" si="260"/>
        <v>0.30759701306049625</v>
      </c>
      <c r="P225" s="103">
        <f t="shared" si="260"/>
        <v>0.2928875520788633</v>
      </c>
      <c r="Q225" s="103">
        <f t="shared" si="260"/>
        <v>0.28336028298256688</v>
      </c>
      <c r="R225" s="103">
        <f t="shared" si="260"/>
        <v>0.27311543588726073</v>
      </c>
      <c r="S225" s="103">
        <f t="shared" si="260"/>
        <v>0.26829453070156661</v>
      </c>
      <c r="T225" s="103">
        <f t="shared" si="260"/>
        <v>0.27903350038468294</v>
      </c>
      <c r="U225" s="103">
        <f t="shared" si="260"/>
        <v>0.28441317970436764</v>
      </c>
      <c r="V225" s="103">
        <f t="shared" si="260"/>
        <v>0.28841153942686198</v>
      </c>
      <c r="W225" s="103">
        <f t="shared" ref="W225" si="261">IF(W7=0,0,W7/W$4)</f>
        <v>0.29412537892498442</v>
      </c>
      <c r="DA225" s="191"/>
    </row>
    <row r="226" spans="1:105" ht="11.45" customHeight="1" x14ac:dyDescent="0.25">
      <c r="A226" s="157" t="s">
        <v>111</v>
      </c>
      <c r="B226" s="103">
        <f t="shared" ref="B226:K226" si="262">IF(B8=0,0,B8/B$4)</f>
        <v>0.37456867171781882</v>
      </c>
      <c r="C226" s="103">
        <f t="shared" si="262"/>
        <v>0.38762497320099965</v>
      </c>
      <c r="D226" s="103">
        <f t="shared" si="262"/>
        <v>0.41290640645727017</v>
      </c>
      <c r="E226" s="103">
        <f t="shared" si="262"/>
        <v>0.43685372495254615</v>
      </c>
      <c r="F226" s="103">
        <f t="shared" si="262"/>
        <v>0.45759535412218333</v>
      </c>
      <c r="G226" s="103">
        <f t="shared" si="262"/>
        <v>0.48051674419682577</v>
      </c>
      <c r="H226" s="103">
        <f t="shared" si="262"/>
        <v>0.49691805029281816</v>
      </c>
      <c r="I226" s="103">
        <f t="shared" si="262"/>
        <v>0.51361309836776303</v>
      </c>
      <c r="J226" s="103">
        <f t="shared" si="262"/>
        <v>0.51553250589225996</v>
      </c>
      <c r="K226" s="103">
        <f t="shared" si="262"/>
        <v>0.53112685535263304</v>
      </c>
      <c r="L226" s="103">
        <f t="shared" ref="L226" si="263">IF(L8=0,0,L8/L$4)</f>
        <v>0.53117219155226958</v>
      </c>
      <c r="M226" s="103">
        <f t="shared" ref="M226:V226" si="264">IF(M8=0,0,M8/M$4)</f>
        <v>0.546576358601087</v>
      </c>
      <c r="N226" s="103">
        <f t="shared" si="264"/>
        <v>0.54911317740410426</v>
      </c>
      <c r="O226" s="103">
        <f t="shared" si="264"/>
        <v>0.55772641754765306</v>
      </c>
      <c r="P226" s="103">
        <f t="shared" si="264"/>
        <v>0.57233228419893978</v>
      </c>
      <c r="Q226" s="103">
        <f t="shared" si="264"/>
        <v>0.58240934297818991</v>
      </c>
      <c r="R226" s="103">
        <f t="shared" si="264"/>
        <v>0.59180453645514497</v>
      </c>
      <c r="S226" s="103">
        <f t="shared" si="264"/>
        <v>0.5960676367005916</v>
      </c>
      <c r="T226" s="103">
        <f t="shared" si="264"/>
        <v>0.5868532985064896</v>
      </c>
      <c r="U226" s="103">
        <f t="shared" si="264"/>
        <v>0.57623755532139287</v>
      </c>
      <c r="V226" s="103">
        <f t="shared" si="264"/>
        <v>0.57788343284307986</v>
      </c>
      <c r="W226" s="103">
        <f t="shared" ref="W226" si="265">IF(W8=0,0,W8/W$4)</f>
        <v>0.56522690916907514</v>
      </c>
      <c r="DA226" s="191"/>
    </row>
    <row r="227" spans="1:105" ht="11.45" customHeight="1" x14ac:dyDescent="0.25">
      <c r="A227" s="157" t="s">
        <v>112</v>
      </c>
      <c r="B227" s="103">
        <f t="shared" ref="B227:K227" si="266">IF(B9=0,0,B9/B$4)</f>
        <v>3.3207624299329201E-3</v>
      </c>
      <c r="C227" s="103">
        <f t="shared" si="266"/>
        <v>3.4379980951118358E-3</v>
      </c>
      <c r="D227" s="103">
        <f t="shared" si="266"/>
        <v>4.5836646123247763E-3</v>
      </c>
      <c r="E227" s="103">
        <f t="shared" si="266"/>
        <v>5.4292310978991875E-3</v>
      </c>
      <c r="F227" s="103">
        <f t="shared" si="266"/>
        <v>4.4019539766671899E-3</v>
      </c>
      <c r="G227" s="103">
        <f t="shared" si="266"/>
        <v>4.2552750847092893E-3</v>
      </c>
      <c r="H227" s="103">
        <f t="shared" si="266"/>
        <v>4.3158499477921079E-3</v>
      </c>
      <c r="I227" s="103">
        <f t="shared" si="266"/>
        <v>3.9561450807935605E-3</v>
      </c>
      <c r="J227" s="103">
        <f t="shared" si="266"/>
        <v>4.2211844802823618E-3</v>
      </c>
      <c r="K227" s="103">
        <f t="shared" si="266"/>
        <v>3.7811097617041875E-3</v>
      </c>
      <c r="L227" s="103">
        <f t="shared" ref="L227" si="267">IF(L9=0,0,L9/L$4)</f>
        <v>3.3734698400453137E-3</v>
      </c>
      <c r="M227" s="103">
        <f t="shared" ref="M227:V227" si="268">IF(M9=0,0,M9/M$4)</f>
        <v>3.2447717718135246E-3</v>
      </c>
      <c r="N227" s="103">
        <f t="shared" si="268"/>
        <v>3.3852967414566659E-3</v>
      </c>
      <c r="O227" s="103">
        <f t="shared" si="268"/>
        <v>3.1161236944847381E-3</v>
      </c>
      <c r="P227" s="103">
        <f t="shared" si="268"/>
        <v>2.7290159292411046E-3</v>
      </c>
      <c r="Q227" s="103">
        <f t="shared" si="268"/>
        <v>2.0090926010773663E-3</v>
      </c>
      <c r="R227" s="103">
        <f t="shared" si="268"/>
        <v>1.5961530875981979E-3</v>
      </c>
      <c r="S227" s="103">
        <f t="shared" si="268"/>
        <v>1.4570329939445853E-3</v>
      </c>
      <c r="T227" s="103">
        <f t="shared" si="268"/>
        <v>9.8476032828434599E-4</v>
      </c>
      <c r="U227" s="103">
        <f t="shared" si="268"/>
        <v>7.3996617046845055E-4</v>
      </c>
      <c r="V227" s="103">
        <f t="shared" si="268"/>
        <v>5.1224907881351376E-4</v>
      </c>
      <c r="W227" s="103">
        <f t="shared" ref="W227" si="269">IF(W9=0,0,W9/W$4)</f>
        <v>4.9512705158811154E-4</v>
      </c>
      <c r="DA227" s="191"/>
    </row>
    <row r="228" spans="1:105" ht="11.45" customHeight="1" x14ac:dyDescent="0.25">
      <c r="A228" s="157" t="s">
        <v>113</v>
      </c>
      <c r="B228" s="103">
        <f t="shared" ref="B228:K228" si="270">IF(B10=0,0,B10/B$4)</f>
        <v>0</v>
      </c>
      <c r="C228" s="103">
        <f t="shared" si="270"/>
        <v>0</v>
      </c>
      <c r="D228" s="103">
        <f t="shared" si="270"/>
        <v>0</v>
      </c>
      <c r="E228" s="103">
        <f t="shared" si="270"/>
        <v>0</v>
      </c>
      <c r="F228" s="103">
        <f t="shared" si="270"/>
        <v>0</v>
      </c>
      <c r="G228" s="103">
        <f t="shared" si="270"/>
        <v>0</v>
      </c>
      <c r="H228" s="103">
        <f t="shared" si="270"/>
        <v>1.2637117583047095E-5</v>
      </c>
      <c r="I228" s="103">
        <f t="shared" si="270"/>
        <v>4.8608695356874944E-5</v>
      </c>
      <c r="J228" s="103">
        <f t="shared" si="270"/>
        <v>2.3659499508763408E-4</v>
      </c>
      <c r="K228" s="103">
        <f t="shared" si="270"/>
        <v>2.8332209410842903E-4</v>
      </c>
      <c r="L228" s="103">
        <f t="shared" ref="L228" si="271">IF(L10=0,0,L10/L$4)</f>
        <v>3.3329134865765433E-4</v>
      </c>
      <c r="M228" s="103">
        <f t="shared" ref="M228:V228" si="272">IF(M10=0,0,M10/M$4)</f>
        <v>5.8848389534593498E-4</v>
      </c>
      <c r="N228" s="103">
        <f t="shared" si="272"/>
        <v>6.689869746692586E-4</v>
      </c>
      <c r="O228" s="103">
        <f t="shared" si="272"/>
        <v>7.684599948451341E-4</v>
      </c>
      <c r="P228" s="103">
        <f t="shared" si="272"/>
        <v>8.8048323000285025E-4</v>
      </c>
      <c r="Q228" s="103">
        <f t="shared" si="272"/>
        <v>9.6846250881525459E-4</v>
      </c>
      <c r="R228" s="103">
        <f t="shared" si="272"/>
        <v>9.3058354548691412E-4</v>
      </c>
      <c r="S228" s="103">
        <f t="shared" si="272"/>
        <v>9.3899548397793518E-4</v>
      </c>
      <c r="T228" s="103">
        <f t="shared" si="272"/>
        <v>9.7497351151390184E-4</v>
      </c>
      <c r="U228" s="103">
        <f t="shared" si="272"/>
        <v>9.8302508971799172E-4</v>
      </c>
      <c r="V228" s="103">
        <f t="shared" si="272"/>
        <v>9.6562128935604569E-4</v>
      </c>
      <c r="W228" s="103">
        <f t="shared" ref="W228" si="273">IF(W10=0,0,W10/W$4)</f>
        <v>9.0719837514601615E-4</v>
      </c>
      <c r="DA228" s="191"/>
    </row>
    <row r="229" spans="1:105" ht="11.45" customHeight="1" x14ac:dyDescent="0.25">
      <c r="A229" s="157" t="s">
        <v>114</v>
      </c>
      <c r="B229" s="103">
        <f t="shared" ref="B229:K229" si="274">IF(B11=0,0,B11/B$4)</f>
        <v>0</v>
      </c>
      <c r="C229" s="103">
        <f t="shared" si="274"/>
        <v>0</v>
      </c>
      <c r="D229" s="103">
        <f t="shared" si="274"/>
        <v>0</v>
      </c>
      <c r="E229" s="103">
        <f t="shared" si="274"/>
        <v>0</v>
      </c>
      <c r="F229" s="103">
        <f t="shared" si="274"/>
        <v>0</v>
      </c>
      <c r="G229" s="103">
        <f t="shared" si="274"/>
        <v>0</v>
      </c>
      <c r="H229" s="103">
        <f t="shared" si="274"/>
        <v>0</v>
      </c>
      <c r="I229" s="103">
        <f t="shared" si="274"/>
        <v>0</v>
      </c>
      <c r="J229" s="103">
        <f t="shared" si="274"/>
        <v>0</v>
      </c>
      <c r="K229" s="103">
        <f t="shared" si="274"/>
        <v>0</v>
      </c>
      <c r="L229" s="103">
        <f t="shared" ref="L229" si="275">IF(L11=0,0,L11/L$4)</f>
        <v>0</v>
      </c>
      <c r="M229" s="103">
        <f t="shared" ref="M229:V229" si="276">IF(M11=0,0,M11/M$4)</f>
        <v>3.5025663520923157E-7</v>
      </c>
      <c r="N229" s="103">
        <f t="shared" si="276"/>
        <v>4.6338241544894677E-5</v>
      </c>
      <c r="O229" s="103">
        <f t="shared" si="276"/>
        <v>7.0307108049598812E-5</v>
      </c>
      <c r="P229" s="103">
        <f t="shared" si="276"/>
        <v>1.2996314348010904E-4</v>
      </c>
      <c r="Q229" s="103">
        <f t="shared" si="276"/>
        <v>2.5144834301847493E-4</v>
      </c>
      <c r="R229" s="103">
        <f t="shared" si="276"/>
        <v>3.5211589764133421E-4</v>
      </c>
      <c r="S229" s="103">
        <f t="shared" si="276"/>
        <v>6.0158368770840958E-4</v>
      </c>
      <c r="T229" s="103">
        <f t="shared" si="276"/>
        <v>8.6149515338320381E-4</v>
      </c>
      <c r="U229" s="103">
        <f t="shared" si="276"/>
        <v>1.197800118437158E-3</v>
      </c>
      <c r="V229" s="103">
        <f t="shared" si="276"/>
        <v>2.2689663786456533E-3</v>
      </c>
      <c r="W229" s="103">
        <f t="shared" ref="W229" si="277">IF(W11=0,0,W11/W$4)</f>
        <v>4.3301497753896788E-3</v>
      </c>
      <c r="DA229" s="191"/>
    </row>
    <row r="230" spans="1:105" ht="11.45" customHeight="1" x14ac:dyDescent="0.25">
      <c r="A230" s="157" t="s">
        <v>115</v>
      </c>
      <c r="B230" s="103">
        <f t="shared" ref="B230:K230" si="278">IF(B12=0,0,B12/B$4)</f>
        <v>0</v>
      </c>
      <c r="C230" s="103">
        <f t="shared" si="278"/>
        <v>0</v>
      </c>
      <c r="D230" s="103">
        <f t="shared" si="278"/>
        <v>0</v>
      </c>
      <c r="E230" s="103">
        <f t="shared" si="278"/>
        <v>0</v>
      </c>
      <c r="F230" s="103">
        <f t="shared" si="278"/>
        <v>0</v>
      </c>
      <c r="G230" s="103">
        <f t="shared" si="278"/>
        <v>0</v>
      </c>
      <c r="H230" s="103">
        <f t="shared" si="278"/>
        <v>0</v>
      </c>
      <c r="I230" s="103">
        <f t="shared" si="278"/>
        <v>0</v>
      </c>
      <c r="J230" s="103">
        <f t="shared" si="278"/>
        <v>4.3636186460632742E-7</v>
      </c>
      <c r="K230" s="103">
        <f t="shared" si="278"/>
        <v>7.2916304489408599E-5</v>
      </c>
      <c r="L230" s="103">
        <f t="shared" ref="L230" si="279">IF(L12=0,0,L12/L$4)</f>
        <v>7.7380604260999454E-5</v>
      </c>
      <c r="M230" s="103">
        <f t="shared" ref="M230:V230" si="280">IF(M12=0,0,M12/M$4)</f>
        <v>2.1366260266430191E-4</v>
      </c>
      <c r="N230" s="103">
        <f t="shared" si="280"/>
        <v>3.0125118221037173E-4</v>
      </c>
      <c r="O230" s="103">
        <f t="shared" si="280"/>
        <v>4.4439070841564463E-4</v>
      </c>
      <c r="P230" s="103">
        <f t="shared" si="280"/>
        <v>7.1043171382733966E-4</v>
      </c>
      <c r="Q230" s="103">
        <f t="shared" si="280"/>
        <v>1.0334785694998021E-3</v>
      </c>
      <c r="R230" s="103">
        <f t="shared" si="280"/>
        <v>1.8111313709252756E-3</v>
      </c>
      <c r="S230" s="103">
        <f t="shared" si="280"/>
        <v>2.8728802960326107E-3</v>
      </c>
      <c r="T230" s="103">
        <f t="shared" si="280"/>
        <v>4.1719958574922911E-3</v>
      </c>
      <c r="U230" s="103">
        <f t="shared" si="280"/>
        <v>6.0573786293754445E-3</v>
      </c>
      <c r="V230" s="103">
        <f t="shared" si="280"/>
        <v>8.8452267964511892E-3</v>
      </c>
      <c r="W230" s="103">
        <f t="shared" ref="W230" si="281">IF(W12=0,0,W12/W$4)</f>
        <v>1.6647429647096017E-2</v>
      </c>
      <c r="DA230" s="191"/>
    </row>
    <row r="231" spans="1:105" ht="11.45" customHeight="1" x14ac:dyDescent="0.25">
      <c r="A231" s="155" t="s">
        <v>21</v>
      </c>
      <c r="B231" s="156">
        <f t="shared" ref="B231:K231" si="282">IF(B13=0,0,B13/B$4)</f>
        <v>0.12005829370637222</v>
      </c>
      <c r="C231" s="156">
        <f t="shared" si="282"/>
        <v>0.11885090893379324</v>
      </c>
      <c r="D231" s="156">
        <f t="shared" si="282"/>
        <v>0.11710215567576694</v>
      </c>
      <c r="E231" s="156">
        <f t="shared" si="282"/>
        <v>0.11719630570186899</v>
      </c>
      <c r="F231" s="156">
        <f t="shared" si="282"/>
        <v>0.11664343780090598</v>
      </c>
      <c r="G231" s="156">
        <f t="shared" si="282"/>
        <v>0.11662592624110221</v>
      </c>
      <c r="H231" s="156">
        <f t="shared" si="282"/>
        <v>0.1176338584258244</v>
      </c>
      <c r="I231" s="156">
        <f t="shared" si="282"/>
        <v>0.11827673672642745</v>
      </c>
      <c r="J231" s="156">
        <f t="shared" si="282"/>
        <v>0.11828651887345154</v>
      </c>
      <c r="K231" s="156">
        <f t="shared" si="282"/>
        <v>0.107713925563967</v>
      </c>
      <c r="L231" s="156">
        <f t="shared" ref="L231" si="283">IF(L13=0,0,L13/L$4)</f>
        <v>0.10985637125343677</v>
      </c>
      <c r="M231" s="156">
        <f t="shared" ref="M231:V231" si="284">IF(M13=0,0,M13/M$4)</f>
        <v>0.1115580203272807</v>
      </c>
      <c r="N231" s="156">
        <f t="shared" si="284"/>
        <v>0.11041532860526233</v>
      </c>
      <c r="O231" s="156">
        <f t="shared" si="284"/>
        <v>0.10989978609049281</v>
      </c>
      <c r="P231" s="156">
        <f t="shared" si="284"/>
        <v>0.10982029195358474</v>
      </c>
      <c r="Q231" s="156">
        <f t="shared" si="284"/>
        <v>0.10915746901922005</v>
      </c>
      <c r="R231" s="156">
        <f t="shared" si="284"/>
        <v>0.10952458649423331</v>
      </c>
      <c r="S231" s="156">
        <f t="shared" si="284"/>
        <v>0.11038913386715318</v>
      </c>
      <c r="T231" s="156">
        <f t="shared" si="284"/>
        <v>0.10828002053505981</v>
      </c>
      <c r="U231" s="156">
        <f t="shared" si="284"/>
        <v>0.1098780225627542</v>
      </c>
      <c r="V231" s="156">
        <f t="shared" si="284"/>
        <v>0.10038297423863055</v>
      </c>
      <c r="W231" s="156">
        <f t="shared" ref="W231" si="285">IF(W13=0,0,W13/W$4)</f>
        <v>9.7867738013051903E-2</v>
      </c>
      <c r="DA231" s="213"/>
    </row>
    <row r="232" spans="1:105" ht="11.45" customHeight="1" x14ac:dyDescent="0.25">
      <c r="A232" s="157" t="s">
        <v>110</v>
      </c>
      <c r="B232" s="103">
        <f t="shared" ref="B232:K232" si="286">IF(B14=0,0,B14/B$4)</f>
        <v>6.7800420589885695E-5</v>
      </c>
      <c r="C232" s="103">
        <f t="shared" si="286"/>
        <v>7.2475907429902906E-5</v>
      </c>
      <c r="D232" s="103">
        <f t="shared" si="286"/>
        <v>6.0830796192962436E-5</v>
      </c>
      <c r="E232" s="103">
        <f t="shared" si="286"/>
        <v>5.5138528688159325E-5</v>
      </c>
      <c r="F232" s="103">
        <f t="shared" si="286"/>
        <v>4.8378613751859289E-5</v>
      </c>
      <c r="G232" s="103">
        <f t="shared" si="286"/>
        <v>3.8062921396056758E-5</v>
      </c>
      <c r="H232" s="103">
        <f t="shared" si="286"/>
        <v>3.2916103813655881E-5</v>
      </c>
      <c r="I232" s="103">
        <f t="shared" si="286"/>
        <v>3.3130042779295896E-5</v>
      </c>
      <c r="J232" s="103">
        <f t="shared" si="286"/>
        <v>2.7395305374679853E-5</v>
      </c>
      <c r="K232" s="103">
        <f t="shared" si="286"/>
        <v>1.9016390927335854E-5</v>
      </c>
      <c r="L232" s="103">
        <f t="shared" ref="L232" si="287">IF(L14=0,0,L14/L$4)</f>
        <v>1.9628212775578121E-5</v>
      </c>
      <c r="M232" s="103">
        <f t="shared" ref="M232:V232" si="288">IF(M14=0,0,M14/M$4)</f>
        <v>1.4675478674832174E-5</v>
      </c>
      <c r="N232" s="103">
        <f t="shared" si="288"/>
        <v>1.4661627916488022E-5</v>
      </c>
      <c r="O232" s="103">
        <f t="shared" si="288"/>
        <v>9.5676939126547843E-6</v>
      </c>
      <c r="P232" s="103">
        <f t="shared" si="288"/>
        <v>1.1902065725639353E-5</v>
      </c>
      <c r="Q232" s="103">
        <f t="shared" si="288"/>
        <v>9.4144198554739265E-6</v>
      </c>
      <c r="R232" s="103">
        <f t="shared" si="288"/>
        <v>1.2370785331963072E-5</v>
      </c>
      <c r="S232" s="103">
        <f t="shared" si="288"/>
        <v>1.2319446382278958E-5</v>
      </c>
      <c r="T232" s="103">
        <f t="shared" si="288"/>
        <v>1.2510174608889183E-5</v>
      </c>
      <c r="U232" s="103">
        <f t="shared" si="288"/>
        <v>1.2541780987584873E-5</v>
      </c>
      <c r="V232" s="103">
        <f t="shared" si="288"/>
        <v>1.0480533352941451E-5</v>
      </c>
      <c r="W232" s="103">
        <f t="shared" ref="W232" si="289">IF(W14=0,0,W14/W$4)</f>
        <v>1.3150527816482303E-5</v>
      </c>
      <c r="DA232" s="191"/>
    </row>
    <row r="233" spans="1:105" ht="11.45" customHeight="1" x14ac:dyDescent="0.25">
      <c r="A233" s="157" t="s">
        <v>111</v>
      </c>
      <c r="B233" s="103">
        <f t="shared" ref="B233:K233" si="290">IF(B15=0,0,B15/B$4)</f>
        <v>0.11875298221840852</v>
      </c>
      <c r="C233" s="103">
        <f t="shared" si="290"/>
        <v>0.11751137010409622</v>
      </c>
      <c r="D233" s="103">
        <f t="shared" si="290"/>
        <v>0.11565821019880464</v>
      </c>
      <c r="E233" s="103">
        <f t="shared" si="290"/>
        <v>0.1156802985036078</v>
      </c>
      <c r="F233" s="103">
        <f t="shared" si="290"/>
        <v>0.11489589350407578</v>
      </c>
      <c r="G233" s="103">
        <f t="shared" si="290"/>
        <v>0.11466686282417798</v>
      </c>
      <c r="H233" s="103">
        <f t="shared" si="290"/>
        <v>0.11548824321412572</v>
      </c>
      <c r="I233" s="103">
        <f t="shared" si="290"/>
        <v>0.11551231563718045</v>
      </c>
      <c r="J233" s="103">
        <f t="shared" si="290"/>
        <v>0.11506620871480291</v>
      </c>
      <c r="K233" s="103">
        <f t="shared" si="290"/>
        <v>0.10195050531830323</v>
      </c>
      <c r="L233" s="103">
        <f t="shared" ref="L233" si="291">IF(L15=0,0,L15/L$4)</f>
        <v>0.10266059771170058</v>
      </c>
      <c r="M233" s="103">
        <f t="shared" ref="M233:V233" si="292">IF(M15=0,0,M15/M$4)</f>
        <v>0.10375986072288919</v>
      </c>
      <c r="N233" s="103">
        <f t="shared" si="292"/>
        <v>0.10212150177295011</v>
      </c>
      <c r="O233" s="103">
        <f t="shared" si="292"/>
        <v>0.1004215745025565</v>
      </c>
      <c r="P233" s="103">
        <f t="shared" si="292"/>
        <v>0.10007929561102889</v>
      </c>
      <c r="Q233" s="103">
        <f t="shared" si="292"/>
        <v>9.9841910630714931E-2</v>
      </c>
      <c r="R233" s="103">
        <f t="shared" si="292"/>
        <v>0.10207250933743089</v>
      </c>
      <c r="S233" s="103">
        <f t="shared" si="292"/>
        <v>0.10345891088815244</v>
      </c>
      <c r="T233" s="103">
        <f t="shared" si="292"/>
        <v>0.10131169624338042</v>
      </c>
      <c r="U233" s="103">
        <f t="shared" si="292"/>
        <v>0.10278449678476111</v>
      </c>
      <c r="V233" s="103">
        <f t="shared" si="292"/>
        <v>9.3069480456977077E-2</v>
      </c>
      <c r="W233" s="103">
        <f t="shared" ref="W233" si="293">IF(W15=0,0,W15/W$4)</f>
        <v>9.1027148108310849E-2</v>
      </c>
      <c r="DA233" s="191"/>
    </row>
    <row r="234" spans="1:105" ht="11.45" customHeight="1" x14ac:dyDescent="0.25">
      <c r="A234" s="157" t="s">
        <v>112</v>
      </c>
      <c r="B234" s="103">
        <f t="shared" ref="B234:K234" si="294">IF(B16=0,0,B16/B$4)</f>
        <v>0</v>
      </c>
      <c r="C234" s="103">
        <f t="shared" si="294"/>
        <v>8.5375593265459343E-5</v>
      </c>
      <c r="D234" s="103">
        <f t="shared" si="294"/>
        <v>2.7085440591035221E-4</v>
      </c>
      <c r="E234" s="103">
        <f t="shared" si="294"/>
        <v>3.8641915097858558E-4</v>
      </c>
      <c r="F234" s="103">
        <f t="shared" si="294"/>
        <v>5.1477721577288524E-4</v>
      </c>
      <c r="G234" s="103">
        <f t="shared" si="294"/>
        <v>7.6029056743147426E-4</v>
      </c>
      <c r="H234" s="103">
        <f t="shared" si="294"/>
        <v>9.6116384237631834E-4</v>
      </c>
      <c r="I234" s="103">
        <f t="shared" si="294"/>
        <v>1.2140761304644712E-3</v>
      </c>
      <c r="J234" s="103">
        <f t="shared" si="294"/>
        <v>1.436395019231638E-3</v>
      </c>
      <c r="K234" s="103">
        <f t="shared" si="294"/>
        <v>1.6593488245491496E-3</v>
      </c>
      <c r="L234" s="103">
        <f t="shared" ref="L234" si="295">IF(L16=0,0,L16/L$4)</f>
        <v>1.9160594147686568E-3</v>
      </c>
      <c r="M234" s="103">
        <f t="shared" ref="M234:V234" si="296">IF(M16=0,0,M16/M$4)</f>
        <v>2.1242119781121598E-3</v>
      </c>
      <c r="N234" s="103">
        <f t="shared" si="296"/>
        <v>2.1345092493141424E-3</v>
      </c>
      <c r="O234" s="103">
        <f t="shared" si="296"/>
        <v>2.0586821566241074E-3</v>
      </c>
      <c r="P234" s="103">
        <f t="shared" si="296"/>
        <v>1.9482585315010437E-3</v>
      </c>
      <c r="Q234" s="103">
        <f t="shared" si="296"/>
        <v>1.5553820567354955E-3</v>
      </c>
      <c r="R234" s="103">
        <f t="shared" si="296"/>
        <v>1.2541534290424268E-3</v>
      </c>
      <c r="S234" s="103">
        <f t="shared" si="296"/>
        <v>1.0034882642665013E-3</v>
      </c>
      <c r="T234" s="103">
        <f t="shared" si="296"/>
        <v>1.0091985624093452E-3</v>
      </c>
      <c r="U234" s="103">
        <f t="shared" si="296"/>
        <v>8.3913403334650802E-5</v>
      </c>
      <c r="V234" s="103">
        <f t="shared" si="296"/>
        <v>7.6547872271708731E-5</v>
      </c>
      <c r="W234" s="103">
        <f t="shared" ref="W234" si="297">IF(W16=0,0,W16/W$4)</f>
        <v>6.8753290054213812E-5</v>
      </c>
      <c r="DA234" s="191"/>
    </row>
    <row r="235" spans="1:105" ht="11.45" customHeight="1" x14ac:dyDescent="0.25">
      <c r="A235" s="157" t="s">
        <v>113</v>
      </c>
      <c r="B235" s="103">
        <f t="shared" ref="B235:K235" si="298">IF(B17=0,0,B17/B$4)</f>
        <v>0</v>
      </c>
      <c r="C235" s="103">
        <f t="shared" si="298"/>
        <v>0</v>
      </c>
      <c r="D235" s="103">
        <f t="shared" si="298"/>
        <v>0</v>
      </c>
      <c r="E235" s="103">
        <f t="shared" si="298"/>
        <v>0</v>
      </c>
      <c r="F235" s="103">
        <f t="shared" si="298"/>
        <v>1.5924788656427577E-4</v>
      </c>
      <c r="G235" s="103">
        <f t="shared" si="298"/>
        <v>1.3509014101645755E-4</v>
      </c>
      <c r="H235" s="103">
        <f t="shared" si="298"/>
        <v>8.3866979790484842E-5</v>
      </c>
      <c r="I235" s="103">
        <f t="shared" si="298"/>
        <v>5.8525732410966787E-4</v>
      </c>
      <c r="J235" s="103">
        <f t="shared" si="298"/>
        <v>7.980914037122352E-4</v>
      </c>
      <c r="K235" s="103">
        <f t="shared" si="298"/>
        <v>3.0884607220057758E-3</v>
      </c>
      <c r="L235" s="103">
        <f t="shared" ref="L235" si="299">IF(L17=0,0,L17/L$4)</f>
        <v>4.2617453080753724E-3</v>
      </c>
      <c r="M235" s="103">
        <f t="shared" ref="M235:V235" si="300">IF(M17=0,0,M17/M$4)</f>
        <v>4.6140884261724503E-3</v>
      </c>
      <c r="N235" s="103">
        <f t="shared" si="300"/>
        <v>5.0223748460880829E-3</v>
      </c>
      <c r="O235" s="103">
        <f t="shared" si="300"/>
        <v>6.1806226177447592E-3</v>
      </c>
      <c r="P235" s="103">
        <f t="shared" si="300"/>
        <v>6.6519576961928169E-3</v>
      </c>
      <c r="Q235" s="103">
        <f t="shared" si="300"/>
        <v>6.5863127159868345E-3</v>
      </c>
      <c r="R235" s="103">
        <f t="shared" si="300"/>
        <v>4.9544613504728828E-3</v>
      </c>
      <c r="S235" s="103">
        <f t="shared" si="300"/>
        <v>4.7541117089451024E-3</v>
      </c>
      <c r="T235" s="103">
        <f t="shared" si="300"/>
        <v>4.6714082279906491E-3</v>
      </c>
      <c r="U235" s="103">
        <f t="shared" si="300"/>
        <v>5.6322953603977401E-3</v>
      </c>
      <c r="V235" s="103">
        <f t="shared" si="300"/>
        <v>5.8979023104202052E-3</v>
      </c>
      <c r="W235" s="103">
        <f t="shared" ref="W235" si="301">IF(W17=0,0,W17/W$4)</f>
        <v>5.4426311920100865E-3</v>
      </c>
      <c r="DA235" s="191"/>
    </row>
    <row r="236" spans="1:105" ht="11.45" customHeight="1" x14ac:dyDescent="0.25">
      <c r="A236" s="157" t="s">
        <v>115</v>
      </c>
      <c r="B236" s="103">
        <f t="shared" ref="B236:K236" si="302">IF(B18=0,0,B18/B$4)</f>
        <v>1.2375110673738107E-3</v>
      </c>
      <c r="C236" s="103">
        <f t="shared" si="302"/>
        <v>1.1816873290016511E-3</v>
      </c>
      <c r="D236" s="103">
        <f t="shared" si="302"/>
        <v>1.1122602748589918E-3</v>
      </c>
      <c r="E236" s="103">
        <f t="shared" si="302"/>
        <v>1.0744495185944591E-3</v>
      </c>
      <c r="F236" s="103">
        <f t="shared" si="302"/>
        <v>1.0251405807411946E-3</v>
      </c>
      <c r="G236" s="103">
        <f t="shared" si="302"/>
        <v>1.0256197870802458E-3</v>
      </c>
      <c r="H236" s="103">
        <f t="shared" si="302"/>
        <v>1.0676682857182389E-3</v>
      </c>
      <c r="I236" s="103">
        <f t="shared" si="302"/>
        <v>9.3195759189357275E-4</v>
      </c>
      <c r="J236" s="103">
        <f t="shared" si="302"/>
        <v>9.584284303300872E-4</v>
      </c>
      <c r="K236" s="103">
        <f t="shared" si="302"/>
        <v>9.9659430818150587E-4</v>
      </c>
      <c r="L236" s="103">
        <f t="shared" ref="L236" si="303">IF(L18=0,0,L18/L$4)</f>
        <v>9.9834060611655139E-4</v>
      </c>
      <c r="M236" s="103">
        <f t="shared" ref="M236:V236" si="304">IF(M18=0,0,M18/M$4)</f>
        <v>1.0451837214320702E-3</v>
      </c>
      <c r="N236" s="103">
        <f t="shared" si="304"/>
        <v>1.1222811089935082E-3</v>
      </c>
      <c r="O236" s="103">
        <f t="shared" si="304"/>
        <v>1.2293391196547623E-3</v>
      </c>
      <c r="P236" s="103">
        <f t="shared" si="304"/>
        <v>1.1288780491363686E-3</v>
      </c>
      <c r="Q236" s="103">
        <f t="shared" si="304"/>
        <v>1.1644491959273012E-3</v>
      </c>
      <c r="R236" s="103">
        <f t="shared" si="304"/>
        <v>1.2310915919551645E-3</v>
      </c>
      <c r="S236" s="103">
        <f t="shared" si="304"/>
        <v>1.160303559406853E-3</v>
      </c>
      <c r="T236" s="103">
        <f t="shared" si="304"/>
        <v>1.2752073266704752E-3</v>
      </c>
      <c r="U236" s="103">
        <f t="shared" si="304"/>
        <v>1.3647752332731019E-3</v>
      </c>
      <c r="V236" s="103">
        <f t="shared" si="304"/>
        <v>1.3285630656086267E-3</v>
      </c>
      <c r="W236" s="103">
        <f t="shared" ref="W236" si="305">IF(W18=0,0,W18/W$4)</f>
        <v>1.3160548948602522E-3</v>
      </c>
      <c r="DA236" s="191"/>
    </row>
    <row r="237" spans="1:105" ht="11.45" customHeight="1" x14ac:dyDescent="0.25">
      <c r="A237" s="27" t="s">
        <v>39</v>
      </c>
      <c r="B237" s="46">
        <f t="shared" ref="B237:K237" si="306">IF(B19=0,0,B19/B$19)</f>
        <v>1</v>
      </c>
      <c r="C237" s="46">
        <f t="shared" si="306"/>
        <v>1</v>
      </c>
      <c r="D237" s="46">
        <f t="shared" si="306"/>
        <v>1</v>
      </c>
      <c r="E237" s="46">
        <f t="shared" si="306"/>
        <v>1</v>
      </c>
      <c r="F237" s="46">
        <f t="shared" si="306"/>
        <v>1</v>
      </c>
      <c r="G237" s="46">
        <f t="shared" si="306"/>
        <v>1</v>
      </c>
      <c r="H237" s="46">
        <f t="shared" si="306"/>
        <v>1</v>
      </c>
      <c r="I237" s="46">
        <f t="shared" si="306"/>
        <v>1</v>
      </c>
      <c r="J237" s="46">
        <f t="shared" si="306"/>
        <v>1</v>
      </c>
      <c r="K237" s="46">
        <f t="shared" si="306"/>
        <v>1</v>
      </c>
      <c r="L237" s="46">
        <f t="shared" ref="L237" si="307">IF(L19=0,0,L19/L$19)</f>
        <v>1</v>
      </c>
      <c r="M237" s="46">
        <f t="shared" ref="M237:V237" si="308">IF(M19=0,0,M19/M$19)</f>
        <v>1</v>
      </c>
      <c r="N237" s="46">
        <f t="shared" si="308"/>
        <v>1</v>
      </c>
      <c r="O237" s="46">
        <f t="shared" si="308"/>
        <v>1</v>
      </c>
      <c r="P237" s="46">
        <f t="shared" si="308"/>
        <v>1</v>
      </c>
      <c r="Q237" s="46">
        <f t="shared" si="308"/>
        <v>1</v>
      </c>
      <c r="R237" s="46">
        <f t="shared" si="308"/>
        <v>1</v>
      </c>
      <c r="S237" s="46">
        <f t="shared" si="308"/>
        <v>1</v>
      </c>
      <c r="T237" s="46">
        <f t="shared" si="308"/>
        <v>1</v>
      </c>
      <c r="U237" s="46">
        <f t="shared" si="308"/>
        <v>1</v>
      </c>
      <c r="V237" s="46">
        <f t="shared" si="308"/>
        <v>1</v>
      </c>
      <c r="W237" s="46">
        <f t="shared" ref="W237" si="309">IF(W19=0,0,W19/W$19)</f>
        <v>1</v>
      </c>
      <c r="DA237" s="211"/>
    </row>
    <row r="238" spans="1:105" ht="11.45" customHeight="1" x14ac:dyDescent="0.25">
      <c r="A238" s="153" t="s">
        <v>156</v>
      </c>
      <c r="B238" s="154">
        <f t="shared" ref="B238:K238" si="310">IF(B20=0,0,B20/B$19)</f>
        <v>9.8567198321041598E-3</v>
      </c>
      <c r="C238" s="154">
        <f t="shared" si="310"/>
        <v>9.9723382120925491E-3</v>
      </c>
      <c r="D238" s="154">
        <f t="shared" si="310"/>
        <v>9.9506988977737278E-3</v>
      </c>
      <c r="E238" s="154">
        <f t="shared" si="310"/>
        <v>9.9484652844334855E-3</v>
      </c>
      <c r="F238" s="154">
        <f t="shared" si="310"/>
        <v>9.4762292971864084E-3</v>
      </c>
      <c r="G238" s="154">
        <f t="shared" si="310"/>
        <v>9.5192245597346872E-3</v>
      </c>
      <c r="H238" s="154">
        <f t="shared" si="310"/>
        <v>8.9393909890991032E-3</v>
      </c>
      <c r="I238" s="154">
        <f t="shared" si="310"/>
        <v>8.44606641732858E-3</v>
      </c>
      <c r="J238" s="154">
        <f t="shared" si="310"/>
        <v>7.9209591062816397E-3</v>
      </c>
      <c r="K238" s="154">
        <f t="shared" si="310"/>
        <v>9.1095883445904621E-3</v>
      </c>
      <c r="L238" s="154">
        <f t="shared" ref="L238" si="311">IF(L20=0,0,L20/L$19)</f>
        <v>8.708289235378544E-3</v>
      </c>
      <c r="M238" s="154">
        <f t="shared" ref="M238:V238" si="312">IF(M20=0,0,M20/M$19)</f>
        <v>8.6035715454447891E-3</v>
      </c>
      <c r="N238" s="154">
        <f t="shared" si="312"/>
        <v>8.9066063612856846E-3</v>
      </c>
      <c r="O238" s="154">
        <f t="shared" si="312"/>
        <v>9.0830170374066859E-3</v>
      </c>
      <c r="P238" s="154">
        <f t="shared" si="312"/>
        <v>9.2288216903780081E-3</v>
      </c>
      <c r="Q238" s="154">
        <f t="shared" si="312"/>
        <v>9.1306145800949326E-3</v>
      </c>
      <c r="R238" s="154">
        <f t="shared" si="312"/>
        <v>9.0200629062863365E-3</v>
      </c>
      <c r="S238" s="154">
        <f t="shared" si="312"/>
        <v>8.6763079359560204E-3</v>
      </c>
      <c r="T238" s="154">
        <f t="shared" si="312"/>
        <v>8.8354150607208512E-3</v>
      </c>
      <c r="U238" s="154">
        <f t="shared" si="312"/>
        <v>8.9621645583734654E-3</v>
      </c>
      <c r="V238" s="154">
        <f t="shared" si="312"/>
        <v>9.1137661597003802E-3</v>
      </c>
      <c r="W238" s="154">
        <f t="shared" ref="W238" si="313">IF(W20=0,0,W20/W$19)</f>
        <v>9.1132746324223222E-3</v>
      </c>
      <c r="DA238" s="212"/>
    </row>
    <row r="239" spans="1:105" ht="11.45" customHeight="1" x14ac:dyDescent="0.25">
      <c r="A239" s="157" t="s">
        <v>110</v>
      </c>
      <c r="B239" s="103">
        <f t="shared" ref="B239:K239" si="314">IF(B21=0,0,B21/B$19)</f>
        <v>1.1594784984392424E-3</v>
      </c>
      <c r="C239" s="103">
        <f t="shared" si="314"/>
        <v>1.0217078918701116E-3</v>
      </c>
      <c r="D239" s="103">
        <f t="shared" si="314"/>
        <v>6.7444730894147971E-4</v>
      </c>
      <c r="E239" s="103">
        <f t="shared" si="314"/>
        <v>5.7855108157277887E-4</v>
      </c>
      <c r="F239" s="103">
        <f t="shared" si="314"/>
        <v>4.7931541303641194E-4</v>
      </c>
      <c r="G239" s="103">
        <f t="shared" si="314"/>
        <v>4.2976040795022585E-4</v>
      </c>
      <c r="H239" s="103">
        <f t="shared" si="314"/>
        <v>3.7425515265511635E-4</v>
      </c>
      <c r="I239" s="103">
        <f t="shared" si="314"/>
        <v>3.3410328406489854E-4</v>
      </c>
      <c r="J239" s="103">
        <f t="shared" si="314"/>
        <v>2.9967075971501777E-4</v>
      </c>
      <c r="K239" s="103">
        <f t="shared" si="314"/>
        <v>3.4206001529096016E-4</v>
      </c>
      <c r="L239" s="103">
        <f t="shared" ref="L239" si="315">IF(L21=0,0,L21/L$19)</f>
        <v>3.203993346595502E-4</v>
      </c>
      <c r="M239" s="103">
        <f t="shared" ref="M239:V239" si="316">IF(M21=0,0,M21/M$19)</f>
        <v>3.21054959601483E-4</v>
      </c>
      <c r="N239" s="103">
        <f t="shared" si="316"/>
        <v>3.3724431098680927E-4</v>
      </c>
      <c r="O239" s="103">
        <f t="shared" si="316"/>
        <v>3.3437943153554535E-4</v>
      </c>
      <c r="P239" s="103">
        <f t="shared" si="316"/>
        <v>3.3947582693007612E-4</v>
      </c>
      <c r="Q239" s="103">
        <f t="shared" si="316"/>
        <v>3.3914644229157909E-4</v>
      </c>
      <c r="R239" s="103">
        <f t="shared" si="316"/>
        <v>3.2801020912437575E-4</v>
      </c>
      <c r="S239" s="103">
        <f t="shared" si="316"/>
        <v>3.1672899731442056E-4</v>
      </c>
      <c r="T239" s="103">
        <f t="shared" si="316"/>
        <v>3.2928662212160763E-4</v>
      </c>
      <c r="U239" s="103">
        <f t="shared" si="316"/>
        <v>3.2516718959072941E-4</v>
      </c>
      <c r="V239" s="103">
        <f t="shared" si="316"/>
        <v>3.2005898994530592E-4</v>
      </c>
      <c r="W239" s="103">
        <f t="shared" ref="W239" si="317">IF(W21=0,0,W21/W$19)</f>
        <v>3.0754092910801858E-4</v>
      </c>
      <c r="DA239" s="191"/>
    </row>
    <row r="240" spans="1:105" ht="11.45" customHeight="1" x14ac:dyDescent="0.25">
      <c r="A240" s="157" t="s">
        <v>111</v>
      </c>
      <c r="B240" s="103">
        <f t="shared" ref="B240:K240" si="318">IF(B22=0,0,B22/B$19)</f>
        <v>8.6966104746941005E-3</v>
      </c>
      <c r="C240" s="103">
        <f t="shared" si="318"/>
        <v>8.9498297330547465E-3</v>
      </c>
      <c r="D240" s="103">
        <f t="shared" si="318"/>
        <v>9.2755739369395421E-3</v>
      </c>
      <c r="E240" s="103">
        <f t="shared" si="318"/>
        <v>9.3690587320266958E-3</v>
      </c>
      <c r="F240" s="103">
        <f t="shared" si="318"/>
        <v>8.9958165152214751E-3</v>
      </c>
      <c r="G240" s="103">
        <f t="shared" si="318"/>
        <v>9.0866755637074009E-3</v>
      </c>
      <c r="H240" s="103">
        <f t="shared" si="318"/>
        <v>8.5614134474644547E-3</v>
      </c>
      <c r="I240" s="103">
        <f t="shared" si="318"/>
        <v>8.1072553736869744E-3</v>
      </c>
      <c r="J240" s="103">
        <f t="shared" si="318"/>
        <v>7.6154247454824943E-3</v>
      </c>
      <c r="K240" s="103">
        <f t="shared" si="318"/>
        <v>8.7626354214891261E-3</v>
      </c>
      <c r="L240" s="103">
        <f t="shared" ref="L240" si="319">IF(L22=0,0,L22/L$19)</f>
        <v>8.3829738712181065E-3</v>
      </c>
      <c r="M240" s="103">
        <f t="shared" ref="M240:V240" si="320">IF(M22=0,0,M22/M$19)</f>
        <v>8.2769226132305557E-3</v>
      </c>
      <c r="N240" s="103">
        <f t="shared" si="320"/>
        <v>8.5577842120088485E-3</v>
      </c>
      <c r="O240" s="103">
        <f t="shared" si="320"/>
        <v>8.7214079081864935E-3</v>
      </c>
      <c r="P240" s="103">
        <f t="shared" si="320"/>
        <v>8.8581278547053537E-3</v>
      </c>
      <c r="Q240" s="103">
        <f t="shared" si="320"/>
        <v>8.7571177123000454E-3</v>
      </c>
      <c r="R240" s="103">
        <f t="shared" si="320"/>
        <v>8.6408657071735864E-3</v>
      </c>
      <c r="S240" s="103">
        <f t="shared" si="320"/>
        <v>8.3090357800749762E-3</v>
      </c>
      <c r="T240" s="103">
        <f t="shared" si="320"/>
        <v>8.4491190043092176E-3</v>
      </c>
      <c r="U240" s="103">
        <f t="shared" si="320"/>
        <v>8.5747010311801944E-3</v>
      </c>
      <c r="V240" s="103">
        <f t="shared" si="320"/>
        <v>8.7226698592588001E-3</v>
      </c>
      <c r="W240" s="103">
        <f t="shared" ref="W240" si="321">IF(W22=0,0,W22/W$19)</f>
        <v>8.7073707970406148E-3</v>
      </c>
      <c r="DA240" s="191"/>
    </row>
    <row r="241" spans="1:105" ht="11.45" customHeight="1" x14ac:dyDescent="0.25">
      <c r="A241" s="157" t="s">
        <v>112</v>
      </c>
      <c r="B241" s="103">
        <f t="shared" ref="B241:K241" si="322">IF(B23=0,0,B23/B$19)</f>
        <v>0</v>
      </c>
      <c r="C241" s="103">
        <f t="shared" si="322"/>
        <v>0</v>
      </c>
      <c r="D241" s="103">
        <f t="shared" si="322"/>
        <v>0</v>
      </c>
      <c r="E241" s="103">
        <f t="shared" si="322"/>
        <v>2.1504193690515572E-7</v>
      </c>
      <c r="F241" s="103">
        <f t="shared" si="322"/>
        <v>5.3989294202427589E-7</v>
      </c>
      <c r="G241" s="103">
        <f t="shared" si="322"/>
        <v>2.2867519192853155E-6</v>
      </c>
      <c r="H241" s="103">
        <f t="shared" si="322"/>
        <v>2.0188828274627222E-6</v>
      </c>
      <c r="I241" s="103">
        <f t="shared" si="322"/>
        <v>1.8409645703105452E-6</v>
      </c>
      <c r="J241" s="103">
        <f t="shared" si="322"/>
        <v>1.6430562813002515E-6</v>
      </c>
      <c r="K241" s="103">
        <f t="shared" si="322"/>
        <v>1.7808058888931138E-6</v>
      </c>
      <c r="L241" s="103">
        <f t="shared" ref="L241" si="323">IF(L23=0,0,L23/L$19)</f>
        <v>1.5766988622820679E-6</v>
      </c>
      <c r="M241" s="103">
        <f t="shared" ref="M241:V241" si="324">IF(M23=0,0,M23/M$19)</f>
        <v>1.4193973486196758E-6</v>
      </c>
      <c r="N241" s="103">
        <f t="shared" si="324"/>
        <v>1.5413768516526346E-6</v>
      </c>
      <c r="O241" s="103">
        <f t="shared" si="324"/>
        <v>1.6320821812842895E-6</v>
      </c>
      <c r="P241" s="103">
        <f t="shared" si="324"/>
        <v>1.8149856685848511E-6</v>
      </c>
      <c r="Q241" s="103">
        <f t="shared" si="324"/>
        <v>1.8250323970055529E-6</v>
      </c>
      <c r="R241" s="103">
        <f t="shared" si="324"/>
        <v>2.735354626186579E-6</v>
      </c>
      <c r="S241" s="103">
        <f t="shared" si="324"/>
        <v>2.6798886279352102E-6</v>
      </c>
      <c r="T241" s="103">
        <f t="shared" si="324"/>
        <v>2.6931504797273255E-6</v>
      </c>
      <c r="U241" s="103">
        <f t="shared" si="324"/>
        <v>2.9111862312130753E-6</v>
      </c>
      <c r="V241" s="103">
        <f t="shared" si="324"/>
        <v>3.3637828653011662E-6</v>
      </c>
      <c r="W241" s="103">
        <f t="shared" ref="W241" si="325">IF(W23=0,0,W23/W$19)</f>
        <v>3.6369598516504461E-6</v>
      </c>
      <c r="DA241" s="191"/>
    </row>
    <row r="242" spans="1:105" ht="11.45" customHeight="1" x14ac:dyDescent="0.25">
      <c r="A242" s="157" t="s">
        <v>113</v>
      </c>
      <c r="B242" s="103">
        <f t="shared" ref="B242:K242" si="326">IF(B24=0,0,B24/B$19)</f>
        <v>0</v>
      </c>
      <c r="C242" s="103">
        <f t="shared" si="326"/>
        <v>0</v>
      </c>
      <c r="D242" s="103">
        <f t="shared" si="326"/>
        <v>0</v>
      </c>
      <c r="E242" s="103">
        <f t="shared" si="326"/>
        <v>0</v>
      </c>
      <c r="F242" s="103">
        <f t="shared" si="326"/>
        <v>0</v>
      </c>
      <c r="G242" s="103">
        <f t="shared" si="326"/>
        <v>0</v>
      </c>
      <c r="H242" s="103">
        <f t="shared" si="326"/>
        <v>1.2824886178017877E-6</v>
      </c>
      <c r="I242" s="103">
        <f t="shared" si="326"/>
        <v>2.3736153604195331E-6</v>
      </c>
      <c r="J242" s="103">
        <f t="shared" si="326"/>
        <v>3.7075955387299747E-6</v>
      </c>
      <c r="K242" s="103">
        <f t="shared" si="326"/>
        <v>2.2553831034256923E-6</v>
      </c>
      <c r="L242" s="103">
        <f t="shared" ref="L242" si="327">IF(L24=0,0,L24/L$19)</f>
        <v>2.0983047283835019E-6</v>
      </c>
      <c r="M242" s="103">
        <f t="shared" ref="M242:V242" si="328">IF(M24=0,0,M24/M$19)</f>
        <v>2.2742641604772158E-6</v>
      </c>
      <c r="N242" s="103">
        <f t="shared" si="328"/>
        <v>3.1142933654480279E-6</v>
      </c>
      <c r="O242" s="103">
        <f t="shared" si="328"/>
        <v>1.4642928717983608E-5</v>
      </c>
      <c r="P242" s="103">
        <f t="shared" si="328"/>
        <v>1.5314948922916521E-5</v>
      </c>
      <c r="Q242" s="103">
        <f t="shared" si="328"/>
        <v>1.4918875252333035E-5</v>
      </c>
      <c r="R242" s="103">
        <f t="shared" si="328"/>
        <v>2.5223592019638176E-5</v>
      </c>
      <c r="S242" s="103">
        <f t="shared" si="328"/>
        <v>2.2383102950761569E-5</v>
      </c>
      <c r="T242" s="103">
        <f t="shared" si="328"/>
        <v>2.2781435896074983E-5</v>
      </c>
      <c r="U242" s="103">
        <f t="shared" si="328"/>
        <v>2.1676398027987381E-5</v>
      </c>
      <c r="V242" s="103">
        <f t="shared" si="328"/>
        <v>1.9838625676206387E-5</v>
      </c>
      <c r="W242" s="103">
        <f t="shared" ref="W242" si="329">IF(W24=0,0,W24/W$19)</f>
        <v>1.7859046648316106E-5</v>
      </c>
      <c r="DA242" s="191"/>
    </row>
    <row r="243" spans="1:105" ht="11.45" customHeight="1" x14ac:dyDescent="0.25">
      <c r="A243" s="157" t="s">
        <v>115</v>
      </c>
      <c r="B243" s="103">
        <f t="shared" ref="B243:K243" si="330">IF(B25=0,0,B25/B$19)</f>
        <v>6.3085897081745794E-7</v>
      </c>
      <c r="C243" s="103">
        <f t="shared" si="330"/>
        <v>8.0058716769292413E-7</v>
      </c>
      <c r="D243" s="103">
        <f t="shared" si="330"/>
        <v>6.7765189270573585E-7</v>
      </c>
      <c r="E243" s="103">
        <f t="shared" si="330"/>
        <v>6.4042889710533992E-7</v>
      </c>
      <c r="F243" s="103">
        <f t="shared" si="330"/>
        <v>5.5747598649708826E-7</v>
      </c>
      <c r="G243" s="103">
        <f t="shared" si="330"/>
        <v>5.0183615777539893E-7</v>
      </c>
      <c r="H243" s="103">
        <f t="shared" si="330"/>
        <v>4.2101753426638106E-7</v>
      </c>
      <c r="I243" s="103">
        <f t="shared" si="330"/>
        <v>4.9317964597878877E-7</v>
      </c>
      <c r="J243" s="103">
        <f t="shared" si="330"/>
        <v>5.129492640983711E-7</v>
      </c>
      <c r="K243" s="103">
        <f t="shared" si="330"/>
        <v>8.567188180578018E-7</v>
      </c>
      <c r="L243" s="103">
        <f t="shared" ref="L243" si="331">IF(L25=0,0,L25/L$19)</f>
        <v>1.2410259102212643E-6</v>
      </c>
      <c r="M243" s="103">
        <f t="shared" ref="M243:V243" si="332">IF(M25=0,0,M25/M$19)</f>
        <v>1.9003111036529552E-6</v>
      </c>
      <c r="N243" s="103">
        <f t="shared" si="332"/>
        <v>6.9221680729259898E-6</v>
      </c>
      <c r="O243" s="103">
        <f t="shared" si="332"/>
        <v>1.0954686785378971E-5</v>
      </c>
      <c r="P243" s="103">
        <f t="shared" si="332"/>
        <v>1.4088074151075821E-5</v>
      </c>
      <c r="Q243" s="103">
        <f t="shared" si="332"/>
        <v>1.7606517853971575E-5</v>
      </c>
      <c r="R243" s="103">
        <f t="shared" si="332"/>
        <v>2.3228043342551013E-5</v>
      </c>
      <c r="S243" s="103">
        <f t="shared" si="332"/>
        <v>2.5480166987927805E-5</v>
      </c>
      <c r="T243" s="103">
        <f t="shared" si="332"/>
        <v>3.1534847914222884E-5</v>
      </c>
      <c r="U243" s="103">
        <f t="shared" si="332"/>
        <v>3.7708753343342053E-5</v>
      </c>
      <c r="V243" s="103">
        <f t="shared" si="332"/>
        <v>4.7834901954767096E-5</v>
      </c>
      <c r="W243" s="103">
        <f t="shared" ref="W243" si="333">IF(W25=0,0,W25/W$19)</f>
        <v>7.6866899773722318E-5</v>
      </c>
      <c r="DA243" s="191"/>
    </row>
    <row r="244" spans="1:105" ht="11.45" customHeight="1" x14ac:dyDescent="0.25">
      <c r="A244" s="155" t="s">
        <v>158</v>
      </c>
      <c r="B244" s="156">
        <f t="shared" ref="B244:K244" si="334">IF(B26=0,0,B26/B$19)</f>
        <v>0.99014328016789577</v>
      </c>
      <c r="C244" s="156">
        <f t="shared" si="334"/>
        <v>0.99002766178790746</v>
      </c>
      <c r="D244" s="156">
        <f t="shared" si="334"/>
        <v>0.99004930110222622</v>
      </c>
      <c r="E244" s="156">
        <f t="shared" si="334"/>
        <v>0.99005153471556651</v>
      </c>
      <c r="F244" s="156">
        <f t="shared" si="334"/>
        <v>0.99052377070281361</v>
      </c>
      <c r="G244" s="156">
        <f t="shared" si="334"/>
        <v>0.99048077544026525</v>
      </c>
      <c r="H244" s="156">
        <f t="shared" si="334"/>
        <v>0.99106060901090076</v>
      </c>
      <c r="I244" s="156">
        <f t="shared" si="334"/>
        <v>0.99155393358267141</v>
      </c>
      <c r="J244" s="156">
        <f t="shared" si="334"/>
        <v>0.99207904089371834</v>
      </c>
      <c r="K244" s="156">
        <f t="shared" si="334"/>
        <v>0.99089041165540959</v>
      </c>
      <c r="L244" s="156">
        <f t="shared" ref="L244" si="335">IF(L26=0,0,L26/L$19)</f>
        <v>0.99129171076462141</v>
      </c>
      <c r="M244" s="156">
        <f t="shared" ref="M244:V244" si="336">IF(M26=0,0,M26/M$19)</f>
        <v>0.99139642845455522</v>
      </c>
      <c r="N244" s="156">
        <f t="shared" si="336"/>
        <v>0.9910933936387144</v>
      </c>
      <c r="O244" s="156">
        <f t="shared" si="336"/>
        <v>0.99091698296259334</v>
      </c>
      <c r="P244" s="156">
        <f t="shared" si="336"/>
        <v>0.99077117830962191</v>
      </c>
      <c r="Q244" s="156">
        <f t="shared" si="336"/>
        <v>0.9908693854199051</v>
      </c>
      <c r="R244" s="156">
        <f t="shared" si="336"/>
        <v>0.99097993709371357</v>
      </c>
      <c r="S244" s="156">
        <f t="shared" si="336"/>
        <v>0.99132369206404403</v>
      </c>
      <c r="T244" s="156">
        <f t="shared" si="336"/>
        <v>0.99116458493927917</v>
      </c>
      <c r="U244" s="156">
        <f t="shared" si="336"/>
        <v>0.99103783544162649</v>
      </c>
      <c r="V244" s="156">
        <f t="shared" si="336"/>
        <v>0.99088623384029972</v>
      </c>
      <c r="W244" s="156">
        <f t="shared" ref="W244" si="337">IF(W26=0,0,W26/W$19)</f>
        <v>0.99088672536757771</v>
      </c>
      <c r="DA244" s="213"/>
    </row>
    <row r="245" spans="1:105" ht="11.45" customHeight="1" x14ac:dyDescent="0.25">
      <c r="A245" s="157" t="s">
        <v>27</v>
      </c>
      <c r="B245" s="103">
        <f t="shared" ref="B245:K245" si="338">IF(B27=0,0,B27/B$19)</f>
        <v>0.4589810124927165</v>
      </c>
      <c r="C245" s="103">
        <f t="shared" si="338"/>
        <v>0.44332367350378665</v>
      </c>
      <c r="D245" s="103">
        <f t="shared" si="338"/>
        <v>0.43340539525699728</v>
      </c>
      <c r="E245" s="103">
        <f t="shared" si="338"/>
        <v>0.43659095461551689</v>
      </c>
      <c r="F245" s="103">
        <f t="shared" si="338"/>
        <v>0.38845759345750253</v>
      </c>
      <c r="G245" s="103">
        <f t="shared" si="338"/>
        <v>0.38277788488181019</v>
      </c>
      <c r="H245" s="103">
        <f t="shared" si="338"/>
        <v>0.40371729829188718</v>
      </c>
      <c r="I245" s="103">
        <f t="shared" si="338"/>
        <v>0.37925738867176084</v>
      </c>
      <c r="J245" s="103">
        <f t="shared" si="338"/>
        <v>0.35186419839620847</v>
      </c>
      <c r="K245" s="103">
        <f t="shared" si="338"/>
        <v>0.37415286984867768</v>
      </c>
      <c r="L245" s="103">
        <f t="shared" ref="L245" si="339">IF(L27=0,0,L27/L$19)</f>
        <v>0.36429766548217124</v>
      </c>
      <c r="M245" s="103">
        <f t="shared" ref="M245:V245" si="340">IF(M27=0,0,M27/M$19)</f>
        <v>0.36722450858991801</v>
      </c>
      <c r="N245" s="103">
        <f t="shared" si="340"/>
        <v>0.36802499163709568</v>
      </c>
      <c r="O245" s="103">
        <f t="shared" si="340"/>
        <v>0.35595631778478259</v>
      </c>
      <c r="P245" s="103">
        <f t="shared" si="340"/>
        <v>0.3675574911437226</v>
      </c>
      <c r="Q245" s="103">
        <f t="shared" si="340"/>
        <v>0.37010801443841301</v>
      </c>
      <c r="R245" s="103">
        <f t="shared" si="340"/>
        <v>0.37943865833799473</v>
      </c>
      <c r="S245" s="103">
        <f t="shared" si="340"/>
        <v>0.36367226418439319</v>
      </c>
      <c r="T245" s="103">
        <f t="shared" si="340"/>
        <v>0.36238290151015884</v>
      </c>
      <c r="U245" s="103">
        <f t="shared" si="340"/>
        <v>0.36327032372511242</v>
      </c>
      <c r="V245" s="103">
        <f t="shared" si="340"/>
        <v>0.36055040628189933</v>
      </c>
      <c r="W245" s="103">
        <f t="shared" ref="W245" si="341">IF(W27=0,0,W27/W$19)</f>
        <v>0.35830594492150902</v>
      </c>
      <c r="DA245" s="191"/>
    </row>
    <row r="246" spans="1:105" ht="11.45" customHeight="1" x14ac:dyDescent="0.25">
      <c r="A246" s="158" t="s">
        <v>116</v>
      </c>
      <c r="B246" s="105">
        <f t="shared" ref="B246:K246" si="342">IF(B28=0,0,B28/B$19)</f>
        <v>0.53116226767517927</v>
      </c>
      <c r="C246" s="105">
        <f t="shared" si="342"/>
        <v>0.54670398828412081</v>
      </c>
      <c r="D246" s="105">
        <f t="shared" si="342"/>
        <v>0.55664390584522894</v>
      </c>
      <c r="E246" s="105">
        <f t="shared" si="342"/>
        <v>0.55346058010004962</v>
      </c>
      <c r="F246" s="105">
        <f t="shared" si="342"/>
        <v>0.60206617724531108</v>
      </c>
      <c r="G246" s="105">
        <f t="shared" si="342"/>
        <v>0.60770289055845517</v>
      </c>
      <c r="H246" s="105">
        <f t="shared" si="342"/>
        <v>0.58734331071901358</v>
      </c>
      <c r="I246" s="105">
        <f t="shared" si="342"/>
        <v>0.61229654491091046</v>
      </c>
      <c r="J246" s="105">
        <f t="shared" si="342"/>
        <v>0.64021484249750982</v>
      </c>
      <c r="K246" s="105">
        <f t="shared" si="342"/>
        <v>0.6167375418067319</v>
      </c>
      <c r="L246" s="105">
        <f t="shared" ref="L246" si="343">IF(L28=0,0,L28/L$19)</f>
        <v>0.62699404528245017</v>
      </c>
      <c r="M246" s="105">
        <f t="shared" ref="M246:V246" si="344">IF(M28=0,0,M28/M$19)</f>
        <v>0.62417191986463727</v>
      </c>
      <c r="N246" s="105">
        <f t="shared" si="344"/>
        <v>0.62306840200161873</v>
      </c>
      <c r="O246" s="105">
        <f t="shared" si="344"/>
        <v>0.63496066517781069</v>
      </c>
      <c r="P246" s="105">
        <f t="shared" si="344"/>
        <v>0.62321368716589942</v>
      </c>
      <c r="Q246" s="105">
        <f t="shared" si="344"/>
        <v>0.6207613709814922</v>
      </c>
      <c r="R246" s="105">
        <f t="shared" si="344"/>
        <v>0.61154127875571895</v>
      </c>
      <c r="S246" s="105">
        <f t="shared" si="344"/>
        <v>0.62765142787965078</v>
      </c>
      <c r="T246" s="105">
        <f t="shared" si="344"/>
        <v>0.62878168342912033</v>
      </c>
      <c r="U246" s="105">
        <f t="shared" si="344"/>
        <v>0.62776751171651413</v>
      </c>
      <c r="V246" s="105">
        <f t="shared" si="344"/>
        <v>0.63033582755840034</v>
      </c>
      <c r="W246" s="105">
        <f t="shared" ref="W246" si="345">IF(W28=0,0,W28/W$19)</f>
        <v>0.63258078044606869</v>
      </c>
      <c r="DA246" s="192"/>
    </row>
    <row r="247" spans="1:105" ht="11.45" customHeight="1" x14ac:dyDescent="0.25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DA247" s="171"/>
    </row>
    <row r="248" spans="1:105" ht="11.45" customHeight="1" x14ac:dyDescent="0.25">
      <c r="A248" s="53" t="s">
        <v>66</v>
      </c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DA248" s="183"/>
    </row>
    <row r="249" spans="1:105" ht="11.45" customHeight="1" x14ac:dyDescent="0.25">
      <c r="A249" s="27" t="s">
        <v>33</v>
      </c>
      <c r="B249" s="46">
        <f t="shared" ref="B249:K249" si="346">IF(B31=0,0,B31/B$31)</f>
        <v>1</v>
      </c>
      <c r="C249" s="46">
        <f t="shared" si="346"/>
        <v>1</v>
      </c>
      <c r="D249" s="46">
        <f t="shared" si="346"/>
        <v>1</v>
      </c>
      <c r="E249" s="46">
        <f t="shared" si="346"/>
        <v>1</v>
      </c>
      <c r="F249" s="46">
        <f t="shared" si="346"/>
        <v>1</v>
      </c>
      <c r="G249" s="46">
        <f t="shared" si="346"/>
        <v>1</v>
      </c>
      <c r="H249" s="46">
        <f t="shared" si="346"/>
        <v>1</v>
      </c>
      <c r="I249" s="46">
        <f t="shared" si="346"/>
        <v>1</v>
      </c>
      <c r="J249" s="46">
        <f t="shared" si="346"/>
        <v>1</v>
      </c>
      <c r="K249" s="46">
        <f t="shared" si="346"/>
        <v>1</v>
      </c>
      <c r="L249" s="46">
        <f t="shared" ref="L249" si="347">IF(L31=0,0,L31/L$31)</f>
        <v>1</v>
      </c>
      <c r="M249" s="46">
        <f t="shared" ref="M249:V249" si="348">IF(M31=0,0,M31/M$31)</f>
        <v>1</v>
      </c>
      <c r="N249" s="46">
        <f t="shared" si="348"/>
        <v>1</v>
      </c>
      <c r="O249" s="46">
        <f t="shared" si="348"/>
        <v>1</v>
      </c>
      <c r="P249" s="46">
        <f t="shared" si="348"/>
        <v>1</v>
      </c>
      <c r="Q249" s="46">
        <f t="shared" si="348"/>
        <v>1</v>
      </c>
      <c r="R249" s="46">
        <f t="shared" si="348"/>
        <v>1</v>
      </c>
      <c r="S249" s="46">
        <f t="shared" si="348"/>
        <v>1</v>
      </c>
      <c r="T249" s="46">
        <f t="shared" si="348"/>
        <v>1</v>
      </c>
      <c r="U249" s="46">
        <f t="shared" si="348"/>
        <v>1</v>
      </c>
      <c r="V249" s="46">
        <f t="shared" si="348"/>
        <v>1</v>
      </c>
      <c r="W249" s="46">
        <f t="shared" ref="W249" si="349">IF(W31=0,0,W31/W$31)</f>
        <v>1</v>
      </c>
      <c r="DA249" s="211"/>
    </row>
    <row r="250" spans="1:105" ht="11.45" customHeight="1" x14ac:dyDescent="0.25">
      <c r="A250" s="153" t="s">
        <v>180</v>
      </c>
      <c r="B250" s="154">
        <f t="shared" ref="B250:K250" si="350">IF(B32=0,0,B32/B$31)</f>
        <v>1.6077193498777027E-2</v>
      </c>
      <c r="C250" s="154">
        <f t="shared" si="350"/>
        <v>1.6281071613278957E-2</v>
      </c>
      <c r="D250" s="154">
        <f t="shared" si="350"/>
        <v>1.6433200776079147E-2</v>
      </c>
      <c r="E250" s="154">
        <f t="shared" si="350"/>
        <v>1.6620346467764436E-2</v>
      </c>
      <c r="F250" s="154">
        <f t="shared" si="350"/>
        <v>1.7312610662994297E-2</v>
      </c>
      <c r="G250" s="154">
        <f t="shared" si="350"/>
        <v>1.7533303162393692E-2</v>
      </c>
      <c r="H250" s="154">
        <f t="shared" si="350"/>
        <v>1.7966478441431951E-2</v>
      </c>
      <c r="I250" s="154">
        <f t="shared" si="350"/>
        <v>1.8328476491861589E-2</v>
      </c>
      <c r="J250" s="154">
        <f t="shared" si="350"/>
        <v>1.9674045087199218E-2</v>
      </c>
      <c r="K250" s="154">
        <f t="shared" si="350"/>
        <v>2.0562587285011199E-2</v>
      </c>
      <c r="L250" s="154">
        <f t="shared" ref="L250" si="351">IF(L32=0,0,L32/L$31)</f>
        <v>2.0977516019285353E-2</v>
      </c>
      <c r="M250" s="154">
        <f t="shared" ref="M250:V250" si="352">IF(M32=0,0,M32/M$31)</f>
        <v>2.1379961495924839E-2</v>
      </c>
      <c r="N250" s="154">
        <f t="shared" si="352"/>
        <v>2.2483627403407595E-2</v>
      </c>
      <c r="O250" s="154">
        <f t="shared" si="352"/>
        <v>2.2683513007194553E-2</v>
      </c>
      <c r="P250" s="154">
        <f t="shared" si="352"/>
        <v>2.2766828288145979E-2</v>
      </c>
      <c r="Q250" s="154">
        <f t="shared" si="352"/>
        <v>2.3049351945383094E-2</v>
      </c>
      <c r="R250" s="154">
        <f t="shared" si="352"/>
        <v>2.309559836340689E-2</v>
      </c>
      <c r="S250" s="154">
        <f t="shared" si="352"/>
        <v>2.1517209686951078E-2</v>
      </c>
      <c r="T250" s="154">
        <f t="shared" si="352"/>
        <v>2.0900138837865217E-2</v>
      </c>
      <c r="U250" s="154">
        <f t="shared" si="352"/>
        <v>2.2758918205496442E-2</v>
      </c>
      <c r="V250" s="154">
        <f t="shared" si="352"/>
        <v>2.2542658364343115E-2</v>
      </c>
      <c r="W250" s="154">
        <f t="shared" ref="W250" si="353">IF(W32=0,0,W32/W$31)</f>
        <v>2.2380496068795219E-2</v>
      </c>
      <c r="DA250" s="212"/>
    </row>
    <row r="251" spans="1:105" ht="11.45" customHeight="1" x14ac:dyDescent="0.25">
      <c r="A251" s="155" t="s">
        <v>20</v>
      </c>
      <c r="B251" s="156">
        <f t="shared" ref="B251:K251" si="354">IF(B33=0,0,B33/B$31)</f>
        <v>0.97584742188859919</v>
      </c>
      <c r="C251" s="156">
        <f t="shared" si="354"/>
        <v>0.97563081553375819</v>
      </c>
      <c r="D251" s="156">
        <f t="shared" si="354"/>
        <v>0.97532783839940551</v>
      </c>
      <c r="E251" s="156">
        <f t="shared" si="354"/>
        <v>0.97498033257592986</v>
      </c>
      <c r="F251" s="156">
        <f t="shared" si="354"/>
        <v>0.97441788347332581</v>
      </c>
      <c r="G251" s="156">
        <f t="shared" si="354"/>
        <v>0.97433477431423809</v>
      </c>
      <c r="H251" s="156">
        <f t="shared" si="354"/>
        <v>0.9740681484599597</v>
      </c>
      <c r="I251" s="156">
        <f t="shared" si="354"/>
        <v>0.97338933171834885</v>
      </c>
      <c r="J251" s="156">
        <f t="shared" si="354"/>
        <v>0.97201705299333585</v>
      </c>
      <c r="K251" s="156">
        <f t="shared" si="354"/>
        <v>0.97170369588169347</v>
      </c>
      <c r="L251" s="156">
        <f t="shared" ref="L251" si="355">IF(L33=0,0,L33/L$31)</f>
        <v>0.97070509906103275</v>
      </c>
      <c r="M251" s="156">
        <f t="shared" ref="M251:V251" si="356">IF(M33=0,0,M33/M$31)</f>
        <v>0.97045344137720957</v>
      </c>
      <c r="N251" s="156">
        <f t="shared" si="356"/>
        <v>0.96932116391339318</v>
      </c>
      <c r="O251" s="156">
        <f t="shared" si="356"/>
        <v>0.96919450814692654</v>
      </c>
      <c r="P251" s="156">
        <f t="shared" si="356"/>
        <v>0.96909173945266003</v>
      </c>
      <c r="Q251" s="156">
        <f t="shared" si="356"/>
        <v>0.96886797608653108</v>
      </c>
      <c r="R251" s="156">
        <f t="shared" si="356"/>
        <v>0.96884258570599313</v>
      </c>
      <c r="S251" s="156">
        <f t="shared" si="356"/>
        <v>0.9703291323676958</v>
      </c>
      <c r="T251" s="156">
        <f t="shared" si="356"/>
        <v>0.97112151547161729</v>
      </c>
      <c r="U251" s="156">
        <f t="shared" si="356"/>
        <v>0.96912989896999135</v>
      </c>
      <c r="V251" s="156">
        <f t="shared" si="356"/>
        <v>0.96852612032746832</v>
      </c>
      <c r="W251" s="156">
        <f t="shared" ref="W251" si="357">IF(W33=0,0,W33/W$31)</f>
        <v>0.96909791995165506</v>
      </c>
      <c r="DA251" s="213"/>
    </row>
    <row r="252" spans="1:105" ht="11.45" customHeight="1" x14ac:dyDescent="0.25">
      <c r="A252" s="157" t="s">
        <v>110</v>
      </c>
      <c r="B252" s="103">
        <f t="shared" ref="B252:K252" si="358">IF(B34=0,0,B34/B$31)</f>
        <v>0.55007271588666196</v>
      </c>
      <c r="C252" s="103">
        <f t="shared" si="358"/>
        <v>0.53556416744694835</v>
      </c>
      <c r="D252" s="103">
        <f t="shared" si="358"/>
        <v>0.50647787494318575</v>
      </c>
      <c r="E252" s="103">
        <f t="shared" si="358"/>
        <v>0.47834174516673494</v>
      </c>
      <c r="F252" s="103">
        <f t="shared" si="358"/>
        <v>0.45589138580452732</v>
      </c>
      <c r="G252" s="103">
        <f t="shared" si="358"/>
        <v>0.43001700654944452</v>
      </c>
      <c r="H252" s="103">
        <f t="shared" si="358"/>
        <v>0.41055477612792501</v>
      </c>
      <c r="I252" s="103">
        <f t="shared" si="358"/>
        <v>0.39114389847597864</v>
      </c>
      <c r="J252" s="103">
        <f t="shared" si="358"/>
        <v>0.38712125409040066</v>
      </c>
      <c r="K252" s="103">
        <f t="shared" si="358"/>
        <v>0.37639123895089499</v>
      </c>
      <c r="L252" s="103">
        <f t="shared" ref="L252" si="359">IF(L34=0,0,L34/L$31)</f>
        <v>0.37466398797182338</v>
      </c>
      <c r="M252" s="103">
        <f t="shared" ref="M252:V252" si="360">IF(M34=0,0,M34/M$31)</f>
        <v>0.35569206459915337</v>
      </c>
      <c r="N252" s="103">
        <f t="shared" si="360"/>
        <v>0.35221449517570524</v>
      </c>
      <c r="O252" s="103">
        <f t="shared" si="360"/>
        <v>0.34277745266191667</v>
      </c>
      <c r="P252" s="103">
        <f t="shared" si="360"/>
        <v>0.32637091693655762</v>
      </c>
      <c r="Q252" s="103">
        <f t="shared" si="360"/>
        <v>0.3155500829883599</v>
      </c>
      <c r="R252" s="103">
        <f t="shared" si="360"/>
        <v>0.30428108970152018</v>
      </c>
      <c r="S252" s="103">
        <f t="shared" si="360"/>
        <v>0.29915448040686915</v>
      </c>
      <c r="T252" s="103">
        <f t="shared" si="360"/>
        <v>0.31043835165262545</v>
      </c>
      <c r="U252" s="103">
        <f t="shared" si="360"/>
        <v>0.31695509948801381</v>
      </c>
      <c r="V252" s="103">
        <f t="shared" si="360"/>
        <v>0.31782709034991252</v>
      </c>
      <c r="W252" s="103">
        <f t="shared" ref="W252" si="361">IF(W34=0,0,W34/W$31)</f>
        <v>0.32326855614710537</v>
      </c>
      <c r="DA252" s="191"/>
    </row>
    <row r="253" spans="1:105" ht="11.45" customHeight="1" x14ac:dyDescent="0.25">
      <c r="A253" s="157" t="s">
        <v>111</v>
      </c>
      <c r="B253" s="103">
        <f t="shared" ref="B253:K253" si="362">IF(B35=0,0,B35/B$31)</f>
        <v>0.42203314426577559</v>
      </c>
      <c r="C253" s="103">
        <f t="shared" si="362"/>
        <v>0.43619783817921298</v>
      </c>
      <c r="D253" s="103">
        <f t="shared" si="362"/>
        <v>0.46370241352652147</v>
      </c>
      <c r="E253" s="103">
        <f t="shared" si="362"/>
        <v>0.49054211539666903</v>
      </c>
      <c r="F253" s="103">
        <f t="shared" si="362"/>
        <v>0.51358592823601701</v>
      </c>
      <c r="G253" s="103">
        <f t="shared" si="362"/>
        <v>0.53953980669606927</v>
      </c>
      <c r="H253" s="103">
        <f t="shared" si="362"/>
        <v>0.55864718341797115</v>
      </c>
      <c r="I253" s="103">
        <f t="shared" si="362"/>
        <v>0.57774066280648617</v>
      </c>
      <c r="J253" s="103">
        <f t="shared" si="362"/>
        <v>0.57988110997708653</v>
      </c>
      <c r="K253" s="103">
        <f t="shared" si="362"/>
        <v>0.5907109631594557</v>
      </c>
      <c r="L253" s="103">
        <f t="shared" ref="L253" si="363">IF(L35=0,0,L35/L$31)</f>
        <v>0.59182487148570184</v>
      </c>
      <c r="M253" s="103">
        <f t="shared" ref="M253:V253" si="364">IF(M35=0,0,M35/M$31)</f>
        <v>0.61024267425797696</v>
      </c>
      <c r="N253" s="103">
        <f t="shared" si="364"/>
        <v>0.6121990781186285</v>
      </c>
      <c r="O253" s="103">
        <f t="shared" si="364"/>
        <v>0.62151462001239177</v>
      </c>
      <c r="P253" s="103">
        <f t="shared" si="364"/>
        <v>0.63776220962817298</v>
      </c>
      <c r="Q253" s="103">
        <f t="shared" si="364"/>
        <v>0.64857119203706692</v>
      </c>
      <c r="R253" s="103">
        <f t="shared" si="364"/>
        <v>0.65933633028785543</v>
      </c>
      <c r="S253" s="103">
        <f t="shared" si="364"/>
        <v>0.66462891985995565</v>
      </c>
      <c r="T253" s="103">
        <f t="shared" si="364"/>
        <v>0.6529028607643893</v>
      </c>
      <c r="U253" s="103">
        <f t="shared" si="364"/>
        <v>0.64216936734601393</v>
      </c>
      <c r="V253" s="103">
        <f t="shared" si="364"/>
        <v>0.63682268187646873</v>
      </c>
      <c r="W253" s="103">
        <f t="shared" ref="W253" si="365">IF(W35=0,0,W35/W$31)</f>
        <v>0.62123196403660219</v>
      </c>
      <c r="DA253" s="191"/>
    </row>
    <row r="254" spans="1:105" ht="11.45" customHeight="1" x14ac:dyDescent="0.25">
      <c r="A254" s="157" t="s">
        <v>112</v>
      </c>
      <c r="B254" s="103">
        <f t="shared" ref="B254:K254" si="366">IF(B36=0,0,B36/B$31)</f>
        <v>3.7415617361615501E-3</v>
      </c>
      <c r="C254" s="103">
        <f t="shared" si="366"/>
        <v>3.8688099075969628E-3</v>
      </c>
      <c r="D254" s="103">
        <f t="shared" si="366"/>
        <v>5.1475499296983187E-3</v>
      </c>
      <c r="E254" s="103">
        <f t="shared" si="366"/>
        <v>6.0964720125258158E-3</v>
      </c>
      <c r="F254" s="103">
        <f t="shared" si="366"/>
        <v>4.9405694327814137E-3</v>
      </c>
      <c r="G254" s="103">
        <f t="shared" si="366"/>
        <v>4.7779610687244305E-3</v>
      </c>
      <c r="H254" s="103">
        <f t="shared" si="366"/>
        <v>4.8519819635610148E-3</v>
      </c>
      <c r="I254" s="103">
        <f t="shared" si="366"/>
        <v>4.450092663913551E-3</v>
      </c>
      <c r="J254" s="103">
        <f t="shared" si="366"/>
        <v>4.7480713900041526E-3</v>
      </c>
      <c r="K254" s="103">
        <f t="shared" si="366"/>
        <v>4.2052910084258051E-3</v>
      </c>
      <c r="L254" s="103">
        <f t="shared" ref="L254" si="367">IF(L36=0,0,L36/L$31)</f>
        <v>3.7586744680877075E-3</v>
      </c>
      <c r="M254" s="103">
        <f t="shared" ref="M254:V254" si="368">IF(M36=0,0,M36/M$31)</f>
        <v>3.6227293263399875E-3</v>
      </c>
      <c r="N254" s="103">
        <f t="shared" si="368"/>
        <v>3.7742229280951821E-3</v>
      </c>
      <c r="O254" s="103">
        <f t="shared" si="368"/>
        <v>3.4725205279052714E-3</v>
      </c>
      <c r="P254" s="103">
        <f t="shared" si="368"/>
        <v>3.0410013154846113E-3</v>
      </c>
      <c r="Q254" s="103">
        <f t="shared" si="368"/>
        <v>2.2373260300571707E-3</v>
      </c>
      <c r="R254" s="103">
        <f t="shared" si="368"/>
        <v>1.7782927546625708E-3</v>
      </c>
      <c r="S254" s="103">
        <f t="shared" si="368"/>
        <v>1.6246247998398431E-3</v>
      </c>
      <c r="T254" s="103">
        <f t="shared" si="368"/>
        <v>1.0955938002570819E-3</v>
      </c>
      <c r="U254" s="103">
        <f t="shared" si="368"/>
        <v>8.2463144437392127E-4</v>
      </c>
      <c r="V254" s="103">
        <f t="shared" si="368"/>
        <v>5.6449417584766251E-4</v>
      </c>
      <c r="W254" s="103">
        <f t="shared" ref="W254" si="369">IF(W36=0,0,W36/W$31)</f>
        <v>5.4418631830164025E-4</v>
      </c>
      <c r="DA254" s="191"/>
    </row>
    <row r="255" spans="1:105" ht="11.45" customHeight="1" x14ac:dyDescent="0.25">
      <c r="A255" s="157" t="s">
        <v>113</v>
      </c>
      <c r="B255" s="103">
        <f t="shared" ref="B255:K255" si="370">IF(B37=0,0,B37/B$31)</f>
        <v>0</v>
      </c>
      <c r="C255" s="103">
        <f t="shared" si="370"/>
        <v>0</v>
      </c>
      <c r="D255" s="103">
        <f t="shared" si="370"/>
        <v>0</v>
      </c>
      <c r="E255" s="103">
        <f t="shared" si="370"/>
        <v>0</v>
      </c>
      <c r="F255" s="103">
        <f t="shared" si="370"/>
        <v>0</v>
      </c>
      <c r="G255" s="103">
        <f t="shared" si="370"/>
        <v>0</v>
      </c>
      <c r="H255" s="103">
        <f t="shared" si="370"/>
        <v>1.4206950502463993E-5</v>
      </c>
      <c r="I255" s="103">
        <f t="shared" si="370"/>
        <v>5.46777719705486E-5</v>
      </c>
      <c r="J255" s="103">
        <f t="shared" si="370"/>
        <v>2.6612670743038087E-4</v>
      </c>
      <c r="K255" s="103">
        <f t="shared" si="370"/>
        <v>3.1510639202008935E-4</v>
      </c>
      <c r="L255" s="103">
        <f t="shared" ref="L255" si="371">IF(L37=0,0,L37/L$31)</f>
        <v>3.7134871275956521E-4</v>
      </c>
      <c r="M255" s="103">
        <f t="shared" ref="M255:V255" si="372">IF(M37=0,0,M37/M$31)</f>
        <v>6.5703168533081996E-4</v>
      </c>
      <c r="N255" s="103">
        <f t="shared" si="372"/>
        <v>7.4584480216269018E-4</v>
      </c>
      <c r="O255" s="103">
        <f t="shared" si="372"/>
        <v>8.5635018651432327E-4</v>
      </c>
      <c r="P255" s="103">
        <f t="shared" si="372"/>
        <v>9.811414554276312E-4</v>
      </c>
      <c r="Q255" s="103">
        <f t="shared" si="372"/>
        <v>1.0784800954146778E-3</v>
      </c>
      <c r="R255" s="103">
        <f t="shared" si="372"/>
        <v>1.0367739719989594E-3</v>
      </c>
      <c r="S255" s="103">
        <f t="shared" si="372"/>
        <v>1.0470012391951289E-3</v>
      </c>
      <c r="T255" s="103">
        <f t="shared" si="372"/>
        <v>1.084705490208452E-3</v>
      </c>
      <c r="U255" s="103">
        <f t="shared" si="372"/>
        <v>1.095500621436198E-3</v>
      </c>
      <c r="V255" s="103">
        <f t="shared" si="372"/>
        <v>1.0641065381289626E-3</v>
      </c>
      <c r="W255" s="103">
        <f t="shared" ref="W255" si="373">IF(W37=0,0,W37/W$31)</f>
        <v>9.9708739838886792E-4</v>
      </c>
      <c r="DA255" s="191"/>
    </row>
    <row r="256" spans="1:105" ht="11.45" customHeight="1" x14ac:dyDescent="0.25">
      <c r="A256" s="157" t="s">
        <v>114</v>
      </c>
      <c r="B256" s="103">
        <f t="shared" ref="B256:K256" si="374">IF(B38=0,0,B38/B$31)</f>
        <v>0</v>
      </c>
      <c r="C256" s="103">
        <f t="shared" si="374"/>
        <v>0</v>
      </c>
      <c r="D256" s="103">
        <f t="shared" si="374"/>
        <v>0</v>
      </c>
      <c r="E256" s="103">
        <f t="shared" si="374"/>
        <v>0</v>
      </c>
      <c r="F256" s="103">
        <f t="shared" si="374"/>
        <v>0</v>
      </c>
      <c r="G256" s="103">
        <f t="shared" si="374"/>
        <v>0</v>
      </c>
      <c r="H256" s="103">
        <f t="shared" si="374"/>
        <v>0</v>
      </c>
      <c r="I256" s="103">
        <f t="shared" si="374"/>
        <v>0</v>
      </c>
      <c r="J256" s="103">
        <f t="shared" si="374"/>
        <v>0</v>
      </c>
      <c r="K256" s="103">
        <f t="shared" si="374"/>
        <v>0</v>
      </c>
      <c r="L256" s="103">
        <f t="shared" ref="L256" si="375">IF(L38=0,0,L38/L$31)</f>
        <v>0</v>
      </c>
      <c r="M256" s="103">
        <f t="shared" ref="M256:V256" si="376">IF(M38=0,0,M38/M$31)</f>
        <v>3.91055233881199E-7</v>
      </c>
      <c r="N256" s="103">
        <f t="shared" si="376"/>
        <v>5.1661897624696874E-5</v>
      </c>
      <c r="O256" s="103">
        <f t="shared" si="376"/>
        <v>7.8348262102687714E-5</v>
      </c>
      <c r="P256" s="103">
        <f t="shared" si="376"/>
        <v>1.4482073411620967E-4</v>
      </c>
      <c r="Q256" s="103">
        <f t="shared" si="376"/>
        <v>2.8001293855161371E-4</v>
      </c>
      <c r="R256" s="103">
        <f t="shared" si="376"/>
        <v>3.9229642472409117E-4</v>
      </c>
      <c r="S256" s="103">
        <f t="shared" si="376"/>
        <v>6.707794417093073E-4</v>
      </c>
      <c r="T256" s="103">
        <f t="shared" si="376"/>
        <v>9.5845529301788544E-4</v>
      </c>
      <c r="U256" s="103">
        <f t="shared" si="376"/>
        <v>1.3348497284852582E-3</v>
      </c>
      <c r="V256" s="103">
        <f t="shared" si="376"/>
        <v>2.5003818628747988E-3</v>
      </c>
      <c r="W256" s="103">
        <f t="shared" ref="W256" si="377">IF(W38=0,0,W38/W$31)</f>
        <v>4.7591991922191386E-3</v>
      </c>
      <c r="DA256" s="191"/>
    </row>
    <row r="257" spans="1:105" ht="11.45" customHeight="1" x14ac:dyDescent="0.25">
      <c r="A257" s="157" t="s">
        <v>115</v>
      </c>
      <c r="B257" s="103">
        <f t="shared" ref="B257:K257" si="378">IF(B39=0,0,B39/B$31)</f>
        <v>0</v>
      </c>
      <c r="C257" s="103">
        <f t="shared" si="378"/>
        <v>0</v>
      </c>
      <c r="D257" s="103">
        <f t="shared" si="378"/>
        <v>0</v>
      </c>
      <c r="E257" s="103">
        <f t="shared" si="378"/>
        <v>0</v>
      </c>
      <c r="F257" s="103">
        <f t="shared" si="378"/>
        <v>0</v>
      </c>
      <c r="G257" s="103">
        <f t="shared" si="378"/>
        <v>0</v>
      </c>
      <c r="H257" s="103">
        <f t="shared" si="378"/>
        <v>0</v>
      </c>
      <c r="I257" s="103">
        <f t="shared" si="378"/>
        <v>0</v>
      </c>
      <c r="J257" s="103">
        <f t="shared" si="378"/>
        <v>4.9082841432402353E-7</v>
      </c>
      <c r="K257" s="103">
        <f t="shared" si="378"/>
        <v>8.1096370896872552E-5</v>
      </c>
      <c r="L257" s="103">
        <f t="shared" ref="L257" si="379">IF(L39=0,0,L39/L$31)</f>
        <v>8.6216422660269213E-5</v>
      </c>
      <c r="M257" s="103">
        <f t="shared" ref="M257:V257" si="380">IF(M39=0,0,M39/M$31)</f>
        <v>2.3855045317454726E-4</v>
      </c>
      <c r="N257" s="103">
        <f t="shared" si="380"/>
        <v>3.3586099117707688E-4</v>
      </c>
      <c r="O257" s="103">
        <f t="shared" si="380"/>
        <v>4.9521649609575533E-4</v>
      </c>
      <c r="P257" s="103">
        <f t="shared" si="380"/>
        <v>7.9164938290107593E-4</v>
      </c>
      <c r="Q257" s="103">
        <f t="shared" si="380"/>
        <v>1.1508819970807889E-3</v>
      </c>
      <c r="R257" s="103">
        <f t="shared" si="380"/>
        <v>2.0178025652319289E-3</v>
      </c>
      <c r="S257" s="103">
        <f t="shared" si="380"/>
        <v>3.2033266201268468E-3</v>
      </c>
      <c r="T257" s="103">
        <f t="shared" si="380"/>
        <v>4.6415484711189317E-3</v>
      </c>
      <c r="U257" s="103">
        <f t="shared" si="380"/>
        <v>6.7504503416681112E-3</v>
      </c>
      <c r="V257" s="103">
        <f t="shared" si="380"/>
        <v>9.7473655242357668E-3</v>
      </c>
      <c r="W257" s="103">
        <f t="shared" ref="W257" si="381">IF(W39=0,0,W39/W$31)</f>
        <v>1.8296926859037891E-2</v>
      </c>
      <c r="DA257" s="191"/>
    </row>
    <row r="258" spans="1:105" ht="11.45" customHeight="1" x14ac:dyDescent="0.25">
      <c r="A258" s="155" t="s">
        <v>21</v>
      </c>
      <c r="B258" s="156">
        <f t="shared" ref="B258:K258" si="382">IF(B40=0,0,B40/B$31)</f>
        <v>8.0753846126238003E-3</v>
      </c>
      <c r="C258" s="156">
        <f t="shared" si="382"/>
        <v>8.0881128529628667E-3</v>
      </c>
      <c r="D258" s="156">
        <f t="shared" si="382"/>
        <v>8.2389608245152946E-3</v>
      </c>
      <c r="E258" s="156">
        <f t="shared" si="382"/>
        <v>8.3993209563057881E-3</v>
      </c>
      <c r="F258" s="156">
        <f t="shared" si="382"/>
        <v>8.2695058636798619E-3</v>
      </c>
      <c r="G258" s="156">
        <f t="shared" si="382"/>
        <v>8.1319225233682981E-3</v>
      </c>
      <c r="H258" s="156">
        <f t="shared" si="382"/>
        <v>7.9653730986083068E-3</v>
      </c>
      <c r="I258" s="156">
        <f t="shared" si="382"/>
        <v>8.2821917897895649E-3</v>
      </c>
      <c r="J258" s="156">
        <f t="shared" si="382"/>
        <v>8.3089019194649231E-3</v>
      </c>
      <c r="K258" s="156">
        <f t="shared" si="382"/>
        <v>7.7337168332952955E-3</v>
      </c>
      <c r="L258" s="156">
        <f t="shared" ref="L258" si="383">IF(L40=0,0,L40/L$31)</f>
        <v>8.3173849196819111E-3</v>
      </c>
      <c r="M258" s="156">
        <f t="shared" ref="M258:V258" si="384">IF(M40=0,0,M40/M$31)</f>
        <v>8.1665971268656511E-3</v>
      </c>
      <c r="N258" s="156">
        <f t="shared" si="384"/>
        <v>8.1952086831992201E-3</v>
      </c>
      <c r="O258" s="156">
        <f t="shared" si="384"/>
        <v>8.1219788458789313E-3</v>
      </c>
      <c r="P258" s="156">
        <f t="shared" si="384"/>
        <v>8.1414322591939862E-3</v>
      </c>
      <c r="Q258" s="156">
        <f t="shared" si="384"/>
        <v>8.0826719680858403E-3</v>
      </c>
      <c r="R258" s="156">
        <f t="shared" si="384"/>
        <v>8.0618159306000622E-3</v>
      </c>
      <c r="S258" s="156">
        <f t="shared" si="384"/>
        <v>8.1536579453531256E-3</v>
      </c>
      <c r="T258" s="156">
        <f t="shared" si="384"/>
        <v>7.9783456905175056E-3</v>
      </c>
      <c r="U258" s="156">
        <f t="shared" si="384"/>
        <v>8.1111828245121684E-3</v>
      </c>
      <c r="V258" s="156">
        <f t="shared" si="384"/>
        <v>8.9312213081885784E-3</v>
      </c>
      <c r="W258" s="156">
        <f t="shared" ref="W258" si="385">IF(W40=0,0,W40/W$31)</f>
        <v>8.5215839795497739E-3</v>
      </c>
      <c r="DA258" s="213"/>
    </row>
    <row r="259" spans="1:105" ht="11.45" customHeight="1" x14ac:dyDescent="0.25">
      <c r="A259" s="157" t="s">
        <v>110</v>
      </c>
      <c r="B259" s="103">
        <f t="shared" ref="B259:K259" si="386">IF(B41=0,0,B41/B$31)</f>
        <v>1.1857053655119578E-5</v>
      </c>
      <c r="C259" s="103">
        <f t="shared" si="386"/>
        <v>1.2823651426387227E-5</v>
      </c>
      <c r="D259" s="103">
        <f t="shared" si="386"/>
        <v>1.1127674072700061E-5</v>
      </c>
      <c r="E259" s="103">
        <f t="shared" si="386"/>
        <v>1.0274454570180539E-5</v>
      </c>
      <c r="F259" s="103">
        <f t="shared" si="386"/>
        <v>8.9175595118300772E-6</v>
      </c>
      <c r="G259" s="103">
        <f t="shared" si="386"/>
        <v>6.9003892893537028E-6</v>
      </c>
      <c r="H259" s="103">
        <f t="shared" si="386"/>
        <v>5.7950281787569772E-6</v>
      </c>
      <c r="I259" s="103">
        <f t="shared" si="386"/>
        <v>6.0317216836601887E-6</v>
      </c>
      <c r="J259" s="103">
        <f t="shared" si="386"/>
        <v>5.0033153372648918E-6</v>
      </c>
      <c r="K259" s="103">
        <f t="shared" si="386"/>
        <v>3.5499142085709417E-6</v>
      </c>
      <c r="L259" s="103">
        <f t="shared" ref="L259" si="387">IF(L41=0,0,L41/L$31)</f>
        <v>3.7814274868954247E-6</v>
      </c>
      <c r="M259" s="103">
        <f t="shared" ref="M259:V259" si="388">IF(M41=0,0,M41/M$31)</f>
        <v>2.7932252314725024E-6</v>
      </c>
      <c r="N259" s="103">
        <f t="shared" si="388"/>
        <v>2.8172892197307316E-6</v>
      </c>
      <c r="O259" s="103">
        <f t="shared" si="388"/>
        <v>1.8329170949303109E-6</v>
      </c>
      <c r="P259" s="103">
        <f t="shared" si="388"/>
        <v>2.279504097695873E-6</v>
      </c>
      <c r="Q259" s="103">
        <f t="shared" si="388"/>
        <v>1.8020693062523014E-6</v>
      </c>
      <c r="R259" s="103">
        <f t="shared" si="388"/>
        <v>2.3674860473108472E-6</v>
      </c>
      <c r="S259" s="103">
        <f t="shared" si="388"/>
        <v>2.3624051718866261E-6</v>
      </c>
      <c r="T259" s="103">
        <f t="shared" si="388"/>
        <v>2.3939721726704166E-6</v>
      </c>
      <c r="U259" s="103">
        <f t="shared" si="388"/>
        <v>2.4047049112880443E-6</v>
      </c>
      <c r="V259" s="103">
        <f t="shared" si="388"/>
        <v>2.0030611825021863E-6</v>
      </c>
      <c r="W259" s="103">
        <f t="shared" ref="W259" si="389">IF(W41=0,0,W41/W$31)</f>
        <v>2.5292882945916408E-6</v>
      </c>
      <c r="DA259" s="191"/>
    </row>
    <row r="260" spans="1:105" ht="11.45" customHeight="1" x14ac:dyDescent="0.25">
      <c r="A260" s="157" t="s">
        <v>111</v>
      </c>
      <c r="B260" s="103">
        <f t="shared" ref="B260:K260" si="390">IF(B42=0,0,B42/B$31)</f>
        <v>7.9803650989850282E-3</v>
      </c>
      <c r="C260" s="103">
        <f t="shared" si="390"/>
        <v>7.9891464627146955E-3</v>
      </c>
      <c r="D260" s="103">
        <f t="shared" si="390"/>
        <v>8.1306022208285714E-3</v>
      </c>
      <c r="E260" s="103">
        <f t="shared" si="390"/>
        <v>8.2844266187540871E-3</v>
      </c>
      <c r="F260" s="103">
        <f t="shared" si="390"/>
        <v>8.1402049168587086E-3</v>
      </c>
      <c r="G260" s="103">
        <f t="shared" si="390"/>
        <v>7.9911473798693882E-3</v>
      </c>
      <c r="H260" s="103">
        <f t="shared" si="390"/>
        <v>7.8165843736401792E-3</v>
      </c>
      <c r="I260" s="103">
        <f t="shared" si="390"/>
        <v>8.0849903082589464E-3</v>
      </c>
      <c r="J260" s="103">
        <f t="shared" si="390"/>
        <v>8.0796990633798596E-3</v>
      </c>
      <c r="K260" s="103">
        <f t="shared" si="390"/>
        <v>7.3178428734216741E-3</v>
      </c>
      <c r="L260" s="103">
        <f t="shared" ref="L260" si="391">IF(L42=0,0,L42/L$31)</f>
        <v>7.7704371052851268E-3</v>
      </c>
      <c r="M260" s="103">
        <f t="shared" ref="M260:V260" si="392">IF(M42=0,0,M42/M$31)</f>
        <v>7.5941344322446947E-3</v>
      </c>
      <c r="N260" s="103">
        <f t="shared" si="392"/>
        <v>7.5780276982987029E-3</v>
      </c>
      <c r="O260" s="103">
        <f t="shared" si="392"/>
        <v>7.4204770111221336E-3</v>
      </c>
      <c r="P260" s="103">
        <f t="shared" si="392"/>
        <v>7.4180185633580895E-3</v>
      </c>
      <c r="Q260" s="103">
        <f t="shared" si="392"/>
        <v>7.3918815430456903E-3</v>
      </c>
      <c r="R260" s="103">
        <f t="shared" si="392"/>
        <v>7.5119302562361287E-3</v>
      </c>
      <c r="S260" s="103">
        <f t="shared" si="392"/>
        <v>7.6404103827434526E-3</v>
      </c>
      <c r="T260" s="103">
        <f t="shared" si="392"/>
        <v>7.4635243301576443E-3</v>
      </c>
      <c r="U260" s="103">
        <f t="shared" si="392"/>
        <v>7.5861560212712358E-3</v>
      </c>
      <c r="V260" s="103">
        <f t="shared" si="392"/>
        <v>8.2795362798893865E-3</v>
      </c>
      <c r="W260" s="103">
        <f t="shared" ref="W260" si="393">IF(W42=0,0,W42/W$31)</f>
        <v>7.9246693798662258E-3</v>
      </c>
      <c r="DA260" s="191"/>
    </row>
    <row r="261" spans="1:105" ht="11.45" customHeight="1" x14ac:dyDescent="0.25">
      <c r="A261" s="157" t="s">
        <v>112</v>
      </c>
      <c r="B261" s="103">
        <f t="shared" ref="B261:K261" si="394">IF(B43=0,0,B43/B$31)</f>
        <v>0</v>
      </c>
      <c r="C261" s="103">
        <f t="shared" si="394"/>
        <v>5.8043584917331944E-6</v>
      </c>
      <c r="D261" s="103">
        <f t="shared" si="394"/>
        <v>1.9040666723361362E-5</v>
      </c>
      <c r="E261" s="103">
        <f t="shared" si="394"/>
        <v>2.767334750837895E-5</v>
      </c>
      <c r="F261" s="103">
        <f t="shared" si="394"/>
        <v>3.6471207935491854E-5</v>
      </c>
      <c r="G261" s="103">
        <f t="shared" si="394"/>
        <v>5.2984740545185388E-5</v>
      </c>
      <c r="H261" s="103">
        <f t="shared" si="394"/>
        <v>6.5054399146905907E-5</v>
      </c>
      <c r="I261" s="103">
        <f t="shared" si="394"/>
        <v>8.4976166343377502E-5</v>
      </c>
      <c r="J261" s="103">
        <f t="shared" si="394"/>
        <v>1.0086053604403088E-4</v>
      </c>
      <c r="K261" s="103">
        <f t="shared" si="394"/>
        <v>1.1910538287511179E-4</v>
      </c>
      <c r="L261" s="103">
        <f t="shared" ref="L261" si="395">IF(L43=0,0,L43/L$31)</f>
        <v>1.4502759095812637E-4</v>
      </c>
      <c r="M261" s="103">
        <f t="shared" ref="M261:V261" si="396">IF(M43=0,0,M43/M$31)</f>
        <v>1.5547005568415905E-4</v>
      </c>
      <c r="N261" s="103">
        <f t="shared" si="396"/>
        <v>1.5839338369250135E-4</v>
      </c>
      <c r="O261" s="103">
        <f t="shared" si="396"/>
        <v>1.5212272554089088E-4</v>
      </c>
      <c r="P261" s="103">
        <f t="shared" si="396"/>
        <v>1.4440767058419282E-4</v>
      </c>
      <c r="Q261" s="103">
        <f t="shared" si="396"/>
        <v>1.1515404547988089E-4</v>
      </c>
      <c r="R261" s="103">
        <f t="shared" si="396"/>
        <v>9.229824122812358E-5</v>
      </c>
      <c r="S261" s="103">
        <f t="shared" si="396"/>
        <v>7.4107315526950664E-5</v>
      </c>
      <c r="T261" s="103">
        <f t="shared" si="396"/>
        <v>7.4346578961700179E-5</v>
      </c>
      <c r="U261" s="103">
        <f t="shared" si="396"/>
        <v>6.1933481204424474E-6</v>
      </c>
      <c r="V261" s="103">
        <f t="shared" si="396"/>
        <v>6.8097606488189978E-6</v>
      </c>
      <c r="W261" s="103">
        <f t="shared" ref="W261" si="397">IF(W43=0,0,W43/W$31)</f>
        <v>5.9855450135534279E-6</v>
      </c>
      <c r="DA261" s="191"/>
    </row>
    <row r="262" spans="1:105" ht="11.45" customHeight="1" x14ac:dyDescent="0.25">
      <c r="A262" s="157" t="s">
        <v>113</v>
      </c>
      <c r="B262" s="103">
        <f t="shared" ref="B262:K262" si="398">IF(B44=0,0,B44/B$31)</f>
        <v>0</v>
      </c>
      <c r="C262" s="103">
        <f t="shared" si="398"/>
        <v>0</v>
      </c>
      <c r="D262" s="103">
        <f t="shared" si="398"/>
        <v>0</v>
      </c>
      <c r="E262" s="103">
        <f t="shared" si="398"/>
        <v>0</v>
      </c>
      <c r="F262" s="103">
        <f t="shared" si="398"/>
        <v>1.1282478334736047E-5</v>
      </c>
      <c r="G262" s="103">
        <f t="shared" si="398"/>
        <v>9.4144480789111484E-6</v>
      </c>
      <c r="H262" s="103">
        <f t="shared" si="398"/>
        <v>5.6763641514508541E-6</v>
      </c>
      <c r="I262" s="103">
        <f t="shared" si="398"/>
        <v>4.0963595675171312E-5</v>
      </c>
      <c r="J262" s="103">
        <f t="shared" si="398"/>
        <v>5.604024360486037E-5</v>
      </c>
      <c r="K262" s="103">
        <f t="shared" si="398"/>
        <v>2.2168473038764998E-4</v>
      </c>
      <c r="L262" s="103">
        <f t="shared" ref="L262" si="399">IF(L44=0,0,L44/L$31)</f>
        <v>3.2257384637620679E-4</v>
      </c>
      <c r="M262" s="103">
        <f t="shared" ref="M262:V262" si="400">IF(M44=0,0,M44/M$31)</f>
        <v>3.3770291851296019E-4</v>
      </c>
      <c r="N262" s="103">
        <f t="shared" si="400"/>
        <v>3.7269032509444947E-4</v>
      </c>
      <c r="O262" s="103">
        <f t="shared" si="400"/>
        <v>4.5670632308427833E-4</v>
      </c>
      <c r="P262" s="103">
        <f t="shared" si="400"/>
        <v>4.9305248774745777E-4</v>
      </c>
      <c r="Q262" s="103">
        <f t="shared" si="400"/>
        <v>4.8762331464290788E-4</v>
      </c>
      <c r="R262" s="103">
        <f t="shared" si="400"/>
        <v>3.6461892005550741E-4</v>
      </c>
      <c r="S262" s="103">
        <f t="shared" si="400"/>
        <v>3.5108976259198127E-4</v>
      </c>
      <c r="T262" s="103">
        <f t="shared" si="400"/>
        <v>3.4413764904251976E-4</v>
      </c>
      <c r="U262" s="103">
        <f t="shared" si="400"/>
        <v>4.1569957239109774E-4</v>
      </c>
      <c r="V262" s="103">
        <f t="shared" si="400"/>
        <v>5.2468216126919163E-4</v>
      </c>
      <c r="W262" s="103">
        <f t="shared" ref="W262" si="401">IF(W44=0,0,W44/W$31)</f>
        <v>4.7382625567821395E-4</v>
      </c>
      <c r="DA262" s="191"/>
    </row>
    <row r="263" spans="1:105" ht="11.45" customHeight="1" x14ac:dyDescent="0.25">
      <c r="A263" s="157" t="s">
        <v>115</v>
      </c>
      <c r="B263" s="103">
        <f t="shared" ref="B263:K263" si="402">IF(B45=0,0,B45/B$31)</f>
        <v>8.3162459983651457E-5</v>
      </c>
      <c r="C263" s="103">
        <f t="shared" si="402"/>
        <v>8.0338380330051445E-5</v>
      </c>
      <c r="D263" s="103">
        <f t="shared" si="402"/>
        <v>7.8190262890661451E-5</v>
      </c>
      <c r="E263" s="103">
        <f t="shared" si="402"/>
        <v>7.6946535473141446E-5</v>
      </c>
      <c r="F263" s="103">
        <f t="shared" si="402"/>
        <v>7.2629701039096238E-5</v>
      </c>
      <c r="G263" s="103">
        <f t="shared" si="402"/>
        <v>7.1475565585460223E-5</v>
      </c>
      <c r="H263" s="103">
        <f t="shared" si="402"/>
        <v>7.2262933491013716E-5</v>
      </c>
      <c r="I263" s="103">
        <f t="shared" si="402"/>
        <v>6.52299978284099E-5</v>
      </c>
      <c r="J263" s="103">
        <f t="shared" si="402"/>
        <v>6.7298761098908227E-5</v>
      </c>
      <c r="K263" s="103">
        <f t="shared" si="402"/>
        <v>7.1533932402288307E-5</v>
      </c>
      <c r="L263" s="103">
        <f t="shared" ref="L263" si="403">IF(L45=0,0,L45/L$31)</f>
        <v>7.5564949575554062E-5</v>
      </c>
      <c r="M263" s="103">
        <f t="shared" ref="M263:V263" si="404">IF(M45=0,0,M45/M$31)</f>
        <v>7.6496495192364782E-5</v>
      </c>
      <c r="N263" s="103">
        <f t="shared" si="404"/>
        <v>8.3279986893836536E-5</v>
      </c>
      <c r="O263" s="103">
        <f t="shared" si="404"/>
        <v>9.0839869036698427E-5</v>
      </c>
      <c r="P263" s="103">
        <f t="shared" si="404"/>
        <v>8.3674033406548238E-5</v>
      </c>
      <c r="Q263" s="103">
        <f t="shared" si="404"/>
        <v>8.6210995611110065E-5</v>
      </c>
      <c r="R263" s="103">
        <f t="shared" si="404"/>
        <v>9.0601027032991943E-5</v>
      </c>
      <c r="S263" s="103">
        <f t="shared" si="404"/>
        <v>8.5688079318854501E-5</v>
      </c>
      <c r="T263" s="103">
        <f t="shared" si="404"/>
        <v>9.394316018297091E-5</v>
      </c>
      <c r="U263" s="103">
        <f t="shared" si="404"/>
        <v>1.0072917781810455E-4</v>
      </c>
      <c r="V263" s="103">
        <f t="shared" si="404"/>
        <v>1.1819004519867895E-4</v>
      </c>
      <c r="W263" s="103">
        <f t="shared" ref="W263" si="405">IF(W45=0,0,W45/W$31)</f>
        <v>1.1457351069718838E-4</v>
      </c>
      <c r="DA263" s="191"/>
    </row>
    <row r="264" spans="1:105" ht="11.45" customHeight="1" x14ac:dyDescent="0.25">
      <c r="A264" s="27" t="s">
        <v>34</v>
      </c>
      <c r="B264" s="46">
        <f t="shared" ref="B264:K264" si="406">IF(B46=0,0,B46/B$46)</f>
        <v>1</v>
      </c>
      <c r="C264" s="46">
        <f t="shared" si="406"/>
        <v>1</v>
      </c>
      <c r="D264" s="46">
        <f t="shared" si="406"/>
        <v>1</v>
      </c>
      <c r="E264" s="46">
        <f t="shared" si="406"/>
        <v>1</v>
      </c>
      <c r="F264" s="46">
        <f t="shared" si="406"/>
        <v>1</v>
      </c>
      <c r="G264" s="46">
        <f t="shared" si="406"/>
        <v>1</v>
      </c>
      <c r="H264" s="46">
        <f t="shared" si="406"/>
        <v>1</v>
      </c>
      <c r="I264" s="46">
        <f t="shared" si="406"/>
        <v>1</v>
      </c>
      <c r="J264" s="46">
        <f t="shared" si="406"/>
        <v>1</v>
      </c>
      <c r="K264" s="46">
        <f t="shared" si="406"/>
        <v>1</v>
      </c>
      <c r="L264" s="46">
        <f t="shared" ref="L264" si="407">IF(L46=0,0,L46/L$46)</f>
        <v>1</v>
      </c>
      <c r="M264" s="46">
        <f t="shared" ref="M264:V264" si="408">IF(M46=0,0,M46/M$46)</f>
        <v>1</v>
      </c>
      <c r="N264" s="46">
        <f t="shared" si="408"/>
        <v>1</v>
      </c>
      <c r="O264" s="46">
        <f t="shared" si="408"/>
        <v>1</v>
      </c>
      <c r="P264" s="46">
        <f t="shared" si="408"/>
        <v>1</v>
      </c>
      <c r="Q264" s="46">
        <f t="shared" si="408"/>
        <v>1</v>
      </c>
      <c r="R264" s="46">
        <f t="shared" si="408"/>
        <v>1</v>
      </c>
      <c r="S264" s="46">
        <f t="shared" si="408"/>
        <v>1</v>
      </c>
      <c r="T264" s="46">
        <f t="shared" si="408"/>
        <v>1</v>
      </c>
      <c r="U264" s="46">
        <f t="shared" si="408"/>
        <v>1</v>
      </c>
      <c r="V264" s="46">
        <f t="shared" si="408"/>
        <v>1</v>
      </c>
      <c r="W264" s="46">
        <f t="shared" ref="W264" si="409">IF(W46=0,0,W46/W$46)</f>
        <v>1</v>
      </c>
      <c r="DA264" s="211"/>
    </row>
    <row r="265" spans="1:105" ht="11.45" customHeight="1" x14ac:dyDescent="0.25">
      <c r="A265" s="153" t="s">
        <v>156</v>
      </c>
      <c r="B265" s="154">
        <f t="shared" ref="B265:K265" si="410">IF(B47=0,0,B47/B$46)</f>
        <v>0.60660333623951612</v>
      </c>
      <c r="C265" s="154">
        <f t="shared" si="410"/>
        <v>0.61236505503433258</v>
      </c>
      <c r="D265" s="154">
        <f t="shared" si="410"/>
        <v>0.61850665580510089</v>
      </c>
      <c r="E265" s="154">
        <f t="shared" si="410"/>
        <v>0.61678159349604711</v>
      </c>
      <c r="F265" s="154">
        <f t="shared" si="410"/>
        <v>0.60783855614688198</v>
      </c>
      <c r="G265" s="154">
        <f t="shared" si="410"/>
        <v>0.61197758947974512</v>
      </c>
      <c r="H265" s="154">
        <f t="shared" si="410"/>
        <v>0.59319596582102774</v>
      </c>
      <c r="I265" s="154">
        <f t="shared" si="410"/>
        <v>0.58328886544010106</v>
      </c>
      <c r="J265" s="154">
        <f t="shared" si="410"/>
        <v>0.56675717013734228</v>
      </c>
      <c r="K265" s="154">
        <f t="shared" si="410"/>
        <v>0.59291287313683982</v>
      </c>
      <c r="L265" s="154">
        <f t="shared" ref="L265" si="411">IF(L47=0,0,L47/L$46)</f>
        <v>0.59068831667005117</v>
      </c>
      <c r="M265" s="154">
        <f t="shared" ref="M265:V265" si="412">IF(M47=0,0,M47/M$46)</f>
        <v>0.58725056817617471</v>
      </c>
      <c r="N265" s="154">
        <f t="shared" si="412"/>
        <v>0.59366605939529515</v>
      </c>
      <c r="O265" s="154">
        <f t="shared" si="412"/>
        <v>0.59775663954215208</v>
      </c>
      <c r="P265" s="154">
        <f t="shared" si="412"/>
        <v>0.60365276051706052</v>
      </c>
      <c r="Q265" s="154">
        <f t="shared" si="412"/>
        <v>0.5988133540541265</v>
      </c>
      <c r="R265" s="154">
        <f t="shared" si="412"/>
        <v>0.59584976454502503</v>
      </c>
      <c r="S265" s="154">
        <f t="shared" si="412"/>
        <v>0.58768824631801897</v>
      </c>
      <c r="T265" s="154">
        <f t="shared" si="412"/>
        <v>0.59165606719817099</v>
      </c>
      <c r="U265" s="154">
        <f t="shared" si="412"/>
        <v>0.59545820184808507</v>
      </c>
      <c r="V265" s="154">
        <f t="shared" si="412"/>
        <v>0.59983103264259785</v>
      </c>
      <c r="W265" s="154">
        <f t="shared" ref="W265" si="413">IF(W47=0,0,W47/W$46)</f>
        <v>0.60072664079554183</v>
      </c>
      <c r="DA265" s="212"/>
    </row>
    <row r="266" spans="1:105" ht="11.45" customHeight="1" x14ac:dyDescent="0.25">
      <c r="A266" s="157" t="s">
        <v>110</v>
      </c>
      <c r="B266" s="103">
        <f t="shared" ref="B266:K266" si="414">IF(B48=0,0,B48/B$46)</f>
        <v>8.8716962790248349E-2</v>
      </c>
      <c r="C266" s="103">
        <f t="shared" si="414"/>
        <v>7.7892851233448107E-2</v>
      </c>
      <c r="D266" s="103">
        <f t="shared" si="414"/>
        <v>5.2021566412221346E-2</v>
      </c>
      <c r="E266" s="103">
        <f t="shared" si="414"/>
        <v>4.4514096175762609E-2</v>
      </c>
      <c r="F266" s="103">
        <f t="shared" si="414"/>
        <v>3.8215435059335889E-2</v>
      </c>
      <c r="G266" s="103">
        <f t="shared" si="414"/>
        <v>3.4397926021169555E-2</v>
      </c>
      <c r="H266" s="103">
        <f t="shared" si="414"/>
        <v>3.1044843995744441E-2</v>
      </c>
      <c r="I266" s="103">
        <f t="shared" si="414"/>
        <v>2.8895148652232614E-2</v>
      </c>
      <c r="J266" s="103">
        <f t="shared" si="414"/>
        <v>2.6815513860701308E-2</v>
      </c>
      <c r="K266" s="103">
        <f t="shared" si="414"/>
        <v>2.779332344378686E-2</v>
      </c>
      <c r="L266" s="103">
        <f t="shared" ref="L266" si="415">IF(L48=0,0,L48/L$46)</f>
        <v>2.7086296311085209E-2</v>
      </c>
      <c r="M266" s="103">
        <f t="shared" ref="M266:V266" si="416">IF(M48=0,0,M48/M$46)</f>
        <v>2.7445004644989088E-2</v>
      </c>
      <c r="N266" s="103">
        <f t="shared" si="416"/>
        <v>2.823474667489027E-2</v>
      </c>
      <c r="O266" s="103">
        <f t="shared" si="416"/>
        <v>2.7434267636487326E-2</v>
      </c>
      <c r="P266" s="103">
        <f t="shared" si="416"/>
        <v>2.7613549799145761E-2</v>
      </c>
      <c r="Q266" s="103">
        <f t="shared" si="416"/>
        <v>2.768171370027234E-2</v>
      </c>
      <c r="R266" s="103">
        <f t="shared" si="416"/>
        <v>2.6868169051563175E-2</v>
      </c>
      <c r="S266" s="103">
        <f t="shared" si="416"/>
        <v>2.6511459561258031E-2</v>
      </c>
      <c r="T266" s="103">
        <f t="shared" si="416"/>
        <v>2.7145798645796613E-2</v>
      </c>
      <c r="U266" s="103">
        <f t="shared" si="416"/>
        <v>2.6517481872192154E-2</v>
      </c>
      <c r="V266" s="103">
        <f t="shared" si="416"/>
        <v>2.577025688506945E-2</v>
      </c>
      <c r="W266" s="103">
        <f t="shared" ref="W266" si="417">IF(W48=0,0,W48/W$46)</f>
        <v>2.4696265306446575E-2</v>
      </c>
      <c r="DA266" s="191"/>
    </row>
    <row r="267" spans="1:105" ht="11.45" customHeight="1" x14ac:dyDescent="0.25">
      <c r="A267" s="157" t="s">
        <v>111</v>
      </c>
      <c r="B267" s="103">
        <f t="shared" ref="B267:K267" si="418">IF(B49=0,0,B49/B$46)</f>
        <v>0.51783969692436904</v>
      </c>
      <c r="C267" s="103">
        <f t="shared" si="418"/>
        <v>0.53441317677841971</v>
      </c>
      <c r="D267" s="103">
        <f t="shared" si="418"/>
        <v>0.56643483604271472</v>
      </c>
      <c r="E267" s="103">
        <f t="shared" si="418"/>
        <v>0.57220321739177471</v>
      </c>
      <c r="F267" s="103">
        <f t="shared" si="418"/>
        <v>0.56953655297240258</v>
      </c>
      <c r="G267" s="103">
        <f t="shared" si="418"/>
        <v>0.57735578786234809</v>
      </c>
      <c r="H267" s="103">
        <f t="shared" si="418"/>
        <v>0.56184376527640634</v>
      </c>
      <c r="I267" s="103">
        <f t="shared" si="418"/>
        <v>0.55398918668564545</v>
      </c>
      <c r="J267" s="103">
        <f t="shared" si="418"/>
        <v>0.53941956232446753</v>
      </c>
      <c r="K267" s="103">
        <f t="shared" si="418"/>
        <v>0.56472188881630203</v>
      </c>
      <c r="L267" s="103">
        <f t="shared" ref="L267" si="419">IF(L49=0,0,L49/L$46)</f>
        <v>0.56318520363462732</v>
      </c>
      <c r="M267" s="103">
        <f t="shared" ref="M267:V267" si="420">IF(M49=0,0,M49/M$46)</f>
        <v>0.55932770954506739</v>
      </c>
      <c r="N267" s="103">
        <f t="shared" si="420"/>
        <v>0.56446484886029979</v>
      </c>
      <c r="O267" s="103">
        <f t="shared" si="420"/>
        <v>0.56808118542311703</v>
      </c>
      <c r="P267" s="103">
        <f t="shared" si="420"/>
        <v>0.57349521532370751</v>
      </c>
      <c r="Q267" s="103">
        <f t="shared" si="420"/>
        <v>0.56832789976957987</v>
      </c>
      <c r="R267" s="103">
        <f t="shared" si="420"/>
        <v>0.56477762404374332</v>
      </c>
      <c r="S267" s="103">
        <f t="shared" si="420"/>
        <v>0.55691492645394736</v>
      </c>
      <c r="T267" s="103">
        <f t="shared" si="420"/>
        <v>0.55975184720551507</v>
      </c>
      <c r="U267" s="103">
        <f t="shared" si="420"/>
        <v>0.56378431786007754</v>
      </c>
      <c r="V267" s="103">
        <f t="shared" si="420"/>
        <v>0.56823094807928975</v>
      </c>
      <c r="W267" s="103">
        <f t="shared" ref="W267" si="421">IF(W49=0,0,W49/W$46)</f>
        <v>0.56791544805255567</v>
      </c>
      <c r="DA267" s="191"/>
    </row>
    <row r="268" spans="1:105" ht="11.45" customHeight="1" x14ac:dyDescent="0.25">
      <c r="A268" s="157" t="s">
        <v>112</v>
      </c>
      <c r="B268" s="103">
        <f t="shared" ref="B268:K268" si="422">IF(B50=0,0,B50/B$46)</f>
        <v>0</v>
      </c>
      <c r="C268" s="103">
        <f t="shared" si="422"/>
        <v>0</v>
      </c>
      <c r="D268" s="103">
        <f t="shared" si="422"/>
        <v>0</v>
      </c>
      <c r="E268" s="103">
        <f t="shared" si="422"/>
        <v>1.6684362406791603E-5</v>
      </c>
      <c r="F268" s="103">
        <f t="shared" si="422"/>
        <v>4.3449481571763563E-5</v>
      </c>
      <c r="G268" s="103">
        <f t="shared" si="422"/>
        <v>1.8493255769219943E-4</v>
      </c>
      <c r="H268" s="103">
        <f t="shared" si="422"/>
        <v>1.6937535175762518E-4</v>
      </c>
      <c r="I268" s="103">
        <f t="shared" si="422"/>
        <v>1.6118920578181623E-4</v>
      </c>
      <c r="J268" s="103">
        <f t="shared" si="422"/>
        <v>1.4899423509373767E-4</v>
      </c>
      <c r="K268" s="103">
        <f t="shared" si="422"/>
        <v>1.4677732135381718E-4</v>
      </c>
      <c r="L268" s="103">
        <f t="shared" ref="L268" si="423">IF(L50=0,0,L50/L$46)</f>
        <v>1.3534428162615366E-4</v>
      </c>
      <c r="M268" s="103">
        <f t="shared" ref="M268:V268" si="424">IF(M50=0,0,M50/M$46)</f>
        <v>1.2258688905525094E-4</v>
      </c>
      <c r="N268" s="103">
        <f t="shared" si="424"/>
        <v>1.2972604444828472E-4</v>
      </c>
      <c r="O268" s="103">
        <f t="shared" si="424"/>
        <v>1.347139780118991E-4</v>
      </c>
      <c r="P268" s="103">
        <f t="shared" si="424"/>
        <v>1.4778364638604063E-4</v>
      </c>
      <c r="Q268" s="103">
        <f t="shared" si="424"/>
        <v>1.4896227118371244E-4</v>
      </c>
      <c r="R268" s="103">
        <f t="shared" si="424"/>
        <v>2.2428702093677663E-4</v>
      </c>
      <c r="S268" s="103">
        <f t="shared" si="424"/>
        <v>2.2477196565312058E-4</v>
      </c>
      <c r="T268" s="103">
        <f t="shared" si="424"/>
        <v>2.2269400974006493E-4</v>
      </c>
      <c r="U268" s="103">
        <f t="shared" si="424"/>
        <v>2.3837171606234616E-4</v>
      </c>
      <c r="V268" s="103">
        <f t="shared" si="424"/>
        <v>2.7221724571615586E-4</v>
      </c>
      <c r="W268" s="103">
        <f t="shared" ref="W268" si="425">IF(W50=0,0,W50/W$46)</f>
        <v>2.9383641980245762E-4</v>
      </c>
      <c r="DA268" s="191"/>
    </row>
    <row r="269" spans="1:105" ht="11.45" customHeight="1" x14ac:dyDescent="0.25">
      <c r="A269" s="157" t="s">
        <v>113</v>
      </c>
      <c r="B269" s="103">
        <f t="shared" ref="B269:K269" si="426">IF(B51=0,0,B51/B$46)</f>
        <v>0</v>
      </c>
      <c r="C269" s="103">
        <f t="shared" si="426"/>
        <v>0</v>
      </c>
      <c r="D269" s="103">
        <f t="shared" si="426"/>
        <v>0</v>
      </c>
      <c r="E269" s="103">
        <f t="shared" si="426"/>
        <v>0</v>
      </c>
      <c r="F269" s="103">
        <f t="shared" si="426"/>
        <v>0</v>
      </c>
      <c r="G269" s="103">
        <f t="shared" si="426"/>
        <v>0</v>
      </c>
      <c r="H269" s="103">
        <f t="shared" si="426"/>
        <v>1.0420648067928377E-4</v>
      </c>
      <c r="I269" s="103">
        <f t="shared" si="426"/>
        <v>2.0208785667193699E-4</v>
      </c>
      <c r="J269" s="103">
        <f t="shared" si="426"/>
        <v>3.2823581051522445E-4</v>
      </c>
      <c r="K269" s="103">
        <f t="shared" si="426"/>
        <v>1.8221180817937341E-4</v>
      </c>
      <c r="L269" s="103">
        <f t="shared" ref="L269" si="427">IF(L51=0,0,L51/L$46)</f>
        <v>1.7726001143919244E-4</v>
      </c>
      <c r="M269" s="103">
        <f t="shared" ref="M269:V269" si="428">IF(M51=0,0,M51/M$46)</f>
        <v>1.940748388472607E-4</v>
      </c>
      <c r="N269" s="103">
        <f t="shared" si="428"/>
        <v>2.6001798736942599E-4</v>
      </c>
      <c r="O269" s="103">
        <f t="shared" si="428"/>
        <v>1.2038194332506496E-3</v>
      </c>
      <c r="P269" s="103">
        <f t="shared" si="428"/>
        <v>1.2470065385195407E-3</v>
      </c>
      <c r="Q269" s="103">
        <f t="shared" si="428"/>
        <v>1.2177041595208724E-3</v>
      </c>
      <c r="R269" s="103">
        <f t="shared" si="428"/>
        <v>2.0682233510966384E-3</v>
      </c>
      <c r="S269" s="103">
        <f t="shared" si="428"/>
        <v>1.8773519150066989E-3</v>
      </c>
      <c r="T269" s="103">
        <f t="shared" si="428"/>
        <v>1.8837749117705611E-3</v>
      </c>
      <c r="U269" s="103">
        <f t="shared" si="428"/>
        <v>1.7748916715055814E-3</v>
      </c>
      <c r="V269" s="103">
        <f t="shared" si="428"/>
        <v>1.6054591680331909E-3</v>
      </c>
      <c r="W269" s="103">
        <f t="shared" ref="W269" si="429">IF(W51=0,0,W51/W$46)</f>
        <v>1.4428639694345033E-3</v>
      </c>
      <c r="DA269" s="191"/>
    </row>
    <row r="270" spans="1:105" ht="11.45" customHeight="1" x14ac:dyDescent="0.25">
      <c r="A270" s="157" t="s">
        <v>115</v>
      </c>
      <c r="B270" s="103">
        <f t="shared" ref="B270:K270" si="430">IF(B52=0,0,B52/B$46)</f>
        <v>4.6676524898779117E-5</v>
      </c>
      <c r="C270" s="103">
        <f t="shared" si="430"/>
        <v>5.9027022464721519E-5</v>
      </c>
      <c r="D270" s="103">
        <f t="shared" si="430"/>
        <v>5.025335016483797E-5</v>
      </c>
      <c r="E270" s="103">
        <f t="shared" si="430"/>
        <v>4.7595566102978785E-5</v>
      </c>
      <c r="F270" s="103">
        <f t="shared" si="430"/>
        <v>4.3118633571807271E-5</v>
      </c>
      <c r="G270" s="103">
        <f t="shared" si="430"/>
        <v>3.8943038535244118E-5</v>
      </c>
      <c r="H270" s="103">
        <f t="shared" si="430"/>
        <v>3.3774716440131734E-5</v>
      </c>
      <c r="I270" s="103">
        <f t="shared" si="430"/>
        <v>4.1253039769334709E-5</v>
      </c>
      <c r="J270" s="103">
        <f t="shared" si="430"/>
        <v>4.4863906564450083E-5</v>
      </c>
      <c r="K270" s="103">
        <f t="shared" si="430"/>
        <v>6.8671747217944346E-5</v>
      </c>
      <c r="L270" s="103">
        <f t="shared" ref="L270" si="431">IF(L52=0,0,L52/L$46)</f>
        <v>1.04212431273373E-4</v>
      </c>
      <c r="M270" s="103">
        <f t="shared" ref="M270:V270" si="432">IF(M52=0,0,M52/M$46)</f>
        <v>1.6119225821571928E-4</v>
      </c>
      <c r="N270" s="103">
        <f t="shared" si="432"/>
        <v>5.7671982828728756E-4</v>
      </c>
      <c r="O270" s="103">
        <f t="shared" si="432"/>
        <v>9.0265307128526611E-4</v>
      </c>
      <c r="P270" s="103">
        <f t="shared" si="432"/>
        <v>1.1492052093017254E-3</v>
      </c>
      <c r="Q270" s="103">
        <f t="shared" si="432"/>
        <v>1.4370741535697836E-3</v>
      </c>
      <c r="R270" s="103">
        <f t="shared" si="432"/>
        <v>1.9114610776851306E-3</v>
      </c>
      <c r="S270" s="103">
        <f t="shared" si="432"/>
        <v>2.1597364221538399E-3</v>
      </c>
      <c r="T270" s="103">
        <f t="shared" si="432"/>
        <v>2.6519524253486408E-3</v>
      </c>
      <c r="U270" s="103">
        <f t="shared" si="432"/>
        <v>3.1431387282474443E-3</v>
      </c>
      <c r="V270" s="103">
        <f t="shared" si="432"/>
        <v>3.9521512644893914E-3</v>
      </c>
      <c r="W270" s="103">
        <f t="shared" ref="W270" si="433">IF(W52=0,0,W52/W$46)</f>
        <v>6.3782270473027609E-3</v>
      </c>
      <c r="DA270" s="191"/>
    </row>
    <row r="271" spans="1:105" ht="11.45" customHeight="1" x14ac:dyDescent="0.25">
      <c r="A271" s="155" t="s">
        <v>158</v>
      </c>
      <c r="B271" s="156">
        <f t="shared" ref="B271:K271" si="434">IF(B53=0,0,B53/B$46)</f>
        <v>0.39339666376048388</v>
      </c>
      <c r="C271" s="156">
        <f t="shared" si="434"/>
        <v>0.38763494496566736</v>
      </c>
      <c r="D271" s="156">
        <f t="shared" si="434"/>
        <v>0.38149334419489905</v>
      </c>
      <c r="E271" s="156">
        <f t="shared" si="434"/>
        <v>0.38321840650395284</v>
      </c>
      <c r="F271" s="156">
        <f t="shared" si="434"/>
        <v>0.39216144385311796</v>
      </c>
      <c r="G271" s="156">
        <f t="shared" si="434"/>
        <v>0.38802241052025488</v>
      </c>
      <c r="H271" s="156">
        <f t="shared" si="434"/>
        <v>0.40680403417897221</v>
      </c>
      <c r="I271" s="156">
        <f t="shared" si="434"/>
        <v>0.41671113455989878</v>
      </c>
      <c r="J271" s="156">
        <f t="shared" si="434"/>
        <v>0.43324282986265772</v>
      </c>
      <c r="K271" s="156">
        <f t="shared" si="434"/>
        <v>0.40708712686316018</v>
      </c>
      <c r="L271" s="156">
        <f t="shared" ref="L271" si="435">IF(L53=0,0,L53/L$46)</f>
        <v>0.40931168332994872</v>
      </c>
      <c r="M271" s="156">
        <f t="shared" ref="M271:V271" si="436">IF(M53=0,0,M53/M$46)</f>
        <v>0.41274943182382529</v>
      </c>
      <c r="N271" s="156">
        <f t="shared" si="436"/>
        <v>0.4063339406047049</v>
      </c>
      <c r="O271" s="156">
        <f t="shared" si="436"/>
        <v>0.40224336045784775</v>
      </c>
      <c r="P271" s="156">
        <f t="shared" si="436"/>
        <v>0.39634723948293948</v>
      </c>
      <c r="Q271" s="156">
        <f t="shared" si="436"/>
        <v>0.40118664594587339</v>
      </c>
      <c r="R271" s="156">
        <f t="shared" si="436"/>
        <v>0.40415023545497497</v>
      </c>
      <c r="S271" s="156">
        <f t="shared" si="436"/>
        <v>0.41231175368198103</v>
      </c>
      <c r="T271" s="156">
        <f t="shared" si="436"/>
        <v>0.40834393280182896</v>
      </c>
      <c r="U271" s="156">
        <f t="shared" si="436"/>
        <v>0.40454179815191482</v>
      </c>
      <c r="V271" s="156">
        <f t="shared" si="436"/>
        <v>0.40016896735740221</v>
      </c>
      <c r="W271" s="156">
        <f t="shared" ref="W271" si="437">IF(W53=0,0,W53/W$46)</f>
        <v>0.39927335920445817</v>
      </c>
      <c r="DA271" s="213"/>
    </row>
    <row r="272" spans="1:105" ht="11.45" customHeight="1" x14ac:dyDescent="0.25">
      <c r="A272" s="162" t="s">
        <v>27</v>
      </c>
      <c r="B272" s="104">
        <f t="shared" ref="B272:K272" si="438">IF(B54=0,0,B54/B$46)</f>
        <v>0.24015794939690752</v>
      </c>
      <c r="C272" s="104">
        <f t="shared" si="438"/>
        <v>0.23035110222058089</v>
      </c>
      <c r="D272" s="104">
        <f t="shared" si="438"/>
        <v>0.22154095542997365</v>
      </c>
      <c r="E272" s="104">
        <f t="shared" si="438"/>
        <v>0.2229050339932096</v>
      </c>
      <c r="F272" s="104">
        <f t="shared" si="438"/>
        <v>0.20728989823127697</v>
      </c>
      <c r="G272" s="104">
        <f t="shared" si="438"/>
        <v>0.20092225394400087</v>
      </c>
      <c r="H272" s="104">
        <f t="shared" si="438"/>
        <v>0.22110344985393299</v>
      </c>
      <c r="I272" s="104">
        <f t="shared" si="438"/>
        <v>0.21526168545362695</v>
      </c>
      <c r="J272" s="104">
        <f t="shared" si="438"/>
        <v>0.20991415359966289</v>
      </c>
      <c r="K272" s="104">
        <f t="shared" si="438"/>
        <v>0.2073393515909174</v>
      </c>
      <c r="L272" s="104">
        <f t="shared" ref="L272" si="439">IF(L54=0,0,L54/L$46)</f>
        <v>0.20331589510475256</v>
      </c>
      <c r="M272" s="104">
        <f t="shared" ref="M272:V272" si="440">IF(M54=0,0,M54/M$46)</f>
        <v>0.20495385006836339</v>
      </c>
      <c r="N272" s="104">
        <f t="shared" si="440"/>
        <v>0.20197460679307216</v>
      </c>
      <c r="O272" s="104">
        <f t="shared" si="440"/>
        <v>0.19660700061426858</v>
      </c>
      <c r="P272" s="104">
        <f t="shared" si="440"/>
        <v>0.19701936758676913</v>
      </c>
      <c r="Q272" s="104">
        <f t="shared" si="440"/>
        <v>0.20064436590766024</v>
      </c>
      <c r="R272" s="104">
        <f t="shared" si="440"/>
        <v>0.20388511921257468</v>
      </c>
      <c r="S272" s="104">
        <f t="shared" si="440"/>
        <v>0.20233634406015163</v>
      </c>
      <c r="T272" s="104">
        <f t="shared" si="440"/>
        <v>0.20116455733648708</v>
      </c>
      <c r="U272" s="104">
        <f t="shared" si="440"/>
        <v>0.1987296982843102</v>
      </c>
      <c r="V272" s="104">
        <f t="shared" si="440"/>
        <v>0.19168644567138796</v>
      </c>
      <c r="W272" s="104">
        <f t="shared" ref="W272" si="441">IF(W54=0,0,W54/W$46)</f>
        <v>0.1918663288069124</v>
      </c>
      <c r="DA272" s="195"/>
    </row>
    <row r="273" spans="1:105" ht="11.45" customHeight="1" x14ac:dyDescent="0.25">
      <c r="A273" s="158" t="s">
        <v>116</v>
      </c>
      <c r="B273" s="105">
        <f t="shared" ref="B273:K273" si="442">IF(B55=0,0,B55/B$46)</f>
        <v>0.15323871436357636</v>
      </c>
      <c r="C273" s="105">
        <f t="shared" si="442"/>
        <v>0.1572838427450865</v>
      </c>
      <c r="D273" s="105">
        <f t="shared" si="442"/>
        <v>0.15995238876492543</v>
      </c>
      <c r="E273" s="105">
        <f t="shared" si="442"/>
        <v>0.16031337251074326</v>
      </c>
      <c r="F273" s="105">
        <f t="shared" si="442"/>
        <v>0.18487154562184099</v>
      </c>
      <c r="G273" s="105">
        <f t="shared" si="442"/>
        <v>0.18710015657625398</v>
      </c>
      <c r="H273" s="105">
        <f t="shared" si="442"/>
        <v>0.18570058432503925</v>
      </c>
      <c r="I273" s="105">
        <f t="shared" si="442"/>
        <v>0.20144944910627183</v>
      </c>
      <c r="J273" s="105">
        <f t="shared" si="442"/>
        <v>0.22332867626299485</v>
      </c>
      <c r="K273" s="105">
        <f t="shared" si="442"/>
        <v>0.19974777527224274</v>
      </c>
      <c r="L273" s="105">
        <f t="shared" ref="L273" si="443">IF(L55=0,0,L55/L$46)</f>
        <v>0.20599578822519621</v>
      </c>
      <c r="M273" s="105">
        <f t="shared" ref="M273:V273" si="444">IF(M55=0,0,M55/M$46)</f>
        <v>0.20779558175546189</v>
      </c>
      <c r="N273" s="105">
        <f t="shared" si="444"/>
        <v>0.20435933381163271</v>
      </c>
      <c r="O273" s="105">
        <f t="shared" si="444"/>
        <v>0.2056363598435792</v>
      </c>
      <c r="P273" s="105">
        <f t="shared" si="444"/>
        <v>0.19932787189617038</v>
      </c>
      <c r="Q273" s="105">
        <f t="shared" si="444"/>
        <v>0.20054228003821312</v>
      </c>
      <c r="R273" s="105">
        <f t="shared" si="444"/>
        <v>0.20026511624240034</v>
      </c>
      <c r="S273" s="105">
        <f t="shared" si="444"/>
        <v>0.20997540962182942</v>
      </c>
      <c r="T273" s="105">
        <f t="shared" si="444"/>
        <v>0.20717937546534185</v>
      </c>
      <c r="U273" s="105">
        <f t="shared" si="444"/>
        <v>0.20581209986760463</v>
      </c>
      <c r="V273" s="105">
        <f t="shared" si="444"/>
        <v>0.20848252168601425</v>
      </c>
      <c r="W273" s="105">
        <f t="shared" ref="W273" si="445">IF(W55=0,0,W55/W$46)</f>
        <v>0.20740703039754574</v>
      </c>
      <c r="DA273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V26 W6:W27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66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627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DA2" s="208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51</v>
      </c>
      <c r="B4" s="145">
        <f t="shared" ref="B4:K4" si="0">B5+B9+B10+B15</f>
        <v>5886.9970775934971</v>
      </c>
      <c r="C4" s="145">
        <f t="shared" si="0"/>
        <v>6320.9462100061255</v>
      </c>
      <c r="D4" s="145">
        <f t="shared" si="0"/>
        <v>7009.5060210668862</v>
      </c>
      <c r="E4" s="145">
        <f t="shared" si="0"/>
        <v>7491.4215902148017</v>
      </c>
      <c r="F4" s="145">
        <f t="shared" si="0"/>
        <v>7589.3003539911369</v>
      </c>
      <c r="G4" s="145">
        <f t="shared" si="0"/>
        <v>7863.3564551396667</v>
      </c>
      <c r="H4" s="145">
        <f t="shared" si="0"/>
        <v>7664.5703035964743</v>
      </c>
      <c r="I4" s="145">
        <f t="shared" si="0"/>
        <v>7782.1337822739479</v>
      </c>
      <c r="J4" s="145">
        <f t="shared" si="0"/>
        <v>7523.6705004773194</v>
      </c>
      <c r="K4" s="145">
        <f t="shared" si="0"/>
        <v>7333.6330660787062</v>
      </c>
      <c r="L4" s="145">
        <f t="shared" ref="L4" si="1">L5+L9+L10+L15</f>
        <v>7584.5371696925595</v>
      </c>
      <c r="M4" s="145">
        <f t="shared" ref="M4:V4" si="2">M5+M9+M10+M15</f>
        <v>7263.6057869007218</v>
      </c>
      <c r="N4" s="145">
        <f t="shared" si="2"/>
        <v>7236.9240655896838</v>
      </c>
      <c r="O4" s="145">
        <f t="shared" si="2"/>
        <v>7677.8244160866298</v>
      </c>
      <c r="P4" s="145">
        <f t="shared" si="2"/>
        <v>7654.3930664156433</v>
      </c>
      <c r="Q4" s="145">
        <f t="shared" si="2"/>
        <v>7857.5865576410806</v>
      </c>
      <c r="R4" s="145">
        <f t="shared" si="2"/>
        <v>7999.1271575945884</v>
      </c>
      <c r="S4" s="145">
        <f t="shared" si="2"/>
        <v>8087.5282440378696</v>
      </c>
      <c r="T4" s="145">
        <f t="shared" si="2"/>
        <v>8218.5095861978352</v>
      </c>
      <c r="U4" s="145">
        <f t="shared" si="2"/>
        <v>8238.1713808437362</v>
      </c>
      <c r="V4" s="145">
        <f t="shared" si="2"/>
        <v>7205.0083929512411</v>
      </c>
      <c r="W4" s="145">
        <f t="shared" ref="W4" si="3">W5+W9+W10+W15</f>
        <v>7503.865341995298</v>
      </c>
      <c r="DA4" s="206" t="s">
        <v>628</v>
      </c>
    </row>
    <row r="5" spans="1:105" ht="11.45" customHeight="1" x14ac:dyDescent="0.25">
      <c r="A5" s="92" t="s">
        <v>46</v>
      </c>
      <c r="B5" s="97">
        <f t="shared" ref="B5:K5" si="4">SUM(B6:B8)</f>
        <v>5869.6952708512472</v>
      </c>
      <c r="C5" s="97">
        <f t="shared" si="4"/>
        <v>6302.1447979363711</v>
      </c>
      <c r="D5" s="97">
        <f t="shared" si="4"/>
        <v>6989.7678417884781</v>
      </c>
      <c r="E5" s="97">
        <f t="shared" si="4"/>
        <v>7471.3145313843506</v>
      </c>
      <c r="F5" s="97">
        <f t="shared" si="4"/>
        <v>7569.3177987962163</v>
      </c>
      <c r="G5" s="97">
        <f t="shared" si="4"/>
        <v>7788.3738607050727</v>
      </c>
      <c r="H5" s="97">
        <f t="shared" si="4"/>
        <v>7408.8841788478076</v>
      </c>
      <c r="I5" s="97">
        <f t="shared" si="4"/>
        <v>7459.3410146173683</v>
      </c>
      <c r="J5" s="97">
        <f t="shared" si="4"/>
        <v>7126.3404987102313</v>
      </c>
      <c r="K5" s="97">
        <f t="shared" si="4"/>
        <v>6816.4301805674968</v>
      </c>
      <c r="L5" s="97">
        <f t="shared" ref="L5" si="5">SUM(L6:L8)</f>
        <v>7079.9006018916589</v>
      </c>
      <c r="M5" s="97">
        <f t="shared" ref="M5:V5" si="6">SUM(M6:M8)</f>
        <v>6755.2271711091998</v>
      </c>
      <c r="N5" s="97">
        <f t="shared" si="6"/>
        <v>6734.1681857265685</v>
      </c>
      <c r="O5" s="97">
        <f t="shared" si="6"/>
        <v>7160.1137575236444</v>
      </c>
      <c r="P5" s="97">
        <f t="shared" si="6"/>
        <v>7040.6350816852964</v>
      </c>
      <c r="Q5" s="97">
        <f t="shared" si="6"/>
        <v>7185.4625967325883</v>
      </c>
      <c r="R5" s="97">
        <f t="shared" si="6"/>
        <v>7435.8748925193449</v>
      </c>
      <c r="S5" s="97">
        <f t="shared" si="6"/>
        <v>7588.2834049871017</v>
      </c>
      <c r="T5" s="97">
        <f t="shared" si="6"/>
        <v>7702.6056749785039</v>
      </c>
      <c r="U5" s="97">
        <f t="shared" si="6"/>
        <v>7726.8791917454855</v>
      </c>
      <c r="V5" s="97">
        <f t="shared" si="6"/>
        <v>6763.8009458297502</v>
      </c>
      <c r="W5" s="97">
        <f t="shared" ref="W5" si="7">SUM(W6:W8)</f>
        <v>7038.4291487532237</v>
      </c>
      <c r="DA5" s="175"/>
    </row>
    <row r="6" spans="1:105" ht="11.45" customHeight="1" x14ac:dyDescent="0.25">
      <c r="A6" s="128" t="s">
        <v>52</v>
      </c>
      <c r="B6" s="97">
        <v>16.480395528804809</v>
      </c>
      <c r="C6" s="97">
        <v>17.579019776440241</v>
      </c>
      <c r="D6" s="97">
        <v>23.072484952708511</v>
      </c>
      <c r="E6" s="97">
        <v>27.467239896818569</v>
      </c>
      <c r="F6" s="97">
        <v>23.072484952708511</v>
      </c>
      <c r="G6" s="97">
        <v>22.19681857265692</v>
      </c>
      <c r="H6" s="97">
        <v>22.593465176268271</v>
      </c>
      <c r="I6" s="97">
        <v>21.994668959587269</v>
      </c>
      <c r="J6" s="97">
        <v>23.872398968185731</v>
      </c>
      <c r="K6" s="97">
        <v>22.51771281169389</v>
      </c>
      <c r="L6" s="97">
        <v>21.186070507308681</v>
      </c>
      <c r="M6" s="97">
        <v>20.351074806534822</v>
      </c>
      <c r="N6" s="97">
        <v>21.48366294067068</v>
      </c>
      <c r="O6" s="97">
        <v>20.093981083404991</v>
      </c>
      <c r="P6" s="97">
        <v>17.666809974204639</v>
      </c>
      <c r="Q6" s="97">
        <v>13.441186586414441</v>
      </c>
      <c r="R6" s="97">
        <v>12.189853826311261</v>
      </c>
      <c r="S6" s="97">
        <v>11.6049011177988</v>
      </c>
      <c r="T6" s="97">
        <v>8.226397248495271</v>
      </c>
      <c r="U6" s="97">
        <v>5.253310404127256</v>
      </c>
      <c r="V6" s="97">
        <v>3.054600171969045</v>
      </c>
      <c r="W6" s="97">
        <v>2.5082545141874459</v>
      </c>
      <c r="DA6" s="175" t="s">
        <v>629</v>
      </c>
    </row>
    <row r="7" spans="1:105" ht="11.45" customHeight="1" x14ac:dyDescent="0.25">
      <c r="A7" s="128" t="s">
        <v>53</v>
      </c>
      <c r="B7" s="97">
        <v>2012.582373172829</v>
      </c>
      <c r="C7" s="97">
        <v>2021.739724849527</v>
      </c>
      <c r="D7" s="97">
        <v>2179.4496990541702</v>
      </c>
      <c r="E7" s="97">
        <v>2231.3413585554599</v>
      </c>
      <c r="F7" s="97">
        <v>2194.711951848667</v>
      </c>
      <c r="G7" s="97">
        <v>2138.5202923473771</v>
      </c>
      <c r="H7" s="97">
        <v>2056.5827171109199</v>
      </c>
      <c r="I7" s="97">
        <v>2006.4886500429923</v>
      </c>
      <c r="J7" s="97">
        <v>1889.0264832330179</v>
      </c>
      <c r="K7" s="97">
        <v>1778.9358555460014</v>
      </c>
      <c r="L7" s="97">
        <v>1771.4987102321579</v>
      </c>
      <c r="M7" s="97">
        <v>1637.78581255374</v>
      </c>
      <c r="N7" s="97">
        <v>1591.9601891659502</v>
      </c>
      <c r="O7" s="97">
        <v>1565.0239036973339</v>
      </c>
      <c r="P7" s="97">
        <v>1537.3139294926914</v>
      </c>
      <c r="Q7" s="97">
        <v>1553.9981943250216</v>
      </c>
      <c r="R7" s="97">
        <v>1536.0207222699912</v>
      </c>
      <c r="S7" s="97">
        <v>1519.5496990541703</v>
      </c>
      <c r="T7" s="97">
        <v>1576.970249355116</v>
      </c>
      <c r="U7" s="97">
        <v>1570.0793637145307</v>
      </c>
      <c r="V7" s="97">
        <v>1302.451332760103</v>
      </c>
      <c r="W7" s="97">
        <v>1375.1230438521065</v>
      </c>
      <c r="DA7" s="175" t="s">
        <v>630</v>
      </c>
    </row>
    <row r="8" spans="1:105" ht="11.45" customHeight="1" x14ac:dyDescent="0.25">
      <c r="A8" s="128" t="s">
        <v>54</v>
      </c>
      <c r="B8" s="97">
        <v>3840.6325021496132</v>
      </c>
      <c r="C8" s="97">
        <v>4262.8260533104039</v>
      </c>
      <c r="D8" s="97">
        <v>4787.2456577815992</v>
      </c>
      <c r="E8" s="97">
        <v>5212.505932932072</v>
      </c>
      <c r="F8" s="97">
        <v>5351.5333619948406</v>
      </c>
      <c r="G8" s="97">
        <v>5627.6567497850383</v>
      </c>
      <c r="H8" s="97">
        <v>5329.707996560619</v>
      </c>
      <c r="I8" s="97">
        <v>5430.857695614789</v>
      </c>
      <c r="J8" s="97">
        <v>5213.4416165090279</v>
      </c>
      <c r="K8" s="97">
        <v>5014.9766122098017</v>
      </c>
      <c r="L8" s="97">
        <v>5287.2158211521919</v>
      </c>
      <c r="M8" s="97">
        <v>5097.0902837489248</v>
      </c>
      <c r="N8" s="97">
        <v>5120.7243336199481</v>
      </c>
      <c r="O8" s="97">
        <v>5574.9958727429057</v>
      </c>
      <c r="P8" s="97">
        <v>5485.6543422184004</v>
      </c>
      <c r="Q8" s="97">
        <v>5618.023215821152</v>
      </c>
      <c r="R8" s="97">
        <v>5887.6643164230427</v>
      </c>
      <c r="S8" s="97">
        <v>6057.1288048151328</v>
      </c>
      <c r="T8" s="97">
        <v>6117.4090283748928</v>
      </c>
      <c r="U8" s="97">
        <v>6151.5465176268272</v>
      </c>
      <c r="V8" s="97">
        <v>5458.2950128976781</v>
      </c>
      <c r="W8" s="97">
        <v>5660.7978503869299</v>
      </c>
      <c r="DA8" s="175" t="s">
        <v>631</v>
      </c>
    </row>
    <row r="9" spans="1:105" ht="11.45" customHeight="1" x14ac:dyDescent="0.25">
      <c r="A9" s="92" t="s">
        <v>55</v>
      </c>
      <c r="B9" s="97">
        <v>0</v>
      </c>
      <c r="C9" s="97">
        <v>0</v>
      </c>
      <c r="D9" s="97">
        <v>0</v>
      </c>
      <c r="E9" s="97">
        <v>0</v>
      </c>
      <c r="F9" s="97">
        <v>0.34393809114359408</v>
      </c>
      <c r="G9" s="97">
        <v>0.36921754084264818</v>
      </c>
      <c r="H9" s="97">
        <v>0.36087704213241623</v>
      </c>
      <c r="I9" s="97">
        <v>1.7964746345657781</v>
      </c>
      <c r="J9" s="97">
        <v>3.2607050730868439</v>
      </c>
      <c r="K9" s="97">
        <v>7.8607910576096307</v>
      </c>
      <c r="L9" s="97">
        <v>10.84127257093723</v>
      </c>
      <c r="M9" s="97">
        <v>11.609630266552021</v>
      </c>
      <c r="N9" s="97">
        <v>12.720894239036969</v>
      </c>
      <c r="O9" s="97">
        <v>15.4725709372313</v>
      </c>
      <c r="P9" s="97">
        <v>16.773430782459151</v>
      </c>
      <c r="Q9" s="97">
        <v>17.35004299226139</v>
      </c>
      <c r="R9" s="97">
        <v>17.30051590713672</v>
      </c>
      <c r="S9" s="97">
        <v>17.11607910576096</v>
      </c>
      <c r="T9" s="97">
        <v>16.63766122098022</v>
      </c>
      <c r="U9" s="97">
        <v>18.344368013757521</v>
      </c>
      <c r="V9" s="97">
        <v>19.454514187446261</v>
      </c>
      <c r="W9" s="97">
        <v>18.496560619088559</v>
      </c>
      <c r="DA9" s="175" t="s">
        <v>632</v>
      </c>
    </row>
    <row r="10" spans="1:105" ht="11.45" customHeight="1" x14ac:dyDescent="0.25">
      <c r="A10" s="92" t="s">
        <v>56</v>
      </c>
      <c r="B10" s="97">
        <f>SUM(B11:B13)</f>
        <v>15.73602751504729</v>
      </c>
      <c r="C10" s="97">
        <f t="shared" ref="C10:W10" si="8">SUM(C11:C13)</f>
        <v>17.309544282029229</v>
      </c>
      <c r="D10" s="97">
        <f t="shared" si="8"/>
        <v>18.27644024075666</v>
      </c>
      <c r="E10" s="97">
        <f t="shared" si="8"/>
        <v>18.6688736027515</v>
      </c>
      <c r="F10" s="97">
        <f t="shared" si="8"/>
        <v>18.26595012897678</v>
      </c>
      <c r="G10" s="97">
        <f t="shared" si="8"/>
        <v>73.258641444539975</v>
      </c>
      <c r="H10" s="97">
        <f t="shared" si="8"/>
        <v>253.94806534823732</v>
      </c>
      <c r="I10" s="97">
        <f t="shared" si="8"/>
        <v>319.73276010318142</v>
      </c>
      <c r="J10" s="97">
        <f t="shared" si="8"/>
        <v>392.80713671539127</v>
      </c>
      <c r="K10" s="97">
        <f t="shared" si="8"/>
        <v>507.95004299226139</v>
      </c>
      <c r="L10" s="97">
        <f t="shared" si="8"/>
        <v>492.31263972484948</v>
      </c>
      <c r="M10" s="97">
        <f t="shared" si="8"/>
        <v>495.11461736887355</v>
      </c>
      <c r="N10" s="97">
        <f t="shared" si="8"/>
        <v>488.09853826311257</v>
      </c>
      <c r="O10" s="97">
        <f t="shared" si="8"/>
        <v>499.93456577815994</v>
      </c>
      <c r="P10" s="97">
        <f t="shared" si="8"/>
        <v>594.42476354256246</v>
      </c>
      <c r="Q10" s="97">
        <f t="shared" si="8"/>
        <v>651.57325881341342</v>
      </c>
      <c r="R10" s="97">
        <f t="shared" si="8"/>
        <v>541.56749785038676</v>
      </c>
      <c r="S10" s="97">
        <f t="shared" si="8"/>
        <v>476.38366294067066</v>
      </c>
      <c r="T10" s="97">
        <f t="shared" si="8"/>
        <v>491.66397248495269</v>
      </c>
      <c r="U10" s="97">
        <f t="shared" si="8"/>
        <v>482.61349957007735</v>
      </c>
      <c r="V10" s="97">
        <f t="shared" si="8"/>
        <v>407.63069647463453</v>
      </c>
      <c r="W10" s="97">
        <f t="shared" si="8"/>
        <v>420.12459157351674</v>
      </c>
      <c r="DA10" s="175"/>
    </row>
    <row r="11" spans="1:105" ht="11.45" customHeight="1" x14ac:dyDescent="0.25">
      <c r="A11" s="128" t="s">
        <v>57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2.579535683576956E-4</v>
      </c>
      <c r="K11" s="97">
        <v>1.375752364574377E-3</v>
      </c>
      <c r="L11" s="97">
        <v>2.0636285468615648E-3</v>
      </c>
      <c r="M11" s="97">
        <v>7.3946689595872734E-3</v>
      </c>
      <c r="N11" s="97">
        <v>1.117798796216681E-2</v>
      </c>
      <c r="O11" s="97">
        <v>1.8142734307824589E-2</v>
      </c>
      <c r="P11" s="97">
        <v>0.54823731728288905</v>
      </c>
      <c r="Q11" s="97">
        <v>0.41564918314703347</v>
      </c>
      <c r="R11" s="97">
        <v>0.40851246775580402</v>
      </c>
      <c r="S11" s="97">
        <v>0.2562338779019776</v>
      </c>
      <c r="T11" s="97">
        <v>0.36655202063628539</v>
      </c>
      <c r="U11" s="97">
        <v>0.38082545141874458</v>
      </c>
      <c r="V11" s="97">
        <v>0.33456577815993122</v>
      </c>
      <c r="W11" s="97">
        <v>0.34969905417024932</v>
      </c>
      <c r="DA11" s="175" t="s">
        <v>633</v>
      </c>
    </row>
    <row r="12" spans="1:105" ht="11.45" customHeight="1" x14ac:dyDescent="0.25">
      <c r="A12" s="128" t="s">
        <v>58</v>
      </c>
      <c r="B12" s="97">
        <v>0</v>
      </c>
      <c r="C12" s="97">
        <v>0</v>
      </c>
      <c r="D12" s="97">
        <v>0</v>
      </c>
      <c r="E12" s="97">
        <v>0</v>
      </c>
      <c r="F12" s="97">
        <v>0</v>
      </c>
      <c r="G12" s="97">
        <v>0</v>
      </c>
      <c r="H12" s="97">
        <v>0</v>
      </c>
      <c r="I12" s="97">
        <v>12.99836629406707</v>
      </c>
      <c r="J12" s="97">
        <v>54.101289767841777</v>
      </c>
      <c r="K12" s="97">
        <v>78.000085984522784</v>
      </c>
      <c r="L12" s="97">
        <v>78.262338779019771</v>
      </c>
      <c r="M12" s="97">
        <v>77.220464316423033</v>
      </c>
      <c r="N12" s="97">
        <v>77.253482373172815</v>
      </c>
      <c r="O12" s="97">
        <v>66.090455717970755</v>
      </c>
      <c r="P12" s="97">
        <v>62.920636285468618</v>
      </c>
      <c r="Q12" s="97">
        <v>59.845141874462598</v>
      </c>
      <c r="R12" s="97">
        <v>57.128116938950981</v>
      </c>
      <c r="S12" s="97">
        <v>56.019862424763538</v>
      </c>
      <c r="T12" s="97">
        <v>57.594411006018909</v>
      </c>
      <c r="U12" s="97">
        <v>56.502235597592431</v>
      </c>
      <c r="V12" s="97">
        <v>56.184522785898537</v>
      </c>
      <c r="W12" s="97">
        <v>52.133877901977641</v>
      </c>
      <c r="DA12" s="175" t="s">
        <v>634</v>
      </c>
    </row>
    <row r="13" spans="1:105" ht="11.45" customHeight="1" x14ac:dyDescent="0.25">
      <c r="A13" s="128" t="s">
        <v>184</v>
      </c>
      <c r="B13" s="97">
        <v>15.73602751504729</v>
      </c>
      <c r="C13" s="97">
        <v>17.309544282029229</v>
      </c>
      <c r="D13" s="97">
        <v>18.27644024075666</v>
      </c>
      <c r="E13" s="97">
        <v>18.6688736027515</v>
      </c>
      <c r="F13" s="97">
        <v>18.26595012897678</v>
      </c>
      <c r="G13" s="97">
        <v>73.258641444539975</v>
      </c>
      <c r="H13" s="97">
        <v>253.94806534823732</v>
      </c>
      <c r="I13" s="97">
        <v>306.73439380911435</v>
      </c>
      <c r="J13" s="97">
        <v>338.70558899398111</v>
      </c>
      <c r="K13" s="97">
        <v>429.94858125537399</v>
      </c>
      <c r="L13" s="97">
        <v>414.04823731728283</v>
      </c>
      <c r="M13" s="97">
        <v>417.88675838349093</v>
      </c>
      <c r="N13" s="97">
        <v>410.83387790197759</v>
      </c>
      <c r="O13" s="97">
        <v>433.82596732588138</v>
      </c>
      <c r="P13" s="97">
        <v>530.95588993981096</v>
      </c>
      <c r="Q13" s="97">
        <v>591.31246775580382</v>
      </c>
      <c r="R13" s="97">
        <v>484.03086844367999</v>
      </c>
      <c r="S13" s="97">
        <v>420.10756663800515</v>
      </c>
      <c r="T13" s="97">
        <v>433.70300945829752</v>
      </c>
      <c r="U13" s="97">
        <v>425.73043852106616</v>
      </c>
      <c r="V13" s="97">
        <v>351.11160791057608</v>
      </c>
      <c r="W13" s="97">
        <v>367.64101461736885</v>
      </c>
      <c r="DA13" s="175" t="s">
        <v>635</v>
      </c>
    </row>
    <row r="14" spans="1:105" ht="11.45" hidden="1" customHeight="1" x14ac:dyDescent="0.25">
      <c r="A14" s="92" t="s">
        <v>185</v>
      </c>
      <c r="B14" s="97">
        <v>0</v>
      </c>
      <c r="C14" s="97">
        <v>0</v>
      </c>
      <c r="D14" s="97">
        <v>0</v>
      </c>
      <c r="E14" s="97">
        <v>0</v>
      </c>
      <c r="F14" s="97">
        <v>0</v>
      </c>
      <c r="G14" s="97">
        <v>0</v>
      </c>
      <c r="H14" s="97">
        <v>0</v>
      </c>
      <c r="I14" s="97">
        <v>0</v>
      </c>
      <c r="J14" s="97">
        <v>0</v>
      </c>
      <c r="K14" s="97">
        <v>0</v>
      </c>
      <c r="L14" s="97">
        <v>0</v>
      </c>
      <c r="M14" s="97">
        <v>0</v>
      </c>
      <c r="N14" s="97">
        <v>0</v>
      </c>
      <c r="O14" s="97">
        <v>0</v>
      </c>
      <c r="P14" s="97">
        <v>0</v>
      </c>
      <c r="Q14" s="97">
        <v>0</v>
      </c>
      <c r="R14" s="97">
        <v>0</v>
      </c>
      <c r="S14" s="97">
        <v>0</v>
      </c>
      <c r="T14" s="97">
        <v>0</v>
      </c>
      <c r="U14" s="97">
        <v>0</v>
      </c>
      <c r="V14" s="97">
        <v>0</v>
      </c>
      <c r="W14" s="97">
        <v>0</v>
      </c>
      <c r="DA14" s="175" t="s">
        <v>636</v>
      </c>
    </row>
    <row r="15" spans="1:105" ht="11.45" customHeight="1" x14ac:dyDescent="0.25">
      <c r="A15" s="85" t="s">
        <v>91</v>
      </c>
      <c r="B15" s="98">
        <v>1.5657792272024111</v>
      </c>
      <c r="C15" s="98">
        <v>1.4918677877251765</v>
      </c>
      <c r="D15" s="98">
        <v>1.461739037651832</v>
      </c>
      <c r="E15" s="98">
        <v>1.4381852276990497</v>
      </c>
      <c r="F15" s="98">
        <v>1.3726669748011873</v>
      </c>
      <c r="G15" s="98">
        <v>1.3547354492124268</v>
      </c>
      <c r="H15" s="98">
        <v>1.3771823582974072</v>
      </c>
      <c r="I15" s="98">
        <v>1.2635329188321629</v>
      </c>
      <c r="J15" s="98">
        <v>1.2621599786100295</v>
      </c>
      <c r="K15" s="98">
        <v>1.3920514613380024</v>
      </c>
      <c r="L15" s="98">
        <v>1.4826555051137764</v>
      </c>
      <c r="M15" s="98">
        <v>1.654368156096542</v>
      </c>
      <c r="N15" s="98">
        <v>1.9364473609660919</v>
      </c>
      <c r="O15" s="98">
        <v>2.3035218475940358</v>
      </c>
      <c r="P15" s="98">
        <v>2.5597904053251788</v>
      </c>
      <c r="Q15" s="98">
        <v>3.2006591028177018</v>
      </c>
      <c r="R15" s="98">
        <v>4.3842513177204641</v>
      </c>
      <c r="S15" s="98">
        <v>5.7450970043360732</v>
      </c>
      <c r="T15" s="98">
        <v>7.6022775133991551</v>
      </c>
      <c r="U15" s="98">
        <v>10.334321514416603</v>
      </c>
      <c r="V15" s="98">
        <v>14.122236459410107</v>
      </c>
      <c r="W15" s="98">
        <v>26.815041049467855</v>
      </c>
      <c r="DA15" s="178" t="s">
        <v>637</v>
      </c>
    </row>
    <row r="16" spans="1:105" x14ac:dyDescent="0.25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96"/>
      <c r="DA16" s="171"/>
    </row>
    <row r="17" spans="1:105" ht="11.45" customHeight="1" x14ac:dyDescent="0.25">
      <c r="A17" s="53" t="s">
        <v>61</v>
      </c>
      <c r="B17" s="79">
        <f t="shared" ref="B17:K17" si="9">B18+B42</f>
        <v>5886.9970775934962</v>
      </c>
      <c r="C17" s="79">
        <f t="shared" si="9"/>
        <v>6320.9462100061264</v>
      </c>
      <c r="D17" s="79">
        <f t="shared" si="9"/>
        <v>7009.5060210668871</v>
      </c>
      <c r="E17" s="79">
        <f t="shared" si="9"/>
        <v>7491.4215902148007</v>
      </c>
      <c r="F17" s="79">
        <f t="shared" si="9"/>
        <v>7589.3003539911379</v>
      </c>
      <c r="G17" s="79">
        <f t="shared" si="9"/>
        <v>7863.3564551396667</v>
      </c>
      <c r="H17" s="79">
        <f t="shared" si="9"/>
        <v>7664.5703035964743</v>
      </c>
      <c r="I17" s="79">
        <f t="shared" si="9"/>
        <v>7782.1337822739488</v>
      </c>
      <c r="J17" s="79">
        <f t="shared" si="9"/>
        <v>7523.6705004773194</v>
      </c>
      <c r="K17" s="79">
        <f t="shared" si="9"/>
        <v>7333.6330660787044</v>
      </c>
      <c r="L17" s="79">
        <f t="shared" ref="L17" si="10">L18+L42</f>
        <v>7584.5371696925595</v>
      </c>
      <c r="M17" s="79">
        <f t="shared" ref="M17:V17" si="11">M18+M42</f>
        <v>7263.6057869007218</v>
      </c>
      <c r="N17" s="79">
        <f t="shared" si="11"/>
        <v>7236.9240655896865</v>
      </c>
      <c r="O17" s="79">
        <f t="shared" si="11"/>
        <v>7677.8244160866298</v>
      </c>
      <c r="P17" s="79">
        <f t="shared" si="11"/>
        <v>7654.3930664156424</v>
      </c>
      <c r="Q17" s="79">
        <f t="shared" si="11"/>
        <v>7857.5865576410797</v>
      </c>
      <c r="R17" s="79">
        <f t="shared" si="11"/>
        <v>7999.1271575945884</v>
      </c>
      <c r="S17" s="79">
        <f t="shared" si="11"/>
        <v>8087.5282440378696</v>
      </c>
      <c r="T17" s="79">
        <f t="shared" si="11"/>
        <v>8218.5095861978371</v>
      </c>
      <c r="U17" s="79">
        <f t="shared" si="11"/>
        <v>8238.1713808437344</v>
      </c>
      <c r="V17" s="79">
        <f t="shared" si="11"/>
        <v>7205.0083929512421</v>
      </c>
      <c r="W17" s="79">
        <f t="shared" ref="W17" si="12">W18+W42</f>
        <v>7503.8653419952971</v>
      </c>
      <c r="DA17" s="172" t="s">
        <v>638</v>
      </c>
    </row>
    <row r="18" spans="1:105" ht="11.45" customHeight="1" x14ac:dyDescent="0.25">
      <c r="A18" s="27" t="s">
        <v>33</v>
      </c>
      <c r="B18" s="32">
        <f t="shared" ref="B18:K18" si="13">B19+B21+B33</f>
        <v>4017.9738239748049</v>
      </c>
      <c r="C18" s="32">
        <f t="shared" si="13"/>
        <v>4194.5590863917369</v>
      </c>
      <c r="D18" s="32">
        <f t="shared" si="13"/>
        <v>4651.8417274352578</v>
      </c>
      <c r="E18" s="32">
        <f t="shared" si="13"/>
        <v>4952.2984632502994</v>
      </c>
      <c r="F18" s="32">
        <f t="shared" si="13"/>
        <v>5038.6519595534064</v>
      </c>
      <c r="G18" s="32">
        <f t="shared" si="13"/>
        <v>5181.903187313962</v>
      </c>
      <c r="H18" s="32">
        <f t="shared" si="13"/>
        <v>5125.9571192646354</v>
      </c>
      <c r="I18" s="32">
        <f t="shared" si="13"/>
        <v>5233.7698216532763</v>
      </c>
      <c r="J18" s="32">
        <f t="shared" si="13"/>
        <v>5040.8055935753491</v>
      </c>
      <c r="K18" s="32">
        <f t="shared" si="13"/>
        <v>4968.6464317521059</v>
      </c>
      <c r="L18" s="32">
        <f t="shared" ref="L18" si="14">L19+L21+L33</f>
        <v>5033.3666517357779</v>
      </c>
      <c r="M18" s="32">
        <f t="shared" ref="M18:V18" si="15">M19+M21+M33</f>
        <v>4891.1286266042089</v>
      </c>
      <c r="N18" s="32">
        <f t="shared" si="15"/>
        <v>4828.5337336973871</v>
      </c>
      <c r="O18" s="32">
        <f t="shared" si="15"/>
        <v>4913.1604591618343</v>
      </c>
      <c r="P18" s="32">
        <f t="shared" si="15"/>
        <v>4970.9933444552125</v>
      </c>
      <c r="Q18" s="32">
        <f t="shared" si="15"/>
        <v>5085.5530325415057</v>
      </c>
      <c r="R18" s="32">
        <f t="shared" si="15"/>
        <v>5160.9398184761912</v>
      </c>
      <c r="S18" s="32">
        <f t="shared" si="15"/>
        <v>5178.4127108898065</v>
      </c>
      <c r="T18" s="32">
        <f t="shared" si="15"/>
        <v>5161.3298143524944</v>
      </c>
      <c r="U18" s="32">
        <f t="shared" si="15"/>
        <v>5041.7428220086458</v>
      </c>
      <c r="V18" s="32">
        <f t="shared" si="15"/>
        <v>4314.8258454455172</v>
      </c>
      <c r="W18" s="32">
        <f t="shared" ref="W18" si="16">W19+W21+W33</f>
        <v>4443.5626319965459</v>
      </c>
      <c r="DA18" s="173" t="s">
        <v>390</v>
      </c>
    </row>
    <row r="19" spans="1:105" ht="11.45" customHeight="1" x14ac:dyDescent="0.25">
      <c r="A19" s="107" t="s">
        <v>181</v>
      </c>
      <c r="B19" s="129">
        <v>33.000303593944274</v>
      </c>
      <c r="C19" s="129">
        <v>33.832976219695347</v>
      </c>
      <c r="D19" s="129">
        <v>34.869744849651973</v>
      </c>
      <c r="E19" s="129">
        <v>35.859937820475459</v>
      </c>
      <c r="F19" s="129">
        <v>37.515154093892356</v>
      </c>
      <c r="G19" s="129">
        <v>38.433479539764441</v>
      </c>
      <c r="H19" s="129">
        <v>39.519213817919514</v>
      </c>
      <c r="I19" s="129">
        <v>40.929284240460149</v>
      </c>
      <c r="J19" s="129">
        <v>42.596734817887636</v>
      </c>
      <c r="K19" s="129">
        <v>44.323641730337179</v>
      </c>
      <c r="L19" s="129">
        <v>45.595928947032576</v>
      </c>
      <c r="M19" s="129">
        <v>47.078431729586889</v>
      </c>
      <c r="N19" s="129">
        <v>48.937478730496679</v>
      </c>
      <c r="O19" s="129">
        <v>50.486205742787654</v>
      </c>
      <c r="P19" s="129">
        <v>52.352164061637971</v>
      </c>
      <c r="Q19" s="129">
        <v>53.909205805598098</v>
      </c>
      <c r="R19" s="129">
        <v>54.971742828450324</v>
      </c>
      <c r="S19" s="129">
        <v>54.055112336131508</v>
      </c>
      <c r="T19" s="129">
        <v>51.732395542643346</v>
      </c>
      <c r="U19" s="129">
        <v>54.992497047555339</v>
      </c>
      <c r="V19" s="129">
        <v>49.669317248899176</v>
      </c>
      <c r="W19" s="129">
        <v>47.407669806243213</v>
      </c>
      <c r="DA19" s="203" t="s">
        <v>391</v>
      </c>
    </row>
    <row r="20" spans="1:105" ht="11.45" customHeight="1" x14ac:dyDescent="0.25">
      <c r="A20" s="159" t="s">
        <v>131</v>
      </c>
      <c r="B20" s="97">
        <v>0</v>
      </c>
      <c r="C20" s="97">
        <v>0</v>
      </c>
      <c r="D20" s="97">
        <v>0</v>
      </c>
      <c r="E20" s="97">
        <v>0</v>
      </c>
      <c r="F20" s="97">
        <v>0</v>
      </c>
      <c r="G20" s="97">
        <v>0</v>
      </c>
      <c r="H20" s="97">
        <v>0</v>
      </c>
      <c r="I20" s="97">
        <v>0.26344008374782873</v>
      </c>
      <c r="J20" s="97">
        <v>1.185994212818775</v>
      </c>
      <c r="K20" s="97">
        <v>1.8618024395951693</v>
      </c>
      <c r="L20" s="97">
        <v>1.9291378419414509</v>
      </c>
      <c r="M20" s="97">
        <v>2.1197697095792885</v>
      </c>
      <c r="N20" s="97">
        <v>2.2648931739266165</v>
      </c>
      <c r="O20" s="97">
        <v>2.0456299251808061</v>
      </c>
      <c r="P20" s="97">
        <v>2.0584678922228425</v>
      </c>
      <c r="Q20" s="97">
        <v>1.9990813218420329</v>
      </c>
      <c r="R20" s="97">
        <v>1.9712107716194249</v>
      </c>
      <c r="S20" s="97">
        <v>1.9219462158070599</v>
      </c>
      <c r="T20" s="97">
        <v>1.822807578961521</v>
      </c>
      <c r="U20" s="97">
        <v>1.9102632327790401</v>
      </c>
      <c r="V20" s="97">
        <v>2.0540065061136699</v>
      </c>
      <c r="W20" s="97">
        <v>1.731675377869915</v>
      </c>
      <c r="DA20" s="175" t="s">
        <v>639</v>
      </c>
    </row>
    <row r="21" spans="1:105" ht="11.45" customHeight="1" x14ac:dyDescent="0.25">
      <c r="A21" s="109" t="s">
        <v>20</v>
      </c>
      <c r="B21" s="130">
        <f t="shared" ref="B21:K21" si="17">B22+B24+B26+B27+B29+B32</f>
        <v>3727.2279133227926</v>
      </c>
      <c r="C21" s="130">
        <f t="shared" si="17"/>
        <v>3902.2936489252752</v>
      </c>
      <c r="D21" s="130">
        <f t="shared" si="17"/>
        <v>4349.780674797702</v>
      </c>
      <c r="E21" s="130">
        <f t="shared" si="17"/>
        <v>4641.4509422236042</v>
      </c>
      <c r="F21" s="130">
        <f t="shared" si="17"/>
        <v>4729.0519499758757</v>
      </c>
      <c r="G21" s="130">
        <f t="shared" si="17"/>
        <v>4873.0172192352657</v>
      </c>
      <c r="H21" s="130">
        <f t="shared" si="17"/>
        <v>4821.0151732507948</v>
      </c>
      <c r="I21" s="130">
        <f t="shared" si="17"/>
        <v>4912.425525435021</v>
      </c>
      <c r="J21" s="130">
        <f t="shared" si="17"/>
        <v>4726.1681531838058</v>
      </c>
      <c r="K21" s="130">
        <f t="shared" si="17"/>
        <v>4674.1750411286121</v>
      </c>
      <c r="L21" s="130">
        <f t="shared" ref="L21" si="18">L22+L24+L26+L27+L29+L32</f>
        <v>4716.5050975875483</v>
      </c>
      <c r="M21" s="130">
        <f t="shared" ref="M21:V21" si="19">M22+M24+M26+M27+M29+M32</f>
        <v>4575.4684131716704</v>
      </c>
      <c r="N21" s="130">
        <f t="shared" si="19"/>
        <v>4511.1136956038445</v>
      </c>
      <c r="O21" s="130">
        <f t="shared" si="19"/>
        <v>4594.6245814358617</v>
      </c>
      <c r="P21" s="130">
        <f t="shared" si="19"/>
        <v>4642.6814505024131</v>
      </c>
      <c r="Q21" s="130">
        <f t="shared" si="19"/>
        <v>4750.1133464361892</v>
      </c>
      <c r="R21" s="130">
        <f t="shared" si="19"/>
        <v>4812.3917220406638</v>
      </c>
      <c r="S21" s="130">
        <f t="shared" si="19"/>
        <v>4820.7449944162699</v>
      </c>
      <c r="T21" s="130">
        <f t="shared" si="19"/>
        <v>4815.8741477621852</v>
      </c>
      <c r="U21" s="130">
        <f t="shared" si="19"/>
        <v>4694.198399020619</v>
      </c>
      <c r="V21" s="130">
        <f t="shared" si="19"/>
        <v>3972.302244057892</v>
      </c>
      <c r="W21" s="130">
        <f t="shared" ref="W21" si="20">W22+W24+W26+W27+W29+W32</f>
        <v>4101.9573258974769</v>
      </c>
      <c r="DA21" s="176" t="s">
        <v>392</v>
      </c>
    </row>
    <row r="22" spans="1:105" ht="11.45" customHeight="1" x14ac:dyDescent="0.25">
      <c r="A22" s="111" t="s">
        <v>110</v>
      </c>
      <c r="B22" s="96">
        <v>1914.2651205174302</v>
      </c>
      <c r="C22" s="96">
        <v>1928.1353258294644</v>
      </c>
      <c r="D22" s="96">
        <v>2103.3595569874033</v>
      </c>
      <c r="E22" s="96">
        <v>2159.6212457043353</v>
      </c>
      <c r="F22" s="96">
        <v>2125.8130044794052</v>
      </c>
      <c r="G22" s="96">
        <v>2071.4105885721165</v>
      </c>
      <c r="H22" s="96">
        <v>1989.941324489623</v>
      </c>
      <c r="I22" s="96">
        <v>1952.5651124507001</v>
      </c>
      <c r="J22" s="96">
        <v>1876.3359664448024</v>
      </c>
      <c r="K22" s="96">
        <v>1789.230440942009</v>
      </c>
      <c r="L22" s="96">
        <v>1781.414551139663</v>
      </c>
      <c r="M22" s="96">
        <v>1644.6495297043739</v>
      </c>
      <c r="N22" s="96">
        <v>1597.0256427237287</v>
      </c>
      <c r="O22" s="96">
        <v>1558.110352187151</v>
      </c>
      <c r="P22" s="96">
        <v>1524.7604845755711</v>
      </c>
      <c r="Q22" s="96">
        <v>1536.0174728401846</v>
      </c>
      <c r="R22" s="96">
        <v>1514.3976672366507</v>
      </c>
      <c r="S22" s="96">
        <v>1497.1089323059948</v>
      </c>
      <c r="T22" s="96">
        <v>1557.2783573687634</v>
      </c>
      <c r="U22" s="96">
        <v>1545.6721583059875</v>
      </c>
      <c r="V22" s="96">
        <v>1282.7843986978089</v>
      </c>
      <c r="W22" s="96">
        <v>1350.9228548265876</v>
      </c>
      <c r="DA22" s="171" t="s">
        <v>640</v>
      </c>
    </row>
    <row r="23" spans="1:105" ht="11.45" customHeight="1" x14ac:dyDescent="0.25">
      <c r="A23" s="160" t="s">
        <v>131</v>
      </c>
      <c r="B23" s="96">
        <v>0</v>
      </c>
      <c r="C23" s="96">
        <v>0</v>
      </c>
      <c r="D23" s="96">
        <v>0</v>
      </c>
      <c r="E23" s="96">
        <v>0</v>
      </c>
      <c r="F23" s="96">
        <v>0</v>
      </c>
      <c r="G23" s="96">
        <v>0</v>
      </c>
      <c r="H23" s="96">
        <v>0</v>
      </c>
      <c r="I23" s="96">
        <v>12.567625510504605</v>
      </c>
      <c r="J23" s="96">
        <v>52.241647323934771</v>
      </c>
      <c r="K23" s="96">
        <v>75.156134963155523</v>
      </c>
      <c r="L23" s="96">
        <v>75.370637294852713</v>
      </c>
      <c r="M23" s="96">
        <v>74.052557144765046</v>
      </c>
      <c r="N23" s="96">
        <v>73.912522071486563</v>
      </c>
      <c r="O23" s="96">
        <v>63.132436202603209</v>
      </c>
      <c r="P23" s="96">
        <v>59.953023090575059</v>
      </c>
      <c r="Q23" s="96">
        <v>56.959174116769347</v>
      </c>
      <c r="R23" s="96">
        <v>54.304208682051147</v>
      </c>
      <c r="S23" s="96">
        <v>53.230170519378753</v>
      </c>
      <c r="T23" s="96">
        <v>54.87120328739924</v>
      </c>
      <c r="U23" s="96">
        <v>53.691700731262046</v>
      </c>
      <c r="V23" s="96">
        <v>53.047789798737504</v>
      </c>
      <c r="W23" s="96">
        <v>49.345598606005744</v>
      </c>
      <c r="DA23" s="171" t="s">
        <v>641</v>
      </c>
    </row>
    <row r="24" spans="1:105" ht="11.45" customHeight="1" x14ac:dyDescent="0.25">
      <c r="A24" s="111" t="s">
        <v>111</v>
      </c>
      <c r="B24" s="96">
        <v>1796.4823972765573</v>
      </c>
      <c r="C24" s="96">
        <v>1956.725962713449</v>
      </c>
      <c r="D24" s="96">
        <v>2223.8420208120278</v>
      </c>
      <c r="E24" s="96">
        <v>2455.1183222616933</v>
      </c>
      <c r="F24" s="96">
        <v>2581.2112867843462</v>
      </c>
      <c r="G24" s="96">
        <v>2781.1541552112321</v>
      </c>
      <c r="H24" s="96">
        <v>2810.5037263330496</v>
      </c>
      <c r="I24" s="96">
        <v>2940.3168883822932</v>
      </c>
      <c r="J24" s="96">
        <v>2827.9191351407858</v>
      </c>
      <c r="K24" s="96">
        <v>2864.6138367757376</v>
      </c>
      <c r="L24" s="96">
        <v>2916.5284826462803</v>
      </c>
      <c r="M24" s="96">
        <v>2911.9819992058283</v>
      </c>
      <c r="N24" s="96">
        <v>2893.6441442014689</v>
      </c>
      <c r="O24" s="96">
        <v>3016.7958658744051</v>
      </c>
      <c r="P24" s="96">
        <v>3099.6782209160347</v>
      </c>
      <c r="Q24" s="96">
        <v>3198.1828586530005</v>
      </c>
      <c r="R24" s="96">
        <v>3281.7788021939696</v>
      </c>
      <c r="S24" s="96">
        <v>3305.4854699646298</v>
      </c>
      <c r="T24" s="96">
        <v>3241.5407214611764</v>
      </c>
      <c r="U24" s="96">
        <v>3129.2939043062806</v>
      </c>
      <c r="V24" s="96">
        <v>2668.8343758692681</v>
      </c>
      <c r="W24" s="96">
        <v>2716.7123711894537</v>
      </c>
      <c r="DA24" s="171" t="s">
        <v>642</v>
      </c>
    </row>
    <row r="25" spans="1:105" ht="11.45" customHeight="1" x14ac:dyDescent="0.25">
      <c r="A25" s="160" t="s">
        <v>131</v>
      </c>
      <c r="B25" s="96">
        <v>7.3306003345847905</v>
      </c>
      <c r="C25" s="96">
        <v>7.9133088022810636</v>
      </c>
      <c r="D25" s="96">
        <v>8.4577523459898298</v>
      </c>
      <c r="E25" s="96">
        <v>8.7617591331198366</v>
      </c>
      <c r="F25" s="96">
        <v>8.7802679199396678</v>
      </c>
      <c r="G25" s="96">
        <v>35.738747389946539</v>
      </c>
      <c r="H25" s="96">
        <v>127.82341463064493</v>
      </c>
      <c r="I25" s="96">
        <v>157.19073512163899</v>
      </c>
      <c r="J25" s="96">
        <v>172.51560177400461</v>
      </c>
      <c r="K25" s="96">
        <v>226.19900388060654</v>
      </c>
      <c r="L25" s="96">
        <v>211.80977848788186</v>
      </c>
      <c r="M25" s="96">
        <v>220.64982479939457</v>
      </c>
      <c r="N25" s="96">
        <v>214.91359207870582</v>
      </c>
      <c r="O25" s="96">
        <v>217.80715414299942</v>
      </c>
      <c r="P25" s="96">
        <v>273.54147016486434</v>
      </c>
      <c r="Q25" s="96">
        <v>304.56163023787644</v>
      </c>
      <c r="R25" s="96">
        <v>249.30292450881475</v>
      </c>
      <c r="S25" s="96">
        <v>214.39073359501074</v>
      </c>
      <c r="T25" s="96">
        <v>214.59959134576633</v>
      </c>
      <c r="U25" s="96">
        <v>202.5512495556917</v>
      </c>
      <c r="V25" s="96">
        <v>161.3002480497924</v>
      </c>
      <c r="W25" s="96">
        <v>165.67720349054858</v>
      </c>
      <c r="DA25" s="171" t="s">
        <v>643</v>
      </c>
    </row>
    <row r="26" spans="1:105" ht="11.45" customHeight="1" x14ac:dyDescent="0.25">
      <c r="A26" s="111" t="s">
        <v>112</v>
      </c>
      <c r="B26" s="96">
        <v>16.480395528804809</v>
      </c>
      <c r="C26" s="96">
        <v>17.432360382361729</v>
      </c>
      <c r="D26" s="96">
        <v>22.579096998271321</v>
      </c>
      <c r="E26" s="96">
        <v>26.711374257575653</v>
      </c>
      <c r="F26" s="96">
        <v>22.027658712123927</v>
      </c>
      <c r="G26" s="96">
        <v>20.452475451917493</v>
      </c>
      <c r="H26" s="96">
        <v>20.509177381372311</v>
      </c>
      <c r="I26" s="96">
        <v>19.307106553636721</v>
      </c>
      <c r="J26" s="96">
        <v>20.828146977313246</v>
      </c>
      <c r="K26" s="96">
        <v>18.996748055627336</v>
      </c>
      <c r="L26" s="96">
        <v>16.913726718425043</v>
      </c>
      <c r="M26" s="96">
        <v>15.738980767234871</v>
      </c>
      <c r="N26" s="96">
        <v>16.787464483975583</v>
      </c>
      <c r="O26" s="96">
        <v>15.507606379873248</v>
      </c>
      <c r="P26" s="96">
        <v>13.170284474071639</v>
      </c>
      <c r="Q26" s="96">
        <v>9.702396155135105</v>
      </c>
      <c r="R26" s="96">
        <v>8.8683604150218471</v>
      </c>
      <c r="S26" s="96">
        <v>8.7980685856213405</v>
      </c>
      <c r="T26" s="96">
        <v>5.4500279021444342</v>
      </c>
      <c r="U26" s="96">
        <v>4.5412841414118947</v>
      </c>
      <c r="V26" s="96">
        <v>2.2844419878335978</v>
      </c>
      <c r="W26" s="96">
        <v>1.699967844344932</v>
      </c>
      <c r="DA26" s="171" t="s">
        <v>644</v>
      </c>
    </row>
    <row r="27" spans="1:105" ht="11.45" customHeight="1" x14ac:dyDescent="0.25">
      <c r="A27" s="111" t="s">
        <v>113</v>
      </c>
      <c r="B27" s="96">
        <v>0</v>
      </c>
      <c r="C27" s="96">
        <v>0</v>
      </c>
      <c r="D27" s="96">
        <v>0</v>
      </c>
      <c r="E27" s="96">
        <v>0</v>
      </c>
      <c r="F27" s="96">
        <v>0</v>
      </c>
      <c r="G27" s="96">
        <v>0</v>
      </c>
      <c r="H27" s="96">
        <v>6.0945046749942069E-2</v>
      </c>
      <c r="I27" s="96">
        <v>0.23641804839111796</v>
      </c>
      <c r="J27" s="96">
        <v>1.0844882811755152</v>
      </c>
      <c r="K27" s="96">
        <v>1.2661017025474464</v>
      </c>
      <c r="L27" s="96">
        <v>1.5753506542243647</v>
      </c>
      <c r="M27" s="96">
        <v>2.8921354165497437</v>
      </c>
      <c r="N27" s="96">
        <v>3.2729120659878079</v>
      </c>
      <c r="O27" s="96">
        <v>3.6573335779858138</v>
      </c>
      <c r="P27" s="96">
        <v>4.1255526617699614</v>
      </c>
      <c r="Q27" s="96">
        <v>4.5360484182954934</v>
      </c>
      <c r="R27" s="96">
        <v>4.4006147856356383</v>
      </c>
      <c r="S27" s="96">
        <v>4.4529510930829419</v>
      </c>
      <c r="T27" s="96">
        <v>4.4616147802127255</v>
      </c>
      <c r="U27" s="96">
        <v>4.3376057829654675</v>
      </c>
      <c r="V27" s="96">
        <v>3.749273961956777</v>
      </c>
      <c r="W27" s="96">
        <v>3.6386054983785288</v>
      </c>
      <c r="DA27" s="171" t="s">
        <v>645</v>
      </c>
    </row>
    <row r="28" spans="1:105" ht="11.45" customHeight="1" x14ac:dyDescent="0.25">
      <c r="A28" s="160" t="s">
        <v>132</v>
      </c>
      <c r="B28" s="96">
        <v>0</v>
      </c>
      <c r="C28" s="96">
        <v>0</v>
      </c>
      <c r="D28" s="96">
        <v>0</v>
      </c>
      <c r="E28" s="96">
        <v>0</v>
      </c>
      <c r="F28" s="96">
        <v>0</v>
      </c>
      <c r="G28" s="96">
        <v>0</v>
      </c>
      <c r="H28" s="96">
        <v>0</v>
      </c>
      <c r="I28" s="96">
        <v>0</v>
      </c>
      <c r="J28" s="96">
        <v>8.5786811958511435E-5</v>
      </c>
      <c r="K28" s="96">
        <v>2.2154737404725812E-4</v>
      </c>
      <c r="L28" s="96">
        <v>2.9980981144245219E-4</v>
      </c>
      <c r="M28" s="96">
        <v>1.8409518883193774E-3</v>
      </c>
      <c r="N28" s="96">
        <v>2.8734184838554717E-3</v>
      </c>
      <c r="O28" s="96">
        <v>4.2834715551158505E-3</v>
      </c>
      <c r="P28" s="96">
        <v>0.13057529509133869</v>
      </c>
      <c r="Q28" s="96">
        <v>0.10612616728717854</v>
      </c>
      <c r="R28" s="96">
        <v>0.10151353127150894</v>
      </c>
      <c r="S28" s="96">
        <v>6.5679045027653732E-2</v>
      </c>
      <c r="T28" s="96">
        <v>9.6176982124944174E-2</v>
      </c>
      <c r="U28" s="96">
        <v>8.8216481364873936E-2</v>
      </c>
      <c r="V28" s="96">
        <v>6.3387421891112336E-2</v>
      </c>
      <c r="W28" s="96">
        <v>6.7515619721991285E-2</v>
      </c>
      <c r="DA28" s="171" t="s">
        <v>646</v>
      </c>
    </row>
    <row r="29" spans="1:105" ht="11.45" customHeight="1" x14ac:dyDescent="0.25">
      <c r="A29" s="111" t="s">
        <v>133</v>
      </c>
      <c r="B29" s="96">
        <v>0</v>
      </c>
      <c r="C29" s="96">
        <v>0</v>
      </c>
      <c r="D29" s="96">
        <v>0</v>
      </c>
      <c r="E29" s="96">
        <v>0</v>
      </c>
      <c r="F29" s="96">
        <v>0</v>
      </c>
      <c r="G29" s="96">
        <v>0</v>
      </c>
      <c r="H29" s="96">
        <v>0</v>
      </c>
      <c r="I29" s="96">
        <v>0</v>
      </c>
      <c r="J29" s="96">
        <v>0</v>
      </c>
      <c r="K29" s="96">
        <v>0</v>
      </c>
      <c r="L29" s="96">
        <v>0</v>
      </c>
      <c r="M29" s="96">
        <v>8.9241434381378247E-4</v>
      </c>
      <c r="N29" s="96">
        <v>9.6559299688994196E-2</v>
      </c>
      <c r="O29" s="96">
        <v>0.12350845591533371</v>
      </c>
      <c r="P29" s="96">
        <v>0.25584131742869187</v>
      </c>
      <c r="Q29" s="96">
        <v>0.60191369991133481</v>
      </c>
      <c r="R29" s="96">
        <v>1.0265461816069377</v>
      </c>
      <c r="S29" s="96">
        <v>1.8552479011634673</v>
      </c>
      <c r="T29" s="96">
        <v>2.7469478105680629</v>
      </c>
      <c r="U29" s="96">
        <v>3.8275856564666282</v>
      </c>
      <c r="V29" s="96">
        <v>5.7627115579979442</v>
      </c>
      <c r="W29" s="96">
        <v>10.882681467936749</v>
      </c>
      <c r="DA29" s="171" t="s">
        <v>647</v>
      </c>
    </row>
    <row r="30" spans="1:105" ht="11.45" customHeight="1" x14ac:dyDescent="0.25">
      <c r="A30" s="160" t="s">
        <v>131</v>
      </c>
      <c r="B30" s="96">
        <v>0</v>
      </c>
      <c r="C30" s="96">
        <v>0</v>
      </c>
      <c r="D30" s="96">
        <v>0</v>
      </c>
      <c r="E30" s="96">
        <v>0</v>
      </c>
      <c r="F30" s="96">
        <v>0</v>
      </c>
      <c r="G30" s="96">
        <v>0</v>
      </c>
      <c r="H30" s="96">
        <v>0</v>
      </c>
      <c r="I30" s="96">
        <v>0</v>
      </c>
      <c r="J30" s="96">
        <v>0</v>
      </c>
      <c r="K30" s="96">
        <v>0</v>
      </c>
      <c r="L30" s="96">
        <v>0</v>
      </c>
      <c r="M30" s="96">
        <v>3.0175397814182293E-5</v>
      </c>
      <c r="N30" s="96">
        <v>3.0053092848617651E-3</v>
      </c>
      <c r="O30" s="96">
        <v>2.8139605081956031E-3</v>
      </c>
      <c r="P30" s="96">
        <v>5.9275464483655137E-3</v>
      </c>
      <c r="Q30" s="96">
        <v>1.3922876905356561E-2</v>
      </c>
      <c r="R30" s="96">
        <v>2.4532346274265853E-2</v>
      </c>
      <c r="S30" s="96">
        <v>4.4636793266216425E-2</v>
      </c>
      <c r="T30" s="96">
        <v>6.6263795895463273E-2</v>
      </c>
      <c r="U30" s="96">
        <v>8.9200956400956127E-2</v>
      </c>
      <c r="V30" s="96">
        <v>0.14197619363884365</v>
      </c>
      <c r="W30" s="96">
        <v>0.21764861268186383</v>
      </c>
      <c r="DA30" s="171" t="s">
        <v>648</v>
      </c>
    </row>
    <row r="31" spans="1:105" ht="11.45" customHeight="1" x14ac:dyDescent="0.25">
      <c r="A31" s="160" t="s">
        <v>134</v>
      </c>
      <c r="B31" s="96">
        <v>0</v>
      </c>
      <c r="C31" s="96">
        <v>0</v>
      </c>
      <c r="D31" s="96">
        <v>0</v>
      </c>
      <c r="E31" s="96">
        <v>0</v>
      </c>
      <c r="F31" s="96">
        <v>0</v>
      </c>
      <c r="G31" s="96">
        <v>0</v>
      </c>
      <c r="H31" s="96">
        <v>0</v>
      </c>
      <c r="I31" s="96">
        <v>0</v>
      </c>
      <c r="J31" s="96">
        <v>0</v>
      </c>
      <c r="K31" s="96">
        <v>0</v>
      </c>
      <c r="L31" s="96">
        <v>0</v>
      </c>
      <c r="M31" s="96">
        <v>2.2224229659170204E-4</v>
      </c>
      <c r="N31" s="96">
        <v>3.1623672305072362E-2</v>
      </c>
      <c r="O31" s="96">
        <v>5.4059829152462241E-2</v>
      </c>
      <c r="P31" s="96">
        <v>0.1050884758030151</v>
      </c>
      <c r="Q31" s="96">
        <v>0.22645561909385731</v>
      </c>
      <c r="R31" s="96">
        <v>0.34240532270755236</v>
      </c>
      <c r="S31" s="96">
        <v>0.59982938087110349</v>
      </c>
      <c r="T31" s="96">
        <v>0.86634069713151263</v>
      </c>
      <c r="U31" s="96">
        <v>1.2596760368157445</v>
      </c>
      <c r="V31" s="96">
        <v>2.3294894223088511</v>
      </c>
      <c r="W31" s="96">
        <v>4.9241665547658613</v>
      </c>
      <c r="DA31" s="171" t="s">
        <v>649</v>
      </c>
    </row>
    <row r="32" spans="1:105" ht="11.45" customHeight="1" x14ac:dyDescent="0.25">
      <c r="A32" s="111" t="s">
        <v>115</v>
      </c>
      <c r="B32" s="96">
        <v>0</v>
      </c>
      <c r="C32" s="96">
        <v>0</v>
      </c>
      <c r="D32" s="96">
        <v>0</v>
      </c>
      <c r="E32" s="96">
        <v>0</v>
      </c>
      <c r="F32" s="96">
        <v>0</v>
      </c>
      <c r="G32" s="96">
        <v>0</v>
      </c>
      <c r="H32" s="96">
        <v>0</v>
      </c>
      <c r="I32" s="96">
        <v>0</v>
      </c>
      <c r="J32" s="96">
        <v>4.1633972961163586E-4</v>
      </c>
      <c r="K32" s="96">
        <v>6.7913652691879114E-2</v>
      </c>
      <c r="L32" s="96">
        <v>7.2986428956215196E-2</v>
      </c>
      <c r="M32" s="96">
        <v>0.20487566333928445</v>
      </c>
      <c r="N32" s="96">
        <v>0.28697282899388388</v>
      </c>
      <c r="O32" s="96">
        <v>0.42991496053078421</v>
      </c>
      <c r="P32" s="96">
        <v>0.69106655753778223</v>
      </c>
      <c r="Q32" s="96">
        <v>1.072656669662323</v>
      </c>
      <c r="R32" s="96">
        <v>1.9197312277791008</v>
      </c>
      <c r="S32" s="96">
        <v>3.044324565778183</v>
      </c>
      <c r="T32" s="96">
        <v>4.3964784393206218</v>
      </c>
      <c r="U32" s="96">
        <v>6.5258608275072172</v>
      </c>
      <c r="V32" s="96">
        <v>8.8870419830266023</v>
      </c>
      <c r="W32" s="96">
        <v>18.100845070775517</v>
      </c>
      <c r="DA32" s="171" t="s">
        <v>650</v>
      </c>
    </row>
    <row r="33" spans="1:105" ht="11.45" customHeight="1" x14ac:dyDescent="0.25">
      <c r="A33" s="109" t="s">
        <v>21</v>
      </c>
      <c r="B33" s="130">
        <f t="shared" ref="B33:K33" si="21">B34+B36+B38+B39+B41</f>
        <v>257.74560705806806</v>
      </c>
      <c r="C33" s="130">
        <f t="shared" si="21"/>
        <v>258.43246124676591</v>
      </c>
      <c r="D33" s="130">
        <f t="shared" si="21"/>
        <v>267.19130778790316</v>
      </c>
      <c r="E33" s="130">
        <f t="shared" si="21"/>
        <v>274.98758320621994</v>
      </c>
      <c r="F33" s="130">
        <f t="shared" si="21"/>
        <v>272.08485548363836</v>
      </c>
      <c r="G33" s="130">
        <f t="shared" si="21"/>
        <v>270.45248853893179</v>
      </c>
      <c r="H33" s="130">
        <f t="shared" si="21"/>
        <v>265.42273219592158</v>
      </c>
      <c r="I33" s="130">
        <f t="shared" si="21"/>
        <v>280.41501197779468</v>
      </c>
      <c r="J33" s="130">
        <f t="shared" si="21"/>
        <v>272.0407055736556</v>
      </c>
      <c r="K33" s="130">
        <f t="shared" si="21"/>
        <v>250.14774889315649</v>
      </c>
      <c r="L33" s="130">
        <f t="shared" ref="L33" si="22">L34+L36+L38+L39+L41</f>
        <v>271.26562520119643</v>
      </c>
      <c r="M33" s="130">
        <f t="shared" ref="M33:V33" si="23">M34+M36+M38+M39+M41</f>
        <v>268.58178170295167</v>
      </c>
      <c r="N33" s="130">
        <f t="shared" si="23"/>
        <v>268.48255936304577</v>
      </c>
      <c r="O33" s="130">
        <f t="shared" si="23"/>
        <v>268.04967198318565</v>
      </c>
      <c r="P33" s="130">
        <f t="shared" si="23"/>
        <v>275.95972989116132</v>
      </c>
      <c r="Q33" s="130">
        <f t="shared" si="23"/>
        <v>281.53048029971819</v>
      </c>
      <c r="R33" s="130">
        <f t="shared" si="23"/>
        <v>293.57635360707701</v>
      </c>
      <c r="S33" s="130">
        <f t="shared" si="23"/>
        <v>303.6126041374053</v>
      </c>
      <c r="T33" s="130">
        <f t="shared" si="23"/>
        <v>293.72327104766555</v>
      </c>
      <c r="U33" s="130">
        <f t="shared" si="23"/>
        <v>292.55192594047219</v>
      </c>
      <c r="V33" s="130">
        <f t="shared" si="23"/>
        <v>292.85428413872597</v>
      </c>
      <c r="W33" s="130">
        <f t="shared" ref="W33" si="24">W34+W36+W38+W39+W41</f>
        <v>294.19763629282545</v>
      </c>
      <c r="DA33" s="176" t="s">
        <v>393</v>
      </c>
    </row>
    <row r="34" spans="1:105" ht="11.45" customHeight="1" x14ac:dyDescent="0.25">
      <c r="A34" s="111" t="s">
        <v>110</v>
      </c>
      <c r="B34" s="97">
        <v>0.12798693566360442</v>
      </c>
      <c r="C34" s="97">
        <v>0.13915181911726907</v>
      </c>
      <c r="D34" s="97">
        <v>0.12338816946261881</v>
      </c>
      <c r="E34" s="97">
        <v>0.11577857175183132</v>
      </c>
      <c r="F34" s="97">
        <v>0.10164303861451625</v>
      </c>
      <c r="G34" s="97">
        <v>7.9670228254967043E-2</v>
      </c>
      <c r="H34" s="97">
        <v>6.721606952337951E-2</v>
      </c>
      <c r="I34" s="97">
        <v>6.8856838901469042E-2</v>
      </c>
      <c r="J34" s="97">
        <v>5.4904697559793762E-2</v>
      </c>
      <c r="K34" s="97">
        <v>3.8069409917672332E-2</v>
      </c>
      <c r="L34" s="97">
        <v>4.1072246309265564E-2</v>
      </c>
      <c r="M34" s="97">
        <v>2.9978927380054799E-2</v>
      </c>
      <c r="N34" s="97">
        <v>3.0178104546567504E-2</v>
      </c>
      <c r="O34" s="97">
        <v>1.8945393450428109E-2</v>
      </c>
      <c r="P34" s="97">
        <v>2.256446875539864E-2</v>
      </c>
      <c r="Q34" s="97">
        <v>1.8248026705555743E-2</v>
      </c>
      <c r="R34" s="97">
        <v>2.4135864556923764E-2</v>
      </c>
      <c r="S34" s="97">
        <v>2.442561489082333E-2</v>
      </c>
      <c r="T34" s="97">
        <v>2.4308064319383496E-2</v>
      </c>
      <c r="U34" s="97">
        <v>2.3782416851360046E-2</v>
      </c>
      <c r="V34" s="97">
        <v>1.7509604563967128E-2</v>
      </c>
      <c r="W34" s="97">
        <v>2.3325396032611655E-2</v>
      </c>
      <c r="DA34" s="175" t="s">
        <v>651</v>
      </c>
    </row>
    <row r="35" spans="1:105" ht="11.45" customHeight="1" x14ac:dyDescent="0.25">
      <c r="A35" s="160" t="s">
        <v>131</v>
      </c>
      <c r="B35" s="97">
        <v>0</v>
      </c>
      <c r="C35" s="97">
        <v>0</v>
      </c>
      <c r="D35" s="97">
        <v>0</v>
      </c>
      <c r="E35" s="97">
        <v>0</v>
      </c>
      <c r="F35" s="97">
        <v>0</v>
      </c>
      <c r="G35" s="97">
        <v>0</v>
      </c>
      <c r="H35" s="97">
        <v>0</v>
      </c>
      <c r="I35" s="97">
        <v>4.4319493349170331E-4</v>
      </c>
      <c r="J35" s="97">
        <v>1.5286771120103812E-3</v>
      </c>
      <c r="K35" s="97">
        <v>1.5990951440742931E-3</v>
      </c>
      <c r="L35" s="97">
        <v>1.7377434003107621E-3</v>
      </c>
      <c r="M35" s="97">
        <v>1.3498415272397387E-3</v>
      </c>
      <c r="N35" s="97">
        <v>1.3966837843440085E-3</v>
      </c>
      <c r="O35" s="97">
        <v>7.6764064988299647E-4</v>
      </c>
      <c r="P35" s="97">
        <v>8.8722663657927808E-4</v>
      </c>
      <c r="Q35" s="97">
        <v>6.7668014771167279E-4</v>
      </c>
      <c r="R35" s="97">
        <v>8.6547876688989516E-4</v>
      </c>
      <c r="S35" s="97">
        <v>8.6846028209619844E-4</v>
      </c>
      <c r="T35" s="97">
        <v>8.565024566614596E-4</v>
      </c>
      <c r="U35" s="97">
        <v>8.2612499771543568E-4</v>
      </c>
      <c r="V35" s="97">
        <v>7.2408568681630464E-4</v>
      </c>
      <c r="W35" s="97">
        <v>8.520143291965575E-4</v>
      </c>
      <c r="DA35" s="175" t="s">
        <v>652</v>
      </c>
    </row>
    <row r="36" spans="1:105" ht="11.45" customHeight="1" x14ac:dyDescent="0.25">
      <c r="A36" s="111" t="s">
        <v>111</v>
      </c>
      <c r="B36" s="97">
        <v>256.05842660349089</v>
      </c>
      <c r="C36" s="97">
        <v>256.66314423813304</v>
      </c>
      <c r="D36" s="97">
        <v>265.12012780844913</v>
      </c>
      <c r="E36" s="97">
        <v>272.71028294365993</v>
      </c>
      <c r="F36" s="97">
        <v>269.29592242620674</v>
      </c>
      <c r="G36" s="97">
        <v>267.20809439057155</v>
      </c>
      <c r="H36" s="97">
        <v>261.9914366088538</v>
      </c>
      <c r="I36" s="97">
        <v>275.33587723384693</v>
      </c>
      <c r="J36" s="97">
        <v>266.11467136059588</v>
      </c>
      <c r="K36" s="97">
        <v>239.10295129396457</v>
      </c>
      <c r="L36" s="97">
        <v>256.68707715845437</v>
      </c>
      <c r="M36" s="97">
        <v>254.18375003791903</v>
      </c>
      <c r="N36" s="97">
        <v>253.22012789645348</v>
      </c>
      <c r="O36" s="97">
        <v>251.29390408299506</v>
      </c>
      <c r="P36" s="97">
        <v>258.12239452561602</v>
      </c>
      <c r="Q36" s="97">
        <v>264.34323336518622</v>
      </c>
      <c r="R36" s="97">
        <v>277.50420220727375</v>
      </c>
      <c r="S36" s="97">
        <v>288.38692430532831</v>
      </c>
      <c r="T36" s="97">
        <v>278.79545318508895</v>
      </c>
      <c r="U36" s="97">
        <v>277.72782705628765</v>
      </c>
      <c r="V36" s="97">
        <v>276.08145321671748</v>
      </c>
      <c r="W36" s="97">
        <v>278.14933790983474</v>
      </c>
      <c r="DA36" s="175" t="s">
        <v>653</v>
      </c>
    </row>
    <row r="37" spans="1:105" ht="11.45" customHeight="1" x14ac:dyDescent="0.25">
      <c r="A37" s="160" t="s">
        <v>131</v>
      </c>
      <c r="B37" s="97">
        <v>1.0448540940776299</v>
      </c>
      <c r="C37" s="97">
        <v>1.0379862879236441</v>
      </c>
      <c r="D37" s="97">
        <v>1.0083092062997621</v>
      </c>
      <c r="E37" s="97">
        <v>0.97324100048918782</v>
      </c>
      <c r="F37" s="97">
        <v>0.91603905528983209</v>
      </c>
      <c r="G37" s="97">
        <v>3.433712068092218</v>
      </c>
      <c r="H37" s="97">
        <v>11.915529489450453</v>
      </c>
      <c r="I37" s="97">
        <v>14.719586558427626</v>
      </c>
      <c r="J37" s="97">
        <v>16.234174485466369</v>
      </c>
      <c r="K37" s="97">
        <v>18.880328201054535</v>
      </c>
      <c r="L37" s="97">
        <v>18.641625918325708</v>
      </c>
      <c r="M37" s="97">
        <v>19.260283864397479</v>
      </c>
      <c r="N37" s="97">
        <v>18.806890053121585</v>
      </c>
      <c r="O37" s="97">
        <v>18.142961120087826</v>
      </c>
      <c r="P37" s="97">
        <v>22.778873885866098</v>
      </c>
      <c r="Q37" s="97">
        <v>25.173296729493753</v>
      </c>
      <c r="R37" s="97">
        <v>21.080826388270939</v>
      </c>
      <c r="S37" s="97">
        <v>18.70450946550061</v>
      </c>
      <c r="T37" s="97">
        <v>18.457084289105818</v>
      </c>
      <c r="U37" s="97">
        <v>17.976617130537257</v>
      </c>
      <c r="V37" s="97">
        <v>16.685938733571323</v>
      </c>
      <c r="W37" s="97">
        <v>16.962783747869704</v>
      </c>
      <c r="DA37" s="175" t="s">
        <v>654</v>
      </c>
    </row>
    <row r="38" spans="1:105" ht="11.45" customHeight="1" x14ac:dyDescent="0.25">
      <c r="A38" s="111" t="s">
        <v>112</v>
      </c>
      <c r="B38" s="97">
        <v>0</v>
      </c>
      <c r="C38" s="97">
        <v>0.14665939407851156</v>
      </c>
      <c r="D38" s="97">
        <v>0.49338795443718825</v>
      </c>
      <c r="E38" s="97">
        <v>0.73041140052875941</v>
      </c>
      <c r="F38" s="97">
        <v>0.97723887893217209</v>
      </c>
      <c r="G38" s="97">
        <v>1.4468059692484434</v>
      </c>
      <c r="H38" s="97">
        <v>1.7957617839930113</v>
      </c>
      <c r="I38" s="97">
        <v>2.4012194270651617</v>
      </c>
      <c r="J38" s="97">
        <v>2.7743454102873262</v>
      </c>
      <c r="K38" s="97">
        <v>3.2684644939907357</v>
      </c>
      <c r="L38" s="97">
        <v>4.0368531921228019</v>
      </c>
      <c r="M38" s="97">
        <v>4.3941380071830798</v>
      </c>
      <c r="N38" s="97">
        <v>4.4693796005517052</v>
      </c>
      <c r="O38" s="97">
        <v>4.3446199189856491</v>
      </c>
      <c r="P38" s="97">
        <v>4.2254222026253503</v>
      </c>
      <c r="Q38" s="97">
        <v>3.4559616641902711</v>
      </c>
      <c r="R38" s="97">
        <v>2.8508993758937238</v>
      </c>
      <c r="S38" s="97">
        <v>2.3252656099796112</v>
      </c>
      <c r="T38" s="97">
        <v>2.2936243120997393</v>
      </c>
      <c r="U38" s="97">
        <v>0.18852539949130198</v>
      </c>
      <c r="V38" s="97">
        <v>0.18875907441158138</v>
      </c>
      <c r="W38" s="97">
        <v>0.17393724084178139</v>
      </c>
      <c r="DA38" s="175" t="s">
        <v>655</v>
      </c>
    </row>
    <row r="39" spans="1:105" ht="11.45" customHeight="1" x14ac:dyDescent="0.25">
      <c r="A39" s="111" t="s">
        <v>113</v>
      </c>
      <c r="B39" s="97">
        <v>0</v>
      </c>
      <c r="C39" s="97">
        <v>0</v>
      </c>
      <c r="D39" s="97">
        <v>0</v>
      </c>
      <c r="E39" s="97">
        <v>0</v>
      </c>
      <c r="F39" s="97">
        <v>0.34393809114359408</v>
      </c>
      <c r="G39" s="97">
        <v>0.36921754084264818</v>
      </c>
      <c r="H39" s="97">
        <v>0.19668197052851866</v>
      </c>
      <c r="I39" s="97">
        <v>1.35222375268787</v>
      </c>
      <c r="J39" s="97">
        <v>1.8422786415256731</v>
      </c>
      <c r="K39" s="97">
        <v>6.4241525147268366</v>
      </c>
      <c r="L39" s="97">
        <v>9.1059069752682174</v>
      </c>
      <c r="M39" s="97">
        <v>8.5479149510066801</v>
      </c>
      <c r="N39" s="97">
        <v>9.2266510590149498</v>
      </c>
      <c r="O39" s="97">
        <v>10.704365226817325</v>
      </c>
      <c r="P39" s="97">
        <v>12.001518890657346</v>
      </c>
      <c r="Q39" s="97">
        <v>12.043843742662208</v>
      </c>
      <c r="R39" s="97">
        <v>11.399791451313662</v>
      </c>
      <c r="S39" s="97">
        <v>11.157226655411577</v>
      </c>
      <c r="T39" s="97">
        <v>10.757973083611684</v>
      </c>
      <c r="U39" s="97">
        <v>12.678613435835793</v>
      </c>
      <c r="V39" s="97">
        <v>14.512175327668231</v>
      </c>
      <c r="W39" s="97">
        <v>13.760549535260752</v>
      </c>
      <c r="DA39" s="175" t="s">
        <v>656</v>
      </c>
    </row>
    <row r="40" spans="1:105" ht="11.45" customHeight="1" x14ac:dyDescent="0.25">
      <c r="A40" s="160" t="s">
        <v>132</v>
      </c>
      <c r="B40" s="97">
        <v>0</v>
      </c>
      <c r="C40" s="97">
        <v>0</v>
      </c>
      <c r="D40" s="97">
        <v>0</v>
      </c>
      <c r="E40" s="97">
        <v>0</v>
      </c>
      <c r="F40" s="97">
        <v>0</v>
      </c>
      <c r="G40" s="97">
        <v>0</v>
      </c>
      <c r="H40" s="97">
        <v>0</v>
      </c>
      <c r="I40" s="97">
        <v>0</v>
      </c>
      <c r="J40" s="97">
        <v>1.4573067698291415E-4</v>
      </c>
      <c r="K40" s="97">
        <v>1.1241230599826047E-3</v>
      </c>
      <c r="L40" s="97">
        <v>1.7329730659945224E-3</v>
      </c>
      <c r="M40" s="97">
        <v>5.4410661686866207E-3</v>
      </c>
      <c r="N40" s="97">
        <v>8.1004405747933036E-3</v>
      </c>
      <c r="O40" s="97">
        <v>1.2536959778739962E-2</v>
      </c>
      <c r="P40" s="97">
        <v>0.37985259168150698</v>
      </c>
      <c r="Q40" s="97">
        <v>0.2817798352105565</v>
      </c>
      <c r="R40" s="97">
        <v>0.2629707762104101</v>
      </c>
      <c r="S40" s="97">
        <v>0.16456412310991145</v>
      </c>
      <c r="T40" s="97">
        <v>0.23190468830969324</v>
      </c>
      <c r="U40" s="97">
        <v>0.25785253936336172</v>
      </c>
      <c r="V40" s="97">
        <v>0.24535133718865365</v>
      </c>
      <c r="W40" s="97">
        <v>0.25533189294698233</v>
      </c>
      <c r="DA40" s="175" t="s">
        <v>657</v>
      </c>
    </row>
    <row r="41" spans="1:105" ht="11.45" customHeight="1" x14ac:dyDescent="0.25">
      <c r="A41" s="111" t="s">
        <v>115</v>
      </c>
      <c r="B41" s="97">
        <v>1.5591935189135449</v>
      </c>
      <c r="C41" s="97">
        <v>1.4835057954370858</v>
      </c>
      <c r="D41" s="97">
        <v>1.4544038555542058</v>
      </c>
      <c r="E41" s="97">
        <v>1.4311102902794508</v>
      </c>
      <c r="F41" s="97">
        <v>1.3661130487414019</v>
      </c>
      <c r="G41" s="97">
        <v>1.3487004100141875</v>
      </c>
      <c r="H41" s="97">
        <v>1.3716357630229032</v>
      </c>
      <c r="I41" s="97">
        <v>1.2568347252932774</v>
      </c>
      <c r="J41" s="97">
        <v>1.2545054636869564</v>
      </c>
      <c r="K41" s="97">
        <v>1.314111180556671</v>
      </c>
      <c r="L41" s="97">
        <v>1.3947156290417606</v>
      </c>
      <c r="M41" s="97">
        <v>1.4259997794628407</v>
      </c>
      <c r="N41" s="97">
        <v>1.5362227024790658</v>
      </c>
      <c r="O41" s="97">
        <v>1.6878373609371868</v>
      </c>
      <c r="P41" s="97">
        <v>1.5878298035072345</v>
      </c>
      <c r="Q41" s="97">
        <v>1.6691935009738839</v>
      </c>
      <c r="R41" s="97">
        <v>1.7973247080389734</v>
      </c>
      <c r="S41" s="97">
        <v>1.7187619517949242</v>
      </c>
      <c r="T41" s="97">
        <v>1.8519124025458489</v>
      </c>
      <c r="U41" s="97">
        <v>1.9331776320060667</v>
      </c>
      <c r="V41" s="97">
        <v>2.0543869153647902</v>
      </c>
      <c r="W41" s="97">
        <v>2.0904862108556013</v>
      </c>
      <c r="DA41" s="175" t="s">
        <v>658</v>
      </c>
    </row>
    <row r="42" spans="1:105" ht="11.45" customHeight="1" x14ac:dyDescent="0.25">
      <c r="A42" s="27" t="s">
        <v>34</v>
      </c>
      <c r="B42" s="32">
        <f t="shared" ref="B42:K42" si="25">B43+B52</f>
        <v>1869.0232536186918</v>
      </c>
      <c r="C42" s="32">
        <f t="shared" si="25"/>
        <v>2126.3871236143896</v>
      </c>
      <c r="D42" s="32">
        <f t="shared" si="25"/>
        <v>2357.6642936316289</v>
      </c>
      <c r="E42" s="32">
        <f t="shared" si="25"/>
        <v>2539.1231269645014</v>
      </c>
      <c r="F42" s="32">
        <f t="shared" si="25"/>
        <v>2550.6483944377314</v>
      </c>
      <c r="G42" s="32">
        <f t="shared" si="25"/>
        <v>2681.4532678257046</v>
      </c>
      <c r="H42" s="32">
        <f t="shared" si="25"/>
        <v>2538.6131843318385</v>
      </c>
      <c r="I42" s="32">
        <f t="shared" si="25"/>
        <v>2548.3639606206725</v>
      </c>
      <c r="J42" s="32">
        <f t="shared" si="25"/>
        <v>2482.8649069019702</v>
      </c>
      <c r="K42" s="32">
        <f t="shared" si="25"/>
        <v>2364.986634326599</v>
      </c>
      <c r="L42" s="32">
        <f t="shared" ref="L42" si="26">L43+L52</f>
        <v>2551.1705179567812</v>
      </c>
      <c r="M42" s="32">
        <f t="shared" ref="M42:V42" si="27">M43+M52</f>
        <v>2372.4771602965129</v>
      </c>
      <c r="N42" s="32">
        <f t="shared" si="27"/>
        <v>2408.3903318922989</v>
      </c>
      <c r="O42" s="32">
        <f t="shared" si="27"/>
        <v>2764.6639569247955</v>
      </c>
      <c r="P42" s="32">
        <f t="shared" si="27"/>
        <v>2683.3997219604298</v>
      </c>
      <c r="Q42" s="32">
        <f t="shared" si="27"/>
        <v>2772.0335250995745</v>
      </c>
      <c r="R42" s="32">
        <f t="shared" si="27"/>
        <v>2838.1873391183976</v>
      </c>
      <c r="S42" s="32">
        <f t="shared" si="27"/>
        <v>2909.1155331480632</v>
      </c>
      <c r="T42" s="32">
        <f t="shared" si="27"/>
        <v>3057.1797718453422</v>
      </c>
      <c r="U42" s="32">
        <f t="shared" si="27"/>
        <v>3196.4285588350895</v>
      </c>
      <c r="V42" s="32">
        <f t="shared" si="27"/>
        <v>2890.1825475057244</v>
      </c>
      <c r="W42" s="32">
        <f t="shared" ref="W42" si="28">W43+W52</f>
        <v>3060.3027099987512</v>
      </c>
      <c r="DA42" s="173" t="s">
        <v>398</v>
      </c>
    </row>
    <row r="43" spans="1:105" ht="11.45" customHeight="1" x14ac:dyDescent="0.25">
      <c r="A43" s="136" t="s">
        <v>156</v>
      </c>
      <c r="B43" s="141">
        <f t="shared" ref="B43:K43" si="29">B44+B46+B48+B49+B51</f>
        <v>431.02083018518084</v>
      </c>
      <c r="C43" s="141">
        <f t="shared" si="29"/>
        <v>439.91509242328385</v>
      </c>
      <c r="D43" s="141">
        <f t="shared" si="29"/>
        <v>452.185528014113</v>
      </c>
      <c r="E43" s="141">
        <f t="shared" si="29"/>
        <v>453.91995076031901</v>
      </c>
      <c r="F43" s="141">
        <f t="shared" si="29"/>
        <v>452.42454043936681</v>
      </c>
      <c r="G43" s="141">
        <f t="shared" si="29"/>
        <v>460.84505998819031</v>
      </c>
      <c r="H43" s="141">
        <f t="shared" si="29"/>
        <v>469.08485520537681</v>
      </c>
      <c r="I43" s="141">
        <f t="shared" si="29"/>
        <v>477.80964428638248</v>
      </c>
      <c r="J43" s="141">
        <f t="shared" si="29"/>
        <v>470.48571852583126</v>
      </c>
      <c r="K43" s="141">
        <f t="shared" si="29"/>
        <v>465.90530978851149</v>
      </c>
      <c r="L43" s="141">
        <f t="shared" ref="L43" si="30">L44+L46+L48+L49+L51</f>
        <v>468.33125398430212</v>
      </c>
      <c r="M43" s="141">
        <f t="shared" ref="M43:V43" si="31">M44+M46+M48+M49+M51</f>
        <v>474.98647109189886</v>
      </c>
      <c r="N43" s="141">
        <f t="shared" si="31"/>
        <v>471.39370894878419</v>
      </c>
      <c r="O43" s="141">
        <f t="shared" si="31"/>
        <v>484.48960034062117</v>
      </c>
      <c r="P43" s="141">
        <f t="shared" si="31"/>
        <v>506.40821118995723</v>
      </c>
      <c r="Q43" s="141">
        <f t="shared" si="31"/>
        <v>520.68804587669081</v>
      </c>
      <c r="R43" s="141">
        <f t="shared" si="31"/>
        <v>530.46019674640672</v>
      </c>
      <c r="S43" s="141">
        <f t="shared" si="31"/>
        <v>533.46536531092829</v>
      </c>
      <c r="T43" s="141">
        <f t="shared" si="31"/>
        <v>542.43821327295507</v>
      </c>
      <c r="U43" s="141">
        <f t="shared" si="31"/>
        <v>557.60348578654407</v>
      </c>
      <c r="V43" s="141">
        <f t="shared" si="31"/>
        <v>564.70007856545601</v>
      </c>
      <c r="W43" s="141">
        <f t="shared" ref="W43" si="32">W44+W46+W48+W49+W51</f>
        <v>600.15819189462763</v>
      </c>
      <c r="DA43" s="174" t="s">
        <v>399</v>
      </c>
    </row>
    <row r="44" spans="1:105" ht="11.45" customHeight="1" x14ac:dyDescent="0.25">
      <c r="A44" s="111" t="s">
        <v>110</v>
      </c>
      <c r="B44" s="96">
        <v>65.188962125790908</v>
      </c>
      <c r="C44" s="96">
        <v>59.632270981250073</v>
      </c>
      <c r="D44" s="96">
        <v>41.097009047652691</v>
      </c>
      <c r="E44" s="96">
        <v>35.744396458897583</v>
      </c>
      <c r="F44" s="96">
        <v>31.282150236755005</v>
      </c>
      <c r="G44" s="96">
        <v>28.596554007240915</v>
      </c>
      <c r="H44" s="96">
        <v>27.054962733854108</v>
      </c>
      <c r="I44" s="96">
        <v>25.923762806997534</v>
      </c>
      <c r="J44" s="96">
        <v>24.1401670406098</v>
      </c>
      <c r="K44" s="96">
        <v>23.343789448260139</v>
      </c>
      <c r="L44" s="96">
        <v>22.70949667817289</v>
      </c>
      <c r="M44" s="96">
        <v>23.247666336775318</v>
      </c>
      <c r="N44" s="96">
        <v>23.155436352967186</v>
      </c>
      <c r="O44" s="96">
        <v>22.429407465152643</v>
      </c>
      <c r="P44" s="96">
        <v>22.948599830569876</v>
      </c>
      <c r="Q44" s="96">
        <v>23.522951446178457</v>
      </c>
      <c r="R44" s="96">
        <v>23.071152420385015</v>
      </c>
      <c r="S44" s="96">
        <v>23.125672701624438</v>
      </c>
      <c r="T44" s="96">
        <v>23.648992271972496</v>
      </c>
      <c r="U44" s="96">
        <v>23.325251922077758</v>
      </c>
      <c r="V44" s="96">
        <v>22.731407859040431</v>
      </c>
      <c r="W44" s="96">
        <v>22.944556812049981</v>
      </c>
      <c r="DA44" s="171" t="s">
        <v>659</v>
      </c>
    </row>
    <row r="45" spans="1:105" ht="11.45" customHeight="1" x14ac:dyDescent="0.25">
      <c r="A45" s="160" t="s">
        <v>131</v>
      </c>
      <c r="B45" s="96">
        <v>0</v>
      </c>
      <c r="C45" s="96">
        <v>0</v>
      </c>
      <c r="D45" s="96">
        <v>0</v>
      </c>
      <c r="E45" s="96">
        <v>0</v>
      </c>
      <c r="F45" s="96">
        <v>0</v>
      </c>
      <c r="G45" s="96">
        <v>0</v>
      </c>
      <c r="H45" s="96">
        <v>0</v>
      </c>
      <c r="I45" s="96">
        <v>0.16685750488114323</v>
      </c>
      <c r="J45" s="96">
        <v>0.67211955397621526</v>
      </c>
      <c r="K45" s="96">
        <v>0.98054948662802666</v>
      </c>
      <c r="L45" s="96">
        <v>0.96082589882529801</v>
      </c>
      <c r="M45" s="96">
        <v>1.0467574451536397</v>
      </c>
      <c r="N45" s="96">
        <v>1.0716651346904265</v>
      </c>
      <c r="O45" s="96">
        <v>0.90880798902865956</v>
      </c>
      <c r="P45" s="96">
        <v>0.90233052958576498</v>
      </c>
      <c r="Q45" s="96">
        <v>0.87228687879815203</v>
      </c>
      <c r="R45" s="96">
        <v>0.82729966023925239</v>
      </c>
      <c r="S45" s="96">
        <v>0.82224043602941377</v>
      </c>
      <c r="T45" s="96">
        <v>0.83327984130601629</v>
      </c>
      <c r="U45" s="96">
        <v>0.81024455215267499</v>
      </c>
      <c r="V45" s="96">
        <v>0.94002620172169271</v>
      </c>
      <c r="W45" s="96">
        <v>0.83810329109092652</v>
      </c>
      <c r="DA45" s="171" t="s">
        <v>660</v>
      </c>
    </row>
    <row r="46" spans="1:105" ht="11.45" customHeight="1" x14ac:dyDescent="0.25">
      <c r="A46" s="111" t="s">
        <v>111</v>
      </c>
      <c r="B46" s="96">
        <v>365.82528235110107</v>
      </c>
      <c r="C46" s="96">
        <v>380.27445944974568</v>
      </c>
      <c r="D46" s="96">
        <v>411.08118378436268</v>
      </c>
      <c r="E46" s="96">
        <v>418.14302512528769</v>
      </c>
      <c r="F46" s="96">
        <v>421.06824891489964</v>
      </c>
      <c r="G46" s="96">
        <v>431.94493379026017</v>
      </c>
      <c r="H46" s="96">
        <v>441.63256984049133</v>
      </c>
      <c r="I46" s="96">
        <v>451.38500747347382</v>
      </c>
      <c r="J46" s="96">
        <v>445.73421062548886</v>
      </c>
      <c r="K46" s="96">
        <v>442.12708085738615</v>
      </c>
      <c r="L46" s="96">
        <v>445.20923469226102</v>
      </c>
      <c r="M46" s="96">
        <v>451.32060368405365</v>
      </c>
      <c r="N46" s="96">
        <v>447.69731648048923</v>
      </c>
      <c r="O46" s="96">
        <v>460.55771352721285</v>
      </c>
      <c r="P46" s="96">
        <v>481.81810594608783</v>
      </c>
      <c r="Q46" s="96">
        <v>495.46411233588492</v>
      </c>
      <c r="R46" s="96">
        <v>504.68503809348795</v>
      </c>
      <c r="S46" s="96">
        <v>507.71380934604565</v>
      </c>
      <c r="T46" s="96">
        <v>516.0343046145382</v>
      </c>
      <c r="U46" s="96">
        <v>531.43015173677975</v>
      </c>
      <c r="V46" s="96">
        <v>539.00832278200062</v>
      </c>
      <c r="W46" s="96">
        <v>573.43263780088648</v>
      </c>
      <c r="DA46" s="171" t="s">
        <v>661</v>
      </c>
    </row>
    <row r="47" spans="1:105" ht="11.45" customHeight="1" x14ac:dyDescent="0.25">
      <c r="A47" s="160" t="s">
        <v>131</v>
      </c>
      <c r="B47" s="96">
        <v>1.4927610430628246</v>
      </c>
      <c r="C47" s="96">
        <v>1.5378899675217472</v>
      </c>
      <c r="D47" s="96">
        <v>1.5634306816789625</v>
      </c>
      <c r="E47" s="96">
        <v>1.4922573939193358</v>
      </c>
      <c r="F47" s="96">
        <v>1.4323089539324283</v>
      </c>
      <c r="G47" s="96">
        <v>5.5506347413974328</v>
      </c>
      <c r="H47" s="96">
        <v>20.085717218660911</v>
      </c>
      <c r="I47" s="96">
        <v>24.131256541766547</v>
      </c>
      <c r="J47" s="96">
        <v>27.191762530185965</v>
      </c>
      <c r="K47" s="96">
        <v>34.911758085741084</v>
      </c>
      <c r="L47" s="96">
        <v>32.33284706184849</v>
      </c>
      <c r="M47" s="96">
        <v>34.197949080180599</v>
      </c>
      <c r="N47" s="96">
        <v>33.25088837949388</v>
      </c>
      <c r="O47" s="96">
        <v>33.251426136151174</v>
      </c>
      <c r="P47" s="96">
        <v>42.519649995667557</v>
      </c>
      <c r="Q47" s="96">
        <v>47.182842397240144</v>
      </c>
      <c r="R47" s="96">
        <v>38.338798418843751</v>
      </c>
      <c r="S47" s="96">
        <v>32.929848589889843</v>
      </c>
      <c r="T47" s="96">
        <v>34.16299852644098</v>
      </c>
      <c r="U47" s="96">
        <v>34.398124489913705</v>
      </c>
      <c r="V47" s="96">
        <v>32.576834648017922</v>
      </c>
      <c r="W47" s="96">
        <v>34.970472703911504</v>
      </c>
      <c r="DA47" s="171" t="s">
        <v>662</v>
      </c>
    </row>
    <row r="48" spans="1:105" ht="11.45" customHeight="1" x14ac:dyDescent="0.25">
      <c r="A48" s="111" t="s">
        <v>112</v>
      </c>
      <c r="B48" s="96">
        <v>0</v>
      </c>
      <c r="C48" s="96">
        <v>0</v>
      </c>
      <c r="D48" s="96">
        <v>0</v>
      </c>
      <c r="E48" s="96">
        <v>2.5454238714157671E-2</v>
      </c>
      <c r="F48" s="96">
        <v>6.7587361652409014E-2</v>
      </c>
      <c r="G48" s="96">
        <v>0.29753715149098009</v>
      </c>
      <c r="H48" s="96">
        <v>0.28852601090294866</v>
      </c>
      <c r="I48" s="96">
        <v>0.28634297888538562</v>
      </c>
      <c r="J48" s="96">
        <v>0.26990658058515787</v>
      </c>
      <c r="K48" s="96">
        <v>0.25250026207581955</v>
      </c>
      <c r="L48" s="96">
        <v>0.23549059676083622</v>
      </c>
      <c r="M48" s="96">
        <v>0.21795603211686906</v>
      </c>
      <c r="N48" s="96">
        <v>0.22681885614339284</v>
      </c>
      <c r="O48" s="96">
        <v>0.24175478454609245</v>
      </c>
      <c r="P48" s="96">
        <v>0.27110329750765105</v>
      </c>
      <c r="Q48" s="96">
        <v>0.2828287670890639</v>
      </c>
      <c r="R48" s="96">
        <v>0.47059403539568967</v>
      </c>
      <c r="S48" s="96">
        <v>0.48156692219784764</v>
      </c>
      <c r="T48" s="96">
        <v>0.48274503425109705</v>
      </c>
      <c r="U48" s="96">
        <v>0.52350086322405975</v>
      </c>
      <c r="V48" s="96">
        <v>0.58139910972386555</v>
      </c>
      <c r="W48" s="96">
        <v>0.63434942900073255</v>
      </c>
      <c r="DA48" s="171" t="s">
        <v>663</v>
      </c>
    </row>
    <row r="49" spans="1:105" ht="11.45" customHeight="1" x14ac:dyDescent="0.25">
      <c r="A49" s="111" t="s">
        <v>113</v>
      </c>
      <c r="B49" s="96">
        <v>0</v>
      </c>
      <c r="C49" s="96">
        <v>0</v>
      </c>
      <c r="D49" s="96">
        <v>0</v>
      </c>
      <c r="E49" s="96">
        <v>0</v>
      </c>
      <c r="F49" s="96">
        <v>0</v>
      </c>
      <c r="G49" s="96">
        <v>0</v>
      </c>
      <c r="H49" s="96">
        <v>0.10325002485395551</v>
      </c>
      <c r="I49" s="96">
        <v>0.20783283348679008</v>
      </c>
      <c r="J49" s="96">
        <v>0.33419610395401333</v>
      </c>
      <c r="K49" s="96">
        <v>0.17191259269992196</v>
      </c>
      <c r="L49" s="96">
        <v>0.16207856999150974</v>
      </c>
      <c r="M49" s="96">
        <v>0.17697456795518274</v>
      </c>
      <c r="N49" s="96">
        <v>0.23250910199637939</v>
      </c>
      <c r="O49" s="96">
        <v>1.1290148667359876</v>
      </c>
      <c r="P49" s="96">
        <v>1.1945965473147329</v>
      </c>
      <c r="Q49" s="96">
        <v>1.185800014450723</v>
      </c>
      <c r="R49" s="96">
        <v>1.9086221379432249</v>
      </c>
      <c r="S49" s="96">
        <v>1.7621352351684183</v>
      </c>
      <c r="T49" s="96">
        <v>1.7846253777920953</v>
      </c>
      <c r="U49" s="96">
        <v>1.7089742463750051</v>
      </c>
      <c r="V49" s="96">
        <v>1.5276306759811833</v>
      </c>
      <c r="W49" s="96">
        <v>1.4471046396195262</v>
      </c>
      <c r="DA49" s="171" t="s">
        <v>664</v>
      </c>
    </row>
    <row r="50" spans="1:105" ht="11.45" customHeight="1" x14ac:dyDescent="0.25">
      <c r="A50" s="160" t="s">
        <v>132</v>
      </c>
      <c r="B50" s="96">
        <v>0</v>
      </c>
      <c r="C50" s="96">
        <v>0</v>
      </c>
      <c r="D50" s="96">
        <v>0</v>
      </c>
      <c r="E50" s="96">
        <v>0</v>
      </c>
      <c r="F50" s="96">
        <v>0</v>
      </c>
      <c r="G50" s="96">
        <v>0</v>
      </c>
      <c r="H50" s="96">
        <v>0</v>
      </c>
      <c r="I50" s="96">
        <v>0</v>
      </c>
      <c r="J50" s="96">
        <v>2.643607941627001E-5</v>
      </c>
      <c r="K50" s="96">
        <v>3.0081930544514279E-5</v>
      </c>
      <c r="L50" s="96">
        <v>3.0845669424590305E-5</v>
      </c>
      <c r="M50" s="96">
        <v>1.1265090258127479E-4</v>
      </c>
      <c r="N50" s="96">
        <v>2.0412890351803378E-4</v>
      </c>
      <c r="O50" s="96">
        <v>1.3223029739687789E-3</v>
      </c>
      <c r="P50" s="96">
        <v>3.7809430510043325E-2</v>
      </c>
      <c r="Q50" s="96">
        <v>2.774318064929843E-2</v>
      </c>
      <c r="R50" s="96">
        <v>4.4028160273885002E-2</v>
      </c>
      <c r="S50" s="96">
        <v>2.5990709764412426E-2</v>
      </c>
      <c r="T50" s="96">
        <v>3.8470350201647976E-2</v>
      </c>
      <c r="U50" s="96">
        <v>3.475643069050896E-2</v>
      </c>
      <c r="V50" s="96">
        <v>2.5827019080165218E-2</v>
      </c>
      <c r="W50" s="96">
        <v>2.6851541501275718E-2</v>
      </c>
      <c r="DA50" s="171" t="s">
        <v>665</v>
      </c>
    </row>
    <row r="51" spans="1:105" ht="11.45" customHeight="1" x14ac:dyDescent="0.25">
      <c r="A51" s="111" t="s">
        <v>115</v>
      </c>
      <c r="B51" s="96">
        <v>6.585708288866384E-3</v>
      </c>
      <c r="C51" s="96">
        <v>8.3619922880906975E-3</v>
      </c>
      <c r="D51" s="96">
        <v>7.3351820976262135E-3</v>
      </c>
      <c r="E51" s="96">
        <v>7.0749374195988616E-3</v>
      </c>
      <c r="F51" s="96">
        <v>6.5539260597853276E-3</v>
      </c>
      <c r="G51" s="96">
        <v>6.035039198239325E-3</v>
      </c>
      <c r="H51" s="96">
        <v>5.546595274504019E-3</v>
      </c>
      <c r="I51" s="96">
        <v>6.6981935388854387E-3</v>
      </c>
      <c r="J51" s="96">
        <v>7.2381751934614954E-3</v>
      </c>
      <c r="K51" s="96">
        <v>1.0026628089452426E-2</v>
      </c>
      <c r="L51" s="96">
        <v>1.4953447115800616E-2</v>
      </c>
      <c r="M51" s="96">
        <v>2.3270470997825171E-2</v>
      </c>
      <c r="N51" s="96">
        <v>8.1628157188069844E-2</v>
      </c>
      <c r="O51" s="96">
        <v>0.13170969697360227</v>
      </c>
      <c r="P51" s="96">
        <v>0.17580556847714701</v>
      </c>
      <c r="Q51" s="96">
        <v>0.23235331308763776</v>
      </c>
      <c r="R51" s="96">
        <v>0.32479005919483728</v>
      </c>
      <c r="S51" s="96">
        <v>0.38218110589186266</v>
      </c>
      <c r="T51" s="96">
        <v>0.48754597440117209</v>
      </c>
      <c r="U51" s="96">
        <v>0.61560701808757434</v>
      </c>
      <c r="V51" s="96">
        <v>0.85131813870986262</v>
      </c>
      <c r="W51" s="96">
        <v>1.6995432130708743</v>
      </c>
      <c r="DA51" s="171" t="s">
        <v>666</v>
      </c>
    </row>
    <row r="52" spans="1:105" ht="11.45" customHeight="1" x14ac:dyDescent="0.25">
      <c r="A52" s="109" t="s">
        <v>157</v>
      </c>
      <c r="B52" s="130">
        <f t="shared" ref="B52:K52" si="33">B53+B55</f>
        <v>1438.002423433511</v>
      </c>
      <c r="C52" s="130">
        <f t="shared" si="33"/>
        <v>1686.4720311911055</v>
      </c>
      <c r="D52" s="130">
        <f t="shared" si="33"/>
        <v>1905.4787656175158</v>
      </c>
      <c r="E52" s="130">
        <f t="shared" si="33"/>
        <v>2085.2031762041825</v>
      </c>
      <c r="F52" s="130">
        <f t="shared" si="33"/>
        <v>2098.2238539983646</v>
      </c>
      <c r="G52" s="130">
        <f t="shared" si="33"/>
        <v>2220.6082078375143</v>
      </c>
      <c r="H52" s="130">
        <f t="shared" si="33"/>
        <v>2069.5283291264618</v>
      </c>
      <c r="I52" s="130">
        <f t="shared" si="33"/>
        <v>2070.55431633429</v>
      </c>
      <c r="J52" s="130">
        <f t="shared" si="33"/>
        <v>2012.3791883761392</v>
      </c>
      <c r="K52" s="130">
        <f t="shared" si="33"/>
        <v>1899.0813245380873</v>
      </c>
      <c r="L52" s="130">
        <f t="shared" ref="L52" si="34">L53+L55</f>
        <v>2082.8392639724789</v>
      </c>
      <c r="M52" s="130">
        <f t="shared" ref="M52:V52" si="35">M53+M55</f>
        <v>1897.4906892046142</v>
      </c>
      <c r="N52" s="130">
        <f t="shared" si="35"/>
        <v>1936.9966229435149</v>
      </c>
      <c r="O52" s="130">
        <f t="shared" si="35"/>
        <v>2280.1743565841743</v>
      </c>
      <c r="P52" s="130">
        <f t="shared" si="35"/>
        <v>2176.9915107704728</v>
      </c>
      <c r="Q52" s="130">
        <f t="shared" si="35"/>
        <v>2251.3454792228836</v>
      </c>
      <c r="R52" s="130">
        <f t="shared" si="35"/>
        <v>2307.7271423719908</v>
      </c>
      <c r="S52" s="130">
        <f t="shared" si="35"/>
        <v>2375.6501678371346</v>
      </c>
      <c r="T52" s="130">
        <f t="shared" si="35"/>
        <v>2514.741558572387</v>
      </c>
      <c r="U52" s="130">
        <f t="shared" si="35"/>
        <v>2638.8250730485456</v>
      </c>
      <c r="V52" s="130">
        <f t="shared" si="35"/>
        <v>2325.4824689402685</v>
      </c>
      <c r="W52" s="130">
        <f t="shared" ref="W52" si="36">W53+W55</f>
        <v>2460.1445181041236</v>
      </c>
      <c r="DA52" s="176" t="s">
        <v>400</v>
      </c>
    </row>
    <row r="53" spans="1:105" ht="11.45" customHeight="1" x14ac:dyDescent="0.25">
      <c r="A53" s="128" t="s">
        <v>27</v>
      </c>
      <c r="B53" s="97">
        <v>592.25597485916546</v>
      </c>
      <c r="C53" s="97">
        <v>615.02892504010538</v>
      </c>
      <c r="D53" s="97">
        <v>631.31336771476288</v>
      </c>
      <c r="E53" s="97">
        <v>661.40473605602745</v>
      </c>
      <c r="F53" s="97">
        <v>619.70279460086135</v>
      </c>
      <c r="G53" s="97">
        <v>622.34780766870574</v>
      </c>
      <c r="H53" s="97">
        <v>683.64023865470517</v>
      </c>
      <c r="I53" s="97">
        <v>678.34933336851259</v>
      </c>
      <c r="J53" s="97">
        <v>655.506502041457</v>
      </c>
      <c r="K53" s="97">
        <v>623.96495560149526</v>
      </c>
      <c r="L53" s="97">
        <v>630.62250743836671</v>
      </c>
      <c r="M53" s="97">
        <v>626.19810258660198</v>
      </c>
      <c r="N53" s="97">
        <v>619.13329609537391</v>
      </c>
      <c r="O53" s="97">
        <v>642.83659093324854</v>
      </c>
      <c r="P53" s="97">
        <v>652.29035497395432</v>
      </c>
      <c r="Q53" s="97">
        <v>688.00705005529755</v>
      </c>
      <c r="R53" s="97">
        <v>715.06840711241352</v>
      </c>
      <c r="S53" s="97">
        <v>723.10969483083738</v>
      </c>
      <c r="T53" s="97">
        <v>738.30689998683749</v>
      </c>
      <c r="U53" s="97">
        <v>749.62128789524593</v>
      </c>
      <c r="V53" s="97">
        <v>693.54930858771525</v>
      </c>
      <c r="W53" s="97">
        <v>727.51958245525907</v>
      </c>
      <c r="DA53" s="175" t="s">
        <v>667</v>
      </c>
    </row>
    <row r="54" spans="1:105" ht="11.45" customHeight="1" x14ac:dyDescent="0.25">
      <c r="A54" s="160" t="s">
        <v>131</v>
      </c>
      <c r="B54" s="97">
        <v>2.4167182790347623</v>
      </c>
      <c r="C54" s="97">
        <v>2.4872740991427511</v>
      </c>
      <c r="D54" s="97">
        <v>2.4010213256491051</v>
      </c>
      <c r="E54" s="97">
        <v>2.3604031358819029</v>
      </c>
      <c r="F54" s="97">
        <v>2.107985733360656</v>
      </c>
      <c r="G54" s="97">
        <v>7.9973744156837618</v>
      </c>
      <c r="H54" s="97">
        <v>31.092372824485679</v>
      </c>
      <c r="I54" s="97">
        <v>36.264877028317869</v>
      </c>
      <c r="J54" s="97">
        <v>39.98880210583701</v>
      </c>
      <c r="K54" s="97">
        <v>49.270254022205478</v>
      </c>
      <c r="L54" s="97">
        <v>45.798288754854866</v>
      </c>
      <c r="M54" s="97">
        <v>47.44895458252482</v>
      </c>
      <c r="N54" s="97">
        <v>45.983595082354171</v>
      </c>
      <c r="O54" s="97">
        <v>46.411628321950047</v>
      </c>
      <c r="P54" s="97">
        <v>57.56354368332029</v>
      </c>
      <c r="Q54" s="97">
        <v>65.518626682980653</v>
      </c>
      <c r="R54" s="97">
        <v>54.320737582254623</v>
      </c>
      <c r="S54" s="97">
        <v>46.900226714990254</v>
      </c>
      <c r="T54" s="97">
        <v>48.878102309791601</v>
      </c>
      <c r="U54" s="97">
        <v>48.521082774546514</v>
      </c>
      <c r="V54" s="97">
        <v>41.917054322085178</v>
      </c>
      <c r="W54" s="97">
        <v>44.367379919952995</v>
      </c>
      <c r="DA54" s="175" t="s">
        <v>668</v>
      </c>
    </row>
    <row r="55" spans="1:105" ht="11.45" customHeight="1" x14ac:dyDescent="0.25">
      <c r="A55" s="128" t="s">
        <v>116</v>
      </c>
      <c r="B55" s="97">
        <v>845.74644857434544</v>
      </c>
      <c r="C55" s="97">
        <v>1071.4431061510002</v>
      </c>
      <c r="D55" s="97">
        <v>1274.1653979027531</v>
      </c>
      <c r="E55" s="97">
        <v>1423.7984401481551</v>
      </c>
      <c r="F55" s="97">
        <v>1478.5210593975034</v>
      </c>
      <c r="G55" s="97">
        <v>1598.2604001688087</v>
      </c>
      <c r="H55" s="97">
        <v>1385.8880904717566</v>
      </c>
      <c r="I55" s="97">
        <v>1392.2049829657774</v>
      </c>
      <c r="J55" s="97">
        <v>1356.8726863346822</v>
      </c>
      <c r="K55" s="97">
        <v>1275.1163689365919</v>
      </c>
      <c r="L55" s="97">
        <v>1452.2167565341124</v>
      </c>
      <c r="M55" s="97">
        <v>1271.2925866180121</v>
      </c>
      <c r="N55" s="97">
        <v>1317.863326848141</v>
      </c>
      <c r="O55" s="97">
        <v>1637.3377656509256</v>
      </c>
      <c r="P55" s="97">
        <v>1524.7011557965186</v>
      </c>
      <c r="Q55" s="97">
        <v>1563.3384291675861</v>
      </c>
      <c r="R55" s="97">
        <v>1592.6587352595773</v>
      </c>
      <c r="S55" s="97">
        <v>1652.5404730062974</v>
      </c>
      <c r="T55" s="97">
        <v>1776.4346585855494</v>
      </c>
      <c r="U55" s="97">
        <v>1889.2037851532996</v>
      </c>
      <c r="V55" s="97">
        <v>1631.9331603525532</v>
      </c>
      <c r="W55" s="97">
        <v>1732.6249356488643</v>
      </c>
      <c r="DA55" s="175" t="s">
        <v>669</v>
      </c>
    </row>
    <row r="56" spans="1:105" ht="11.45" customHeight="1" x14ac:dyDescent="0.25">
      <c r="A56" s="161" t="s">
        <v>131</v>
      </c>
      <c r="B56" s="98">
        <v>3.451093764287283</v>
      </c>
      <c r="C56" s="98">
        <v>4.3330851251600224</v>
      </c>
      <c r="D56" s="98">
        <v>4.8459266811390007</v>
      </c>
      <c r="E56" s="98">
        <v>5.0812129393412366</v>
      </c>
      <c r="F56" s="98">
        <v>5.0293484664541959</v>
      </c>
      <c r="G56" s="98">
        <v>20.538172829420024</v>
      </c>
      <c r="H56" s="98">
        <v>63.031031184995356</v>
      </c>
      <c r="I56" s="98">
        <v>74.427938558963291</v>
      </c>
      <c r="J56" s="98">
        <v>82.775248098487168</v>
      </c>
      <c r="K56" s="98">
        <v>100.68723706576637</v>
      </c>
      <c r="L56" s="98">
        <v>105.4656970943719</v>
      </c>
      <c r="M56" s="98">
        <v>96.329746056993471</v>
      </c>
      <c r="N56" s="98">
        <v>97.878912308302134</v>
      </c>
      <c r="O56" s="98">
        <v>118.21279760469292</v>
      </c>
      <c r="P56" s="98">
        <v>134.55235221009264</v>
      </c>
      <c r="Q56" s="98">
        <v>148.87607170821286</v>
      </c>
      <c r="R56" s="98">
        <v>120.98758154549591</v>
      </c>
      <c r="S56" s="98">
        <v>107.18224827261369</v>
      </c>
      <c r="T56" s="98">
        <v>117.60523298719282</v>
      </c>
      <c r="U56" s="98">
        <v>122.283364570377</v>
      </c>
      <c r="V56" s="98">
        <v>98.63153215710922</v>
      </c>
      <c r="W56" s="98">
        <v>105.66317475508605</v>
      </c>
      <c r="DA56" s="178" t="s">
        <v>670</v>
      </c>
    </row>
    <row r="57" spans="1:105" x14ac:dyDescent="0.25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DA57" s="171"/>
    </row>
    <row r="58" spans="1:105" ht="11.45" customHeight="1" x14ac:dyDescent="0.25">
      <c r="A58" s="68" t="s">
        <v>36</v>
      </c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DA58" s="179"/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73</v>
      </c>
      <c r="B60" s="79">
        <f>IF(B17=0,0,B17/TrRoad_act!B30*100)</f>
        <v>9.4513681081334902</v>
      </c>
      <c r="C60" s="79">
        <f>IF(C17=0,0,C17/TrRoad_act!C30*100)</f>
        <v>9.9378597377408209</v>
      </c>
      <c r="D60" s="79">
        <f>IF(D17=0,0,D17/TrRoad_act!D30*100)</f>
        <v>10.745891073737615</v>
      </c>
      <c r="E60" s="79">
        <f>IF(E17=0,0,E17/TrRoad_act!E30*100)</f>
        <v>11.281712763974323</v>
      </c>
      <c r="F60" s="79">
        <f>IF(F17=0,0,F17/TrRoad_act!F30*100)</f>
        <v>11.261069188320905</v>
      </c>
      <c r="G60" s="79">
        <f>IF(G17=0,0,G17/TrRoad_act!G30*100)</f>
        <v>11.46828317857771</v>
      </c>
      <c r="H60" s="79">
        <f>IF(H17=0,0,H17/TrRoad_act!H30*100)</f>
        <v>11.028484314450129</v>
      </c>
      <c r="I60" s="79">
        <f>IF(I17=0,0,I17/TrRoad_act!I30*100)</f>
        <v>10.949059748560016</v>
      </c>
      <c r="J60" s="79">
        <f>IF(J17=0,0,J17/TrRoad_act!J30*100)</f>
        <v>10.838998565158104</v>
      </c>
      <c r="K60" s="79">
        <f>IF(K17=0,0,K17/TrRoad_act!K30*100)</f>
        <v>10.693783247241004</v>
      </c>
      <c r="L60" s="79">
        <f>IF(L17=0,0,L17/TrRoad_act!L30*100)</f>
        <v>10.921553242638742</v>
      </c>
      <c r="M60" s="79">
        <f>IF(M17=0,0,M17/TrRoad_act!M30*100)</f>
        <v>10.304742230645354</v>
      </c>
      <c r="N60" s="79">
        <f>IF(N17=0,0,N17/TrRoad_act!N30*100)</f>
        <v>10.295496661103313</v>
      </c>
      <c r="O60" s="79">
        <f>IF(O17=0,0,O17/TrRoad_act!O30*100)</f>
        <v>10.775809538387575</v>
      </c>
      <c r="P60" s="79">
        <f>IF(P17=0,0,P17/TrRoad_act!P30*100)</f>
        <v>10.471436844268984</v>
      </c>
      <c r="Q60" s="79">
        <f>IF(Q17=0,0,Q17/TrRoad_act!Q30*100)</f>
        <v>10.482208888749513</v>
      </c>
      <c r="R60" s="79">
        <f>IF(R17=0,0,R17/TrRoad_act!R30*100)</f>
        <v>10.386672691936898</v>
      </c>
      <c r="S60" s="79">
        <f>IF(S17=0,0,S17/TrRoad_act!S30*100)</f>
        <v>10.333424923720431</v>
      </c>
      <c r="T60" s="79">
        <f>IF(T17=0,0,T17/TrRoad_act!T30*100)</f>
        <v>10.643687414035444</v>
      </c>
      <c r="U60" s="79">
        <f>IF(U17=0,0,U17/TrRoad_act!U30*100)</f>
        <v>10.878122475488183</v>
      </c>
      <c r="V60" s="79">
        <f>IF(V17=0,0,V17/TrRoad_act!V30*100)</f>
        <v>10.344637904516127</v>
      </c>
      <c r="W60" s="79">
        <f>IF(W17=0,0,W17/TrRoad_act!W30*100)</f>
        <v>10.263024470847929</v>
      </c>
      <c r="DA60" s="172" t="s">
        <v>671</v>
      </c>
    </row>
    <row r="61" spans="1:105" ht="11.45" customHeight="1" x14ac:dyDescent="0.25">
      <c r="A61" s="27" t="s">
        <v>33</v>
      </c>
      <c r="B61" s="32">
        <f>IF(B18=0,0,B18/TrRoad_act!B31*100)</f>
        <v>7.2103742204558552</v>
      </c>
      <c r="C61" s="32">
        <f>IF(C18=0,0,C18/TrRoad_act!C31*100)</f>
        <v>7.3913000564612616</v>
      </c>
      <c r="D61" s="32">
        <f>IF(D18=0,0,D18/TrRoad_act!D31*100)</f>
        <v>8.0013239570322838</v>
      </c>
      <c r="E61" s="32">
        <f>IF(E18=0,0,E18/TrRoad_act!E31*100)</f>
        <v>8.3694052845591909</v>
      </c>
      <c r="F61" s="32">
        <f>IF(F18=0,0,F18/TrRoad_act!F31*100)</f>
        <v>8.4006374847921226</v>
      </c>
      <c r="G61" s="32">
        <f>IF(G18=0,0,G18/TrRoad_act!G31*100)</f>
        <v>8.4975570091049217</v>
      </c>
      <c r="H61" s="32">
        <f>IF(H18=0,0,H18/TrRoad_act!H31*100)</f>
        <v>8.3389531034926367</v>
      </c>
      <c r="I61" s="32">
        <f>IF(I18=0,0,I18/TrRoad_act!I31*100)</f>
        <v>8.3467063848658896</v>
      </c>
      <c r="J61" s="32">
        <f>IF(J18=0,0,J18/TrRoad_act!J31*100)</f>
        <v>8.2804285388256815</v>
      </c>
      <c r="K61" s="32">
        <f>IF(K18=0,0,K18/TrRoad_act!K31*100)</f>
        <v>8.2165786802147345</v>
      </c>
      <c r="L61" s="32">
        <f>IF(L18=0,0,L18/TrRoad_act!L31*100)</f>
        <v>8.218207469467929</v>
      </c>
      <c r="M61" s="32">
        <f>IF(M18=0,0,M18/TrRoad_act!M31*100)</f>
        <v>7.8748826516969181</v>
      </c>
      <c r="N61" s="32">
        <f>IF(N18=0,0,N18/TrRoad_act!N31*100)</f>
        <v>7.7893260847243075</v>
      </c>
      <c r="O61" s="32">
        <f>IF(O18=0,0,O18/TrRoad_act!O31*100)</f>
        <v>7.8321062561021701</v>
      </c>
      <c r="P61" s="32">
        <f>IF(P18=0,0,P18/TrRoad_act!P31*100)</f>
        <v>7.7380587391100768</v>
      </c>
      <c r="Q61" s="32">
        <f>IF(Q18=0,0,Q18/TrRoad_act!Q31*100)</f>
        <v>7.7386881439618698</v>
      </c>
      <c r="R61" s="32">
        <f>IF(R18=0,0,R18/TrRoad_act!R31*100)</f>
        <v>7.6482622877682997</v>
      </c>
      <c r="S61" s="32">
        <f>IF(S18=0,0,S18/TrRoad_act!S31*100)</f>
        <v>7.566846943452382</v>
      </c>
      <c r="T61" s="32">
        <f>IF(T18=0,0,T18/TrRoad_act!T31*100)</f>
        <v>7.6796202139981586</v>
      </c>
      <c r="U61" s="32">
        <f>IF(U18=0,0,U18/TrRoad_act!U31*100)</f>
        <v>7.7018650040389698</v>
      </c>
      <c r="V61" s="32">
        <f>IF(V18=0,0,V18/TrRoad_act!V31*100)</f>
        <v>7.2731337587125768</v>
      </c>
      <c r="W61" s="32">
        <f>IF(W18=0,0,W18/TrRoad_act!W31*100)</f>
        <v>7.144396179348961</v>
      </c>
      <c r="DA61" s="173" t="s">
        <v>672</v>
      </c>
    </row>
    <row r="62" spans="1:105" ht="11.45" customHeight="1" x14ac:dyDescent="0.25">
      <c r="A62" s="136" t="s">
        <v>180</v>
      </c>
      <c r="B62" s="141">
        <f>IF(B19=0,0,B19/TrRoad_act!B32*100)</f>
        <v>3.6834807002951533</v>
      </c>
      <c r="C62" s="141">
        <f>IF(C19=0,0,C19/TrRoad_act!C32*100)</f>
        <v>3.6617756609876455</v>
      </c>
      <c r="D62" s="141">
        <f>IF(D19=0,0,D19/TrRoad_act!D32*100)</f>
        <v>3.6497534906481026</v>
      </c>
      <c r="E62" s="141">
        <f>IF(E19=0,0,E19/TrRoad_act!E32*100)</f>
        <v>3.6463407209797611</v>
      </c>
      <c r="F62" s="141">
        <f>IF(F19=0,0,F19/TrRoad_act!F32*100)</f>
        <v>3.6127844851591249</v>
      </c>
      <c r="G62" s="141">
        <f>IF(G19=0,0,G19/TrRoad_act!G32*100)</f>
        <v>3.5946015282233859</v>
      </c>
      <c r="H62" s="141">
        <f>IF(H19=0,0,H19/TrRoad_act!H32*100)</f>
        <v>3.5783424319014405</v>
      </c>
      <c r="I62" s="141">
        <f>IF(I19=0,0,I19/TrRoad_act!I32*100)</f>
        <v>3.5612978769716821</v>
      </c>
      <c r="J62" s="141">
        <f>IF(J19=0,0,J19/TrRoad_act!J32*100)</f>
        <v>3.5566040025622567</v>
      </c>
      <c r="K62" s="141">
        <f>IF(K19=0,0,K19/TrRoad_act!K32*100)</f>
        <v>3.5645983505707699</v>
      </c>
      <c r="L62" s="141">
        <f>IF(L19=0,0,L19/TrRoad_act!L32*100)</f>
        <v>3.5488736727142416</v>
      </c>
      <c r="M62" s="141">
        <f>IF(M19=0,0,M19/TrRoad_act!M32*100)</f>
        <v>3.5452762010954637</v>
      </c>
      <c r="N62" s="141">
        <f>IF(N19=0,0,N19/TrRoad_act!N32*100)</f>
        <v>3.5112344289822115</v>
      </c>
      <c r="O62" s="141">
        <f>IF(O19=0,0,O19/TrRoad_act!O32*100)</f>
        <v>3.5479708314209573</v>
      </c>
      <c r="P62" s="141">
        <f>IF(P19=0,0,P19/TrRoad_act!P32*100)</f>
        <v>3.5794882987117091</v>
      </c>
      <c r="Q62" s="141">
        <f>IF(Q19=0,0,Q19/TrRoad_act!Q32*100)</f>
        <v>3.5590441271307087</v>
      </c>
      <c r="R62" s="141">
        <f>IF(R19=0,0,R19/TrRoad_act!R32*100)</f>
        <v>3.52731516812322</v>
      </c>
      <c r="S62" s="141">
        <f>IF(S19=0,0,S19/TrRoad_act!S32*100)</f>
        <v>3.6708709032122728</v>
      </c>
      <c r="T62" s="141">
        <f>IF(T19=0,0,T19/TrRoad_act!T32*100)</f>
        <v>3.6829137618408598</v>
      </c>
      <c r="U62" s="141">
        <f>IF(U19=0,0,U19/TrRoad_act!U32*100)</f>
        <v>3.6911954232106097</v>
      </c>
      <c r="V62" s="141">
        <f>IF(V19=0,0,V19/TrRoad_act!V32*100)</f>
        <v>3.713995422575163</v>
      </c>
      <c r="W62" s="141">
        <f>IF(W19=0,0,W19/TrRoad_act!W32*100)</f>
        <v>3.4057528159741328</v>
      </c>
      <c r="DA62" s="174" t="s">
        <v>673</v>
      </c>
    </row>
    <row r="63" spans="1:105" ht="11.45" customHeight="1" x14ac:dyDescent="0.25">
      <c r="A63" s="109" t="s">
        <v>20</v>
      </c>
      <c r="B63" s="130">
        <f>IF(B21=0,0,B21/TrRoad_act!B33*100)</f>
        <v>6.854167809858204</v>
      </c>
      <c r="C63" s="130">
        <f>IF(C21=0,0,C21/TrRoad_act!C33*100)</f>
        <v>7.0480496485727517</v>
      </c>
      <c r="D63" s="130">
        <f>IF(D21=0,0,D21/TrRoad_act!D33*100)</f>
        <v>7.6710296889067831</v>
      </c>
      <c r="E63" s="130">
        <f>IF(E21=0,0,E21/TrRoad_act!E33*100)</f>
        <v>8.0453639947714617</v>
      </c>
      <c r="F63" s="130">
        <f>IF(F21=0,0,F21/TrRoad_act!F33*100)</f>
        <v>8.0914568397226034</v>
      </c>
      <c r="G63" s="130">
        <f>IF(G21=0,0,G21/TrRoad_act!G33*100)</f>
        <v>8.2015235277286695</v>
      </c>
      <c r="H63" s="130">
        <f>IF(H21=0,0,H21/TrRoad_act!H33*100)</f>
        <v>8.0516653972389509</v>
      </c>
      <c r="I63" s="130">
        <f>IF(I21=0,0,I21/TrRoad_act!I33*100)</f>
        <v>8.0484067196982458</v>
      </c>
      <c r="J63" s="130">
        <f>IF(J21=0,0,J21/TrRoad_act!J33*100)</f>
        <v>7.9870821286249756</v>
      </c>
      <c r="K63" s="130">
        <f>IF(K21=0,0,K21/TrRoad_act!K33*100)</f>
        <v>7.9547043372798552</v>
      </c>
      <c r="L63" s="130">
        <f>IF(L21=0,0,L21/TrRoad_act!L33*100)</f>
        <v>7.9332571292723877</v>
      </c>
      <c r="M63" s="130">
        <f>IF(M21=0,0,M21/TrRoad_act!M33*100)</f>
        <v>7.5909453344167908</v>
      </c>
      <c r="N63" s="130">
        <f>IF(N21=0,0,N21/TrRoad_act!N33*100)</f>
        <v>7.5075925220535504</v>
      </c>
      <c r="O63" s="130">
        <f>IF(O21=0,0,O21/TrRoad_act!O33*100)</f>
        <v>7.5571268121330322</v>
      </c>
      <c r="P63" s="130">
        <f>IF(P21=0,0,P21/TrRoad_act!P33*100)</f>
        <v>7.4574926688964345</v>
      </c>
      <c r="Q63" s="130">
        <f>IF(Q21=0,0,Q21/TrRoad_act!Q33*100)</f>
        <v>7.4605102179869611</v>
      </c>
      <c r="R63" s="130">
        <f>IF(R21=0,0,R21/TrRoad_act!R33*100)</f>
        <v>7.3610832485595301</v>
      </c>
      <c r="S63" s="130">
        <f>IF(S21=0,0,S21/TrRoad_act!S33*100)</f>
        <v>7.2596114666309326</v>
      </c>
      <c r="T63" s="130">
        <f>IF(T21=0,0,T21/TrRoad_act!T33*100)</f>
        <v>7.3786971256992659</v>
      </c>
      <c r="U63" s="130">
        <f>IF(U21=0,0,U21/TrRoad_act!U33*100)</f>
        <v>7.3993685980648092</v>
      </c>
      <c r="V63" s="130">
        <f>IF(V21=0,0,V21/TrRoad_act!V33*100)</f>
        <v>6.9133612503161386</v>
      </c>
      <c r="W63" s="130">
        <f>IF(W21=0,0,W21/TrRoad_act!W33*100)</f>
        <v>6.8054633603701049</v>
      </c>
      <c r="DA63" s="176" t="s">
        <v>674</v>
      </c>
    </row>
    <row r="64" spans="1:105" ht="11.45" customHeight="1" x14ac:dyDescent="0.25">
      <c r="A64" s="111" t="s">
        <v>110</v>
      </c>
      <c r="B64" s="96">
        <f>IF(B22=0,0,B22/TrRoad_act!B34*100)</f>
        <v>6.2450034744917389</v>
      </c>
      <c r="C64" s="96">
        <f>IF(C22=0,0,C22/TrRoad_act!C34*100)</f>
        <v>6.3439611680526475</v>
      </c>
      <c r="D64" s="96">
        <f>IF(D22=0,0,D22/TrRoad_act!D34*100)</f>
        <v>7.1431532104690403</v>
      </c>
      <c r="E64" s="96">
        <f>IF(E22=0,0,E22/TrRoad_act!E34*100)</f>
        <v>7.6300449381473383</v>
      </c>
      <c r="F64" s="96">
        <f>IF(F22=0,0,F22/TrRoad_act!F34*100)</f>
        <v>7.774304669315292</v>
      </c>
      <c r="G64" s="96">
        <f>IF(G22=0,0,G22/TrRoad_act!G34*100)</f>
        <v>7.8992407869538219</v>
      </c>
      <c r="H64" s="96">
        <f>IF(H22=0,0,H22/TrRoad_act!H34*100)</f>
        <v>7.8850731169971864</v>
      </c>
      <c r="I64" s="96">
        <f>IF(I22=0,0,I22/TrRoad_act!I34*100)</f>
        <v>7.9610340789465397</v>
      </c>
      <c r="J64" s="96">
        <f>IF(J22=0,0,J22/TrRoad_act!J34*100)</f>
        <v>7.9618951186612259</v>
      </c>
      <c r="K64" s="96">
        <f>IF(K22=0,0,K22/TrRoad_act!K34*100)</f>
        <v>7.8610344074637348</v>
      </c>
      <c r="L64" s="96">
        <f>IF(L22=0,0,L22/TrRoad_act!L34*100)</f>
        <v>7.7632143463291197</v>
      </c>
      <c r="M64" s="96">
        <f>IF(M22=0,0,M22/TrRoad_act!M34*100)</f>
        <v>7.4444770551068036</v>
      </c>
      <c r="N64" s="96">
        <f>IF(N22=0,0,N22/TrRoad_act!N34*100)</f>
        <v>7.3145780696435443</v>
      </c>
      <c r="O64" s="96">
        <f>IF(O22=0,0,O22/TrRoad_act!O34*100)</f>
        <v>7.246087746634136</v>
      </c>
      <c r="P64" s="96">
        <f>IF(P22=0,0,P22/TrRoad_act!P34*100)</f>
        <v>7.2724210824093918</v>
      </c>
      <c r="Q64" s="96">
        <f>IF(Q22=0,0,Q22/TrRoad_act!Q34*100)</f>
        <v>7.4072502179413826</v>
      </c>
      <c r="R64" s="96">
        <f>IF(R22=0,0,R22/TrRoad_act!R34*100)</f>
        <v>7.3756270325524831</v>
      </c>
      <c r="S64" s="96">
        <f>IF(S22=0,0,S22/TrRoad_act!S34*100)</f>
        <v>7.3126734344790192</v>
      </c>
      <c r="T64" s="96">
        <f>IF(T22=0,0,T22/TrRoad_act!T34*100)</f>
        <v>7.4639549657214612</v>
      </c>
      <c r="U64" s="96">
        <f>IF(U22=0,0,U22/TrRoad_act!U34*100)</f>
        <v>7.4496325893812925</v>
      </c>
      <c r="V64" s="96">
        <f>IF(V22=0,0,V22/TrRoad_act!V34*100)</f>
        <v>6.8033225330509621</v>
      </c>
      <c r="W64" s="96">
        <f>IF(W22=0,0,W22/TrRoad_act!W34*100)</f>
        <v>6.7189484530553036</v>
      </c>
      <c r="DA64" s="171" t="s">
        <v>675</v>
      </c>
    </row>
    <row r="65" spans="1:105" ht="11.45" customHeight="1" x14ac:dyDescent="0.25">
      <c r="A65" s="111" t="s">
        <v>111</v>
      </c>
      <c r="B65" s="96">
        <f>IF(B24=0,0,B24/TrRoad_act!B35*100)</f>
        <v>7.6388346402168184</v>
      </c>
      <c r="C65" s="96">
        <f>IF(C24=0,0,C24/TrRoad_act!C35*100)</f>
        <v>7.904620336845956</v>
      </c>
      <c r="D65" s="96">
        <f>IF(D24=0,0,D24/TrRoad_act!D35*100)</f>
        <v>8.2490037356618782</v>
      </c>
      <c r="E65" s="96">
        <f>IF(E24=0,0,E24/TrRoad_act!E35*100)</f>
        <v>8.4583161904908</v>
      </c>
      <c r="F65" s="96">
        <f>IF(F24=0,0,F24/TrRoad_act!F35*100)</f>
        <v>8.3793112475517777</v>
      </c>
      <c r="G65" s="96">
        <f>IF(G24=0,0,G24/TrRoad_act!G35*100)</f>
        <v>8.4529122747875594</v>
      </c>
      <c r="H65" s="96">
        <f>IF(H24=0,0,H24/TrRoad_act!H35*100)</f>
        <v>8.184329668008866</v>
      </c>
      <c r="I65" s="96">
        <f>IF(I24=0,0,I24/TrRoad_act!I35*100)</f>
        <v>8.1163678295797563</v>
      </c>
      <c r="J65" s="96">
        <f>IF(J24=0,0,J24/TrRoad_act!J35*100)</f>
        <v>8.010892244205337</v>
      </c>
      <c r="K65" s="96">
        <f>IF(K24=0,0,K24/TrRoad_act!K35*100)</f>
        <v>8.0194388294908183</v>
      </c>
      <c r="L65" s="96">
        <f>IF(L24=0,0,L24/TrRoad_act!L35*100)</f>
        <v>8.0462133338916342</v>
      </c>
      <c r="M65" s="96">
        <f>IF(M24=0,0,M24/TrRoad_act!M35*100)</f>
        <v>7.6828281370481157</v>
      </c>
      <c r="N65" s="96">
        <f>IF(N24=0,0,N24/TrRoad_act!N35*100)</f>
        <v>7.6249511409658046</v>
      </c>
      <c r="O65" s="96">
        <f>IF(O24=0,0,O24/TrRoad_act!O35*100)</f>
        <v>7.7377055294573598</v>
      </c>
      <c r="P65" s="96">
        <f>IF(P24=0,0,P24/TrRoad_act!P35*100)</f>
        <v>7.5656573927028097</v>
      </c>
      <c r="Q65" s="96">
        <f>IF(Q24=0,0,Q24/TrRoad_act!Q35*100)</f>
        <v>7.5036884660407823</v>
      </c>
      <c r="R65" s="96">
        <f>IF(R24=0,0,R24/TrRoad_act!R35*100)</f>
        <v>7.3762610321602962</v>
      </c>
      <c r="S65" s="96">
        <f>IF(S24=0,0,S24/TrRoad_act!S35*100)</f>
        <v>7.2673203914531612</v>
      </c>
      <c r="T65" s="96">
        <f>IF(T24=0,0,T24/TrRoad_act!T35*100)</f>
        <v>7.3872201440051519</v>
      </c>
      <c r="U65" s="96">
        <f>IF(U24=0,0,U24/TrRoad_act!U35*100)</f>
        <v>7.4440962975882385</v>
      </c>
      <c r="V65" s="96">
        <f>IF(V24=0,0,V24/TrRoad_act!V35*100)</f>
        <v>7.0641742405765067</v>
      </c>
      <c r="W65" s="96">
        <f>IF(W24=0,0,W24/TrRoad_act!W35*100)</f>
        <v>7.0311132118397</v>
      </c>
      <c r="DA65" s="171" t="s">
        <v>676</v>
      </c>
    </row>
    <row r="66" spans="1:105" ht="11.45" customHeight="1" x14ac:dyDescent="0.25">
      <c r="A66" s="111" t="s">
        <v>112</v>
      </c>
      <c r="B66" s="96">
        <f>IF(B26=0,0,B26/TrRoad_act!B36*100)</f>
        <v>7.9043364389210158</v>
      </c>
      <c r="C66" s="96">
        <f>IF(C26=0,0,C26/TrRoad_act!C36*100)</f>
        <v>7.9398687062909064</v>
      </c>
      <c r="D66" s="96">
        <f>IF(D26=0,0,D26/TrRoad_act!D36*100)</f>
        <v>7.544716508215596</v>
      </c>
      <c r="E66" s="96">
        <f>IF(E26=0,0,E26/TrRoad_act!E36*100)</f>
        <v>7.4046653593552989</v>
      </c>
      <c r="F66" s="96">
        <f>IF(F26=0,0,F26/TrRoad_act!F36*100)</f>
        <v>7.4334292969252189</v>
      </c>
      <c r="G66" s="96">
        <f>IF(G26=0,0,G26/TrRoad_act!G36*100)</f>
        <v>7.0195304991277077</v>
      </c>
      <c r="H66" s="96">
        <f>IF(H26=0,0,H26/TrRoad_act!H36*100)</f>
        <v>6.8764711637728864</v>
      </c>
      <c r="I66" s="96">
        <f>IF(I26=0,0,I26/TrRoad_act!I36*100)</f>
        <v>6.9190848553044955</v>
      </c>
      <c r="J66" s="96">
        <f>IF(J26=0,0,J26/TrRoad_act!J36*100)</f>
        <v>7.2058672730217594</v>
      </c>
      <c r="K66" s="96">
        <f>IF(K26=0,0,K26/TrRoad_act!K36*100)</f>
        <v>7.470267148682681</v>
      </c>
      <c r="L66" s="96">
        <f>IF(L26=0,0,L26/TrRoad_act!L36*100)</f>
        <v>7.347221430922807</v>
      </c>
      <c r="M66" s="96">
        <f>IF(M26=0,0,M26/TrRoad_act!M36*100)</f>
        <v>6.9948068186004253</v>
      </c>
      <c r="N66" s="96">
        <f>IF(N26=0,0,N26/TrRoad_act!N36*100)</f>
        <v>7.175334857829939</v>
      </c>
      <c r="O66" s="96">
        <f>IF(O26=0,0,O26/TrRoad_act!O36*100)</f>
        <v>7.1189766761164082</v>
      </c>
      <c r="P66" s="96">
        <f>IF(P26=0,0,P26/TrRoad_act!P36*100)</f>
        <v>6.7416684136405847</v>
      </c>
      <c r="Q66" s="96">
        <f>IF(Q26=0,0,Q26/TrRoad_act!Q36*100)</f>
        <v>6.5990115104295324</v>
      </c>
      <c r="R66" s="96">
        <f>IF(R26=0,0,R26/TrRoad_act!R36*100)</f>
        <v>7.3905039601340485</v>
      </c>
      <c r="S66" s="96">
        <f>IF(S26=0,0,S26/TrRoad_act!S36*100)</f>
        <v>7.9132075050266186</v>
      </c>
      <c r="T66" s="96">
        <f>IF(T26=0,0,T26/TrRoad_act!T36*100)</f>
        <v>7.4016286296299656</v>
      </c>
      <c r="U66" s="96">
        <f>IF(U26=0,0,U26/TrRoad_act!U36*100)</f>
        <v>8.4126728087945768</v>
      </c>
      <c r="V66" s="96">
        <f>IF(V26=0,0,V26/TrRoad_act!V36*100)</f>
        <v>6.8214856773088002</v>
      </c>
      <c r="W66" s="96">
        <f>IF(W26=0,0,W26/TrRoad_act!W36*100)</f>
        <v>5.0225851871081719</v>
      </c>
      <c r="DA66" s="171" t="s">
        <v>677</v>
      </c>
    </row>
    <row r="67" spans="1:105" ht="11.45" customHeight="1" x14ac:dyDescent="0.25">
      <c r="A67" s="111" t="s">
        <v>113</v>
      </c>
      <c r="B67" s="96">
        <f>IF(B27=0,0,B27/TrRoad_act!B37*100)</f>
        <v>0</v>
      </c>
      <c r="C67" s="96">
        <f>IF(C27=0,0,C27/TrRoad_act!C37*100)</f>
        <v>0</v>
      </c>
      <c r="D67" s="96">
        <f>IF(D27=0,0,D27/TrRoad_act!D37*100)</f>
        <v>0</v>
      </c>
      <c r="E67" s="96">
        <f>IF(E27=0,0,E27/TrRoad_act!E37*100)</f>
        <v>0</v>
      </c>
      <c r="F67" s="96">
        <f>IF(F27=0,0,F27/TrRoad_act!F37*100)</f>
        <v>0</v>
      </c>
      <c r="G67" s="96">
        <f>IF(G27=0,0,G27/TrRoad_act!G37*100)</f>
        <v>0</v>
      </c>
      <c r="H67" s="96">
        <f>IF(H27=0,0,H27/TrRoad_act!H37*100)</f>
        <v>6.9786932591948574</v>
      </c>
      <c r="I67" s="96">
        <f>IF(I27=0,0,I27/TrRoad_act!I37*100)</f>
        <v>6.8955726147769996</v>
      </c>
      <c r="J67" s="96">
        <f>IF(J27=0,0,J27/TrRoad_act!J37*100)</f>
        <v>6.6940548658554047</v>
      </c>
      <c r="K67" s="96">
        <f>IF(K27=0,0,K27/TrRoad_act!K37*100)</f>
        <v>6.6445305807359079</v>
      </c>
      <c r="L67" s="96">
        <f>IF(L27=0,0,L27/TrRoad_act!L37*100)</f>
        <v>6.9265001554072754</v>
      </c>
      <c r="M67" s="96">
        <f>IF(M27=0,0,M27/TrRoad_act!M37*100)</f>
        <v>7.0870796984417446</v>
      </c>
      <c r="N67" s="96">
        <f>IF(N27=0,0,N27/TrRoad_act!N37*100)</f>
        <v>7.0789767339142928</v>
      </c>
      <c r="O67" s="96">
        <f>IF(O27=0,0,O27/TrRoad_act!O37*100)</f>
        <v>6.8081763935806965</v>
      </c>
      <c r="P67" s="96">
        <f>IF(P27=0,0,P27/TrRoad_act!P37*100)</f>
        <v>6.5454475869091073</v>
      </c>
      <c r="Q67" s="96">
        <f>IF(Q27=0,0,Q27/TrRoad_act!Q37*100)</f>
        <v>6.4002170976660482</v>
      </c>
      <c r="R67" s="96">
        <f>IF(R27=0,0,R27/TrRoad_act!R37*100)</f>
        <v>6.2901825017376751</v>
      </c>
      <c r="S67" s="96">
        <f>IF(S27=0,0,S27/TrRoad_act!S37*100)</f>
        <v>6.2146835450078406</v>
      </c>
      <c r="T67" s="96">
        <f>IF(T27=0,0,T27/TrRoad_act!T37*100)</f>
        <v>6.1200978115868425</v>
      </c>
      <c r="U67" s="96">
        <f>IF(U27=0,0,U27/TrRoad_act!U37*100)</f>
        <v>6.0485693510937066</v>
      </c>
      <c r="V67" s="96">
        <f>IF(V27=0,0,V27/TrRoad_act!V37*100)</f>
        <v>5.9390963017541427</v>
      </c>
      <c r="W67" s="96">
        <f>IF(W27=0,0,W27/TrRoad_act!W37*100)</f>
        <v>5.8672685617979763</v>
      </c>
      <c r="DA67" s="171" t="s">
        <v>678</v>
      </c>
    </row>
    <row r="68" spans="1:105" ht="11.45" customHeight="1" x14ac:dyDescent="0.25">
      <c r="A68" s="111" t="s">
        <v>114</v>
      </c>
      <c r="B68" s="96">
        <f>IF(B29=0,0,B29/TrRoad_act!B38*100)</f>
        <v>0</v>
      </c>
      <c r="C68" s="96">
        <f>IF(C29=0,0,C29/TrRoad_act!C38*100)</f>
        <v>0</v>
      </c>
      <c r="D68" s="96">
        <f>IF(D29=0,0,D29/TrRoad_act!D38*100)</f>
        <v>0</v>
      </c>
      <c r="E68" s="96">
        <f>IF(E29=0,0,E29/TrRoad_act!E38*100)</f>
        <v>0</v>
      </c>
      <c r="F68" s="96">
        <f>IF(F29=0,0,F29/TrRoad_act!F38*100)</f>
        <v>0</v>
      </c>
      <c r="G68" s="96">
        <f>IF(G29=0,0,G29/TrRoad_act!G38*100)</f>
        <v>0</v>
      </c>
      <c r="H68" s="96">
        <f>IF(H29=0,0,H29/TrRoad_act!H38*100)</f>
        <v>0</v>
      </c>
      <c r="I68" s="96">
        <f>IF(I29=0,0,I29/TrRoad_act!I38*100)</f>
        <v>0</v>
      </c>
      <c r="J68" s="96">
        <f>IF(J29=0,0,J29/TrRoad_act!J38*100)</f>
        <v>0</v>
      </c>
      <c r="K68" s="96">
        <f>IF(K29=0,0,K29/TrRoad_act!K38*100)</f>
        <v>0</v>
      </c>
      <c r="L68" s="96">
        <f>IF(L29=0,0,L29/TrRoad_act!L38*100)</f>
        <v>0</v>
      </c>
      <c r="M68" s="96">
        <f>IF(M29=0,0,M29/TrRoad_act!M38*100)</f>
        <v>3.6742055263388513</v>
      </c>
      <c r="N68" s="96">
        <f>IF(N29=0,0,N29/TrRoad_act!N38*100)</f>
        <v>3.0151461499223693</v>
      </c>
      <c r="O68" s="96">
        <f>IF(O29=0,0,O29/TrRoad_act!O38*100)</f>
        <v>2.5129563647551114</v>
      </c>
      <c r="P68" s="96">
        <f>IF(P29=0,0,P29/TrRoad_act!P38*100)</f>
        <v>2.7499752080731574</v>
      </c>
      <c r="Q68" s="96">
        <f>IF(Q29=0,0,Q29/TrRoad_act!Q38*100)</f>
        <v>3.2710357234712251</v>
      </c>
      <c r="R68" s="96">
        <f>IF(R29=0,0,R29/TrRoad_act!R38*100)</f>
        <v>3.8779135227477264</v>
      </c>
      <c r="S68" s="96">
        <f>IF(S29=0,0,S29/TrRoad_act!S38*100)</f>
        <v>4.0414805649658563</v>
      </c>
      <c r="T68" s="96">
        <f>IF(T29=0,0,T29/TrRoad_act!T38*100)</f>
        <v>4.2643876748702061</v>
      </c>
      <c r="U68" s="96">
        <f>IF(U29=0,0,U29/TrRoad_act!U38*100)</f>
        <v>4.3803393232876759</v>
      </c>
      <c r="V68" s="96">
        <f>IF(V29=0,0,V29/TrRoad_act!V38*100)</f>
        <v>3.8848910662728131</v>
      </c>
      <c r="W68" s="96">
        <f>IF(W29=0,0,W29/TrRoad_act!W38*100)</f>
        <v>3.6765142967509221</v>
      </c>
      <c r="DA68" s="171" t="s">
        <v>679</v>
      </c>
    </row>
    <row r="69" spans="1:105" ht="11.45" customHeight="1" x14ac:dyDescent="0.25">
      <c r="A69" s="111" t="s">
        <v>115</v>
      </c>
      <c r="B69" s="96">
        <f>IF(B32=0,0,B32/TrRoad_act!B39*100)</f>
        <v>0</v>
      </c>
      <c r="C69" s="96">
        <f>IF(C32=0,0,C32/TrRoad_act!C39*100)</f>
        <v>0</v>
      </c>
      <c r="D69" s="96">
        <f>IF(D32=0,0,D32/TrRoad_act!D39*100)</f>
        <v>0</v>
      </c>
      <c r="E69" s="96">
        <f>IF(E32=0,0,E32/TrRoad_act!E39*100)</f>
        <v>0</v>
      </c>
      <c r="F69" s="96">
        <f>IF(F32=0,0,F32/TrRoad_act!F39*100)</f>
        <v>0</v>
      </c>
      <c r="G69" s="96">
        <f>IF(G32=0,0,G32/TrRoad_act!G39*100)</f>
        <v>0</v>
      </c>
      <c r="H69" s="96">
        <f>IF(H32=0,0,H32/TrRoad_act!H39*100)</f>
        <v>0</v>
      </c>
      <c r="I69" s="96">
        <f>IF(I32=0,0,I32/TrRoad_act!I39*100)</f>
        <v>0</v>
      </c>
      <c r="J69" s="96">
        <f>IF(J32=0,0,J32/TrRoad_act!J39*100)</f>
        <v>1.3933846583001825</v>
      </c>
      <c r="K69" s="96">
        <f>IF(K32=0,0,K32/TrRoad_act!K39*100)</f>
        <v>1.3848686830975077</v>
      </c>
      <c r="L69" s="96">
        <f>IF(L32=0,0,L32/TrRoad_act!L39*100)</f>
        <v>1.3821992398678475</v>
      </c>
      <c r="M69" s="96">
        <f>IF(M32=0,0,M32/TrRoad_act!M39*100)</f>
        <v>1.3827546690889285</v>
      </c>
      <c r="N69" s="96">
        <f>IF(N32=0,0,N32/TrRoad_act!N39*100)</f>
        <v>1.3783700531933922</v>
      </c>
      <c r="O69" s="96">
        <f>IF(O32=0,0,O32/TrRoad_act!O39*100)</f>
        <v>1.3839011751427153</v>
      </c>
      <c r="P69" s="96">
        <f>IF(P32=0,0,P32/TrRoad_act!P39*100)</f>
        <v>1.3588635199470041</v>
      </c>
      <c r="Q69" s="96">
        <f>IF(Q32=0,0,Q32/TrRoad_act!Q39*100)</f>
        <v>1.4182705960378044</v>
      </c>
      <c r="R69" s="96">
        <f>IF(R32=0,0,R32/TrRoad_act!R39*100)</f>
        <v>1.4099241128300022</v>
      </c>
      <c r="S69" s="96">
        <f>IF(S32=0,0,S32/TrRoad_act!S39*100)</f>
        <v>1.3886986676186113</v>
      </c>
      <c r="T69" s="96">
        <f>IF(T32=0,0,T32/TrRoad_act!T39*100)</f>
        <v>1.4093543128603765</v>
      </c>
      <c r="U69" s="96">
        <f>IF(U32=0,0,U32/TrRoad_act!U39*100)</f>
        <v>1.4767952076544546</v>
      </c>
      <c r="V69" s="96">
        <f>IF(V32=0,0,V32/TrRoad_act!V39*100)</f>
        <v>1.536838680505086</v>
      </c>
      <c r="W69" s="96">
        <f>IF(W32=0,0,W32/TrRoad_act!W39*100)</f>
        <v>1.5905778225297966</v>
      </c>
      <c r="DA69" s="171" t="s">
        <v>680</v>
      </c>
    </row>
    <row r="70" spans="1:105" ht="11.45" customHeight="1" x14ac:dyDescent="0.25">
      <c r="A70" s="109" t="s">
        <v>21</v>
      </c>
      <c r="B70" s="130">
        <f>IF(B33=0,0,B33/TrRoad_act!B40*100)</f>
        <v>57.276801568459568</v>
      </c>
      <c r="C70" s="130">
        <f>IF(C33=0,0,C33/TrRoad_act!C40*100)</f>
        <v>56.303368463347695</v>
      </c>
      <c r="D70" s="130">
        <f>IF(D33=0,0,D33/TrRoad_act!D40*100)</f>
        <v>55.781066344029881</v>
      </c>
      <c r="E70" s="130">
        <f>IF(E33=0,0,E33/TrRoad_act!E40*100)</f>
        <v>55.329493602861149</v>
      </c>
      <c r="F70" s="130">
        <f>IF(F33=0,0,F33/TrRoad_act!F40*100)</f>
        <v>54.855817637830327</v>
      </c>
      <c r="G70" s="130">
        <f>IF(G33=0,0,G33/TrRoad_act!G40*100)</f>
        <v>54.538418690743931</v>
      </c>
      <c r="H70" s="130">
        <f>IF(H33=0,0,H33/TrRoad_act!H40*100)</f>
        <v>54.208645405648468</v>
      </c>
      <c r="I70" s="130">
        <f>IF(I33=0,0,I33/TrRoad_act!I40*100)</f>
        <v>53.995366626750894</v>
      </c>
      <c r="J70" s="130">
        <f>IF(J33=0,0,J33/TrRoad_act!J40*100)</f>
        <v>53.782764915456823</v>
      </c>
      <c r="K70" s="130">
        <f>IF(K33=0,0,K33/TrRoad_act!K40*100)</f>
        <v>53.488603246142297</v>
      </c>
      <c r="L70" s="130">
        <f>IF(L33=0,0,L33/TrRoad_act!L40*100)</f>
        <v>53.250844090799511</v>
      </c>
      <c r="M70" s="130">
        <f>IF(M33=0,0,M33/TrRoad_act!M40*100)</f>
        <v>52.95054393114129</v>
      </c>
      <c r="N70" s="130">
        <f>IF(N33=0,0,N33/TrRoad_act!N40*100)</f>
        <v>52.849475001232271</v>
      </c>
      <c r="O70" s="130">
        <f>IF(O33=0,0,O33/TrRoad_act!O40*100)</f>
        <v>52.610332779439837</v>
      </c>
      <c r="P70" s="130">
        <f>IF(P33=0,0,P33/TrRoad_act!P40*100)</f>
        <v>52.763517219278633</v>
      </c>
      <c r="Q70" s="130">
        <f>IF(Q33=0,0,Q33/TrRoad_act!Q40*100)</f>
        <v>53.002899227398572</v>
      </c>
      <c r="R70" s="130">
        <f>IF(R33=0,0,R33/TrRoad_act!R40*100)</f>
        <v>53.966241471889155</v>
      </c>
      <c r="S70" s="130">
        <f>IF(S33=0,0,S33/TrRoad_act!S40*100)</f>
        <v>54.410860956524253</v>
      </c>
      <c r="T70" s="130">
        <f>IF(T33=0,0,T33/TrRoad_act!T40*100)</f>
        <v>54.777680372021564</v>
      </c>
      <c r="U70" s="130">
        <f>IF(U33=0,0,U33/TrRoad_act!U40*100)</f>
        <v>55.097765283600467</v>
      </c>
      <c r="V70" s="130">
        <f>IF(V33=0,0,V33/TrRoad_act!V40*100)</f>
        <v>55.271217844662822</v>
      </c>
      <c r="W70" s="130">
        <f>IF(W33=0,0,W33/TrRoad_act!W40*100)</f>
        <v>55.50767980847673</v>
      </c>
      <c r="DA70" s="176" t="s">
        <v>681</v>
      </c>
    </row>
    <row r="71" spans="1:105" ht="11.45" customHeight="1" x14ac:dyDescent="0.25">
      <c r="A71" s="111" t="s">
        <v>110</v>
      </c>
      <c r="B71" s="97">
        <f>IF(B34=0,0,B34/TrRoad_act!B41*100)</f>
        <v>19.37044322470982</v>
      </c>
      <c r="C71" s="97">
        <f>IF(C34=0,0,C34/TrRoad_act!C41*100)</f>
        <v>19.121048386468196</v>
      </c>
      <c r="D71" s="97">
        <f>IF(D34=0,0,D34/TrRoad_act!D41*100)</f>
        <v>19.072430847071999</v>
      </c>
      <c r="E71" s="97">
        <f>IF(E34=0,0,E34/TrRoad_act!E41*100)</f>
        <v>19.043957332375602</v>
      </c>
      <c r="F71" s="97">
        <f>IF(F34=0,0,F34/TrRoad_act!F41*100)</f>
        <v>19.003321089598192</v>
      </c>
      <c r="G71" s="97">
        <f>IF(G34=0,0,G34/TrRoad_act!G41*100)</f>
        <v>18.933341183040735</v>
      </c>
      <c r="H71" s="97">
        <f>IF(H34=0,0,H34/TrRoad_act!H41*100)</f>
        <v>18.869227643338434</v>
      </c>
      <c r="I71" s="97">
        <f>IF(I34=0,0,I34/TrRoad_act!I41*100)</f>
        <v>18.205654843857857</v>
      </c>
      <c r="J71" s="97">
        <f>IF(J34=0,0,J34/TrRoad_act!J41*100)</f>
        <v>18.026212779569885</v>
      </c>
      <c r="K71" s="97">
        <f>IF(K34=0,0,K34/TrRoad_act!K41*100)</f>
        <v>17.734184097341497</v>
      </c>
      <c r="L71" s="97">
        <f>IF(L34=0,0,L34/TrRoad_act!L41*100)</f>
        <v>17.734184097341501</v>
      </c>
      <c r="M71" s="97">
        <f>IF(M34=0,0,M34/TrRoad_act!M41*100)</f>
        <v>17.280055798385479</v>
      </c>
      <c r="N71" s="97">
        <f>IF(N34=0,0,N34/TrRoad_act!N41*100)</f>
        <v>17.280055798385483</v>
      </c>
      <c r="O71" s="97">
        <f>IF(O34=0,0,O34/TrRoad_act!O41*100)</f>
        <v>16.477010937986471</v>
      </c>
      <c r="P71" s="97">
        <f>IF(P34=0,0,P34/TrRoad_act!P41*100)</f>
        <v>15.408968820702137</v>
      </c>
      <c r="Q71" s="97">
        <f>IF(Q34=0,0,Q34/TrRoad_act!Q41*100)</f>
        <v>15.408968820702137</v>
      </c>
      <c r="R71" s="97">
        <f>IF(R34=0,0,R34/TrRoad_act!R41*100)</f>
        <v>15.108084673516922</v>
      </c>
      <c r="S71" s="97">
        <f>IF(S34=0,0,S34/TrRoad_act!S41*100)</f>
        <v>15.108084673516917</v>
      </c>
      <c r="T71" s="97">
        <f>IF(T34=0,0,T34/TrRoad_act!T41*100)</f>
        <v>15.10808467351692</v>
      </c>
      <c r="U71" s="97">
        <f>IF(U34=0,0,U34/TrRoad_act!U41*100)</f>
        <v>15.10808467351692</v>
      </c>
      <c r="V71" s="97">
        <f>IF(V34=0,0,V34/TrRoad_act!V41*100)</f>
        <v>14.734670432517113</v>
      </c>
      <c r="W71" s="97">
        <f>IF(W34=0,0,W34/TrRoad_act!W41*100)</f>
        <v>14.827396994452396</v>
      </c>
      <c r="DA71" s="175" t="s">
        <v>682</v>
      </c>
    </row>
    <row r="72" spans="1:105" ht="11.45" customHeight="1" x14ac:dyDescent="0.25">
      <c r="A72" s="111" t="s">
        <v>111</v>
      </c>
      <c r="B72" s="97">
        <f>IF(B36=0,0,B36/TrRoad_act!B42*100)</f>
        <v>57.579383969384153</v>
      </c>
      <c r="C72" s="97">
        <f>IF(C36=0,0,C36/TrRoad_act!C42*100)</f>
        <v>56.610585157636031</v>
      </c>
      <c r="D72" s="97">
        <f>IF(D36=0,0,D36/TrRoad_act!D42*100)</f>
        <v>56.086315486608051</v>
      </c>
      <c r="E72" s="97">
        <f>IF(E36=0,0,E36/TrRoad_act!E42*100)</f>
        <v>55.632278404260994</v>
      </c>
      <c r="F72" s="97">
        <f>IF(F36=0,0,F36/TrRoad_act!F42*100)</f>
        <v>55.15594410690634</v>
      </c>
      <c r="G72" s="97">
        <f>IF(G36=0,0,G36/TrRoad_act!G42*100)</f>
        <v>54.833410846393541</v>
      </c>
      <c r="H72" s="97">
        <f>IF(H36=0,0,H36/TrRoad_act!H42*100)</f>
        <v>54.526376606229142</v>
      </c>
      <c r="I72" s="97">
        <f>IF(I36=0,0,I36/TrRoad_act!I42*100)</f>
        <v>54.310502278440495</v>
      </c>
      <c r="J72" s="97">
        <f>IF(J36=0,0,J36/TrRoad_act!J42*100)</f>
        <v>54.103641691814843</v>
      </c>
      <c r="K72" s="97">
        <f>IF(K36=0,0,K36/TrRoad_act!K42*100)</f>
        <v>54.032465064282697</v>
      </c>
      <c r="L72" s="97">
        <f>IF(L36=0,0,L36/TrRoad_act!L42*100)</f>
        <v>53.935795519184218</v>
      </c>
      <c r="M72" s="97">
        <f>IF(M36=0,0,M36/TrRoad_act!M42*100)</f>
        <v>53.889543994338794</v>
      </c>
      <c r="N72" s="97">
        <f>IF(N36=0,0,N36/TrRoad_act!N42*100)</f>
        <v>53.904702152034375</v>
      </c>
      <c r="O72" s="97">
        <f>IF(O36=0,0,O36/TrRoad_act!O42*100)</f>
        <v>53.984334557123994</v>
      </c>
      <c r="P72" s="97">
        <f>IF(P36=0,0,P36/TrRoad_act!P42*100)</f>
        <v>54.16598060588138</v>
      </c>
      <c r="Q72" s="97">
        <f>IF(Q36=0,0,Q36/TrRoad_act!Q42*100)</f>
        <v>54.417972573254517</v>
      </c>
      <c r="R72" s="97">
        <f>IF(R36=0,0,R36/TrRoad_act!R42*100)</f>
        <v>54.745949840770379</v>
      </c>
      <c r="S72" s="97">
        <f>IF(S36=0,0,S36/TrRoad_act!S42*100)</f>
        <v>55.154019533564515</v>
      </c>
      <c r="T72" s="97">
        <f>IF(T36=0,0,T36/TrRoad_act!T42*100)</f>
        <v>55.580169259885373</v>
      </c>
      <c r="U72" s="97">
        <f>IF(U36=0,0,U36/TrRoad_act!U42*100)</f>
        <v>55.925881655752072</v>
      </c>
      <c r="V72" s="97">
        <f>IF(V36=0,0,V36/TrRoad_act!V42*100)</f>
        <v>56.206885614565351</v>
      </c>
      <c r="W72" s="97">
        <f>IF(W36=0,0,W36/TrRoad_act!W42*100)</f>
        <v>56.432735393123345</v>
      </c>
      <c r="DA72" s="175" t="s">
        <v>683</v>
      </c>
    </row>
    <row r="73" spans="1:105" ht="11.45" customHeight="1" x14ac:dyDescent="0.25">
      <c r="A73" s="111" t="s">
        <v>112</v>
      </c>
      <c r="B73" s="97">
        <f>IF(B38=0,0,B38/TrRoad_act!B43*100)</f>
        <v>0</v>
      </c>
      <c r="C73" s="97">
        <f>IF(C38=0,0,C38/TrRoad_act!C43*100)</f>
        <v>44.523590060655657</v>
      </c>
      <c r="D73" s="97">
        <f>IF(D38=0,0,D38/TrRoad_act!D43*100)</f>
        <v>44.570069918751472</v>
      </c>
      <c r="E73" s="97">
        <f>IF(E38=0,0,E38/TrRoad_act!E43*100)</f>
        <v>44.606036416220576</v>
      </c>
      <c r="F73" s="97">
        <f>IF(F38=0,0,F38/TrRoad_act!F43*100)</f>
        <v>44.673345002141907</v>
      </c>
      <c r="G73" s="97">
        <f>IF(G38=0,0,G38/TrRoad_act!G43*100)</f>
        <v>44.777956685669096</v>
      </c>
      <c r="H73" s="97">
        <f>IF(H38=0,0,H38/TrRoad_act!H43*100)</f>
        <v>44.906438999244266</v>
      </c>
      <c r="I73" s="97">
        <f>IF(I38=0,0,I38/TrRoad_act!I43*100)</f>
        <v>45.06457004558925</v>
      </c>
      <c r="J73" s="97">
        <f>IF(J38=0,0,J38/TrRoad_act!J43*100)</f>
        <v>45.184774938466724</v>
      </c>
      <c r="K73" s="97">
        <f>IF(K38=0,0,K38/TrRoad_act!K43*100)</f>
        <v>45.380085184760645</v>
      </c>
      <c r="L73" s="97">
        <f>IF(L38=0,0,L38/TrRoad_act!L43*100)</f>
        <v>45.447589777248041</v>
      </c>
      <c r="M73" s="97">
        <f>IF(M38=0,0,M38/TrRoad_act!M43*100)</f>
        <v>45.505296182924248</v>
      </c>
      <c r="N73" s="97">
        <f>IF(N38=0,0,N38/TrRoad_act!N43*100)</f>
        <v>45.519221000476321</v>
      </c>
      <c r="O73" s="97">
        <f>IF(O38=0,0,O38/TrRoad_act!O43*100)</f>
        <v>45.52765837820629</v>
      </c>
      <c r="P73" s="97">
        <f>IF(P38=0,0,P38/TrRoad_act!P43*100)</f>
        <v>45.547934549157155</v>
      </c>
      <c r="Q73" s="97">
        <f>IF(Q38=0,0,Q38/TrRoad_act!Q43*100)</f>
        <v>45.668723714606834</v>
      </c>
      <c r="R73" s="97">
        <f>IF(R38=0,0,R38/TrRoad_act!R43*100)</f>
        <v>45.774376954731714</v>
      </c>
      <c r="S73" s="97">
        <f>IF(S38=0,0,S38/TrRoad_act!S43*100)</f>
        <v>45.848990347055185</v>
      </c>
      <c r="T73" s="97">
        <f>IF(T38=0,0,T38/TrRoad_act!T43*100)</f>
        <v>45.90282617648775</v>
      </c>
      <c r="U73" s="97">
        <f>IF(U38=0,0,U38/TrRoad_act!U43*100)</f>
        <v>46.50071079289669</v>
      </c>
      <c r="V73" s="97">
        <f>IF(V38=0,0,V38/TrRoad_act!V43*100)</f>
        <v>46.723384564337842</v>
      </c>
      <c r="W73" s="97">
        <f>IF(W38=0,0,W38/TrRoad_act!W43*100)</f>
        <v>46.722180084618152</v>
      </c>
      <c r="DA73" s="175" t="s">
        <v>684</v>
      </c>
    </row>
    <row r="74" spans="1:105" ht="11.45" customHeight="1" x14ac:dyDescent="0.25">
      <c r="A74" s="111" t="s">
        <v>113</v>
      </c>
      <c r="B74" s="97">
        <f>IF(B39=0,0,B39/TrRoad_act!B44*100)</f>
        <v>0</v>
      </c>
      <c r="C74" s="97">
        <f>IF(C39=0,0,C39/TrRoad_act!C44*100)</f>
        <v>0</v>
      </c>
      <c r="D74" s="97">
        <f>IF(D39=0,0,D39/TrRoad_act!D44*100)</f>
        <v>0</v>
      </c>
      <c r="E74" s="97">
        <f>IF(E39=0,0,E39/TrRoad_act!E44*100)</f>
        <v>0</v>
      </c>
      <c r="F74" s="97">
        <f>IF(F39=0,0,F39/TrRoad_act!F44*100)</f>
        <v>50.824562787208784</v>
      </c>
      <c r="G74" s="97">
        <f>IF(G39=0,0,G39/TrRoad_act!G44*100)</f>
        <v>64.312035112922345</v>
      </c>
      <c r="H74" s="97">
        <f>IF(H39=0,0,H39/TrRoad_act!H44*100)</f>
        <v>56.367771429719468</v>
      </c>
      <c r="I74" s="97">
        <f>IF(I39=0,0,I39/TrRoad_act!I44*100)</f>
        <v>52.644257802204443</v>
      </c>
      <c r="J74" s="97">
        <f>IF(J39=0,0,J39/TrRoad_act!J44*100)</f>
        <v>54.00179149080919</v>
      </c>
      <c r="K74" s="97">
        <f>IF(K39=0,0,K39/TrRoad_act!K44*100)</f>
        <v>47.921785148564453</v>
      </c>
      <c r="L74" s="97">
        <f>IF(L39=0,0,L39/TrRoad_act!L44*100)</f>
        <v>46.090624224663692</v>
      </c>
      <c r="M74" s="97">
        <f>IF(M39=0,0,M39/TrRoad_act!M44*100)</f>
        <v>40.753075144946543</v>
      </c>
      <c r="N74" s="97">
        <f>IF(N39=0,0,N39/TrRoad_act!N44*100)</f>
        <v>39.93747400953756</v>
      </c>
      <c r="O74" s="97">
        <f>IF(O39=0,0,O39/TrRoad_act!O44*100)</f>
        <v>37.362980813486736</v>
      </c>
      <c r="P74" s="97">
        <f>IF(P39=0,0,P39/TrRoad_act!P44*100)</f>
        <v>37.890636351319351</v>
      </c>
      <c r="Q74" s="97">
        <f>IF(Q39=0,0,Q39/TrRoad_act!Q44*100)</f>
        <v>37.584589236780133</v>
      </c>
      <c r="R74" s="97">
        <f>IF(R39=0,0,R39/TrRoad_act!R44*100)</f>
        <v>46.333134763469239</v>
      </c>
      <c r="S74" s="97">
        <f>IF(S39=0,0,S39/TrRoad_act!S44*100)</f>
        <v>46.436168570517907</v>
      </c>
      <c r="T74" s="97">
        <f>IF(T39=0,0,T39/TrRoad_act!T44*100)</f>
        <v>46.51321907254323</v>
      </c>
      <c r="U74" s="97">
        <f>IF(U39=0,0,U39/TrRoad_act!U44*100)</f>
        <v>46.591575495866863</v>
      </c>
      <c r="V74" s="97">
        <f>IF(V39=0,0,V39/TrRoad_act!V44*100)</f>
        <v>46.622388719408789</v>
      </c>
      <c r="W74" s="97">
        <f>IF(W39=0,0,W39/TrRoad_act!W44*100)</f>
        <v>46.692903393346178</v>
      </c>
      <c r="DA74" s="175" t="s">
        <v>685</v>
      </c>
    </row>
    <row r="75" spans="1:105" ht="11.45" customHeight="1" x14ac:dyDescent="0.25">
      <c r="A75" s="111" t="s">
        <v>115</v>
      </c>
      <c r="B75" s="97">
        <f>IF(B41=0,0,B41/TrRoad_act!B45*100)</f>
        <v>33.645221796288652</v>
      </c>
      <c r="C75" s="97">
        <f>IF(C41=0,0,C41/TrRoad_act!C45*100)</f>
        <v>32.538737039061019</v>
      </c>
      <c r="D75" s="97">
        <f>IF(D41=0,0,D41/TrRoad_act!D45*100)</f>
        <v>31.994053616898814</v>
      </c>
      <c r="E75" s="97">
        <f>IF(E41=0,0,E41/TrRoad_act!E45*100)</f>
        <v>31.431985989539967</v>
      </c>
      <c r="F75" s="97">
        <f>IF(F41=0,0,F41/TrRoad_act!F45*100)</f>
        <v>31.359582063224828</v>
      </c>
      <c r="G75" s="97">
        <f>IF(G41=0,0,G41/TrRoad_act!G45*100)</f>
        <v>30.943018782870407</v>
      </c>
      <c r="H75" s="97">
        <f>IF(H41=0,0,H41/TrRoad_act!H45*100)</f>
        <v>30.878754528946235</v>
      </c>
      <c r="I75" s="97">
        <f>IF(I41=0,0,I41/TrRoad_act!I45*100)</f>
        <v>30.727789926604014</v>
      </c>
      <c r="J75" s="97">
        <f>IF(J41=0,0,J41/TrRoad_act!J45*100)</f>
        <v>30.620928309604256</v>
      </c>
      <c r="K75" s="97">
        <f>IF(K41=0,0,K41/TrRoad_act!K45*100)</f>
        <v>30.378962316249925</v>
      </c>
      <c r="L75" s="97">
        <f>IF(L41=0,0,L41/TrRoad_act!L45*100)</f>
        <v>30.135874888002917</v>
      </c>
      <c r="M75" s="97">
        <f>IF(M41=0,0,M41/TrRoad_act!M45*100)</f>
        <v>30.013243204382199</v>
      </c>
      <c r="N75" s="97">
        <f>IF(N41=0,0,N41/TrRoad_act!N45*100)</f>
        <v>29.757616734794929</v>
      </c>
      <c r="O75" s="97">
        <f>IF(O41=0,0,O41/TrRoad_act!O45*100)</f>
        <v>29.619090539471415</v>
      </c>
      <c r="P75" s="97">
        <f>IF(P41=0,0,P41/TrRoad_act!P45*100)</f>
        <v>29.53942829020227</v>
      </c>
      <c r="Q75" s="97">
        <f>IF(Q41=0,0,Q41/TrRoad_act!Q45*100)</f>
        <v>29.462743352374737</v>
      </c>
      <c r="R75" s="97">
        <f>IF(R41=0,0,R41/TrRoad_act!R45*100)</f>
        <v>29.398650970081423</v>
      </c>
      <c r="S75" s="97">
        <f>IF(S41=0,0,S41/TrRoad_act!S45*100)</f>
        <v>29.309851109222201</v>
      </c>
      <c r="T75" s="97">
        <f>IF(T41=0,0,T41/TrRoad_act!T45*100)</f>
        <v>29.33144143385692</v>
      </c>
      <c r="U75" s="97">
        <f>IF(U41=0,0,U41/TrRoad_act!U45*100)</f>
        <v>29.317820791976995</v>
      </c>
      <c r="V75" s="97">
        <f>IF(V41=0,0,V41/TrRoad_act!V45*100)</f>
        <v>29.299461928283506</v>
      </c>
      <c r="W75" s="97">
        <f>IF(W41=0,0,W41/TrRoad_act!W45*100)</f>
        <v>29.335757717160977</v>
      </c>
      <c r="DA75" s="175" t="s">
        <v>686</v>
      </c>
    </row>
    <row r="76" spans="1:105" ht="11.45" customHeight="1" x14ac:dyDescent="0.25">
      <c r="A76" s="27" t="s">
        <v>34</v>
      </c>
      <c r="B76" s="32">
        <f>IF(B42=0,0,B42/TrRoad_act!B46*100)</f>
        <v>28.481014718540688</v>
      </c>
      <c r="C76" s="32">
        <f>IF(C42=0,0,C42/TrRoad_act!C46*100)</f>
        <v>31.020621765182092</v>
      </c>
      <c r="D76" s="32">
        <f>IF(D42=0,0,D42/TrRoad_act!D46*100)</f>
        <v>33.24756207474762</v>
      </c>
      <c r="E76" s="32">
        <f>IF(E42=0,0,E42/TrRoad_act!E46*100)</f>
        <v>35.110628221399928</v>
      </c>
      <c r="F76" s="32">
        <f>IF(F42=0,0,F42/TrRoad_act!F46*100)</f>
        <v>34.399716727831319</v>
      </c>
      <c r="G76" s="32">
        <f>IF(G42=0,0,G42/TrRoad_act!G46*100)</f>
        <v>35.35194451555428</v>
      </c>
      <c r="H76" s="32">
        <f>IF(H42=0,0,H42/TrRoad_act!H46*100)</f>
        <v>31.622317346504104</v>
      </c>
      <c r="I76" s="32">
        <f>IF(I42=0,0,I42/TrRoad_act!I46*100)</f>
        <v>30.442015611125754</v>
      </c>
      <c r="J76" s="32">
        <f>IF(J42=0,0,J42/TrRoad_act!J46*100)</f>
        <v>29.084178874700495</v>
      </c>
      <c r="K76" s="32">
        <f>IF(K42=0,0,K42/TrRoad_act!K46*100)</f>
        <v>29.170422086999594</v>
      </c>
      <c r="L76" s="32">
        <f>IF(L42=0,0,L42/TrRoad_act!L46*100)</f>
        <v>31.115387967800729</v>
      </c>
      <c r="M76" s="32">
        <f>IF(M42=0,0,M42/TrRoad_act!M46*100)</f>
        <v>28.31964637169645</v>
      </c>
      <c r="N76" s="32">
        <f>IF(N42=0,0,N42/TrRoad_act!N46*100)</f>
        <v>29.006183082181497</v>
      </c>
      <c r="O76" s="32">
        <f>IF(O42=0,0,O42/TrRoad_act!O46*100)</f>
        <v>32.450882882230417</v>
      </c>
      <c r="P76" s="32">
        <f>IF(P42=0,0,P42/TrRoad_act!P46*100)</f>
        <v>30.296946487286874</v>
      </c>
      <c r="Q76" s="32">
        <f>IF(Q42=0,0,Q42/TrRoad_act!Q46*100)</f>
        <v>29.983445224710525</v>
      </c>
      <c r="R76" s="32">
        <f>IF(R42=0,0,R42/TrRoad_act!R46*100)</f>
        <v>29.766675102046019</v>
      </c>
      <c r="S76" s="32">
        <f>IF(S42=0,0,S42/TrRoad_act!S46*100)</f>
        <v>29.593755727791756</v>
      </c>
      <c r="T76" s="32">
        <f>IF(T42=0,0,T42/TrRoad_act!T46*100)</f>
        <v>30.551227794402923</v>
      </c>
      <c r="U76" s="32">
        <f>IF(U42=0,0,U42/TrRoad_act!U46*100)</f>
        <v>31.123237779747665</v>
      </c>
      <c r="V76" s="32">
        <f>IF(V42=0,0,V42/TrRoad_act!V46*100)</f>
        <v>27.994382004691747</v>
      </c>
      <c r="W76" s="32">
        <f>IF(W42=0,0,W42/TrRoad_act!W46*100)</f>
        <v>28.02716210049191</v>
      </c>
      <c r="DA76" s="173" t="s">
        <v>687</v>
      </c>
    </row>
    <row r="77" spans="1:105" ht="11.45" customHeight="1" x14ac:dyDescent="0.25">
      <c r="A77" s="136" t="s">
        <v>156</v>
      </c>
      <c r="B77" s="141">
        <f>IF(B43=0,0,B43/TrRoad_act!B47*100)</f>
        <v>10.827650227378816</v>
      </c>
      <c r="C77" s="141">
        <f>IF(C43=0,0,C43/TrRoad_act!C47*100)</f>
        <v>10.480128966453487</v>
      </c>
      <c r="D77" s="141">
        <f>IF(D43=0,0,D43/TrRoad_act!D47*100)</f>
        <v>10.309797155871953</v>
      </c>
      <c r="E77" s="141">
        <f>IF(E43=0,0,E43/TrRoad_act!E47*100)</f>
        <v>10.176600027835033</v>
      </c>
      <c r="F77" s="141">
        <f>IF(F43=0,0,F43/TrRoad_act!F47*100)</f>
        <v>10.038346447475611</v>
      </c>
      <c r="G77" s="141">
        <f>IF(G43=0,0,G43/TrRoad_act!G47*100)</f>
        <v>9.9280165446652333</v>
      </c>
      <c r="H77" s="141">
        <f>IF(H43=0,0,H43/TrRoad_act!H47*100)</f>
        <v>9.8503210193360093</v>
      </c>
      <c r="I77" s="141">
        <f>IF(I43=0,0,I43/TrRoad_act!I47*100)</f>
        <v>9.7855034651262436</v>
      </c>
      <c r="J77" s="141">
        <f>IF(J43=0,0,J43/TrRoad_act!J47*100)</f>
        <v>9.7241833464454164</v>
      </c>
      <c r="K77" s="141">
        <f>IF(K43=0,0,K43/TrRoad_act!K47*100)</f>
        <v>9.6921650872521727</v>
      </c>
      <c r="L77" s="141">
        <f>IF(L43=0,0,L43/TrRoad_act!L47*100)</f>
        <v>9.6700894931948582</v>
      </c>
      <c r="M77" s="141">
        <f>IF(M43=0,0,M43/TrRoad_act!M47*100)</f>
        <v>9.6548066320377792</v>
      </c>
      <c r="N77" s="141">
        <f>IF(N43=0,0,N43/TrRoad_act!N47*100)</f>
        <v>9.5632447451360356</v>
      </c>
      <c r="O77" s="141">
        <f>IF(O43=0,0,O43/TrRoad_act!O47*100)</f>
        <v>9.5135853104641157</v>
      </c>
      <c r="P77" s="141">
        <f>IF(P43=0,0,P43/TrRoad_act!P47*100)</f>
        <v>9.4716804433828568</v>
      </c>
      <c r="Q77" s="141">
        <f>IF(Q43=0,0,Q43/TrRoad_act!Q47*100)</f>
        <v>9.4052249116297428</v>
      </c>
      <c r="R77" s="141">
        <f>IF(R43=0,0,R43/TrRoad_act!R47*100)</f>
        <v>9.3369557122548006</v>
      </c>
      <c r="S77" s="141">
        <f>IF(S43=0,0,S43/TrRoad_act!S47*100)</f>
        <v>9.2341800673763608</v>
      </c>
      <c r="T77" s="141">
        <f>IF(T43=0,0,T43/TrRoad_act!T47*100)</f>
        <v>9.1619653591879135</v>
      </c>
      <c r="U77" s="141">
        <f>IF(U43=0,0,U43/TrRoad_act!U47*100)</f>
        <v>9.117881988531682</v>
      </c>
      <c r="V77" s="141">
        <f>IF(V43=0,0,V43/TrRoad_act!V47*100)</f>
        <v>9.1187335974056758</v>
      </c>
      <c r="W77" s="141">
        <f>IF(W43=0,0,W43/TrRoad_act!W47*100)</f>
        <v>9.1496311063827189</v>
      </c>
      <c r="DA77" s="174" t="s">
        <v>688</v>
      </c>
    </row>
    <row r="78" spans="1:105" ht="11.45" customHeight="1" x14ac:dyDescent="0.25">
      <c r="A78" s="111" t="s">
        <v>110</v>
      </c>
      <c r="B78" s="96">
        <f>IF(B44=0,0,B44/TrRoad_act!B48*100)</f>
        <v>11.197166981019825</v>
      </c>
      <c r="C78" s="96">
        <f>IF(C44=0,0,C44/TrRoad_act!C48*100)</f>
        <v>11.168424490973754</v>
      </c>
      <c r="D78" s="96">
        <f>IF(D44=0,0,D44/TrRoad_act!D48*100)</f>
        <v>11.140498648486968</v>
      </c>
      <c r="E78" s="96">
        <f>IF(E44=0,0,E44/TrRoad_act!E48*100)</f>
        <v>11.103636803222587</v>
      </c>
      <c r="F78" s="96">
        <f>IF(F44=0,0,F44/TrRoad_act!F48*100)</f>
        <v>11.039821721055841</v>
      </c>
      <c r="G78" s="96">
        <f>IF(G44=0,0,G44/TrRoad_act!G48*100)</f>
        <v>10.960352413360493</v>
      </c>
      <c r="H78" s="96">
        <f>IF(H44=0,0,H44/TrRoad_act!H48*100)</f>
        <v>10.855619681844173</v>
      </c>
      <c r="I78" s="96">
        <f>IF(I44=0,0,I44/TrRoad_act!I48*100)</f>
        <v>10.717291810666147</v>
      </c>
      <c r="J78" s="96">
        <f>IF(J44=0,0,J44/TrRoad_act!J48*100)</f>
        <v>10.545273890453039</v>
      </c>
      <c r="K78" s="96">
        <f>IF(K44=0,0,K44/TrRoad_act!K48*100)</f>
        <v>10.359645596892209</v>
      </c>
      <c r="L78" s="96">
        <f>IF(L44=0,0,L44/TrRoad_act!L48*100)</f>
        <v>10.225713406821422</v>
      </c>
      <c r="M78" s="96">
        <f>IF(M44=0,0,M44/TrRoad_act!M48*100)</f>
        <v>10.111179980366433</v>
      </c>
      <c r="N78" s="96">
        <f>IF(N44=0,0,N44/TrRoad_act!N48*100)</f>
        <v>9.8771757761921357</v>
      </c>
      <c r="O78" s="96">
        <f>IF(O44=0,0,O44/TrRoad_act!O48*100)</f>
        <v>9.596405609435763</v>
      </c>
      <c r="P78" s="96">
        <f>IF(P44=0,0,P44/TrRoad_act!P48*100)</f>
        <v>9.3831237123950384</v>
      </c>
      <c r="Q78" s="96">
        <f>IF(Q44=0,0,Q44/TrRoad_act!Q48*100)</f>
        <v>9.1914048313799928</v>
      </c>
      <c r="R78" s="96">
        <f>IF(R44=0,0,R44/TrRoad_act!R48*100)</f>
        <v>9.0057624070268485</v>
      </c>
      <c r="S78" s="96">
        <f>IF(S44=0,0,S44/TrRoad_act!S48*100)</f>
        <v>8.873600088665869</v>
      </c>
      <c r="T78" s="96">
        <f>IF(T44=0,0,T44/TrRoad_act!T48*100)</f>
        <v>8.7059808391448374</v>
      </c>
      <c r="U78" s="96">
        <f>IF(U44=0,0,U44/TrRoad_act!U48*100)</f>
        <v>8.5647330428271324</v>
      </c>
      <c r="V78" s="96">
        <f>IF(V44=0,0,V44/TrRoad_act!V48*100)</f>
        <v>8.5438417759844434</v>
      </c>
      <c r="W78" s="96">
        <f>IF(W44=0,0,W44/TrRoad_act!W48*100)</f>
        <v>8.5086984003999397</v>
      </c>
      <c r="DA78" s="171" t="s">
        <v>689</v>
      </c>
    </row>
    <row r="79" spans="1:105" ht="11.45" customHeight="1" x14ac:dyDescent="0.25">
      <c r="A79" s="111" t="s">
        <v>111</v>
      </c>
      <c r="B79" s="96">
        <f>IF(B46=0,0,B46/TrRoad_act!B49*100)</f>
        <v>10.765126316664674</v>
      </c>
      <c r="C79" s="96">
        <f>IF(C46=0,0,C46/TrRoad_act!C49*100)</f>
        <v>10.38073643530811</v>
      </c>
      <c r="D79" s="96">
        <f>IF(D46=0,0,D46/TrRoad_act!D49*100)</f>
        <v>10.234237306175332</v>
      </c>
      <c r="E79" s="96">
        <f>IF(E46=0,0,E46/TrRoad_act!E49*100)</f>
        <v>10.104839051032394</v>
      </c>
      <c r="F79" s="96">
        <f>IF(F46=0,0,F46/TrRoad_act!F49*100)</f>
        <v>9.9709184125749264</v>
      </c>
      <c r="G79" s="96">
        <f>IF(G46=0,0,G46/TrRoad_act!G49*100)</f>
        <v>9.8634292818447804</v>
      </c>
      <c r="H79" s="96">
        <f>IF(H46=0,0,H46/TrRoad_act!H49*100)</f>
        <v>9.7913525947638309</v>
      </c>
      <c r="I79" s="96">
        <f>IF(I46=0,0,I46/TrRoad_act!I49*100)</f>
        <v>9.733248063552475</v>
      </c>
      <c r="J79" s="96">
        <f>IF(J46=0,0,J46/TrRoad_act!J49*100)</f>
        <v>9.6795015230895505</v>
      </c>
      <c r="K79" s="96">
        <f>IF(K46=0,0,K46/TrRoad_act!K49*100)</f>
        <v>9.65665060098776</v>
      </c>
      <c r="L79" s="96">
        <f>IF(L46=0,0,L46/TrRoad_act!L49*100)</f>
        <v>9.6415900283055347</v>
      </c>
      <c r="M79" s="96">
        <f>IF(M46=0,0,M46/TrRoad_act!M49*100)</f>
        <v>9.6317369026923849</v>
      </c>
      <c r="N79" s="96">
        <f>IF(N46=0,0,N46/TrRoad_act!N49*100)</f>
        <v>9.5523735587652823</v>
      </c>
      <c r="O79" s="96">
        <f>IF(O46=0,0,O46/TrRoad_act!O49*100)</f>
        <v>9.5160742250650205</v>
      </c>
      <c r="P79" s="96">
        <f>IF(P46=0,0,P46/TrRoad_act!P49*100)</f>
        <v>9.4856436755576308</v>
      </c>
      <c r="Q79" s="96">
        <f>IF(Q46=0,0,Q46/TrRoad_act!Q49*100)</f>
        <v>9.4296653815271281</v>
      </c>
      <c r="R79" s="96">
        <f>IF(R46=0,0,R46/TrRoad_act!R49*100)</f>
        <v>9.3719986342958297</v>
      </c>
      <c r="S79" s="96">
        <f>IF(S46=0,0,S46/TrRoad_act!S49*100)</f>
        <v>9.274045738430388</v>
      </c>
      <c r="T79" s="96">
        <f>IF(T46=0,0,T46/TrRoad_act!T49*100)</f>
        <v>9.2127806052011412</v>
      </c>
      <c r="U79" s="96">
        <f>IF(U46=0,0,U46/TrRoad_act!U49*100)</f>
        <v>9.1781038699793989</v>
      </c>
      <c r="V79" s="96">
        <f>IF(V46=0,0,V46/TrRoad_act!V49*100)</f>
        <v>9.1878986964386424</v>
      </c>
      <c r="W79" s="96">
        <f>IF(W46=0,0,W46/TrRoad_act!W49*100)</f>
        <v>9.2472684211920502</v>
      </c>
      <c r="DA79" s="171" t="s">
        <v>690</v>
      </c>
    </row>
    <row r="80" spans="1:105" ht="11.45" customHeight="1" x14ac:dyDescent="0.25">
      <c r="A80" s="111" t="s">
        <v>112</v>
      </c>
      <c r="B80" s="96">
        <f>IF(B48=0,0,B48/TrRoad_act!B50*100)</f>
        <v>0</v>
      </c>
      <c r="C80" s="96">
        <f>IF(C48=0,0,C48/TrRoad_act!C50*100)</f>
        <v>0</v>
      </c>
      <c r="D80" s="96">
        <f>IF(D48=0,0,D48/TrRoad_act!D50*100)</f>
        <v>0</v>
      </c>
      <c r="E80" s="96">
        <f>IF(E48=0,0,E48/TrRoad_act!E50*100)</f>
        <v>21.096253574658359</v>
      </c>
      <c r="F80" s="96">
        <f>IF(F48=0,0,F48/TrRoad_act!F50*100)</f>
        <v>20.979018479417061</v>
      </c>
      <c r="G80" s="96">
        <f>IF(G48=0,0,G48/TrRoad_act!G50*100)</f>
        <v>21.211476450919577</v>
      </c>
      <c r="H80" s="96">
        <f>IF(H48=0,0,H48/TrRoad_act!H50*100)</f>
        <v>21.219342494405865</v>
      </c>
      <c r="I80" s="96">
        <f>IF(I48=0,0,I48/TrRoad_act!I50*100)</f>
        <v>21.220838149352261</v>
      </c>
      <c r="J80" s="96">
        <f>IF(J48=0,0,J48/TrRoad_act!J50*100)</f>
        <v>21.22011460459731</v>
      </c>
      <c r="K80" s="96">
        <f>IF(K48=0,0,K48/TrRoad_act!K50*100)</f>
        <v>21.218608418777933</v>
      </c>
      <c r="L80" s="96">
        <f>IF(L48=0,0,L48/TrRoad_act!L50*100)</f>
        <v>21.221173297836931</v>
      </c>
      <c r="M80" s="96">
        <f>IF(M48=0,0,M48/TrRoad_act!M50*100)</f>
        <v>21.223189648778774</v>
      </c>
      <c r="N80" s="96">
        <f>IF(N48=0,0,N48/TrRoad_act!N50*100)</f>
        <v>21.057930533427339</v>
      </c>
      <c r="O80" s="96">
        <f>IF(O48=0,0,O48/TrRoad_act!O50*100)</f>
        <v>21.064278278313527</v>
      </c>
      <c r="P80" s="96">
        <f>IF(P48=0,0,P48/TrRoad_act!P50*100)</f>
        <v>20.711993989803883</v>
      </c>
      <c r="Q80" s="96">
        <f>IF(Q48=0,0,Q48/TrRoad_act!Q50*100)</f>
        <v>20.53668540807325</v>
      </c>
      <c r="R80" s="96">
        <f>IF(R48=0,0,R48/TrRoad_act!R50*100)</f>
        <v>22.005515395116305</v>
      </c>
      <c r="S80" s="96">
        <f>IF(S48=0,0,S48/TrRoad_act!S50*100)</f>
        <v>21.794836755099197</v>
      </c>
      <c r="T80" s="96">
        <f>IF(T48=0,0,T48/TrRoad_act!T50*100)</f>
        <v>21.662918760754398</v>
      </c>
      <c r="U80" s="96">
        <f>IF(U48=0,0,U48/TrRoad_act!U50*100)</f>
        <v>21.383680043087409</v>
      </c>
      <c r="V80" s="96">
        <f>IF(V48=0,0,V48/TrRoad_act!V50*100)</f>
        <v>20.68732499956414</v>
      </c>
      <c r="W80" s="96">
        <f>IF(W48=0,0,W48/TrRoad_act!W50*100)</f>
        <v>19.771411175105033</v>
      </c>
      <c r="DA80" s="171" t="s">
        <v>691</v>
      </c>
    </row>
    <row r="81" spans="1:105" ht="11.45" customHeight="1" x14ac:dyDescent="0.25">
      <c r="A81" s="111" t="s">
        <v>113</v>
      </c>
      <c r="B81" s="96">
        <f>IF(B49=0,0,B49/TrRoad_act!B51*100)</f>
        <v>0</v>
      </c>
      <c r="C81" s="96">
        <f>IF(C49=0,0,C49/TrRoad_act!C51*100)</f>
        <v>0</v>
      </c>
      <c r="D81" s="96">
        <f>IF(D49=0,0,D49/TrRoad_act!D51*100)</f>
        <v>0</v>
      </c>
      <c r="E81" s="96">
        <f>IF(E49=0,0,E49/TrRoad_act!E51*100)</f>
        <v>0</v>
      </c>
      <c r="F81" s="96">
        <f>IF(F49=0,0,F49/TrRoad_act!F51*100)</f>
        <v>0</v>
      </c>
      <c r="G81" s="96">
        <f>IF(G49=0,0,G49/TrRoad_act!G51*100)</f>
        <v>0</v>
      </c>
      <c r="H81" s="96">
        <f>IF(H49=0,0,H49/TrRoad_act!H51*100)</f>
        <v>12.342200504986808</v>
      </c>
      <c r="I81" s="96">
        <f>IF(I49=0,0,I49/TrRoad_act!I51*100)</f>
        <v>12.285303517598036</v>
      </c>
      <c r="J81" s="96">
        <f>IF(J49=0,0,J49/TrRoad_act!J51*100)</f>
        <v>11.926668234914187</v>
      </c>
      <c r="K81" s="96">
        <f>IF(K49=0,0,K49/TrRoad_act!K51*100)</f>
        <v>11.637111484430731</v>
      </c>
      <c r="L81" s="96">
        <f>IF(L49=0,0,L49/TrRoad_act!L51*100)</f>
        <v>11.151943392843403</v>
      </c>
      <c r="M81" s="96">
        <f>IF(M49=0,0,M49/TrRoad_act!M51*100)</f>
        <v>10.884974409767292</v>
      </c>
      <c r="N81" s="96">
        <f>IF(N49=0,0,N49/TrRoad_act!N51*100)</f>
        <v>10.769617406536916</v>
      </c>
      <c r="O81" s="96">
        <f>IF(O49=0,0,O49/TrRoad_act!O51*100)</f>
        <v>11.008356289730189</v>
      </c>
      <c r="P81" s="96">
        <f>IF(P49=0,0,P49/TrRoad_act!P51*100)</f>
        <v>10.815983446815759</v>
      </c>
      <c r="Q81" s="96">
        <f>IF(Q49=0,0,Q49/TrRoad_act!Q51*100)</f>
        <v>10.533015349499937</v>
      </c>
      <c r="R81" s="96">
        <f>IF(R49=0,0,R49/TrRoad_act!R51*100)</f>
        <v>9.6785832180955165</v>
      </c>
      <c r="S81" s="96">
        <f>IF(S49=0,0,S49/TrRoad_act!S51*100)</f>
        <v>9.5484452187301603</v>
      </c>
      <c r="T81" s="96">
        <f>IF(T49=0,0,T49/TrRoad_act!T51*100)</f>
        <v>9.4672914452885024</v>
      </c>
      <c r="U81" s="96">
        <f>IF(U49=0,0,U49/TrRoad_act!U51*100)</f>
        <v>9.3752624691964161</v>
      </c>
      <c r="V81" s="96">
        <f>IF(V49=0,0,V49/TrRoad_act!V51*100)</f>
        <v>9.2164721819066937</v>
      </c>
      <c r="W81" s="96">
        <f>IF(W49=0,0,W49/TrRoad_act!W51*100)</f>
        <v>9.1852141437343828</v>
      </c>
      <c r="DA81" s="171" t="s">
        <v>692</v>
      </c>
    </row>
    <row r="82" spans="1:105" ht="11.45" customHeight="1" x14ac:dyDescent="0.25">
      <c r="A82" s="111" t="s">
        <v>115</v>
      </c>
      <c r="B82" s="96">
        <f>IF(B51=0,0,B51/TrRoad_act!B52*100)</f>
        <v>2.1500310326623322</v>
      </c>
      <c r="C82" s="96">
        <f>IF(C51=0,0,C51/TrRoad_act!C52*100)</f>
        <v>2.0666505641938144</v>
      </c>
      <c r="D82" s="96">
        <f>IF(D51=0,0,D51/TrRoad_act!D52*100)</f>
        <v>2.0583713081140353</v>
      </c>
      <c r="E82" s="96">
        <f>IF(E51=0,0,E51/TrRoad_act!E52*100)</f>
        <v>2.0554690653537961</v>
      </c>
      <c r="F82" s="96">
        <f>IF(F51=0,0,F51/TrRoad_act!F52*100)</f>
        <v>2.0499384368598319</v>
      </c>
      <c r="G82" s="96">
        <f>IF(G51=0,0,G51/TrRoad_act!G52*100)</f>
        <v>2.0431174603775202</v>
      </c>
      <c r="H82" s="96">
        <f>IF(H51=0,0,H51/TrRoad_act!H52*100)</f>
        <v>2.0456528122781972</v>
      </c>
      <c r="I82" s="96">
        <f>IF(I51=0,0,I51/TrRoad_act!I52*100)</f>
        <v>1.93960674742261</v>
      </c>
      <c r="J82" s="96">
        <f>IF(J51=0,0,J51/TrRoad_act!J52*100)</f>
        <v>1.8898864879202362</v>
      </c>
      <c r="K82" s="96">
        <f>IF(K51=0,0,K51/TrRoad_act!K52*100)</f>
        <v>1.8009051149246194</v>
      </c>
      <c r="L82" s="96">
        <f>IF(L51=0,0,L51/TrRoad_act!L52*100)</f>
        <v>1.7500784781614498</v>
      </c>
      <c r="M82" s="96">
        <f>IF(M51=0,0,M51/TrRoad_act!M52*100)</f>
        <v>1.7232440189386338</v>
      </c>
      <c r="N82" s="96">
        <f>IF(N51=0,0,N51/TrRoad_act!N52*100)</f>
        <v>1.70466410999329</v>
      </c>
      <c r="O82" s="96">
        <f>IF(O51=0,0,O51/TrRoad_act!O52*100)</f>
        <v>1.712699033982477</v>
      </c>
      <c r="P82" s="96">
        <f>IF(P51=0,0,P51/TrRoad_act!P52*100)</f>
        <v>1.7272234683246925</v>
      </c>
      <c r="Q82" s="96">
        <f>IF(Q51=0,0,Q51/TrRoad_act!Q52*100)</f>
        <v>1.7488507444421701</v>
      </c>
      <c r="R82" s="96">
        <f>IF(R51=0,0,R51/TrRoad_act!R52*100)</f>
        <v>1.7820772997966861</v>
      </c>
      <c r="S82" s="96">
        <f>IF(S51=0,0,S51/TrRoad_act!S52*100)</f>
        <v>1.8001453622503445</v>
      </c>
      <c r="T82" s="96">
        <f>IF(T51=0,0,T51/TrRoad_act!T52*100)</f>
        <v>1.8372046548787497</v>
      </c>
      <c r="U82" s="96">
        <f>IF(U51=0,0,U51/TrRoad_act!U52*100)</f>
        <v>1.9070399054577649</v>
      </c>
      <c r="V82" s="96">
        <f>IF(V51=0,0,V51/TrRoad_act!V52*100)</f>
        <v>2.0864305772907592</v>
      </c>
      <c r="W82" s="96">
        <f>IF(W51=0,0,W51/TrRoad_act!W52*100)</f>
        <v>2.440321100869776</v>
      </c>
      <c r="DA82" s="171" t="s">
        <v>693</v>
      </c>
    </row>
    <row r="83" spans="1:105" ht="11.45" customHeight="1" x14ac:dyDescent="0.25">
      <c r="A83" s="109" t="s">
        <v>158</v>
      </c>
      <c r="B83" s="130">
        <f>IF(B52=0,0,B52/TrRoad_act!B53*100)</f>
        <v>55.701860197573097</v>
      </c>
      <c r="C83" s="130">
        <f>IF(C52=0,0,C52/TrRoad_act!C53*100)</f>
        <v>63.469399065793631</v>
      </c>
      <c r="D83" s="130">
        <f>IF(D52=0,0,D52/TrRoad_act!D53*100)</f>
        <v>70.436049075897884</v>
      </c>
      <c r="E83" s="130">
        <f>IF(E52=0,0,E52/TrRoad_act!E53*100)</f>
        <v>75.24139798739678</v>
      </c>
      <c r="F83" s="130">
        <f>IF(F52=0,0,F52/TrRoad_act!F53*100)</f>
        <v>72.159114978407814</v>
      </c>
      <c r="G83" s="130">
        <f>IF(G52=0,0,G52/TrRoad_act!G53*100)</f>
        <v>75.449819619907728</v>
      </c>
      <c r="H83" s="130">
        <f>IF(H52=0,0,H52/TrRoad_act!H53*100)</f>
        <v>63.369938569612238</v>
      </c>
      <c r="I83" s="130">
        <f>IF(I52=0,0,I52/TrRoad_act!I53*100)</f>
        <v>59.35584232303912</v>
      </c>
      <c r="J83" s="130">
        <f>IF(J52=0,0,J52/TrRoad_act!J53*100)</f>
        <v>54.410429012397678</v>
      </c>
      <c r="K83" s="130">
        <f>IF(K52=0,0,K52/TrRoad_act!K53*100)</f>
        <v>57.5400475536877</v>
      </c>
      <c r="L83" s="130">
        <f>IF(L52=0,0,L52/TrRoad_act!L53*100)</f>
        <v>62.063654954454073</v>
      </c>
      <c r="M83" s="130">
        <f>IF(M52=0,0,M52/TrRoad_act!M53*100)</f>
        <v>54.875558741093201</v>
      </c>
      <c r="N83" s="130">
        <f>IF(N52=0,0,N52/TrRoad_act!N53*100)</f>
        <v>57.412898426811111</v>
      </c>
      <c r="O83" s="130">
        <f>IF(O52=0,0,O52/TrRoad_act!O53*100)</f>
        <v>66.537018949389193</v>
      </c>
      <c r="P83" s="130">
        <f>IF(P52=0,0,P52/TrRoad_act!P53*100)</f>
        <v>62.014662882397495</v>
      </c>
      <c r="Q83" s="130">
        <f>IF(Q52=0,0,Q52/TrRoad_act!Q53*100)</f>
        <v>60.698607981656259</v>
      </c>
      <c r="R83" s="130">
        <f>IF(R52=0,0,R52/TrRoad_act!R53*100)</f>
        <v>59.886770106875446</v>
      </c>
      <c r="S83" s="130">
        <f>IF(S52=0,0,S52/TrRoad_act!S53*100)</f>
        <v>58.613261499332992</v>
      </c>
      <c r="T83" s="130">
        <f>IF(T52=0,0,T52/TrRoad_act!T53*100)</f>
        <v>61.542472860435169</v>
      </c>
      <c r="U83" s="130">
        <f>IF(U52=0,0,U52/TrRoad_act!U53*100)</f>
        <v>63.513635138747482</v>
      </c>
      <c r="V83" s="130">
        <f>IF(V52=0,0,V52/TrRoad_act!V53*100)</f>
        <v>56.287929479673323</v>
      </c>
      <c r="W83" s="130">
        <f>IF(W52=0,0,W52/TrRoad_act!W53*100)</f>
        <v>56.429347017612521</v>
      </c>
      <c r="DA83" s="176" t="s">
        <v>694</v>
      </c>
    </row>
    <row r="84" spans="1:105" ht="11.45" customHeight="1" x14ac:dyDescent="0.25">
      <c r="A84" s="128" t="s">
        <v>27</v>
      </c>
      <c r="B84" s="97">
        <f>IF(B53=0,0,B53/TrRoad_act!B54*100)</f>
        <v>37.579693836241461</v>
      </c>
      <c r="C84" s="97">
        <f>IF(C53=0,0,C53/TrRoad_act!C54*100)</f>
        <v>38.950533568087735</v>
      </c>
      <c r="D84" s="97">
        <f>IF(D53=0,0,D53/TrRoad_act!D54*100)</f>
        <v>40.185446703676824</v>
      </c>
      <c r="E84" s="97">
        <f>IF(E53=0,0,E53/TrRoad_act!E54*100)</f>
        <v>41.03007047493967</v>
      </c>
      <c r="F84" s="97">
        <f>IF(F53=0,0,F53/TrRoad_act!F54*100)</f>
        <v>40.318984684506269</v>
      </c>
      <c r="G84" s="97">
        <f>IF(G53=0,0,G53/TrRoad_act!G54*100)</f>
        <v>40.83647031946888</v>
      </c>
      <c r="H84" s="97">
        <f>IF(H53=0,0,H53/TrRoad_act!H54*100)</f>
        <v>38.514943022800288</v>
      </c>
      <c r="I84" s="97">
        <f>IF(I53=0,0,I53/TrRoad_act!I54*100)</f>
        <v>37.644247134767625</v>
      </c>
      <c r="J84" s="97">
        <f>IF(J53=0,0,J53/TrRoad_act!J54*100)</f>
        <v>36.579603908563449</v>
      </c>
      <c r="K84" s="97">
        <f>IF(K53=0,0,K53/TrRoad_act!K54*100)</f>
        <v>37.118676716329283</v>
      </c>
      <c r="L84" s="97">
        <f>IF(L53=0,0,L53/TrRoad_act!L54*100)</f>
        <v>37.829784489404119</v>
      </c>
      <c r="M84" s="97">
        <f>IF(M53=0,0,M53/TrRoad_act!M54*100)</f>
        <v>36.470477727816075</v>
      </c>
      <c r="N84" s="97">
        <f>IF(N53=0,0,N53/TrRoad_act!N54*100)</f>
        <v>36.919099349753957</v>
      </c>
      <c r="O84" s="97">
        <f>IF(O53=0,0,O53/TrRoad_act!O54*100)</f>
        <v>38.378303936313344</v>
      </c>
      <c r="P84" s="97">
        <f>IF(P53=0,0,P53/TrRoad_act!P54*100)</f>
        <v>37.380536101659274</v>
      </c>
      <c r="Q84" s="97">
        <f>IF(Q53=0,0,Q53/TrRoad_act!Q54*100)</f>
        <v>37.08932884395135</v>
      </c>
      <c r="R84" s="97">
        <f>IF(R53=0,0,R53/TrRoad_act!R54*100)</f>
        <v>36.783354275329913</v>
      </c>
      <c r="S84" s="97">
        <f>IF(S53=0,0,S53/TrRoad_act!S54*100)</f>
        <v>36.355439659670054</v>
      </c>
      <c r="T84" s="97">
        <f>IF(T53=0,0,T53/TrRoad_act!T54*100)</f>
        <v>36.676944857766394</v>
      </c>
      <c r="U84" s="97">
        <f>IF(U53=0,0,U53/TrRoad_act!U54*100)</f>
        <v>36.728137574485345</v>
      </c>
      <c r="V84" s="97">
        <f>IF(V53=0,0,V53/TrRoad_act!V54*100)</f>
        <v>35.045442576438361</v>
      </c>
      <c r="W84" s="97">
        <f>IF(W53=0,0,W53/TrRoad_act!W54*100)</f>
        <v>34.726471716241477</v>
      </c>
      <c r="DA84" s="175" t="s">
        <v>695</v>
      </c>
    </row>
    <row r="85" spans="1:105" ht="11.45" customHeight="1" x14ac:dyDescent="0.25">
      <c r="A85" s="138" t="s">
        <v>116</v>
      </c>
      <c r="B85" s="98">
        <f>IF(B55=0,0,B55/TrRoad_act!B55*100)</f>
        <v>84.103183779817257</v>
      </c>
      <c r="C85" s="98">
        <f>IF(C55=0,0,C55/TrRoad_act!C55*100)</f>
        <v>99.378667265379036</v>
      </c>
      <c r="D85" s="98">
        <f>IF(D55=0,0,D55/TrRoad_act!D55*100)</f>
        <v>112.33443773780979</v>
      </c>
      <c r="E85" s="98">
        <f>IF(E55=0,0,E55/TrRoad_act!E55*100)</f>
        <v>122.80996324608122</v>
      </c>
      <c r="F85" s="98">
        <f>IF(F55=0,0,F55/TrRoad_act!F55*100)</f>
        <v>107.86032224690865</v>
      </c>
      <c r="G85" s="98">
        <f>IF(G55=0,0,G55/TrRoad_act!G55*100)</f>
        <v>112.6202436604712</v>
      </c>
      <c r="H85" s="98">
        <f>IF(H55=0,0,H55/TrRoad_act!H55*100)</f>
        <v>92.963411748378462</v>
      </c>
      <c r="I85" s="98">
        <f>IF(I55=0,0,I55/TrRoad_act!I55*100)</f>
        <v>82.556077393667934</v>
      </c>
      <c r="J85" s="98">
        <f>IF(J55=0,0,J55/TrRoad_act!J55*100)</f>
        <v>71.170222793861029</v>
      </c>
      <c r="K85" s="98">
        <f>IF(K55=0,0,K55/TrRoad_act!K55*100)</f>
        <v>78.737549164129661</v>
      </c>
      <c r="L85" s="98">
        <f>IF(L55=0,0,L55/TrRoad_act!L55*100)</f>
        <v>85.982255950644728</v>
      </c>
      <c r="M85" s="98">
        <f>IF(M55=0,0,M55/TrRoad_act!M55*100)</f>
        <v>73.02893901329972</v>
      </c>
      <c r="N85" s="98">
        <f>IF(N55=0,0,N55/TrRoad_act!N55*100)</f>
        <v>77.667549550797261</v>
      </c>
      <c r="O85" s="98">
        <f>IF(O55=0,0,O55/TrRoad_act!O55*100)</f>
        <v>93.459303043914204</v>
      </c>
      <c r="P85" s="98">
        <f>IF(P55=0,0,P55/TrRoad_act!P55*100)</f>
        <v>86.363490937519998</v>
      </c>
      <c r="Q85" s="98">
        <f>IF(Q55=0,0,Q55/TrRoad_act!Q55*100)</f>
        <v>84.319905401926505</v>
      </c>
      <c r="R85" s="98">
        <f>IF(R55=0,0,R55/TrRoad_act!R55*100)</f>
        <v>83.407804520731304</v>
      </c>
      <c r="S85" s="98">
        <f>IF(S55=0,0,S55/TrRoad_act!S55*100)</f>
        <v>80.061326803220851</v>
      </c>
      <c r="T85" s="98">
        <f>IF(T55=0,0,T55/TrRoad_act!T55*100)</f>
        <v>85.686106474349899</v>
      </c>
      <c r="U85" s="98">
        <f>IF(U55=0,0,U55/TrRoad_act!U55*100)</f>
        <v>89.377390733123022</v>
      </c>
      <c r="V85" s="98">
        <f>IF(V55=0,0,V55/TrRoad_act!V55*100)</f>
        <v>75.819047862031567</v>
      </c>
      <c r="W85" s="98">
        <f>IF(W55=0,0,W55/TrRoad_act!W55*100)</f>
        <v>76.506058017460788</v>
      </c>
      <c r="DA85" s="178" t="s">
        <v>696</v>
      </c>
    </row>
    <row r="86" spans="1:105" x14ac:dyDescent="0.25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DA86" s="171"/>
    </row>
    <row r="87" spans="1:105" ht="11.45" customHeight="1" x14ac:dyDescent="0.25">
      <c r="A87" s="53" t="s">
        <v>74</v>
      </c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DA87" s="172"/>
    </row>
    <row r="88" spans="1:105" ht="11.45" customHeight="1" x14ac:dyDescent="0.25">
      <c r="A88" s="27" t="s">
        <v>159</v>
      </c>
      <c r="B88" s="29">
        <f>IF(TrRoad_act!B4=0,0,B18/TrRoad_act!B4*1000)</f>
        <v>53.7590862213615</v>
      </c>
      <c r="C88" s="29">
        <f>IF(TrRoad_act!C4=0,0,C18/TrRoad_act!C4*1000)</f>
        <v>55.659607387269439</v>
      </c>
      <c r="D88" s="29">
        <f>IF(TrRoad_act!D4=0,0,D18/TrRoad_act!D4*1000)</f>
        <v>60.768301059563619</v>
      </c>
      <c r="E88" s="29">
        <f>IF(TrRoad_act!E4=0,0,E18/TrRoad_act!E4*1000)</f>
        <v>63.346389268400138</v>
      </c>
      <c r="F88" s="29">
        <f>IF(TrRoad_act!F4=0,0,F18/TrRoad_act!F4*1000)</f>
        <v>63.705606525146784</v>
      </c>
      <c r="G88" s="29">
        <f>IF(TrRoad_act!G4=0,0,G18/TrRoad_act!G4*1000)</f>
        <v>65.610924116335255</v>
      </c>
      <c r="H88" s="29">
        <f>IF(TrRoad_act!H4=0,0,H18/TrRoad_act!H4*1000)</f>
        <v>64.035523939999933</v>
      </c>
      <c r="I88" s="29">
        <f>IF(TrRoad_act!I4=0,0,I18/TrRoad_act!I4*1000)</f>
        <v>64.48962328458461</v>
      </c>
      <c r="J88" s="29">
        <f>IF(TrRoad_act!J4=0,0,J18/TrRoad_act!J4*1000)</f>
        <v>63.871560682587884</v>
      </c>
      <c r="K88" s="29">
        <f>IF(TrRoad_act!K4=0,0,K18/TrRoad_act!K4*1000)</f>
        <v>64.190059793927531</v>
      </c>
      <c r="L88" s="29">
        <f>IF(TrRoad_act!L4=0,0,L18/TrRoad_act!L4*1000)</f>
        <v>64.138822627467334</v>
      </c>
      <c r="M88" s="29">
        <f>IF(TrRoad_act!M4=0,0,M18/TrRoad_act!M4*1000)</f>
        <v>61.360274951602243</v>
      </c>
      <c r="N88" s="29">
        <f>IF(TrRoad_act!N4=0,0,N18/TrRoad_act!N4*1000)</f>
        <v>60.834157852027097</v>
      </c>
      <c r="O88" s="29">
        <f>IF(TrRoad_act!O4=0,0,O18/TrRoad_act!O4*1000)</f>
        <v>61.344947118506497</v>
      </c>
      <c r="P88" s="29">
        <f>IF(TrRoad_act!P4=0,0,P18/TrRoad_act!P4*1000)</f>
        <v>60.64741969478272</v>
      </c>
      <c r="Q88" s="29">
        <f>IF(TrRoad_act!Q4=0,0,Q18/TrRoad_act!Q4*1000)</f>
        <v>60.681628724523513</v>
      </c>
      <c r="R88" s="29">
        <f>IF(TrRoad_act!R4=0,0,R18/TrRoad_act!R4*1000)</f>
        <v>59.946574127817563</v>
      </c>
      <c r="S88" s="29">
        <f>IF(TrRoad_act!S4=0,0,S18/TrRoad_act!S4*1000)</f>
        <v>59.198903128299591</v>
      </c>
      <c r="T88" s="29">
        <f>IF(TrRoad_act!T4=0,0,T18/TrRoad_act!T4*1000)</f>
        <v>60.204480581723118</v>
      </c>
      <c r="U88" s="29">
        <f>IF(TrRoad_act!U4=0,0,U18/TrRoad_act!U4*1000)</f>
        <v>60.260662604321119</v>
      </c>
      <c r="V88" s="29">
        <f>IF(TrRoad_act!V4=0,0,V18/TrRoad_act!V4*1000)</f>
        <v>58.184676834322921</v>
      </c>
      <c r="W88" s="29">
        <f>IF(TrRoad_act!W4=0,0,W18/TrRoad_act!W4*1000)</f>
        <v>56.650071195036645</v>
      </c>
      <c r="DA88" s="173" t="s">
        <v>415</v>
      </c>
    </row>
    <row r="89" spans="1:105" ht="11.45" customHeight="1" x14ac:dyDescent="0.25">
      <c r="A89" s="136" t="s">
        <v>180</v>
      </c>
      <c r="B89" s="152">
        <f>IF(TrRoad_act!B5=0,0,B19/TrRoad_act!B5*1000)</f>
        <v>31.893063869781781</v>
      </c>
      <c r="C89" s="152">
        <f>IF(TrRoad_act!C5=0,0,C19/TrRoad_act!C5*1000)</f>
        <v>31.705740994900214</v>
      </c>
      <c r="D89" s="152">
        <f>IF(TrRoad_act!D5=0,0,D19/TrRoad_act!D5*1000)</f>
        <v>31.607138346833334</v>
      </c>
      <c r="E89" s="152">
        <f>IF(TrRoad_act!E5=0,0,E19/TrRoad_act!E5*1000)</f>
        <v>31.564327450260908</v>
      </c>
      <c r="F89" s="152">
        <f>IF(TrRoad_act!F5=0,0,F19/TrRoad_act!F5*1000)</f>
        <v>31.269662351700443</v>
      </c>
      <c r="G89" s="152">
        <f>IF(TrRoad_act!G5=0,0,G19/TrRoad_act!G5*1000)</f>
        <v>31.140482298010877</v>
      </c>
      <c r="H89" s="152">
        <f>IF(TrRoad_act!H5=0,0,H19/TrRoad_act!H5*1000)</f>
        <v>30.990982938870076</v>
      </c>
      <c r="I89" s="152">
        <f>IF(TrRoad_act!I5=0,0,I19/TrRoad_act!I5*1000)</f>
        <v>30.793938639608506</v>
      </c>
      <c r="J89" s="152">
        <f>IF(TrRoad_act!J5=0,0,J19/TrRoad_act!J5*1000)</f>
        <v>30.737175269395877</v>
      </c>
      <c r="K89" s="152">
        <f>IF(TrRoad_act!K5=0,0,K19/TrRoad_act!K5*1000)</f>
        <v>30.791488129410446</v>
      </c>
      <c r="L89" s="152">
        <f>IF(TrRoad_act!L5=0,0,L19/TrRoad_act!L5*1000)</f>
        <v>30.708413002148585</v>
      </c>
      <c r="M89" s="152">
        <f>IF(TrRoad_act!M5=0,0,M19/TrRoad_act!M5*1000)</f>
        <v>30.704181001239707</v>
      </c>
      <c r="N89" s="152">
        <f>IF(TrRoad_act!N5=0,0,N19/TrRoad_act!N5*1000)</f>
        <v>30.598205120969833</v>
      </c>
      <c r="O89" s="152">
        <f>IF(TrRoad_act!O5=0,0,O19/TrRoad_act!O5*1000)</f>
        <v>30.934253569493158</v>
      </c>
      <c r="P89" s="152">
        <f>IF(TrRoad_act!P5=0,0,P19/TrRoad_act!P5*1000)</f>
        <v>31.141433192196871</v>
      </c>
      <c r="Q89" s="152">
        <f>IF(TrRoad_act!Q5=0,0,Q19/TrRoad_act!Q5*1000)</f>
        <v>30.910146780100778</v>
      </c>
      <c r="R89" s="152">
        <f>IF(TrRoad_act!R5=0,0,R19/TrRoad_act!R5*1000)</f>
        <v>30.601814160036419</v>
      </c>
      <c r="S89" s="152">
        <f>IF(TrRoad_act!S5=0,0,S19/TrRoad_act!S5*1000)</f>
        <v>31.88894854464036</v>
      </c>
      <c r="T89" s="152">
        <f>IF(TrRoad_act!T5=0,0,T19/TrRoad_act!T5*1000)</f>
        <v>32.029481901958796</v>
      </c>
      <c r="U89" s="152">
        <f>IF(TrRoad_act!U5=0,0,U19/TrRoad_act!U5*1000)</f>
        <v>32.073738184209724</v>
      </c>
      <c r="V89" s="152">
        <f>IF(TrRoad_act!V5=0,0,V19/TrRoad_act!V5*1000)</f>
        <v>32.309813697043239</v>
      </c>
      <c r="W89" s="152">
        <f>IF(TrRoad_act!W5=0,0,W19/TrRoad_act!W5*1000)</f>
        <v>29.626894164863209</v>
      </c>
      <c r="DA89" s="174" t="s">
        <v>416</v>
      </c>
    </row>
    <row r="90" spans="1:105" ht="11.45" customHeight="1" x14ac:dyDescent="0.25">
      <c r="A90" s="109" t="s">
        <v>20</v>
      </c>
      <c r="B90" s="116">
        <f>IF(TrRoad_act!B6=0,0,B21/TrRoad_act!B6*1000)</f>
        <v>57.578973005439813</v>
      </c>
      <c r="C90" s="116">
        <f>IF(TrRoad_act!C6=0,0,C21/TrRoad_act!C6*1000)</f>
        <v>59.725531015335257</v>
      </c>
      <c r="D90" s="116">
        <f>IF(TrRoad_act!D6=0,0,D21/TrRoad_act!D6*1000)</f>
        <v>65.426944516282006</v>
      </c>
      <c r="E90" s="116">
        <f>IF(TrRoad_act!E6=0,0,E21/TrRoad_act!E6*1000)</f>
        <v>68.377500334551002</v>
      </c>
      <c r="F90" s="116">
        <f>IF(TrRoad_act!F6=0,0,F21/TrRoad_act!F6*1000)</f>
        <v>68.868978664539569</v>
      </c>
      <c r="G90" s="116">
        <f>IF(TrRoad_act!G6=0,0,G21/TrRoad_act!G6*1000)</f>
        <v>71.103596625932809</v>
      </c>
      <c r="H90" s="116">
        <f>IF(TrRoad_act!H6=0,0,H21/TrRoad_act!H6*1000)</f>
        <v>69.510113136463175</v>
      </c>
      <c r="I90" s="116">
        <f>IF(TrRoad_act!I6=0,0,I21/TrRoad_act!I6*1000)</f>
        <v>69.948992430335863</v>
      </c>
      <c r="J90" s="116">
        <f>IF(TrRoad_act!J6=0,0,J21/TrRoad_act!J6*1000)</f>
        <v>69.298809251793273</v>
      </c>
      <c r="K90" s="116">
        <f>IF(TrRoad_act!K6=0,0,K21/TrRoad_act!K6*1000)</f>
        <v>69.115837382496068</v>
      </c>
      <c r="L90" s="116">
        <f>IF(TrRoad_act!L6=0,0,L21/TrRoad_act!L6*1000)</f>
        <v>68.984781873173333</v>
      </c>
      <c r="M90" s="116">
        <f>IF(TrRoad_act!M6=0,0,M21/TrRoad_act!M6*1000)</f>
        <v>66.03752706310037</v>
      </c>
      <c r="N90" s="116">
        <f>IF(TrRoad_act!N6=0,0,N21/TrRoad_act!N6*1000)</f>
        <v>65.370094640185187</v>
      </c>
      <c r="O90" s="116">
        <f>IF(TrRoad_act!O6=0,0,O21/TrRoad_act!O6*1000)</f>
        <v>65.960975326215049</v>
      </c>
      <c r="P90" s="116">
        <f>IF(TrRoad_act!P6=0,0,P21/TrRoad_act!P6*1000)</f>
        <v>65.130389959940501</v>
      </c>
      <c r="Q90" s="116">
        <f>IF(TrRoad_act!Q6=0,0,Q21/TrRoad_act!Q6*1000)</f>
        <v>65.145996850835218</v>
      </c>
      <c r="R90" s="116">
        <f>IF(TrRoad_act!R6=0,0,R21/TrRoad_act!R6*1000)</f>
        <v>64.279433648802666</v>
      </c>
      <c r="S90" s="116">
        <f>IF(TrRoad_act!S6=0,0,S21/TrRoad_act!S6*1000)</f>
        <v>63.328001168153072</v>
      </c>
      <c r="T90" s="116">
        <f>IF(TrRoad_act!T6=0,0,T21/TrRoad_act!T6*1000)</f>
        <v>64.355812323099542</v>
      </c>
      <c r="U90" s="116">
        <f>IF(TrRoad_act!U6=0,0,U21/TrRoad_act!U6*1000)</f>
        <v>64.517969144569946</v>
      </c>
      <c r="V90" s="116">
        <f>IF(TrRoad_act!V6=0,0,V21/TrRoad_act!V6*1000)</f>
        <v>60.947315638546272</v>
      </c>
      <c r="W90" s="116">
        <f>IF(TrRoad_act!W6=0,0,W21/TrRoad_act!W6*1000)</f>
        <v>59.309408720069918</v>
      </c>
      <c r="DA90" s="176" t="s">
        <v>417</v>
      </c>
    </row>
    <row r="91" spans="1:105" ht="11.45" customHeight="1" x14ac:dyDescent="0.25">
      <c r="A91" s="111" t="s">
        <v>110</v>
      </c>
      <c r="B91" s="87">
        <f>IF(TrRoad_act!B7=0,0,B22/TrRoad_act!B7*1000)</f>
        <v>52.461640340853656</v>
      </c>
      <c r="C91" s="87">
        <f>IF(TrRoad_act!C7=0,0,C22/TrRoad_act!C7*1000)</f>
        <v>53.759049438497968</v>
      </c>
      <c r="D91" s="87">
        <f>IF(TrRoad_act!D7=0,0,D22/TrRoad_act!D7*1000)</f>
        <v>60.924635639008116</v>
      </c>
      <c r="E91" s="87">
        <f>IF(TrRoad_act!E7=0,0,E22/TrRoad_act!E7*1000)</f>
        <v>64.847706163433713</v>
      </c>
      <c r="F91" s="87">
        <f>IF(TrRoad_act!F7=0,0,F22/TrRoad_act!F7*1000)</f>
        <v>66.169595044278864</v>
      </c>
      <c r="G91" s="87">
        <f>IF(TrRoad_act!G7=0,0,G22/TrRoad_act!G7*1000)</f>
        <v>68.482938403790456</v>
      </c>
      <c r="H91" s="87">
        <f>IF(TrRoad_act!H7=0,0,H22/TrRoad_act!H7*1000)</f>
        <v>68.071920206682762</v>
      </c>
      <c r="I91" s="87">
        <f>IF(TrRoad_act!I7=0,0,I22/TrRoad_act!I7*1000)</f>
        <v>69.189633665376661</v>
      </c>
      <c r="J91" s="87">
        <f>IF(TrRoad_act!J7=0,0,J22/TrRoad_act!J7*1000)</f>
        <v>69.080277656525794</v>
      </c>
      <c r="K91" s="87">
        <f>IF(TrRoad_act!K7=0,0,K22/TrRoad_act!K7*1000)</f>
        <v>68.301969844206852</v>
      </c>
      <c r="L91" s="87">
        <f>IF(TrRoad_act!L7=0,0,L22/TrRoad_act!L7*1000)</f>
        <v>67.50615032256276</v>
      </c>
      <c r="M91" s="87">
        <f>IF(TrRoad_act!M7=0,0,M22/TrRoad_act!M7*1000)</f>
        <v>64.763324373882583</v>
      </c>
      <c r="N91" s="87">
        <f>IF(TrRoad_act!N7=0,0,N22/TrRoad_act!N7*1000)</f>
        <v>63.689479584972482</v>
      </c>
      <c r="O91" s="87">
        <f>IF(TrRoad_act!O7=0,0,O22/TrRoad_act!O7*1000)</f>
        <v>63.24612871388581</v>
      </c>
      <c r="P91" s="87">
        <f>IF(TrRoad_act!P7=0,0,P22/TrRoad_act!P7*1000)</f>
        <v>63.514057885129411</v>
      </c>
      <c r="Q91" s="87">
        <f>IF(TrRoad_act!Q7=0,0,Q22/TrRoad_act!Q7*1000)</f>
        <v>64.680924664903529</v>
      </c>
      <c r="R91" s="87">
        <f>IF(TrRoad_act!R7=0,0,R22/TrRoad_act!R7*1000)</f>
        <v>64.406434820588132</v>
      </c>
      <c r="S91" s="87">
        <f>IF(TrRoad_act!S7=0,0,S22/TrRoad_act!S7*1000)</f>
        <v>63.790878331388868</v>
      </c>
      <c r="T91" s="87">
        <f>IF(TrRoad_act!T7=0,0,T22/TrRoad_act!T7*1000)</f>
        <v>65.099417523051613</v>
      </c>
      <c r="U91" s="87">
        <f>IF(TrRoad_act!U7=0,0,U22/TrRoad_act!U7*1000)</f>
        <v>64.95624041026791</v>
      </c>
      <c r="V91" s="87">
        <f>IF(TrRoad_act!V7=0,0,V22/TrRoad_act!V7*1000)</f>
        <v>59.977228268482293</v>
      </c>
      <c r="W91" s="87">
        <f>IF(TrRoad_act!W7=0,0,W22/TrRoad_act!W7*1000)</f>
        <v>58.555433902103488</v>
      </c>
      <c r="DA91" s="171" t="s">
        <v>697</v>
      </c>
    </row>
    <row r="92" spans="1:105" ht="11.45" customHeight="1" x14ac:dyDescent="0.25">
      <c r="A92" s="111" t="s">
        <v>111</v>
      </c>
      <c r="B92" s="87">
        <f>IF(TrRoad_act!B8=0,0,B24/TrRoad_act!B8*1000)</f>
        <v>64.170628111768067</v>
      </c>
      <c r="C92" s="87">
        <f>IF(TrRoad_act!C8=0,0,C24/TrRoad_act!C8*1000)</f>
        <v>66.98415457222923</v>
      </c>
      <c r="D92" s="87">
        <f>IF(TrRoad_act!D8=0,0,D24/TrRoad_act!D8*1000)</f>
        <v>70.35654033619933</v>
      </c>
      <c r="E92" s="87">
        <f>IF(TrRoad_act!E8=0,0,E24/TrRoad_act!E8*1000)</f>
        <v>71.887178569035243</v>
      </c>
      <c r="F92" s="87">
        <f>IF(TrRoad_act!F8=0,0,F24/TrRoad_act!F8*1000)</f>
        <v>71.318999651361111</v>
      </c>
      <c r="G92" s="87">
        <f>IF(TrRoad_act!G8=0,0,G24/TrRoad_act!G8*1000)</f>
        <v>73.283026338807673</v>
      </c>
      <c r="H92" s="87">
        <f>IF(TrRoad_act!H8=0,0,H24/TrRoad_act!H8*1000)</f>
        <v>70.655405199089756</v>
      </c>
      <c r="I92" s="87">
        <f>IF(TrRoad_act!I8=0,0,I24/TrRoad_act!I8*1000)</f>
        <v>70.539644881960129</v>
      </c>
      <c r="J92" s="87">
        <f>IF(TrRoad_act!J8=0,0,J24/TrRoad_act!J8*1000)</f>
        <v>69.505394414095917</v>
      </c>
      <c r="K92" s="87">
        <f>IF(TrRoad_act!K8=0,0,K24/TrRoad_act!K8*1000)</f>
        <v>69.678294319546907</v>
      </c>
      <c r="L92" s="87">
        <f>IF(TrRoad_act!L8=0,0,L24/TrRoad_act!L8*1000)</f>
        <v>69.967008846269692</v>
      </c>
      <c r="M92" s="87">
        <f>IF(TrRoad_act!M8=0,0,M24/TrRoad_act!M8*1000)</f>
        <v>66.83686269233867</v>
      </c>
      <c r="N92" s="87">
        <f>IF(TrRoad_act!N8=0,0,N24/TrRoad_act!N8*1000)</f>
        <v>66.391959372800855</v>
      </c>
      <c r="O92" s="87">
        <f>IF(TrRoad_act!O8=0,0,O24/TrRoad_act!O8*1000)</f>
        <v>67.537123062514269</v>
      </c>
      <c r="P92" s="87">
        <f>IF(TrRoad_act!P8=0,0,P24/TrRoad_act!P8*1000)</f>
        <v>66.075052054051696</v>
      </c>
      <c r="Q92" s="87">
        <f>IF(TrRoad_act!Q8=0,0,Q24/TrRoad_act!Q8*1000)</f>
        <v>65.523034068069634</v>
      </c>
      <c r="R92" s="87">
        <f>IF(TrRoad_act!R8=0,0,R24/TrRoad_act!R8*1000)</f>
        <v>64.411971116585278</v>
      </c>
      <c r="S92" s="87">
        <f>IF(TrRoad_act!S8=0,0,S24/TrRoad_act!S8*1000)</f>
        <v>63.39524867890367</v>
      </c>
      <c r="T92" s="87">
        <f>IF(TrRoad_act!T8=0,0,T24/TrRoad_act!T8*1000)</f>
        <v>64.430148721135112</v>
      </c>
      <c r="U92" s="87">
        <f>IF(TrRoad_act!U8=0,0,U24/TrRoad_act!U8*1000)</f>
        <v>64.907967331511841</v>
      </c>
      <c r="V92" s="87">
        <f>IF(TrRoad_act!V8=0,0,V24/TrRoad_act!V8*1000)</f>
        <v>62.276863826031978</v>
      </c>
      <c r="W92" s="87">
        <f>IF(TrRoad_act!W8=0,0,W24/TrRoad_act!W8*1000)</f>
        <v>61.275940396129883</v>
      </c>
      <c r="DA92" s="171" t="s">
        <v>698</v>
      </c>
    </row>
    <row r="93" spans="1:105" ht="11.45" customHeight="1" x14ac:dyDescent="0.25">
      <c r="A93" s="111" t="s">
        <v>112</v>
      </c>
      <c r="B93" s="87">
        <f>IF(TrRoad_act!B9=0,0,B26/TrRoad_act!B9*1000)</f>
        <v>66.400996746527397</v>
      </c>
      <c r="C93" s="87">
        <f>IF(TrRoad_act!C9=0,0,C26/TrRoad_act!C9*1000)</f>
        <v>67.282851046785211</v>
      </c>
      <c r="D93" s="87">
        <f>IF(TrRoad_act!D9=0,0,D26/TrRoad_act!D9*1000)</f>
        <v>64.349607339930259</v>
      </c>
      <c r="E93" s="87">
        <f>IF(TrRoad_act!E9=0,0,E26/TrRoad_act!E9*1000)</f>
        <v>62.932206475132602</v>
      </c>
      <c r="F93" s="87">
        <f>IF(TrRoad_act!F9=0,0,F26/TrRoad_act!F9*1000)</f>
        <v>63.268295659827892</v>
      </c>
      <c r="G93" s="87">
        <f>IF(TrRoad_act!G9=0,0,G26/TrRoad_act!G9*1000)</f>
        <v>60.856237676566671</v>
      </c>
      <c r="H93" s="87">
        <f>IF(TrRoad_act!H9=0,0,H26/TrRoad_act!H9*1000)</f>
        <v>59.364648801400577</v>
      </c>
      <c r="I93" s="87">
        <f>IF(TrRoad_act!I9=0,0,I26/TrRoad_act!I9*1000)</f>
        <v>60.134015467186956</v>
      </c>
      <c r="J93" s="87">
        <f>IF(TrRoad_act!J9=0,0,J26/TrRoad_act!J9*1000)</f>
        <v>62.520707012291886</v>
      </c>
      <c r="K93" s="87">
        <f>IF(TrRoad_act!K9=0,0,K26/TrRoad_act!K9*1000)</f>
        <v>64.90672029536556</v>
      </c>
      <c r="L93" s="87">
        <f>IF(TrRoad_act!L9=0,0,L26/TrRoad_act!L9*1000)</f>
        <v>63.888823912682206</v>
      </c>
      <c r="M93" s="87">
        <f>IF(TrRoad_act!M9=0,0,M26/TrRoad_act!M9*1000)</f>
        <v>60.851412338615354</v>
      </c>
      <c r="N93" s="87">
        <f>IF(TrRoad_act!N9=0,0,N26/TrRoad_act!N9*1000)</f>
        <v>62.477061368677361</v>
      </c>
      <c r="O93" s="87">
        <f>IF(TrRoad_act!O9=0,0,O26/TrRoad_act!O9*1000)</f>
        <v>62.136663384728251</v>
      </c>
      <c r="P93" s="87">
        <f>IF(TrRoad_act!P9=0,0,P26/TrRoad_act!P9*1000)</f>
        <v>58.878702568808727</v>
      </c>
      <c r="Q93" s="87">
        <f>IF(TrRoad_act!Q9=0,0,Q26/TrRoad_act!Q9*1000)</f>
        <v>57.623295259431416</v>
      </c>
      <c r="R93" s="87">
        <f>IF(TrRoad_act!R9=0,0,R26/TrRoad_act!R9*1000)</f>
        <v>64.536345113283772</v>
      </c>
      <c r="S93" s="87">
        <f>IF(TrRoad_act!S9=0,0,S26/TrRoad_act!S9*1000)</f>
        <v>69.029536418803488</v>
      </c>
      <c r="T93" s="87">
        <f>IF(TrRoad_act!T9=0,0,T26/TrRoad_act!T9*1000)</f>
        <v>64.555817220727135</v>
      </c>
      <c r="U93" s="87">
        <f>IF(TrRoad_act!U9=0,0,U26/TrRoad_act!U9*1000)</f>
        <v>73.353362183244073</v>
      </c>
      <c r="V93" s="87">
        <f>IF(TrRoad_act!V9=0,0,V26/TrRoad_act!V9*1000)</f>
        <v>60.137352243780164</v>
      </c>
      <c r="W93" s="87">
        <f>IF(TrRoad_act!W9=0,0,W26/TrRoad_act!W9*1000)</f>
        <v>43.771679005464136</v>
      </c>
      <c r="DA93" s="171" t="s">
        <v>699</v>
      </c>
    </row>
    <row r="94" spans="1:105" ht="11.45" customHeight="1" x14ac:dyDescent="0.25">
      <c r="A94" s="111" t="s">
        <v>113</v>
      </c>
      <c r="B94" s="87">
        <f>IF(TrRoad_act!B10=0,0,B27/TrRoad_act!B10*1000)</f>
        <v>0</v>
      </c>
      <c r="C94" s="87">
        <f>IF(TrRoad_act!C10=0,0,C27/TrRoad_act!C10*1000)</f>
        <v>0</v>
      </c>
      <c r="D94" s="87">
        <f>IF(TrRoad_act!D10=0,0,D27/TrRoad_act!D10*1000)</f>
        <v>0</v>
      </c>
      <c r="E94" s="87">
        <f>IF(TrRoad_act!E10=0,0,E27/TrRoad_act!E10*1000)</f>
        <v>0</v>
      </c>
      <c r="F94" s="87">
        <f>IF(TrRoad_act!F10=0,0,F27/TrRoad_act!F10*1000)</f>
        <v>0</v>
      </c>
      <c r="G94" s="87">
        <f>IF(TrRoad_act!G10=0,0,G27/TrRoad_act!G10*1000)</f>
        <v>0</v>
      </c>
      <c r="H94" s="87">
        <f>IF(TrRoad_act!H10=0,0,H27/TrRoad_act!H10*1000)</f>
        <v>60.247133239994383</v>
      </c>
      <c r="I94" s="87">
        <f>IF(TrRoad_act!I10=0,0,I27/TrRoad_act!I10*1000)</f>
        <v>59.929669738652549</v>
      </c>
      <c r="J94" s="87">
        <f>IF(TrRoad_act!J10=0,0,J27/TrRoad_act!J10*1000)</f>
        <v>58.080037715827729</v>
      </c>
      <c r="K94" s="87">
        <f>IF(TrRoad_act!K10=0,0,K27/TrRoad_act!K10*1000)</f>
        <v>57.732163966034349</v>
      </c>
      <c r="L94" s="87">
        <f>IF(TrRoad_act!L10=0,0,L27/TrRoad_act!L10*1000)</f>
        <v>60.230381365326608</v>
      </c>
      <c r="M94" s="87">
        <f>IF(TrRoad_act!M10=0,0,M27/TrRoad_act!M10*1000)</f>
        <v>61.654141449584458</v>
      </c>
      <c r="N94" s="87">
        <f>IF(TrRoad_act!N10=0,0,N27/TrRoad_act!N10*1000)</f>
        <v>61.638052104227619</v>
      </c>
      <c r="O94" s="87">
        <f>IF(TrRoad_act!O10=0,0,O27/TrRoad_act!O10*1000)</f>
        <v>59.423900945066038</v>
      </c>
      <c r="P94" s="87">
        <f>IF(TrRoad_act!P10=0,0,P27/TrRoad_act!P10*1000)</f>
        <v>57.164998039592696</v>
      </c>
      <c r="Q94" s="87">
        <f>IF(TrRoad_act!Q10=0,0,Q27/TrRoad_act!Q10*1000)</f>
        <v>55.88740055391515</v>
      </c>
      <c r="R94" s="87">
        <f>IF(TrRoad_act!R10=0,0,R27/TrRoad_act!R10*1000)</f>
        <v>54.927971211088867</v>
      </c>
      <c r="S94" s="87">
        <f>IF(TrRoad_act!S10=0,0,S27/TrRoad_act!S10*1000)</f>
        <v>54.21274796963818</v>
      </c>
      <c r="T94" s="87">
        <f>IF(TrRoad_act!T10=0,0,T27/TrRoad_act!T10*1000)</f>
        <v>53.378511063925707</v>
      </c>
      <c r="U94" s="87">
        <f>IF(TrRoad_act!U10=0,0,U27/TrRoad_act!U10*1000)</f>
        <v>52.739825782529181</v>
      </c>
      <c r="V94" s="87">
        <f>IF(TrRoad_act!V10=0,0,V27/TrRoad_act!V10*1000)</f>
        <v>52.358319463514235</v>
      </c>
      <c r="W94" s="87">
        <f>IF(TrRoad_act!W10=0,0,W27/TrRoad_act!W10*1000)</f>
        <v>51.13306923794363</v>
      </c>
      <c r="DA94" s="171" t="s">
        <v>700</v>
      </c>
    </row>
    <row r="95" spans="1:105" ht="11.45" customHeight="1" x14ac:dyDescent="0.25">
      <c r="A95" s="111" t="s">
        <v>114</v>
      </c>
      <c r="B95" s="87">
        <f>IF(TrRoad_act!B11=0,0,B29/TrRoad_act!B11*1000)</f>
        <v>0</v>
      </c>
      <c r="C95" s="87">
        <f>IF(TrRoad_act!C11=0,0,C29/TrRoad_act!C11*1000)</f>
        <v>0</v>
      </c>
      <c r="D95" s="87">
        <f>IF(TrRoad_act!D11=0,0,D29/TrRoad_act!D11*1000)</f>
        <v>0</v>
      </c>
      <c r="E95" s="87">
        <f>IF(TrRoad_act!E11=0,0,E29/TrRoad_act!E11*1000)</f>
        <v>0</v>
      </c>
      <c r="F95" s="87">
        <f>IF(TrRoad_act!F11=0,0,F29/TrRoad_act!F11*1000)</f>
        <v>0</v>
      </c>
      <c r="G95" s="87">
        <f>IF(TrRoad_act!G11=0,0,G29/TrRoad_act!G11*1000)</f>
        <v>0</v>
      </c>
      <c r="H95" s="87">
        <f>IF(TrRoad_act!H11=0,0,H29/TrRoad_act!H11*1000)</f>
        <v>0</v>
      </c>
      <c r="I95" s="87">
        <f>IF(TrRoad_act!I11=0,0,I29/TrRoad_act!I11*1000)</f>
        <v>0</v>
      </c>
      <c r="J95" s="87">
        <f>IF(TrRoad_act!J11=0,0,J29/TrRoad_act!J11*1000)</f>
        <v>0</v>
      </c>
      <c r="K95" s="87">
        <f>IF(TrRoad_act!K11=0,0,K29/TrRoad_act!K11*1000)</f>
        <v>0</v>
      </c>
      <c r="L95" s="87">
        <f>IF(TrRoad_act!L11=0,0,L29/TrRoad_act!L11*1000)</f>
        <v>0</v>
      </c>
      <c r="M95" s="87">
        <f>IF(TrRoad_act!M11=0,0,M29/TrRoad_act!M11*1000)</f>
        <v>31.96379847196415</v>
      </c>
      <c r="N95" s="87">
        <f>IF(TrRoad_act!N11=0,0,N29/TrRoad_act!N11*1000)</f>
        <v>26.253474545326348</v>
      </c>
      <c r="O95" s="87">
        <f>IF(TrRoad_act!O11=0,0,O29/TrRoad_act!O11*1000)</f>
        <v>21.933872077592049</v>
      </c>
      <c r="P95" s="87">
        <f>IF(TrRoad_act!P11=0,0,P29/TrRoad_act!P11*1000)</f>
        <v>24.017047771161621</v>
      </c>
      <c r="Q95" s="87">
        <f>IF(TrRoad_act!Q11=0,0,Q29/TrRoad_act!Q11*1000)</f>
        <v>28.563044177121231</v>
      </c>
      <c r="R95" s="87">
        <f>IF(TrRoad_act!R11=0,0,R29/TrRoad_act!R11*1000)</f>
        <v>33.863234060019096</v>
      </c>
      <c r="S95" s="87">
        <f>IF(TrRoad_act!S11=0,0,S29/TrRoad_act!S11*1000)</f>
        <v>35.255176825324334</v>
      </c>
      <c r="T95" s="87">
        <f>IF(TrRoad_act!T11=0,0,T29/TrRoad_act!T11*1000)</f>
        <v>37.193305024141075</v>
      </c>
      <c r="U95" s="87">
        <f>IF(TrRoad_act!U11=0,0,U29/TrRoad_act!U11*1000)</f>
        <v>38.193880134114821</v>
      </c>
      <c r="V95" s="87">
        <f>IF(TrRoad_act!V11=0,0,V29/TrRoad_act!V11*1000)</f>
        <v>34.248706738226701</v>
      </c>
      <c r="W95" s="87">
        <f>IF(TrRoad_act!W11=0,0,W29/TrRoad_act!W11*1000)</f>
        <v>32.040711637792512</v>
      </c>
      <c r="DA95" s="171" t="s">
        <v>701</v>
      </c>
    </row>
    <row r="96" spans="1:105" ht="11.45" customHeight="1" x14ac:dyDescent="0.25">
      <c r="A96" s="111" t="s">
        <v>115</v>
      </c>
      <c r="B96" s="87">
        <f>IF(TrRoad_act!B12=0,0,B32/TrRoad_act!B12*1000)</f>
        <v>0</v>
      </c>
      <c r="C96" s="87">
        <f>IF(TrRoad_act!C12=0,0,C32/TrRoad_act!C12*1000)</f>
        <v>0</v>
      </c>
      <c r="D96" s="87">
        <f>IF(TrRoad_act!D12=0,0,D32/TrRoad_act!D12*1000)</f>
        <v>0</v>
      </c>
      <c r="E96" s="87">
        <f>IF(TrRoad_act!E12=0,0,E32/TrRoad_act!E12*1000)</f>
        <v>0</v>
      </c>
      <c r="F96" s="87">
        <f>IF(TrRoad_act!F12=0,0,F32/TrRoad_act!F12*1000)</f>
        <v>0</v>
      </c>
      <c r="G96" s="87">
        <f>IF(TrRoad_act!G12=0,0,G32/TrRoad_act!G12*1000)</f>
        <v>0</v>
      </c>
      <c r="H96" s="87">
        <f>IF(TrRoad_act!H12=0,0,H32/TrRoad_act!H12*1000)</f>
        <v>0</v>
      </c>
      <c r="I96" s="87">
        <f>IF(TrRoad_act!I12=0,0,I32/TrRoad_act!I12*1000)</f>
        <v>0</v>
      </c>
      <c r="J96" s="87">
        <f>IF(TrRoad_act!J12=0,0,J32/TrRoad_act!J12*1000)</f>
        <v>12.089508545787654</v>
      </c>
      <c r="K96" s="87">
        <f>IF(TrRoad_act!K12=0,0,K32/TrRoad_act!K12*1000)</f>
        <v>12.032673326210571</v>
      </c>
      <c r="L96" s="87">
        <f>IF(TrRoad_act!L12=0,0,L32/TrRoad_act!L12*1000)</f>
        <v>12.019112895726186</v>
      </c>
      <c r="M96" s="87">
        <f>IF(TrRoad_act!M12=0,0,M32/TrRoad_act!M12*1000)</f>
        <v>12.029292118279248</v>
      </c>
      <c r="N96" s="87">
        <f>IF(TrRoad_act!N12=0,0,N32/TrRoad_act!N12*1000)</f>
        <v>12.001740979117894</v>
      </c>
      <c r="O96" s="87">
        <f>IF(TrRoad_act!O12=0,0,O32/TrRoad_act!O12*1000)</f>
        <v>12.079123923255098</v>
      </c>
      <c r="P96" s="87">
        <f>IF(TrRoad_act!P12=0,0,P32/TrRoad_act!P12*1000)</f>
        <v>11.8677033804691</v>
      </c>
      <c r="Q96" s="87">
        <f>IF(TrRoad_act!Q12=0,0,Q32/TrRoad_act!Q12*1000)</f>
        <v>12.384495039005717</v>
      </c>
      <c r="R96" s="87">
        <f>IF(TrRoad_act!R12=0,0,R32/TrRoad_act!R12*1000)</f>
        <v>12.311927524829725</v>
      </c>
      <c r="S96" s="87">
        <f>IF(TrRoad_act!S12=0,0,S32/TrRoad_act!S12*1000)</f>
        <v>12.11407955500092</v>
      </c>
      <c r="T96" s="87">
        <f>IF(TrRoad_act!T12=0,0,T32/TrRoad_act!T12*1000)</f>
        <v>12.292162167666939</v>
      </c>
      <c r="U96" s="87">
        <f>IF(TrRoad_act!U12=0,0,U32/TrRoad_act!U12*1000)</f>
        <v>12.876751087277611</v>
      </c>
      <c r="V96" s="87">
        <f>IF(TrRoad_act!V12=0,0,V32/TrRoad_act!V12*1000)</f>
        <v>13.548574818361649</v>
      </c>
      <c r="W96" s="87">
        <f>IF(TrRoad_act!W12=0,0,W32/TrRoad_act!W12*1000)</f>
        <v>13.861837935509545</v>
      </c>
      <c r="DA96" s="171" t="s">
        <v>702</v>
      </c>
    </row>
    <row r="97" spans="1:105" ht="11.45" customHeight="1" x14ac:dyDescent="0.25">
      <c r="A97" s="109" t="s">
        <v>21</v>
      </c>
      <c r="B97" s="116">
        <f>IF(TrRoad_act!B13=0,0,B33/TrRoad_act!B13*1000)</f>
        <v>28.723931360796744</v>
      </c>
      <c r="C97" s="116">
        <f>IF(TrRoad_act!C13=0,0,C33/TrRoad_act!C13*1000)</f>
        <v>28.853491812340256</v>
      </c>
      <c r="D97" s="116">
        <f>IF(TrRoad_act!D13=0,0,D33/TrRoad_act!D13*1000)</f>
        <v>29.806405151415692</v>
      </c>
      <c r="E97" s="116">
        <f>IF(TrRoad_act!E13=0,0,E33/TrRoad_act!E13*1000)</f>
        <v>30.013332305032602</v>
      </c>
      <c r="F97" s="116">
        <f>IF(TrRoad_act!F13=0,0,F33/TrRoad_act!F13*1000)</f>
        <v>29.49221234441746</v>
      </c>
      <c r="G97" s="116">
        <f>IF(TrRoad_act!G13=0,0,G33/TrRoad_act!G13*1000)</f>
        <v>29.361804039540878</v>
      </c>
      <c r="H97" s="116">
        <f>IF(TrRoad_act!H13=0,0,H33/TrRoad_act!H13*1000)</f>
        <v>28.18718926574855</v>
      </c>
      <c r="I97" s="116">
        <f>IF(TrRoad_act!I13=0,0,I33/TrRoad_act!I13*1000)</f>
        <v>29.213066503289852</v>
      </c>
      <c r="J97" s="116">
        <f>IF(TrRoad_act!J13=0,0,J33/TrRoad_act!J13*1000)</f>
        <v>29.141118795495842</v>
      </c>
      <c r="K97" s="116">
        <f>IF(TrRoad_act!K13=0,0,K33/TrRoad_act!K13*1000)</f>
        <v>30.002291889119327</v>
      </c>
      <c r="L97" s="116">
        <f>IF(TrRoad_act!L13=0,0,L33/TrRoad_act!L13*1000)</f>
        <v>31.465303860366937</v>
      </c>
      <c r="M97" s="116">
        <f>IF(TrRoad_act!M13=0,0,M33/TrRoad_act!M13*1000)</f>
        <v>30.203269975264369</v>
      </c>
      <c r="N97" s="116">
        <f>IF(TrRoad_act!N13=0,0,N33/TrRoad_act!N13*1000)</f>
        <v>30.635074467629636</v>
      </c>
      <c r="O97" s="116">
        <f>IF(TrRoad_act!O13=0,0,O33/TrRoad_act!O13*1000)</f>
        <v>30.453434674542656</v>
      </c>
      <c r="P97" s="116">
        <f>IF(TrRoad_act!P13=0,0,P33/TrRoad_act!P13*1000)</f>
        <v>30.657184228201142</v>
      </c>
      <c r="Q97" s="116">
        <f>IF(TrRoad_act!Q13=0,0,Q33/TrRoad_act!Q13*1000)</f>
        <v>30.774499981516382</v>
      </c>
      <c r="R97" s="116">
        <f>IF(TrRoad_act!R13=0,0,R33/TrRoad_act!R13*1000)</f>
        <v>31.13472425464969</v>
      </c>
      <c r="S97" s="116">
        <f>IF(TrRoad_act!S13=0,0,S33/TrRoad_act!S13*1000)</f>
        <v>31.442022268741979</v>
      </c>
      <c r="T97" s="116">
        <f>IF(TrRoad_act!T13=0,0,T33/TrRoad_act!T13*1000)</f>
        <v>31.641512029768151</v>
      </c>
      <c r="U97" s="116">
        <f>IF(TrRoad_act!U13=0,0,U33/TrRoad_act!U13*1000)</f>
        <v>31.823309354428599</v>
      </c>
      <c r="V97" s="116">
        <f>IF(TrRoad_act!V13=0,0,V33/TrRoad_act!V13*1000)</f>
        <v>39.34022844784959</v>
      </c>
      <c r="W97" s="116">
        <f>IF(TrRoad_act!W13=0,0,W33/TrRoad_act!W13*1000)</f>
        <v>38.323819184492123</v>
      </c>
      <c r="DA97" s="176" t="s">
        <v>418</v>
      </c>
    </row>
    <row r="98" spans="1:105" ht="11.45" customHeight="1" x14ac:dyDescent="0.25">
      <c r="A98" s="111" t="s">
        <v>110</v>
      </c>
      <c r="B98" s="101">
        <f>IF(TrRoad_act!B14=0,0,B34/TrRoad_act!B14*1000)</f>
        <v>25.256782721523777</v>
      </c>
      <c r="C98" s="101">
        <f>IF(TrRoad_act!C14=0,0,C34/TrRoad_act!C14*1000)</f>
        <v>25.477044679765999</v>
      </c>
      <c r="D98" s="101">
        <f>IF(TrRoad_act!D14=0,0,D34/TrRoad_act!D14*1000)</f>
        <v>26.497334303625706</v>
      </c>
      <c r="E98" s="101">
        <f>IF(TrRoad_act!E14=0,0,E34/TrRoad_act!E14*1000)</f>
        <v>26.858890525860975</v>
      </c>
      <c r="F98" s="101">
        <f>IF(TrRoad_act!F14=0,0,F34/TrRoad_act!F14*1000)</f>
        <v>26.563635597628707</v>
      </c>
      <c r="G98" s="101">
        <f>IF(TrRoad_act!G14=0,0,G34/TrRoad_act!G14*1000)</f>
        <v>26.502131417386583</v>
      </c>
      <c r="H98" s="101">
        <f>IF(TrRoad_act!H14=0,0,H34/TrRoad_act!H14*1000)</f>
        <v>25.510013503256108</v>
      </c>
      <c r="I98" s="101">
        <f>IF(TrRoad_act!I14=0,0,I34/TrRoad_act!I14*1000)</f>
        <v>25.609453202745399</v>
      </c>
      <c r="J98" s="101">
        <f>IF(TrRoad_act!J14=0,0,J34/TrRoad_act!J14*1000)</f>
        <v>25.394574322406051</v>
      </c>
      <c r="K98" s="101">
        <f>IF(TrRoad_act!K14=0,0,K34/TrRoad_act!K14*1000)</f>
        <v>25.86293064457049</v>
      </c>
      <c r="L98" s="101">
        <f>IF(TrRoad_act!L14=0,0,L34/TrRoad_act!L14*1000)</f>
        <v>26.664295563058396</v>
      </c>
      <c r="M98" s="101">
        <f>IF(TrRoad_act!M14=0,0,M34/TrRoad_act!M14*1000)</f>
        <v>25.62725128899449</v>
      </c>
      <c r="N98" s="101">
        <f>IF(TrRoad_act!N14=0,0,N34/TrRoad_act!N14*1000)</f>
        <v>25.932357222267825</v>
      </c>
      <c r="O98" s="101">
        <f>IF(TrRoad_act!O14=0,0,O34/TrRoad_act!O14*1000)</f>
        <v>24.723742079778877</v>
      </c>
      <c r="P98" s="101">
        <f>IF(TrRoad_act!P14=0,0,P34/TrRoad_act!P14*1000)</f>
        <v>23.129802019936264</v>
      </c>
      <c r="Q98" s="101">
        <f>IF(TrRoad_act!Q14=0,0,Q34/TrRoad_act!Q14*1000)</f>
        <v>23.128176162535283</v>
      </c>
      <c r="R98" s="101">
        <f>IF(TrRoad_act!R14=0,0,R34/TrRoad_act!R14*1000)</f>
        <v>22.662152789727962</v>
      </c>
      <c r="S98" s="101">
        <f>IF(TrRoad_act!S14=0,0,S34/TrRoad_act!S14*1000)</f>
        <v>22.665813640796152</v>
      </c>
      <c r="T98" s="101">
        <f>IF(TrRoad_act!T14=0,0,T34/TrRoad_act!T14*1000)</f>
        <v>22.664920888638399</v>
      </c>
      <c r="U98" s="101">
        <f>IF(TrRoad_act!U14=0,0,U34/TrRoad_act!U14*1000)</f>
        <v>22.664700708660888</v>
      </c>
      <c r="V98" s="101">
        <f>IF(TrRoad_act!V14=0,0,V34/TrRoad_act!V14*1000)</f>
        <v>22.528812927589168</v>
      </c>
      <c r="W98" s="101">
        <f>IF(TrRoad_act!W14=0,0,W34/TrRoad_act!W14*1000)</f>
        <v>22.612834073629834</v>
      </c>
      <c r="DA98" s="175" t="s">
        <v>703</v>
      </c>
    </row>
    <row r="99" spans="1:105" ht="11.45" customHeight="1" x14ac:dyDescent="0.25">
      <c r="A99" s="111" t="s">
        <v>111</v>
      </c>
      <c r="B99" s="101">
        <f>IF(TrRoad_act!B15=0,0,B36/TrRoad_act!B15*1000)</f>
        <v>28.849568563191728</v>
      </c>
      <c r="C99" s="101">
        <f>IF(TrRoad_act!C15=0,0,C36/TrRoad_act!C15*1000)</f>
        <v>28.982606641131902</v>
      </c>
      <c r="D99" s="101">
        <f>IF(TrRoad_act!D15=0,0,D36/TrRoad_act!D15*1000)</f>
        <v>29.944591833535416</v>
      </c>
      <c r="E99" s="101">
        <f>IF(TrRoad_act!E15=0,0,E36/TrRoad_act!E15*1000)</f>
        <v>30.154849679896476</v>
      </c>
      <c r="F99" s="101">
        <f>IF(TrRoad_act!F15=0,0,F36/TrRoad_act!F15*1000)</f>
        <v>29.633883192541457</v>
      </c>
      <c r="G99" s="101">
        <f>IF(TrRoad_act!G15=0,0,G36/TrRoad_act!G15*1000)</f>
        <v>29.505198376689826</v>
      </c>
      <c r="H99" s="101">
        <f>IF(TrRoad_act!H15=0,0,H36/TrRoad_act!H15*1000)</f>
        <v>28.339704647854315</v>
      </c>
      <c r="I99" s="101">
        <f>IF(TrRoad_act!I15=0,0,I36/TrRoad_act!I15*1000)</f>
        <v>29.370391554873081</v>
      </c>
      <c r="J99" s="101">
        <f>IF(TrRoad_act!J15=0,0,J36/TrRoad_act!J15*1000)</f>
        <v>29.304113945011125</v>
      </c>
      <c r="K99" s="101">
        <f>IF(TrRoad_act!K15=0,0,K36/TrRoad_act!K15*1000)</f>
        <v>30.298786910408325</v>
      </c>
      <c r="L99" s="101">
        <f>IF(TrRoad_act!L15=0,0,L36/TrRoad_act!L15*1000)</f>
        <v>31.861236946973015</v>
      </c>
      <c r="M99" s="101">
        <f>IF(TrRoad_act!M15=0,0,M36/TrRoad_act!M15*1000)</f>
        <v>30.73240979156331</v>
      </c>
      <c r="N99" s="101">
        <f>IF(TrRoad_act!N15=0,0,N36/TrRoad_act!N15*1000)</f>
        <v>31.240160861256776</v>
      </c>
      <c r="O99" s="101">
        <f>IF(TrRoad_act!O15=0,0,O36/TrRoad_act!O15*1000)</f>
        <v>31.2444421919189</v>
      </c>
      <c r="P99" s="101">
        <f>IF(TrRoad_act!P15=0,0,P36/TrRoad_act!P15*1000)</f>
        <v>31.46665595274068</v>
      </c>
      <c r="Q99" s="101">
        <f>IF(TrRoad_act!Q15=0,0,Q36/TrRoad_act!Q15*1000)</f>
        <v>31.591798881594467</v>
      </c>
      <c r="R99" s="101">
        <f>IF(TrRoad_act!R15=0,0,R36/TrRoad_act!R15*1000)</f>
        <v>31.578852619082923</v>
      </c>
      <c r="S99" s="101">
        <f>IF(TrRoad_act!S15=0,0,S36/TrRoad_act!S15*1000)</f>
        <v>31.865788027173458</v>
      </c>
      <c r="T99" s="101">
        <f>IF(TrRoad_act!T15=0,0,T36/TrRoad_act!T15*1000)</f>
        <v>32.09913297906364</v>
      </c>
      <c r="U99" s="101">
        <f>IF(TrRoad_act!U15=0,0,U36/TrRoad_act!U15*1000)</f>
        <v>32.295721871691782</v>
      </c>
      <c r="V99" s="101">
        <f>IF(TrRoad_act!V15=0,0,V36/TrRoad_act!V15*1000)</f>
        <v>40.001409804823581</v>
      </c>
      <c r="W99" s="101">
        <f>IF(TrRoad_act!W15=0,0,W36/TrRoad_act!W15*1000)</f>
        <v>38.95616961998666</v>
      </c>
      <c r="DA99" s="175" t="s">
        <v>704</v>
      </c>
    </row>
    <row r="100" spans="1:105" ht="11.45" customHeight="1" x14ac:dyDescent="0.25">
      <c r="A100" s="111" t="s">
        <v>112</v>
      </c>
      <c r="B100" s="101">
        <f>IF(TrRoad_act!B16=0,0,B38/TrRoad_act!B16*1000)</f>
        <v>0</v>
      </c>
      <c r="C100" s="101">
        <f>IF(TrRoad_act!C16=0,0,C38/TrRoad_act!C16*1000)</f>
        <v>22.794494940933035</v>
      </c>
      <c r="D100" s="101">
        <f>IF(TrRoad_act!D16=0,0,D38/TrRoad_act!D16*1000)</f>
        <v>23.796046150113447</v>
      </c>
      <c r="E100" s="101">
        <f>IF(TrRoad_act!E16=0,0,E38/TrRoad_act!E16*1000)</f>
        <v>24.178199446961646</v>
      </c>
      <c r="F100" s="101">
        <f>IF(TrRoad_act!F16=0,0,F38/TrRoad_act!F16*1000)</f>
        <v>24.001849828689888</v>
      </c>
      <c r="G100" s="101">
        <f>IF(TrRoad_act!G16=0,0,G38/TrRoad_act!G16*1000)</f>
        <v>24.094479524802104</v>
      </c>
      <c r="H100" s="101">
        <f>IF(TrRoad_act!H16=0,0,H38/TrRoad_act!H16*1000)</f>
        <v>23.339809047206739</v>
      </c>
      <c r="I100" s="101">
        <f>IF(TrRoad_act!I16=0,0,I38/TrRoad_act!I16*1000)</f>
        <v>24.370315352733765</v>
      </c>
      <c r="J100" s="101">
        <f>IF(TrRoad_act!J16=0,0,J38/TrRoad_act!J16*1000)</f>
        <v>24.473394987325413</v>
      </c>
      <c r="K100" s="101">
        <f>IF(TrRoad_act!K16=0,0,K38/TrRoad_act!K16*1000)</f>
        <v>25.446951741947029</v>
      </c>
      <c r="L100" s="101">
        <f>IF(TrRoad_act!L16=0,0,L38/TrRoad_act!L16*1000)</f>
        <v>26.847039384942214</v>
      </c>
      <c r="M100" s="101">
        <f>IF(TrRoad_act!M16=0,0,M38/TrRoad_act!M16*1000)</f>
        <v>25.950997286727901</v>
      </c>
      <c r="N100" s="101">
        <f>IF(TrRoad_act!N16=0,0,N38/TrRoad_act!N16*1000)</f>
        <v>26.380403370437879</v>
      </c>
      <c r="O100" s="101">
        <f>IF(TrRoad_act!O16=0,0,O38/TrRoad_act!O16*1000)</f>
        <v>26.349982860788668</v>
      </c>
      <c r="P100" s="101">
        <f>IF(TrRoad_act!P16=0,0,P38/TrRoad_act!P16*1000)</f>
        <v>26.460172414208195</v>
      </c>
      <c r="Q100" s="101">
        <f>IF(TrRoad_act!Q16=0,0,Q38/TrRoad_act!Q16*1000)</f>
        <v>26.512511704268324</v>
      </c>
      <c r="R100" s="101">
        <f>IF(TrRoad_act!R16=0,0,R38/TrRoad_act!R16*1000)</f>
        <v>26.403821794819319</v>
      </c>
      <c r="S100" s="101">
        <f>IF(TrRoad_act!S16=0,0,S38/TrRoad_act!S16*1000)</f>
        <v>26.489714077322478</v>
      </c>
      <c r="T100" s="101">
        <f>IF(TrRoad_act!T16=0,0,T38/TrRoad_act!T16*1000)</f>
        <v>26.510191335767839</v>
      </c>
      <c r="U100" s="101">
        <f>IF(TrRoad_act!U16=0,0,U38/TrRoad_act!U16*1000)</f>
        <v>26.852934243351488</v>
      </c>
      <c r="V100" s="101">
        <f>IF(TrRoad_act!V16=0,0,V38/TrRoad_act!V16*1000)</f>
        <v>33.252176009946311</v>
      </c>
      <c r="W100" s="101">
        <f>IF(TrRoad_act!W16=0,0,W38/TrRoad_act!W16*1000)</f>
        <v>32.252861033805907</v>
      </c>
      <c r="DA100" s="175" t="s">
        <v>705</v>
      </c>
    </row>
    <row r="101" spans="1:105" ht="11.45" customHeight="1" x14ac:dyDescent="0.25">
      <c r="A101" s="111" t="s">
        <v>113</v>
      </c>
      <c r="B101" s="101">
        <f>IF(TrRoad_act!B17=0,0,B39/TrRoad_act!B17*1000)</f>
        <v>0</v>
      </c>
      <c r="C101" s="101">
        <f>IF(TrRoad_act!C17=0,0,C39/TrRoad_act!C17*1000)</f>
        <v>0</v>
      </c>
      <c r="D101" s="101">
        <f>IF(TrRoad_act!D17=0,0,D39/TrRoad_act!D17*1000)</f>
        <v>0</v>
      </c>
      <c r="E101" s="101">
        <f>IF(TrRoad_act!E17=0,0,E39/TrRoad_act!E17*1000)</f>
        <v>0</v>
      </c>
      <c r="F101" s="101">
        <f>IF(TrRoad_act!F17=0,0,F39/TrRoad_act!F17*1000)</f>
        <v>27.306742388977522</v>
      </c>
      <c r="G101" s="101">
        <f>IF(TrRoad_act!G17=0,0,G39/TrRoad_act!G17*1000)</f>
        <v>34.605532005496578</v>
      </c>
      <c r="H101" s="101">
        <f>IF(TrRoad_act!H17=0,0,H39/TrRoad_act!H17*1000)</f>
        <v>29.296756788227821</v>
      </c>
      <c r="I101" s="101">
        <f>IF(TrRoad_act!I17=0,0,I39/TrRoad_act!I17*1000)</f>
        <v>28.469308879513171</v>
      </c>
      <c r="J101" s="101">
        <f>IF(TrRoad_act!J17=0,0,J39/TrRoad_act!J17*1000)</f>
        <v>29.248948898772774</v>
      </c>
      <c r="K101" s="101">
        <f>IF(TrRoad_act!K17=0,0,K39/TrRoad_act!K17*1000)</f>
        <v>26.87221385985826</v>
      </c>
      <c r="L101" s="101">
        <f>IF(TrRoad_act!L17=0,0,L39/TrRoad_act!L17*1000)</f>
        <v>27.226896077458946</v>
      </c>
      <c r="M101" s="101">
        <f>IF(TrRoad_act!M17=0,0,M39/TrRoad_act!M17*1000)</f>
        <v>23.2408759248815</v>
      </c>
      <c r="N101" s="101">
        <f>IF(TrRoad_act!N17=0,0,N39/TrRoad_act!N17*1000)</f>
        <v>23.145533926359487</v>
      </c>
      <c r="O101" s="101">
        <f>IF(TrRoad_act!O17=0,0,O39/TrRoad_act!O17*1000)</f>
        <v>21.624523182914896</v>
      </c>
      <c r="P101" s="101">
        <f>IF(TrRoad_act!P17=0,0,P39/TrRoad_act!P17*1000)</f>
        <v>22.011816357071829</v>
      </c>
      <c r="Q101" s="101">
        <f>IF(TrRoad_act!Q17=0,0,Q39/TrRoad_act!Q17*1000)</f>
        <v>21.819349896164034</v>
      </c>
      <c r="R101" s="101">
        <f>IF(TrRoad_act!R17=0,0,R39/TrRoad_act!R17*1000)</f>
        <v>26.726127473014774</v>
      </c>
      <c r="S101" s="101">
        <f>IF(TrRoad_act!S17=0,0,S39/TrRoad_act!S17*1000)</f>
        <v>26.828962185824324</v>
      </c>
      <c r="T101" s="101">
        <f>IF(TrRoad_act!T17=0,0,T39/TrRoad_act!T17*1000)</f>
        <v>26.862710642579344</v>
      </c>
      <c r="U101" s="101">
        <f>IF(TrRoad_act!U17=0,0,U39/TrRoad_act!U17*1000)</f>
        <v>26.90540621318366</v>
      </c>
      <c r="V101" s="101">
        <f>IF(TrRoad_act!V17=0,0,V39/TrRoad_act!V17*1000)</f>
        <v>33.18029911910957</v>
      </c>
      <c r="W101" s="101">
        <f>IF(TrRoad_act!W17=0,0,W39/TrRoad_act!W17*1000)</f>
        <v>32.232650995374172</v>
      </c>
      <c r="DA101" s="175" t="s">
        <v>706</v>
      </c>
    </row>
    <row r="102" spans="1:105" ht="11.45" customHeight="1" x14ac:dyDescent="0.25">
      <c r="A102" s="111" t="s">
        <v>115</v>
      </c>
      <c r="B102" s="101">
        <f>IF(TrRoad_act!B18=0,0,B41/TrRoad_act!B18*1000)</f>
        <v>16.85759843404945</v>
      </c>
      <c r="C102" s="101">
        <f>IF(TrRoad_act!C18=0,0,C41/TrRoad_act!C18*1000)</f>
        <v>16.658676351363038</v>
      </c>
      <c r="D102" s="101">
        <f>IF(TrRoad_act!D18=0,0,D41/TrRoad_act!D18*1000)</f>
        <v>17.081686831202873</v>
      </c>
      <c r="E102" s="101">
        <f>IF(TrRoad_act!E18=0,0,E41/TrRoad_act!E18*1000)</f>
        <v>17.03735385000147</v>
      </c>
      <c r="F102" s="101">
        <f>IF(TrRoad_act!F18=0,0,F41/TrRoad_act!F18*1000)</f>
        <v>16.84870428520432</v>
      </c>
      <c r="G102" s="101">
        <f>IF(TrRoad_act!G18=0,0,G41/TrRoad_act!G18*1000)</f>
        <v>16.650065962881431</v>
      </c>
      <c r="H102" s="101">
        <f>IF(TrRoad_act!H18=0,0,H41/TrRoad_act!H18*1000)</f>
        <v>16.049017699517528</v>
      </c>
      <c r="I102" s="101">
        <f>IF(TrRoad_act!I18=0,0,I41/TrRoad_act!I18*1000)</f>
        <v>16.617176860809529</v>
      </c>
      <c r="J102" s="101">
        <f>IF(TrRoad_act!J18=0,0,J41/TrRoad_act!J18*1000)</f>
        <v>16.585189910098276</v>
      </c>
      <c r="K102" s="101">
        <f>IF(TrRoad_act!K18=0,0,K41/TrRoad_act!K18*1000)</f>
        <v>17.035049292759862</v>
      </c>
      <c r="L102" s="101">
        <f>IF(TrRoad_act!L18=0,0,L41/TrRoad_act!L18*1000)</f>
        <v>17.802022593130701</v>
      </c>
      <c r="M102" s="101">
        <f>IF(TrRoad_act!M18=0,0,M41/TrRoad_act!M18*1000)</f>
        <v>17.116108635616296</v>
      </c>
      <c r="N102" s="101">
        <f>IF(TrRoad_act!N18=0,0,N41/TrRoad_act!N18*1000)</f>
        <v>17.245856048339849</v>
      </c>
      <c r="O102" s="101">
        <f>IF(TrRoad_act!O18=0,0,O41/TrRoad_act!O18*1000)</f>
        <v>17.142602010931018</v>
      </c>
      <c r="P102" s="101">
        <f>IF(TrRoad_act!P18=0,0,P41/TrRoad_act!P18*1000)</f>
        <v>17.160347078578006</v>
      </c>
      <c r="Q102" s="101">
        <f>IF(TrRoad_act!Q18=0,0,Q41/TrRoad_act!Q18*1000)</f>
        <v>17.104295115649336</v>
      </c>
      <c r="R102" s="101">
        <f>IF(TrRoad_act!R18=0,0,R41/TrRoad_act!R18*1000)</f>
        <v>16.957887640716038</v>
      </c>
      <c r="S102" s="101">
        <f>IF(TrRoad_act!S18=0,0,S41/TrRoad_act!S18*1000)</f>
        <v>16.934060481051727</v>
      </c>
      <c r="T102" s="101">
        <f>IF(TrRoad_act!T18=0,0,T41/TrRoad_act!T18*1000)</f>
        <v>16.939744005647025</v>
      </c>
      <c r="U102" s="101">
        <f>IF(TrRoad_act!U18=0,0,U41/TrRoad_act!U18*1000)</f>
        <v>16.930268386469098</v>
      </c>
      <c r="V102" s="101">
        <f>IF(TrRoad_act!V18=0,0,V41/TrRoad_act!V18*1000)</f>
        <v>20.851889778970069</v>
      </c>
      <c r="W102" s="101">
        <f>IF(TrRoad_act!W18=0,0,W41/TrRoad_act!W18*1000)</f>
        <v>20.250812681672944</v>
      </c>
      <c r="DA102" s="175" t="s">
        <v>707</v>
      </c>
    </row>
    <row r="103" spans="1:105" ht="11.45" customHeight="1" x14ac:dyDescent="0.25">
      <c r="A103" s="27" t="s">
        <v>160</v>
      </c>
      <c r="B103" s="29">
        <f>IF(TrRoad_act!B19=0,0,B42/TrRoad_act!B19*1000)</f>
        <v>69.242568836737291</v>
      </c>
      <c r="C103" s="29">
        <f>IF(TrRoad_act!C19=0,0,C42/TrRoad_act!C19*1000)</f>
        <v>75.692769466186093</v>
      </c>
      <c r="D103" s="29">
        <f>IF(TrRoad_act!D19=0,0,D42/TrRoad_act!D19*1000)</f>
        <v>80.693708052177641</v>
      </c>
      <c r="E103" s="29">
        <f>IF(TrRoad_act!E19=0,0,E42/TrRoad_act!E19*1000)</f>
        <v>85.038216468837675</v>
      </c>
      <c r="F103" s="29">
        <f>IF(TrRoad_act!F19=0,0,F42/TrRoad_act!F19*1000)</f>
        <v>80.059691100478659</v>
      </c>
      <c r="G103" s="29">
        <f>IF(TrRoad_act!G19=0,0,G42/TrRoad_act!G19*1000)</f>
        <v>82.020218177060997</v>
      </c>
      <c r="H103" s="29">
        <f>IF(TrRoad_act!H19=0,0,H42/TrRoad_act!H19*1000)</f>
        <v>70.989960253973436</v>
      </c>
      <c r="I103" s="29">
        <f>IF(TrRoad_act!I19=0,0,I42/TrRoad_act!I19*1000)</f>
        <v>65.551130025110027</v>
      </c>
      <c r="J103" s="29">
        <f>IF(TrRoad_act!J19=0,0,J42/TrRoad_act!J19*1000)</f>
        <v>59.915730758736608</v>
      </c>
      <c r="K103" s="29">
        <f>IF(TrRoad_act!K19=0,0,K42/TrRoad_act!K19*1000)</f>
        <v>65.589395625755103</v>
      </c>
      <c r="L103" s="29">
        <f>IF(TrRoad_act!L19=0,0,L42/TrRoad_act!L19*1000)</f>
        <v>66.79498806515717</v>
      </c>
      <c r="M103" s="29">
        <f>IF(TrRoad_act!M19=0,0,M42/TrRoad_act!M19*1000)</f>
        <v>60.188722578976929</v>
      </c>
      <c r="N103" s="29">
        <f>IF(TrRoad_act!N19=0,0,N42/TrRoad_act!N19*1000)</f>
        <v>62.781401880827687</v>
      </c>
      <c r="O103" s="29">
        <f>IF(TrRoad_act!O19=0,0,O42/TrRoad_act!O19*1000)</f>
        <v>71.038735437757666</v>
      </c>
      <c r="P103" s="29">
        <f>IF(TrRoad_act!P19=0,0,P42/TrRoad_act!P19*1000)</f>
        <v>66.99977376126202</v>
      </c>
      <c r="Q103" s="29">
        <f>IF(TrRoad_act!Q19=0,0,Q42/TrRoad_act!Q19*1000)</f>
        <v>66.267395939240288</v>
      </c>
      <c r="R103" s="29">
        <f>IF(TrRoad_act!R19=0,0,R42/TrRoad_act!R19*1000)</f>
        <v>65.247985220658478</v>
      </c>
      <c r="S103" s="29">
        <f>IF(TrRoad_act!S19=0,0,S42/TrRoad_act!S19*1000)</f>
        <v>62.962841915964077</v>
      </c>
      <c r="T103" s="29">
        <f>IF(TrRoad_act!T19=0,0,T42/TrRoad_act!T19*1000)</f>
        <v>65.500158221560866</v>
      </c>
      <c r="U103" s="29">
        <f>IF(TrRoad_act!U19=0,0,U42/TrRoad_act!U19*1000)</f>
        <v>67.317968423225551</v>
      </c>
      <c r="V103" s="29">
        <f>IF(TrRoad_act!V19=0,0,V42/TrRoad_act!V19*1000)</f>
        <v>60.949669049075489</v>
      </c>
      <c r="W103" s="29">
        <f>IF(TrRoad_act!W19=0,0,W42/TrRoad_act!W19*1000)</f>
        <v>60.880831394811906</v>
      </c>
      <c r="DA103" s="173" t="s">
        <v>424</v>
      </c>
    </row>
    <row r="104" spans="1:105" ht="11.45" customHeight="1" x14ac:dyDescent="0.25">
      <c r="A104" s="136" t="s">
        <v>156</v>
      </c>
      <c r="B104" s="152">
        <f>IF(TrRoad_act!B20=0,0,B43/TrRoad_act!B20*1000)</f>
        <v>1620.034687035537</v>
      </c>
      <c r="C104" s="152">
        <f>IF(TrRoad_act!C20=0,0,C43/TrRoad_act!C20*1000)</f>
        <v>1570.3046781580704</v>
      </c>
      <c r="D104" s="152">
        <f>IF(TrRoad_act!D20=0,0,D43/TrRoad_act!D20*1000)</f>
        <v>1555.3236661262426</v>
      </c>
      <c r="E104" s="152">
        <f>IF(TrRoad_act!E20=0,0,E43/TrRoad_act!E20*1000)</f>
        <v>1528.1062936629523</v>
      </c>
      <c r="F104" s="152">
        <f>IF(TrRoad_act!F20=0,0,F43/TrRoad_act!F20*1000)</f>
        <v>1498.5592119487355</v>
      </c>
      <c r="G104" s="152">
        <f>IF(TrRoad_act!G20=0,0,G43/TrRoad_act!G20*1000)</f>
        <v>1480.82607184681</v>
      </c>
      <c r="H104" s="152">
        <f>IF(TrRoad_act!H20=0,0,H43/TrRoad_act!H20*1000)</f>
        <v>1467.3843422946388</v>
      </c>
      <c r="I104" s="152">
        <f>IF(TrRoad_act!I20=0,0,I43/TrRoad_act!I20*1000)</f>
        <v>1455.188143100663</v>
      </c>
      <c r="J104" s="152">
        <f>IF(TrRoad_act!J20=0,0,J43/TrRoad_act!J20*1000)</f>
        <v>1433.363840392213</v>
      </c>
      <c r="K104" s="152">
        <f>IF(TrRoad_act!K20=0,0,K43/TrRoad_act!K20*1000)</f>
        <v>1418.4167345898397</v>
      </c>
      <c r="L104" s="152">
        <f>IF(TrRoad_act!L20=0,0,L43/TrRoad_act!L20*1000)</f>
        <v>1408.0714254559969</v>
      </c>
      <c r="M104" s="152">
        <f>IF(TrRoad_act!M20=0,0,M43/TrRoad_act!M20*1000)</f>
        <v>1400.6046094547205</v>
      </c>
      <c r="N104" s="152">
        <f>IF(TrRoad_act!N20=0,0,N43/TrRoad_act!N20*1000)</f>
        <v>1379.6713874150869</v>
      </c>
      <c r="O104" s="152">
        <f>IF(TrRoad_act!O20=0,0,O43/TrRoad_act!O20*1000)</f>
        <v>1370.588873177853</v>
      </c>
      <c r="P104" s="152">
        <f>IF(TrRoad_act!P20=0,0,P43/TrRoad_act!P20*1000)</f>
        <v>1370.0690309927943</v>
      </c>
      <c r="Q104" s="152">
        <f>IF(TrRoad_act!Q20=0,0,Q43/TrRoad_act!Q20*1000)</f>
        <v>1363.2610379690764</v>
      </c>
      <c r="R104" s="152">
        <f>IF(TrRoad_act!R20=0,0,R43/TrRoad_act!R20*1000)</f>
        <v>1351.9769366430594</v>
      </c>
      <c r="S104" s="152">
        <f>IF(TrRoad_act!S20=0,0,S43/TrRoad_act!S20*1000)</f>
        <v>1330.7443292674348</v>
      </c>
      <c r="T104" s="152">
        <f>IF(TrRoad_act!T20=0,0,T43/TrRoad_act!T20*1000)</f>
        <v>1315.3601862052276</v>
      </c>
      <c r="U104" s="152">
        <f>IF(TrRoad_act!U20=0,0,U43/TrRoad_act!U20*1000)</f>
        <v>1310.32360531108</v>
      </c>
      <c r="V104" s="152">
        <f>IF(TrRoad_act!V20=0,0,V43/TrRoad_act!V20*1000)</f>
        <v>1306.6703738441033</v>
      </c>
      <c r="W104" s="152">
        <f>IF(TrRoad_act!W20=0,0,W43/TrRoad_act!W20*1000)</f>
        <v>1310.1091142784505</v>
      </c>
      <c r="DA104" s="174" t="s">
        <v>425</v>
      </c>
    </row>
    <row r="105" spans="1:105" ht="11.45" customHeight="1" x14ac:dyDescent="0.25">
      <c r="A105" s="111" t="s">
        <v>110</v>
      </c>
      <c r="B105" s="87">
        <f>IF(TrRoad_act!B21=0,0,B44/TrRoad_act!B21*1000)</f>
        <v>2082.9067816360866</v>
      </c>
      <c r="C105" s="87">
        <f>IF(TrRoad_act!C21=0,0,C44/TrRoad_act!C21*1000)</f>
        <v>2077.6226096779155</v>
      </c>
      <c r="D105" s="87">
        <f>IF(TrRoad_act!D21=0,0,D44/TrRoad_act!D21*1000)</f>
        <v>2085.5465905216379</v>
      </c>
      <c r="E105" s="87">
        <f>IF(TrRoad_act!E21=0,0,E44/TrRoad_act!E21*1000)</f>
        <v>2069.1722266928982</v>
      </c>
      <c r="F105" s="87">
        <f>IF(TrRoad_act!F21=0,0,F44/TrRoad_act!F21*1000)</f>
        <v>2048.5120244973859</v>
      </c>
      <c r="G105" s="87">
        <f>IF(TrRoad_act!G21=0,0,G44/TrRoad_act!G21*1000)</f>
        <v>2035.3447748320193</v>
      </c>
      <c r="H105" s="87">
        <f>IF(TrRoad_act!H21=0,0,H44/TrRoad_act!H21*1000)</f>
        <v>2021.5270338721284</v>
      </c>
      <c r="I105" s="87">
        <f>IF(TrRoad_act!I21=0,0,I44/TrRoad_act!I21*1000)</f>
        <v>1995.8873373170168</v>
      </c>
      <c r="J105" s="87">
        <f>IF(TrRoad_act!J21=0,0,J44/TrRoad_act!J21*1000)</f>
        <v>1943.9436533935877</v>
      </c>
      <c r="K105" s="87">
        <f>IF(TrRoad_act!K21=0,0,K44/TrRoad_act!K21*1000)</f>
        <v>1892.6660197841904</v>
      </c>
      <c r="L105" s="87">
        <f>IF(TrRoad_act!L21=0,0,L44/TrRoad_act!L21*1000)</f>
        <v>1855.7535176084673</v>
      </c>
      <c r="M105" s="87">
        <f>IF(TrRoad_act!M21=0,0,M44/TrRoad_act!M21*1000)</f>
        <v>1837.0165395964848</v>
      </c>
      <c r="N105" s="87">
        <f>IF(TrRoad_act!N21=0,0,N44/TrRoad_act!N21*1000)</f>
        <v>1789.832835418792</v>
      </c>
      <c r="O105" s="87">
        <f>IF(TrRoad_act!O21=0,0,O44/TrRoad_act!O21*1000)</f>
        <v>1723.5786936747816</v>
      </c>
      <c r="P105" s="87">
        <f>IF(TrRoad_act!P21=0,0,P44/TrRoad_act!P21*1000)</f>
        <v>1687.8556577768049</v>
      </c>
      <c r="Q105" s="87">
        <f>IF(TrRoad_act!Q21=0,0,Q44/TrRoad_act!Q21*1000)</f>
        <v>1658.0818790440419</v>
      </c>
      <c r="R105" s="87">
        <f>IF(TrRoad_act!R21=0,0,R44/TrRoad_act!R21*1000)</f>
        <v>1616.9923849575773</v>
      </c>
      <c r="S105" s="87">
        <f>IF(TrRoad_act!S21=0,0,S44/TrRoad_act!S21*1000)</f>
        <v>1580.2649291112248</v>
      </c>
      <c r="T105" s="87">
        <f>IF(TrRoad_act!T21=0,0,T44/TrRoad_act!T21*1000)</f>
        <v>1538.7211525922726</v>
      </c>
      <c r="U105" s="87">
        <f>IF(TrRoad_act!U21=0,0,U44/TrRoad_act!U21*1000)</f>
        <v>1510.725724195858</v>
      </c>
      <c r="V105" s="87">
        <f>IF(TrRoad_act!V21=0,0,V44/TrRoad_act!V21*1000)</f>
        <v>1497.7605301577039</v>
      </c>
      <c r="W105" s="87">
        <f>IF(TrRoad_act!W21=0,0,W44/TrRoad_act!W21*1000)</f>
        <v>1484.2017491862248</v>
      </c>
      <c r="DA105" s="171" t="s">
        <v>708</v>
      </c>
    </row>
    <row r="106" spans="1:105" ht="11.45" customHeight="1" x14ac:dyDescent="0.25">
      <c r="A106" s="111" t="s">
        <v>111</v>
      </c>
      <c r="B106" s="87">
        <f>IF(TrRoad_act!B22=0,0,B46/TrRoad_act!B22*1000)</f>
        <v>1558.4115738534997</v>
      </c>
      <c r="C106" s="87">
        <f>IF(TrRoad_act!C22=0,0,C46/TrRoad_act!C22*1000)</f>
        <v>1512.4967371244175</v>
      </c>
      <c r="D106" s="87">
        <f>IF(TrRoad_act!D22=0,0,D46/TrRoad_act!D22*1000)</f>
        <v>1516.8565573800108</v>
      </c>
      <c r="E106" s="87">
        <f>IF(TrRoad_act!E22=0,0,E46/TrRoad_act!E22*1000)</f>
        <v>1494.7180441426829</v>
      </c>
      <c r="F106" s="87">
        <f>IF(TrRoad_act!F22=0,0,F46/TrRoad_act!F22*1000)</f>
        <v>1469.1807189895303</v>
      </c>
      <c r="G106" s="87">
        <f>IF(TrRoad_act!G22=0,0,G46/TrRoad_act!G22*1000)</f>
        <v>1454.0322872416443</v>
      </c>
      <c r="H106" s="87">
        <f>IF(TrRoad_act!H22=0,0,H46/TrRoad_act!H22*1000)</f>
        <v>1442.5006776940684</v>
      </c>
      <c r="I106" s="87">
        <f>IF(TrRoad_act!I22=0,0,I46/TrRoad_act!I22*1000)</f>
        <v>1432.1615344284671</v>
      </c>
      <c r="J106" s="87">
        <f>IF(TrRoad_act!J22=0,0,J46/TrRoad_act!J22*1000)</f>
        <v>1412.4386968529686</v>
      </c>
      <c r="K106" s="87">
        <f>IF(TrRoad_act!K22=0,0,K46/TrRoad_act!K22*1000)</f>
        <v>1399.3208733673291</v>
      </c>
      <c r="L106" s="87">
        <f>IF(TrRoad_act!L22=0,0,L46/TrRoad_act!L22*1000)</f>
        <v>1390.4982310028231</v>
      </c>
      <c r="M106" s="87">
        <f>IF(TrRoad_act!M22=0,0,M46/TrRoad_act!M22*1000)</f>
        <v>1383.3413271573734</v>
      </c>
      <c r="N106" s="87">
        <f>IF(TrRoad_act!N22=0,0,N46/TrRoad_act!N22*1000)</f>
        <v>1363.7265438490344</v>
      </c>
      <c r="O106" s="87">
        <f>IF(TrRoad_act!O22=0,0,O46/TrRoad_act!O22*1000)</f>
        <v>1356.9077794029583</v>
      </c>
      <c r="P106" s="87">
        <f>IF(TrRoad_act!P22=0,0,P46/TrRoad_act!P22*1000)</f>
        <v>1358.0918325209573</v>
      </c>
      <c r="Q106" s="87">
        <f>IF(TrRoad_act!Q22=0,0,Q46/TrRoad_act!Q22*1000)</f>
        <v>1352.5472380912943</v>
      </c>
      <c r="R106" s="87">
        <f>IF(TrRoad_act!R22=0,0,R46/TrRoad_act!R22*1000)</f>
        <v>1342.7316366016028</v>
      </c>
      <c r="S106" s="87">
        <f>IF(TrRoad_act!S22=0,0,S46/TrRoad_act!S22*1000)</f>
        <v>1322.4878778236307</v>
      </c>
      <c r="T106" s="87">
        <f>IF(TrRoad_act!T22=0,0,T46/TrRoad_act!T22*1000)</f>
        <v>1308.5445649406388</v>
      </c>
      <c r="U106" s="87">
        <f>IF(TrRoad_act!U22=0,0,U46/TrRoad_act!U22*1000)</f>
        <v>1305.2485017470779</v>
      </c>
      <c r="V106" s="87">
        <f>IF(TrRoad_act!V22=0,0,V46/TrRoad_act!V22*1000)</f>
        <v>1303.1431136391186</v>
      </c>
      <c r="W106" s="87">
        <f>IF(TrRoad_act!W22=0,0,W46/TrRoad_act!W22*1000)</f>
        <v>1310.1214481684801</v>
      </c>
      <c r="DA106" s="171" t="s">
        <v>709</v>
      </c>
    </row>
    <row r="107" spans="1:105" ht="11.45" customHeight="1" x14ac:dyDescent="0.25">
      <c r="A107" s="111" t="s">
        <v>112</v>
      </c>
      <c r="B107" s="87">
        <f>IF(TrRoad_act!B23=0,0,B48/TrRoad_act!B23*1000)</f>
        <v>0</v>
      </c>
      <c r="C107" s="87">
        <f>IF(TrRoad_act!C23=0,0,C48/TrRoad_act!C23*1000)</f>
        <v>0</v>
      </c>
      <c r="D107" s="87">
        <f>IF(TrRoad_act!D23=0,0,D48/TrRoad_act!D23*1000)</f>
        <v>0</v>
      </c>
      <c r="E107" s="87">
        <f>IF(TrRoad_act!E23=0,0,E48/TrRoad_act!E23*1000)</f>
        <v>3964.307475531481</v>
      </c>
      <c r="F107" s="87">
        <f>IF(TrRoad_act!F23=0,0,F48/TrRoad_act!F23*1000)</f>
        <v>3929.3540142364695</v>
      </c>
      <c r="G107" s="87">
        <f>IF(TrRoad_act!G23=0,0,G48/TrRoad_act!G23*1000)</f>
        <v>3979.9061978920158</v>
      </c>
      <c r="H107" s="87">
        <f>IF(TrRoad_act!H23=0,0,H48/TrRoad_act!H23*1000)</f>
        <v>3996.4488526541372</v>
      </c>
      <c r="I107" s="87">
        <f>IF(TrRoad_act!I23=0,0,I48/TrRoad_act!I23*1000)</f>
        <v>4000.9197130341977</v>
      </c>
      <c r="J107" s="87">
        <f>IF(TrRoad_act!J23=0,0,J48/TrRoad_act!J23*1000)</f>
        <v>3964.1383538845648</v>
      </c>
      <c r="K107" s="87">
        <f>IF(TrRoad_act!K23=0,0,K48/TrRoad_act!K23*1000)</f>
        <v>3932.332100181135</v>
      </c>
      <c r="L107" s="87">
        <f>IF(TrRoad_act!L23=0,0,L48/TrRoad_act!L23*1000)</f>
        <v>3910.4722213658133</v>
      </c>
      <c r="M107" s="87">
        <f>IF(TrRoad_act!M23=0,0,M48/TrRoad_act!M23*1000)</f>
        <v>3895.6325800537652</v>
      </c>
      <c r="N107" s="87">
        <f>IF(TrRoad_act!N23=0,0,N48/TrRoad_act!N23*1000)</f>
        <v>3835.9634231331856</v>
      </c>
      <c r="O107" s="87">
        <f>IF(TrRoad_act!O23=0,0,O48/TrRoad_act!O23*1000)</f>
        <v>3806.1502292916712</v>
      </c>
      <c r="P107" s="87">
        <f>IF(TrRoad_act!P23=0,0,P48/TrRoad_act!P23*1000)</f>
        <v>3729.4910194156837</v>
      </c>
      <c r="Q107" s="87">
        <f>IF(TrRoad_act!Q23=0,0,Q48/TrRoad_act!Q23*1000)</f>
        <v>3704.7117992780186</v>
      </c>
      <c r="R107" s="87">
        <f>IF(TrRoad_act!R23=0,0,R48/TrRoad_act!R23*1000)</f>
        <v>3955.1123718772355</v>
      </c>
      <c r="S107" s="87">
        <f>IF(TrRoad_act!S23=0,0,S48/TrRoad_act!S23*1000)</f>
        <v>3889.2266748675388</v>
      </c>
      <c r="T107" s="87">
        <f>IF(TrRoad_act!T23=0,0,T48/TrRoad_act!T23*1000)</f>
        <v>3840.4186187534265</v>
      </c>
      <c r="U107" s="87">
        <f>IF(TrRoad_act!U23=0,0,U48/TrRoad_act!U23*1000)</f>
        <v>3787.1578963311686</v>
      </c>
      <c r="V107" s="87">
        <f>IF(TrRoad_act!V23=0,0,V48/TrRoad_act!V23*1000)</f>
        <v>3644.9576440783612</v>
      </c>
      <c r="W107" s="87">
        <f>IF(TrRoad_act!W23=0,0,W48/TrRoad_act!W23*1000)</f>
        <v>3469.8143123367272</v>
      </c>
      <c r="DA107" s="171" t="s">
        <v>710</v>
      </c>
    </row>
    <row r="108" spans="1:105" ht="11.45" customHeight="1" x14ac:dyDescent="0.25">
      <c r="A108" s="111" t="s">
        <v>113</v>
      </c>
      <c r="B108" s="87">
        <f>IF(TrRoad_act!B24=0,0,B49/TrRoad_act!B24*1000)</f>
        <v>0</v>
      </c>
      <c r="C108" s="87">
        <f>IF(TrRoad_act!C24=0,0,C49/TrRoad_act!C24*1000)</f>
        <v>0</v>
      </c>
      <c r="D108" s="87">
        <f>IF(TrRoad_act!D24=0,0,D49/TrRoad_act!D24*1000)</f>
        <v>0</v>
      </c>
      <c r="E108" s="87">
        <f>IF(TrRoad_act!E24=0,0,E49/TrRoad_act!E24*1000)</f>
        <v>0</v>
      </c>
      <c r="F108" s="87">
        <f>IF(TrRoad_act!F24=0,0,F49/TrRoad_act!F24*1000)</f>
        <v>0</v>
      </c>
      <c r="G108" s="87">
        <f>IF(TrRoad_act!G24=0,0,G49/TrRoad_act!G24*1000)</f>
        <v>0</v>
      </c>
      <c r="H108" s="87">
        <f>IF(TrRoad_act!H24=0,0,H49/TrRoad_act!H24*1000)</f>
        <v>2251.3190552676306</v>
      </c>
      <c r="I108" s="87">
        <f>IF(TrRoad_act!I24=0,0,I49/TrRoad_act!I24*1000)</f>
        <v>2252.2808437504013</v>
      </c>
      <c r="J108" s="87">
        <f>IF(TrRoad_act!J24=0,0,J49/TrRoad_act!J24*1000)</f>
        <v>2175.1880168973635</v>
      </c>
      <c r="K108" s="87">
        <f>IF(TrRoad_act!K24=0,0,K49/TrRoad_act!K24*1000)</f>
        <v>2113.9382941172812</v>
      </c>
      <c r="L108" s="87">
        <f>IF(TrRoad_act!L24=0,0,L49/TrRoad_act!L24*1000)</f>
        <v>2022.3737805732908</v>
      </c>
      <c r="M108" s="87">
        <f>IF(TrRoad_act!M24=0,0,M49/TrRoad_act!M24*1000)</f>
        <v>1974.1631417230292</v>
      </c>
      <c r="N108" s="87">
        <f>IF(TrRoad_act!N24=0,0,N49/TrRoad_act!N24*1000)</f>
        <v>1946.1870221197191</v>
      </c>
      <c r="O108" s="87">
        <f>IF(TrRoad_act!O24=0,0,O49/TrRoad_act!O24*1000)</f>
        <v>1981.1829590447514</v>
      </c>
      <c r="P108" s="87">
        <f>IF(TrRoad_act!P24=0,0,P49/TrRoad_act!P24*1000)</f>
        <v>1947.5726552888029</v>
      </c>
      <c r="Q108" s="87">
        <f>IF(TrRoad_act!Q24=0,0,Q49/TrRoad_act!Q24*1000)</f>
        <v>1900.101475573508</v>
      </c>
      <c r="R108" s="87">
        <f>IF(TrRoad_act!R24=0,0,R49/TrRoad_act!R24*1000)</f>
        <v>1739.5586306798541</v>
      </c>
      <c r="S108" s="87">
        <f>IF(TrRoad_act!S24=0,0,S49/TrRoad_act!S24*1000)</f>
        <v>1703.892911219363</v>
      </c>
      <c r="T108" s="87">
        <f>IF(TrRoad_act!T24=0,0,T49/TrRoad_act!T24*1000)</f>
        <v>1678.3685863014723</v>
      </c>
      <c r="U108" s="87">
        <f>IF(TrRoad_act!U24=0,0,U49/TrRoad_act!U24*1000)</f>
        <v>1660.4064042696041</v>
      </c>
      <c r="V108" s="87">
        <f>IF(TrRoad_act!V24=0,0,V49/TrRoad_act!V24*1000)</f>
        <v>1623.8760077286049</v>
      </c>
      <c r="W108" s="87">
        <f>IF(TrRoad_act!W24=0,0,W49/TrRoad_act!W24*1000)</f>
        <v>1611.9733293462291</v>
      </c>
      <c r="DA108" s="171" t="s">
        <v>711</v>
      </c>
    </row>
    <row r="109" spans="1:105" ht="11.45" customHeight="1" x14ac:dyDescent="0.25">
      <c r="A109" s="111" t="s">
        <v>115</v>
      </c>
      <c r="B109" s="87">
        <f>IF(TrRoad_act!B25=0,0,B51/TrRoad_act!B25*1000)</f>
        <v>386.74853165425952</v>
      </c>
      <c r="C109" s="87">
        <f>IF(TrRoad_act!C25=0,0,C51/TrRoad_act!C25*1000)</f>
        <v>371.80326556184292</v>
      </c>
      <c r="D109" s="87">
        <f>IF(TrRoad_act!D25=0,0,D51/TrRoad_act!D25*1000)</f>
        <v>370.4775965860473</v>
      </c>
      <c r="E109" s="87">
        <f>IF(TrRoad_act!E25=0,0,E51/TrRoad_act!E25*1000)</f>
        <v>369.98325161134807</v>
      </c>
      <c r="F109" s="87">
        <f>IF(TrRoad_act!F25=0,0,F51/TrRoad_act!F25*1000)</f>
        <v>369.01046891194426</v>
      </c>
      <c r="G109" s="87">
        <f>IF(TrRoad_act!G25=0,0,G51/TrRoad_act!G25*1000)</f>
        <v>367.84836790517511</v>
      </c>
      <c r="H109" s="87">
        <f>IF(TrRoad_act!H25=0,0,H51/TrRoad_act!H25*1000)</f>
        <v>368.40600085100408</v>
      </c>
      <c r="I109" s="87">
        <f>IF(TrRoad_act!I25=0,0,I51/TrRoad_act!I25*1000)</f>
        <v>349.35846898497158</v>
      </c>
      <c r="J109" s="87">
        <f>IF(TrRoad_act!J25=0,0,J51/TrRoad_act!J25*1000)</f>
        <v>340.51986291336334</v>
      </c>
      <c r="K109" s="87">
        <f>IF(TrRoad_act!K25=0,0,K51/TrRoad_act!K25*1000)</f>
        <v>324.57983735840224</v>
      </c>
      <c r="L109" s="87">
        <f>IF(TrRoad_act!L25=0,0,L51/TrRoad_act!L25*1000)</f>
        <v>315.47493494388891</v>
      </c>
      <c r="M109" s="87">
        <f>IF(TrRoad_act!M25=0,0,M51/TrRoad_act!M25*1000)</f>
        <v>310.66587686108483</v>
      </c>
      <c r="N109" s="87">
        <f>IF(TrRoad_act!N25=0,0,N51/TrRoad_act!N25*1000)</f>
        <v>307.39867141248698</v>
      </c>
      <c r="O109" s="87">
        <f>IF(TrRoad_act!O25=0,0,O51/TrRoad_act!O25*1000)</f>
        <v>308.93752082516193</v>
      </c>
      <c r="P109" s="87">
        <f>IF(TrRoad_act!P25=0,0,P51/TrRoad_act!P25*1000)</f>
        <v>311.5795629349663</v>
      </c>
      <c r="Q109" s="87">
        <f>IF(TrRoad_act!Q25=0,0,Q51/TrRoad_act!Q25*1000)</f>
        <v>315.48362646506121</v>
      </c>
      <c r="R109" s="87">
        <f>IF(TrRoad_act!R25=0,0,R51/TrRoad_act!R25*1000)</f>
        <v>321.45201170224686</v>
      </c>
      <c r="S109" s="87">
        <f>IF(TrRoad_act!S25=0,0,S51/TrRoad_act!S25*1000)</f>
        <v>324.63122900986372</v>
      </c>
      <c r="T109" s="87">
        <f>IF(TrRoad_act!T25=0,0,T51/TrRoad_act!T25*1000)</f>
        <v>331.2426159382934</v>
      </c>
      <c r="U109" s="87">
        <f>IF(TrRoad_act!U25=0,0,U51/TrRoad_act!U25*1000)</f>
        <v>343.81703140389772</v>
      </c>
      <c r="V109" s="87">
        <f>IF(TrRoad_act!V25=0,0,V51/TrRoad_act!V25*1000)</f>
        <v>375.31254078416157</v>
      </c>
      <c r="W109" s="87">
        <f>IF(TrRoad_act!W25=0,0,W51/TrRoad_act!W25*1000)</f>
        <v>439.85449445808121</v>
      </c>
      <c r="DA109" s="171" t="s">
        <v>712</v>
      </c>
    </row>
    <row r="110" spans="1:105" ht="11.45" customHeight="1" x14ac:dyDescent="0.25">
      <c r="A110" s="109" t="s">
        <v>158</v>
      </c>
      <c r="B110" s="116">
        <f>IF(TrRoad_act!B26=0,0,B52/TrRoad_act!B26*1000)</f>
        <v>53.804678449470352</v>
      </c>
      <c r="C110" s="116">
        <f>IF(TrRoad_act!C26=0,0,C52/TrRoad_act!C26*1000)</f>
        <v>60.637861381719162</v>
      </c>
      <c r="D110" s="116">
        <f>IF(TrRoad_act!D26=0,0,D52/TrRoad_act!D26*1000)</f>
        <v>65.872629261358298</v>
      </c>
      <c r="E110" s="116">
        <f>IF(TrRoad_act!E26=0,0,E52/TrRoad_act!E26*1000)</f>
        <v>70.537645371632848</v>
      </c>
      <c r="F110" s="116">
        <f>IF(TrRoad_act!F26=0,0,F52/TrRoad_act!F26*1000)</f>
        <v>66.489066028079321</v>
      </c>
      <c r="G110" s="116">
        <f>IF(TrRoad_act!G26=0,0,G52/TrRoad_act!G26*1000)</f>
        <v>68.576699265111401</v>
      </c>
      <c r="H110" s="116">
        <f>IF(TrRoad_act!H26=0,0,H52/TrRoad_act!H26*1000)</f>
        <v>58.394448695400705</v>
      </c>
      <c r="I110" s="116">
        <f>IF(TrRoad_act!I26=0,0,I52/TrRoad_act!I26*1000)</f>
        <v>53.714187917476657</v>
      </c>
      <c r="J110" s="116">
        <f>IF(TrRoad_act!J26=0,0,J52/TrRoad_act!J26*1000)</f>
        <v>48.949844108005472</v>
      </c>
      <c r="K110" s="116">
        <f>IF(TrRoad_act!K26=0,0,K52/TrRoad_act!K26*1000)</f>
        <v>53.152399552009435</v>
      </c>
      <c r="L110" s="116">
        <f>IF(TrRoad_act!L26=0,0,L52/TrRoad_act!L26*1000)</f>
        <v>55.012156599343619</v>
      </c>
      <c r="M110" s="116">
        <f>IF(TrRoad_act!M26=0,0,M52/TrRoad_act!M26*1000)</f>
        <v>48.556278026636157</v>
      </c>
      <c r="N110" s="116">
        <f>IF(TrRoad_act!N26=0,0,N52/TrRoad_act!N26*1000)</f>
        <v>50.946976590986175</v>
      </c>
      <c r="O110" s="116">
        <f>IF(TrRoad_act!O26=0,0,O52/TrRoad_act!O26*1000)</f>
        <v>59.126702194804281</v>
      </c>
      <c r="P110" s="116">
        <f>IF(TrRoad_act!P26=0,0,P52/TrRoad_act!P26*1000)</f>
        <v>54.861962237797442</v>
      </c>
      <c r="Q110" s="116">
        <f>IF(TrRoad_act!Q26=0,0,Q52/TrRoad_act!Q26*1000)</f>
        <v>54.315922584162742</v>
      </c>
      <c r="R110" s="116">
        <f>IF(TrRoad_act!R26=0,0,R52/TrRoad_act!R26*1000)</f>
        <v>53.535965985225317</v>
      </c>
      <c r="S110" s="116">
        <f>IF(TrRoad_act!S26=0,0,S52/TrRoad_act!S26*1000)</f>
        <v>51.86690759317672</v>
      </c>
      <c r="T110" s="116">
        <f>IF(TrRoad_act!T26=0,0,T52/TrRoad_act!T26*1000)</f>
        <v>54.358686580182159</v>
      </c>
      <c r="U110" s="116">
        <f>IF(TrRoad_act!U26=0,0,U52/TrRoad_act!U26*1000)</f>
        <v>56.077205794006112</v>
      </c>
      <c r="V110" s="116">
        <f>IF(TrRoad_act!V26=0,0,V52/TrRoad_act!V26*1000)</f>
        <v>49.492039690558414</v>
      </c>
      <c r="W110" s="116">
        <f>IF(TrRoad_act!W26=0,0,W52/TrRoad_act!W26*1000)</f>
        <v>49.391566144755437</v>
      </c>
      <c r="DA110" s="176" t="s">
        <v>426</v>
      </c>
    </row>
    <row r="111" spans="1:105" ht="11.45" customHeight="1" x14ac:dyDescent="0.25">
      <c r="A111" s="128" t="s">
        <v>27</v>
      </c>
      <c r="B111" s="101">
        <f>IF(TrRoad_act!B27=0,0,B53/TrRoad_act!B27*1000)</f>
        <v>47.804986266782265</v>
      </c>
      <c r="C111" s="101">
        <f>IF(TrRoad_act!C27=0,0,C53/TrRoad_act!C27*1000)</f>
        <v>49.384047297262356</v>
      </c>
      <c r="D111" s="101">
        <f>IF(TrRoad_act!D27=0,0,D53/TrRoad_act!D27*1000)</f>
        <v>49.854960729271333</v>
      </c>
      <c r="E111" s="101">
        <f>IF(TrRoad_act!E27=0,0,E53/TrRoad_act!E27*1000)</f>
        <v>50.736785521327668</v>
      </c>
      <c r="F111" s="101">
        <f>IF(TrRoad_act!F27=0,0,F53/TrRoad_act!F27*1000)</f>
        <v>50.072947204335925</v>
      </c>
      <c r="G111" s="101">
        <f>IF(TrRoad_act!G27=0,0,G53/TrRoad_act!G27*1000)</f>
        <v>49.732124633906487</v>
      </c>
      <c r="H111" s="101">
        <f>IF(TrRoad_act!H27=0,0,H53/TrRoad_act!H27*1000)</f>
        <v>47.353344784560861</v>
      </c>
      <c r="I111" s="101">
        <f>IF(TrRoad_act!I27=0,0,I53/TrRoad_act!I27*1000)</f>
        <v>46.00850063541187</v>
      </c>
      <c r="J111" s="101">
        <f>IF(TrRoad_act!J27=0,0,J53/TrRoad_act!J27*1000)</f>
        <v>44.956210276487006</v>
      </c>
      <c r="K111" s="101">
        <f>IF(TrRoad_act!K27=0,0,K53/TrRoad_act!K27*1000)</f>
        <v>46.250459980838727</v>
      </c>
      <c r="L111" s="101">
        <f>IF(TrRoad_act!L27=0,0,L53/TrRoad_act!L27*1000)</f>
        <v>45.32287677435437</v>
      </c>
      <c r="M111" s="101">
        <f>IF(TrRoad_act!M27=0,0,M53/TrRoad_act!M27*1000)</f>
        <v>43.260663391129668</v>
      </c>
      <c r="N111" s="101">
        <f>IF(TrRoad_act!N27=0,0,N53/TrRoad_act!N27*1000)</f>
        <v>43.854178785619339</v>
      </c>
      <c r="O111" s="101">
        <f>IF(TrRoad_act!O27=0,0,O53/TrRoad_act!O27*1000)</f>
        <v>46.404142852324306</v>
      </c>
      <c r="P111" s="101">
        <f>IF(TrRoad_act!P27=0,0,P53/TrRoad_act!P27*1000)</f>
        <v>44.310193259558062</v>
      </c>
      <c r="Q111" s="101">
        <f>IF(TrRoad_act!Q27=0,0,Q53/TrRoad_act!Q27*1000)</f>
        <v>44.439158381042333</v>
      </c>
      <c r="R111" s="101">
        <f>IF(TrRoad_act!R27=0,0,R53/TrRoad_act!R27*1000)</f>
        <v>43.324350627834811</v>
      </c>
      <c r="S111" s="101">
        <f>IF(TrRoad_act!S27=0,0,S53/TrRoad_act!S27*1000)</f>
        <v>43.034558997252716</v>
      </c>
      <c r="T111" s="101">
        <f>IF(TrRoad_act!T27=0,0,T53/TrRoad_act!T27*1000)</f>
        <v>43.650638523521195</v>
      </c>
      <c r="U111" s="101">
        <f>IF(TrRoad_act!U27=0,0,U53/TrRoad_act!U27*1000)</f>
        <v>43.45882589687784</v>
      </c>
      <c r="V111" s="101">
        <f>IF(TrRoad_act!V27=0,0,V53/TrRoad_act!V27*1000)</f>
        <v>40.565555862883265</v>
      </c>
      <c r="W111" s="101">
        <f>IF(TrRoad_act!W27=0,0,W53/TrRoad_act!W27*1000)</f>
        <v>40.393069927003445</v>
      </c>
      <c r="DA111" s="175" t="s">
        <v>713</v>
      </c>
    </row>
    <row r="112" spans="1:105" ht="11.45" customHeight="1" x14ac:dyDescent="0.25">
      <c r="A112" s="138" t="s">
        <v>116</v>
      </c>
      <c r="B112" s="88">
        <f>IF(TrRoad_act!B28=0,0,B55/TrRoad_act!B28*1000)</f>
        <v>58.989054223577114</v>
      </c>
      <c r="C112" s="88">
        <f>IF(TrRoad_act!C28=0,0,C55/TrRoad_act!C28*1000)</f>
        <v>69.763608235164895</v>
      </c>
      <c r="D112" s="88">
        <f>IF(TrRoad_act!D28=0,0,D55/TrRoad_act!D28*1000)</f>
        <v>78.34405648502208</v>
      </c>
      <c r="E112" s="88">
        <f>IF(TrRoad_act!E28=0,0,E55/TrRoad_act!E28*1000)</f>
        <v>86.157323836700883</v>
      </c>
      <c r="F112" s="88">
        <f>IF(TrRoad_act!F28=0,0,F55/TrRoad_act!F28*1000)</f>
        <v>77.080868479698339</v>
      </c>
      <c r="G112" s="88">
        <f>IF(TrRoad_act!G28=0,0,G55/TrRoad_act!G28*1000)</f>
        <v>80.446457548145574</v>
      </c>
      <c r="H112" s="88">
        <f>IF(TrRoad_act!H28=0,0,H55/TrRoad_act!H28*1000)</f>
        <v>65.983680682375223</v>
      </c>
      <c r="I112" s="88">
        <f>IF(TrRoad_act!I28=0,0,I55/TrRoad_act!I28*1000)</f>
        <v>58.487102056559891</v>
      </c>
      <c r="J112" s="88">
        <f>IF(TrRoad_act!J28=0,0,J55/TrRoad_act!J28*1000)</f>
        <v>51.144758492266547</v>
      </c>
      <c r="K112" s="88">
        <f>IF(TrRoad_act!K28=0,0,K55/TrRoad_act!K28*1000)</f>
        <v>57.339562361185259</v>
      </c>
      <c r="L112" s="88">
        <f>IF(TrRoad_act!L28=0,0,L55/TrRoad_act!L28*1000)</f>
        <v>60.641846461640448</v>
      </c>
      <c r="M112" s="88">
        <f>IF(TrRoad_act!M28=0,0,M55/TrRoad_act!M28*1000)</f>
        <v>51.671893164573135</v>
      </c>
      <c r="N112" s="88">
        <f>IF(TrRoad_act!N28=0,0,N55/TrRoad_act!N28*1000)</f>
        <v>55.136447353133661</v>
      </c>
      <c r="O112" s="88">
        <f>IF(TrRoad_act!O28=0,0,O55/TrRoad_act!O28*1000)</f>
        <v>66.258916243180607</v>
      </c>
      <c r="P112" s="88">
        <f>IF(TrRoad_act!P28=0,0,P55/TrRoad_act!P28*1000)</f>
        <v>61.085159533747401</v>
      </c>
      <c r="Q112" s="88">
        <f>IF(TrRoad_act!Q28=0,0,Q55/TrRoad_act!Q28*1000)</f>
        <v>60.204609862679419</v>
      </c>
      <c r="R112" s="88">
        <f>IF(TrRoad_act!R28=0,0,R55/TrRoad_act!R28*1000)</f>
        <v>59.871894180547777</v>
      </c>
      <c r="S112" s="88">
        <f>IF(TrRoad_act!S28=0,0,S55/TrRoad_act!S28*1000)</f>
        <v>56.984525540445112</v>
      </c>
      <c r="T112" s="88">
        <f>IF(TrRoad_act!T28=0,0,T55/TrRoad_act!T28*1000)</f>
        <v>60.530007448056068</v>
      </c>
      <c r="U112" s="88">
        <f>IF(TrRoad_act!U28=0,0,U55/TrRoad_act!U28*1000)</f>
        <v>63.37908565329105</v>
      </c>
      <c r="V112" s="88">
        <f>IF(TrRoad_act!V28=0,0,V55/TrRoad_act!V28*1000)</f>
        <v>54.597964548429353</v>
      </c>
      <c r="W112" s="88">
        <f>IF(TrRoad_act!W28=0,0,W55/TrRoad_act!W28*1000)</f>
        <v>54.488487818380534</v>
      </c>
      <c r="DA112" s="178" t="s">
        <v>714</v>
      </c>
    </row>
    <row r="113" spans="1:105" x14ac:dyDescent="0.25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DA113" s="171"/>
    </row>
    <row r="114" spans="1:105" ht="11.45" customHeight="1" x14ac:dyDescent="0.25">
      <c r="A114" s="53" t="s">
        <v>96</v>
      </c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DA114" s="172"/>
    </row>
    <row r="115" spans="1:105" ht="11.45" customHeight="1" x14ac:dyDescent="0.25">
      <c r="A115" s="27" t="s">
        <v>33</v>
      </c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DA115" s="173"/>
    </row>
    <row r="116" spans="1:105" ht="11.45" customHeight="1" x14ac:dyDescent="0.25">
      <c r="A116" s="136" t="s">
        <v>180</v>
      </c>
      <c r="B116" s="152">
        <f>IF(B19=0,0,1000000*B19/TrRoad_act!B59)</f>
        <v>58.314623218450357</v>
      </c>
      <c r="C116" s="152">
        <f>IF(C19=0,0,1000000*C19/TrRoad_act!C59)</f>
        <v>58.028766940911815</v>
      </c>
      <c r="D116" s="152">
        <f>IF(D19=0,0,1000000*D19/TrRoad_act!D59)</f>
        <v>58.42550710033774</v>
      </c>
      <c r="E116" s="152">
        <f>IF(E19=0,0,1000000*E19/TrRoad_act!E59)</f>
        <v>59.09017746935983</v>
      </c>
      <c r="F116" s="152">
        <f>IF(F19=0,0,1000000*F19/TrRoad_act!F59)</f>
        <v>61.283249630639631</v>
      </c>
      <c r="G116" s="152">
        <f>IF(G19=0,0,1000000*G19/TrRoad_act!G59)</f>
        <v>61.227984756941396</v>
      </c>
      <c r="H116" s="152">
        <f>IF(H19=0,0,1000000*H19/TrRoad_act!H59)</f>
        <v>61.240380742243708</v>
      </c>
      <c r="I116" s="152">
        <f>IF(I19=0,0,1000000*I19/TrRoad_act!I59)</f>
        <v>61.310207272659412</v>
      </c>
      <c r="J116" s="152">
        <f>IF(J19=0,0,1000000*J19/TrRoad_act!J59)</f>
        <v>61.623386881151248</v>
      </c>
      <c r="K116" s="152">
        <f>IF(K19=0,0,1000000*K19/TrRoad_act!K59)</f>
        <v>62.244263003006886</v>
      </c>
      <c r="L116" s="152">
        <f>IF(L19=0,0,1000000*L19/TrRoad_act!L59)</f>
        <v>62.64450595317809</v>
      </c>
      <c r="M116" s="152">
        <f>IF(M19=0,0,1000000*M19/TrRoad_act!M59)</f>
        <v>63.326063053212735</v>
      </c>
      <c r="N116" s="152">
        <f>IF(N19=0,0,1000000*N19/TrRoad_act!N59)</f>
        <v>64.189391717773375</v>
      </c>
      <c r="O116" s="152">
        <f>IF(O19=0,0,1000000*O19/TrRoad_act!O59)</f>
        <v>65.031301796497715</v>
      </c>
      <c r="P116" s="152">
        <f>IF(P19=0,0,1000000*P19/TrRoad_act!P59)</f>
        <v>66.421246893666918</v>
      </c>
      <c r="Q116" s="152">
        <f>IF(Q19=0,0,1000000*Q19/TrRoad_act!Q59)</f>
        <v>67.394426102064614</v>
      </c>
      <c r="R116" s="152">
        <f>IF(R19=0,0,1000000*R19/TrRoad_act!R59)</f>
        <v>67.327974735908455</v>
      </c>
      <c r="S116" s="152">
        <f>IF(S19=0,0,1000000*S19/TrRoad_act!S59)</f>
        <v>64.95447288648343</v>
      </c>
      <c r="T116" s="152">
        <f>IF(T19=0,0,1000000*T19/TrRoad_act!T59)</f>
        <v>61.051620091512227</v>
      </c>
      <c r="U116" s="152">
        <f>IF(U19=0,0,1000000*U19/TrRoad_act!U59)</f>
        <v>63.888453023446012</v>
      </c>
      <c r="V116" s="152">
        <f>IF(V19=0,0,1000000*V19/TrRoad_act!V59)</f>
        <v>56.1556928646119</v>
      </c>
      <c r="W116" s="152">
        <f>IF(W19=0,0,1000000*W19/TrRoad_act!W59)</f>
        <v>52.122573565864151</v>
      </c>
      <c r="DA116" s="174" t="s">
        <v>715</v>
      </c>
    </row>
    <row r="117" spans="1:105" ht="11.45" customHeight="1" x14ac:dyDescent="0.25">
      <c r="A117" s="109" t="s">
        <v>20</v>
      </c>
      <c r="B117" s="116">
        <f>IF(B21=0,0,1000000*B21/TrRoad_act!B60)</f>
        <v>905.65615680301119</v>
      </c>
      <c r="C117" s="116">
        <f>IF(C21=0,0,1000000*C21/TrRoad_act!C60)</f>
        <v>933.11660662966892</v>
      </c>
      <c r="D117" s="116">
        <f>IF(D21=0,0,1000000*D21/TrRoad_act!D60)</f>
        <v>1090.9908890889646</v>
      </c>
      <c r="E117" s="116">
        <f>IF(E21=0,0,1000000*E21/TrRoad_act!E60)</f>
        <v>1144.9064978351269</v>
      </c>
      <c r="F117" s="116">
        <f>IF(F21=0,0,1000000*F21/TrRoad_act!F60)</f>
        <v>1150.9009369617611</v>
      </c>
      <c r="G117" s="116">
        <f>IF(G21=0,0,1000000*G21/TrRoad_act!G60)</f>
        <v>1172.2437380888298</v>
      </c>
      <c r="H117" s="116">
        <f>IF(H21=0,0,1000000*H21/TrRoad_act!H60)</f>
        <v>1146.4958794888928</v>
      </c>
      <c r="I117" s="116">
        <f>IF(I21=0,0,1000000*I21/TrRoad_act!I60)</f>
        <v>1156.9537271396659</v>
      </c>
      <c r="J117" s="116">
        <f>IF(J21=0,0,1000000*J21/TrRoad_act!J60)</f>
        <v>1102.9563951420782</v>
      </c>
      <c r="K117" s="116">
        <f>IF(K21=0,0,1000000*K21/TrRoad_act!K60)</f>
        <v>1072.0584956717</v>
      </c>
      <c r="L117" s="116">
        <f>IF(L21=0,0,1000000*L21/TrRoad_act!L60)</f>
        <v>1062.0367254193984</v>
      </c>
      <c r="M117" s="116">
        <f>IF(M21=0,0,1000000*M21/TrRoad_act!M60)</f>
        <v>1013.8418819347818</v>
      </c>
      <c r="N117" s="116">
        <f>IF(N21=0,0,1000000*N21/TrRoad_act!N60)</f>
        <v>984.09984633591728</v>
      </c>
      <c r="O117" s="116">
        <f>IF(O21=0,0,1000000*O21/TrRoad_act!O60)</f>
        <v>989.941753797822</v>
      </c>
      <c r="P117" s="116">
        <f>IF(P21=0,0,1000000*P21/TrRoad_act!P60)</f>
        <v>988.87317816474717</v>
      </c>
      <c r="Q117" s="116">
        <f>IF(Q21=0,0,1000000*Q21/TrRoad_act!Q60)</f>
        <v>1000.4349885334331</v>
      </c>
      <c r="R117" s="116">
        <f>IF(R21=0,0,1000000*R21/TrRoad_act!R60)</f>
        <v>998.0991040945205</v>
      </c>
      <c r="S117" s="116">
        <f>IF(S21=0,0,1000000*S21/TrRoad_act!S60)</f>
        <v>984.11110212316112</v>
      </c>
      <c r="T117" s="116">
        <f>IF(T21=0,0,1000000*T21/TrRoad_act!T60)</f>
        <v>967.26597773185165</v>
      </c>
      <c r="U117" s="116">
        <f>IF(U21=0,0,1000000*U21/TrRoad_act!U60)</f>
        <v>931.47210801854044</v>
      </c>
      <c r="V117" s="116">
        <f>IF(V21=0,0,1000000*V21/TrRoad_act!V60)</f>
        <v>780.13299431773544</v>
      </c>
      <c r="W117" s="116">
        <f>IF(W21=0,0,1000000*W21/TrRoad_act!W60)</f>
        <v>799.00435578726649</v>
      </c>
      <c r="DA117" s="176" t="s">
        <v>716</v>
      </c>
    </row>
    <row r="118" spans="1:105" ht="11.45" customHeight="1" x14ac:dyDescent="0.25">
      <c r="A118" s="111" t="s">
        <v>110</v>
      </c>
      <c r="B118" s="87">
        <f>IF(B22=0,0,1000000*B22/TrRoad_act!B61)</f>
        <v>736.82260220070452</v>
      </c>
      <c r="C118" s="87">
        <f>IF(C22=0,0,1000000*C22/TrRoad_act!C61)</f>
        <v>761.22634346406494</v>
      </c>
      <c r="D118" s="87">
        <f>IF(D22=0,0,1000000*D22/TrRoad_act!D61)</f>
        <v>943.38570343884612</v>
      </c>
      <c r="E118" s="87">
        <f>IF(E22=0,0,1000000*E22/TrRoad_act!E61)</f>
        <v>1003.4081184862678</v>
      </c>
      <c r="F118" s="87">
        <f>IF(F22=0,0,1000000*F22/TrRoad_act!F61)</f>
        <v>1024.9856216869609</v>
      </c>
      <c r="G118" s="87">
        <f>IF(G22=0,0,1000000*G22/TrRoad_act!G61)</f>
        <v>1027.1165457306583</v>
      </c>
      <c r="H118" s="87">
        <f>IF(H22=0,0,1000000*H22/TrRoad_act!H61)</f>
        <v>1009.3759714209456</v>
      </c>
      <c r="I118" s="87">
        <f>IF(I22=0,0,1000000*I22/TrRoad_act!I61)</f>
        <v>1000.9463753881005</v>
      </c>
      <c r="J118" s="87">
        <f>IF(J22=0,0,1000000*J22/TrRoad_act!J61)</f>
        <v>962.78593827102202</v>
      </c>
      <c r="K118" s="87">
        <f>IF(K22=0,0,1000000*K22/TrRoad_act!K61)</f>
        <v>910.32932528405786</v>
      </c>
      <c r="L118" s="87">
        <f>IF(L22=0,0,1000000*L22/TrRoad_act!L61)</f>
        <v>897.74831560915413</v>
      </c>
      <c r="M118" s="87">
        <f>IF(M22=0,0,1000000*M22/TrRoad_act!M61)</f>
        <v>824.21592829967051</v>
      </c>
      <c r="N118" s="87">
        <f>IF(N22=0,0,1000000*N22/TrRoad_act!N61)</f>
        <v>798.00927750775691</v>
      </c>
      <c r="O118" s="87">
        <f>IF(O22=0,0,1000000*O22/TrRoad_act!O61)</f>
        <v>776.51093800520141</v>
      </c>
      <c r="P118" s="87">
        <f>IF(P22=0,0,1000000*P22/TrRoad_act!P61)</f>
        <v>756.05021188874696</v>
      </c>
      <c r="Q118" s="87">
        <f>IF(Q22=0,0,1000000*Q22/TrRoad_act!Q61)</f>
        <v>757.19411152227542</v>
      </c>
      <c r="R118" s="87">
        <f>IF(R22=0,0,1000000*R22/TrRoad_act!R61)</f>
        <v>738.24872704383711</v>
      </c>
      <c r="S118" s="87">
        <f>IF(S22=0,0,1000000*S22/TrRoad_act!S61)</f>
        <v>712.95790392579056</v>
      </c>
      <c r="T118" s="87">
        <f>IF(T22=0,0,1000000*T22/TrRoad_act!T61)</f>
        <v>718.85124256351071</v>
      </c>
      <c r="U118" s="87">
        <f>IF(U22=0,0,1000000*U22/TrRoad_act!U61)</f>
        <v>697.4324702043773</v>
      </c>
      <c r="V118" s="87">
        <f>IF(V22=0,0,1000000*V22/TrRoad_act!V61)</f>
        <v>570.19989185175382</v>
      </c>
      <c r="W118" s="87">
        <f>IF(W22=0,0,1000000*W22/TrRoad_act!W61)</f>
        <v>593.0494909960147</v>
      </c>
      <c r="DA118" s="171" t="s">
        <v>717</v>
      </c>
    </row>
    <row r="119" spans="1:105" ht="11.45" customHeight="1" x14ac:dyDescent="0.25">
      <c r="A119" s="111" t="s">
        <v>111</v>
      </c>
      <c r="B119" s="87">
        <f>IF(B24=0,0,1000000*B24/TrRoad_act!B62)</f>
        <v>1198.4539007848948</v>
      </c>
      <c r="C119" s="87">
        <f>IF(C24=0,0,1000000*C24/TrRoad_act!C62)</f>
        <v>1201.0068281696406</v>
      </c>
      <c r="D119" s="87">
        <f>IF(D24=0,0,1000000*D24/TrRoad_act!D62)</f>
        <v>1284.118769105527</v>
      </c>
      <c r="E119" s="87">
        <f>IF(E24=0,0,1000000*E24/TrRoad_act!E62)</f>
        <v>1312.564093217869</v>
      </c>
      <c r="F119" s="87">
        <f>IF(F24=0,0,1000000*F24/TrRoad_act!F62)</f>
        <v>1284.5694515393895</v>
      </c>
      <c r="G119" s="87">
        <f>IF(G24=0,0,1000000*G24/TrRoad_act!G62)</f>
        <v>1315.0902402690524</v>
      </c>
      <c r="H119" s="87">
        <f>IF(H24=0,0,1000000*H24/TrRoad_act!H62)</f>
        <v>1273.4290361974386</v>
      </c>
      <c r="I119" s="87">
        <f>IF(I24=0,0,1000000*I24/TrRoad_act!I62)</f>
        <v>1295.2509887921294</v>
      </c>
      <c r="J119" s="87">
        <f>IF(J24=0,0,1000000*J24/TrRoad_act!J62)</f>
        <v>1224.5689572162801</v>
      </c>
      <c r="K119" s="87">
        <f>IF(K24=0,0,1000000*K24/TrRoad_act!K62)</f>
        <v>1208.6498834121085</v>
      </c>
      <c r="L119" s="87">
        <f>IF(L24=0,0,1000000*L24/TrRoad_act!L62)</f>
        <v>1198.4292091908453</v>
      </c>
      <c r="M119" s="87">
        <f>IF(M24=0,0,1000000*M24/TrRoad_act!M62)</f>
        <v>1168.1599037890128</v>
      </c>
      <c r="N119" s="87">
        <f>IF(N24=0,0,1000000*N24/TrRoad_act!N62)</f>
        <v>1132.3848453879459</v>
      </c>
      <c r="O119" s="87">
        <f>IF(O24=0,0,1000000*O24/TrRoad_act!O62)</f>
        <v>1157.1328878400404</v>
      </c>
      <c r="P119" s="87">
        <f>IF(P24=0,0,1000000*P24/TrRoad_act!P62)</f>
        <v>1169.5213070855577</v>
      </c>
      <c r="Q119" s="87">
        <f>IF(Q24=0,0,1000000*Q24/TrRoad_act!Q62)</f>
        <v>1187.3728589260422</v>
      </c>
      <c r="R119" s="87">
        <f>IF(R24=0,0,1000000*R24/TrRoad_act!R62)</f>
        <v>1197.3279043247792</v>
      </c>
      <c r="S119" s="87">
        <f>IF(S24=0,0,1000000*S24/TrRoad_act!S62)</f>
        <v>1196.2514046071278</v>
      </c>
      <c r="T119" s="87">
        <f>IF(T24=0,0,1000000*T24/TrRoad_act!T62)</f>
        <v>1169.3013539993919</v>
      </c>
      <c r="U119" s="87">
        <f>IF(U24=0,0,1000000*U24/TrRoad_act!U62)</f>
        <v>1128.1458774111109</v>
      </c>
      <c r="V119" s="87">
        <f>IF(V24=0,0,1000000*V24/TrRoad_act!V62)</f>
        <v>962.69162625236777</v>
      </c>
      <c r="W119" s="87">
        <f>IF(W24=0,0,1000000*W24/TrRoad_act!W62)</f>
        <v>991.29717915240542</v>
      </c>
      <c r="DA119" s="171" t="s">
        <v>718</v>
      </c>
    </row>
    <row r="120" spans="1:105" ht="11.45" customHeight="1" x14ac:dyDescent="0.25">
      <c r="A120" s="111" t="s">
        <v>112</v>
      </c>
      <c r="B120" s="87">
        <f>IF(B26=0,0,1000000*B26/TrRoad_act!B63)</f>
        <v>890.83219074620592</v>
      </c>
      <c r="C120" s="87">
        <f>IF(C26=0,0,1000000*C26/TrRoad_act!C63)</f>
        <v>879.13462012011337</v>
      </c>
      <c r="D120" s="87">
        <f>IF(D26=0,0,1000000*D26/TrRoad_act!D63)</f>
        <v>881.65158134601018</v>
      </c>
      <c r="E120" s="87">
        <f>IF(E26=0,0,1000000*E26/TrRoad_act!E63)</f>
        <v>855.06495910802698</v>
      </c>
      <c r="F120" s="87">
        <f>IF(F26=0,0,1000000*F26/TrRoad_act!F63)</f>
        <v>860.15302089593217</v>
      </c>
      <c r="G120" s="87">
        <f>IF(G26=0,0,1000000*G26/TrRoad_act!G63)</f>
        <v>802.84496376516165</v>
      </c>
      <c r="H120" s="87">
        <f>IF(H26=0,0,1000000*H26/TrRoad_act!H63)</f>
        <v>775.30629347795377</v>
      </c>
      <c r="I120" s="87">
        <f>IF(I26=0,0,1000000*I26/TrRoad_act!I63)</f>
        <v>772.46965486263593</v>
      </c>
      <c r="J120" s="87">
        <f>IF(J26=0,0,1000000*J26/TrRoad_act!J63)</f>
        <v>806.69843825528665</v>
      </c>
      <c r="K120" s="87">
        <f>IF(K26=0,0,1000000*K26/TrRoad_act!K63)</f>
        <v>830.05977696527725</v>
      </c>
      <c r="L120" s="87">
        <f>IF(L26=0,0,1000000*L26/TrRoad_act!L63)</f>
        <v>796.53982850263935</v>
      </c>
      <c r="M120" s="87">
        <f>IF(M26=0,0,1000000*M26/TrRoad_act!M63)</f>
        <v>744.72323115524136</v>
      </c>
      <c r="N120" s="87">
        <f>IF(N26=0,0,1000000*N26/TrRoad_act!N63)</f>
        <v>742.1842028372422</v>
      </c>
      <c r="O120" s="87">
        <f>IF(O26=0,0,1000000*O26/TrRoad_act!O63)</f>
        <v>721.41823501457236</v>
      </c>
      <c r="P120" s="87">
        <f>IF(P26=0,0,1000000*P26/TrRoad_act!P63)</f>
        <v>679.93208436095188</v>
      </c>
      <c r="Q120" s="87">
        <f>IF(Q26=0,0,1000000*Q26/TrRoad_act!Q63)</f>
        <v>661.42178438442329</v>
      </c>
      <c r="R120" s="87">
        <f>IF(R26=0,0,1000000*R26/TrRoad_act!R63)</f>
        <v>686.99050391369178</v>
      </c>
      <c r="S120" s="87">
        <f>IF(S26=0,0,1000000*S26/TrRoad_act!S63)</f>
        <v>748.96301912159197</v>
      </c>
      <c r="T120" s="87">
        <f>IF(T26=0,0,1000000*T26/TrRoad_act!T63)</f>
        <v>662.77853607496456</v>
      </c>
      <c r="U120" s="87">
        <f>IF(U26=0,0,1000000*U26/TrRoad_act!U63)</f>
        <v>736.38465078837282</v>
      </c>
      <c r="V120" s="87">
        <f>IF(V26=0,0,1000000*V26/TrRoad_act!V63)</f>
        <v>521.68120297638677</v>
      </c>
      <c r="W120" s="87">
        <f>IF(W26=0,0,1000000*W26/TrRoad_act!W63)</f>
        <v>392.42101670012278</v>
      </c>
      <c r="DA120" s="171" t="s">
        <v>719</v>
      </c>
    </row>
    <row r="121" spans="1:105" ht="11.45" customHeight="1" x14ac:dyDescent="0.25">
      <c r="A121" s="111" t="s">
        <v>113</v>
      </c>
      <c r="B121" s="87">
        <f>IF(B27=0,0,1000000*B27/TrRoad_act!B64)</f>
        <v>0</v>
      </c>
      <c r="C121" s="87">
        <f>IF(C27=0,0,1000000*C27/TrRoad_act!C64)</f>
        <v>0</v>
      </c>
      <c r="D121" s="87">
        <f>IF(D27=0,0,1000000*D27/TrRoad_act!D64)</f>
        <v>0</v>
      </c>
      <c r="E121" s="87">
        <f>IF(E27=0,0,1000000*E27/TrRoad_act!E64)</f>
        <v>0</v>
      </c>
      <c r="F121" s="87">
        <f>IF(F27=0,0,1000000*F27/TrRoad_act!F64)</f>
        <v>0</v>
      </c>
      <c r="G121" s="87">
        <f>IF(G27=0,0,1000000*G27/TrRoad_act!G64)</f>
        <v>0</v>
      </c>
      <c r="H121" s="87">
        <f>IF(H27=0,0,1000000*H27/TrRoad_act!H64)</f>
        <v>1128.611976850779</v>
      </c>
      <c r="I121" s="87">
        <f>IF(I27=0,0,1000000*I27/TrRoad_act!I64)</f>
        <v>1115.1794735430094</v>
      </c>
      <c r="J121" s="87">
        <f>IF(J27=0,0,1000000*J27/TrRoad_act!J64)</f>
        <v>1084.4882811755151</v>
      </c>
      <c r="K121" s="87">
        <f>IF(K27=0,0,1000000*K27/TrRoad_act!K64)</f>
        <v>1041.2020580159922</v>
      </c>
      <c r="L121" s="87">
        <f>IF(L27=0,0,1000000*L27/TrRoad_act!L64)</f>
        <v>1069.4844903084622</v>
      </c>
      <c r="M121" s="87">
        <f>IF(M27=0,0,1000000*M27/TrRoad_act!M64)</f>
        <v>1083.196785224623</v>
      </c>
      <c r="N121" s="87">
        <f>IF(N27=0,0,1000000*N27/TrRoad_act!N64)</f>
        <v>1052.7217967152808</v>
      </c>
      <c r="O121" s="87">
        <f>IF(O27=0,0,1000000*O27/TrRoad_act!O64)</f>
        <v>1001.7347515710254</v>
      </c>
      <c r="P121" s="87">
        <f>IF(P27=0,0,1000000*P27/TrRoad_act!P64)</f>
        <v>967.98513884794966</v>
      </c>
      <c r="Q121" s="87">
        <f>IF(Q27=0,0,1000000*Q27/TrRoad_act!Q64)</f>
        <v>949.95778393622902</v>
      </c>
      <c r="R121" s="87">
        <f>IF(R27=0,0,1000000*R27/TrRoad_act!R64)</f>
        <v>874.69981825395314</v>
      </c>
      <c r="S121" s="87">
        <f>IF(S27=0,0,1000000*S27/TrRoad_act!S64)</f>
        <v>855.34980658527513</v>
      </c>
      <c r="T121" s="87">
        <f>IF(T27=0,0,1000000*T27/TrRoad_act!T64)</f>
        <v>805.05499462517605</v>
      </c>
      <c r="U121" s="87">
        <f>IF(U27=0,0,1000000*U27/TrRoad_act!U64)</f>
        <v>754.89136494352022</v>
      </c>
      <c r="V121" s="87">
        <f>IF(V27=0,0,1000000*V27/TrRoad_act!V64)</f>
        <v>654.20938090329389</v>
      </c>
      <c r="W121" s="87">
        <f>IF(W27=0,0,1000000*W27/TrRoad_act!W64)</f>
        <v>667.02208952860292</v>
      </c>
      <c r="DA121" s="171" t="s">
        <v>720</v>
      </c>
    </row>
    <row r="122" spans="1:105" ht="11.45" customHeight="1" x14ac:dyDescent="0.25">
      <c r="A122" s="111" t="s">
        <v>114</v>
      </c>
      <c r="B122" s="87">
        <f>IF(B29=0,0,1000000*B29/TrRoad_act!B65)</f>
        <v>0</v>
      </c>
      <c r="C122" s="87">
        <f>IF(C29=0,0,1000000*C29/TrRoad_act!C65)</f>
        <v>0</v>
      </c>
      <c r="D122" s="87">
        <f>IF(D29=0,0,1000000*D29/TrRoad_act!D65)</f>
        <v>0</v>
      </c>
      <c r="E122" s="87">
        <f>IF(E29=0,0,1000000*E29/TrRoad_act!E65)</f>
        <v>0</v>
      </c>
      <c r="F122" s="87">
        <f>IF(F29=0,0,1000000*F29/TrRoad_act!F65)</f>
        <v>0</v>
      </c>
      <c r="G122" s="87">
        <f>IF(G29=0,0,1000000*G29/TrRoad_act!G65)</f>
        <v>0</v>
      </c>
      <c r="H122" s="87">
        <f>IF(H29=0,0,1000000*H29/TrRoad_act!H65)</f>
        <v>0</v>
      </c>
      <c r="I122" s="87">
        <f>IF(I29=0,0,1000000*I29/TrRoad_act!I65)</f>
        <v>0</v>
      </c>
      <c r="J122" s="87">
        <f>IF(J29=0,0,1000000*J29/TrRoad_act!J65)</f>
        <v>0</v>
      </c>
      <c r="K122" s="87">
        <f>IF(K29=0,0,1000000*K29/TrRoad_act!K65)</f>
        <v>0</v>
      </c>
      <c r="L122" s="87">
        <f>IF(L29=0,0,1000000*L29/TrRoad_act!L65)</f>
        <v>0</v>
      </c>
      <c r="M122" s="87">
        <f>IF(M29=0,0,1000000*M29/TrRoad_act!M65)</f>
        <v>446.20717190689123</v>
      </c>
      <c r="N122" s="87">
        <f>IF(N29=0,0,1000000*N29/TrRoad_act!N65)</f>
        <v>361.64531718724419</v>
      </c>
      <c r="O122" s="87">
        <f>IF(O29=0,0,1000000*O29/TrRoad_act!O65)</f>
        <v>302.71680371405324</v>
      </c>
      <c r="P122" s="87">
        <f>IF(P29=0,0,1000000*P29/TrRoad_act!P65)</f>
        <v>329.69241936687098</v>
      </c>
      <c r="Q122" s="87">
        <f>IF(Q29=0,0,1000000*Q29/TrRoad_act!Q65)</f>
        <v>398.09107136993043</v>
      </c>
      <c r="R122" s="87">
        <f>IF(R29=0,0,1000000*R29/TrRoad_act!R65)</f>
        <v>448.86146987622988</v>
      </c>
      <c r="S122" s="87">
        <f>IF(S29=0,0,1000000*S29/TrRoad_act!S65)</f>
        <v>469.9209476097941</v>
      </c>
      <c r="T122" s="87">
        <f>IF(T29=0,0,1000000*T29/TrRoad_act!T65)</f>
        <v>481.07667435517743</v>
      </c>
      <c r="U122" s="87">
        <f>IF(U29=0,0,1000000*U29/TrRoad_act!U65)</f>
        <v>475.94947232860335</v>
      </c>
      <c r="V122" s="87">
        <f>IF(V29=0,0,1000000*V29/TrRoad_act!V65)</f>
        <v>378.20512948729697</v>
      </c>
      <c r="W122" s="87">
        <f>IF(W29=0,0,1000000*W29/TrRoad_act!W65)</f>
        <v>374.99333130962918</v>
      </c>
      <c r="DA122" s="171" t="s">
        <v>721</v>
      </c>
    </row>
    <row r="123" spans="1:105" ht="11.45" customHeight="1" x14ac:dyDescent="0.25">
      <c r="A123" s="111" t="s">
        <v>115</v>
      </c>
      <c r="B123" s="87">
        <f>IF(B32=0,0,1000000*B32/TrRoad_act!B66)</f>
        <v>0</v>
      </c>
      <c r="C123" s="87">
        <f>IF(C32=0,0,1000000*C32/TrRoad_act!C66)</f>
        <v>0</v>
      </c>
      <c r="D123" s="87">
        <f>IF(D32=0,0,1000000*D32/TrRoad_act!D66)</f>
        <v>0</v>
      </c>
      <c r="E123" s="87">
        <f>IF(E32=0,0,1000000*E32/TrRoad_act!E66)</f>
        <v>0</v>
      </c>
      <c r="F123" s="87">
        <f>IF(F32=0,0,1000000*F32/TrRoad_act!F66)</f>
        <v>0</v>
      </c>
      <c r="G123" s="87">
        <f>IF(G32=0,0,1000000*G32/TrRoad_act!G66)</f>
        <v>0</v>
      </c>
      <c r="H123" s="87">
        <f>IF(H32=0,0,1000000*H32/TrRoad_act!H66)</f>
        <v>0</v>
      </c>
      <c r="I123" s="87">
        <f>IF(I32=0,0,1000000*I32/TrRoad_act!I66)</f>
        <v>0</v>
      </c>
      <c r="J123" s="87">
        <f>IF(J32=0,0,1000000*J32/TrRoad_act!J66)</f>
        <v>208.16986480581792</v>
      </c>
      <c r="K123" s="87">
        <f>IF(K32=0,0,1000000*K32/TrRoad_act!K66)</f>
        <v>207.0538191825583</v>
      </c>
      <c r="L123" s="87">
        <f>IF(L32=0,0,1000000*L32/TrRoad_act!L66)</f>
        <v>206.76042197228102</v>
      </c>
      <c r="M123" s="87">
        <f>IF(M32=0,0,1000000*M32/TrRoad_act!M66)</f>
        <v>207.15436131373554</v>
      </c>
      <c r="N123" s="87">
        <f>IF(N32=0,0,1000000*N32/TrRoad_act!N66)</f>
        <v>206.60390856291136</v>
      </c>
      <c r="O123" s="87">
        <f>IF(O32=0,0,1000000*O32/TrRoad_act!O66)</f>
        <v>207.68838672984745</v>
      </c>
      <c r="P123" s="87">
        <f>IF(P32=0,0,1000000*P32/TrRoad_act!P66)</f>
        <v>204.09526211984118</v>
      </c>
      <c r="Q123" s="87">
        <f>IF(Q32=0,0,1000000*Q32/TrRoad_act!Q66)</f>
        <v>213.16706471826771</v>
      </c>
      <c r="R123" s="87">
        <f>IF(R32=0,0,1000000*R32/TrRoad_act!R66)</f>
        <v>211.58726196176576</v>
      </c>
      <c r="S123" s="87">
        <f>IF(S32=0,0,1000000*S32/TrRoad_act!S66)</f>
        <v>208.2586240100002</v>
      </c>
      <c r="T123" s="87">
        <f>IF(T32=0,0,1000000*T32/TrRoad_act!T66)</f>
        <v>211.05460320294858</v>
      </c>
      <c r="U123" s="87">
        <f>IF(U32=0,0,1000000*U32/TrRoad_act!U66)</f>
        <v>221.04328244105332</v>
      </c>
      <c r="V123" s="87">
        <f>IF(V32=0,0,1000000*V32/TrRoad_act!V66)</f>
        <v>199.67739867945724</v>
      </c>
      <c r="W123" s="87">
        <f>IF(W32=0,0,1000000*W32/TrRoad_act!W66)</f>
        <v>236.49178942467913</v>
      </c>
      <c r="DA123" s="171" t="s">
        <v>722</v>
      </c>
    </row>
    <row r="124" spans="1:105" ht="11.45" customHeight="1" x14ac:dyDescent="0.25">
      <c r="A124" s="109" t="s">
        <v>21</v>
      </c>
      <c r="B124" s="116">
        <f>IF(B33=0,0,1000000*B33/TrRoad_act!B67)</f>
        <v>25987.65951382013</v>
      </c>
      <c r="C124" s="116">
        <f>IF(C33=0,0,1000000*C33/TrRoad_act!C67)</f>
        <v>26099.016486241759</v>
      </c>
      <c r="D124" s="116">
        <f>IF(D33=0,0,1000000*D33/TrRoad_act!D67)</f>
        <v>29083.629888745309</v>
      </c>
      <c r="E124" s="116">
        <f>IF(E33=0,0,1000000*E33/TrRoad_act!E67)</f>
        <v>29773.449892401462</v>
      </c>
      <c r="F124" s="116">
        <f>IF(F33=0,0,1000000*F33/TrRoad_act!F67)</f>
        <v>28886.809160594366</v>
      </c>
      <c r="G124" s="116">
        <f>IF(G33=0,0,1000000*G33/TrRoad_act!G67)</f>
        <v>29034.083579058701</v>
      </c>
      <c r="H124" s="116">
        <f>IF(H33=0,0,1000000*H33/TrRoad_act!H67)</f>
        <v>28518.613107974812</v>
      </c>
      <c r="I124" s="116">
        <f>IF(I33=0,0,1000000*I33/TrRoad_act!I67)</f>
        <v>30074.540109158585</v>
      </c>
      <c r="J124" s="116">
        <f>IF(J33=0,0,1000000*J33/TrRoad_act!J67)</f>
        <v>28996.024895934301</v>
      </c>
      <c r="K124" s="116">
        <f>IF(K33=0,0,1000000*K33/TrRoad_act!K67)</f>
        <v>25559.185541346327</v>
      </c>
      <c r="L124" s="116">
        <f>IF(L33=0,0,1000000*L33/TrRoad_act!L67)</f>
        <v>27353.597378360031</v>
      </c>
      <c r="M124" s="116">
        <f>IF(M33=0,0,1000000*M33/TrRoad_act!M67)</f>
        <v>27167.892140699136</v>
      </c>
      <c r="N124" s="116">
        <f>IF(N33=0,0,1000000*N33/TrRoad_act!N67)</f>
        <v>27287.58607206482</v>
      </c>
      <c r="O124" s="116">
        <f>IF(O33=0,0,1000000*O33/TrRoad_act!O67)</f>
        <v>26842.546763787868</v>
      </c>
      <c r="P124" s="116">
        <f>IF(P33=0,0,1000000*P33/TrRoad_act!P67)</f>
        <v>27404.143981247402</v>
      </c>
      <c r="Q124" s="116">
        <f>IF(Q33=0,0,1000000*Q33/TrRoad_act!Q67)</f>
        <v>27813.720638185951</v>
      </c>
      <c r="R124" s="116">
        <f>IF(R33=0,0,1000000*R33/TrRoad_act!R67)</f>
        <v>28636.007960112856</v>
      </c>
      <c r="S124" s="116">
        <f>IF(S33=0,0,1000000*S33/TrRoad_act!S67)</f>
        <v>29201.943266077262</v>
      </c>
      <c r="T124" s="116">
        <f>IF(T33=0,0,1000000*T33/TrRoad_act!T67)</f>
        <v>29264.050119325049</v>
      </c>
      <c r="U124" s="116">
        <f>IF(U33=0,0,1000000*U33/TrRoad_act!U67)</f>
        <v>28828.530344942075</v>
      </c>
      <c r="V124" s="116">
        <f>IF(V33=0,0,1000000*V33/TrRoad_act!V67)</f>
        <v>29099.193574992645</v>
      </c>
      <c r="W124" s="116">
        <f>IF(W33=0,0,1000000*W33/TrRoad_act!W67)</f>
        <v>29025.023312236135</v>
      </c>
      <c r="DA124" s="176" t="s">
        <v>723</v>
      </c>
    </row>
    <row r="125" spans="1:105" ht="11.45" customHeight="1" x14ac:dyDescent="0.25">
      <c r="A125" s="111" t="s">
        <v>110</v>
      </c>
      <c r="B125" s="101">
        <f>IF(B34=0,0,1000000*B34/TrRoad_act!B68)</f>
        <v>9845.148897200339</v>
      </c>
      <c r="C125" s="101">
        <f>IF(C34=0,0,1000000*C34/TrRoad_act!C68)</f>
        <v>9939.4156512335048</v>
      </c>
      <c r="D125" s="101">
        <f>IF(D34=0,0,1000000*D34/TrRoad_act!D68)</f>
        <v>11217.106314783528</v>
      </c>
      <c r="E125" s="101">
        <f>IF(E34=0,0,1000000*E34/TrRoad_act!E68)</f>
        <v>11577.857175183131</v>
      </c>
      <c r="F125" s="101">
        <f>IF(F34=0,0,1000000*F34/TrRoad_act!F68)</f>
        <v>11293.670957168471</v>
      </c>
      <c r="G125" s="101">
        <f>IF(G34=0,0,1000000*G34/TrRoad_act!G68)</f>
        <v>11381.461179281006</v>
      </c>
      <c r="H125" s="101">
        <f>IF(H34=0,0,1000000*H34/TrRoad_act!H68)</f>
        <v>11202.678253896585</v>
      </c>
      <c r="I125" s="101">
        <f>IF(I34=0,0,1000000*I34/TrRoad_act!I68)</f>
        <v>11476.139816911507</v>
      </c>
      <c r="J125" s="101">
        <f>IF(J34=0,0,1000000*J34/TrRoad_act!J68)</f>
        <v>10980.939511958753</v>
      </c>
      <c r="K125" s="101">
        <f>IF(K34=0,0,1000000*K34/TrRoad_act!K68)</f>
        <v>9517.352479418083</v>
      </c>
      <c r="L125" s="101">
        <f>IF(L34=0,0,1000000*L34/TrRoad_act!L68)</f>
        <v>10268.061577316392</v>
      </c>
      <c r="M125" s="101">
        <f>IF(M34=0,0,1000000*M34/TrRoad_act!M68)</f>
        <v>9992.9757933515993</v>
      </c>
      <c r="N125" s="101">
        <f>IF(N34=0,0,1000000*N34/TrRoad_act!N68)</f>
        <v>10059.368182189168</v>
      </c>
      <c r="O125" s="101">
        <f>IF(O34=0,0,1000000*O34/TrRoad_act!O68)</f>
        <v>9472.6967252140548</v>
      </c>
      <c r="P125" s="101">
        <f>IF(P34=0,0,1000000*P34/TrRoad_act!P68)</f>
        <v>7521.4895851328802</v>
      </c>
      <c r="Q125" s="101">
        <f>IF(Q34=0,0,1000000*Q34/TrRoad_act!Q68)</f>
        <v>6082.6755685185808</v>
      </c>
      <c r="R125" s="101">
        <f>IF(R34=0,0,1000000*R34/TrRoad_act!R68)</f>
        <v>6033.9661392309408</v>
      </c>
      <c r="S125" s="101">
        <f>IF(S34=0,0,1000000*S34/TrRoad_act!S68)</f>
        <v>6106.4037227058325</v>
      </c>
      <c r="T125" s="101">
        <f>IF(T34=0,0,1000000*T34/TrRoad_act!T68)</f>
        <v>6077.0160798458737</v>
      </c>
      <c r="U125" s="101">
        <f>IF(U34=0,0,1000000*U34/TrRoad_act!U68)</f>
        <v>5945.6042128400113</v>
      </c>
      <c r="V125" s="101">
        <f>IF(V34=0,0,1000000*V34/TrRoad_act!V68)</f>
        <v>5836.5348546557098</v>
      </c>
      <c r="W125" s="101">
        <f>IF(W34=0,0,1000000*W34/TrRoad_act!W68)</f>
        <v>5831.3490081529135</v>
      </c>
      <c r="DA125" s="175" t="s">
        <v>724</v>
      </c>
    </row>
    <row r="126" spans="1:105" ht="11.45" customHeight="1" x14ac:dyDescent="0.25">
      <c r="A126" s="111" t="s">
        <v>111</v>
      </c>
      <c r="B126" s="101">
        <f>IF(B36=0,0,1000000*B36/TrRoad_act!B69)</f>
        <v>26157.771641995187</v>
      </c>
      <c r="C126" s="101">
        <f>IF(C36=0,0,1000000*C36/TrRoad_act!C69)</f>
        <v>26302.843229978793</v>
      </c>
      <c r="D126" s="101">
        <f>IF(D36=0,0,1000000*D36/TrRoad_act!D69)</f>
        <v>29408.777349800235</v>
      </c>
      <c r="E126" s="101">
        <f>IF(E36=0,0,1000000*E36/TrRoad_act!E69)</f>
        <v>30150.39059631398</v>
      </c>
      <c r="F126" s="101">
        <f>IF(F36=0,0,1000000*F36/TrRoad_act!F69)</f>
        <v>29280.844017201998</v>
      </c>
      <c r="G126" s="101">
        <f>IF(G36=0,0,1000000*G36/TrRoad_act!G69)</f>
        <v>29512.711993657118</v>
      </c>
      <c r="H126" s="101">
        <f>IF(H36=0,0,1000000*H36/TrRoad_act!H69)</f>
        <v>29058.500067530371</v>
      </c>
      <c r="I126" s="101">
        <f>IF(I36=0,0,1000000*I36/TrRoad_act!I69)</f>
        <v>30729.450584134698</v>
      </c>
      <c r="J126" s="101">
        <f>IF(J36=0,0,1000000*J36/TrRoad_act!J69)</f>
        <v>29733.482833586131</v>
      </c>
      <c r="K126" s="101">
        <f>IF(K36=0,0,1000000*K36/TrRoad_act!K69)</f>
        <v>26341.627332154298</v>
      </c>
      <c r="L126" s="101">
        <f>IF(L36=0,0,1000000*L36/TrRoad_act!L69)</f>
        <v>28432.330212500481</v>
      </c>
      <c r="M126" s="101">
        <f>IF(M36=0,0,1000000*M36/TrRoad_act!M69)</f>
        <v>28409.941884197946</v>
      </c>
      <c r="N126" s="101">
        <f>IF(N36=0,0,1000000*N36/TrRoad_act!N69)</f>
        <v>28583.375990117787</v>
      </c>
      <c r="O126" s="101">
        <f>IF(O36=0,0,1000000*O36/TrRoad_act!O69)</f>
        <v>28289.305874478785</v>
      </c>
      <c r="P126" s="101">
        <f>IF(P36=0,0,1000000*P36/TrRoad_act!P69)</f>
        <v>28940.732652272229</v>
      </c>
      <c r="Q126" s="101">
        <f>IF(Q36=0,0,1000000*Q36/TrRoad_act!Q69)</f>
        <v>29154.431825872529</v>
      </c>
      <c r="R126" s="101">
        <f>IF(R36=0,0,1000000*R36/TrRoad_act!R69)</f>
        <v>29971.29303459053</v>
      </c>
      <c r="S126" s="101">
        <f>IF(S36=0,0,1000000*S36/TrRoad_act!S69)</f>
        <v>30494.546294314085</v>
      </c>
      <c r="T126" s="101">
        <f>IF(T36=0,0,1000000*T36/TrRoad_act!T69)</f>
        <v>30412.943513154678</v>
      </c>
      <c r="U126" s="101">
        <f>IF(U36=0,0,1000000*U36/TrRoad_act!U69)</f>
        <v>29464.017298566479</v>
      </c>
      <c r="V126" s="101">
        <f>IF(V36=0,0,1000000*V36/TrRoad_act!V69)</f>
        <v>29606.590157288738</v>
      </c>
      <c r="W126" s="101">
        <f>IF(W36=0,0,1000000*W36/TrRoad_act!W69)</f>
        <v>29418.227171849259</v>
      </c>
      <c r="DA126" s="175" t="s">
        <v>725</v>
      </c>
    </row>
    <row r="127" spans="1:105" ht="11.45" customHeight="1" x14ac:dyDescent="0.25">
      <c r="A127" s="111" t="s">
        <v>112</v>
      </c>
      <c r="B127" s="101">
        <f>IF(B38=0,0,1000000*B38/TrRoad_act!B70)</f>
        <v>0</v>
      </c>
      <c r="C127" s="101">
        <f>IF(C38=0,0,1000000*C38/TrRoad_act!C70)</f>
        <v>9166.2121299069731</v>
      </c>
      <c r="D127" s="101">
        <f>IF(D38=0,0,1000000*D38/TrRoad_act!D70)</f>
        <v>10278.915717441421</v>
      </c>
      <c r="E127" s="101">
        <f>IF(E38=0,0,1000000*E38/TrRoad_act!E70)</f>
        <v>10741.344125422933</v>
      </c>
      <c r="F127" s="101">
        <f>IF(F38=0,0,1000000*F38/TrRoad_act!F70)</f>
        <v>10622.161727523609</v>
      </c>
      <c r="G127" s="101">
        <f>IF(G38=0,0,1000000*G38/TrRoad_act!G70)</f>
        <v>10878.240370289048</v>
      </c>
      <c r="H127" s="101">
        <f>IF(H38=0,0,1000000*H38/TrRoad_act!H70)</f>
        <v>10883.404751472795</v>
      </c>
      <c r="I127" s="101">
        <f>IF(I38=0,0,1000000*I38/TrRoad_act!I70)</f>
        <v>11713.265497878836</v>
      </c>
      <c r="J127" s="101">
        <f>IF(J38=0,0,1000000*J38/TrRoad_act!J70)</f>
        <v>11464.237232592257</v>
      </c>
      <c r="K127" s="101">
        <f>IF(K38=0,0,1000000*K38/TrRoad_act!K70)</f>
        <v>10245.970200597918</v>
      </c>
      <c r="L127" s="101">
        <f>IF(L38=0,0,1000000*L38/TrRoad_act!L70)</f>
        <v>11182.418814744604</v>
      </c>
      <c r="M127" s="101">
        <f>IF(M38=0,0,1000000*M38/TrRoad_act!M70)</f>
        <v>11295.984594300975</v>
      </c>
      <c r="N127" s="101">
        <f>IF(N38=0,0,1000000*N38/TrRoad_act!N70)</f>
        <v>11489.407713500526</v>
      </c>
      <c r="O127" s="101">
        <f>IF(O38=0,0,1000000*O38/TrRoad_act!O70)</f>
        <v>11463.377094948943</v>
      </c>
      <c r="P127" s="101">
        <f>IF(P38=0,0,1000000*P38/TrRoad_act!P70)</f>
        <v>11802.85531459595</v>
      </c>
      <c r="Q127" s="101">
        <f>IF(Q38=0,0,1000000*Q38/TrRoad_act!Q70)</f>
        <v>12083.782042623325</v>
      </c>
      <c r="R127" s="101">
        <f>IF(R38=0,0,1000000*R38/TrRoad_act!R70)</f>
        <v>12131.48670593074</v>
      </c>
      <c r="S127" s="101">
        <f>IF(S38=0,0,1000000*S38/TrRoad_act!S70)</f>
        <v>12174.165497275451</v>
      </c>
      <c r="T127" s="101">
        <f>IF(T38=0,0,1000000*T38/TrRoad_act!T70)</f>
        <v>12008.504251831097</v>
      </c>
      <c r="U127" s="101">
        <f>IF(U38=0,0,1000000*U38/TrRoad_act!U70)</f>
        <v>11782.837468206373</v>
      </c>
      <c r="V127" s="101">
        <f>IF(V38=0,0,1000000*V38/TrRoad_act!V70)</f>
        <v>11797.442150723837</v>
      </c>
      <c r="W127" s="101">
        <f>IF(W38=0,0,1000000*W38/TrRoad_act!W70)</f>
        <v>11595.81605611876</v>
      </c>
      <c r="DA127" s="175" t="s">
        <v>726</v>
      </c>
    </row>
    <row r="128" spans="1:105" ht="11.45" customHeight="1" x14ac:dyDescent="0.25">
      <c r="A128" s="111" t="s">
        <v>113</v>
      </c>
      <c r="B128" s="101">
        <f>IF(B39=0,0,1000000*B39/TrRoad_act!B71)</f>
        <v>0</v>
      </c>
      <c r="C128" s="101">
        <f>IF(C39=0,0,1000000*C39/TrRoad_act!C71)</f>
        <v>0</v>
      </c>
      <c r="D128" s="101">
        <f>IF(D39=0,0,1000000*D39/TrRoad_act!D71)</f>
        <v>0</v>
      </c>
      <c r="E128" s="101">
        <f>IF(E39=0,0,1000000*E39/TrRoad_act!E71)</f>
        <v>0</v>
      </c>
      <c r="F128" s="101">
        <f>IF(F39=0,0,1000000*F39/TrRoad_act!F71)</f>
        <v>26456.776241814929</v>
      </c>
      <c r="G128" s="101">
        <f>IF(G39=0,0,1000000*G39/TrRoad_act!G71)</f>
        <v>28401.349295588323</v>
      </c>
      <c r="H128" s="101">
        <f>IF(H39=0,0,1000000*H39/TrRoad_act!H71)</f>
        <v>19668.197052851865</v>
      </c>
      <c r="I128" s="101">
        <f>IF(I39=0,0,1000000*I39/TrRoad_act!I71)</f>
        <v>26004.302936305194</v>
      </c>
      <c r="J128" s="101">
        <f>IF(J39=0,0,1000000*J39/TrRoad_act!J71)</f>
        <v>21931.888589591348</v>
      </c>
      <c r="K128" s="101">
        <f>IF(K39=0,0,1000000*K39/TrRoad_act!K71)</f>
        <v>22861.752721447814</v>
      </c>
      <c r="L128" s="101">
        <f>IF(L39=0,0,1000000*L39/TrRoad_act!L71)</f>
        <v>22155.491424010259</v>
      </c>
      <c r="M128" s="101">
        <f>IF(M39=0,0,1000000*M39/TrRoad_act!M71)</f>
        <v>19832.749306280002</v>
      </c>
      <c r="N128" s="101">
        <f>IF(N39=0,0,1000000*N39/TrRoad_act!N71)</f>
        <v>19971.106188344049</v>
      </c>
      <c r="O128" s="101">
        <f>IF(O39=0,0,1000000*O39/TrRoad_act!O71)</f>
        <v>18360.832292997125</v>
      </c>
      <c r="P128" s="101">
        <f>IF(P39=0,0,1000000*P39/TrRoad_act!P71)</f>
        <v>18211.713035898858</v>
      </c>
      <c r="Q128" s="101">
        <f>IF(Q39=0,0,1000000*Q39/TrRoad_act!Q71)</f>
        <v>19178.095131627721</v>
      </c>
      <c r="R128" s="101">
        <f>IF(R39=0,0,1000000*R39/TrRoad_act!R71)</f>
        <v>18842.630498039114</v>
      </c>
      <c r="S128" s="101">
        <f>IF(S39=0,0,1000000*S39/TrRoad_act!S71)</f>
        <v>18533.599095368067</v>
      </c>
      <c r="T128" s="101">
        <f>IF(T39=0,0,1000000*T39/TrRoad_act!T71)</f>
        <v>20648.700736298819</v>
      </c>
      <c r="U128" s="101">
        <f>IF(U39=0,0,1000000*U39/TrRoad_act!U71)</f>
        <v>23435.514668827716</v>
      </c>
      <c r="V128" s="101">
        <f>IF(V39=0,0,1000000*V39/TrRoad_act!V71)</f>
        <v>26482.071765817938</v>
      </c>
      <c r="W128" s="101">
        <f>IF(W39=0,0,1000000*W39/TrRoad_act!W71)</f>
        <v>28197.847408321213</v>
      </c>
      <c r="DA128" s="175" t="s">
        <v>727</v>
      </c>
    </row>
    <row r="129" spans="1:105" ht="11.45" customHeight="1" x14ac:dyDescent="0.25">
      <c r="A129" s="111" t="s">
        <v>115</v>
      </c>
      <c r="B129" s="101">
        <f>IF(B41=0,0,1000000*B41/TrRoad_act!B72)</f>
        <v>13441.323438909871</v>
      </c>
      <c r="C129" s="101">
        <f>IF(C41=0,0,1000000*C41/TrRoad_act!C72)</f>
        <v>13013.208731904262</v>
      </c>
      <c r="D129" s="101">
        <f>IF(D41=0,0,1000000*D41/TrRoad_act!D72)</f>
        <v>12870.830580125716</v>
      </c>
      <c r="E129" s="101">
        <f>IF(E41=0,0,1000000*E41/TrRoad_act!E72)</f>
        <v>12664.692834331423</v>
      </c>
      <c r="F129" s="101">
        <f>IF(F41=0,0,1000000*F41/TrRoad_act!F72)</f>
        <v>12649.194895753721</v>
      </c>
      <c r="G129" s="101">
        <f>IF(G41=0,0,1000000*G41/TrRoad_act!G72)</f>
        <v>12487.966759390625</v>
      </c>
      <c r="H129" s="101">
        <f>IF(H41=0,0,1000000*H41/TrRoad_act!H72)</f>
        <v>12469.41602748094</v>
      </c>
      <c r="I129" s="101">
        <f>IF(I41=0,0,1000000*I41/TrRoad_act!I72)</f>
        <v>12443.90817122057</v>
      </c>
      <c r="J129" s="101">
        <f>IF(J41=0,0,1000000*J41/TrRoad_act!J72)</f>
        <v>12420.846175118379</v>
      </c>
      <c r="K129" s="101">
        <f>IF(K41=0,0,1000000*K41/TrRoad_act!K72)</f>
        <v>12397.275288270481</v>
      </c>
      <c r="L129" s="101">
        <f>IF(L41=0,0,1000000*L41/TrRoad_act!L72)</f>
        <v>12342.616186210271</v>
      </c>
      <c r="M129" s="101">
        <f>IF(M41=0,0,1000000*M41/TrRoad_act!M72)</f>
        <v>12293.101547093454</v>
      </c>
      <c r="N129" s="101">
        <f>IF(N41=0,0,1000000*N41/TrRoad_act!N72)</f>
        <v>12192.243670468777</v>
      </c>
      <c r="O129" s="101">
        <f>IF(O41=0,0,1000000*O41/TrRoad_act!O72)</f>
        <v>12142.714826886235</v>
      </c>
      <c r="P129" s="101">
        <f>IF(P41=0,0,1000000*P41/TrRoad_act!P72)</f>
        <v>12120.838194711714</v>
      </c>
      <c r="Q129" s="101">
        <f>IF(Q41=0,0,1000000*Q41/TrRoad_act!Q72)</f>
        <v>12095.605079520898</v>
      </c>
      <c r="R129" s="101">
        <f>IF(R41=0,0,1000000*R41/TrRoad_act!R72)</f>
        <v>12062.581933147472</v>
      </c>
      <c r="S129" s="101">
        <f>IF(S41=0,0,1000000*S41/TrRoad_act!S72)</f>
        <v>12019.314348216254</v>
      </c>
      <c r="T129" s="101">
        <f>IF(T41=0,0,1000000*T41/TrRoad_act!T72)</f>
        <v>12025.405211336682</v>
      </c>
      <c r="U129" s="101">
        <f>IF(U41=0,0,1000000*U41/TrRoad_act!U72)</f>
        <v>12007.314484509732</v>
      </c>
      <c r="V129" s="101">
        <f>IF(V41=0,0,1000000*V41/TrRoad_act!V72)</f>
        <v>11944.109973051107</v>
      </c>
      <c r="W129" s="101">
        <f>IF(W41=0,0,1000000*W41/TrRoad_act!W72)</f>
        <v>12014.28856813564</v>
      </c>
      <c r="DA129" s="175" t="s">
        <v>728</v>
      </c>
    </row>
    <row r="130" spans="1:105" ht="11.45" customHeight="1" x14ac:dyDescent="0.25">
      <c r="A130" s="27" t="s">
        <v>34</v>
      </c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DA130" s="173"/>
    </row>
    <row r="131" spans="1:105" ht="11.45" customHeight="1" x14ac:dyDescent="0.25">
      <c r="A131" s="136" t="s">
        <v>156</v>
      </c>
      <c r="B131" s="152">
        <f>IF(B43=0,0,1000000*B43/TrRoad_act!B74)</f>
        <v>1697.5004634825862</v>
      </c>
      <c r="C131" s="152">
        <f>IF(C43=0,0,1000000*C43/TrRoad_act!C74)</f>
        <v>1687.658123511635</v>
      </c>
      <c r="D131" s="152">
        <f>IF(D43=0,0,1000000*D43/TrRoad_act!D74)</f>
        <v>1796.1475256068966</v>
      </c>
      <c r="E131" s="152">
        <f>IF(E43=0,0,1000000*E43/TrRoad_act!E74)</f>
        <v>1753.8123196531901</v>
      </c>
      <c r="F131" s="152">
        <f>IF(F43=0,0,1000000*F43/TrRoad_act!F74)</f>
        <v>1696.6344425086884</v>
      </c>
      <c r="G131" s="152">
        <f>IF(G43=0,0,1000000*G43/TrRoad_act!G74)</f>
        <v>1682.2723787816044</v>
      </c>
      <c r="H131" s="152">
        <f>IF(H43=0,0,1000000*H43/TrRoad_act!H74)</f>
        <v>1665.3289235733723</v>
      </c>
      <c r="I131" s="152">
        <f>IF(I43=0,0,1000000*I43/TrRoad_act!I74)</f>
        <v>1644.5345430860127</v>
      </c>
      <c r="J131" s="152">
        <f>IF(J43=0,0,1000000*J43/TrRoad_act!J74)</f>
        <v>1566.7137922478823</v>
      </c>
      <c r="K131" s="152">
        <f>IF(K43=0,0,1000000*K43/TrRoad_act!K74)</f>
        <v>1507.5304796232074</v>
      </c>
      <c r="L131" s="152">
        <f>IF(L43=0,0,1000000*L43/TrRoad_act!L74)</f>
        <v>1468.0448188789378</v>
      </c>
      <c r="M131" s="152">
        <f>IF(M43=0,0,1000000*M43/TrRoad_act!M74)</f>
        <v>1437.4363608882063</v>
      </c>
      <c r="N131" s="152">
        <f>IF(N43=0,0,1000000*N43/TrRoad_act!N74)</f>
        <v>1382.605189527914</v>
      </c>
      <c r="O131" s="152">
        <f>IF(O43=0,0,1000000*O43/TrRoad_act!O74)</f>
        <v>1363.9372331626039</v>
      </c>
      <c r="P131" s="152">
        <f>IF(P43=0,0,1000000*P43/TrRoad_act!P74)</f>
        <v>1384.8170594169785</v>
      </c>
      <c r="Q131" s="152">
        <f>IF(Q43=0,0,1000000*Q43/TrRoad_act!Q74)</f>
        <v>1387.8981825944745</v>
      </c>
      <c r="R131" s="152">
        <f>IF(R43=0,0,1000000*R43/TrRoad_act!R74)</f>
        <v>1367.9199268318266</v>
      </c>
      <c r="S131" s="152">
        <f>IF(S43=0,0,1000000*S43/TrRoad_act!S74)</f>
        <v>1320.5111224972482</v>
      </c>
      <c r="T131" s="152">
        <f>IF(T43=0,0,1000000*T43/TrRoad_act!T74)</f>
        <v>1283.1333623649127</v>
      </c>
      <c r="U131" s="152">
        <f>IF(U43=0,0,1000000*U43/TrRoad_act!U74)</f>
        <v>1283.9279424965614</v>
      </c>
      <c r="V131" s="152">
        <f>IF(V43=0,0,1000000*V43/TrRoad_act!V74)</f>
        <v>1265.9534970429465</v>
      </c>
      <c r="W131" s="152">
        <f>IF(W43=0,0,1000000*W43/TrRoad_act!W74)</f>
        <v>1262.0030950765995</v>
      </c>
      <c r="DA131" s="174" t="s">
        <v>729</v>
      </c>
    </row>
    <row r="132" spans="1:105" ht="11.45" customHeight="1" x14ac:dyDescent="0.25">
      <c r="A132" s="111" t="s">
        <v>110</v>
      </c>
      <c r="B132" s="87">
        <f>IF(B44=0,0,1000000*B44/TrRoad_act!B75)</f>
        <v>1893.0468732080064</v>
      </c>
      <c r="C132" s="87">
        <f>IF(C44=0,0,1000000*C44/TrRoad_act!C75)</f>
        <v>1888.4717034946343</v>
      </c>
      <c r="D132" s="87">
        <f>IF(D44=0,0,1000000*D44/TrRoad_act!D75)</f>
        <v>1944.1321277095744</v>
      </c>
      <c r="E132" s="87">
        <f>IF(E44=0,0,1000000*E44/TrRoad_act!E75)</f>
        <v>1893.943541508906</v>
      </c>
      <c r="F132" s="87">
        <f>IF(F44=0,0,1000000*F44/TrRoad_act!F75)</f>
        <v>1843.2708877941786</v>
      </c>
      <c r="G132" s="87">
        <f>IF(G44=0,0,1000000*G44/TrRoad_act!G75)</f>
        <v>1837.1164080201024</v>
      </c>
      <c r="H132" s="87">
        <f>IF(H44=0,0,1000000*H44/TrRoad_act!H75)</f>
        <v>1845.1178294928804</v>
      </c>
      <c r="I132" s="87">
        <f>IF(I44=0,0,1000000*I44/TrRoad_act!I75)</f>
        <v>1822.1524430306836</v>
      </c>
      <c r="J132" s="87">
        <f>IF(J44=0,0,1000000*J44/TrRoad_act!J75)</f>
        <v>1703.8514286144691</v>
      </c>
      <c r="K132" s="87">
        <f>IF(K44=0,0,1000000*K44/TrRoad_act!K75)</f>
        <v>1600.424341715353</v>
      </c>
      <c r="L132" s="87">
        <f>IF(L44=0,0,1000000*L44/TrRoad_act!L75)</f>
        <v>1527.8186677995755</v>
      </c>
      <c r="M132" s="87">
        <f>IF(M44=0,0,1000000*M44/TrRoad_act!M75)</f>
        <v>1519.1574421208468</v>
      </c>
      <c r="N132" s="87">
        <f>IF(N44=0,0,1000000*N44/TrRoad_act!N75)</f>
        <v>1464.7922794134101</v>
      </c>
      <c r="O132" s="87">
        <f>IF(O44=0,0,1000000*O44/TrRoad_act!O75)</f>
        <v>1361.3381564185872</v>
      </c>
      <c r="P132" s="87">
        <f>IF(P44=0,0,1000000*P44/TrRoad_act!P75)</f>
        <v>1341.3174253650052</v>
      </c>
      <c r="Q132" s="87">
        <f>IF(Q44=0,0,1000000*Q44/TrRoad_act!Q75)</f>
        <v>1332.7451244293745</v>
      </c>
      <c r="R132" s="87">
        <f>IF(R44=0,0,1000000*R44/TrRoad_act!R75)</f>
        <v>1275.565456979323</v>
      </c>
      <c r="S132" s="87">
        <f>IF(S44=0,0,1000000*S44/TrRoad_act!S75)</f>
        <v>1206.4099693058813</v>
      </c>
      <c r="T132" s="87">
        <f>IF(T44=0,0,1000000*T44/TrRoad_act!T75)</f>
        <v>1139.6555477795043</v>
      </c>
      <c r="U132" s="87">
        <f>IF(U44=0,0,1000000*U44/TrRoad_act!U75)</f>
        <v>1109.9862911429407</v>
      </c>
      <c r="V132" s="87">
        <f>IF(V44=0,0,1000000*V44/TrRoad_act!V75)</f>
        <v>1073.603545035679</v>
      </c>
      <c r="W132" s="87">
        <f>IF(W44=0,0,1000000*W44/TrRoad_act!W75)</f>
        <v>1042.9344005477265</v>
      </c>
      <c r="DA132" s="171" t="s">
        <v>730</v>
      </c>
    </row>
    <row r="133" spans="1:105" ht="11.45" customHeight="1" x14ac:dyDescent="0.25">
      <c r="A133" s="111" t="s">
        <v>111</v>
      </c>
      <c r="B133" s="87">
        <f>IF(B46=0,0,1000000*B46/TrRoad_act!B76)</f>
        <v>1666.9793321201757</v>
      </c>
      <c r="C133" s="87">
        <f>IF(C46=0,0,1000000*C46/TrRoad_act!C76)</f>
        <v>1660.1811759995182</v>
      </c>
      <c r="D133" s="87">
        <f>IF(D46=0,0,1000000*D46/TrRoad_act!D76)</f>
        <v>1782.7750451432776</v>
      </c>
      <c r="E133" s="87">
        <f>IF(E46=0,0,1000000*E46/TrRoad_act!E76)</f>
        <v>1742.9089334181747</v>
      </c>
      <c r="F133" s="87">
        <f>IF(F46=0,0,1000000*F46/TrRoad_act!F76)</f>
        <v>1686.6748206041389</v>
      </c>
      <c r="G133" s="87">
        <f>IF(G46=0,0,1000000*G46/TrRoad_act!G76)</f>
        <v>1672.4549262022695</v>
      </c>
      <c r="H133" s="87">
        <f>IF(H46=0,0,1000000*H46/TrRoad_act!H76)</f>
        <v>1655.0277498022858</v>
      </c>
      <c r="I133" s="87">
        <f>IF(I46=0,0,1000000*I46/TrRoad_act!I76)</f>
        <v>1635.0263970032233</v>
      </c>
      <c r="J133" s="87">
        <f>IF(J46=0,0,1000000*J46/TrRoad_act!J76)</f>
        <v>1559.6673430147132</v>
      </c>
      <c r="K133" s="87">
        <f>IF(K46=0,0,1000000*K46/TrRoad_act!K76)</f>
        <v>1502.7142395881508</v>
      </c>
      <c r="L133" s="87">
        <f>IF(L46=0,0,1000000*L46/TrRoad_act!L76)</f>
        <v>1465.053456533901</v>
      </c>
      <c r="M133" s="87">
        <f>IF(M46=0,0,1000000*M46/TrRoad_act!M76)</f>
        <v>1433.587565185245</v>
      </c>
      <c r="N133" s="87">
        <f>IF(N46=0,0,1000000*N46/TrRoad_act!N76)</f>
        <v>1379.7080206001758</v>
      </c>
      <c r="O133" s="87">
        <f>IF(O46=0,0,1000000*O46/TrRoad_act!O76)</f>
        <v>1366.2063188459831</v>
      </c>
      <c r="P133" s="87">
        <f>IF(P46=0,0,1000000*P46/TrRoad_act!P76)</f>
        <v>1389.8706123107327</v>
      </c>
      <c r="Q133" s="87">
        <f>IF(Q46=0,0,1000000*Q46/TrRoad_act!Q76)</f>
        <v>1394.3538294343521</v>
      </c>
      <c r="R133" s="87">
        <f>IF(R46=0,0,1000000*R46/TrRoad_act!R76)</f>
        <v>1377.8855725711226</v>
      </c>
      <c r="S133" s="87">
        <f>IF(S46=0,0,1000000*S46/TrRoad_act!S76)</f>
        <v>1331.917965702263</v>
      </c>
      <c r="T133" s="87">
        <f>IF(T46=0,0,1000000*T46/TrRoad_act!T76)</f>
        <v>1297.106349653847</v>
      </c>
      <c r="U133" s="87">
        <f>IF(U46=0,0,1000000*U46/TrRoad_act!U76)</f>
        <v>1300.3194379551833</v>
      </c>
      <c r="V133" s="87">
        <f>IF(V46=0,0,1000000*V46/TrRoad_act!V76)</f>
        <v>1284.3745330381796</v>
      </c>
      <c r="W133" s="87">
        <f>IF(W46=0,0,1000000*W46/TrRoad_act!W76)</f>
        <v>1285.5821620514484</v>
      </c>
      <c r="DA133" s="171" t="s">
        <v>731</v>
      </c>
    </row>
    <row r="134" spans="1:105" ht="11.45" customHeight="1" x14ac:dyDescent="0.25">
      <c r="A134" s="111" t="s">
        <v>112</v>
      </c>
      <c r="B134" s="87">
        <f>IF(B48=0,0,1000000*B48/TrRoad_act!B77)</f>
        <v>0</v>
      </c>
      <c r="C134" s="87">
        <f>IF(C48=0,0,1000000*C48/TrRoad_act!C77)</f>
        <v>0</v>
      </c>
      <c r="D134" s="87">
        <f>IF(D48=0,0,1000000*D48/TrRoad_act!D77)</f>
        <v>0</v>
      </c>
      <c r="E134" s="87">
        <f>IF(E48=0,0,1000000*E48/TrRoad_act!E77)</f>
        <v>3636.3198163082388</v>
      </c>
      <c r="F134" s="87">
        <f>IF(F48=0,0,1000000*F48/TrRoad_act!F77)</f>
        <v>3557.2295606531061</v>
      </c>
      <c r="G134" s="87">
        <f>IF(G48=0,0,1000000*G48/TrRoad_act!G77)</f>
        <v>3628.5018474509761</v>
      </c>
      <c r="H134" s="87">
        <f>IF(H48=0,0,1000000*H48/TrRoad_act!H77)</f>
        <v>3699.0514218326753</v>
      </c>
      <c r="I134" s="87">
        <f>IF(I48=0,0,1000000*I48/TrRoad_act!I77)</f>
        <v>3718.7399855244885</v>
      </c>
      <c r="J134" s="87">
        <f>IF(J48=0,0,1000000*J48/TrRoad_act!J77)</f>
        <v>3551.402376120498</v>
      </c>
      <c r="K134" s="87">
        <f>IF(K48=0,0,1000000*K48/TrRoad_act!K77)</f>
        <v>3412.1657037272912</v>
      </c>
      <c r="L134" s="87">
        <f>IF(L48=0,0,1000000*L48/TrRoad_act!L77)</f>
        <v>3316.768968462482</v>
      </c>
      <c r="M134" s="87">
        <f>IF(M48=0,0,1000000*M48/TrRoad_act!M77)</f>
        <v>3253.075106221926</v>
      </c>
      <c r="N134" s="87">
        <f>IF(N48=0,0,1000000*N48/TrRoad_act!N77)</f>
        <v>3107.1076184026415</v>
      </c>
      <c r="O134" s="87">
        <f>IF(O48=0,0,1000000*O48/TrRoad_act!O77)</f>
        <v>2984.6269697048451</v>
      </c>
      <c r="P134" s="87">
        <f>IF(P48=0,0,1000000*P48/TrRoad_act!P77)</f>
        <v>2884.0776330601175</v>
      </c>
      <c r="Q134" s="87">
        <f>IF(Q48=0,0,1000000*Q48/TrRoad_act!Q77)</f>
        <v>2886.0078274394273</v>
      </c>
      <c r="R134" s="87">
        <f>IF(R48=0,0,1000000*R48/TrRoad_act!R77)</f>
        <v>3036.0905509399331</v>
      </c>
      <c r="S134" s="87">
        <f>IF(S48=0,0,1000000*S48/TrRoad_act!S77)</f>
        <v>2901.0055554087207</v>
      </c>
      <c r="T134" s="87">
        <f>IF(T48=0,0,1000000*T48/TrRoad_act!T77)</f>
        <v>2790.4337239947808</v>
      </c>
      <c r="U134" s="87">
        <f>IF(U48=0,0,1000000*U48/TrRoad_act!U77)</f>
        <v>2740.8422158327735</v>
      </c>
      <c r="V134" s="87">
        <f>IF(V48=0,0,1000000*V48/TrRoad_act!V77)</f>
        <v>2583.9960432171802</v>
      </c>
      <c r="W134" s="87">
        <f>IF(W48=0,0,1000000*W48/TrRoad_act!W77)</f>
        <v>2421.1810267203532</v>
      </c>
      <c r="DA134" s="171" t="s">
        <v>732</v>
      </c>
    </row>
    <row r="135" spans="1:105" ht="11.45" customHeight="1" x14ac:dyDescent="0.25">
      <c r="A135" s="111" t="s">
        <v>113</v>
      </c>
      <c r="B135" s="87">
        <f>IF(B49=0,0,1000000*B49/TrRoad_act!B78)</f>
        <v>0</v>
      </c>
      <c r="C135" s="87">
        <f>IF(C49=0,0,1000000*C49/TrRoad_act!C78)</f>
        <v>0</v>
      </c>
      <c r="D135" s="87">
        <f>IF(D49=0,0,1000000*D49/TrRoad_act!D78)</f>
        <v>0</v>
      </c>
      <c r="E135" s="87">
        <f>IF(E49=0,0,1000000*E49/TrRoad_act!E78)</f>
        <v>0</v>
      </c>
      <c r="F135" s="87">
        <f>IF(F49=0,0,1000000*F49/TrRoad_act!F78)</f>
        <v>0</v>
      </c>
      <c r="G135" s="87">
        <f>IF(G49=0,0,1000000*G49/TrRoad_act!G78)</f>
        <v>0</v>
      </c>
      <c r="H135" s="87">
        <f>IF(H49=0,0,1000000*H49/TrRoad_act!H78)</f>
        <v>1454.2257021683877</v>
      </c>
      <c r="I135" s="87">
        <f>IF(I49=0,0,1000000*I49/TrRoad_act!I78)</f>
        <v>1484.5202391913576</v>
      </c>
      <c r="J135" s="87">
        <f>IF(J49=0,0,1000000*J49/TrRoad_act!J78)</f>
        <v>1404.1853107311483</v>
      </c>
      <c r="K135" s="87">
        <f>IF(K49=0,0,1000000*K49/TrRoad_act!K78)</f>
        <v>1343.0671304681402</v>
      </c>
      <c r="L135" s="87">
        <f>IF(L49=0,0,1000000*L49/TrRoad_act!L78)</f>
        <v>1276.2092125315728</v>
      </c>
      <c r="M135" s="87">
        <f>IF(M49=0,0,1000000*M49/TrRoad_act!M78)</f>
        <v>1246.2997743322728</v>
      </c>
      <c r="N135" s="87">
        <f>IF(N49=0,0,1000000*N49/TrRoad_act!N78)</f>
        <v>1210.9849062311425</v>
      </c>
      <c r="O135" s="87">
        <f>IF(O49=0,0,1000000*O49/TrRoad_act!O78)</f>
        <v>1212.69051206873</v>
      </c>
      <c r="P135" s="87">
        <f>IF(P49=0,0,1000000*P49/TrRoad_act!P78)</f>
        <v>1194.5965473147328</v>
      </c>
      <c r="Q135" s="87">
        <f>IF(Q49=0,0,1000000*Q49/TrRoad_act!Q78)</f>
        <v>1174.0594202482407</v>
      </c>
      <c r="R135" s="87">
        <f>IF(R49=0,0,1000000*R49/TrRoad_act!R78)</f>
        <v>1059.1687779929107</v>
      </c>
      <c r="S135" s="87">
        <f>IF(S49=0,0,1000000*S49/TrRoad_act!S78)</f>
        <v>1008.0865189750677</v>
      </c>
      <c r="T135" s="87">
        <f>IF(T49=0,0,1000000*T49/TrRoad_act!T78)</f>
        <v>967.276627529591</v>
      </c>
      <c r="U135" s="87">
        <f>IF(U49=0,0,1000000*U49/TrRoad_act!U78)</f>
        <v>953.13677990797828</v>
      </c>
      <c r="V135" s="87">
        <f>IF(V49=0,0,1000000*V49/TrRoad_act!V78)</f>
        <v>913.10859293555484</v>
      </c>
      <c r="W135" s="87">
        <f>IF(W49=0,0,1000000*W49/TrRoad_act!W78)</f>
        <v>892.17302072720486</v>
      </c>
      <c r="DA135" s="171" t="s">
        <v>733</v>
      </c>
    </row>
    <row r="136" spans="1:105" ht="11.45" customHeight="1" x14ac:dyDescent="0.25">
      <c r="A136" s="111" t="s">
        <v>115</v>
      </c>
      <c r="B136" s="87">
        <f>IF(B51=0,0,1000000*B51/TrRoad_act!B79)</f>
        <v>263.42833155465536</v>
      </c>
      <c r="C136" s="87">
        <f>IF(C51=0,0,1000000*C51/TrRoad_act!C79)</f>
        <v>253.39370569971811</v>
      </c>
      <c r="D136" s="87">
        <f>IF(D51=0,0,1000000*D51/TrRoad_act!D79)</f>
        <v>252.93731371124875</v>
      </c>
      <c r="E136" s="87">
        <f>IF(E51=0,0,1000000*E51/TrRoad_act!E79)</f>
        <v>252.67633641424504</v>
      </c>
      <c r="F136" s="87">
        <f>IF(F51=0,0,1000000*F51/TrRoad_act!F79)</f>
        <v>252.07407922251258</v>
      </c>
      <c r="G136" s="87">
        <f>IF(G51=0,0,1000000*G51/TrRoad_act!G79)</f>
        <v>251.45996659330521</v>
      </c>
      <c r="H136" s="87">
        <f>IF(H51=0,0,1000000*H51/TrRoad_act!H79)</f>
        <v>252.11796702290994</v>
      </c>
      <c r="I136" s="87">
        <f>IF(I51=0,0,1000000*I51/TrRoad_act!I79)</f>
        <v>239.2211978173371</v>
      </c>
      <c r="J136" s="87">
        <f>IF(J51=0,0,1000000*J51/TrRoad_act!J79)</f>
        <v>233.48952236972568</v>
      </c>
      <c r="K136" s="87">
        <f>IF(K51=0,0,1000000*K51/TrRoad_act!K79)</f>
        <v>222.81395754338726</v>
      </c>
      <c r="L136" s="87">
        <f>IF(L51=0,0,1000000*L51/TrRoad_act!L79)</f>
        <v>216.7166248666756</v>
      </c>
      <c r="M136" s="87">
        <f>IF(M51=0,0,1000000*M51/TrRoad_act!M79)</f>
        <v>213.49055961307496</v>
      </c>
      <c r="N136" s="87">
        <f>IF(N51=0,0,1000000*N51/TrRoad_act!N79)</f>
        <v>211.47190981365245</v>
      </c>
      <c r="O136" s="87">
        <f>IF(O51=0,0,1000000*O51/TrRoad_act!O79)</f>
        <v>212.77818574087601</v>
      </c>
      <c r="P136" s="87">
        <f>IF(P51=0,0,1000000*P51/TrRoad_act!P79)</f>
        <v>214.6588137694103</v>
      </c>
      <c r="Q136" s="87">
        <f>IF(Q51=0,0,1000000*Q51/TrRoad_act!Q79)</f>
        <v>217.35576528310361</v>
      </c>
      <c r="R136" s="87">
        <f>IF(R51=0,0,1000000*R51/TrRoad_act!R79)</f>
        <v>221.39745003056393</v>
      </c>
      <c r="S136" s="87">
        <f>IF(S51=0,0,1000000*S51/TrRoad_act!S79)</f>
        <v>223.36709870944631</v>
      </c>
      <c r="T136" s="87">
        <f>IF(T51=0,0,1000000*T51/TrRoad_act!T79)</f>
        <v>227.71881102343394</v>
      </c>
      <c r="U136" s="87">
        <f>IF(U51=0,0,1000000*U51/TrRoad_act!U79)</f>
        <v>236.31747335415523</v>
      </c>
      <c r="V136" s="87">
        <f>IF(V51=0,0,1000000*V51/TrRoad_act!V79)</f>
        <v>255.65109270566444</v>
      </c>
      <c r="W136" s="87">
        <f>IF(W51=0,0,1000000*W51/TrRoad_act!W79)</f>
        <v>302.03362592338266</v>
      </c>
      <c r="DA136" s="171" t="s">
        <v>734</v>
      </c>
    </row>
    <row r="137" spans="1:105" ht="11.45" customHeight="1" x14ac:dyDescent="0.25">
      <c r="A137" s="109" t="s">
        <v>158</v>
      </c>
      <c r="B137" s="116">
        <f>IF(B52=0,0,1000000*B52/TrRoad_act!B80)</f>
        <v>16996.459156957084</v>
      </c>
      <c r="C137" s="116">
        <f>IF(C52=0,0,1000000*C52/TrRoad_act!C80)</f>
        <v>20429.208634449868</v>
      </c>
      <c r="D137" s="116">
        <f>IF(D52=0,0,1000000*D52/TrRoad_act!D80)</f>
        <v>23463.308734254177</v>
      </c>
      <c r="E137" s="116">
        <f>IF(E52=0,0,1000000*E52/TrRoad_act!E80)</f>
        <v>25840.870153966618</v>
      </c>
      <c r="F137" s="116">
        <f>IF(F52=0,0,1000000*F52/TrRoad_act!F80)</f>
        <v>25400.688263402513</v>
      </c>
      <c r="G137" s="116">
        <f>IF(G52=0,0,1000000*G52/TrRoad_act!G80)</f>
        <v>26987.120313031872</v>
      </c>
      <c r="H137" s="116">
        <f>IF(H52=0,0,1000000*H52/TrRoad_act!H80)</f>
        <v>25355.962816580228</v>
      </c>
      <c r="I137" s="116">
        <f>IF(I52=0,0,1000000*I52/TrRoad_act!I80)</f>
        <v>24530.018319542822</v>
      </c>
      <c r="J137" s="116">
        <f>IF(J52=0,0,1000000*J52/TrRoad_act!J80)</f>
        <v>22914.294691263454</v>
      </c>
      <c r="K137" s="116">
        <f>IF(K52=0,0,1000000*K52/TrRoad_act!K80)</f>
        <v>22240.35091801154</v>
      </c>
      <c r="L137" s="116">
        <f>IF(L52=0,0,1000000*L52/TrRoad_act!L80)</f>
        <v>24312.352795289818</v>
      </c>
      <c r="M137" s="116">
        <f>IF(M52=0,0,1000000*M52/TrRoad_act!M80)</f>
        <v>21992.752372616589</v>
      </c>
      <c r="N137" s="116">
        <f>IF(N52=0,0,1000000*N52/TrRoad_act!N80)</f>
        <v>22548.386838139257</v>
      </c>
      <c r="O137" s="116">
        <f>IF(O52=0,0,1000000*O52/TrRoad_act!O80)</f>
        <v>27904.329204104244</v>
      </c>
      <c r="P137" s="116">
        <f>IF(P52=0,0,1000000*P52/TrRoad_act!P80)</f>
        <v>26777.922098581428</v>
      </c>
      <c r="Q137" s="116">
        <f>IF(Q52=0,0,1000000*Q52/TrRoad_act!Q80)</f>
        <v>27335.423497120977</v>
      </c>
      <c r="R137" s="116">
        <f>IF(R52=0,0,1000000*R52/TrRoad_act!R80)</f>
        <v>27549.687729770918</v>
      </c>
      <c r="S137" s="116">
        <f>IF(S52=0,0,1000000*S52/TrRoad_act!S80)</f>
        <v>27272.468290365236</v>
      </c>
      <c r="T137" s="116">
        <f>IF(T52=0,0,1000000*T52/TrRoad_act!T80)</f>
        <v>28231.415404512856</v>
      </c>
      <c r="U137" s="116">
        <f>IF(U52=0,0,1000000*U52/TrRoad_act!U80)</f>
        <v>29205.080770832228</v>
      </c>
      <c r="V137" s="116">
        <f>IF(V52=0,0,1000000*V52/TrRoad_act!V80)</f>
        <v>25507.10177624513</v>
      </c>
      <c r="W137" s="116">
        <f>IF(W52=0,0,1000000*W52/TrRoad_act!W80)</f>
        <v>26382.529765510873</v>
      </c>
      <c r="DA137" s="176" t="s">
        <v>735</v>
      </c>
    </row>
    <row r="138" spans="1:105" ht="11.45" customHeight="1" x14ac:dyDescent="0.25">
      <c r="A138" s="128" t="s">
        <v>27</v>
      </c>
      <c r="B138" s="101">
        <f>IF(B53=0,0,1000000*B53/TrRoad_act!B81)</f>
        <v>8138.1789743616</v>
      </c>
      <c r="C138" s="101">
        <f>IF(C53=0,0,1000000*C53/TrRoad_act!C81)</f>
        <v>8802.7269284952381</v>
      </c>
      <c r="D138" s="101">
        <f>IF(D53=0,0,1000000*D53/TrRoad_act!D81)</f>
        <v>9302.2141499515656</v>
      </c>
      <c r="E138" s="101">
        <f>IF(E53=0,0,1000000*E53/TrRoad_act!E81)</f>
        <v>9863.6154806655341</v>
      </c>
      <c r="F138" s="101">
        <f>IF(F53=0,0,1000000*F53/TrRoad_act!F81)</f>
        <v>9321.9229609925278</v>
      </c>
      <c r="G138" s="101">
        <f>IF(G53=0,0,1000000*G53/TrRoad_act!G81)</f>
        <v>9488.7450092807485</v>
      </c>
      <c r="H138" s="101">
        <f>IF(H53=0,0,1000000*H53/TrRoad_act!H81)</f>
        <v>10668.54305016706</v>
      </c>
      <c r="I138" s="101">
        <f>IF(I53=0,0,1000000*I53/TrRoad_act!I81)</f>
        <v>10505.805159883421</v>
      </c>
      <c r="J138" s="101">
        <f>IF(J53=0,0,1000000*J53/TrRoad_act!J81)</f>
        <v>10024.261408757293</v>
      </c>
      <c r="K138" s="101">
        <f>IF(K53=0,0,1000000*K53/TrRoad_act!K81)</f>
        <v>9405.9869394379493</v>
      </c>
      <c r="L138" s="101">
        <f>IF(L53=0,0,1000000*L53/TrRoad_act!L81)</f>
        <v>9583.928684473658</v>
      </c>
      <c r="M138" s="101">
        <f>IF(M53=0,0,1000000*M53/TrRoad_act!M81)</f>
        <v>9516.9777589987843</v>
      </c>
      <c r="N138" s="101">
        <f>IF(N53=0,0,1000000*N53/TrRoad_act!N81)</f>
        <v>9389.0585074061128</v>
      </c>
      <c r="O138" s="101">
        <f>IF(O53=0,0,1000000*O53/TrRoad_act!O81)</f>
        <v>10520.540577929865</v>
      </c>
      <c r="P138" s="101">
        <f>IF(P53=0,0,1000000*P53/TrRoad_act!P81)</f>
        <v>10776.671209588196</v>
      </c>
      <c r="Q138" s="101">
        <f>IF(Q53=0,0,1000000*Q53/TrRoad_act!Q81)</f>
        <v>11363.002081906878</v>
      </c>
      <c r="R138" s="101">
        <f>IF(R53=0,0,1000000*R53/TrRoad_act!R81)</f>
        <v>11664.873445986419</v>
      </c>
      <c r="S138" s="101">
        <f>IF(S53=0,0,1000000*S53/TrRoad_act!S81)</f>
        <v>11509.903618477316</v>
      </c>
      <c r="T138" s="101">
        <f>IF(T53=0,0,1000000*T53/TrRoad_act!T81)</f>
        <v>11413.704665411951</v>
      </c>
      <c r="U138" s="101">
        <f>IF(U53=0,0,1000000*U53/TrRoad_act!U81)</f>
        <v>11446.871713397253</v>
      </c>
      <c r="V138" s="101">
        <f>IF(V53=0,0,1000000*V53/TrRoad_act!V81)</f>
        <v>10532.579707625369</v>
      </c>
      <c r="W138" s="101">
        <f>IF(W53=0,0,1000000*W53/TrRoad_act!W81)</f>
        <v>10922.733424244949</v>
      </c>
      <c r="DA138" s="175" t="s">
        <v>736</v>
      </c>
    </row>
    <row r="139" spans="1:105" ht="11.45" customHeight="1" x14ac:dyDescent="0.25">
      <c r="A139" s="138" t="s">
        <v>116</v>
      </c>
      <c r="B139" s="88">
        <f>IF(B55=0,0,1000000*B55/TrRoad_act!B82)</f>
        <v>71485.626622799886</v>
      </c>
      <c r="C139" s="88">
        <f>IF(C55=0,0,1000000*C55/TrRoad_act!C82)</f>
        <v>84472.020352491338</v>
      </c>
      <c r="D139" s="88">
        <f>IF(D55=0,0,1000000*D55/TrRoad_act!D82)</f>
        <v>95486.016029882579</v>
      </c>
      <c r="E139" s="88">
        <f>IF(E55=0,0,1000000*E55/TrRoad_act!E82)</f>
        <v>104391.70321490984</v>
      </c>
      <c r="F139" s="88">
        <f>IF(F55=0,0,1000000*F55/TrRoad_act!F82)</f>
        <v>91679.857344670643</v>
      </c>
      <c r="G139" s="88">
        <f>IF(G55=0,0,1000000*G55/TrRoad_act!G82)</f>
        <v>95727.144236272681</v>
      </c>
      <c r="H139" s="88">
        <f>IF(H55=0,0,1000000*H55/TrRoad_act!H82)</f>
        <v>79017.50900688504</v>
      </c>
      <c r="I139" s="88">
        <f>IF(I55=0,0,1000000*I55/TrRoad_act!I82)</f>
        <v>70171.622125291193</v>
      </c>
      <c r="J139" s="88">
        <f>IF(J55=0,0,1000000*J55/TrRoad_act!J82)</f>
        <v>60493.655208857876</v>
      </c>
      <c r="K139" s="88">
        <f>IF(K55=0,0,1000000*K55/TrRoad_act!K82)</f>
        <v>66928.215879518786</v>
      </c>
      <c r="L139" s="88">
        <f>IF(L55=0,0,1000000*L55/TrRoad_act!L82)</f>
        <v>73085.896151691617</v>
      </c>
      <c r="M139" s="88">
        <f>IF(M55=0,0,1000000*M55/TrRoad_act!M82)</f>
        <v>62074.833330957626</v>
      </c>
      <c r="N139" s="88">
        <f>IF(N55=0,0,1000000*N55/TrRoad_act!N82)</f>
        <v>66018.601685609712</v>
      </c>
      <c r="O139" s="88">
        <f>IF(O55=0,0,1000000*O55/TrRoad_act!O82)</f>
        <v>79439.996392747838</v>
      </c>
      <c r="P139" s="88">
        <f>IF(P55=0,0,1000000*P55/TrRoad_act!P82)</f>
        <v>73408.818285821792</v>
      </c>
      <c r="Q139" s="88">
        <f>IF(Q55=0,0,1000000*Q55/TrRoad_act!Q82)</f>
        <v>71673.318777167893</v>
      </c>
      <c r="R139" s="88">
        <f>IF(R55=0,0,1000000*R55/TrRoad_act!R82)</f>
        <v>70895.11396659592</v>
      </c>
      <c r="S139" s="88">
        <f>IF(S55=0,0,1000000*S55/TrRoad_act!S82)</f>
        <v>68053.390149746629</v>
      </c>
      <c r="T139" s="88">
        <f>IF(T55=0,0,1000000*T55/TrRoad_act!T82)</f>
        <v>72834.549347501001</v>
      </c>
      <c r="U139" s="88">
        <f>IF(U55=0,0,1000000*U55/TrRoad_act!U82)</f>
        <v>75969.269147229352</v>
      </c>
      <c r="V139" s="88">
        <f>IF(V55=0,0,1000000*V55/TrRoad_act!V82)</f>
        <v>64447.245887076577</v>
      </c>
      <c r="W139" s="88">
        <f>IF(W55=0,0,1000000*W55/TrRoad_act!W82)</f>
        <v>65031.150232663902</v>
      </c>
      <c r="DA139" s="178" t="s">
        <v>737</v>
      </c>
    </row>
    <row r="140" spans="1:105" x14ac:dyDescent="0.25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DA140" s="171"/>
    </row>
    <row r="141" spans="1:105" ht="11.45" customHeight="1" x14ac:dyDescent="0.25">
      <c r="A141" s="53" t="s">
        <v>40</v>
      </c>
      <c r="B141" s="76">
        <f t="shared" ref="B141:K141" si="37">IF(B17=0,0,B17/B$17)</f>
        <v>1</v>
      </c>
      <c r="C141" s="76">
        <f t="shared" si="37"/>
        <v>1</v>
      </c>
      <c r="D141" s="76">
        <f t="shared" si="37"/>
        <v>1</v>
      </c>
      <c r="E141" s="76">
        <f t="shared" si="37"/>
        <v>1</v>
      </c>
      <c r="F141" s="76">
        <f t="shared" si="37"/>
        <v>1</v>
      </c>
      <c r="G141" s="76">
        <f t="shared" si="37"/>
        <v>1</v>
      </c>
      <c r="H141" s="76">
        <f t="shared" si="37"/>
        <v>1</v>
      </c>
      <c r="I141" s="76">
        <f t="shared" si="37"/>
        <v>1</v>
      </c>
      <c r="J141" s="76">
        <f t="shared" si="37"/>
        <v>1</v>
      </c>
      <c r="K141" s="76">
        <f t="shared" si="37"/>
        <v>1</v>
      </c>
      <c r="L141" s="76">
        <f t="shared" ref="L141" si="38">IF(L17=0,0,L17/L$17)</f>
        <v>1</v>
      </c>
      <c r="M141" s="76">
        <f t="shared" ref="M141:V141" si="39">IF(M17=0,0,M17/M$17)</f>
        <v>1</v>
      </c>
      <c r="N141" s="76">
        <f t="shared" si="39"/>
        <v>1</v>
      </c>
      <c r="O141" s="76">
        <f t="shared" si="39"/>
        <v>1</v>
      </c>
      <c r="P141" s="76">
        <f t="shared" si="39"/>
        <v>1</v>
      </c>
      <c r="Q141" s="76">
        <f t="shared" si="39"/>
        <v>1</v>
      </c>
      <c r="R141" s="76">
        <f t="shared" si="39"/>
        <v>1</v>
      </c>
      <c r="S141" s="76">
        <f t="shared" si="39"/>
        <v>1</v>
      </c>
      <c r="T141" s="76">
        <f t="shared" si="39"/>
        <v>1</v>
      </c>
      <c r="U141" s="76">
        <f t="shared" si="39"/>
        <v>1</v>
      </c>
      <c r="V141" s="76">
        <f t="shared" si="39"/>
        <v>1</v>
      </c>
      <c r="W141" s="76">
        <f t="shared" ref="W141" si="40">IF(W17=0,0,W17/W$17)</f>
        <v>1</v>
      </c>
      <c r="DA141" s="183"/>
    </row>
    <row r="142" spans="1:105" ht="11.45" customHeight="1" x14ac:dyDescent="0.25">
      <c r="A142" s="27" t="s">
        <v>33</v>
      </c>
      <c r="B142" s="46">
        <f t="shared" ref="B142:K142" si="41">IF(B18=0,0,B18/B$17)</f>
        <v>0.6825167009624683</v>
      </c>
      <c r="C142" s="46">
        <f t="shared" si="41"/>
        <v>0.66359670641583757</v>
      </c>
      <c r="D142" s="46">
        <f t="shared" si="41"/>
        <v>0.66364758279032343</v>
      </c>
      <c r="E142" s="46">
        <f t="shared" si="41"/>
        <v>0.66106257719081363</v>
      </c>
      <c r="F142" s="46">
        <f t="shared" si="41"/>
        <v>0.6639152128039878</v>
      </c>
      <c r="G142" s="46">
        <f t="shared" si="41"/>
        <v>0.65899380460197166</v>
      </c>
      <c r="H142" s="46">
        <f t="shared" si="41"/>
        <v>0.66878597445434917</v>
      </c>
      <c r="I142" s="46">
        <f t="shared" si="41"/>
        <v>0.67253660346660893</v>
      </c>
      <c r="J142" s="46">
        <f t="shared" si="41"/>
        <v>0.66999287026931187</v>
      </c>
      <c r="K142" s="46">
        <f t="shared" si="41"/>
        <v>0.67751500340728699</v>
      </c>
      <c r="L142" s="46">
        <f t="shared" ref="L142" si="42">IF(L18=0,0,L18/L$17)</f>
        <v>0.66363530682516336</v>
      </c>
      <c r="M142" s="46">
        <f t="shared" ref="M142:V142" si="43">IF(M18=0,0,M18/M$17)</f>
        <v>0.67337473564781447</v>
      </c>
      <c r="N142" s="46">
        <f t="shared" si="43"/>
        <v>0.66720801405893204</v>
      </c>
      <c r="O142" s="46">
        <f t="shared" si="43"/>
        <v>0.63991570956842247</v>
      </c>
      <c r="P142" s="46">
        <f t="shared" si="43"/>
        <v>0.64943011174405263</v>
      </c>
      <c r="Q142" s="46">
        <f t="shared" si="43"/>
        <v>0.64721565524417668</v>
      </c>
      <c r="R142" s="46">
        <f t="shared" si="43"/>
        <v>0.64518787072615225</v>
      </c>
      <c r="S142" s="46">
        <f t="shared" si="43"/>
        <v>0.64029608981054686</v>
      </c>
      <c r="T142" s="46">
        <f t="shared" si="43"/>
        <v>0.62801287267711292</v>
      </c>
      <c r="U142" s="46">
        <f t="shared" si="43"/>
        <v>0.61199780739354837</v>
      </c>
      <c r="V142" s="46">
        <f t="shared" si="43"/>
        <v>0.59886479100659618</v>
      </c>
      <c r="W142" s="46">
        <f t="shared" ref="W142" si="44">IF(W18=0,0,W18/W$17)</f>
        <v>0.59216982574676524</v>
      </c>
      <c r="DA142" s="211"/>
    </row>
    <row r="143" spans="1:105" ht="11.45" customHeight="1" x14ac:dyDescent="0.25">
      <c r="A143" s="153" t="s">
        <v>180</v>
      </c>
      <c r="B143" s="154">
        <f t="shared" ref="B143:K143" si="45">IF(B19=0,0,B19/B$17)</f>
        <v>5.6056259513949398E-3</v>
      </c>
      <c r="C143" s="154">
        <f t="shared" si="45"/>
        <v>5.3525176604314996E-3</v>
      </c>
      <c r="D143" s="154">
        <f t="shared" si="45"/>
        <v>4.9746365499725468E-3</v>
      </c>
      <c r="E143" s="154">
        <f t="shared" si="45"/>
        <v>4.7868001271367845E-3</v>
      </c>
      <c r="F143" s="154">
        <f t="shared" si="45"/>
        <v>4.9431637099674819E-3</v>
      </c>
      <c r="G143" s="154">
        <f t="shared" si="45"/>
        <v>4.8876684859737538E-3</v>
      </c>
      <c r="H143" s="154">
        <f t="shared" si="45"/>
        <v>5.1560899375371078E-3</v>
      </c>
      <c r="I143" s="154">
        <f t="shared" si="45"/>
        <v>5.2593909826747498E-3</v>
      </c>
      <c r="J143" s="154">
        <f t="shared" si="45"/>
        <v>5.6616959521533002E-3</v>
      </c>
      <c r="K143" s="154">
        <f t="shared" si="45"/>
        <v>6.0438859336109443E-3</v>
      </c>
      <c r="L143" s="154">
        <f t="shared" ref="L143" si="46">IF(L19=0,0,L19/L$17)</f>
        <v>6.0116956284731104E-3</v>
      </c>
      <c r="M143" s="154">
        <f t="shared" ref="M143:V143" si="47">IF(M19=0,0,M19/M$17)</f>
        <v>6.4814133793561213E-3</v>
      </c>
      <c r="N143" s="154">
        <f t="shared" si="47"/>
        <v>6.7621932034890161E-3</v>
      </c>
      <c r="O143" s="154">
        <f t="shared" si="47"/>
        <v>6.5755874329463193E-3</v>
      </c>
      <c r="P143" s="154">
        <f t="shared" si="47"/>
        <v>6.8394925119978399E-3</v>
      </c>
      <c r="Q143" s="154">
        <f t="shared" si="47"/>
        <v>6.8607842128285941E-3</v>
      </c>
      <c r="R143" s="154">
        <f t="shared" si="47"/>
        <v>6.8722176489291907E-3</v>
      </c>
      <c r="S143" s="154">
        <f t="shared" si="47"/>
        <v>6.6837618002732746E-3</v>
      </c>
      <c r="T143" s="154">
        <f t="shared" si="47"/>
        <v>6.2946200889663394E-3</v>
      </c>
      <c r="U143" s="154">
        <f t="shared" si="47"/>
        <v>6.6753281165562658E-3</v>
      </c>
      <c r="V143" s="154">
        <f t="shared" si="47"/>
        <v>6.8937209424337863E-3</v>
      </c>
      <c r="W143" s="154">
        <f t="shared" ref="W143" si="48">IF(W19=0,0,W19/W$17)</f>
        <v>6.3177665970265652E-3</v>
      </c>
      <c r="DA143" s="212"/>
    </row>
    <row r="144" spans="1:105" ht="11.45" customHeight="1" x14ac:dyDescent="0.25">
      <c r="A144" s="155" t="s">
        <v>20</v>
      </c>
      <c r="B144" s="156">
        <f t="shared" ref="B144:K144" si="49">IF(B21=0,0,B21/B$17)</f>
        <v>0.63312888798756117</v>
      </c>
      <c r="C144" s="156">
        <f t="shared" si="49"/>
        <v>0.6173590977167156</v>
      </c>
      <c r="D144" s="156">
        <f t="shared" si="49"/>
        <v>0.62055452434516067</v>
      </c>
      <c r="E144" s="156">
        <f t="shared" si="49"/>
        <v>0.61956878094889334</v>
      </c>
      <c r="F144" s="156">
        <f t="shared" si="49"/>
        <v>0.62312093729284468</v>
      </c>
      <c r="G144" s="156">
        <f t="shared" si="49"/>
        <v>0.6197121098395777</v>
      </c>
      <c r="H144" s="156">
        <f t="shared" si="49"/>
        <v>0.62900005901030254</v>
      </c>
      <c r="I144" s="156">
        <f t="shared" si="49"/>
        <v>0.63124403446063659</v>
      </c>
      <c r="J144" s="156">
        <f t="shared" si="49"/>
        <v>0.62817319722919374</v>
      </c>
      <c r="K144" s="156">
        <f t="shared" si="49"/>
        <v>0.63736145495862595</v>
      </c>
      <c r="L144" s="156">
        <f t="shared" ref="L144" si="50">IF(L21=0,0,L21/L$17)</f>
        <v>0.62185799766852912</v>
      </c>
      <c r="M144" s="156">
        <f t="shared" ref="M144:V144" si="51">IF(M21=0,0,M21/M$17)</f>
        <v>0.62991695136086923</v>
      </c>
      <c r="N144" s="156">
        <f t="shared" si="51"/>
        <v>0.62334683281442793</v>
      </c>
      <c r="O144" s="156">
        <f t="shared" si="51"/>
        <v>0.59842793120003801</v>
      </c>
      <c r="P144" s="156">
        <f t="shared" si="51"/>
        <v>0.60653815530751976</v>
      </c>
      <c r="Q144" s="156">
        <f t="shared" si="51"/>
        <v>0.6045257422989454</v>
      </c>
      <c r="R144" s="156">
        <f t="shared" si="51"/>
        <v>0.6016146045974089</v>
      </c>
      <c r="S144" s="156">
        <f t="shared" si="51"/>
        <v>0.5960714879691611</v>
      </c>
      <c r="T144" s="156">
        <f t="shared" si="51"/>
        <v>0.58597901447361733</v>
      </c>
      <c r="U144" s="156">
        <f t="shared" si="51"/>
        <v>0.56981072400800792</v>
      </c>
      <c r="V144" s="156">
        <f t="shared" si="51"/>
        <v>0.55132513765619617</v>
      </c>
      <c r="W144" s="156">
        <f t="shared" ref="W144" si="52">IF(W21=0,0,W21/W$17)</f>
        <v>0.54664591366544379</v>
      </c>
      <c r="DA144" s="213"/>
    </row>
    <row r="145" spans="1:105" ht="11.45" customHeight="1" x14ac:dyDescent="0.25">
      <c r="A145" s="157" t="s">
        <v>110</v>
      </c>
      <c r="B145" s="103">
        <f t="shared" ref="B145:K145" si="53">IF(B22=0,0,B22/B$17)</f>
        <v>0.32516834903881914</v>
      </c>
      <c r="C145" s="103">
        <f t="shared" si="53"/>
        <v>0.30503903399418353</v>
      </c>
      <c r="D145" s="103">
        <f t="shared" si="53"/>
        <v>0.30007243743935896</v>
      </c>
      <c r="E145" s="103">
        <f t="shared" si="53"/>
        <v>0.28827922974261722</v>
      </c>
      <c r="F145" s="103">
        <f t="shared" si="53"/>
        <v>0.2801065849714936</v>
      </c>
      <c r="G145" s="103">
        <f t="shared" si="53"/>
        <v>0.26342575214407277</v>
      </c>
      <c r="H145" s="103">
        <f t="shared" si="53"/>
        <v>0.25962855654880945</v>
      </c>
      <c r="I145" s="103">
        <f t="shared" si="53"/>
        <v>0.25090356540750169</v>
      </c>
      <c r="J145" s="103">
        <f t="shared" si="53"/>
        <v>0.24939103411370331</v>
      </c>
      <c r="K145" s="103">
        <f t="shared" si="53"/>
        <v>0.24397599727452834</v>
      </c>
      <c r="L145" s="103">
        <f t="shared" ref="L145" si="54">IF(L22=0,0,L22/L$17)</f>
        <v>0.23487452316248231</v>
      </c>
      <c r="M145" s="103">
        <f t="shared" ref="M145:V145" si="55">IF(M22=0,0,M22/M$17)</f>
        <v>0.2264232914003064</v>
      </c>
      <c r="N145" s="103">
        <f t="shared" si="55"/>
        <v>0.22067740772869338</v>
      </c>
      <c r="O145" s="103">
        <f t="shared" si="55"/>
        <v>0.20293643977095746</v>
      </c>
      <c r="P145" s="103">
        <f t="shared" si="55"/>
        <v>0.19920070361497358</v>
      </c>
      <c r="Q145" s="103">
        <f t="shared" si="55"/>
        <v>0.19548209384298673</v>
      </c>
      <c r="R145" s="103">
        <f t="shared" si="55"/>
        <v>0.18932036425984808</v>
      </c>
      <c r="S145" s="103">
        <f t="shared" si="55"/>
        <v>0.18511328642464581</v>
      </c>
      <c r="T145" s="103">
        <f t="shared" si="55"/>
        <v>0.18948427826671349</v>
      </c>
      <c r="U145" s="103">
        <f t="shared" si="55"/>
        <v>0.18762320991526682</v>
      </c>
      <c r="V145" s="103">
        <f t="shared" si="55"/>
        <v>0.17804065293702842</v>
      </c>
      <c r="W145" s="103">
        <f t="shared" ref="W145" si="56">IF(W22=0,0,W22/W$17)</f>
        <v>0.18003026350515156</v>
      </c>
      <c r="DA145" s="191"/>
    </row>
    <row r="146" spans="1:105" ht="11.45" customHeight="1" x14ac:dyDescent="0.25">
      <c r="A146" s="157" t="s">
        <v>111</v>
      </c>
      <c r="B146" s="103">
        <f t="shared" ref="B146:K146" si="57">IF(B24=0,0,B24/B$17)</f>
        <v>0.3051610818891265</v>
      </c>
      <c r="C146" s="103">
        <f t="shared" si="57"/>
        <v>0.30956219175159733</v>
      </c>
      <c r="D146" s="103">
        <f t="shared" si="57"/>
        <v>0.31726087603439224</v>
      </c>
      <c r="E146" s="103">
        <f t="shared" si="57"/>
        <v>0.32772395635409673</v>
      </c>
      <c r="F146" s="103">
        <f t="shared" si="57"/>
        <v>0.34011188994871083</v>
      </c>
      <c r="G146" s="103">
        <f t="shared" si="57"/>
        <v>0.3536853722806127</v>
      </c>
      <c r="H146" s="103">
        <f t="shared" si="57"/>
        <v>0.36668770916149945</v>
      </c>
      <c r="I146" s="103">
        <f t="shared" si="57"/>
        <v>0.37782913666682416</v>
      </c>
      <c r="J146" s="103">
        <f t="shared" si="57"/>
        <v>0.37586961509829225</v>
      </c>
      <c r="K146" s="103">
        <f t="shared" si="57"/>
        <v>0.39061319416509166</v>
      </c>
      <c r="L146" s="103">
        <f t="shared" ref="L146" si="58">IF(L24=0,0,L24/L$17)</f>
        <v>0.38453611834095636</v>
      </c>
      <c r="M146" s="103">
        <f t="shared" ref="M146:V146" si="59">IF(M24=0,0,M24/M$17)</f>
        <v>0.40090033581631501</v>
      </c>
      <c r="N146" s="103">
        <f t="shared" si="59"/>
        <v>0.39984448060747835</v>
      </c>
      <c r="O146" s="103">
        <f t="shared" si="59"/>
        <v>0.39292326867407829</v>
      </c>
      <c r="P146" s="103">
        <f t="shared" si="59"/>
        <v>0.40495414777118771</v>
      </c>
      <c r="Q146" s="103">
        <f t="shared" si="59"/>
        <v>0.40701847000882729</v>
      </c>
      <c r="R146" s="103">
        <f t="shared" si="59"/>
        <v>0.41026711259092308</v>
      </c>
      <c r="S146" s="103">
        <f t="shared" si="59"/>
        <v>0.4087139321462569</v>
      </c>
      <c r="T146" s="103">
        <f t="shared" si="59"/>
        <v>0.39441953403631957</v>
      </c>
      <c r="U146" s="103">
        <f t="shared" si="59"/>
        <v>0.37985297460342293</v>
      </c>
      <c r="V146" s="103">
        <f t="shared" si="59"/>
        <v>0.37041377751623789</v>
      </c>
      <c r="W146" s="103">
        <f t="shared" ref="W146" si="60">IF(W24=0,0,W24/W$17)</f>
        <v>0.36204172747949032</v>
      </c>
      <c r="DA146" s="191"/>
    </row>
    <row r="147" spans="1:105" ht="11.45" customHeight="1" x14ac:dyDescent="0.25">
      <c r="A147" s="157" t="s">
        <v>112</v>
      </c>
      <c r="B147" s="103">
        <f t="shared" ref="B147:K147" si="61">IF(B26=0,0,B26/B$17)</f>
        <v>2.7994570596154796E-3</v>
      </c>
      <c r="C147" s="103">
        <f t="shared" si="61"/>
        <v>2.7578719709346858E-3</v>
      </c>
      <c r="D147" s="103">
        <f t="shared" si="61"/>
        <v>3.2212108714095452E-3</v>
      </c>
      <c r="E147" s="103">
        <f t="shared" si="61"/>
        <v>3.5655948521794191E-3</v>
      </c>
      <c r="F147" s="103">
        <f t="shared" si="61"/>
        <v>2.9024623726401602E-3</v>
      </c>
      <c r="G147" s="103">
        <f t="shared" si="61"/>
        <v>2.6009854148923003E-3</v>
      </c>
      <c r="H147" s="103">
        <f t="shared" si="61"/>
        <v>2.6758417718144895E-3</v>
      </c>
      <c r="I147" s="103">
        <f t="shared" si="61"/>
        <v>2.4809527944140743E-3</v>
      </c>
      <c r="J147" s="103">
        <f t="shared" si="61"/>
        <v>2.768349168931821E-3</v>
      </c>
      <c r="K147" s="103">
        <f t="shared" si="61"/>
        <v>2.5903597690884882E-3</v>
      </c>
      <c r="L147" s="103">
        <f t="shared" ref="L147" si="62">IF(L26=0,0,L26/L$17)</f>
        <v>2.2300275336524776E-3</v>
      </c>
      <c r="M147" s="103">
        <f t="shared" ref="M147:V147" si="63">IF(M26=0,0,M26/M$17)</f>
        <v>2.1668274998649772E-3</v>
      </c>
      <c r="N147" s="103">
        <f t="shared" si="63"/>
        <v>2.3196960935098175E-3</v>
      </c>
      <c r="O147" s="103">
        <f t="shared" si="63"/>
        <v>2.0197917456124168E-3</v>
      </c>
      <c r="P147" s="103">
        <f t="shared" si="63"/>
        <v>1.7206177367422482E-3</v>
      </c>
      <c r="Q147" s="103">
        <f t="shared" si="63"/>
        <v>1.234780690478051E-3</v>
      </c>
      <c r="R147" s="103">
        <f t="shared" si="63"/>
        <v>1.1086660132164526E-3</v>
      </c>
      <c r="S147" s="103">
        <f t="shared" si="63"/>
        <v>1.0878563041937172E-3</v>
      </c>
      <c r="T147" s="103">
        <f t="shared" si="63"/>
        <v>6.6314066376429244E-4</v>
      </c>
      <c r="U147" s="103">
        <f t="shared" si="63"/>
        <v>5.5124904926981346E-4</v>
      </c>
      <c r="V147" s="103">
        <f t="shared" si="63"/>
        <v>3.1706305714626208E-4</v>
      </c>
      <c r="W147" s="103">
        <f t="shared" ref="W147" si="64">IF(W26=0,0,W26/W$17)</f>
        <v>2.2654562240490662E-4</v>
      </c>
      <c r="DA147" s="191"/>
    </row>
    <row r="148" spans="1:105" ht="11.45" customHeight="1" x14ac:dyDescent="0.25">
      <c r="A148" s="157" t="s">
        <v>113</v>
      </c>
      <c r="B148" s="103">
        <f t="shared" ref="B148:K148" si="65">IF(B27=0,0,B27/B$17)</f>
        <v>0</v>
      </c>
      <c r="C148" s="103">
        <f t="shared" si="65"/>
        <v>0</v>
      </c>
      <c r="D148" s="103">
        <f t="shared" si="65"/>
        <v>0</v>
      </c>
      <c r="E148" s="103">
        <f t="shared" si="65"/>
        <v>0</v>
      </c>
      <c r="F148" s="103">
        <f t="shared" si="65"/>
        <v>0</v>
      </c>
      <c r="G148" s="103">
        <f t="shared" si="65"/>
        <v>0</v>
      </c>
      <c r="H148" s="103">
        <f t="shared" si="65"/>
        <v>7.9515281791263111E-6</v>
      </c>
      <c r="I148" s="103">
        <f t="shared" si="65"/>
        <v>3.0379591896714518E-5</v>
      </c>
      <c r="J148" s="103">
        <f t="shared" si="65"/>
        <v>1.44143510950767E-4</v>
      </c>
      <c r="K148" s="103">
        <f t="shared" si="65"/>
        <v>1.7264317578196358E-4</v>
      </c>
      <c r="L148" s="103">
        <f t="shared" ref="L148" si="66">IF(L27=0,0,L27/L$17)</f>
        <v>2.077055750375104E-4</v>
      </c>
      <c r="M148" s="103">
        <f t="shared" ref="M148:V148" si="67">IF(M27=0,0,M27/M$17)</f>
        <v>3.9816800379853447E-4</v>
      </c>
      <c r="N148" s="103">
        <f t="shared" si="67"/>
        <v>4.522518180824827E-4</v>
      </c>
      <c r="O148" s="103">
        <f t="shared" si="67"/>
        <v>4.7635024972998127E-4</v>
      </c>
      <c r="P148" s="103">
        <f t="shared" si="67"/>
        <v>5.3897841748827937E-4</v>
      </c>
      <c r="Q148" s="103">
        <f t="shared" si="67"/>
        <v>5.7728265352475572E-4</v>
      </c>
      <c r="R148" s="103">
        <f t="shared" si="67"/>
        <v>5.5013687105318423E-4</v>
      </c>
      <c r="S148" s="103">
        <f t="shared" si="67"/>
        <v>5.5059481200151112E-4</v>
      </c>
      <c r="T148" s="103">
        <f t="shared" si="67"/>
        <v>5.4287395219512313E-4</v>
      </c>
      <c r="U148" s="103">
        <f t="shared" si="67"/>
        <v>5.2652531519940533E-4</v>
      </c>
      <c r="V148" s="103">
        <f t="shared" si="67"/>
        <v>5.203705197102536E-4</v>
      </c>
      <c r="W148" s="103">
        <f t="shared" ref="W148" si="68">IF(W27=0,0,W27/W$17)</f>
        <v>4.8489749383096129E-4</v>
      </c>
      <c r="DA148" s="191"/>
    </row>
    <row r="149" spans="1:105" ht="11.45" customHeight="1" x14ac:dyDescent="0.25">
      <c r="A149" s="157" t="s">
        <v>114</v>
      </c>
      <c r="B149" s="103">
        <f t="shared" ref="B149:K149" si="69">IF(B29=0,0,B29/B$17)</f>
        <v>0</v>
      </c>
      <c r="C149" s="103">
        <f t="shared" si="69"/>
        <v>0</v>
      </c>
      <c r="D149" s="103">
        <f t="shared" si="69"/>
        <v>0</v>
      </c>
      <c r="E149" s="103">
        <f t="shared" si="69"/>
        <v>0</v>
      </c>
      <c r="F149" s="103">
        <f t="shared" si="69"/>
        <v>0</v>
      </c>
      <c r="G149" s="103">
        <f t="shared" si="69"/>
        <v>0</v>
      </c>
      <c r="H149" s="103">
        <f t="shared" si="69"/>
        <v>0</v>
      </c>
      <c r="I149" s="103">
        <f t="shared" si="69"/>
        <v>0</v>
      </c>
      <c r="J149" s="103">
        <f t="shared" si="69"/>
        <v>0</v>
      </c>
      <c r="K149" s="103">
        <f t="shared" si="69"/>
        <v>0</v>
      </c>
      <c r="L149" s="103">
        <f t="shared" ref="L149" si="70">IF(L29=0,0,L29/L$17)</f>
        <v>0</v>
      </c>
      <c r="M149" s="103">
        <f t="shared" ref="M149:V149" si="71">IF(M29=0,0,M29/M$17)</f>
        <v>1.2286106515075111E-7</v>
      </c>
      <c r="N149" s="103">
        <f t="shared" si="71"/>
        <v>1.3342588482877256E-5</v>
      </c>
      <c r="O149" s="103">
        <f t="shared" si="71"/>
        <v>1.6086387135470038E-5</v>
      </c>
      <c r="P149" s="103">
        <f t="shared" si="71"/>
        <v>3.3424115433948557E-5</v>
      </c>
      <c r="Q149" s="103">
        <f t="shared" si="71"/>
        <v>7.6602872331836563E-5</v>
      </c>
      <c r="R149" s="103">
        <f t="shared" si="71"/>
        <v>1.2833227443225564E-4</v>
      </c>
      <c r="S149" s="103">
        <f t="shared" si="71"/>
        <v>2.2939615729084559E-4</v>
      </c>
      <c r="T149" s="103">
        <f t="shared" si="71"/>
        <v>3.3423916852044397E-4</v>
      </c>
      <c r="U149" s="103">
        <f t="shared" si="71"/>
        <v>4.6461592986119887E-4</v>
      </c>
      <c r="V149" s="103">
        <f t="shared" si="71"/>
        <v>7.9982024221313651E-4</v>
      </c>
      <c r="W149" s="103">
        <f t="shared" ref="W149" si="72">IF(W29=0,0,W29/W$17)</f>
        <v>1.4502767536394804E-3</v>
      </c>
      <c r="DA149" s="191"/>
    </row>
    <row r="150" spans="1:105" ht="11.45" customHeight="1" x14ac:dyDescent="0.25">
      <c r="A150" s="157" t="s">
        <v>115</v>
      </c>
      <c r="B150" s="103">
        <f t="shared" ref="B150:K150" si="73">IF(B32=0,0,B32/B$17)</f>
        <v>0</v>
      </c>
      <c r="C150" s="103">
        <f t="shared" si="73"/>
        <v>0</v>
      </c>
      <c r="D150" s="103">
        <f t="shared" si="73"/>
        <v>0</v>
      </c>
      <c r="E150" s="103">
        <f t="shared" si="73"/>
        <v>0</v>
      </c>
      <c r="F150" s="103">
        <f t="shared" si="73"/>
        <v>0</v>
      </c>
      <c r="G150" s="103">
        <f t="shared" si="73"/>
        <v>0</v>
      </c>
      <c r="H150" s="103">
        <f t="shared" si="73"/>
        <v>0</v>
      </c>
      <c r="I150" s="103">
        <f t="shared" si="73"/>
        <v>0</v>
      </c>
      <c r="J150" s="103">
        <f t="shared" si="73"/>
        <v>5.5337315687233021E-8</v>
      </c>
      <c r="K150" s="103">
        <f t="shared" si="73"/>
        <v>9.2605741356231458E-6</v>
      </c>
      <c r="L150" s="103">
        <f t="shared" ref="L150" si="74">IF(L32=0,0,L32/L$17)</f>
        <v>9.6230564005758203E-6</v>
      </c>
      <c r="M150" s="103">
        <f t="shared" ref="M150:V150" si="75">IF(M32=0,0,M32/M$17)</f>
        <v>2.8205779519141827E-5</v>
      </c>
      <c r="N150" s="103">
        <f t="shared" si="75"/>
        <v>3.9653978180922155E-5</v>
      </c>
      <c r="O150" s="103">
        <f t="shared" si="75"/>
        <v>5.5994372524334296E-5</v>
      </c>
      <c r="P150" s="103">
        <f t="shared" si="75"/>
        <v>9.0283651694071039E-5</v>
      </c>
      <c r="Q150" s="103">
        <f t="shared" si="75"/>
        <v>1.3651223079677336E-4</v>
      </c>
      <c r="R150" s="103">
        <f t="shared" si="75"/>
        <v>2.3999258793585445E-4</v>
      </c>
      <c r="S150" s="103">
        <f t="shared" si="75"/>
        <v>3.764221247724805E-4</v>
      </c>
      <c r="T150" s="103">
        <f t="shared" si="75"/>
        <v>5.349483861044668E-4</v>
      </c>
      <c r="U150" s="103">
        <f t="shared" si="75"/>
        <v>7.9214919498783883E-4</v>
      </c>
      <c r="V150" s="103">
        <f t="shared" si="75"/>
        <v>1.2334533838601655E-3</v>
      </c>
      <c r="W150" s="103">
        <f t="shared" ref="W150" si="76">IF(W32=0,0,W32/W$17)</f>
        <v>2.412202810926569E-3</v>
      </c>
      <c r="DA150" s="191"/>
    </row>
    <row r="151" spans="1:105" ht="11.45" customHeight="1" x14ac:dyDescent="0.25">
      <c r="A151" s="155" t="s">
        <v>21</v>
      </c>
      <c r="B151" s="156">
        <f t="shared" ref="B151:K151" si="77">IF(B33=0,0,B33/B$17)</f>
        <v>4.3782187023512172E-2</v>
      </c>
      <c r="C151" s="156">
        <f t="shared" si="77"/>
        <v>4.0885091038690459E-2</v>
      </c>
      <c r="D151" s="156">
        <f t="shared" si="77"/>
        <v>3.8118421895190144E-2</v>
      </c>
      <c r="E151" s="156">
        <f t="shared" si="77"/>
        <v>3.6706996114783501E-2</v>
      </c>
      <c r="F151" s="156">
        <f t="shared" si="77"/>
        <v>3.5851111801175665E-2</v>
      </c>
      <c r="G151" s="156">
        <f t="shared" si="77"/>
        <v>3.4394026276420159E-2</v>
      </c>
      <c r="H151" s="156">
        <f t="shared" si="77"/>
        <v>3.462982550650965E-2</v>
      </c>
      <c r="I151" s="156">
        <f t="shared" si="77"/>
        <v>3.6033178023297495E-2</v>
      </c>
      <c r="J151" s="156">
        <f t="shared" si="77"/>
        <v>3.6157977087964803E-2</v>
      </c>
      <c r="K151" s="156">
        <f t="shared" si="77"/>
        <v>3.4109662515050071E-2</v>
      </c>
      <c r="L151" s="156">
        <f t="shared" ref="L151" si="78">IF(L33=0,0,L33/L$17)</f>
        <v>3.5765613528161037E-2</v>
      </c>
      <c r="M151" s="156">
        <f t="shared" ref="M151:V151" si="79">IF(M33=0,0,M33/M$17)</f>
        <v>3.6976370907589096E-2</v>
      </c>
      <c r="N151" s="156">
        <f t="shared" si="79"/>
        <v>3.7098988041015045E-2</v>
      </c>
      <c r="O151" s="156">
        <f t="shared" si="79"/>
        <v>3.4912190935438188E-2</v>
      </c>
      <c r="P151" s="156">
        <f t="shared" si="79"/>
        <v>3.6052463924535066E-2</v>
      </c>
      <c r="Q151" s="156">
        <f t="shared" si="79"/>
        <v>3.5829128732402571E-2</v>
      </c>
      <c r="R151" s="156">
        <f t="shared" si="79"/>
        <v>3.6701048479814161E-2</v>
      </c>
      <c r="S151" s="156">
        <f t="shared" si="79"/>
        <v>3.7540840041112522E-2</v>
      </c>
      <c r="T151" s="156">
        <f t="shared" si="79"/>
        <v>3.5739238114529226E-2</v>
      </c>
      <c r="U151" s="156">
        <f t="shared" si="79"/>
        <v>3.5511755268984181E-2</v>
      </c>
      <c r="V151" s="156">
        <f t="shared" si="79"/>
        <v>4.0645932407966288E-2</v>
      </c>
      <c r="W151" s="156">
        <f t="shared" ref="W151" si="80">IF(W33=0,0,W33/W$17)</f>
        <v>3.9206145484294838E-2</v>
      </c>
      <c r="DA151" s="213"/>
    </row>
    <row r="152" spans="1:105" ht="11.45" customHeight="1" x14ac:dyDescent="0.25">
      <c r="A152" s="157" t="s">
        <v>110</v>
      </c>
      <c r="B152" s="103">
        <f t="shared" ref="B152:K152" si="81">IF(B34=0,0,B34/B$17)</f>
        <v>2.1740614778073455E-5</v>
      </c>
      <c r="C152" s="103">
        <f t="shared" si="81"/>
        <v>2.2014396973824936E-5</v>
      </c>
      <c r="D152" s="103">
        <f t="shared" si="81"/>
        <v>1.7602976456797227E-5</v>
      </c>
      <c r="E152" s="103">
        <f t="shared" si="81"/>
        <v>1.5454819937388095E-5</v>
      </c>
      <c r="F152" s="103">
        <f t="shared" si="81"/>
        <v>1.3392939253097709E-5</v>
      </c>
      <c r="G152" s="103">
        <f t="shared" si="81"/>
        <v>1.013183475904781E-5</v>
      </c>
      <c r="H152" s="103">
        <f t="shared" si="81"/>
        <v>8.7697113942368657E-6</v>
      </c>
      <c r="I152" s="103">
        <f t="shared" si="81"/>
        <v>8.8480667163947148E-6</v>
      </c>
      <c r="J152" s="103">
        <f t="shared" si="81"/>
        <v>7.2975946456334682E-6</v>
      </c>
      <c r="K152" s="103">
        <f t="shared" si="81"/>
        <v>5.1910709977787391E-6</v>
      </c>
      <c r="L152" s="103">
        <f t="shared" ref="L152" si="82">IF(L34=0,0,L34/L$17)</f>
        <v>5.4152607325056379E-6</v>
      </c>
      <c r="M152" s="103">
        <f t="shared" ref="M152:V152" si="83">IF(M34=0,0,M34/M$17)</f>
        <v>4.127278965788476E-6</v>
      </c>
      <c r="N152" s="103">
        <f t="shared" si="83"/>
        <v>4.1700181282900474E-6</v>
      </c>
      <c r="O152" s="103">
        <f t="shared" si="83"/>
        <v>2.4675471101857438E-6</v>
      </c>
      <c r="P152" s="103">
        <f t="shared" si="83"/>
        <v>2.9479109002648862E-6</v>
      </c>
      <c r="Q152" s="103">
        <f t="shared" si="83"/>
        <v>2.3223449810820752E-6</v>
      </c>
      <c r="R152" s="103">
        <f t="shared" si="83"/>
        <v>3.0173122743784011E-6</v>
      </c>
      <c r="S152" s="103">
        <f t="shared" si="83"/>
        <v>3.0201582181589175E-6</v>
      </c>
      <c r="T152" s="103">
        <f t="shared" si="83"/>
        <v>2.957721721248151E-6</v>
      </c>
      <c r="U152" s="103">
        <f t="shared" si="83"/>
        <v>2.8868562878725043E-6</v>
      </c>
      <c r="V152" s="103">
        <f t="shared" si="83"/>
        <v>2.4301990516897958E-6</v>
      </c>
      <c r="W152" s="103">
        <f t="shared" ref="W152" si="84">IF(W34=0,0,W34/W$17)</f>
        <v>3.108450774305789E-6</v>
      </c>
      <c r="DA152" s="191"/>
    </row>
    <row r="153" spans="1:105" ht="11.45" customHeight="1" x14ac:dyDescent="0.25">
      <c r="A153" s="157" t="s">
        <v>111</v>
      </c>
      <c r="B153" s="103">
        <f t="shared" ref="B153:K153" si="85">IF(B36=0,0,B36/B$17)</f>
        <v>4.3495592613435302E-2</v>
      </c>
      <c r="C153" s="103">
        <f t="shared" si="85"/>
        <v>4.0605177723523816E-2</v>
      </c>
      <c r="D153" s="103">
        <f t="shared" si="85"/>
        <v>3.7822940305869988E-2</v>
      </c>
      <c r="E153" s="103">
        <f t="shared" si="85"/>
        <v>3.6403008382263603E-2</v>
      </c>
      <c r="F153" s="103">
        <f t="shared" si="85"/>
        <v>3.5483629566009561E-2</v>
      </c>
      <c r="G153" s="103">
        <f t="shared" si="85"/>
        <v>3.3981429675099914E-2</v>
      </c>
      <c r="H153" s="103">
        <f t="shared" si="85"/>
        <v>3.4182142798783982E-2</v>
      </c>
      <c r="I153" s="103">
        <f t="shared" si="85"/>
        <v>3.538051194403824E-2</v>
      </c>
      <c r="J153" s="103">
        <f t="shared" si="85"/>
        <v>3.5370325075202713E-2</v>
      </c>
      <c r="K153" s="103">
        <f t="shared" si="85"/>
        <v>3.2603615307659914E-2</v>
      </c>
      <c r="L153" s="103">
        <f t="shared" ref="L153" si="86">IF(L36=0,0,L36/L$17)</f>
        <v>3.3843472767746914E-2</v>
      </c>
      <c r="M153" s="103">
        <f t="shared" ref="M153:V153" si="87">IF(M36=0,0,M36/M$17)</f>
        <v>3.4994155450495015E-2</v>
      </c>
      <c r="N153" s="103">
        <f t="shared" si="87"/>
        <v>3.4990021396033584E-2</v>
      </c>
      <c r="O153" s="103">
        <f t="shared" si="87"/>
        <v>3.2729832106668438E-2</v>
      </c>
      <c r="P153" s="103">
        <f t="shared" si="87"/>
        <v>3.3722124312919322E-2</v>
      </c>
      <c r="Q153" s="103">
        <f t="shared" si="87"/>
        <v>3.3641784462192993E-2</v>
      </c>
      <c r="R153" s="103">
        <f t="shared" si="87"/>
        <v>3.4691810336306972E-2</v>
      </c>
      <c r="S153" s="103">
        <f t="shared" si="87"/>
        <v>3.5658227780277281E-2</v>
      </c>
      <c r="T153" s="103">
        <f t="shared" si="87"/>
        <v>3.3922872542887575E-2</v>
      </c>
      <c r="U153" s="103">
        <f t="shared" si="87"/>
        <v>3.3712314810795237E-2</v>
      </c>
      <c r="V153" s="103">
        <f t="shared" si="87"/>
        <v>3.8317991896693937E-2</v>
      </c>
      <c r="W153" s="103">
        <f t="shared" ref="W153" si="88">IF(W36=0,0,W36/W$17)</f>
        <v>3.7067474592484377E-2</v>
      </c>
      <c r="DA153" s="191"/>
    </row>
    <row r="154" spans="1:105" ht="11.45" customHeight="1" x14ac:dyDescent="0.25">
      <c r="A154" s="157" t="s">
        <v>112</v>
      </c>
      <c r="B154" s="103">
        <f t="shared" ref="B154:K154" si="89">IF(B38=0,0,B38/B$17)</f>
        <v>0</v>
      </c>
      <c r="C154" s="103">
        <f t="shared" si="89"/>
        <v>2.32021265813571E-5</v>
      </c>
      <c r="D154" s="103">
        <f t="shared" si="89"/>
        <v>7.0388405824079993E-5</v>
      </c>
      <c r="E154" s="103">
        <f t="shared" si="89"/>
        <v>9.7499705727790493E-5</v>
      </c>
      <c r="F154" s="103">
        <f t="shared" si="89"/>
        <v>1.2876534507140066E-4</v>
      </c>
      <c r="G154" s="103">
        <f t="shared" si="89"/>
        <v>1.8399343556437385E-4</v>
      </c>
      <c r="H154" s="103">
        <f t="shared" si="89"/>
        <v>2.3429386291236437E-4</v>
      </c>
      <c r="I154" s="103">
        <f t="shared" si="89"/>
        <v>3.0855540321532773E-4</v>
      </c>
      <c r="J154" s="103">
        <f t="shared" si="89"/>
        <v>3.6874892515711781E-4</v>
      </c>
      <c r="K154" s="103">
        <f t="shared" si="89"/>
        <v>4.4568148754385177E-4</v>
      </c>
      <c r="L154" s="103">
        <f t="shared" ref="L154" si="90">IF(L38=0,0,L38/L$17)</f>
        <v>5.3224779598336864E-4</v>
      </c>
      <c r="M154" s="103">
        <f t="shared" ref="M154:V154" si="91">IF(M38=0,0,M38/M$17)</f>
        <v>6.0495271027889805E-4</v>
      </c>
      <c r="N154" s="103">
        <f t="shared" si="91"/>
        <v>6.1758000499173766E-4</v>
      </c>
      <c r="O154" s="103">
        <f t="shared" si="91"/>
        <v>5.658660166651861E-4</v>
      </c>
      <c r="P154" s="103">
        <f t="shared" si="91"/>
        <v>5.520257668978068E-4</v>
      </c>
      <c r="Q154" s="103">
        <f t="shared" si="91"/>
        <v>4.3982482901566439E-4</v>
      </c>
      <c r="R154" s="103">
        <f t="shared" si="91"/>
        <v>3.5640130725850537E-4</v>
      </c>
      <c r="S154" s="103">
        <f t="shared" si="91"/>
        <v>2.8751251801733098E-4</v>
      </c>
      <c r="T154" s="103">
        <f t="shared" si="91"/>
        <v>2.7908032326830299E-4</v>
      </c>
      <c r="U154" s="103">
        <f t="shared" si="91"/>
        <v>2.28843745506049E-5</v>
      </c>
      <c r="V154" s="103">
        <f t="shared" si="91"/>
        <v>2.6198314299848275E-5</v>
      </c>
      <c r="W154" s="103">
        <f t="shared" ref="W154" si="92">IF(W38=0,0,W38/W$17)</f>
        <v>2.3179685790514335E-5</v>
      </c>
      <c r="DA154" s="191"/>
    </row>
    <row r="155" spans="1:105" ht="11.45" customHeight="1" x14ac:dyDescent="0.25">
      <c r="A155" s="157" t="s">
        <v>113</v>
      </c>
      <c r="B155" s="103">
        <f t="shared" ref="B155:K155" si="93">IF(B39=0,0,B39/B$17)</f>
        <v>0</v>
      </c>
      <c r="C155" s="103">
        <f t="shared" si="93"/>
        <v>0</v>
      </c>
      <c r="D155" s="103">
        <f t="shared" si="93"/>
        <v>0</v>
      </c>
      <c r="E155" s="103">
        <f t="shared" si="93"/>
        <v>0</v>
      </c>
      <c r="F155" s="103">
        <f t="shared" si="93"/>
        <v>4.5318814001440914E-5</v>
      </c>
      <c r="G155" s="103">
        <f t="shared" si="93"/>
        <v>4.6954190993251906E-5</v>
      </c>
      <c r="H155" s="103">
        <f t="shared" si="93"/>
        <v>2.5661186829512002E-5</v>
      </c>
      <c r="I155" s="103">
        <f t="shared" si="93"/>
        <v>1.7376002398827287E-4</v>
      </c>
      <c r="J155" s="103">
        <f t="shared" si="93"/>
        <v>2.4486434399390494E-4</v>
      </c>
      <c r="K155" s="103">
        <f t="shared" si="93"/>
        <v>8.7598499363724411E-4</v>
      </c>
      <c r="L155" s="103">
        <f t="shared" ref="L155" si="94">IF(L39=0,0,L39/L$17)</f>
        <v>1.2005883512121185E-3</v>
      </c>
      <c r="M155" s="103">
        <f t="shared" ref="M155:V155" si="95">IF(M39=0,0,M39/M$17)</f>
        <v>1.1768142712841186E-3</v>
      </c>
      <c r="N155" s="103">
        <f t="shared" si="95"/>
        <v>1.2749409798129662E-3</v>
      </c>
      <c r="O155" s="103">
        <f t="shared" si="95"/>
        <v>1.394192501249373E-3</v>
      </c>
      <c r="P155" s="103">
        <f t="shared" si="95"/>
        <v>1.5679256064488143E-3</v>
      </c>
      <c r="Q155" s="103">
        <f t="shared" si="95"/>
        <v>1.5327662831725625E-3</v>
      </c>
      <c r="R155" s="103">
        <f t="shared" si="95"/>
        <v>1.425129420588144E-3</v>
      </c>
      <c r="S155" s="103">
        <f t="shared" si="95"/>
        <v>1.3795595290361665E-3</v>
      </c>
      <c r="T155" s="103">
        <f t="shared" si="95"/>
        <v>1.3089931904050609E-3</v>
      </c>
      <c r="U155" s="103">
        <f t="shared" si="95"/>
        <v>1.539008215502465E-3</v>
      </c>
      <c r="V155" s="103">
        <f t="shared" si="95"/>
        <v>2.0141788234231193E-3</v>
      </c>
      <c r="W155" s="103">
        <f t="shared" ref="W155" si="96">IF(W39=0,0,W39/W$17)</f>
        <v>1.8337948388079399E-3</v>
      </c>
      <c r="DA155" s="191"/>
    </row>
    <row r="156" spans="1:105" ht="11.45" customHeight="1" x14ac:dyDescent="0.25">
      <c r="A156" s="157" t="s">
        <v>115</v>
      </c>
      <c r="B156" s="103">
        <f t="shared" ref="B156:K156" si="97">IF(B41=0,0,B41/B$17)</f>
        <v>2.6485379529879373E-4</v>
      </c>
      <c r="C156" s="103">
        <f t="shared" si="97"/>
        <v>2.3469679161146475E-4</v>
      </c>
      <c r="D156" s="103">
        <f t="shared" si="97"/>
        <v>2.0749020703927397E-4</v>
      </c>
      <c r="E156" s="103">
        <f t="shared" si="97"/>
        <v>1.9103320685472417E-4</v>
      </c>
      <c r="F156" s="103">
        <f t="shared" si="97"/>
        <v>1.8000513684018009E-4</v>
      </c>
      <c r="G156" s="103">
        <f t="shared" si="97"/>
        <v>1.7151714000357272E-4</v>
      </c>
      <c r="H156" s="103">
        <f t="shared" si="97"/>
        <v>1.7895794658955448E-4</v>
      </c>
      <c r="I156" s="103">
        <f t="shared" si="97"/>
        <v>1.6150258533926526E-4</v>
      </c>
      <c r="J156" s="103">
        <f t="shared" si="97"/>
        <v>1.6674114896543749E-4</v>
      </c>
      <c r="K156" s="103">
        <f t="shared" si="97"/>
        <v>1.7918965521127806E-4</v>
      </c>
      <c r="L156" s="103">
        <f t="shared" ref="L156" si="98">IF(L41=0,0,L41/L$17)</f>
        <v>1.8388935248613142E-4</v>
      </c>
      <c r="M156" s="103">
        <f t="shared" ref="M156:V156" si="99">IF(M41=0,0,M41/M$17)</f>
        <v>1.9632119656527985E-4</v>
      </c>
      <c r="N156" s="103">
        <f t="shared" si="99"/>
        <v>2.122756420484688E-4</v>
      </c>
      <c r="O156" s="103">
        <f t="shared" si="99"/>
        <v>2.1983276374500289E-4</v>
      </c>
      <c r="P156" s="103">
        <f t="shared" si="99"/>
        <v>2.0744032736886542E-4</v>
      </c>
      <c r="Q156" s="103">
        <f t="shared" si="99"/>
        <v>2.1243081304025637E-4</v>
      </c>
      <c r="R156" s="103">
        <f t="shared" si="99"/>
        <v>2.2469010338616065E-4</v>
      </c>
      <c r="S156" s="103">
        <f t="shared" si="99"/>
        <v>2.1252005556357672E-4</v>
      </c>
      <c r="T156" s="103">
        <f t="shared" si="99"/>
        <v>2.253343362470429E-4</v>
      </c>
      <c r="U156" s="103">
        <f t="shared" si="99"/>
        <v>2.3466101184800494E-4</v>
      </c>
      <c r="V156" s="103">
        <f t="shared" si="99"/>
        <v>2.8513317449770423E-4</v>
      </c>
      <c r="W156" s="103">
        <f t="shared" ref="W156" si="100">IF(W41=0,0,W41/W$17)</f>
        <v>2.7858791643770828E-4</v>
      </c>
      <c r="DA156" s="191"/>
    </row>
    <row r="157" spans="1:105" ht="11.45" customHeight="1" x14ac:dyDescent="0.25">
      <c r="A157" s="27" t="s">
        <v>34</v>
      </c>
      <c r="B157" s="46">
        <f t="shared" ref="B157:K157" si="101">IF(B42=0,0,B42/B$17)</f>
        <v>0.31748329903753181</v>
      </c>
      <c r="C157" s="46">
        <f t="shared" si="101"/>
        <v>0.33640329358416238</v>
      </c>
      <c r="D157" s="46">
        <f t="shared" si="101"/>
        <v>0.33635241720967646</v>
      </c>
      <c r="E157" s="46">
        <f t="shared" si="101"/>
        <v>0.33893742280918637</v>
      </c>
      <c r="F157" s="46">
        <f t="shared" si="101"/>
        <v>0.3360847871960122</v>
      </c>
      <c r="G157" s="46">
        <f t="shared" si="101"/>
        <v>0.34100619539802834</v>
      </c>
      <c r="H157" s="46">
        <f t="shared" si="101"/>
        <v>0.33121402554565071</v>
      </c>
      <c r="I157" s="46">
        <f t="shared" si="101"/>
        <v>0.32746339653339107</v>
      </c>
      <c r="J157" s="46">
        <f t="shared" si="101"/>
        <v>0.33000712973068819</v>
      </c>
      <c r="K157" s="46">
        <f t="shared" si="101"/>
        <v>0.32248499659271307</v>
      </c>
      <c r="L157" s="46">
        <f t="shared" ref="L157" si="102">IF(L42=0,0,L42/L$17)</f>
        <v>0.33636469317483658</v>
      </c>
      <c r="M157" s="46">
        <f t="shared" ref="M157:V157" si="103">IF(M42=0,0,M42/M$17)</f>
        <v>0.32662526435218553</v>
      </c>
      <c r="N157" s="46">
        <f t="shared" si="103"/>
        <v>0.3327919859410679</v>
      </c>
      <c r="O157" s="46">
        <f t="shared" si="103"/>
        <v>0.36008429043157758</v>
      </c>
      <c r="P157" s="46">
        <f t="shared" si="103"/>
        <v>0.35056988825594732</v>
      </c>
      <c r="Q157" s="46">
        <f t="shared" si="103"/>
        <v>0.35278434475582343</v>
      </c>
      <c r="R157" s="46">
        <f t="shared" si="103"/>
        <v>0.35481212927384775</v>
      </c>
      <c r="S157" s="46">
        <f t="shared" si="103"/>
        <v>0.35970391018945308</v>
      </c>
      <c r="T157" s="46">
        <f t="shared" si="103"/>
        <v>0.37198712732288702</v>
      </c>
      <c r="U157" s="46">
        <f t="shared" si="103"/>
        <v>0.3880021926064518</v>
      </c>
      <c r="V157" s="46">
        <f t="shared" si="103"/>
        <v>0.40113520899340371</v>
      </c>
      <c r="W157" s="46">
        <f t="shared" ref="W157" si="104">IF(W42=0,0,W42/W$17)</f>
        <v>0.40783017425323476</v>
      </c>
      <c r="DA157" s="211"/>
    </row>
    <row r="158" spans="1:105" ht="11.45" customHeight="1" x14ac:dyDescent="0.25">
      <c r="A158" s="153" t="s">
        <v>156</v>
      </c>
      <c r="B158" s="154">
        <f t="shared" ref="B158:K158" si="105">IF(B43=0,0,B43/B$17)</f>
        <v>7.3215737073437578E-2</v>
      </c>
      <c r="C158" s="154">
        <f t="shared" si="105"/>
        <v>6.9596398673175464E-2</v>
      </c>
      <c r="D158" s="154">
        <f t="shared" si="105"/>
        <v>6.4510327354749569E-2</v>
      </c>
      <c r="E158" s="154">
        <f t="shared" si="105"/>
        <v>6.0591964461487985E-2</v>
      </c>
      <c r="F158" s="154">
        <f t="shared" si="105"/>
        <v>5.9613471510775194E-2</v>
      </c>
      <c r="G158" s="154">
        <f t="shared" si="105"/>
        <v>5.8606660224206374E-2</v>
      </c>
      <c r="H158" s="154">
        <f t="shared" si="105"/>
        <v>6.1201716029046851E-2</v>
      </c>
      <c r="I158" s="154">
        <f t="shared" si="105"/>
        <v>6.1398281969237224E-2</v>
      </c>
      <c r="J158" s="154">
        <f t="shared" si="105"/>
        <v>6.2534067446997119E-2</v>
      </c>
      <c r="K158" s="154">
        <f t="shared" si="105"/>
        <v>6.3529945606841109E-2</v>
      </c>
      <c r="L158" s="154">
        <f t="shared" ref="L158" si="106">IF(L43=0,0,L43/L$17)</f>
        <v>6.174816518214598E-2</v>
      </c>
      <c r="M158" s="154">
        <f t="shared" ref="M158:V158" si="107">IF(M43=0,0,M43/M$17)</f>
        <v>6.5392655524959167E-2</v>
      </c>
      <c r="N158" s="154">
        <f t="shared" si="107"/>
        <v>6.5137302074258205E-2</v>
      </c>
      <c r="O158" s="154">
        <f t="shared" si="107"/>
        <v>6.3102458988970267E-2</v>
      </c>
      <c r="P158" s="154">
        <f t="shared" si="107"/>
        <v>6.6159159425960248E-2</v>
      </c>
      <c r="Q158" s="154">
        <f t="shared" si="107"/>
        <v>6.6265645571584542E-2</v>
      </c>
      <c r="R158" s="154">
        <f t="shared" si="107"/>
        <v>6.6314759885117397E-2</v>
      </c>
      <c r="S158" s="154">
        <f t="shared" si="107"/>
        <v>6.5961484054686215E-2</v>
      </c>
      <c r="T158" s="154">
        <f t="shared" si="107"/>
        <v>6.6002017468462362E-2</v>
      </c>
      <c r="U158" s="154">
        <f t="shared" si="107"/>
        <v>6.7685346663598489E-2</v>
      </c>
      <c r="V158" s="154">
        <f t="shared" si="107"/>
        <v>7.8376047294810902E-2</v>
      </c>
      <c r="W158" s="154">
        <f t="shared" ref="W158" si="108">IF(W43=0,0,W43/W$17)</f>
        <v>7.9979872311387187E-2</v>
      </c>
      <c r="DA158" s="212"/>
    </row>
    <row r="159" spans="1:105" ht="11.45" customHeight="1" x14ac:dyDescent="0.25">
      <c r="A159" s="157" t="s">
        <v>110</v>
      </c>
      <c r="B159" s="103">
        <f t="shared" ref="B159:K159" si="109">IF(B44=0,0,B44/B$17)</f>
        <v>1.1073381091678585E-2</v>
      </c>
      <c r="C159" s="103">
        <f t="shared" si="109"/>
        <v>9.4340734757165853E-3</v>
      </c>
      <c r="D159" s="103">
        <f t="shared" si="109"/>
        <v>5.8630392675513374E-3</v>
      </c>
      <c r="E159" s="103">
        <f t="shared" si="109"/>
        <v>4.7713769714397671E-3</v>
      </c>
      <c r="F159" s="103">
        <f t="shared" si="109"/>
        <v>4.1218753742305152E-3</v>
      </c>
      <c r="G159" s="103">
        <f t="shared" si="109"/>
        <v>3.6366854498309769E-3</v>
      </c>
      <c r="H159" s="103">
        <f t="shared" si="109"/>
        <v>3.5298733865300981E-3</v>
      </c>
      <c r="I159" s="103">
        <f t="shared" si="109"/>
        <v>3.3311895596097782E-3</v>
      </c>
      <c r="J159" s="103">
        <f t="shared" si="109"/>
        <v>3.2085625013852336E-3</v>
      </c>
      <c r="K159" s="103">
        <f t="shared" si="109"/>
        <v>3.1831139133801892E-3</v>
      </c>
      <c r="L159" s="103">
        <f t="shared" ref="L159" si="110">IF(L44=0,0,L44/L$17)</f>
        <v>2.9941835830034468E-3</v>
      </c>
      <c r="M159" s="103">
        <f t="shared" ref="M159:V159" si="111">IF(M44=0,0,M44/M$17)</f>
        <v>3.2005682878193157E-3</v>
      </c>
      <c r="N159" s="103">
        <f t="shared" si="111"/>
        <v>3.1996240589378644E-3</v>
      </c>
      <c r="O159" s="103">
        <f t="shared" si="111"/>
        <v>2.9213233136926647E-3</v>
      </c>
      <c r="P159" s="103">
        <f t="shared" si="111"/>
        <v>2.9980952939637996E-3</v>
      </c>
      <c r="Q159" s="103">
        <f t="shared" si="111"/>
        <v>2.993661129103777E-3</v>
      </c>
      <c r="R159" s="103">
        <f t="shared" si="111"/>
        <v>2.8842087350093738E-3</v>
      </c>
      <c r="S159" s="103">
        <f t="shared" si="111"/>
        <v>2.8594240420332004E-3</v>
      </c>
      <c r="T159" s="103">
        <f t="shared" si="111"/>
        <v>2.8775280997041857E-3</v>
      </c>
      <c r="U159" s="103">
        <f t="shared" si="111"/>
        <v>2.8313627920288349E-3</v>
      </c>
      <c r="V159" s="103">
        <f t="shared" si="111"/>
        <v>3.1549453684577072E-3</v>
      </c>
      <c r="W159" s="103">
        <f t="shared" ref="W159" si="112">IF(W44=0,0,W44/W$17)</f>
        <v>3.0576983682850797E-3</v>
      </c>
      <c r="DA159" s="191"/>
    </row>
    <row r="160" spans="1:105" ht="11.45" customHeight="1" x14ac:dyDescent="0.25">
      <c r="A160" s="157" t="s">
        <v>111</v>
      </c>
      <c r="B160" s="103">
        <f t="shared" ref="B160:K160" si="113">IF(B46=0,0,B46/B$17)</f>
        <v>6.2141237294557006E-2</v>
      </c>
      <c r="C160" s="103">
        <f t="shared" si="113"/>
        <v>6.0161002295473907E-2</v>
      </c>
      <c r="D160" s="103">
        <f t="shared" si="113"/>
        <v>5.8646241625140053E-2</v>
      </c>
      <c r="E160" s="103">
        <f t="shared" si="113"/>
        <v>5.5816245300018996E-2</v>
      </c>
      <c r="F160" s="103">
        <f t="shared" si="113"/>
        <v>5.5481826950420275E-2</v>
      </c>
      <c r="G160" s="103">
        <f t="shared" si="113"/>
        <v>5.4931368844144311E-2</v>
      </c>
      <c r="H160" s="103">
        <f t="shared" si="113"/>
        <v>5.7620003776762602E-2</v>
      </c>
      <c r="I160" s="103">
        <f t="shared" si="113"/>
        <v>5.8002730369610608E-2</v>
      </c>
      <c r="J160" s="103">
        <f t="shared" si="113"/>
        <v>5.924424927928601E-2</v>
      </c>
      <c r="K160" s="103">
        <f t="shared" si="113"/>
        <v>6.0287592367065566E-2</v>
      </c>
      <c r="L160" s="103">
        <f t="shared" ref="L160" si="114">IF(L46=0,0,L46/L$17)</f>
        <v>5.8699591646975559E-2</v>
      </c>
      <c r="M160" s="103">
        <f t="shared" ref="M160:V160" si="115">IF(M46=0,0,M46/M$17)</f>
        <v>6.2134512379233314E-2</v>
      </c>
      <c r="N160" s="103">
        <f t="shared" si="115"/>
        <v>6.1862928562317239E-2</v>
      </c>
      <c r="O160" s="103">
        <f t="shared" si="115"/>
        <v>5.9985444908358311E-2</v>
      </c>
      <c r="P160" s="103">
        <f t="shared" si="115"/>
        <v>6.2946611411962797E-2</v>
      </c>
      <c r="Q160" s="103">
        <f t="shared" si="115"/>
        <v>6.30555080368886E-2</v>
      </c>
      <c r="R160" s="103">
        <f t="shared" si="115"/>
        <v>6.3092513489340682E-2</v>
      </c>
      <c r="S160" s="103">
        <f t="shared" si="115"/>
        <v>6.2777376971800081E-2</v>
      </c>
      <c r="T160" s="103">
        <f t="shared" si="115"/>
        <v>6.2789280611312559E-2</v>
      </c>
      <c r="U160" s="103">
        <f t="shared" si="115"/>
        <v>6.450826611504068E-2</v>
      </c>
      <c r="V160" s="103">
        <f t="shared" si="115"/>
        <v>7.4810228300264001E-2</v>
      </c>
      <c r="W160" s="103">
        <f t="shared" ref="W160" si="116">IF(W46=0,0,W46/W$17)</f>
        <v>7.6418300657885907E-2</v>
      </c>
      <c r="DA160" s="191"/>
    </row>
    <row r="161" spans="1:105" ht="11.45" customHeight="1" x14ac:dyDescent="0.25">
      <c r="A161" s="157" t="s">
        <v>112</v>
      </c>
      <c r="B161" s="103">
        <f t="shared" ref="B161:K161" si="117">IF(B48=0,0,B48/B$17)</f>
        <v>0</v>
      </c>
      <c r="C161" s="103">
        <f t="shared" si="117"/>
        <v>0</v>
      </c>
      <c r="D161" s="103">
        <f t="shared" si="117"/>
        <v>0</v>
      </c>
      <c r="E161" s="103">
        <f t="shared" si="117"/>
        <v>3.3977848406510286E-6</v>
      </c>
      <c r="F161" s="103">
        <f t="shared" si="117"/>
        <v>8.905611650600374E-6</v>
      </c>
      <c r="G161" s="103">
        <f t="shared" si="117"/>
        <v>3.7838441279932455E-5</v>
      </c>
      <c r="H161" s="103">
        <f t="shared" si="117"/>
        <v>3.764412086709708E-5</v>
      </c>
      <c r="I161" s="103">
        <f t="shared" si="117"/>
        <v>3.6794918578451354E-5</v>
      </c>
      <c r="J161" s="103">
        <f t="shared" si="117"/>
        <v>3.5874322322865463E-5</v>
      </c>
      <c r="K161" s="103">
        <f t="shared" si="117"/>
        <v>3.4430446655934414E-5</v>
      </c>
      <c r="L161" s="103">
        <f t="shared" ref="L161" si="118">IF(L48=0,0,L48/L$17)</f>
        <v>3.1048776147059462E-5</v>
      </c>
      <c r="M161" s="103">
        <f t="shared" ref="M161:V161" si="119">IF(M48=0,0,M48/M$17)</f>
        <v>3.0006588808816375E-5</v>
      </c>
      <c r="N161" s="103">
        <f t="shared" si="119"/>
        <v>3.1341886979563179E-5</v>
      </c>
      <c r="O161" s="103">
        <f t="shared" si="119"/>
        <v>3.1487407297250274E-5</v>
      </c>
      <c r="P161" s="103">
        <f t="shared" si="119"/>
        <v>3.5418000507073752E-5</v>
      </c>
      <c r="Q161" s="103">
        <f t="shared" si="119"/>
        <v>3.599435590232578E-5</v>
      </c>
      <c r="R161" s="103">
        <f t="shared" si="119"/>
        <v>5.8830673162745629E-5</v>
      </c>
      <c r="S161" s="103">
        <f t="shared" si="119"/>
        <v>5.9544388305890498E-5</v>
      </c>
      <c r="T161" s="103">
        <f t="shared" si="119"/>
        <v>5.8738756606406947E-5</v>
      </c>
      <c r="U161" s="103">
        <f t="shared" si="119"/>
        <v>6.3545760220691603E-5</v>
      </c>
      <c r="V161" s="103">
        <f t="shared" si="119"/>
        <v>8.0693744963941509E-5</v>
      </c>
      <c r="W161" s="103">
        <f t="shared" ref="W161" si="120">IF(W48=0,0,W48/W$17)</f>
        <v>8.4536355610035158E-5</v>
      </c>
      <c r="DA161" s="191"/>
    </row>
    <row r="162" spans="1:105" ht="11.45" customHeight="1" x14ac:dyDescent="0.25">
      <c r="A162" s="157" t="s">
        <v>113</v>
      </c>
      <c r="B162" s="103">
        <f t="shared" ref="B162:K162" si="121">IF(B49=0,0,B49/B$17)</f>
        <v>0</v>
      </c>
      <c r="C162" s="103">
        <f t="shared" si="121"/>
        <v>0</v>
      </c>
      <c r="D162" s="103">
        <f t="shared" si="121"/>
        <v>0</v>
      </c>
      <c r="E162" s="103">
        <f t="shared" si="121"/>
        <v>0</v>
      </c>
      <c r="F162" s="103">
        <f t="shared" si="121"/>
        <v>0</v>
      </c>
      <c r="G162" s="103">
        <f t="shared" si="121"/>
        <v>0</v>
      </c>
      <c r="H162" s="103">
        <f t="shared" si="121"/>
        <v>1.3471078059719425E-5</v>
      </c>
      <c r="I162" s="103">
        <f t="shared" si="121"/>
        <v>2.6706407175907105E-5</v>
      </c>
      <c r="J162" s="103">
        <f t="shared" si="121"/>
        <v>4.441929028295579E-5</v>
      </c>
      <c r="K162" s="103">
        <f t="shared" si="121"/>
        <v>2.3441668154232274E-5</v>
      </c>
      <c r="L162" s="103">
        <f t="shared" ref="L162" si="122">IF(L49=0,0,L49/L$17)</f>
        <v>2.136960586588827E-5</v>
      </c>
      <c r="M162" s="103">
        <f t="shared" ref="M162:V162" si="123">IF(M49=0,0,M49/M$17)</f>
        <v>2.4364561231329611E-5</v>
      </c>
      <c r="N162" s="103">
        <f t="shared" si="123"/>
        <v>3.2128166592478102E-5</v>
      </c>
      <c r="O162" s="103">
        <f t="shared" si="123"/>
        <v>1.4704879996610342E-4</v>
      </c>
      <c r="P162" s="103">
        <f t="shared" si="123"/>
        <v>1.5606678896020322E-4</v>
      </c>
      <c r="Q162" s="103">
        <f t="shared" si="123"/>
        <v>1.509114797211615E-4</v>
      </c>
      <c r="R162" s="103">
        <f t="shared" si="123"/>
        <v>2.3860380018226454E-4</v>
      </c>
      <c r="S162" s="103">
        <f t="shared" si="123"/>
        <v>2.1788303941534489E-4</v>
      </c>
      <c r="T162" s="103">
        <f t="shared" si="123"/>
        <v>2.1714708233585257E-4</v>
      </c>
      <c r="U162" s="103">
        <f t="shared" si="123"/>
        <v>2.0744582351720582E-4</v>
      </c>
      <c r="V162" s="103">
        <f t="shared" si="123"/>
        <v>2.1202344156540958E-4</v>
      </c>
      <c r="W162" s="103">
        <f t="shared" ref="W162" si="124">IF(W49=0,0,W49/W$17)</f>
        <v>1.9284789554002542E-4</v>
      </c>
      <c r="DA162" s="191"/>
    </row>
    <row r="163" spans="1:105" ht="11.45" customHeight="1" x14ac:dyDescent="0.25">
      <c r="A163" s="157" t="s">
        <v>115</v>
      </c>
      <c r="B163" s="103">
        <f t="shared" ref="B163:K163" si="125">IF(B51=0,0,B51/B$17)</f>
        <v>1.1186872019917001E-6</v>
      </c>
      <c r="C163" s="103">
        <f t="shared" si="125"/>
        <v>1.3229019849676259E-6</v>
      </c>
      <c r="D163" s="103">
        <f t="shared" si="125"/>
        <v>1.0464620581793519E-6</v>
      </c>
      <c r="E163" s="103">
        <f t="shared" si="125"/>
        <v>9.4440518857462978E-7</v>
      </c>
      <c r="F163" s="103">
        <f t="shared" si="125"/>
        <v>8.6357447381018238E-7</v>
      </c>
      <c r="G163" s="103">
        <f t="shared" si="125"/>
        <v>7.674889511456253E-7</v>
      </c>
      <c r="H163" s="103">
        <f t="shared" si="125"/>
        <v>7.2366682733686585E-7</v>
      </c>
      <c r="I163" s="103">
        <f t="shared" si="125"/>
        <v>8.6071426247419492E-7</v>
      </c>
      <c r="J163" s="103">
        <f t="shared" si="125"/>
        <v>9.6205372005622637E-7</v>
      </c>
      <c r="K163" s="103">
        <f t="shared" si="125"/>
        <v>1.3672115851868855E-6</v>
      </c>
      <c r="L163" s="103">
        <f t="shared" ref="L163" si="126">IF(L51=0,0,L51/L$17)</f>
        <v>1.9715701540172895E-6</v>
      </c>
      <c r="M163" s="103">
        <f t="shared" ref="M163:V163" si="127">IF(M51=0,0,M51/M$17)</f>
        <v>3.2037078663866137E-6</v>
      </c>
      <c r="N163" s="103">
        <f t="shared" si="127"/>
        <v>1.1279399431064575E-5</v>
      </c>
      <c r="O163" s="103">
        <f t="shared" si="127"/>
        <v>1.7154559655941496E-5</v>
      </c>
      <c r="P163" s="103">
        <f t="shared" si="127"/>
        <v>2.2967930566371121E-5</v>
      </c>
      <c r="Q163" s="103">
        <f t="shared" si="127"/>
        <v>2.9570569968673993E-5</v>
      </c>
      <c r="R163" s="103">
        <f t="shared" si="127"/>
        <v>4.0603187422326794E-5</v>
      </c>
      <c r="S163" s="103">
        <f t="shared" si="127"/>
        <v>4.7255613131689125E-5</v>
      </c>
      <c r="T163" s="103">
        <f t="shared" si="127"/>
        <v>5.9322918503369112E-5</v>
      </c>
      <c r="U163" s="103">
        <f t="shared" si="127"/>
        <v>7.4726172791094003E-5</v>
      </c>
      <c r="V163" s="103">
        <f t="shared" si="127"/>
        <v>1.1815643955983712E-4</v>
      </c>
      <c r="W163" s="103">
        <f t="shared" ref="W163" si="128">IF(W51=0,0,W51/W$17)</f>
        <v>2.2648903406613657E-4</v>
      </c>
      <c r="DA163" s="191"/>
    </row>
    <row r="164" spans="1:105" ht="11.45" customHeight="1" x14ac:dyDescent="0.25">
      <c r="A164" s="155" t="s">
        <v>158</v>
      </c>
      <c r="B164" s="156">
        <f t="shared" ref="B164:K164" si="129">IF(B52=0,0,B52/B$17)</f>
        <v>0.24426756196409424</v>
      </c>
      <c r="C164" s="156">
        <f t="shared" si="129"/>
        <v>0.26680689491098691</v>
      </c>
      <c r="D164" s="156">
        <f t="shared" si="129"/>
        <v>0.27184208985492692</v>
      </c>
      <c r="E164" s="156">
        <f t="shared" si="129"/>
        <v>0.27834545834769842</v>
      </c>
      <c r="F164" s="156">
        <f t="shared" si="129"/>
        <v>0.27647131568523697</v>
      </c>
      <c r="G164" s="156">
        <f t="shared" si="129"/>
        <v>0.28239953517382199</v>
      </c>
      <c r="H164" s="156">
        <f t="shared" si="129"/>
        <v>0.27001230951660388</v>
      </c>
      <c r="I164" s="156">
        <f t="shared" si="129"/>
        <v>0.26606511456415383</v>
      </c>
      <c r="J164" s="156">
        <f t="shared" si="129"/>
        <v>0.26747306228369105</v>
      </c>
      <c r="K164" s="156">
        <f t="shared" si="129"/>
        <v>0.25895505098587196</v>
      </c>
      <c r="L164" s="156">
        <f t="shared" ref="L164" si="130">IF(L52=0,0,L52/L$17)</f>
        <v>0.2746165279926906</v>
      </c>
      <c r="M164" s="156">
        <f t="shared" ref="M164:V164" si="131">IF(M52=0,0,M52/M$17)</f>
        <v>0.26123260882722638</v>
      </c>
      <c r="N164" s="156">
        <f t="shared" si="131"/>
        <v>0.26765468386680974</v>
      </c>
      <c r="O164" s="156">
        <f t="shared" si="131"/>
        <v>0.29698183144260731</v>
      </c>
      <c r="P164" s="156">
        <f t="shared" si="131"/>
        <v>0.28441072882998714</v>
      </c>
      <c r="Q164" s="156">
        <f t="shared" si="131"/>
        <v>0.28651869918423889</v>
      </c>
      <c r="R164" s="156">
        <f t="shared" si="131"/>
        <v>0.28849736938873038</v>
      </c>
      <c r="S164" s="156">
        <f t="shared" si="131"/>
        <v>0.29374242613476687</v>
      </c>
      <c r="T164" s="156">
        <f t="shared" si="131"/>
        <v>0.30598510985442462</v>
      </c>
      <c r="U164" s="156">
        <f t="shared" si="131"/>
        <v>0.32031684594285331</v>
      </c>
      <c r="V164" s="156">
        <f t="shared" si="131"/>
        <v>0.32275916169859287</v>
      </c>
      <c r="W164" s="156">
        <f t="shared" ref="W164" si="132">IF(W52=0,0,W52/W$17)</f>
        <v>0.32785030194184761</v>
      </c>
      <c r="DA164" s="213"/>
    </row>
    <row r="165" spans="1:105" ht="11.45" customHeight="1" x14ac:dyDescent="0.25">
      <c r="A165" s="162" t="s">
        <v>27</v>
      </c>
      <c r="B165" s="104">
        <f t="shared" ref="B165:K165" si="133">IF(B53=0,0,B53/B$17)</f>
        <v>0.10060408847718837</v>
      </c>
      <c r="C165" s="104">
        <f t="shared" si="133"/>
        <v>9.7300135866764365E-2</v>
      </c>
      <c r="D165" s="104">
        <f t="shared" si="133"/>
        <v>9.006531499043828E-2</v>
      </c>
      <c r="E165" s="104">
        <f t="shared" si="133"/>
        <v>8.8288281214869271E-2</v>
      </c>
      <c r="F165" s="104">
        <f t="shared" si="133"/>
        <v>8.1654798953234964E-2</v>
      </c>
      <c r="G165" s="104">
        <f t="shared" si="133"/>
        <v>7.9145312974070403E-2</v>
      </c>
      <c r="H165" s="104">
        <f t="shared" si="133"/>
        <v>8.9194855233295747E-2</v>
      </c>
      <c r="I165" s="104">
        <f t="shared" si="133"/>
        <v>8.7167524016825385E-2</v>
      </c>
      <c r="J165" s="104">
        <f t="shared" si="133"/>
        <v>8.7125891810369699E-2</v>
      </c>
      <c r="K165" s="104">
        <f t="shared" si="133"/>
        <v>8.5082652756054714E-2</v>
      </c>
      <c r="L165" s="104">
        <f t="shared" ref="L165" si="134">IF(L53=0,0,L53/L$17)</f>
        <v>8.3145812767363506E-2</v>
      </c>
      <c r="M165" s="104">
        <f t="shared" ref="M165:V165" si="135">IF(M53=0,0,M53/M$17)</f>
        <v>8.6210364515637058E-2</v>
      </c>
      <c r="N165" s="104">
        <f t="shared" si="135"/>
        <v>8.5551995638484715E-2</v>
      </c>
      <c r="O165" s="104">
        <f t="shared" si="135"/>
        <v>8.3726399054707856E-2</v>
      </c>
      <c r="P165" s="104">
        <f t="shared" si="135"/>
        <v>8.5217776159933381E-2</v>
      </c>
      <c r="Q165" s="104">
        <f t="shared" si="135"/>
        <v>8.7559589068255034E-2</v>
      </c>
      <c r="R165" s="104">
        <f t="shared" si="135"/>
        <v>8.9393304172381879E-2</v>
      </c>
      <c r="S165" s="104">
        <f t="shared" si="135"/>
        <v>8.9410469183080044E-2</v>
      </c>
      <c r="T165" s="104">
        <f t="shared" si="135"/>
        <v>8.9834646080689612E-2</v>
      </c>
      <c r="U165" s="104">
        <f t="shared" si="135"/>
        <v>9.0993650561621536E-2</v>
      </c>
      <c r="V165" s="104">
        <f t="shared" si="135"/>
        <v>9.6259333891439175E-2</v>
      </c>
      <c r="W165" s="104">
        <f t="shared" ref="W165" si="136">IF(W53=0,0,W53/W$17)</f>
        <v>9.6952643644030237E-2</v>
      </c>
      <c r="DA165" s="195"/>
    </row>
    <row r="166" spans="1:105" ht="11.45" customHeight="1" x14ac:dyDescent="0.25">
      <c r="A166" s="158" t="s">
        <v>116</v>
      </c>
      <c r="B166" s="105">
        <f t="shared" ref="B166:K166" si="137">IF(B55=0,0,B55/B$17)</f>
        <v>0.14366347348690583</v>
      </c>
      <c r="C166" s="105">
        <f t="shared" si="137"/>
        <v>0.16950675904422255</v>
      </c>
      <c r="D166" s="105">
        <f t="shared" si="137"/>
        <v>0.18177677486448862</v>
      </c>
      <c r="E166" s="105">
        <f t="shared" si="137"/>
        <v>0.19005717713282916</v>
      </c>
      <c r="F166" s="105">
        <f t="shared" si="137"/>
        <v>0.19481651673200204</v>
      </c>
      <c r="G166" s="105">
        <f t="shared" si="137"/>
        <v>0.20325422219975159</v>
      </c>
      <c r="H166" s="105">
        <f t="shared" si="137"/>
        <v>0.18081745428330814</v>
      </c>
      <c r="I166" s="105">
        <f t="shared" si="137"/>
        <v>0.17889759054732846</v>
      </c>
      <c r="J166" s="105">
        <f t="shared" si="137"/>
        <v>0.18034717047332136</v>
      </c>
      <c r="K166" s="105">
        <f t="shared" si="137"/>
        <v>0.1738723982298172</v>
      </c>
      <c r="L166" s="105">
        <f t="shared" ref="L166" si="138">IF(L55=0,0,L55/L$17)</f>
        <v>0.1914707152253271</v>
      </c>
      <c r="M166" s="105">
        <f t="shared" ref="M166:V166" si="139">IF(M55=0,0,M55/M$17)</f>
        <v>0.17502224431158933</v>
      </c>
      <c r="N166" s="105">
        <f t="shared" si="139"/>
        <v>0.18210268822832501</v>
      </c>
      <c r="O166" s="105">
        <f t="shared" si="139"/>
        <v>0.2132554323878994</v>
      </c>
      <c r="P166" s="105">
        <f t="shared" si="139"/>
        <v>0.19919295267005374</v>
      </c>
      <c r="Q166" s="105">
        <f t="shared" si="139"/>
        <v>0.19895911011598386</v>
      </c>
      <c r="R166" s="105">
        <f t="shared" si="139"/>
        <v>0.19910406521634849</v>
      </c>
      <c r="S166" s="105">
        <f t="shared" si="139"/>
        <v>0.20433195695168682</v>
      </c>
      <c r="T166" s="105">
        <f t="shared" si="139"/>
        <v>0.21615046377373501</v>
      </c>
      <c r="U166" s="105">
        <f t="shared" si="139"/>
        <v>0.22932319538123178</v>
      </c>
      <c r="V166" s="105">
        <f t="shared" si="139"/>
        <v>0.22649982780715364</v>
      </c>
      <c r="W166" s="105">
        <f t="shared" ref="W166" si="140">IF(W55=0,0,W55/W$17)</f>
        <v>0.23089765829781733</v>
      </c>
      <c r="DA166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DA160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738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 t="shared" ref="B4:K4" si="0">B5+B9+B10+B15</f>
        <v>17798.201511120002</v>
      </c>
      <c r="C4" s="146">
        <f t="shared" si="0"/>
        <v>19137.494764800002</v>
      </c>
      <c r="D4" s="146">
        <f t="shared" si="0"/>
        <v>21236.565013200001</v>
      </c>
      <c r="E4" s="146">
        <f t="shared" si="0"/>
        <v>22718.072040480001</v>
      </c>
      <c r="F4" s="146">
        <f t="shared" si="0"/>
        <v>23032.312335360002</v>
      </c>
      <c r="G4" s="146">
        <f t="shared" si="0"/>
        <v>23724.341958239998</v>
      </c>
      <c r="H4" s="146">
        <f t="shared" si="0"/>
        <v>22563.394295040001</v>
      </c>
      <c r="I4" s="146">
        <f t="shared" si="0"/>
        <v>22733.268906599998</v>
      </c>
      <c r="J4" s="146">
        <f t="shared" si="0"/>
        <v>21728.57470488</v>
      </c>
      <c r="K4" s="146">
        <f t="shared" si="0"/>
        <v>20798.693907119999</v>
      </c>
      <c r="L4" s="146">
        <f t="shared" ref="L4" si="1">L5+L9+L10+L15</f>
        <v>21625.751645279997</v>
      </c>
      <c r="M4" s="146">
        <f t="shared" ref="M4:V4" si="2">M5+M9+M10+M15</f>
        <v>20647.225249199997</v>
      </c>
      <c r="N4" s="146">
        <f t="shared" si="2"/>
        <v>20593.291339440002</v>
      </c>
      <c r="O4" s="146">
        <f t="shared" si="2"/>
        <v>21927.949169399995</v>
      </c>
      <c r="P4" s="146">
        <f t="shared" si="2"/>
        <v>21567.498315479999</v>
      </c>
      <c r="Q4" s="146">
        <f t="shared" si="2"/>
        <v>22016.921388840001</v>
      </c>
      <c r="R4" s="146">
        <f t="shared" si="2"/>
        <v>22797.887559119998</v>
      </c>
      <c r="S4" s="146">
        <f t="shared" si="2"/>
        <v>23273.951638319999</v>
      </c>
      <c r="T4" s="146">
        <f t="shared" si="2"/>
        <v>23617.369216080002</v>
      </c>
      <c r="U4" s="146">
        <f t="shared" si="2"/>
        <v>23699.35906056</v>
      </c>
      <c r="V4" s="146">
        <f t="shared" si="2"/>
        <v>20768.623595640001</v>
      </c>
      <c r="W4" s="146">
        <f t="shared" ref="W4" si="3">W5+W9+W10+W15</f>
        <v>21604.245742079998</v>
      </c>
      <c r="DA4" s="206" t="s">
        <v>739</v>
      </c>
    </row>
    <row r="5" spans="1:105" ht="11.45" customHeight="1" x14ac:dyDescent="0.25">
      <c r="A5" s="92" t="s">
        <v>46</v>
      </c>
      <c r="B5" s="101">
        <f t="shared" ref="B5:K5" si="4">SUM(B6:B8)</f>
        <v>17798.201511120002</v>
      </c>
      <c r="C5" s="101">
        <f t="shared" si="4"/>
        <v>19137.494764800002</v>
      </c>
      <c r="D5" s="101">
        <f t="shared" si="4"/>
        <v>21236.565013200001</v>
      </c>
      <c r="E5" s="101">
        <f t="shared" si="4"/>
        <v>22718.072040480001</v>
      </c>
      <c r="F5" s="101">
        <f t="shared" si="4"/>
        <v>23031.504495360001</v>
      </c>
      <c r="G5" s="101">
        <f t="shared" si="4"/>
        <v>23723.474741999999</v>
      </c>
      <c r="H5" s="101">
        <f t="shared" si="4"/>
        <v>22562.54666892</v>
      </c>
      <c r="I5" s="101">
        <f t="shared" si="4"/>
        <v>22729.04935632</v>
      </c>
      <c r="J5" s="101">
        <f t="shared" si="4"/>
        <v>21720.91597776</v>
      </c>
      <c r="K5" s="101">
        <f t="shared" si="4"/>
        <v>20780.230521959998</v>
      </c>
      <c r="L5" s="101">
        <f t="shared" ref="L5" si="5">SUM(L6:L8)</f>
        <v>21600.287720639997</v>
      </c>
      <c r="M5" s="101">
        <f t="shared" ref="M5:V5" si="6">SUM(M6:M8)</f>
        <v>20619.956609999997</v>
      </c>
      <c r="N5" s="101">
        <f t="shared" si="6"/>
        <v>20563.412569200002</v>
      </c>
      <c r="O5" s="101">
        <f t="shared" si="6"/>
        <v>21891.607275239996</v>
      </c>
      <c r="P5" s="101">
        <f t="shared" si="6"/>
        <v>21528.100968480001</v>
      </c>
      <c r="Q5" s="101">
        <f t="shared" si="6"/>
        <v>21976.169698080001</v>
      </c>
      <c r="R5" s="101">
        <f t="shared" si="6"/>
        <v>22757.252197319998</v>
      </c>
      <c r="S5" s="101">
        <f t="shared" si="6"/>
        <v>23233.749480719998</v>
      </c>
      <c r="T5" s="101">
        <f t="shared" si="6"/>
        <v>23578.290763920002</v>
      </c>
      <c r="U5" s="101">
        <f t="shared" si="6"/>
        <v>23656.271904360001</v>
      </c>
      <c r="V5" s="101">
        <f t="shared" si="6"/>
        <v>20722.928933880001</v>
      </c>
      <c r="W5" s="101">
        <f t="shared" ref="W5" si="7">SUM(W6:W8)</f>
        <v>21560.801116679999</v>
      </c>
      <c r="DA5" s="175"/>
    </row>
    <row r="6" spans="1:105" ht="11.45" customHeight="1" x14ac:dyDescent="0.25">
      <c r="A6" s="128" t="s">
        <v>52</v>
      </c>
      <c r="B6" s="101">
        <v>43.539075719999992</v>
      </c>
      <c r="C6" s="101">
        <v>46.441499040000004</v>
      </c>
      <c r="D6" s="101">
        <v>60.954524280000001</v>
      </c>
      <c r="E6" s="101">
        <v>72.56489904</v>
      </c>
      <c r="F6" s="101">
        <v>60.954524280000001</v>
      </c>
      <c r="G6" s="101">
        <v>58.641126840000005</v>
      </c>
      <c r="H6" s="101">
        <v>59.68901592000001</v>
      </c>
      <c r="I6" s="101">
        <v>58.107073679999992</v>
      </c>
      <c r="J6" s="101">
        <v>63.067793760000022</v>
      </c>
      <c r="K6" s="101">
        <v>59.48888796</v>
      </c>
      <c r="L6" s="101">
        <v>55.970861040000003</v>
      </c>
      <c r="M6" s="101">
        <v>53.764910280000002</v>
      </c>
      <c r="N6" s="101">
        <v>56.75706180000001</v>
      </c>
      <c r="O6" s="101">
        <v>53.085701880000016</v>
      </c>
      <c r="P6" s="101">
        <v>46.673429399999996</v>
      </c>
      <c r="Q6" s="101">
        <v>35.509878359999995</v>
      </c>
      <c r="R6" s="101">
        <v>32.204018879999992</v>
      </c>
      <c r="S6" s="101">
        <v>30.658649400000016</v>
      </c>
      <c r="T6" s="101">
        <v>21.733078680000002</v>
      </c>
      <c r="U6" s="101">
        <v>13.87856736</v>
      </c>
      <c r="V6" s="101">
        <v>8.0698589999999992</v>
      </c>
      <c r="W6" s="101">
        <v>6.6264843600000001</v>
      </c>
      <c r="DA6" s="175" t="s">
        <v>740</v>
      </c>
    </row>
    <row r="7" spans="1:105" ht="11.45" customHeight="1" x14ac:dyDescent="0.25">
      <c r="A7" s="128" t="s">
        <v>53</v>
      </c>
      <c r="B7" s="101">
        <v>5839.4119568400001</v>
      </c>
      <c r="C7" s="101">
        <v>5865.9815768400003</v>
      </c>
      <c r="D7" s="101">
        <v>6323.5695599999999</v>
      </c>
      <c r="E7" s="101">
        <v>6474.1307399999996</v>
      </c>
      <c r="F7" s="101">
        <v>6367.8522599999997</v>
      </c>
      <c r="G7" s="101">
        <v>6205.4855146800001</v>
      </c>
      <c r="H7" s="101">
        <v>5967.8713659600007</v>
      </c>
      <c r="I7" s="101">
        <v>5822.1472676400008</v>
      </c>
      <c r="J7" s="101">
        <v>5483.5689002399995</v>
      </c>
      <c r="K7" s="101">
        <v>5162.1839107199994</v>
      </c>
      <c r="L7" s="101">
        <v>5141.1590963999988</v>
      </c>
      <c r="M7" s="101">
        <v>4752.8829781199993</v>
      </c>
      <c r="N7" s="101">
        <v>4620.0240651600006</v>
      </c>
      <c r="O7" s="101">
        <v>4542.5495678399984</v>
      </c>
      <c r="P7" s="101">
        <v>4462.6303774800008</v>
      </c>
      <c r="Q7" s="101">
        <v>4511.1989761200002</v>
      </c>
      <c r="R7" s="101">
        <v>4459.0477150799998</v>
      </c>
      <c r="S7" s="101">
        <v>4411.3405532400002</v>
      </c>
      <c r="T7" s="101">
        <v>4577.7929083200006</v>
      </c>
      <c r="U7" s="101">
        <v>4557.7197716399987</v>
      </c>
      <c r="V7" s="101">
        <v>3780.94201092</v>
      </c>
      <c r="W7" s="101">
        <v>3992.0089582800001</v>
      </c>
      <c r="DA7" s="175" t="s">
        <v>741</v>
      </c>
    </row>
    <row r="8" spans="1:105" ht="11.45" customHeight="1" x14ac:dyDescent="0.25">
      <c r="A8" s="128" t="s">
        <v>54</v>
      </c>
      <c r="B8" s="101">
        <v>11915.250478560001</v>
      </c>
      <c r="C8" s="101">
        <v>13225.071688919999</v>
      </c>
      <c r="D8" s="101">
        <v>14852.04092892</v>
      </c>
      <c r="E8" s="101">
        <v>16171.37640144</v>
      </c>
      <c r="F8" s="101">
        <v>16602.69771108</v>
      </c>
      <c r="G8" s="101">
        <v>17459.348100479998</v>
      </c>
      <c r="H8" s="101">
        <v>16534.986287039999</v>
      </c>
      <c r="I8" s="101">
        <v>16848.795015</v>
      </c>
      <c r="J8" s="101">
        <v>16174.279283759999</v>
      </c>
      <c r="K8" s="101">
        <v>15558.557723279999</v>
      </c>
      <c r="L8" s="101">
        <v>16403.157763199997</v>
      </c>
      <c r="M8" s="101">
        <v>15813.308721599999</v>
      </c>
      <c r="N8" s="101">
        <v>15886.631442239999</v>
      </c>
      <c r="O8" s="101">
        <v>17295.972005519998</v>
      </c>
      <c r="P8" s="101">
        <v>17018.7971616</v>
      </c>
      <c r="Q8" s="101">
        <v>17429.460843600002</v>
      </c>
      <c r="R8" s="101">
        <v>18266.000463359997</v>
      </c>
      <c r="S8" s="101">
        <v>18791.750278079999</v>
      </c>
      <c r="T8" s="101">
        <v>18978.764776920001</v>
      </c>
      <c r="U8" s="101">
        <v>19084.673565360001</v>
      </c>
      <c r="V8" s="101">
        <v>16933.917063960002</v>
      </c>
      <c r="W8" s="101">
        <v>17562.165674039999</v>
      </c>
      <c r="DA8" s="175" t="s">
        <v>742</v>
      </c>
    </row>
    <row r="9" spans="1:105" ht="11.45" customHeight="1" x14ac:dyDescent="0.25">
      <c r="A9" s="92" t="s">
        <v>55</v>
      </c>
      <c r="B9" s="101">
        <v>0</v>
      </c>
      <c r="C9" s="101">
        <v>0</v>
      </c>
      <c r="D9" s="101">
        <v>0</v>
      </c>
      <c r="E9" s="101">
        <v>0</v>
      </c>
      <c r="F9" s="101">
        <v>0.80783999999999989</v>
      </c>
      <c r="G9" s="101">
        <v>0.86721623999999975</v>
      </c>
      <c r="H9" s="101">
        <v>0.84762612000000026</v>
      </c>
      <c r="I9" s="101">
        <v>4.21955028</v>
      </c>
      <c r="J9" s="101">
        <v>7.65872712</v>
      </c>
      <c r="K9" s="101">
        <v>18.463385160000005</v>
      </c>
      <c r="L9" s="101">
        <v>25.463924639999998</v>
      </c>
      <c r="M9" s="101">
        <v>27.268639200000003</v>
      </c>
      <c r="N9" s="101">
        <v>29.878770239999994</v>
      </c>
      <c r="O9" s="101">
        <v>36.34189416000001</v>
      </c>
      <c r="P9" s="101">
        <v>39.397346999999989</v>
      </c>
      <c r="Q9" s="101">
        <v>40.751690759999995</v>
      </c>
      <c r="R9" s="101">
        <v>40.63536180000002</v>
      </c>
      <c r="S9" s="101">
        <v>40.2021576</v>
      </c>
      <c r="T9" s="101">
        <v>39.078452159999998</v>
      </c>
      <c r="U9" s="101">
        <v>43.087156199999995</v>
      </c>
      <c r="V9" s="101">
        <v>45.69466176000001</v>
      </c>
      <c r="W9" s="101">
        <v>43.444625399999993</v>
      </c>
      <c r="DA9" s="175" t="s">
        <v>743</v>
      </c>
    </row>
    <row r="10" spans="1:105" ht="11.45" customHeight="1" x14ac:dyDescent="0.25">
      <c r="A10" s="92" t="s">
        <v>56</v>
      </c>
      <c r="B10" s="101">
        <f t="shared" ref="B10:K10" si="8">SUM(B11:B14)</f>
        <v>0</v>
      </c>
      <c r="C10" s="101">
        <f t="shared" si="8"/>
        <v>0</v>
      </c>
      <c r="D10" s="101">
        <f t="shared" si="8"/>
        <v>0</v>
      </c>
      <c r="E10" s="101">
        <f t="shared" si="8"/>
        <v>0</v>
      </c>
      <c r="F10" s="101">
        <f t="shared" si="8"/>
        <v>0</v>
      </c>
      <c r="G10" s="101">
        <f t="shared" si="8"/>
        <v>0</v>
      </c>
      <c r="H10" s="101">
        <f t="shared" si="8"/>
        <v>0</v>
      </c>
      <c r="I10" s="101">
        <f t="shared" si="8"/>
        <v>0</v>
      </c>
      <c r="J10" s="101">
        <f t="shared" si="8"/>
        <v>0</v>
      </c>
      <c r="K10" s="101">
        <f t="shared" si="8"/>
        <v>0</v>
      </c>
      <c r="L10" s="101">
        <f t="shared" ref="L10" si="9">SUM(L11:L14)</f>
        <v>0</v>
      </c>
      <c r="M10" s="101">
        <f t="shared" ref="M10:V10" si="10">SUM(M11:M14)</f>
        <v>0</v>
      </c>
      <c r="N10" s="101">
        <f t="shared" si="10"/>
        <v>0</v>
      </c>
      <c r="O10" s="101">
        <f t="shared" si="10"/>
        <v>0</v>
      </c>
      <c r="P10" s="101">
        <f t="shared" si="10"/>
        <v>0</v>
      </c>
      <c r="Q10" s="101">
        <f t="shared" si="10"/>
        <v>0</v>
      </c>
      <c r="R10" s="101">
        <f t="shared" si="10"/>
        <v>0</v>
      </c>
      <c r="S10" s="101">
        <f t="shared" si="10"/>
        <v>0</v>
      </c>
      <c r="T10" s="101">
        <f t="shared" si="10"/>
        <v>0</v>
      </c>
      <c r="U10" s="101">
        <f t="shared" si="10"/>
        <v>0</v>
      </c>
      <c r="V10" s="101">
        <f t="shared" si="10"/>
        <v>0</v>
      </c>
      <c r="W10" s="101">
        <f t="shared" ref="W10" si="11">SUM(W11:W14)</f>
        <v>0</v>
      </c>
      <c r="DA10" s="175"/>
    </row>
    <row r="11" spans="1:105" ht="11.45" customHeight="1" x14ac:dyDescent="0.25">
      <c r="A11" s="128" t="s">
        <v>57</v>
      </c>
      <c r="B11" s="101">
        <v>0</v>
      </c>
      <c r="C11" s="101">
        <v>0</v>
      </c>
      <c r="D11" s="101">
        <v>0</v>
      </c>
      <c r="E11" s="101">
        <v>0</v>
      </c>
      <c r="F11" s="101">
        <v>0</v>
      </c>
      <c r="G11" s="101">
        <v>0</v>
      </c>
      <c r="H11" s="101">
        <v>0</v>
      </c>
      <c r="I11" s="101">
        <v>0</v>
      </c>
      <c r="J11" s="101">
        <v>0</v>
      </c>
      <c r="K11" s="101">
        <v>0</v>
      </c>
      <c r="L11" s="101">
        <v>0</v>
      </c>
      <c r="M11" s="101">
        <v>0</v>
      </c>
      <c r="N11" s="101">
        <v>0</v>
      </c>
      <c r="O11" s="101">
        <v>0</v>
      </c>
      <c r="P11" s="101">
        <v>0</v>
      </c>
      <c r="Q11" s="101">
        <v>0</v>
      </c>
      <c r="R11" s="101">
        <v>0</v>
      </c>
      <c r="S11" s="101">
        <v>0</v>
      </c>
      <c r="T11" s="101">
        <v>0</v>
      </c>
      <c r="U11" s="101">
        <v>0</v>
      </c>
      <c r="V11" s="101">
        <v>0</v>
      </c>
      <c r="W11" s="101">
        <v>0</v>
      </c>
      <c r="DA11" s="175" t="s">
        <v>744</v>
      </c>
    </row>
    <row r="12" spans="1:105" ht="11.45" customHeight="1" x14ac:dyDescent="0.25">
      <c r="A12" s="128" t="s">
        <v>58</v>
      </c>
      <c r="B12" s="101">
        <v>0</v>
      </c>
      <c r="C12" s="101">
        <v>0</v>
      </c>
      <c r="D12" s="101">
        <v>0</v>
      </c>
      <c r="E12" s="101">
        <v>0</v>
      </c>
      <c r="F12" s="101">
        <v>0</v>
      </c>
      <c r="G12" s="101">
        <v>0</v>
      </c>
      <c r="H12" s="101">
        <v>0</v>
      </c>
      <c r="I12" s="101">
        <v>0</v>
      </c>
      <c r="J12" s="101">
        <v>0</v>
      </c>
      <c r="K12" s="101">
        <v>0</v>
      </c>
      <c r="L12" s="101">
        <v>0</v>
      </c>
      <c r="M12" s="101">
        <v>0</v>
      </c>
      <c r="N12" s="101">
        <v>0</v>
      </c>
      <c r="O12" s="101">
        <v>0</v>
      </c>
      <c r="P12" s="101">
        <v>0</v>
      </c>
      <c r="Q12" s="101">
        <v>0</v>
      </c>
      <c r="R12" s="101">
        <v>0</v>
      </c>
      <c r="S12" s="101">
        <v>0</v>
      </c>
      <c r="T12" s="101">
        <v>0</v>
      </c>
      <c r="U12" s="101">
        <v>0</v>
      </c>
      <c r="V12" s="101">
        <v>0</v>
      </c>
      <c r="W12" s="101">
        <v>0</v>
      </c>
      <c r="DA12" s="175" t="s">
        <v>745</v>
      </c>
    </row>
    <row r="13" spans="1:105" ht="11.45" customHeight="1" x14ac:dyDescent="0.25">
      <c r="A13" s="128" t="s">
        <v>59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75" t="s">
        <v>746</v>
      </c>
    </row>
    <row r="14" spans="1:105" ht="11.45" customHeight="1" x14ac:dyDescent="0.25">
      <c r="A14" s="128" t="s">
        <v>60</v>
      </c>
      <c r="B14" s="101">
        <v>0</v>
      </c>
      <c r="C14" s="101">
        <v>0</v>
      </c>
      <c r="D14" s="101">
        <v>0</v>
      </c>
      <c r="E14" s="101">
        <v>0</v>
      </c>
      <c r="F14" s="101">
        <v>0</v>
      </c>
      <c r="G14" s="101">
        <v>0</v>
      </c>
      <c r="H14" s="101">
        <v>0</v>
      </c>
      <c r="I14" s="101">
        <v>0</v>
      </c>
      <c r="J14" s="101">
        <v>0</v>
      </c>
      <c r="K14" s="101">
        <v>0</v>
      </c>
      <c r="L14" s="101">
        <v>0</v>
      </c>
      <c r="M14" s="101">
        <v>0</v>
      </c>
      <c r="N14" s="101">
        <v>0</v>
      </c>
      <c r="O14" s="101">
        <v>0</v>
      </c>
      <c r="P14" s="101">
        <v>0</v>
      </c>
      <c r="Q14" s="101">
        <v>0</v>
      </c>
      <c r="R14" s="101">
        <v>0</v>
      </c>
      <c r="S14" s="101">
        <v>0</v>
      </c>
      <c r="T14" s="101">
        <v>0</v>
      </c>
      <c r="U14" s="101">
        <v>0</v>
      </c>
      <c r="V14" s="101">
        <v>0</v>
      </c>
      <c r="W14" s="101">
        <v>0</v>
      </c>
      <c r="DA14" s="175" t="s">
        <v>747</v>
      </c>
    </row>
    <row r="15" spans="1:105" ht="11.45" customHeight="1" x14ac:dyDescent="0.25">
      <c r="A15" s="85" t="s">
        <v>91</v>
      </c>
      <c r="B15" s="88">
        <v>0</v>
      </c>
      <c r="C15" s="88">
        <v>0</v>
      </c>
      <c r="D15" s="88">
        <v>0</v>
      </c>
      <c r="E15" s="88">
        <v>0</v>
      </c>
      <c r="F15" s="88">
        <v>0</v>
      </c>
      <c r="G15" s="88">
        <v>0</v>
      </c>
      <c r="H15" s="88">
        <v>0</v>
      </c>
      <c r="I15" s="88">
        <v>0</v>
      </c>
      <c r="J15" s="88">
        <v>0</v>
      </c>
      <c r="K15" s="88">
        <v>0</v>
      </c>
      <c r="L15" s="88">
        <v>0</v>
      </c>
      <c r="M15" s="88">
        <v>0</v>
      </c>
      <c r="N15" s="88">
        <v>0</v>
      </c>
      <c r="O15" s="88">
        <v>0</v>
      </c>
      <c r="P15" s="88">
        <v>0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0</v>
      </c>
      <c r="DA15" s="178" t="s">
        <v>748</v>
      </c>
    </row>
    <row r="16" spans="1:105" ht="11.45" customHeight="1" x14ac:dyDescent="0.2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DA16" s="208"/>
    </row>
    <row r="17" spans="1:105" ht="11.45" customHeight="1" x14ac:dyDescent="0.25">
      <c r="A17" s="53" t="s">
        <v>47</v>
      </c>
      <c r="B17" s="79">
        <f t="shared" ref="B17:K17" si="12">SUM(B18,B33)</f>
        <v>17798.201511120002</v>
      </c>
      <c r="C17" s="79">
        <f t="shared" si="12"/>
        <v>19137.494764800002</v>
      </c>
      <c r="D17" s="79">
        <f t="shared" si="12"/>
        <v>21236.565013200001</v>
      </c>
      <c r="E17" s="79">
        <f t="shared" si="12"/>
        <v>22718.072040479998</v>
      </c>
      <c r="F17" s="79">
        <f t="shared" si="12"/>
        <v>23032.312335359999</v>
      </c>
      <c r="G17" s="79">
        <f t="shared" si="12"/>
        <v>23724.341958239995</v>
      </c>
      <c r="H17" s="79">
        <f t="shared" si="12"/>
        <v>22563.394295040001</v>
      </c>
      <c r="I17" s="79">
        <f t="shared" si="12"/>
        <v>22733.268906600002</v>
      </c>
      <c r="J17" s="79">
        <f t="shared" si="12"/>
        <v>21728.574704880004</v>
      </c>
      <c r="K17" s="79">
        <f t="shared" si="12"/>
        <v>20798.693907119996</v>
      </c>
      <c r="L17" s="79">
        <f t="shared" ref="L17" si="13">SUM(L18,L33)</f>
        <v>21625.751645279997</v>
      </c>
      <c r="M17" s="79">
        <f t="shared" ref="M17:V17" si="14">SUM(M18,M33)</f>
        <v>20647.225249199997</v>
      </c>
      <c r="N17" s="79">
        <f t="shared" si="14"/>
        <v>20593.291339440002</v>
      </c>
      <c r="O17" s="79">
        <f t="shared" si="14"/>
        <v>21927.949169399995</v>
      </c>
      <c r="P17" s="79">
        <f t="shared" si="14"/>
        <v>21567.498315479999</v>
      </c>
      <c r="Q17" s="79">
        <f t="shared" si="14"/>
        <v>22016.921388840001</v>
      </c>
      <c r="R17" s="79">
        <f t="shared" si="14"/>
        <v>22797.887559119998</v>
      </c>
      <c r="S17" s="79">
        <f t="shared" si="14"/>
        <v>23273.951638320003</v>
      </c>
      <c r="T17" s="79">
        <f t="shared" si="14"/>
        <v>23617.369216080006</v>
      </c>
      <c r="U17" s="79">
        <f t="shared" si="14"/>
        <v>23699.359060559997</v>
      </c>
      <c r="V17" s="79">
        <f t="shared" si="14"/>
        <v>20768.623595640005</v>
      </c>
      <c r="W17" s="79">
        <f t="shared" ref="W17" si="15">SUM(W18,W33)</f>
        <v>21604.245742079998</v>
      </c>
      <c r="DA17" s="172" t="s">
        <v>749</v>
      </c>
    </row>
    <row r="18" spans="1:105" ht="11.45" customHeight="1" x14ac:dyDescent="0.25">
      <c r="A18" s="27" t="s">
        <v>33</v>
      </c>
      <c r="B18" s="32">
        <f t="shared" ref="B18:K18" si="16">SUM(B19,B20,B27)</f>
        <v>12035.665434441542</v>
      </c>
      <c r="C18" s="32">
        <f t="shared" si="16"/>
        <v>12578.492191073603</v>
      </c>
      <c r="D18" s="32">
        <f t="shared" si="16"/>
        <v>13957.718343792651</v>
      </c>
      <c r="E18" s="32">
        <f t="shared" si="16"/>
        <v>14875.582427872139</v>
      </c>
      <c r="F18" s="32">
        <f t="shared" si="16"/>
        <v>15152.057547661037</v>
      </c>
      <c r="G18" s="32">
        <f t="shared" si="16"/>
        <v>15516.994272086884</v>
      </c>
      <c r="H18" s="32">
        <f t="shared" si="16"/>
        <v>15047.532137009353</v>
      </c>
      <c r="I18" s="32">
        <f t="shared" si="16"/>
        <v>15251.45525990932</v>
      </c>
      <c r="J18" s="32">
        <f t="shared" si="16"/>
        <v>14498.080935917938</v>
      </c>
      <c r="K18" s="32">
        <f t="shared" si="16"/>
        <v>14042.86147725417</v>
      </c>
      <c r="L18" s="32">
        <f t="shared" ref="L18" si="17">SUM(L19,L20,L27)</f>
        <v>14288.160013755061</v>
      </c>
      <c r="M18" s="32">
        <f t="shared" ref="M18:V18" si="18">SUM(M19,M20,M27)</f>
        <v>13846.968391900738</v>
      </c>
      <c r="N18" s="32">
        <f t="shared" si="18"/>
        <v>13679.217832952661</v>
      </c>
      <c r="O18" s="32">
        <f t="shared" si="18"/>
        <v>13973.192358746921</v>
      </c>
      <c r="P18" s="32">
        <f t="shared" si="18"/>
        <v>13979.264261293763</v>
      </c>
      <c r="Q18" s="32">
        <f t="shared" si="18"/>
        <v>14237.469480213096</v>
      </c>
      <c r="R18" s="32">
        <f t="shared" si="18"/>
        <v>14665.233565320559</v>
      </c>
      <c r="S18" s="32">
        <f t="shared" si="18"/>
        <v>14838.641339713096</v>
      </c>
      <c r="T18" s="32">
        <f t="shared" si="18"/>
        <v>14765.513629878327</v>
      </c>
      <c r="U18" s="32">
        <f t="shared" si="18"/>
        <v>14429.850648635838</v>
      </c>
      <c r="V18" s="32">
        <f t="shared" si="18"/>
        <v>12350.558522913985</v>
      </c>
      <c r="W18" s="32">
        <f t="shared" ref="W18" si="19">SUM(W19,W20,W27)</f>
        <v>12697.582390588104</v>
      </c>
      <c r="DA18" s="173" t="s">
        <v>402</v>
      </c>
    </row>
    <row r="19" spans="1:105" ht="11.45" customHeight="1" x14ac:dyDescent="0.25">
      <c r="A19" s="136" t="s">
        <v>180</v>
      </c>
      <c r="B19" s="141">
        <v>95.748810063378244</v>
      </c>
      <c r="C19" s="141">
        <v>98.164770051777992</v>
      </c>
      <c r="D19" s="141">
        <v>101.17290488141036</v>
      </c>
      <c r="E19" s="141">
        <v>104.04590265306929</v>
      </c>
      <c r="F19" s="141">
        <v>108.8484338820938</v>
      </c>
      <c r="G19" s="141">
        <v>111.52496490971674</v>
      </c>
      <c r="H19" s="141">
        <v>114.6783849669454</v>
      </c>
      <c r="I19" s="141">
        <v>117.99844142562365</v>
      </c>
      <c r="J19" s="141">
        <v>120.2093519246074</v>
      </c>
      <c r="K19" s="141">
        <v>123.21738466447958</v>
      </c>
      <c r="L19" s="141">
        <v>126.72767922654425</v>
      </c>
      <c r="M19" s="141">
        <v>130.47082090713417</v>
      </c>
      <c r="N19" s="141">
        <v>135.44840500538112</v>
      </c>
      <c r="O19" s="141">
        <v>140.60086636781861</v>
      </c>
      <c r="P19" s="141">
        <v>145.99631995492729</v>
      </c>
      <c r="Q19" s="141">
        <v>150.69316121251785</v>
      </c>
      <c r="R19" s="141">
        <v>153.8598392193405</v>
      </c>
      <c r="S19" s="141">
        <v>151.34559272298367</v>
      </c>
      <c r="T19" s="141">
        <v>144.88273189094625</v>
      </c>
      <c r="U19" s="141">
        <v>154.09026586277159</v>
      </c>
      <c r="V19" s="141">
        <v>138.22453417042013</v>
      </c>
      <c r="W19" s="141">
        <v>132.59830074960479</v>
      </c>
      <c r="DA19" s="174" t="s">
        <v>403</v>
      </c>
    </row>
    <row r="20" spans="1:105" ht="11.45" customHeight="1" x14ac:dyDescent="0.25">
      <c r="A20" s="109" t="s">
        <v>20</v>
      </c>
      <c r="B20" s="130">
        <f t="shared" ref="B20:K20" si="20">SUM(B21:B26)</f>
        <v>11148.386374768146</v>
      </c>
      <c r="C20" s="130">
        <f t="shared" si="20"/>
        <v>11686.479927693821</v>
      </c>
      <c r="D20" s="130">
        <f t="shared" si="20"/>
        <v>13035.498495447424</v>
      </c>
      <c r="E20" s="130">
        <f t="shared" si="20"/>
        <v>13926.228839072266</v>
      </c>
      <c r="F20" s="130">
        <f t="shared" si="20"/>
        <v>14206.897826769997</v>
      </c>
      <c r="G20" s="130">
        <f t="shared" si="20"/>
        <v>14582.210029457043</v>
      </c>
      <c r="H20" s="130">
        <f t="shared" si="20"/>
        <v>14151.612369964236</v>
      </c>
      <c r="I20" s="130">
        <f t="shared" si="20"/>
        <v>14315.197617984421</v>
      </c>
      <c r="J20" s="130">
        <f t="shared" si="20"/>
        <v>13590.82643558657</v>
      </c>
      <c r="K20" s="130">
        <f t="shared" si="20"/>
        <v>13212.594218976505</v>
      </c>
      <c r="L20" s="130">
        <f t="shared" ref="L20" si="21">SUM(L21:L26)</f>
        <v>13390.752815500859</v>
      </c>
      <c r="M20" s="130">
        <f t="shared" ref="M20:V20" si="22">SUM(M21:M26)</f>
        <v>12955.910247737305</v>
      </c>
      <c r="N20" s="130">
        <f t="shared" si="22"/>
        <v>12782.977858180202</v>
      </c>
      <c r="O20" s="130">
        <f t="shared" si="22"/>
        <v>13072.616026842379</v>
      </c>
      <c r="P20" s="130">
        <f t="shared" si="22"/>
        <v>13064.610923215632</v>
      </c>
      <c r="Q20" s="130">
        <f t="shared" si="22"/>
        <v>13307.963123471858</v>
      </c>
      <c r="R20" s="130">
        <f t="shared" si="22"/>
        <v>13682.08365627549</v>
      </c>
      <c r="S20" s="130">
        <f t="shared" si="22"/>
        <v>13818.597005469748</v>
      </c>
      <c r="T20" s="130">
        <f t="shared" si="22"/>
        <v>13782.101136527777</v>
      </c>
      <c r="U20" s="130">
        <f t="shared" si="22"/>
        <v>13440.164828533496</v>
      </c>
      <c r="V20" s="130">
        <f t="shared" si="22"/>
        <v>11373.52322148217</v>
      </c>
      <c r="W20" s="130">
        <f t="shared" ref="W20" si="23">SUM(W21:W26)</f>
        <v>11722.428268546002</v>
      </c>
      <c r="DA20" s="176" t="s">
        <v>404</v>
      </c>
    </row>
    <row r="21" spans="1:105" ht="11.45" customHeight="1" x14ac:dyDescent="0.25">
      <c r="A21" s="111" t="s">
        <v>110</v>
      </c>
      <c r="B21" s="96">
        <v>5554.1491281615872</v>
      </c>
      <c r="C21" s="96">
        <v>5594.3928686526815</v>
      </c>
      <c r="D21" s="96">
        <v>6102.7976346840387</v>
      </c>
      <c r="E21" s="96">
        <v>6266.0382464398335</v>
      </c>
      <c r="F21" s="96">
        <v>6167.9452437979817</v>
      </c>
      <c r="G21" s="96">
        <v>6010.7488567384826</v>
      </c>
      <c r="H21" s="96">
        <v>5774.4887922840753</v>
      </c>
      <c r="I21" s="96">
        <v>5629.2125388176573</v>
      </c>
      <c r="J21" s="96">
        <v>5295.0802798257</v>
      </c>
      <c r="K21" s="96">
        <v>4973.9661924947786</v>
      </c>
      <c r="L21" s="96">
        <v>4951.1993070385251</v>
      </c>
      <c r="M21" s="96">
        <v>4557.8997932126895</v>
      </c>
      <c r="N21" s="96">
        <v>4420.2231433067382</v>
      </c>
      <c r="O21" s="96">
        <v>4339.2380590113262</v>
      </c>
      <c r="P21" s="96">
        <v>4252.1531545215776</v>
      </c>
      <c r="Q21" s="96">
        <v>4293.6512456637583</v>
      </c>
      <c r="R21" s="96">
        <v>4238.6318789693696</v>
      </c>
      <c r="S21" s="96">
        <v>4191.6634512157489</v>
      </c>
      <c r="T21" s="96">
        <v>4361.3434167039377</v>
      </c>
      <c r="U21" s="96">
        <v>4331.0096212596227</v>
      </c>
      <c r="V21" s="96">
        <v>3569.8553105240621</v>
      </c>
      <c r="W21" s="96">
        <v>3778.5041054732569</v>
      </c>
      <c r="DA21" s="171" t="s">
        <v>750</v>
      </c>
    </row>
    <row r="22" spans="1:105" ht="11.45" customHeight="1" x14ac:dyDescent="0.25">
      <c r="A22" s="111" t="s">
        <v>111</v>
      </c>
      <c r="B22" s="96">
        <v>5550.6981708865587</v>
      </c>
      <c r="C22" s="96">
        <v>6046.0330151719008</v>
      </c>
      <c r="D22" s="96">
        <v>6873.0498037132838</v>
      </c>
      <c r="E22" s="96">
        <v>7589.622592953473</v>
      </c>
      <c r="F22" s="96">
        <v>7980.7583546280894</v>
      </c>
      <c r="G22" s="96">
        <v>8517.4283750344221</v>
      </c>
      <c r="H22" s="96">
        <v>8322.7978334154013</v>
      </c>
      <c r="I22" s="96">
        <v>8634.4229006475343</v>
      </c>
      <c r="J22" s="96">
        <v>8238.1738435035295</v>
      </c>
      <c r="K22" s="96">
        <v>8185.4677797727136</v>
      </c>
      <c r="L22" s="96">
        <v>8391.1701564926534</v>
      </c>
      <c r="M22" s="96">
        <v>8349.639534923399</v>
      </c>
      <c r="N22" s="96">
        <v>8310.5440250400407</v>
      </c>
      <c r="O22" s="96">
        <v>8683.6352002632921</v>
      </c>
      <c r="P22" s="96">
        <v>8767.8597869013465</v>
      </c>
      <c r="Q22" s="96">
        <v>8977.2248991141769</v>
      </c>
      <c r="R22" s="96">
        <v>9408.010173476925</v>
      </c>
      <c r="S22" s="96">
        <v>9589.87042269415</v>
      </c>
      <c r="T22" s="96">
        <v>9390.8390685632949</v>
      </c>
      <c r="U22" s="96">
        <v>9079.9814348601358</v>
      </c>
      <c r="V22" s="96">
        <v>7779.4210197887451</v>
      </c>
      <c r="W22" s="96">
        <v>7914.3794637302371</v>
      </c>
      <c r="DA22" s="171" t="s">
        <v>751</v>
      </c>
    </row>
    <row r="23" spans="1:105" ht="11.45" customHeight="1" x14ac:dyDescent="0.25">
      <c r="A23" s="111" t="s">
        <v>112</v>
      </c>
      <c r="B23" s="96">
        <v>43.539075719999992</v>
      </c>
      <c r="C23" s="96">
        <v>46.054043869238292</v>
      </c>
      <c r="D23" s="96">
        <v>59.651057050100661</v>
      </c>
      <c r="E23" s="96">
        <v>70.567999678960803</v>
      </c>
      <c r="F23" s="96">
        <v>58.194228343925815</v>
      </c>
      <c r="G23" s="96">
        <v>54.032797684137641</v>
      </c>
      <c r="H23" s="96">
        <v>54.182596855867978</v>
      </c>
      <c r="I23" s="96">
        <v>51.006881036541493</v>
      </c>
      <c r="J23" s="96">
        <v>55.025273317472134</v>
      </c>
      <c r="K23" s="96">
        <v>50.186953983118642</v>
      </c>
      <c r="L23" s="96">
        <v>44.68388073658695</v>
      </c>
      <c r="M23" s="96">
        <v>41.580353710719407</v>
      </c>
      <c r="N23" s="96">
        <v>44.350312226252164</v>
      </c>
      <c r="O23" s="96">
        <v>40.969092472880853</v>
      </c>
      <c r="P23" s="96">
        <v>34.79418997974323</v>
      </c>
      <c r="Q23" s="96">
        <v>25.632477092283708</v>
      </c>
      <c r="R23" s="96">
        <v>23.429062424322098</v>
      </c>
      <c r="S23" s="96">
        <v>23.243360492750323</v>
      </c>
      <c r="T23" s="96">
        <v>14.39826957386064</v>
      </c>
      <c r="U23" s="96">
        <v>11.997485967699157</v>
      </c>
      <c r="V23" s="96">
        <v>6.0352005819515382</v>
      </c>
      <c r="W23" s="96">
        <v>4.4910954089138215</v>
      </c>
      <c r="DA23" s="171" t="s">
        <v>752</v>
      </c>
    </row>
    <row r="24" spans="1:105" ht="11.45" customHeight="1" x14ac:dyDescent="0.25">
      <c r="A24" s="111" t="s">
        <v>113</v>
      </c>
      <c r="B24" s="96">
        <v>0</v>
      </c>
      <c r="C24" s="96">
        <v>0</v>
      </c>
      <c r="D24" s="96">
        <v>0</v>
      </c>
      <c r="E24" s="96">
        <v>0</v>
      </c>
      <c r="F24" s="96">
        <v>0</v>
      </c>
      <c r="G24" s="96">
        <v>0</v>
      </c>
      <c r="H24" s="96">
        <v>0.14314740889202085</v>
      </c>
      <c r="I24" s="96">
        <v>0.55529748268720636</v>
      </c>
      <c r="J24" s="96">
        <v>2.5470389398681514</v>
      </c>
      <c r="K24" s="96">
        <v>2.9732927258944732</v>
      </c>
      <c r="L24" s="96">
        <v>3.6994712330926816</v>
      </c>
      <c r="M24" s="96">
        <v>6.7887086090655382</v>
      </c>
      <c r="N24" s="96">
        <v>7.6806497710563182</v>
      </c>
      <c r="O24" s="96">
        <v>8.5802650941238703</v>
      </c>
      <c r="P24" s="96">
        <v>9.3833820649724426</v>
      </c>
      <c r="Q24" s="96">
        <v>10.404978347572627</v>
      </c>
      <c r="R24" s="96">
        <v>10.097706670923944</v>
      </c>
      <c r="S24" s="96">
        <v>10.304801772657612</v>
      </c>
      <c r="T24" s="96">
        <v>10.253517599872033</v>
      </c>
      <c r="U24" s="96">
        <v>9.9809434947751061</v>
      </c>
      <c r="V24" s="96">
        <v>8.6573911386962266</v>
      </c>
      <c r="W24" s="96">
        <v>8.3877573373211067</v>
      </c>
      <c r="DA24" s="171" t="s">
        <v>753</v>
      </c>
    </row>
    <row r="25" spans="1:105" ht="11.45" customHeight="1" x14ac:dyDescent="0.25">
      <c r="A25" s="111" t="s">
        <v>114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0</v>
      </c>
      <c r="J25" s="96">
        <v>0</v>
      </c>
      <c r="K25" s="96">
        <v>0</v>
      </c>
      <c r="L25" s="96">
        <v>0</v>
      </c>
      <c r="M25" s="96">
        <v>1.8572814330841088E-3</v>
      </c>
      <c r="N25" s="96">
        <v>0.17972783611540777</v>
      </c>
      <c r="O25" s="96">
        <v>0.19341000075669071</v>
      </c>
      <c r="P25" s="96">
        <v>0.42040974799405773</v>
      </c>
      <c r="Q25" s="96">
        <v>1.0495232540653634</v>
      </c>
      <c r="R25" s="96">
        <v>1.9148347339492255</v>
      </c>
      <c r="S25" s="96">
        <v>3.5149692944409585</v>
      </c>
      <c r="T25" s="96">
        <v>5.2668640868106973</v>
      </c>
      <c r="U25" s="96">
        <v>7.1953429512647213</v>
      </c>
      <c r="V25" s="96">
        <v>9.5542994487148398</v>
      </c>
      <c r="W25" s="96">
        <v>16.665846596273546</v>
      </c>
      <c r="DA25" s="171" t="s">
        <v>754</v>
      </c>
    </row>
    <row r="26" spans="1:105" ht="11.45" customHeight="1" x14ac:dyDescent="0.25">
      <c r="A26" s="111" t="s">
        <v>115</v>
      </c>
      <c r="B26" s="96">
        <v>0</v>
      </c>
      <c r="C26" s="96">
        <v>0</v>
      </c>
      <c r="D26" s="96">
        <v>0</v>
      </c>
      <c r="E26" s="96">
        <v>0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96">
        <v>0</v>
      </c>
      <c r="N26" s="96">
        <v>0</v>
      </c>
      <c r="O26" s="96">
        <v>0</v>
      </c>
      <c r="P26" s="96">
        <v>0</v>
      </c>
      <c r="Q26" s="96">
        <v>0</v>
      </c>
      <c r="R26" s="96">
        <v>0</v>
      </c>
      <c r="S26" s="96">
        <v>0</v>
      </c>
      <c r="T26" s="96">
        <v>0</v>
      </c>
      <c r="U26" s="96">
        <v>0</v>
      </c>
      <c r="V26" s="96">
        <v>0</v>
      </c>
      <c r="W26" s="96">
        <v>0</v>
      </c>
      <c r="DA26" s="171" t="s">
        <v>755</v>
      </c>
    </row>
    <row r="27" spans="1:105" ht="11.45" customHeight="1" x14ac:dyDescent="0.25">
      <c r="A27" s="109" t="s">
        <v>21</v>
      </c>
      <c r="B27" s="130">
        <f t="shared" ref="B27:K27" si="24">SUM(B28:B32)</f>
        <v>791.53024961001677</v>
      </c>
      <c r="C27" s="130">
        <f t="shared" si="24"/>
        <v>793.84749332800311</v>
      </c>
      <c r="D27" s="130">
        <f t="shared" si="24"/>
        <v>821.04694346381609</v>
      </c>
      <c r="E27" s="130">
        <f t="shared" si="24"/>
        <v>845.30768614680346</v>
      </c>
      <c r="F27" s="130">
        <f t="shared" si="24"/>
        <v>836.31128700894703</v>
      </c>
      <c r="G27" s="130">
        <f t="shared" si="24"/>
        <v>823.25927772012449</v>
      </c>
      <c r="H27" s="130">
        <f t="shared" si="24"/>
        <v>781.24138207817282</v>
      </c>
      <c r="I27" s="130">
        <f t="shared" si="24"/>
        <v>818.25920049927709</v>
      </c>
      <c r="J27" s="130">
        <f t="shared" si="24"/>
        <v>787.04514840675927</v>
      </c>
      <c r="K27" s="130">
        <f t="shared" si="24"/>
        <v>707.04987361318433</v>
      </c>
      <c r="L27" s="130">
        <f t="shared" ref="L27" si="25">SUM(L28:L32)</f>
        <v>770.6795190276581</v>
      </c>
      <c r="M27" s="130">
        <f t="shared" ref="M27:V27" si="26">SUM(M28:M32)</f>
        <v>760.58732325629853</v>
      </c>
      <c r="N27" s="130">
        <f t="shared" si="26"/>
        <v>760.79156976707873</v>
      </c>
      <c r="O27" s="130">
        <f t="shared" si="26"/>
        <v>759.97546553672316</v>
      </c>
      <c r="P27" s="130">
        <f t="shared" si="26"/>
        <v>768.65701812320344</v>
      </c>
      <c r="Q27" s="130">
        <f t="shared" si="26"/>
        <v>778.8131955287206</v>
      </c>
      <c r="R27" s="130">
        <f t="shared" si="26"/>
        <v>829.2900698257281</v>
      </c>
      <c r="S27" s="130">
        <f t="shared" si="26"/>
        <v>868.69874152036436</v>
      </c>
      <c r="T27" s="130">
        <f t="shared" si="26"/>
        <v>838.52976145960395</v>
      </c>
      <c r="U27" s="130">
        <f t="shared" si="26"/>
        <v>835.59555423957227</v>
      </c>
      <c r="V27" s="130">
        <f t="shared" si="26"/>
        <v>838.81076726139531</v>
      </c>
      <c r="W27" s="130">
        <f t="shared" ref="W27" si="27">SUM(W28:W32)</f>
        <v>842.55582129249694</v>
      </c>
      <c r="DA27" s="176" t="s">
        <v>405</v>
      </c>
    </row>
    <row r="28" spans="1:105" ht="11.45" customHeight="1" x14ac:dyDescent="0.25">
      <c r="A28" s="111" t="s">
        <v>110</v>
      </c>
      <c r="B28" s="97">
        <v>0.37134800164981063</v>
      </c>
      <c r="C28" s="97">
        <v>0.40374237954216624</v>
      </c>
      <c r="D28" s="97">
        <v>0.35800490041892208</v>
      </c>
      <c r="E28" s="97">
        <v>0.33592601487792317</v>
      </c>
      <c r="F28" s="97">
        <v>0.29491243833138087</v>
      </c>
      <c r="G28" s="97">
        <v>0.23118436105404938</v>
      </c>
      <c r="H28" s="97">
        <v>0.19505019336371204</v>
      </c>
      <c r="I28" s="97">
        <v>0.19851311408560449</v>
      </c>
      <c r="J28" s="97">
        <v>0.15494281755388964</v>
      </c>
      <c r="K28" s="97">
        <v>0.10583095031573123</v>
      </c>
      <c r="L28" s="97">
        <v>0.11415471897591349</v>
      </c>
      <c r="M28" s="97">
        <v>8.3082106210708148E-2</v>
      </c>
      <c r="N28" s="97">
        <v>8.3526496112087761E-2</v>
      </c>
      <c r="O28" s="97">
        <v>5.2761713692257885E-2</v>
      </c>
      <c r="P28" s="97">
        <v>6.2926327097911156E-2</v>
      </c>
      <c r="Q28" s="97">
        <v>5.1008965705539845E-2</v>
      </c>
      <c r="R28" s="97">
        <v>6.7553620261538203E-2</v>
      </c>
      <c r="S28" s="97">
        <v>6.8387780609680454E-2</v>
      </c>
      <c r="T28" s="97">
        <v>6.8077627734637922E-2</v>
      </c>
      <c r="U28" s="97">
        <v>6.6638889525534609E-2</v>
      </c>
      <c r="V28" s="97">
        <v>4.8727404933601316E-2</v>
      </c>
      <c r="W28" s="97">
        <v>6.5240664451062455E-2</v>
      </c>
      <c r="DA28" s="175" t="s">
        <v>756</v>
      </c>
    </row>
    <row r="29" spans="1:105" ht="11.45" customHeight="1" x14ac:dyDescent="0.25">
      <c r="A29" s="111" t="s">
        <v>111</v>
      </c>
      <c r="B29" s="97">
        <v>791.15890160836693</v>
      </c>
      <c r="C29" s="97">
        <v>793.05629577769912</v>
      </c>
      <c r="D29" s="97">
        <v>819.38547133349789</v>
      </c>
      <c r="E29" s="97">
        <v>843.04210758088152</v>
      </c>
      <c r="F29" s="97">
        <v>832.62679571173999</v>
      </c>
      <c r="G29" s="97">
        <v>818.33860267564739</v>
      </c>
      <c r="H29" s="97">
        <v>775.84019567429084</v>
      </c>
      <c r="I29" s="97">
        <v>808.54087977768552</v>
      </c>
      <c r="J29" s="97">
        <v>775.23395125874299</v>
      </c>
      <c r="K29" s="97">
        <v>683.22280606875825</v>
      </c>
      <c r="L29" s="97">
        <v>738.51668318185841</v>
      </c>
      <c r="M29" s="97">
        <v>728.83097801789734</v>
      </c>
      <c r="N29" s="97">
        <v>727.2480360540244</v>
      </c>
      <c r="O29" s="97">
        <v>723.33186868585108</v>
      </c>
      <c r="P29" s="97">
        <v>730.13416289094823</v>
      </c>
      <c r="Q29" s="97">
        <v>742.00530781338125</v>
      </c>
      <c r="R29" s="97">
        <v>795.5327019003397</v>
      </c>
      <c r="S29" s="97">
        <v>836.6677938284804</v>
      </c>
      <c r="T29" s="97">
        <v>807.67865002423332</v>
      </c>
      <c r="U29" s="97">
        <v>805.85703699639464</v>
      </c>
      <c r="V29" s="97">
        <v>804.75352076818501</v>
      </c>
      <c r="W29" s="97">
        <v>810.3100759392986</v>
      </c>
      <c r="DA29" s="175" t="s">
        <v>757</v>
      </c>
    </row>
    <row r="30" spans="1:105" ht="11.45" customHeight="1" x14ac:dyDescent="0.25">
      <c r="A30" s="111" t="s">
        <v>112</v>
      </c>
      <c r="B30" s="97">
        <v>0</v>
      </c>
      <c r="C30" s="97">
        <v>0.38745517076171265</v>
      </c>
      <c r="D30" s="97">
        <v>1.3034672298993382</v>
      </c>
      <c r="E30" s="97">
        <v>1.9296525510440343</v>
      </c>
      <c r="F30" s="97">
        <v>2.5817388588756409</v>
      </c>
      <c r="G30" s="97">
        <v>3.822274443423161</v>
      </c>
      <c r="H30" s="97">
        <v>4.7441706208870444</v>
      </c>
      <c r="I30" s="97">
        <v>6.3437114887561812</v>
      </c>
      <c r="J30" s="97">
        <v>7.329462128552108</v>
      </c>
      <c r="K30" s="97">
        <v>8.6348609075109017</v>
      </c>
      <c r="L30" s="97">
        <v>10.664844572156023</v>
      </c>
      <c r="M30" s="97">
        <v>11.60874489234717</v>
      </c>
      <c r="N30" s="97">
        <v>11.807523460813215</v>
      </c>
      <c r="O30" s="97">
        <v>11.477924501066553</v>
      </c>
      <c r="P30" s="97">
        <v>11.163019534787598</v>
      </c>
      <c r="Q30" s="97">
        <v>9.1302042065436844</v>
      </c>
      <c r="R30" s="97">
        <v>7.5317078149118526</v>
      </c>
      <c r="S30" s="97">
        <v>6.1430513172493244</v>
      </c>
      <c r="T30" s="97">
        <v>6.059459096306389</v>
      </c>
      <c r="U30" s="97">
        <v>0.49805974797440561</v>
      </c>
      <c r="V30" s="97">
        <v>0.49867708692298413</v>
      </c>
      <c r="W30" s="97">
        <v>0.45951971761246974</v>
      </c>
      <c r="DA30" s="175" t="s">
        <v>758</v>
      </c>
    </row>
    <row r="31" spans="1:105" ht="11.45" customHeight="1" x14ac:dyDescent="0.25">
      <c r="A31" s="111" t="s">
        <v>113</v>
      </c>
      <c r="B31" s="97">
        <v>0</v>
      </c>
      <c r="C31" s="97">
        <v>0</v>
      </c>
      <c r="D31" s="97">
        <v>0</v>
      </c>
      <c r="E31" s="97">
        <v>0</v>
      </c>
      <c r="F31" s="97">
        <v>0.80783999999999989</v>
      </c>
      <c r="G31" s="97">
        <v>0.86721623999999975</v>
      </c>
      <c r="H31" s="97">
        <v>0.46196558963113793</v>
      </c>
      <c r="I31" s="97">
        <v>3.1760961187497556</v>
      </c>
      <c r="J31" s="97">
        <v>4.3267922019102674</v>
      </c>
      <c r="K31" s="97">
        <v>15.086375686599473</v>
      </c>
      <c r="L31" s="97">
        <v>21.383836554667774</v>
      </c>
      <c r="M31" s="97">
        <v>20.064518239843281</v>
      </c>
      <c r="N31" s="97">
        <v>21.652483756129026</v>
      </c>
      <c r="O31" s="97">
        <v>25.112910636113241</v>
      </c>
      <c r="P31" s="97">
        <v>27.296909370369701</v>
      </c>
      <c r="Q31" s="97">
        <v>27.626674543090122</v>
      </c>
      <c r="R31" s="97">
        <v>26.158106490215012</v>
      </c>
      <c r="S31" s="97">
        <v>25.819508594024985</v>
      </c>
      <c r="T31" s="97">
        <v>24.723574711329665</v>
      </c>
      <c r="U31" s="97">
        <v>29.173818605677784</v>
      </c>
      <c r="V31" s="97">
        <v>33.50984200135369</v>
      </c>
      <c r="W31" s="97">
        <v>31.720984971134847</v>
      </c>
      <c r="DA31" s="175" t="s">
        <v>759</v>
      </c>
    </row>
    <row r="32" spans="1:105" ht="11.45" customHeight="1" x14ac:dyDescent="0.25">
      <c r="A32" s="111" t="s">
        <v>115</v>
      </c>
      <c r="B32" s="97">
        <v>0</v>
      </c>
      <c r="C32" s="97">
        <v>0</v>
      </c>
      <c r="D32" s="97">
        <v>0</v>
      </c>
      <c r="E32" s="97">
        <v>0</v>
      </c>
      <c r="F32" s="97">
        <v>0</v>
      </c>
      <c r="G32" s="97">
        <v>0</v>
      </c>
      <c r="H32" s="97">
        <v>0</v>
      </c>
      <c r="I32" s="97">
        <v>0</v>
      </c>
      <c r="J32" s="97">
        <v>0</v>
      </c>
      <c r="K32" s="97">
        <v>0</v>
      </c>
      <c r="L32" s="97">
        <v>0</v>
      </c>
      <c r="M32" s="97">
        <v>0</v>
      </c>
      <c r="N32" s="97">
        <v>0</v>
      </c>
      <c r="O32" s="97">
        <v>0</v>
      </c>
      <c r="P32" s="97">
        <v>0</v>
      </c>
      <c r="Q32" s="97">
        <v>0</v>
      </c>
      <c r="R32" s="97">
        <v>0</v>
      </c>
      <c r="S32" s="97">
        <v>0</v>
      </c>
      <c r="T32" s="97">
        <v>0</v>
      </c>
      <c r="U32" s="97">
        <v>0</v>
      </c>
      <c r="V32" s="97">
        <v>0</v>
      </c>
      <c r="W32" s="97">
        <v>0</v>
      </c>
      <c r="DA32" s="175" t="s">
        <v>760</v>
      </c>
    </row>
    <row r="33" spans="1:105" ht="11.45" customHeight="1" x14ac:dyDescent="0.25">
      <c r="A33" s="27" t="s">
        <v>34</v>
      </c>
      <c r="B33" s="32">
        <f t="shared" ref="B33:K33" si="28">B34+B40</f>
        <v>5762.5360766784606</v>
      </c>
      <c r="C33" s="32">
        <f t="shared" si="28"/>
        <v>6559.0025737263986</v>
      </c>
      <c r="D33" s="32">
        <f t="shared" si="28"/>
        <v>7278.8466694073513</v>
      </c>
      <c r="E33" s="32">
        <f t="shared" si="28"/>
        <v>7842.4896126078593</v>
      </c>
      <c r="F33" s="32">
        <f t="shared" si="28"/>
        <v>7880.2547876989611</v>
      </c>
      <c r="G33" s="32">
        <f t="shared" si="28"/>
        <v>8207.3476861531108</v>
      </c>
      <c r="H33" s="32">
        <f t="shared" si="28"/>
        <v>7515.8621580306472</v>
      </c>
      <c r="I33" s="32">
        <f t="shared" si="28"/>
        <v>7481.8136466906799</v>
      </c>
      <c r="J33" s="32">
        <f t="shared" si="28"/>
        <v>7230.4937689620647</v>
      </c>
      <c r="K33" s="32">
        <f t="shared" si="28"/>
        <v>6755.8324298658281</v>
      </c>
      <c r="L33" s="32">
        <f t="shared" ref="L33" si="29">L34+L40</f>
        <v>7337.5916315249351</v>
      </c>
      <c r="M33" s="32">
        <f t="shared" ref="M33:V33" si="30">M34+M40</f>
        <v>6800.2568572992586</v>
      </c>
      <c r="N33" s="32">
        <f t="shared" si="30"/>
        <v>6914.0735064873406</v>
      </c>
      <c r="O33" s="32">
        <f t="shared" si="30"/>
        <v>7954.7568106530725</v>
      </c>
      <c r="P33" s="32">
        <f t="shared" si="30"/>
        <v>7588.2340541862377</v>
      </c>
      <c r="Q33" s="32">
        <f t="shared" si="30"/>
        <v>7779.4519086269056</v>
      </c>
      <c r="R33" s="32">
        <f t="shared" si="30"/>
        <v>8132.6539937994366</v>
      </c>
      <c r="S33" s="32">
        <f t="shared" si="30"/>
        <v>8435.3102986069043</v>
      </c>
      <c r="T33" s="32">
        <f t="shared" si="30"/>
        <v>8851.8555862016765</v>
      </c>
      <c r="U33" s="32">
        <f t="shared" si="30"/>
        <v>9269.5084119241583</v>
      </c>
      <c r="V33" s="32">
        <f t="shared" si="30"/>
        <v>8418.0650727260181</v>
      </c>
      <c r="W33" s="32">
        <f t="shared" ref="W33" si="31">W34+W40</f>
        <v>8906.6633514918958</v>
      </c>
      <c r="DA33" s="173" t="s">
        <v>410</v>
      </c>
    </row>
    <row r="34" spans="1:105" ht="11.45" customHeight="1" x14ac:dyDescent="0.25">
      <c r="A34" s="136" t="s">
        <v>156</v>
      </c>
      <c r="B34" s="141">
        <f t="shared" ref="B34:K34" si="32">SUM(B35:B39)</f>
        <v>1319.4547341708437</v>
      </c>
      <c r="C34" s="141">
        <f t="shared" si="32"/>
        <v>1348.0196491651564</v>
      </c>
      <c r="D34" s="141">
        <f t="shared" si="32"/>
        <v>1389.7365916936581</v>
      </c>
      <c r="E34" s="141">
        <f t="shared" si="32"/>
        <v>1396.4030865464458</v>
      </c>
      <c r="F34" s="141">
        <f t="shared" si="32"/>
        <v>1392.8286562493679</v>
      </c>
      <c r="G34" s="141">
        <f t="shared" si="32"/>
        <v>1406.6202529651989</v>
      </c>
      <c r="H34" s="141">
        <f t="shared" si="32"/>
        <v>1387.3287807351337</v>
      </c>
      <c r="I34" s="141">
        <f t="shared" si="32"/>
        <v>1401.5024813769451</v>
      </c>
      <c r="J34" s="141">
        <f t="shared" si="32"/>
        <v>1368.1162395332274</v>
      </c>
      <c r="K34" s="141">
        <f t="shared" si="32"/>
        <v>1329.3177654421206</v>
      </c>
      <c r="L34" s="141">
        <f t="shared" ref="L34" si="33">SUM(L35:L39)</f>
        <v>1345.0361750601289</v>
      </c>
      <c r="M34" s="141">
        <f t="shared" ref="M34:V34" si="34">SUM(M35:M39)</f>
        <v>1359.5078141895196</v>
      </c>
      <c r="N34" s="141">
        <f t="shared" si="34"/>
        <v>1351.0205154747796</v>
      </c>
      <c r="O34" s="141">
        <f t="shared" si="34"/>
        <v>1391.4349334424519</v>
      </c>
      <c r="P34" s="141">
        <f t="shared" si="34"/>
        <v>1430.318630930087</v>
      </c>
      <c r="Q34" s="141">
        <f t="shared" si="34"/>
        <v>1459.9775114999893</v>
      </c>
      <c r="R34" s="141">
        <f t="shared" si="34"/>
        <v>1516.9977470926283</v>
      </c>
      <c r="S34" s="141">
        <f t="shared" si="34"/>
        <v>1543.0769228378942</v>
      </c>
      <c r="T34" s="141">
        <f t="shared" si="34"/>
        <v>1566.5751270574699</v>
      </c>
      <c r="U34" s="141">
        <f t="shared" si="34"/>
        <v>1612.6748239534766</v>
      </c>
      <c r="V34" s="141">
        <f t="shared" si="34"/>
        <v>1639.4851190217896</v>
      </c>
      <c r="W34" s="141">
        <f t="shared" ref="W34" si="35">SUM(W35:W39)</f>
        <v>1739.7223612069915</v>
      </c>
      <c r="DA34" s="174" t="s">
        <v>411</v>
      </c>
    </row>
    <row r="35" spans="1:105" ht="11.45" customHeight="1" x14ac:dyDescent="0.25">
      <c r="A35" s="111" t="s">
        <v>110</v>
      </c>
      <c r="B35" s="96">
        <v>189.14267061338515</v>
      </c>
      <c r="C35" s="96">
        <v>173.0201957559984</v>
      </c>
      <c r="D35" s="96">
        <v>119.24101553413362</v>
      </c>
      <c r="E35" s="96">
        <v>103.7106648922199</v>
      </c>
      <c r="F35" s="96">
        <v>90.763669881593387</v>
      </c>
      <c r="G35" s="96">
        <v>82.980508670746005</v>
      </c>
      <c r="H35" s="96">
        <v>78.509138515615859</v>
      </c>
      <c r="I35" s="96">
        <v>74.737774282633509</v>
      </c>
      <c r="J35" s="96">
        <v>68.124325672137871</v>
      </c>
      <c r="K35" s="96">
        <v>64.894502610424553</v>
      </c>
      <c r="L35" s="96">
        <v>63.117955415953077</v>
      </c>
      <c r="M35" s="96">
        <v>64.427424612532647</v>
      </c>
      <c r="N35" s="96">
        <v>64.089262515653772</v>
      </c>
      <c r="O35" s="96">
        <v>62.464470746403734</v>
      </c>
      <c r="P35" s="96">
        <v>63.99756692840414</v>
      </c>
      <c r="Q35" s="96">
        <v>65.754037023953018</v>
      </c>
      <c r="R35" s="96">
        <v>64.573608537079096</v>
      </c>
      <c r="S35" s="96">
        <v>64.748152226216448</v>
      </c>
      <c r="T35" s="96">
        <v>66.23181801057143</v>
      </c>
      <c r="U35" s="96">
        <v>65.35790267681368</v>
      </c>
      <c r="V35" s="96">
        <v>63.259139371869018</v>
      </c>
      <c r="W35" s="96">
        <v>64.175464796414346</v>
      </c>
      <c r="DA35" s="171" t="s">
        <v>761</v>
      </c>
    </row>
    <row r="36" spans="1:105" ht="11.45" customHeight="1" x14ac:dyDescent="0.25">
      <c r="A36" s="111" t="s">
        <v>111</v>
      </c>
      <c r="B36" s="96">
        <v>1130.3120635574585</v>
      </c>
      <c r="C36" s="96">
        <v>1174.9994534091579</v>
      </c>
      <c r="D36" s="96">
        <v>1270.4955761595245</v>
      </c>
      <c r="E36" s="96">
        <v>1292.6251748442307</v>
      </c>
      <c r="F36" s="96">
        <v>1301.886429290576</v>
      </c>
      <c r="G36" s="96">
        <v>1322.8536895820137</v>
      </c>
      <c r="H36" s="96">
        <v>1307.8148806547961</v>
      </c>
      <c r="I36" s="96">
        <v>1325.5200692610463</v>
      </c>
      <c r="J36" s="96">
        <v>1298.493959568892</v>
      </c>
      <c r="K36" s="96">
        <v>1263.3524730148197</v>
      </c>
      <c r="L36" s="96">
        <v>1280.9154670606792</v>
      </c>
      <c r="M36" s="96">
        <v>1294.0891655489625</v>
      </c>
      <c r="N36" s="96">
        <v>1285.7863901333765</v>
      </c>
      <c r="O36" s="96">
        <v>1325.6830593602326</v>
      </c>
      <c r="P36" s="96">
        <v>1362.8877885515558</v>
      </c>
      <c r="Q36" s="96">
        <v>1390.7562395455266</v>
      </c>
      <c r="R36" s="96">
        <v>1446.8013412759221</v>
      </c>
      <c r="S36" s="96">
        <v>1472.9786857883601</v>
      </c>
      <c r="T36" s="96">
        <v>1494.9665991882673</v>
      </c>
      <c r="U36" s="96">
        <v>1542.0015055327895</v>
      </c>
      <c r="V36" s="96">
        <v>1571.1625696988451</v>
      </c>
      <c r="W36" s="96">
        <v>1670.5351440855593</v>
      </c>
      <c r="DA36" s="171" t="s">
        <v>762</v>
      </c>
    </row>
    <row r="37" spans="1:105" ht="11.45" customHeight="1" x14ac:dyDescent="0.25">
      <c r="A37" s="111" t="s">
        <v>112</v>
      </c>
      <c r="B37" s="96">
        <v>0</v>
      </c>
      <c r="C37" s="96">
        <v>0</v>
      </c>
      <c r="D37" s="96">
        <v>0</v>
      </c>
      <c r="E37" s="96">
        <v>6.7246809995162707E-2</v>
      </c>
      <c r="F37" s="96">
        <v>0.17855707719853917</v>
      </c>
      <c r="G37" s="96">
        <v>0.78605471243919689</v>
      </c>
      <c r="H37" s="96">
        <v>0.76224844324498187</v>
      </c>
      <c r="I37" s="96">
        <v>0.75648115470231692</v>
      </c>
      <c r="J37" s="96">
        <v>0.71305831397577557</v>
      </c>
      <c r="K37" s="96">
        <v>0.66707306937045519</v>
      </c>
      <c r="L37" s="96">
        <v>0.62213573125702792</v>
      </c>
      <c r="M37" s="96">
        <v>0.57581167693341861</v>
      </c>
      <c r="N37" s="96">
        <v>0.59922611293463024</v>
      </c>
      <c r="O37" s="96">
        <v>0.63868490605261297</v>
      </c>
      <c r="P37" s="96">
        <v>0.71621988546917625</v>
      </c>
      <c r="Q37" s="96">
        <v>0.7471970611725991</v>
      </c>
      <c r="R37" s="96">
        <v>1.243248640766039</v>
      </c>
      <c r="S37" s="96">
        <v>1.2722375900003657</v>
      </c>
      <c r="T37" s="96">
        <v>1.2753500098329733</v>
      </c>
      <c r="U37" s="96">
        <v>1.3830216443264376</v>
      </c>
      <c r="V37" s="96">
        <v>1.5359813311254766</v>
      </c>
      <c r="W37" s="96">
        <v>1.6758692334737086</v>
      </c>
      <c r="DA37" s="171" t="s">
        <v>763</v>
      </c>
    </row>
    <row r="38" spans="1:105" ht="11.45" customHeight="1" x14ac:dyDescent="0.25">
      <c r="A38" s="111" t="s">
        <v>113</v>
      </c>
      <c r="B38" s="96">
        <v>0</v>
      </c>
      <c r="C38" s="96">
        <v>0</v>
      </c>
      <c r="D38" s="96">
        <v>0</v>
      </c>
      <c r="E38" s="96">
        <v>0</v>
      </c>
      <c r="F38" s="96">
        <v>0</v>
      </c>
      <c r="G38" s="96">
        <v>0</v>
      </c>
      <c r="H38" s="96">
        <v>0.24251312147684151</v>
      </c>
      <c r="I38" s="96">
        <v>0.48815667856303846</v>
      </c>
      <c r="J38" s="96">
        <v>0.78489597822158075</v>
      </c>
      <c r="K38" s="96">
        <v>0.40371674750605779</v>
      </c>
      <c r="L38" s="96">
        <v>0.38061685223954717</v>
      </c>
      <c r="M38" s="96">
        <v>0.41541235109118169</v>
      </c>
      <c r="N38" s="96">
        <v>0.54563671281465276</v>
      </c>
      <c r="O38" s="96">
        <v>2.6487184297628983</v>
      </c>
      <c r="P38" s="96">
        <v>2.7170555646578478</v>
      </c>
      <c r="Q38" s="96">
        <v>2.7200378693372507</v>
      </c>
      <c r="R38" s="96">
        <v>4.3795486388610625</v>
      </c>
      <c r="S38" s="96">
        <v>4.0778472333173967</v>
      </c>
      <c r="T38" s="96">
        <v>4.1013598487982996</v>
      </c>
      <c r="U38" s="96">
        <v>3.932394099547103</v>
      </c>
      <c r="V38" s="96">
        <v>3.5274286199500957</v>
      </c>
      <c r="W38" s="96">
        <v>3.3358830915440367</v>
      </c>
      <c r="DA38" s="171" t="s">
        <v>764</v>
      </c>
    </row>
    <row r="39" spans="1:105" ht="11.45" customHeight="1" x14ac:dyDescent="0.25">
      <c r="A39" s="111" t="s">
        <v>115</v>
      </c>
      <c r="B39" s="96">
        <v>0</v>
      </c>
      <c r="C39" s="96">
        <v>0</v>
      </c>
      <c r="D39" s="96">
        <v>0</v>
      </c>
      <c r="E39" s="96">
        <v>0</v>
      </c>
      <c r="F39" s="96">
        <v>0</v>
      </c>
      <c r="G39" s="96">
        <v>0</v>
      </c>
      <c r="H39" s="96">
        <v>0</v>
      </c>
      <c r="I39" s="96">
        <v>0</v>
      </c>
      <c r="J39" s="96">
        <v>0</v>
      </c>
      <c r="K39" s="96">
        <v>0</v>
      </c>
      <c r="L39" s="96">
        <v>0</v>
      </c>
      <c r="M39" s="96">
        <v>0</v>
      </c>
      <c r="N39" s="96">
        <v>0</v>
      </c>
      <c r="O39" s="96">
        <v>0</v>
      </c>
      <c r="P39" s="96">
        <v>0</v>
      </c>
      <c r="Q39" s="96">
        <v>0</v>
      </c>
      <c r="R39" s="96">
        <v>0</v>
      </c>
      <c r="S39" s="96">
        <v>0</v>
      </c>
      <c r="T39" s="96">
        <v>0</v>
      </c>
      <c r="U39" s="96">
        <v>0</v>
      </c>
      <c r="V39" s="96">
        <v>0</v>
      </c>
      <c r="W39" s="96">
        <v>0</v>
      </c>
      <c r="DA39" s="171" t="s">
        <v>765</v>
      </c>
    </row>
    <row r="40" spans="1:105" ht="11.45" customHeight="1" x14ac:dyDescent="0.25">
      <c r="A40" s="109" t="s">
        <v>158</v>
      </c>
      <c r="B40" s="130">
        <f t="shared" ref="B40:K40" si="36">SUM(B41:B42)</f>
        <v>4443.0813425076167</v>
      </c>
      <c r="C40" s="130">
        <f t="shared" si="36"/>
        <v>5210.9829245612418</v>
      </c>
      <c r="D40" s="130">
        <f t="shared" si="36"/>
        <v>5889.1100777136935</v>
      </c>
      <c r="E40" s="130">
        <f t="shared" si="36"/>
        <v>6446.0865260614137</v>
      </c>
      <c r="F40" s="130">
        <f t="shared" si="36"/>
        <v>6487.4261314495934</v>
      </c>
      <c r="G40" s="130">
        <f t="shared" si="36"/>
        <v>6800.7274331879125</v>
      </c>
      <c r="H40" s="130">
        <f t="shared" si="36"/>
        <v>6128.5333772955137</v>
      </c>
      <c r="I40" s="130">
        <f t="shared" si="36"/>
        <v>6080.3111653137348</v>
      </c>
      <c r="J40" s="130">
        <f t="shared" si="36"/>
        <v>5862.3775294288371</v>
      </c>
      <c r="K40" s="130">
        <f t="shared" si="36"/>
        <v>5426.5146644237075</v>
      </c>
      <c r="L40" s="130">
        <f t="shared" ref="L40" si="37">SUM(L41:L42)</f>
        <v>5992.5554564648064</v>
      </c>
      <c r="M40" s="130">
        <f t="shared" ref="M40:V40" si="38">SUM(M41:M42)</f>
        <v>5440.7490431097394</v>
      </c>
      <c r="N40" s="130">
        <f t="shared" si="38"/>
        <v>5563.0529910125606</v>
      </c>
      <c r="O40" s="130">
        <f t="shared" si="38"/>
        <v>6563.3218772106211</v>
      </c>
      <c r="P40" s="130">
        <f t="shared" si="38"/>
        <v>6157.9154232561505</v>
      </c>
      <c r="Q40" s="130">
        <f t="shared" si="38"/>
        <v>6319.4743971269163</v>
      </c>
      <c r="R40" s="130">
        <f t="shared" si="38"/>
        <v>6615.6562467068079</v>
      </c>
      <c r="S40" s="130">
        <f t="shared" si="38"/>
        <v>6892.2333757690103</v>
      </c>
      <c r="T40" s="130">
        <f t="shared" si="38"/>
        <v>7285.2804591442073</v>
      </c>
      <c r="U40" s="130">
        <f t="shared" si="38"/>
        <v>7656.833587970681</v>
      </c>
      <c r="V40" s="130">
        <f t="shared" si="38"/>
        <v>6778.5799537042285</v>
      </c>
      <c r="W40" s="130">
        <f t="shared" ref="W40" si="39">SUM(W41:W42)</f>
        <v>7166.9409902849047</v>
      </c>
      <c r="DA40" s="176" t="s">
        <v>412</v>
      </c>
    </row>
    <row r="41" spans="1:105" ht="11.45" customHeight="1" x14ac:dyDescent="0.25">
      <c r="A41" s="128" t="s">
        <v>27</v>
      </c>
      <c r="B41" s="97">
        <v>1829.9283985922214</v>
      </c>
      <c r="C41" s="97">
        <v>1900.3607336622804</v>
      </c>
      <c r="D41" s="97">
        <v>1951.1494869896987</v>
      </c>
      <c r="E41" s="97">
        <v>2044.6315284849184</v>
      </c>
      <c r="F41" s="97">
        <v>1916.0377458129408</v>
      </c>
      <c r="G41" s="97">
        <v>1905.9723339123202</v>
      </c>
      <c r="H41" s="97">
        <v>2024.4767668515508</v>
      </c>
      <c r="I41" s="97">
        <v>1992.0148885375993</v>
      </c>
      <c r="J41" s="97">
        <v>1909.5936840130262</v>
      </c>
      <c r="K41" s="97">
        <v>1782.9436464399785</v>
      </c>
      <c r="L41" s="97">
        <v>1814.3696507390382</v>
      </c>
      <c r="M41" s="97">
        <v>1795.5222372518315</v>
      </c>
      <c r="N41" s="97">
        <v>1778.1504076371714</v>
      </c>
      <c r="O41" s="97">
        <v>1850.3600167945895</v>
      </c>
      <c r="P41" s="97">
        <v>1845.0916402121154</v>
      </c>
      <c r="Q41" s="97">
        <v>1931.2197874526357</v>
      </c>
      <c r="R41" s="97">
        <v>2049.9159920065522</v>
      </c>
      <c r="S41" s="97">
        <v>2097.8849666206047</v>
      </c>
      <c r="T41" s="97">
        <v>2138.8968631746634</v>
      </c>
      <c r="U41" s="97">
        <v>2175.1064570503145</v>
      </c>
      <c r="V41" s="97">
        <v>2021.6361563200714</v>
      </c>
      <c r="W41" s="97">
        <v>2119.4242364069414</v>
      </c>
      <c r="DA41" s="175" t="s">
        <v>766</v>
      </c>
    </row>
    <row r="42" spans="1:105" ht="11.45" customHeight="1" x14ac:dyDescent="0.25">
      <c r="A42" s="138" t="s">
        <v>116</v>
      </c>
      <c r="B42" s="98">
        <v>2613.1529439153951</v>
      </c>
      <c r="C42" s="98">
        <v>3310.6221908989619</v>
      </c>
      <c r="D42" s="98">
        <v>3937.9605907239948</v>
      </c>
      <c r="E42" s="98">
        <v>4401.4549975764958</v>
      </c>
      <c r="F42" s="98">
        <v>4571.3883856366529</v>
      </c>
      <c r="G42" s="98">
        <v>4894.7550992755923</v>
      </c>
      <c r="H42" s="98">
        <v>4104.0566104439631</v>
      </c>
      <c r="I42" s="98">
        <v>4088.2962767761355</v>
      </c>
      <c r="J42" s="98">
        <v>3952.7838454158109</v>
      </c>
      <c r="K42" s="98">
        <v>3643.5710179837288</v>
      </c>
      <c r="L42" s="98">
        <v>4178.1858057257678</v>
      </c>
      <c r="M42" s="98">
        <v>3645.2268058579075</v>
      </c>
      <c r="N42" s="98">
        <v>3784.9025833753894</v>
      </c>
      <c r="O42" s="98">
        <v>4712.9618604160314</v>
      </c>
      <c r="P42" s="98">
        <v>4312.8237830440348</v>
      </c>
      <c r="Q42" s="98">
        <v>4388.2546096742808</v>
      </c>
      <c r="R42" s="98">
        <v>4565.7402547002557</v>
      </c>
      <c r="S42" s="98">
        <v>4794.3484091484061</v>
      </c>
      <c r="T42" s="98">
        <v>5146.3835959695434</v>
      </c>
      <c r="U42" s="98">
        <v>5481.7271309203661</v>
      </c>
      <c r="V42" s="98">
        <v>4756.9437973841568</v>
      </c>
      <c r="W42" s="98">
        <v>5047.5167538779633</v>
      </c>
      <c r="DA42" s="178" t="s">
        <v>767</v>
      </c>
    </row>
    <row r="43" spans="1:105" x14ac:dyDescent="0.25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DA43" s="171"/>
    </row>
    <row r="44" spans="1:105" ht="11.45" customHeight="1" x14ac:dyDescent="0.25">
      <c r="A44" s="68" t="s">
        <v>36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DA44" s="179"/>
    </row>
    <row r="45" spans="1:105" x14ac:dyDescent="0.25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DA45" s="171"/>
    </row>
    <row r="46" spans="1:105" ht="11.45" customHeight="1" x14ac:dyDescent="0.25">
      <c r="A46" s="53" t="s">
        <v>48</v>
      </c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DA46" s="172"/>
    </row>
    <row r="47" spans="1:105" ht="11.45" customHeight="1" x14ac:dyDescent="0.25">
      <c r="A47" s="133" t="s">
        <v>45</v>
      </c>
      <c r="B47" s="145">
        <f>IF(B4=0,0,B4/TrRoad_ene!B4)</f>
        <v>3.0233073460936044</v>
      </c>
      <c r="C47" s="145">
        <f>IF(C4=0,0,C4/TrRoad_ene!C4)</f>
        <v>3.0276313274909921</v>
      </c>
      <c r="D47" s="145">
        <f>IF(D4=0,0,D4/TrRoad_ene!D4)</f>
        <v>3.0296806863955981</v>
      </c>
      <c r="E47" s="145">
        <f>IF(E4=0,0,E4/TrRoad_ene!E4)</f>
        <v>3.0325448603979321</v>
      </c>
      <c r="F47" s="145">
        <f>IF(F4=0,0,F4/TrRoad_ene!F4)</f>
        <v>3.0348400064635128</v>
      </c>
      <c r="G47" s="145">
        <f>IF(G4=0,0,G4/TrRoad_ene!G4)</f>
        <v>3.0170757352266837</v>
      </c>
      <c r="H47" s="145">
        <f>IF(H4=0,0,H4/TrRoad_ene!H4)</f>
        <v>2.9438563939393312</v>
      </c>
      <c r="I47" s="145">
        <f>IF(I4=0,0,I4/TrRoad_ene!I4)</f>
        <v>2.9212128116303484</v>
      </c>
      <c r="J47" s="145">
        <f>IF(J4=0,0,J4/TrRoad_ene!J4)</f>
        <v>2.8880284833714458</v>
      </c>
      <c r="K47" s="145">
        <f>IF(K4=0,0,K4/TrRoad_ene!K4)</f>
        <v>2.8360696151165716</v>
      </c>
      <c r="L47" s="145">
        <f>IF(L4=0,0,L4/TrRoad_ene!L4)</f>
        <v>2.8512948333479655</v>
      </c>
      <c r="M47" s="145">
        <f>IF(M4=0,0,M4/TrRoad_ene!M4)</f>
        <v>2.8425586210137483</v>
      </c>
      <c r="N47" s="145">
        <f>IF(N4=0,0,N4/TrRoad_ene!N4)</f>
        <v>2.8455862121529676</v>
      </c>
      <c r="O47" s="145">
        <f>IF(O4=0,0,O4/TrRoad_ene!O4)</f>
        <v>2.8560107630823657</v>
      </c>
      <c r="P47" s="145">
        <f>IF(P4=0,0,P4/TrRoad_ene!P4)</f>
        <v>2.8176627628530588</v>
      </c>
      <c r="Q47" s="145">
        <f>IF(Q4=0,0,Q4/TrRoad_ene!Q4)</f>
        <v>2.8019953999017329</v>
      </c>
      <c r="R47" s="145">
        <f>IF(R4=0,0,R4/TrRoad_ene!R4)</f>
        <v>2.8500469001139788</v>
      </c>
      <c r="S47" s="145">
        <f>IF(S4=0,0,S4/TrRoad_ene!S4)</f>
        <v>2.877758313298945</v>
      </c>
      <c r="T47" s="145">
        <f>IF(T4=0,0,T4/TrRoad_ene!T4)</f>
        <v>2.8736803149494419</v>
      </c>
      <c r="U47" s="145">
        <f>IF(U4=0,0,U4/TrRoad_ene!U4)</f>
        <v>2.8767742214817535</v>
      </c>
      <c r="V47" s="145">
        <f>IF(V4=0,0,V4/TrRoad_ene!V4)</f>
        <v>2.8825259406995598</v>
      </c>
      <c r="W47" s="145">
        <f>IF(W4=0,0,W4/TrRoad_ene!W4)</f>
        <v>2.8790822805910548</v>
      </c>
      <c r="DA47" s="206"/>
    </row>
    <row r="48" spans="1:105" ht="11.45" customHeight="1" x14ac:dyDescent="0.25">
      <c r="A48" s="92" t="s">
        <v>126</v>
      </c>
      <c r="B48" s="97">
        <f>IF(B7=0,0,(B7+B12)/(TrRoad_ene!B7+TrRoad_ene!B12))</f>
        <v>2.9014524000000002</v>
      </c>
      <c r="C48" s="97">
        <f>IF(C7=0,0,(C7+C12)/(TrRoad_ene!C7+TrRoad_ene!C12))</f>
        <v>2.9014524000000002</v>
      </c>
      <c r="D48" s="97">
        <f>IF(D7=0,0,(D7+D12)/(TrRoad_ene!D7+TrRoad_ene!D12))</f>
        <v>2.9014524000000002</v>
      </c>
      <c r="E48" s="97">
        <f>IF(E7=0,0,(E7+E12)/(TrRoad_ene!E7+TrRoad_ene!E12))</f>
        <v>2.9014524000000002</v>
      </c>
      <c r="F48" s="97">
        <f>IF(F7=0,0,(F7+F12)/(TrRoad_ene!F7+TrRoad_ene!F12))</f>
        <v>2.9014524000000002</v>
      </c>
      <c r="G48" s="97">
        <f>IF(G7=0,0,(G7+G12)/(TrRoad_ene!G7+TrRoad_ene!G12))</f>
        <v>2.9017660187215064</v>
      </c>
      <c r="H48" s="97">
        <f>IF(H7=0,0,(H7+H12)/(TrRoad_ene!H7+TrRoad_ene!H12))</f>
        <v>2.9018387231920557</v>
      </c>
      <c r="I48" s="97">
        <f>IF(I7=0,0,(I7+I12)/(TrRoad_ene!I7+TrRoad_ene!I12))</f>
        <v>2.8829832628486995</v>
      </c>
      <c r="J48" s="97">
        <f>IF(J7=0,0,(J7+J12)/(TrRoad_ene!J7+TrRoad_ene!J12))</f>
        <v>2.8220320744896137</v>
      </c>
      <c r="K48" s="97">
        <f>IF(K7=0,0,(K7+K12)/(TrRoad_ene!K7+TrRoad_ene!K12))</f>
        <v>2.7799472212623679</v>
      </c>
      <c r="L48" s="97">
        <f>IF(L7=0,0,(L7+L12)/(TrRoad_ene!L7+TrRoad_ene!L12))</f>
        <v>2.7793639071102163</v>
      </c>
      <c r="M48" s="97">
        <f>IF(M7=0,0,(M7+M12)/(TrRoad_ene!M7+TrRoad_ene!M12))</f>
        <v>2.7713501940027143</v>
      </c>
      <c r="N48" s="97">
        <f>IF(N7=0,0,(N7+N12)/(TrRoad_ene!N7+TrRoad_ene!N12))</f>
        <v>2.7677847024222126</v>
      </c>
      <c r="O48" s="97">
        <f>IF(O7=0,0,(O7+O12)/(TrRoad_ene!O7+TrRoad_ene!O12))</f>
        <v>2.7849362870352863</v>
      </c>
      <c r="P48" s="97">
        <f>IF(P7=0,0,(P7+P12)/(TrRoad_ene!P7+TrRoad_ene!P12))</f>
        <v>2.7887351472813102</v>
      </c>
      <c r="Q48" s="97">
        <f>IF(Q7=0,0,(Q7+Q12)/(TrRoad_ene!Q7+TrRoad_ene!Q12))</f>
        <v>2.7953140648358321</v>
      </c>
      <c r="R48" s="97">
        <f>IF(R7=0,0,(R7+R12)/(TrRoad_ene!R7+TrRoad_ene!R12))</f>
        <v>2.7988895985977575</v>
      </c>
      <c r="S48" s="97">
        <f>IF(S7=0,0,(S7+S12)/(TrRoad_ene!S7+TrRoad_ene!S12))</f>
        <v>2.7998386495225409</v>
      </c>
      <c r="T48" s="97">
        <f>IF(T7=0,0,(T7+T12)/(TrRoad_ene!T7+TrRoad_ene!T12))</f>
        <v>2.8006190390220471</v>
      </c>
      <c r="U48" s="97">
        <f>IF(U7=0,0,(U7+U12)/(TrRoad_ene!U7+TrRoad_ene!U12))</f>
        <v>2.8020234420255616</v>
      </c>
      <c r="V48" s="97">
        <f>IF(V7=0,0,(V7+V12)/(TrRoad_ene!V7+TrRoad_ene!V12))</f>
        <v>2.7828957961664678</v>
      </c>
      <c r="W48" s="97">
        <f>IF(W7=0,0,(W7+W12)/(TrRoad_ene!W7+TrRoad_ene!W12))</f>
        <v>2.7969799252217755</v>
      </c>
      <c r="DA48" s="175"/>
    </row>
    <row r="49" spans="1:105" ht="11.45" customHeight="1" x14ac:dyDescent="0.25">
      <c r="A49" s="92" t="s">
        <v>95</v>
      </c>
      <c r="B49" s="97">
        <f>IF(B8=0,0,(B8+B13+B14)/(TrRoad_ene!B8+TrRoad_ene!B13+TrRoad_ene!B14))</f>
        <v>3.0897592869829067</v>
      </c>
      <c r="C49" s="97">
        <f>IF(C8=0,0,(C8+C13+C14)/(TrRoad_ene!C8+TrRoad_ene!C13+TrRoad_ene!C14))</f>
        <v>3.089872128434219</v>
      </c>
      <c r="D49" s="97">
        <f>IF(D8=0,0,(D8+D13+D14)/(TrRoad_ene!D8+TrRoad_ene!D13+TrRoad_ene!D14))</f>
        <v>3.0906196300776863</v>
      </c>
      <c r="E49" s="97">
        <f>IF(E8=0,0,(E8+E13+E14)/(TrRoad_ene!E8+TrRoad_ene!E13+TrRoad_ene!E14))</f>
        <v>3.0913469726224005</v>
      </c>
      <c r="F49" s="97">
        <f>IF(F8=0,0,(F8+F13+F14)/(TrRoad_ene!F8+TrRoad_ene!F13+TrRoad_ene!F14))</f>
        <v>3.0918655886440276</v>
      </c>
      <c r="G49" s="97">
        <f>IF(G8=0,0,(G8+G13+G14)/(TrRoad_ene!G8+TrRoad_ene!G13+TrRoad_ene!G14))</f>
        <v>3.0625516960556665</v>
      </c>
      <c r="H49" s="97">
        <f>IF(H8=0,0,(H8+H13+H14)/(TrRoad_ene!H8+TrRoad_ene!H13+TrRoad_ene!H14))</f>
        <v>2.9613189107115718</v>
      </c>
      <c r="I49" s="97">
        <f>IF(I8=0,0,(I8+I13+I14)/(TrRoad_ene!I8+TrRoad_ene!I13+TrRoad_ene!I14))</f>
        <v>2.936562019816181</v>
      </c>
      <c r="J49" s="97">
        <f>IF(J8=0,0,(J8+J13+J14)/(TrRoad_ene!J8+TrRoad_ene!J13+TrRoad_ene!J14))</f>
        <v>2.9131575019712854</v>
      </c>
      <c r="K49" s="97">
        <f>IF(K8=0,0,(K8+K13+K14)/(TrRoad_ene!K8+TrRoad_ene!K13+TrRoad_ene!K14))</f>
        <v>2.8574419611775164</v>
      </c>
      <c r="L49" s="97">
        <f>IF(L8=0,0,(L8+L13+L14)/(TrRoad_ene!L8+TrRoad_ene!L13+TrRoad_ene!L14))</f>
        <v>2.8771089349619574</v>
      </c>
      <c r="M49" s="97">
        <f>IF(M8=0,0,(M8+M13+M14)/(TrRoad_ene!M8+TrRoad_ene!M13+TrRoad_ene!M14))</f>
        <v>2.8673389935791356</v>
      </c>
      <c r="N49" s="97">
        <f>IF(N8=0,0,(N8+N13+N14)/(TrRoad_ene!N8+TrRoad_ene!N13+TrRoad_ene!N14))</f>
        <v>2.871999323653331</v>
      </c>
      <c r="O49" s="97">
        <f>IF(O8=0,0,(O8+O13+O14)/(TrRoad_ene!O8+TrRoad_ene!O13+TrRoad_ene!O14))</f>
        <v>2.8784298263238237</v>
      </c>
      <c r="P49" s="97">
        <f>IF(P8=0,0,(P8+P13+P14)/(TrRoad_ene!P8+TrRoad_ene!P13+TrRoad_ene!P14))</f>
        <v>2.8286354782691658</v>
      </c>
      <c r="Q49" s="97">
        <f>IF(Q8=0,0,(Q8+Q13+Q14)/(TrRoad_ene!Q8+TrRoad_ene!Q13+TrRoad_ene!Q14))</f>
        <v>2.8069767414409732</v>
      </c>
      <c r="R49" s="97">
        <f>IF(R8=0,0,(R8+R13+R14)/(TrRoad_ene!R8+TrRoad_ene!R13+TrRoad_ene!R14))</f>
        <v>2.8667411000361698</v>
      </c>
      <c r="S49" s="97">
        <f>IF(S8=0,0,(S8+S13+S14)/(TrRoad_ene!S8+TrRoad_ene!S13+TrRoad_ene!S14))</f>
        <v>2.9011987830025969</v>
      </c>
      <c r="T49" s="97">
        <f>IF(T8=0,0,(T8+T13+T14)/(TrRoad_ene!T8+TrRoad_ene!T13+TrRoad_ene!T14))</f>
        <v>2.8970294916826536</v>
      </c>
      <c r="U49" s="97">
        <f>IF(U8=0,0,(U8+U13+U14)/(TrRoad_ene!U8+TrRoad_ene!U13+TrRoad_ene!U14))</f>
        <v>2.9016071077136609</v>
      </c>
      <c r="V49" s="97">
        <f>IF(V8=0,0,(V8+V13+V14)/(TrRoad_ene!V8+TrRoad_ene!V13+TrRoad_ene!V14))</f>
        <v>2.9149133757147836</v>
      </c>
      <c r="W49" s="97">
        <f>IF(W8=0,0,(W8+W13+W14)/(TrRoad_ene!W8+TrRoad_ene!W13+TrRoad_ene!W14))</f>
        <v>2.9132195029778205</v>
      </c>
      <c r="DA49" s="175"/>
    </row>
    <row r="50" spans="1:105" ht="11.45" customHeight="1" x14ac:dyDescent="0.25">
      <c r="A50" s="92" t="s">
        <v>127</v>
      </c>
      <c r="B50" s="97">
        <f>IF(B6=0,0,B6/TrRoad_ene!B6)</f>
        <v>2.6418708000000004</v>
      </c>
      <c r="C50" s="97">
        <f>IF(C6=0,0,C6/TrRoad_ene!C6)</f>
        <v>2.6418708000000004</v>
      </c>
      <c r="D50" s="97">
        <f>IF(D6=0,0,D6/TrRoad_ene!D6)</f>
        <v>2.6418708000000004</v>
      </c>
      <c r="E50" s="97">
        <f>IF(E6=0,0,E6/TrRoad_ene!E6)</f>
        <v>2.6418708000000004</v>
      </c>
      <c r="F50" s="97">
        <f>IF(F6=0,0,F6/TrRoad_ene!F6)</f>
        <v>2.6418708000000004</v>
      </c>
      <c r="G50" s="97">
        <f>IF(G6=0,0,G6/TrRoad_ene!G6)</f>
        <v>2.6418708000000004</v>
      </c>
      <c r="H50" s="97">
        <f>IF(H6=0,0,H6/TrRoad_ene!H6)</f>
        <v>2.6418708000000004</v>
      </c>
      <c r="I50" s="97">
        <f>IF(I6=0,0,I6/TrRoad_ene!I6)</f>
        <v>2.6418708000000004</v>
      </c>
      <c r="J50" s="97">
        <f>IF(J6=0,0,J6/TrRoad_ene!J6)</f>
        <v>2.6418708000000004</v>
      </c>
      <c r="K50" s="97">
        <f>IF(K6=0,0,K6/TrRoad_ene!K6)</f>
        <v>2.6418708000000004</v>
      </c>
      <c r="L50" s="97">
        <f>IF(L6=0,0,L6/TrRoad_ene!L6)</f>
        <v>2.6418708000000004</v>
      </c>
      <c r="M50" s="97">
        <f>IF(M6=0,0,M6/TrRoad_ene!M6)</f>
        <v>2.6418708000000004</v>
      </c>
      <c r="N50" s="97">
        <f>IF(N6=0,0,N6/TrRoad_ene!N6)</f>
        <v>2.6418708000000004</v>
      </c>
      <c r="O50" s="97">
        <f>IF(O6=0,0,O6/TrRoad_ene!O6)</f>
        <v>2.6418708000000004</v>
      </c>
      <c r="P50" s="97">
        <f>IF(P6=0,0,P6/TrRoad_ene!P6)</f>
        <v>2.6418708000000004</v>
      </c>
      <c r="Q50" s="97">
        <f>IF(Q6=0,0,Q6/TrRoad_ene!Q6)</f>
        <v>2.6418708000000004</v>
      </c>
      <c r="R50" s="97">
        <f>IF(R6=0,0,R6/TrRoad_ene!R6)</f>
        <v>2.6418708</v>
      </c>
      <c r="S50" s="97">
        <f>IF(S6=0,0,S6/TrRoad_ene!S6)</f>
        <v>2.6418708000000004</v>
      </c>
      <c r="T50" s="97">
        <f>IF(T6=0,0,T6/TrRoad_ene!T6)</f>
        <v>2.6418708000000004</v>
      </c>
      <c r="U50" s="97">
        <f>IF(U6=0,0,U6/TrRoad_ene!U6)</f>
        <v>2.6418708000000004</v>
      </c>
      <c r="V50" s="97">
        <f>IF(V6=0,0,V6/TrRoad_ene!V6)</f>
        <v>2.6418708000000004</v>
      </c>
      <c r="W50" s="97">
        <f>IF(W6=0,0,W6/TrRoad_ene!W6)</f>
        <v>2.6418708000000004</v>
      </c>
      <c r="DA50" s="175"/>
    </row>
    <row r="51" spans="1:105" ht="11.45" customHeight="1" x14ac:dyDescent="0.25">
      <c r="A51" s="92" t="s">
        <v>128</v>
      </c>
      <c r="B51" s="97">
        <f>IF(B9=0,0,(B9+B11)/(TrRoad_ene!B9+TrRoad_ene!B11))</f>
        <v>0</v>
      </c>
      <c r="C51" s="97">
        <f>IF(C9=0,0,(C9+C11)/(TrRoad_ene!C9+TrRoad_ene!C11))</f>
        <v>0</v>
      </c>
      <c r="D51" s="97">
        <f>IF(D9=0,0,(D9+D11)/(TrRoad_ene!D9+TrRoad_ene!D11))</f>
        <v>0</v>
      </c>
      <c r="E51" s="97">
        <f>IF(E9=0,0,(E9+E11)/(TrRoad_ene!E9+TrRoad_ene!E11))</f>
        <v>0</v>
      </c>
      <c r="F51" s="97">
        <f>IF(F9=0,0,(F9+F11)/(TrRoad_ene!F9+TrRoad_ene!F11))</f>
        <v>2.3487948000000003</v>
      </c>
      <c r="G51" s="97">
        <f>IF(G9=0,0,(G9+G11)/(TrRoad_ene!G9+TrRoad_ene!G11))</f>
        <v>2.3487948000000003</v>
      </c>
      <c r="H51" s="97">
        <f>IF(H9=0,0,(H9+H11)/(TrRoad_ene!H9+TrRoad_ene!H11))</f>
        <v>2.3487948000000003</v>
      </c>
      <c r="I51" s="97">
        <f>IF(I9=0,0,(I9+I11)/(TrRoad_ene!I9+TrRoad_ene!I11))</f>
        <v>2.3487948000000003</v>
      </c>
      <c r="J51" s="97">
        <f>IF(J9=0,0,(J9+J11)/(TrRoad_ene!J9+TrRoad_ene!J11))</f>
        <v>2.3486090021252477</v>
      </c>
      <c r="K51" s="97">
        <f>IF(K9=0,0,(K9+K11)/(TrRoad_ene!K9+TrRoad_ene!K11))</f>
        <v>2.3483837987991736</v>
      </c>
      <c r="L51" s="97">
        <f>IF(L9=0,0,(L9+L11)/(TrRoad_ene!L9+TrRoad_ene!L11))</f>
        <v>2.3483477936625747</v>
      </c>
      <c r="M51" s="97">
        <f>IF(M9=0,0,(M9+M11)/(TrRoad_ene!M9+TrRoad_ene!M11))</f>
        <v>2.3472997046467219</v>
      </c>
      <c r="N51" s="97">
        <f>IF(N9=0,0,(N9+N11)/(TrRoad_ene!N9+TrRoad_ene!N11))</f>
        <v>2.3467327004821916</v>
      </c>
      <c r="O51" s="97">
        <f>IF(O9=0,0,(O9+O11)/(TrRoad_ene!O9+TrRoad_ene!O11))</f>
        <v>2.3460438899448817</v>
      </c>
      <c r="P51" s="97">
        <f>IF(P9=0,0,(P9+P11)/(TrRoad_ene!P9+TrRoad_ene!P11))</f>
        <v>2.2744545602156356</v>
      </c>
      <c r="Q51" s="97">
        <f>IF(Q9=0,0,(Q9+Q11)/(TrRoad_ene!Q9+TrRoad_ene!Q11))</f>
        <v>2.293841993750696</v>
      </c>
      <c r="R51" s="97">
        <f>IF(R9=0,0,(R9+R11)/(TrRoad_ene!R9+TrRoad_ene!R11))</f>
        <v>2.2946127218143686</v>
      </c>
      <c r="S51" s="97">
        <f>IF(S9=0,0,(S9+S11)/(TrRoad_ene!S9+TrRoad_ene!S11))</f>
        <v>2.3141511229855478</v>
      </c>
      <c r="T51" s="97">
        <f>IF(T9=0,0,(T9+T11)/(TrRoad_ene!T9+TrRoad_ene!T11))</f>
        <v>2.2981629084936719</v>
      </c>
      <c r="U51" s="97">
        <f>IF(U9=0,0,(U9+U11)/(TrRoad_ene!U9+TrRoad_ene!U11))</f>
        <v>2.30102595629414</v>
      </c>
      <c r="V51" s="97">
        <f>IF(V9=0,0,(V9+V11)/(TrRoad_ene!V9+TrRoad_ene!V11))</f>
        <v>2.3090846992087668</v>
      </c>
      <c r="W51" s="97">
        <f>IF(W9=0,0,(W9+W11)/(TrRoad_ene!W9+TrRoad_ene!W11))</f>
        <v>2.3052120767307538</v>
      </c>
      <c r="DA51" s="175"/>
    </row>
    <row r="52" spans="1:105" ht="11.45" customHeight="1" x14ac:dyDescent="0.25">
      <c r="A52" s="85" t="s">
        <v>91</v>
      </c>
      <c r="B52" s="98">
        <f>IF(B15=0,0,B15/TrRoad_ene!B15)</f>
        <v>0</v>
      </c>
      <c r="C52" s="98">
        <f>IF(C15=0,0,C15/TrRoad_ene!C15)</f>
        <v>0</v>
      </c>
      <c r="D52" s="98">
        <f>IF(D15=0,0,D15/TrRoad_ene!D15)</f>
        <v>0</v>
      </c>
      <c r="E52" s="98">
        <f>IF(E15=0,0,E15/TrRoad_ene!E15)</f>
        <v>0</v>
      </c>
      <c r="F52" s="98">
        <f>IF(F15=0,0,F15/TrRoad_ene!F15)</f>
        <v>0</v>
      </c>
      <c r="G52" s="98">
        <f>IF(G15=0,0,G15/TrRoad_ene!G15)</f>
        <v>0</v>
      </c>
      <c r="H52" s="98">
        <f>IF(H15=0,0,H15/TrRoad_ene!H15)</f>
        <v>0</v>
      </c>
      <c r="I52" s="98">
        <f>IF(I15=0,0,I15/TrRoad_ene!I15)</f>
        <v>0</v>
      </c>
      <c r="J52" s="98">
        <f>IF(J15=0,0,J15/TrRoad_ene!J15)</f>
        <v>0</v>
      </c>
      <c r="K52" s="98">
        <f>IF(K15=0,0,K15/TrRoad_ene!K15)</f>
        <v>0</v>
      </c>
      <c r="L52" s="98">
        <f>IF(L15=0,0,L15/TrRoad_ene!L15)</f>
        <v>0</v>
      </c>
      <c r="M52" s="98">
        <f>IF(M15=0,0,M15/TrRoad_ene!M15)</f>
        <v>0</v>
      </c>
      <c r="N52" s="98">
        <f>IF(N15=0,0,N15/TrRoad_ene!N15)</f>
        <v>0</v>
      </c>
      <c r="O52" s="98">
        <f>IF(O15=0,0,O15/TrRoad_ene!O15)</f>
        <v>0</v>
      </c>
      <c r="P52" s="98">
        <f>IF(P15=0,0,P15/TrRoad_ene!P15)</f>
        <v>0</v>
      </c>
      <c r="Q52" s="98">
        <f>IF(Q15=0,0,Q15/TrRoad_ene!Q15)</f>
        <v>0</v>
      </c>
      <c r="R52" s="98">
        <f>IF(R15=0,0,R15/TrRoad_ene!R15)</f>
        <v>0</v>
      </c>
      <c r="S52" s="98">
        <f>IF(S15=0,0,S15/TrRoad_ene!S15)</f>
        <v>0</v>
      </c>
      <c r="T52" s="98">
        <f>IF(T15=0,0,T15/TrRoad_ene!T15)</f>
        <v>0</v>
      </c>
      <c r="U52" s="98">
        <f>IF(U15=0,0,U15/TrRoad_ene!U15)</f>
        <v>0</v>
      </c>
      <c r="V52" s="98">
        <f>IF(V15=0,0,V15/TrRoad_ene!V15)</f>
        <v>0</v>
      </c>
      <c r="W52" s="98">
        <f>IF(W15=0,0,W15/TrRoad_ene!W15)</f>
        <v>0</v>
      </c>
      <c r="DA52" s="178"/>
    </row>
    <row r="53" spans="1:105" x14ac:dyDescent="0.25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DA53" s="171"/>
    </row>
    <row r="54" spans="1:105" ht="11.45" customHeight="1" x14ac:dyDescent="0.25">
      <c r="A54" s="53" t="s">
        <v>129</v>
      </c>
      <c r="B54" s="62">
        <f>IF(TrRoad_act!B30=0,0,B17/TrRoad_act!B30*1000
)</f>
        <v>285.74390631954799</v>
      </c>
      <c r="C54" s="62">
        <f>IF(TrRoad_act!C30=0,0,C17/TrRoad_act!C30*1000
)</f>
        <v>300.88175470195523</v>
      </c>
      <c r="D54" s="62">
        <f>IF(TrRoad_act!D30=0,0,D17/TrRoad_act!D30*1000
)</f>
        <v>325.56618644213705</v>
      </c>
      <c r="E54" s="62">
        <f>IF(TrRoad_act!E30=0,0,E17/TrRoad_act!E30*1000
)</f>
        <v>342.12300058876082</v>
      </c>
      <c r="F54" s="62">
        <f>IF(TrRoad_act!F30=0,0,F17/TrRoad_act!F30*1000
)</f>
        <v>341.7554328826987</v>
      </c>
      <c r="G54" s="62">
        <f>IF(TrRoad_act!G30=0,0,G17/TrRoad_act!G30*1000
)</f>
        <v>346.00678902795147</v>
      </c>
      <c r="H54" s="62">
        <f>IF(TrRoad_act!H30=0,0,H17/TrRoad_act!H30*1000
)</f>
        <v>324.6627406455363</v>
      </c>
      <c r="I54" s="62">
        <f>IF(TrRoad_act!I30=0,0,I17/TrRoad_act!I30*1000
)</f>
        <v>319.8453361279968</v>
      </c>
      <c r="J54" s="62">
        <f>IF(TrRoad_act!J30=0,0,J17/TrRoad_act!J30*1000
)</f>
        <v>313.03336587398837</v>
      </c>
      <c r="K54" s="62">
        <f>IF(TrRoad_act!K30=0,0,K17/TrRoad_act!K30*1000
)</f>
        <v>303.28313738142839</v>
      </c>
      <c r="L54" s="62">
        <f>IF(TrRoad_act!L30=0,0,L17/TrRoad_act!L30*1000
)</f>
        <v>311.40568332870566</v>
      </c>
      <c r="M54" s="62">
        <f>IF(TrRoad_act!M30=0,0,M17/TrRoad_act!M30*1000
)</f>
        <v>292.91833865045396</v>
      </c>
      <c r="N54" s="62">
        <f>IF(TrRoad_act!N30=0,0,N17/TrRoad_act!N30*1000
)</f>
        <v>292.96723346102488</v>
      </c>
      <c r="O54" s="62">
        <f>IF(TrRoad_act!O30=0,0,O17/TrRoad_act!O30*1000
)</f>
        <v>307.75828022560529</v>
      </c>
      <c r="P54" s="62">
        <f>IF(TrRoad_act!P30=0,0,P17/TrRoad_act!P30*1000
)</f>
        <v>295.04977669664265</v>
      </c>
      <c r="Q54" s="62">
        <f>IF(TrRoad_act!Q30=0,0,Q17/TrRoad_act!Q30*1000
)</f>
        <v>293.71101087085196</v>
      </c>
      <c r="R54" s="62">
        <f>IF(TrRoad_act!R30=0,0,R17/TrRoad_act!R30*1000
)</f>
        <v>296.02504308153271</v>
      </c>
      <c r="S54" s="62">
        <f>IF(TrRoad_act!S30=0,0,S17/TrRoad_act!S30*1000
)</f>
        <v>297.37099479086987</v>
      </c>
      <c r="T54" s="62">
        <f>IF(TrRoad_act!T30=0,0,T17/TrRoad_act!T30*1000
)</f>
        <v>305.86555000188781</v>
      </c>
      <c r="U54" s="62">
        <f>IF(TrRoad_act!U30=0,0,U17/TrRoad_act!U30*1000
)</f>
        <v>312.93902315605686</v>
      </c>
      <c r="V54" s="62">
        <f>IF(TrRoad_act!V30=0,0,V17/TrRoad_act!V30*1000
)</f>
        <v>298.18687106911676</v>
      </c>
      <c r="W54" s="62">
        <f>IF(TrRoad_act!W30=0,0,W17/TrRoad_act!W30*1000
)</f>
        <v>295.48091899290671</v>
      </c>
      <c r="DA54" s="172" t="s">
        <v>768</v>
      </c>
    </row>
    <row r="55" spans="1:105" ht="11.45" customHeight="1" x14ac:dyDescent="0.25">
      <c r="A55" s="27" t="s">
        <v>33</v>
      </c>
      <c r="B55" s="29">
        <f>IF(TrRoad_act!B31=0,0,B18/TrRoad_act!B31*1000
)</f>
        <v>215.98361655994972</v>
      </c>
      <c r="C55" s="29">
        <f>IF(TrRoad_act!C31=0,0,C18/TrRoad_act!C31*1000
)</f>
        <v>221.64763477454349</v>
      </c>
      <c r="D55" s="29">
        <f>IF(TrRoad_act!D31=0,0,D18/TrRoad_act!D31*1000
)</f>
        <v>240.07744182489802</v>
      </c>
      <c r="E55" s="29">
        <f>IF(TrRoad_act!E31=0,0,E18/TrRoad_act!E31*1000
)</f>
        <v>251.39797026897497</v>
      </c>
      <c r="F55" s="29">
        <f>IF(TrRoad_act!F31=0,0,F18/TrRoad_act!F31*1000
)</f>
        <v>252.62102567983402</v>
      </c>
      <c r="G55" s="29">
        <f>IF(TrRoad_act!G31=0,0,G18/TrRoad_act!G31*1000
)</f>
        <v>254.45582186833681</v>
      </c>
      <c r="H55" s="29">
        <f>IF(TrRoad_act!H31=0,0,H18/TrRoad_act!H31*1000
)</f>
        <v>244.79460497675927</v>
      </c>
      <c r="I55" s="29">
        <f>IF(TrRoad_act!I31=0,0,I18/TrRoad_act!I31*1000
)</f>
        <v>243.22701099638621</v>
      </c>
      <c r="J55" s="29">
        <f>IF(TrRoad_act!J31=0,0,J18/TrRoad_act!J31*1000
)</f>
        <v>238.15701857851261</v>
      </c>
      <c r="K55" s="29">
        <f>IF(TrRoad_act!K31=0,0,K18/TrRoad_act!K31*1000
)</f>
        <v>232.2247674655473</v>
      </c>
      <c r="L55" s="29">
        <f>IF(TrRoad_act!L31=0,0,L18/TrRoad_act!L31*1000
)</f>
        <v>233.28931006744958</v>
      </c>
      <c r="M55" s="29">
        <f>IF(TrRoad_act!M31=0,0,M18/TrRoad_act!M31*1000
)</f>
        <v>222.94087825631516</v>
      </c>
      <c r="N55" s="29">
        <f>IF(TrRoad_act!N31=0,0,N18/TrRoad_act!N31*1000
)</f>
        <v>220.67131382191536</v>
      </c>
      <c r="O55" s="29">
        <f>IF(TrRoad_act!O31=0,0,O18/TrRoad_act!O31*1000
)</f>
        <v>222.7477164654434</v>
      </c>
      <c r="P55" s="29">
        <f>IF(TrRoad_act!P31=0,0,P18/TrRoad_act!P31*1000
)</f>
        <v>217.60714707874615</v>
      </c>
      <c r="Q55" s="29">
        <f>IF(TrRoad_act!Q31=0,0,Q18/TrRoad_act!Q31*1000
)</f>
        <v>216.65163171345776</v>
      </c>
      <c r="R55" s="29">
        <f>IF(TrRoad_act!R31=0,0,R18/TrRoad_act!R31*1000
)</f>
        <v>217.33164261557357</v>
      </c>
      <c r="S55" s="29">
        <f>IF(TrRoad_act!S31=0,0,S18/TrRoad_act!S31*1000
)</f>
        <v>216.82653379533519</v>
      </c>
      <c r="T55" s="29">
        <f>IF(TrRoad_act!T31=0,0,T18/TrRoad_act!T31*1000
)</f>
        <v>219.69829679699421</v>
      </c>
      <c r="U55" s="29">
        <f>IF(TrRoad_act!U31=0,0,U18/TrRoad_act!U31*1000
)</f>
        <v>220.43322249420126</v>
      </c>
      <c r="V55" s="29">
        <f>IF(TrRoad_act!V31=0,0,V18/TrRoad_act!V31*1000
)</f>
        <v>208.18282672237527</v>
      </c>
      <c r="W55" s="29">
        <f>IF(TrRoad_act!W31=0,0,W18/TrRoad_act!W31*1000
)</f>
        <v>204.15276351697614</v>
      </c>
      <c r="DA55" s="173" t="s">
        <v>769</v>
      </c>
    </row>
    <row r="56" spans="1:105" ht="11.45" customHeight="1" x14ac:dyDescent="0.25">
      <c r="A56" s="136" t="s">
        <v>180</v>
      </c>
      <c r="B56" s="152">
        <f>IF(TrRoad_act!B32=0,0,B19/TrRoad_act!B32*1000
)</f>
        <v>106.87443918225053</v>
      </c>
      <c r="C56" s="152">
        <f>IF(TrRoad_act!C32=0,0,C19/TrRoad_act!C32*1000
)</f>
        <v>106.2446777983419</v>
      </c>
      <c r="D56" s="152">
        <f>IF(TrRoad_act!D32=0,0,D19/TrRoad_act!D32*1000
)</f>
        <v>105.89586024849315</v>
      </c>
      <c r="E56" s="152">
        <f>IF(TrRoad_act!E32=0,0,E19/TrRoad_act!E32*1000
)</f>
        <v>105.79684036104459</v>
      </c>
      <c r="F56" s="152">
        <f>IF(TrRoad_act!F32=0,0,F19/TrRoad_act!F32*1000
)</f>
        <v>104.82322215147707</v>
      </c>
      <c r="G56" s="152">
        <f>IF(TrRoad_act!G32=0,0,G19/TrRoad_act!G32*1000
)</f>
        <v>104.30692565443017</v>
      </c>
      <c r="H56" s="152">
        <f>IF(TrRoad_act!H32=0,0,H19/TrRoad_act!H32*1000
)</f>
        <v>103.83772633732831</v>
      </c>
      <c r="I56" s="152">
        <f>IF(TrRoad_act!I32=0,0,I19/TrRoad_act!I32*1000
)</f>
        <v>102.67162173327966</v>
      </c>
      <c r="J56" s="152">
        <f>IF(TrRoad_act!J32=0,0,J19/TrRoad_act!J32*1000
)</f>
        <v>100.36850571488829</v>
      </c>
      <c r="K56" s="152">
        <f>IF(TrRoad_act!K32=0,0,K19/TrRoad_act!K32*1000
)</f>
        <v>99.09395279585631</v>
      </c>
      <c r="L56" s="152">
        <f>IF(TrRoad_act!L32=0,0,L19/TrRoad_act!L32*1000
)</f>
        <v>98.636113968356369</v>
      </c>
      <c r="M56" s="152">
        <f>IF(TrRoad_act!M32=0,0,M19/TrRoad_act!M32*1000
)</f>
        <v>98.252018876991201</v>
      </c>
      <c r="N56" s="152">
        <f>IF(TrRoad_act!N32=0,0,N19/TrRoad_act!N32*1000
)</f>
        <v>97.183409391551592</v>
      </c>
      <c r="O56" s="152">
        <f>IF(TrRoad_act!O32=0,0,O19/TrRoad_act!O32*1000
)</f>
        <v>98.808727137669791</v>
      </c>
      <c r="P56" s="152">
        <f>IF(TrRoad_act!P32=0,0,P19/TrRoad_act!P32*1000
)</f>
        <v>99.822448278995253</v>
      </c>
      <c r="Q56" s="152">
        <f>IF(TrRoad_act!Q32=0,0,Q19/TrRoad_act!Q32*1000
)</f>
        <v>99.486461059398394</v>
      </c>
      <c r="R56" s="152">
        <f>IF(TrRoad_act!R32=0,0,R19/TrRoad_act!R32*1000
)</f>
        <v>98.725657350361814</v>
      </c>
      <c r="S56" s="152">
        <f>IF(TrRoad_act!S32=0,0,S19/TrRoad_act!S32*1000
)</f>
        <v>102.77846232221438</v>
      </c>
      <c r="T56" s="152">
        <f>IF(TrRoad_act!T32=0,0,T19/TrRoad_act!T32*1000
)</f>
        <v>103.14438400487822</v>
      </c>
      <c r="U56" s="152">
        <f>IF(TrRoad_act!U32=0,0,U19/TrRoad_act!U32*1000
)</f>
        <v>103.42816104933594</v>
      </c>
      <c r="V56" s="152">
        <f>IF(TrRoad_act!V32=0,0,V19/TrRoad_act!V32*1000
)</f>
        <v>103.35662248465924</v>
      </c>
      <c r="W56" s="152">
        <f>IF(TrRoad_act!W32=0,0,W19/TrRoad_act!W32*1000
)</f>
        <v>95.258222565471826</v>
      </c>
      <c r="DA56" s="174" t="s">
        <v>770</v>
      </c>
    </row>
    <row r="57" spans="1:105" ht="11.45" customHeight="1" x14ac:dyDescent="0.25">
      <c r="A57" s="109" t="s">
        <v>20</v>
      </c>
      <c r="B57" s="116">
        <f>IF(TrRoad_act!B33=0,0,B20/TrRoad_act!B33*1000
)</f>
        <v>205.01271400298177</v>
      </c>
      <c r="C57" s="116">
        <f>IF(TrRoad_act!C33=0,0,C20/TrRoad_act!C33*1000
)</f>
        <v>211.07302053016818</v>
      </c>
      <c r="D57" s="116">
        <f>IF(TrRoad_act!D33=0,0,D20/TrRoad_act!D33*1000
)</f>
        <v>229.88675394059368</v>
      </c>
      <c r="E57" s="116">
        <f>IF(TrRoad_act!E33=0,0,E20/TrRoad_act!E33*1000
)</f>
        <v>241.39343812851686</v>
      </c>
      <c r="F57" s="116">
        <f>IF(TrRoad_act!F33=0,0,F20/TrRoad_act!F33*1000
)</f>
        <v>243.08149245906401</v>
      </c>
      <c r="G57" s="116">
        <f>IF(TrRoad_act!G33=0,0,G20/TrRoad_act!G33*1000
)</f>
        <v>245.4256434202411</v>
      </c>
      <c r="H57" s="116">
        <f>IF(TrRoad_act!H33=0,0,H20/TrRoad_act!H33*1000
)</f>
        <v>236.34866006353519</v>
      </c>
      <c r="I57" s="116">
        <f>IF(TrRoad_act!I33=0,0,I20/TrRoad_act!I33*1000
)</f>
        <v>234.53695553418345</v>
      </c>
      <c r="J57" s="116">
        <f>IF(TrRoad_act!J33=0,0,J20/TrRoad_act!J33*1000
)</f>
        <v>229.68088188692872</v>
      </c>
      <c r="K57" s="116">
        <f>IF(TrRoad_act!K33=0,0,K20/TrRoad_act!K33*1000
)</f>
        <v>224.85739112378954</v>
      </c>
      <c r="L57" s="116">
        <f>IF(TrRoad_act!L33=0,0,L20/TrRoad_act!L33*1000
)</f>
        <v>225.23517528738256</v>
      </c>
      <c r="M57" s="116">
        <f>IF(TrRoad_act!M33=0,0,M20/TrRoad_act!M33*1000
)</f>
        <v>214.94543851524605</v>
      </c>
      <c r="N57" s="116">
        <f>IF(TrRoad_act!N33=0,0,N20/TrRoad_act!N33*1000
)</f>
        <v>212.73990294497247</v>
      </c>
      <c r="O57" s="116">
        <f>IF(TrRoad_act!O33=0,0,O20/TrRoad_act!O33*1000
)</f>
        <v>215.01521034020439</v>
      </c>
      <c r="P57" s="116">
        <f>IF(TrRoad_act!P33=0,0,P20/TrRoad_act!P33*1000
)</f>
        <v>209.8555354714708</v>
      </c>
      <c r="Q57" s="116">
        <f>IF(TrRoad_act!Q33=0,0,Q20/TrRoad_act!Q33*1000
)</f>
        <v>209.01437002075801</v>
      </c>
      <c r="R57" s="116">
        <f>IF(TrRoad_act!R33=0,0,R20/TrRoad_act!R33*1000
)</f>
        <v>209.28254104155118</v>
      </c>
      <c r="S57" s="116">
        <f>IF(TrRoad_act!S33=0,0,S20/TrRoad_act!S33*1000
)</f>
        <v>208.09573082553652</v>
      </c>
      <c r="T57" s="116">
        <f>IF(TrRoad_act!T33=0,0,T20/TrRoad_act!T33*1000
)</f>
        <v>211.16405230283831</v>
      </c>
      <c r="U57" s="116">
        <f>IF(TrRoad_act!U33=0,0,U20/TrRoad_act!U33*1000
)</f>
        <v>211.85455988782766</v>
      </c>
      <c r="V57" s="116">
        <f>IF(TrRoad_act!V33=0,0,V20/TrRoad_act!V33*1000
)</f>
        <v>197.94383681802151</v>
      </c>
      <c r="W57" s="116">
        <f>IF(TrRoad_act!W33=0,0,W20/TrRoad_act!W33*1000
)</f>
        <v>194.48411998947861</v>
      </c>
      <c r="DA57" s="176" t="s">
        <v>771</v>
      </c>
    </row>
    <row r="58" spans="1:105" ht="11.45" customHeight="1" x14ac:dyDescent="0.25">
      <c r="A58" s="111" t="s">
        <v>110</v>
      </c>
      <c r="B58" s="87">
        <f>IF(TrRoad_act!B34=0,0,B21/TrRoad_act!B34*1000
)</f>
        <v>181.19580319072392</v>
      </c>
      <c r="C58" s="87">
        <f>IF(TrRoad_act!C34=0,0,C21/TrRoad_act!C34*1000
)</f>
        <v>184.06701356553157</v>
      </c>
      <c r="D58" s="87">
        <f>IF(TrRoad_act!D34=0,0,D21/TrRoad_act!D34*1000
)</f>
        <v>207.25519026083103</v>
      </c>
      <c r="E58" s="87">
        <f>IF(TrRoad_act!E34=0,0,E21/TrRoad_act!E34*1000
)</f>
        <v>221.3821219789545</v>
      </c>
      <c r="F58" s="87">
        <f>IF(TrRoad_act!F34=0,0,F21/TrRoad_act!F34*1000
)</f>
        <v>225.56774941116061</v>
      </c>
      <c r="G58" s="87">
        <f>IF(TrRoad_act!G34=0,0,G21/TrRoad_act!G34*1000
)</f>
        <v>229.21748489281529</v>
      </c>
      <c r="H58" s="87">
        <f>IF(TrRoad_act!H34=0,0,H21/TrRoad_act!H34*1000
)</f>
        <v>228.81210506103119</v>
      </c>
      <c r="I58" s="87">
        <f>IF(TrRoad_act!I34=0,0,I21/TrRoad_act!I34*1000
)</f>
        <v>229.51528004570986</v>
      </c>
      <c r="J58" s="87">
        <f>IF(TrRoad_act!J34=0,0,J21/TrRoad_act!J34*1000
)</f>
        <v>224.68723398584271</v>
      </c>
      <c r="K58" s="87">
        <f>IF(TrRoad_act!K34=0,0,K21/TrRoad_act!K34*1000
)</f>
        <v>218.53260757276675</v>
      </c>
      <c r="L58" s="87">
        <f>IF(TrRoad_act!L34=0,0,L21/TrRoad_act!L34*1000
)</f>
        <v>215.76797757347381</v>
      </c>
      <c r="M58" s="87">
        <f>IF(TrRoad_act!M34=0,0,M21/TrRoad_act!M34*1000
)</f>
        <v>206.31252930918993</v>
      </c>
      <c r="N58" s="87">
        <f>IF(TrRoad_act!N34=0,0,N21/TrRoad_act!N34*1000
)</f>
        <v>202.45177285832401</v>
      </c>
      <c r="O58" s="87">
        <f>IF(TrRoad_act!O34=0,0,O21/TrRoad_act!O34*1000
)</f>
        <v>201.79892704643152</v>
      </c>
      <c r="P58" s="87">
        <f>IF(TrRoad_act!P34=0,0,P21/TrRoad_act!P34*1000
)</f>
        <v>202.80856278344663</v>
      </c>
      <c r="Q58" s="87">
        <f>IF(TrRoad_act!Q34=0,0,Q21/TrRoad_act!Q34*1000
)</f>
        <v>207.05590715969831</v>
      </c>
      <c r="R58" s="87">
        <f>IF(TrRoad_act!R34=0,0,R21/TrRoad_act!R34*1000
)</f>
        <v>206.43565784547587</v>
      </c>
      <c r="S58" s="87">
        <f>IF(TrRoad_act!S34=0,0,S21/TrRoad_act!S34*1000
)</f>
        <v>204.74305713191097</v>
      </c>
      <c r="T58" s="87">
        <f>IF(TrRoad_act!T34=0,0,T21/TrRoad_act!T34*1000
)</f>
        <v>209.03694383402674</v>
      </c>
      <c r="U58" s="87">
        <f>IF(TrRoad_act!U34=0,0,U21/TrRoad_act!U34*1000
)</f>
        <v>208.7404514992397</v>
      </c>
      <c r="V58" s="87">
        <f>IF(TrRoad_act!V34=0,0,V21/TrRoad_act!V34*1000
)</f>
        <v>189.32937677192126</v>
      </c>
      <c r="W58" s="87">
        <f>IF(TrRoad_act!W34=0,0,W21/TrRoad_act!W34*1000
)</f>
        <v>187.9276394179559</v>
      </c>
      <c r="DA58" s="171" t="s">
        <v>772</v>
      </c>
    </row>
    <row r="59" spans="1:105" ht="11.45" customHeight="1" x14ac:dyDescent="0.25">
      <c r="A59" s="111" t="s">
        <v>111</v>
      </c>
      <c r="B59" s="87">
        <f>IF(TrRoad_act!B35=0,0,B22/TrRoad_act!B35*1000
)</f>
        <v>236.02160271336643</v>
      </c>
      <c r="C59" s="87">
        <f>IF(TrRoad_act!C35=0,0,C22/TrRoad_act!C35*1000
)</f>
        <v>244.24266064674629</v>
      </c>
      <c r="D59" s="87">
        <f>IF(TrRoad_act!D35=0,0,D22/TrRoad_act!D35*1000
)</f>
        <v>254.94532874020766</v>
      </c>
      <c r="E59" s="87">
        <f>IF(TrRoad_act!E35=0,0,E22/TrRoad_act!E35*1000
)</f>
        <v>261.47590148956772</v>
      </c>
      <c r="F59" s="87">
        <f>IF(TrRoad_act!F35=0,0,F22/TrRoad_act!F35*1000
)</f>
        <v>259.07704102843201</v>
      </c>
      <c r="G59" s="87">
        <f>IF(TrRoad_act!G35=0,0,G22/TrRoad_act!G35*1000
)</f>
        <v>258.87480823760399</v>
      </c>
      <c r="H59" s="87">
        <f>IF(TrRoad_act!H35=0,0,H22/TrRoad_act!H35*1000
)</f>
        <v>242.36410217372421</v>
      </c>
      <c r="I59" s="87">
        <f>IF(TrRoad_act!I35=0,0,I22/TrRoad_act!I35*1000
)</f>
        <v>238.34217507201797</v>
      </c>
      <c r="J59" s="87">
        <f>IF(TrRoad_act!J35=0,0,J22/TrRoad_act!J35*1000
)</f>
        <v>233.36990838690363</v>
      </c>
      <c r="K59" s="87">
        <f>IF(TrRoad_act!K35=0,0,K22/TrRoad_act!K35*1000
)</f>
        <v>229.15081016483373</v>
      </c>
      <c r="L59" s="87">
        <f>IF(TrRoad_act!L35=0,0,L22/TrRoad_act!L35*1000
)</f>
        <v>231.49832275549664</v>
      </c>
      <c r="M59" s="87">
        <f>IF(TrRoad_act!M35=0,0,M22/TrRoad_act!M35*1000
)</f>
        <v>220.29272698325008</v>
      </c>
      <c r="N59" s="87">
        <f>IF(TrRoad_act!N35=0,0,N22/TrRoad_act!N35*1000
)</f>
        <v>218.98854519743489</v>
      </c>
      <c r="O59" s="87">
        <f>IF(TrRoad_act!O35=0,0,O22/TrRoad_act!O35*1000
)</f>
        <v>222.72442383300839</v>
      </c>
      <c r="P59" s="87">
        <f>IF(TrRoad_act!P35=0,0,P22/TrRoad_act!P35*1000
)</f>
        <v>214.00486917428569</v>
      </c>
      <c r="Q59" s="87">
        <f>IF(TrRoad_act!Q35=0,0,Q22/TrRoad_act!Q35*1000
)</f>
        <v>210.62678999195373</v>
      </c>
      <c r="R59" s="87">
        <f>IF(TrRoad_act!R35=0,0,R22/TrRoad_act!R35*1000
)</f>
        <v>211.4583066548914</v>
      </c>
      <c r="S59" s="87">
        <f>IF(TrRoad_act!S35=0,0,S22/TrRoad_act!S35*1000
)</f>
        <v>210.83941075373866</v>
      </c>
      <c r="T59" s="87">
        <f>IF(TrRoad_act!T35=0,0,T22/TrRoad_act!T35*1000
)</f>
        <v>214.00994618735106</v>
      </c>
      <c r="U59" s="87">
        <f>IF(TrRoad_act!U35=0,0,U22/TrRoad_act!U35*1000
)</f>
        <v>215.9984272758698</v>
      </c>
      <c r="V59" s="87">
        <f>IF(TrRoad_act!V35=0,0,V22/TrRoad_act!V35*1000
)</f>
        <v>205.91455982236283</v>
      </c>
      <c r="W59" s="87">
        <f>IF(TrRoad_act!W35=0,0,W22/TrRoad_act!W35*1000
)</f>
        <v>204.83176136376437</v>
      </c>
      <c r="DA59" s="171" t="s">
        <v>773</v>
      </c>
    </row>
    <row r="60" spans="1:105" ht="11.45" customHeight="1" x14ac:dyDescent="0.25">
      <c r="A60" s="111" t="s">
        <v>112</v>
      </c>
      <c r="B60" s="87">
        <f>IF(TrRoad_act!B36=0,0,B23/TrRoad_act!B36*1000
)</f>
        <v>208.82235631361416</v>
      </c>
      <c r="C60" s="87">
        <f>IF(TrRoad_act!C36=0,0,C23/TrRoad_act!C36*1000
)</f>
        <v>209.76107290983725</v>
      </c>
      <c r="D60" s="87">
        <f>IF(TrRoad_act!D36=0,0,D23/TrRoad_act!D36*1000
)</f>
        <v>199.32166237332746</v>
      </c>
      <c r="E60" s="87">
        <f>IF(TrRoad_act!E36=0,0,E23/TrRoad_act!E36*1000
)</f>
        <v>195.62169196652275</v>
      </c>
      <c r="F60" s="87">
        <f>IF(TrRoad_act!F36=0,0,F23/TrRoad_act!F36*1000
)</f>
        <v>196.38159803411267</v>
      </c>
      <c r="G60" s="87">
        <f>IF(TrRoad_act!G36=0,0,G23/TrRoad_act!G36*1000
)</f>
        <v>185.44692655354922</v>
      </c>
      <c r="H60" s="87">
        <f>IF(TrRoad_act!H36=0,0,H23/TrRoad_act!H36*1000
)</f>
        <v>181.6674837461361</v>
      </c>
      <c r="I60" s="87">
        <f>IF(TrRoad_act!I36=0,0,I23/TrRoad_act!I36*1000
)</f>
        <v>182.79328241951174</v>
      </c>
      <c r="J60" s="87">
        <f>IF(TrRoad_act!J36=0,0,J23/TrRoad_act!J36*1000
)</f>
        <v>190.36970337271819</v>
      </c>
      <c r="K60" s="87">
        <f>IF(TrRoad_act!K36=0,0,K23/TrRoad_act!K36*1000
)</f>
        <v>197.35480648304039</v>
      </c>
      <c r="L60" s="87">
        <f>IF(TrRoad_act!L36=0,0,L23/TrRoad_act!L36*1000
)</f>
        <v>194.10409759489187</v>
      </c>
      <c r="M60" s="87">
        <f>IF(TrRoad_act!M36=0,0,M23/TrRoad_act!M36*1000
)</f>
        <v>184.79375885701364</v>
      </c>
      <c r="N60" s="87">
        <f>IF(TrRoad_act!N36=0,0,N23/TrRoad_act!N36*1000
)</f>
        <v>189.5630764112307</v>
      </c>
      <c r="O60" s="87">
        <f>IF(TrRoad_act!O36=0,0,O23/TrRoad_act!O36*1000
)</f>
        <v>188.07416606512999</v>
      </c>
      <c r="P60" s="87">
        <f>IF(TrRoad_act!P36=0,0,P23/TrRoad_act!P36*1000
)</f>
        <v>178.10616925279388</v>
      </c>
      <c r="Q60" s="87">
        <f>IF(TrRoad_act!Q36=0,0,Q23/TrRoad_act!Q36*1000
)</f>
        <v>174.33735818267681</v>
      </c>
      <c r="R60" s="87">
        <f>IF(TrRoad_act!R36=0,0,R23/TrRoad_act!R36*1000
)</f>
        <v>195.24756609562507</v>
      </c>
      <c r="S60" s="87">
        <f>IF(TrRoad_act!S36=0,0,S23/TrRoad_act!S36*1000
)</f>
        <v>209.05671841870682</v>
      </c>
      <c r="T60" s="87">
        <f>IF(TrRoad_act!T36=0,0,T23/TrRoad_act!T36*1000
)</f>
        <v>195.54146549063424</v>
      </c>
      <c r="U60" s="87">
        <f>IF(TrRoad_act!U36=0,0,U23/TrRoad_act!U36*1000
)</f>
        <v>222.25194643508377</v>
      </c>
      <c r="V60" s="87">
        <f>IF(TrRoad_act!V36=0,0,V23/TrRoad_act!V36*1000
)</f>
        <v>180.21483823500344</v>
      </c>
      <c r="W60" s="87">
        <f>IF(TrRoad_act!W36=0,0,W23/TrRoad_act!W36*1000
)</f>
        <v>132.69021146333617</v>
      </c>
      <c r="DA60" s="171" t="s">
        <v>774</v>
      </c>
    </row>
    <row r="61" spans="1:105" ht="11.45" customHeight="1" x14ac:dyDescent="0.25">
      <c r="A61" s="111" t="s">
        <v>113</v>
      </c>
      <c r="B61" s="87">
        <f>IF(TrRoad_act!B37=0,0,B24/TrRoad_act!B37*1000
)</f>
        <v>0</v>
      </c>
      <c r="C61" s="87">
        <f>IF(TrRoad_act!C37=0,0,C24/TrRoad_act!C37*1000
)</f>
        <v>0</v>
      </c>
      <c r="D61" s="87">
        <f>IF(TrRoad_act!D37=0,0,D24/TrRoad_act!D37*1000
)</f>
        <v>0</v>
      </c>
      <c r="E61" s="87">
        <f>IF(TrRoad_act!E37=0,0,E24/TrRoad_act!E37*1000
)</f>
        <v>0</v>
      </c>
      <c r="F61" s="87">
        <f>IF(TrRoad_act!F37=0,0,F24/TrRoad_act!F37*1000
)</f>
        <v>0</v>
      </c>
      <c r="G61" s="87">
        <f>IF(TrRoad_act!G37=0,0,G24/TrRoad_act!G37*1000
)</f>
        <v>0</v>
      </c>
      <c r="H61" s="87">
        <f>IF(TrRoad_act!H37=0,0,H24/TrRoad_act!H37*1000
)</f>
        <v>163.91518437991934</v>
      </c>
      <c r="I61" s="87">
        <f>IF(TrRoad_act!I37=0,0,I24/TrRoad_act!I37*1000
)</f>
        <v>161.96285100610623</v>
      </c>
      <c r="J61" s="87">
        <f>IF(TrRoad_act!J37=0,0,J24/TrRoad_act!J37*1000
)</f>
        <v>157.21717518668319</v>
      </c>
      <c r="K61" s="87">
        <f>IF(TrRoad_act!K37=0,0,K24/TrRoad_act!K37*1000
)</f>
        <v>156.03907966425871</v>
      </c>
      <c r="L61" s="87">
        <f>IF(TrRoad_act!L37=0,0,L24/TrRoad_act!L37*1000
)</f>
        <v>162.65831357754163</v>
      </c>
      <c r="M61" s="87">
        <f>IF(TrRoad_act!M37=0,0,M24/TrRoad_act!M37*1000
)</f>
        <v>166.3550008296009</v>
      </c>
      <c r="N61" s="87">
        <f>IF(TrRoad_act!N37=0,0,N24/TrRoad_act!N37*1000
)</f>
        <v>166.12466187429291</v>
      </c>
      <c r="O61" s="87">
        <f>IF(TrRoad_act!O37=0,0,O24/TrRoad_act!O37*1000
)</f>
        <v>159.72280629826972</v>
      </c>
      <c r="P61" s="87">
        <f>IF(TrRoad_act!P37=0,0,P24/TrRoad_act!P37*1000
)</f>
        <v>148.87323112697848</v>
      </c>
      <c r="Q61" s="87">
        <f>IF(TrRoad_act!Q37=0,0,Q24/TrRoad_act!Q37*1000
)</f>
        <v>146.81086747747585</v>
      </c>
      <c r="R61" s="87">
        <f>IF(TrRoad_act!R37=0,0,R24/TrRoad_act!R37*1000
)</f>
        <v>144.335327910214</v>
      </c>
      <c r="S61" s="87">
        <f>IF(TrRoad_act!S37=0,0,S24/TrRoad_act!S37*1000
)</f>
        <v>143.81716904679698</v>
      </c>
      <c r="T61" s="87">
        <f>IF(TrRoad_act!T37=0,0,T24/TrRoad_act!T37*1000
)</f>
        <v>140.64981786942178</v>
      </c>
      <c r="U61" s="87">
        <f>IF(TrRoad_act!U37=0,0,U24/TrRoad_act!U37*1000
)</f>
        <v>139.17915075311822</v>
      </c>
      <c r="V61" s="87">
        <f>IF(TrRoad_act!V37=0,0,V24/TrRoad_act!V37*1000
)</f>
        <v>137.13876397507866</v>
      </c>
      <c r="W61" s="87">
        <f>IF(TrRoad_act!W37=0,0,W24/TrRoad_act!W37*1000
)</f>
        <v>135.25298346079373</v>
      </c>
      <c r="DA61" s="171" t="s">
        <v>775</v>
      </c>
    </row>
    <row r="62" spans="1:105" ht="11.45" customHeight="1" x14ac:dyDescent="0.25">
      <c r="A62" s="111" t="s">
        <v>114</v>
      </c>
      <c r="B62" s="87">
        <f>IF(TrRoad_act!B38=0,0,B25/TrRoad_act!B38*1000
)</f>
        <v>0</v>
      </c>
      <c r="C62" s="87">
        <f>IF(TrRoad_act!C38=0,0,C25/TrRoad_act!C38*1000
)</f>
        <v>0</v>
      </c>
      <c r="D62" s="87">
        <f>IF(TrRoad_act!D38=0,0,D25/TrRoad_act!D38*1000
)</f>
        <v>0</v>
      </c>
      <c r="E62" s="87">
        <f>IF(TrRoad_act!E38=0,0,E25/TrRoad_act!E38*1000
)</f>
        <v>0</v>
      </c>
      <c r="F62" s="87">
        <f>IF(TrRoad_act!F38=0,0,F25/TrRoad_act!F38*1000
)</f>
        <v>0</v>
      </c>
      <c r="G62" s="87">
        <f>IF(TrRoad_act!G38=0,0,G25/TrRoad_act!G38*1000
)</f>
        <v>0</v>
      </c>
      <c r="H62" s="87">
        <f>IF(TrRoad_act!H38=0,0,H25/TrRoad_act!H38*1000
)</f>
        <v>0</v>
      </c>
      <c r="I62" s="87">
        <f>IF(TrRoad_act!I38=0,0,I25/TrRoad_act!I38*1000
)</f>
        <v>0</v>
      </c>
      <c r="J62" s="87">
        <f>IF(TrRoad_act!J38=0,0,J25/TrRoad_act!J38*1000
)</f>
        <v>0</v>
      </c>
      <c r="K62" s="87">
        <f>IF(TrRoad_act!K38=0,0,K25/TrRoad_act!K38*1000
)</f>
        <v>0</v>
      </c>
      <c r="L62" s="87">
        <f>IF(TrRoad_act!L38=0,0,L25/TrRoad_act!L38*1000
)</f>
        <v>0</v>
      </c>
      <c r="M62" s="87">
        <f>IF(TrRoad_act!M38=0,0,M25/TrRoad_act!M38*1000
)</f>
        <v>76.467100206405078</v>
      </c>
      <c r="N62" s="87">
        <f>IF(TrRoad_act!N38=0,0,N25/TrRoad_act!N38*1000
)</f>
        <v>56.12154342902889</v>
      </c>
      <c r="O62" s="87">
        <f>IF(TrRoad_act!O38=0,0,O25/TrRoad_act!O38*1000
)</f>
        <v>39.352033737835399</v>
      </c>
      <c r="P62" s="87">
        <f>IF(TrRoad_act!P38=0,0,P25/TrRoad_act!P38*1000
)</f>
        <v>45.18880671172964</v>
      </c>
      <c r="Q62" s="87">
        <f>IF(TrRoad_act!Q38=0,0,Q25/TrRoad_act!Q38*1000
)</f>
        <v>57.035220450494386</v>
      </c>
      <c r="R62" s="87">
        <f>IF(TrRoad_act!R38=0,0,R25/TrRoad_act!R38*1000
)</f>
        <v>72.335406255029838</v>
      </c>
      <c r="S62" s="87">
        <f>IF(TrRoad_act!S38=0,0,S25/TrRoad_act!S38*1000
)</f>
        <v>76.570252854220641</v>
      </c>
      <c r="T62" s="87">
        <f>IF(TrRoad_act!T38=0,0,T25/TrRoad_act!T38*1000
)</f>
        <v>81.76329455770545</v>
      </c>
      <c r="U62" s="87">
        <f>IF(TrRoad_act!U38=0,0,U25/TrRoad_act!U38*1000
)</f>
        <v>82.344450269105167</v>
      </c>
      <c r="V62" s="87">
        <f>IF(TrRoad_act!V38=0,0,V25/TrRoad_act!V38*1000
)</f>
        <v>64.409631124592877</v>
      </c>
      <c r="W62" s="87">
        <f>IF(TrRoad_act!W38=0,0,W25/TrRoad_act!W38*1000
)</f>
        <v>56.30250546171137</v>
      </c>
      <c r="DA62" s="171" t="s">
        <v>776</v>
      </c>
    </row>
    <row r="63" spans="1:105" ht="11.45" customHeight="1" x14ac:dyDescent="0.25">
      <c r="A63" s="111" t="s">
        <v>115</v>
      </c>
      <c r="B63" s="87">
        <f>IF(TrRoad_act!B39=0,0,B26/TrRoad_act!B39*1000
)</f>
        <v>0</v>
      </c>
      <c r="C63" s="87">
        <f>IF(TrRoad_act!C39=0,0,C26/TrRoad_act!C39*1000
)</f>
        <v>0</v>
      </c>
      <c r="D63" s="87">
        <f>IF(TrRoad_act!D39=0,0,D26/TrRoad_act!D39*1000
)</f>
        <v>0</v>
      </c>
      <c r="E63" s="87">
        <f>IF(TrRoad_act!E39=0,0,E26/TrRoad_act!E39*1000
)</f>
        <v>0</v>
      </c>
      <c r="F63" s="87">
        <f>IF(TrRoad_act!F39=0,0,F26/TrRoad_act!F39*1000
)</f>
        <v>0</v>
      </c>
      <c r="G63" s="87">
        <f>IF(TrRoad_act!G39=0,0,G26/TrRoad_act!G39*1000
)</f>
        <v>0</v>
      </c>
      <c r="H63" s="87">
        <f>IF(TrRoad_act!H39=0,0,H26/TrRoad_act!H39*1000
)</f>
        <v>0</v>
      </c>
      <c r="I63" s="87">
        <f>IF(TrRoad_act!I39=0,0,I26/TrRoad_act!I39*1000
)</f>
        <v>0</v>
      </c>
      <c r="J63" s="87">
        <f>IF(TrRoad_act!J39=0,0,J26/TrRoad_act!J39*1000
)</f>
        <v>0</v>
      </c>
      <c r="K63" s="87">
        <f>IF(TrRoad_act!K39=0,0,K26/TrRoad_act!K39*1000
)</f>
        <v>0</v>
      </c>
      <c r="L63" s="87">
        <f>IF(TrRoad_act!L39=0,0,L26/TrRoad_act!L39*1000
)</f>
        <v>0</v>
      </c>
      <c r="M63" s="87">
        <f>IF(TrRoad_act!M39=0,0,M26/TrRoad_act!M39*1000
)</f>
        <v>0</v>
      </c>
      <c r="N63" s="87">
        <f>IF(TrRoad_act!N39=0,0,N26/TrRoad_act!N39*1000
)</f>
        <v>0</v>
      </c>
      <c r="O63" s="87">
        <f>IF(TrRoad_act!O39=0,0,O26/TrRoad_act!O39*1000
)</f>
        <v>0</v>
      </c>
      <c r="P63" s="87">
        <f>IF(TrRoad_act!P39=0,0,P26/TrRoad_act!P39*1000
)</f>
        <v>0</v>
      </c>
      <c r="Q63" s="87">
        <f>IF(TrRoad_act!Q39=0,0,Q26/TrRoad_act!Q39*1000
)</f>
        <v>0</v>
      </c>
      <c r="R63" s="87">
        <f>IF(TrRoad_act!R39=0,0,R26/TrRoad_act!R39*1000
)</f>
        <v>0</v>
      </c>
      <c r="S63" s="87">
        <f>IF(TrRoad_act!S39=0,0,S26/TrRoad_act!S39*1000
)</f>
        <v>0</v>
      </c>
      <c r="T63" s="87">
        <f>IF(TrRoad_act!T39=0,0,T26/TrRoad_act!T39*1000
)</f>
        <v>0</v>
      </c>
      <c r="U63" s="87">
        <f>IF(TrRoad_act!U39=0,0,U26/TrRoad_act!U39*1000
)</f>
        <v>0</v>
      </c>
      <c r="V63" s="87">
        <f>IF(TrRoad_act!V39=0,0,V26/TrRoad_act!V39*1000
)</f>
        <v>0</v>
      </c>
      <c r="W63" s="87">
        <f>IF(TrRoad_act!W39=0,0,W26/TrRoad_act!W39*1000
)</f>
        <v>0</v>
      </c>
      <c r="DA63" s="171" t="s">
        <v>777</v>
      </c>
    </row>
    <row r="64" spans="1:105" ht="11.45" customHeight="1" x14ac:dyDescent="0.25">
      <c r="A64" s="109" t="s">
        <v>21</v>
      </c>
      <c r="B64" s="116">
        <f>IF(TrRoad_act!B40=0,0,B27/TrRoad_act!B40*1000
)</f>
        <v>1758.9561102444818</v>
      </c>
      <c r="C64" s="116">
        <f>IF(TrRoad_act!C40=0,0,C27/TrRoad_act!C40*1000
)</f>
        <v>1729.5152360087213</v>
      </c>
      <c r="D64" s="116">
        <f>IF(TrRoad_act!D40=0,0,D27/TrRoad_act!D40*1000
)</f>
        <v>1714.08547695995</v>
      </c>
      <c r="E64" s="116">
        <f>IF(TrRoad_act!E40=0,0,E27/TrRoad_act!E40*1000
)</f>
        <v>1700.8202940579542</v>
      </c>
      <c r="F64" s="116">
        <f>IF(TrRoad_act!F40=0,0,F27/TrRoad_act!F40*1000
)</f>
        <v>1686.1114657438452</v>
      </c>
      <c r="G64" s="116">
        <f>IF(TrRoad_act!G40=0,0,G27/TrRoad_act!G40*1000
)</f>
        <v>1660.153301672294</v>
      </c>
      <c r="H64" s="116">
        <f>IF(TrRoad_act!H40=0,0,H27/TrRoad_act!H40*1000
)</f>
        <v>1595.5693284791357</v>
      </c>
      <c r="I64" s="116">
        <f>IF(TrRoad_act!I40=0,0,I27/TrRoad_act!I40*1000
)</f>
        <v>1575.6005791219625</v>
      </c>
      <c r="J64" s="116">
        <f>IF(TrRoad_act!J40=0,0,J27/TrRoad_act!J40*1000
)</f>
        <v>1555.9974418295562</v>
      </c>
      <c r="K64" s="116">
        <f>IF(TrRoad_act!K40=0,0,K27/TrRoad_act!K40*1000
)</f>
        <v>1511.8708975903689</v>
      </c>
      <c r="L64" s="116">
        <f>IF(TrRoad_act!L40=0,0,L27/TrRoad_act!L40*1000
)</f>
        <v>1512.8837235191704</v>
      </c>
      <c r="M64" s="116">
        <f>IF(TrRoad_act!M40=0,0,M27/TrRoad_act!M40*1000
)</f>
        <v>1499.4878736076685</v>
      </c>
      <c r="N64" s="116">
        <f>IF(TrRoad_act!N40=0,0,N27/TrRoad_act!N40*1000
)</f>
        <v>1497.5808910248222</v>
      </c>
      <c r="O64" s="116">
        <f>IF(TrRoad_act!O40=0,0,O27/TrRoad_act!O40*1000
)</f>
        <v>1491.6101874060405</v>
      </c>
      <c r="P64" s="116">
        <f>IF(TrRoad_act!P40=0,0,P27/TrRoad_act!P40*1000
)</f>
        <v>1469.672688383147</v>
      </c>
      <c r="Q64" s="116">
        <f>IF(TrRoad_act!Q40=0,0,Q27/TrRoad_act!Q40*1000
)</f>
        <v>1466.2482469262623</v>
      </c>
      <c r="R64" s="116">
        <f>IF(TrRoad_act!R40=0,0,R27/TrRoad_act!R40*1000
)</f>
        <v>1524.4302754149412</v>
      </c>
      <c r="S64" s="116">
        <f>IF(TrRoad_act!S40=0,0,S27/TrRoad_act!S40*1000
)</f>
        <v>1556.8077805024454</v>
      </c>
      <c r="T64" s="116">
        <f>IF(TrRoad_act!T40=0,0,T27/TrRoad_act!T40*1000
)</f>
        <v>1563.8091967254338</v>
      </c>
      <c r="U64" s="116">
        <f>IF(TrRoad_act!U40=0,0,U27/TrRoad_act!U40*1000
)</f>
        <v>1573.7188388525599</v>
      </c>
      <c r="V64" s="116">
        <f>IF(TrRoad_act!V40=0,0,V27/TrRoad_act!V40*1000
)</f>
        <v>1583.1113000140192</v>
      </c>
      <c r="W64" s="116">
        <f>IF(TrRoad_act!W40=0,0,W27/TrRoad_act!W40*1000
)</f>
        <v>1589.6904998421494</v>
      </c>
      <c r="DA64" s="176" t="s">
        <v>778</v>
      </c>
    </row>
    <row r="65" spans="1:105" ht="11.45" customHeight="1" x14ac:dyDescent="0.25">
      <c r="A65" s="111" t="s">
        <v>110</v>
      </c>
      <c r="B65" s="101">
        <f>IF(TrRoad_act!B41=0,0,B28/TrRoad_act!B41*1000
)</f>
        <v>562.02418983398047</v>
      </c>
      <c r="C65" s="101">
        <f>IF(TrRoad_act!C41=0,0,C28/TrRoad_act!C41*1000
)</f>
        <v>554.7881173143428</v>
      </c>
      <c r="D65" s="101">
        <f>IF(TrRoad_act!D41=0,0,D28/TrRoad_act!D41*1000
)</f>
        <v>553.3775025507108</v>
      </c>
      <c r="E65" s="101">
        <f>IF(TrRoad_act!E41=0,0,E28/TrRoad_act!E41*1000
)</f>
        <v>552.55135707518787</v>
      </c>
      <c r="F65" s="101">
        <f>IF(TrRoad_act!F41=0,0,F28/TrRoad_act!F41*1000
)</f>
        <v>551.37231583385289</v>
      </c>
      <c r="G65" s="101">
        <f>IF(TrRoad_act!G41=0,0,G28/TrRoad_act!G41*1000
)</f>
        <v>549.40126065808033</v>
      </c>
      <c r="H65" s="101">
        <f>IF(TrRoad_act!H41=0,0,H28/TrRoad_act!H41*1000
)</f>
        <v>547.5545545216545</v>
      </c>
      <c r="I65" s="101">
        <f>IF(TrRoad_act!I41=0,0,I28/TrRoad_act!I41*1000
)</f>
        <v>524.86598204042571</v>
      </c>
      <c r="J65" s="101">
        <f>IF(TrRoad_act!J41=0,0,J28/TrRoad_act!J41*1000
)</f>
        <v>508.70550645520797</v>
      </c>
      <c r="K65" s="101">
        <f>IF(TrRoad_act!K41=0,0,K28/TrRoad_act!K41*1000
)</f>
        <v>493.00095802759768</v>
      </c>
      <c r="L65" s="101">
        <f>IF(TrRoad_act!L41=0,0,L28/TrRoad_act!L41*1000
)</f>
        <v>492.89751202198931</v>
      </c>
      <c r="M65" s="101">
        <f>IF(TrRoad_act!M41=0,0,M28/TrRoad_act!M41*1000
)</f>
        <v>478.8908598923332</v>
      </c>
      <c r="N65" s="101">
        <f>IF(TrRoad_act!N41=0,0,N28/TrRoad_act!N41*1000
)</f>
        <v>478.2747409577359</v>
      </c>
      <c r="O65" s="101">
        <f>IF(TrRoad_act!O41=0,0,O28/TrRoad_act!O41*1000
)</f>
        <v>458.8742566307584</v>
      </c>
      <c r="P65" s="101">
        <f>IF(TrRoad_act!P41=0,0,P28/TrRoad_act!P41*1000
)</f>
        <v>429.71532933653896</v>
      </c>
      <c r="Q65" s="101">
        <f>IF(TrRoad_act!Q41=0,0,Q28/TrRoad_act!Q41*1000
)</f>
        <v>430.72907269125494</v>
      </c>
      <c r="R65" s="101">
        <f>IF(TrRoad_act!R41=0,0,R28/TrRoad_act!R41*1000
)</f>
        <v>422.85861047440716</v>
      </c>
      <c r="S65" s="101">
        <f>IF(TrRoad_act!S41=0,0,S28/TrRoad_act!S41*1000
)</f>
        <v>423.00199389171803</v>
      </c>
      <c r="T65" s="101">
        <f>IF(TrRoad_act!T41=0,0,T28/TrRoad_act!T41*1000
)</f>
        <v>423.11989579808676</v>
      </c>
      <c r="U65" s="101">
        <f>IF(TrRoad_act!U41=0,0,U28/TrRoad_act!U41*1000
)</f>
        <v>423.33207419301522</v>
      </c>
      <c r="V65" s="101">
        <f>IF(TrRoad_act!V41=0,0,V28/TrRoad_act!V41*1000
)</f>
        <v>410.05052404550224</v>
      </c>
      <c r="W65" s="101">
        <f>IF(TrRoad_act!W41=0,0,W28/TrRoad_act!W41*1000
)</f>
        <v>414.71931736777049</v>
      </c>
      <c r="DA65" s="175" t="s">
        <v>779</v>
      </c>
    </row>
    <row r="66" spans="1:105" ht="11.45" customHeight="1" x14ac:dyDescent="0.25">
      <c r="A66" s="111" t="s">
        <v>111</v>
      </c>
      <c r="B66" s="101">
        <f>IF(TrRoad_act!B42=0,0,B29/TrRoad_act!B42*1000
)</f>
        <v>1779.0643635815936</v>
      </c>
      <c r="C66" s="101">
        <f>IF(TrRoad_act!C42=0,0,C29/TrRoad_act!C42*1000
)</f>
        <v>1749.1946925293144</v>
      </c>
      <c r="D66" s="101">
        <f>IF(TrRoad_act!D42=0,0,D29/TrRoad_act!D42*1000
)</f>
        <v>1733.4146762164098</v>
      </c>
      <c r="E66" s="101">
        <f>IF(TrRoad_act!E42=0,0,E29/TrRoad_act!E42*1000
)</f>
        <v>1719.7867542509878</v>
      </c>
      <c r="F66" s="101">
        <f>IF(TrRoad_act!F42=0,0,F29/TrRoad_act!F42*1000
)</f>
        <v>1705.3476559331702</v>
      </c>
      <c r="G66" s="101">
        <f>IF(TrRoad_act!G42=0,0,G29/TrRoad_act!G42*1000
)</f>
        <v>1679.301553881397</v>
      </c>
      <c r="H66" s="101">
        <f>IF(TrRoad_act!H42=0,0,H29/TrRoad_act!H42*1000
)</f>
        <v>1614.6999017660744</v>
      </c>
      <c r="I66" s="101">
        <f>IF(TrRoad_act!I42=0,0,I29/TrRoad_act!I42*1000
)</f>
        <v>1594.8615826800851</v>
      </c>
      <c r="J66" s="101">
        <f>IF(TrRoad_act!J42=0,0,J29/TrRoad_act!J42*1000
)</f>
        <v>1576.1242967847681</v>
      </c>
      <c r="K66" s="101">
        <f>IF(TrRoad_act!K42=0,0,K29/TrRoad_act!K42*1000
)</f>
        <v>1543.9463294053958</v>
      </c>
      <c r="L66" s="101">
        <f>IF(TrRoad_act!L42=0,0,L29/TrRoad_act!L42*1000
)</f>
        <v>1551.7915920252599</v>
      </c>
      <c r="M66" s="101">
        <f>IF(TrRoad_act!M42=0,0,M29/TrRoad_act!M42*1000
)</f>
        <v>1545.1959084116595</v>
      </c>
      <c r="N66" s="101">
        <f>IF(TrRoad_act!N42=0,0,N29/TrRoad_act!N42*1000
)</f>
        <v>1548.1426812237701</v>
      </c>
      <c r="O66" s="101">
        <f>IF(TrRoad_act!O42=0,0,O29/TrRoad_act!O42*1000
)</f>
        <v>1553.9011874346961</v>
      </c>
      <c r="P66" s="101">
        <f>IF(TrRoad_act!P42=0,0,P29/TrRoad_act!P42*1000
)</f>
        <v>1532.1581445703566</v>
      </c>
      <c r="Q66" s="101">
        <f>IF(TrRoad_act!Q42=0,0,Q29/TrRoad_act!Q42*1000
)</f>
        <v>1527.4998332949822</v>
      </c>
      <c r="R66" s="101">
        <f>IF(TrRoad_act!R42=0,0,R29/TrRoad_act!R42*1000
)</f>
        <v>1569.4246446905506</v>
      </c>
      <c r="S66" s="101">
        <f>IF(TrRoad_act!S42=0,0,S29/TrRoad_act!S42*1000
)</f>
        <v>1600.127743484788</v>
      </c>
      <c r="T66" s="101">
        <f>IF(TrRoad_act!T42=0,0,T29/TrRoad_act!T42*1000
)</f>
        <v>1610.1738949860157</v>
      </c>
      <c r="U66" s="101">
        <f>IF(TrRoad_act!U42=0,0,U29/TrRoad_act!U42*1000
)</f>
        <v>1622.7493571748328</v>
      </c>
      <c r="V66" s="101">
        <f>IF(TrRoad_act!V42=0,0,V29/TrRoad_act!V42*1000
)</f>
        <v>1638.382026851674</v>
      </c>
      <c r="W66" s="101">
        <f>IF(TrRoad_act!W42=0,0,W29/TrRoad_act!W42*1000
)</f>
        <v>1644.0094535363364</v>
      </c>
      <c r="DA66" s="175" t="s">
        <v>780</v>
      </c>
    </row>
    <row r="67" spans="1:105" ht="11.45" customHeight="1" x14ac:dyDescent="0.25">
      <c r="A67" s="111" t="s">
        <v>112</v>
      </c>
      <c r="B67" s="101">
        <f>IF(TrRoad_act!B43=0,0,B30/TrRoad_act!B43*1000
)</f>
        <v>0</v>
      </c>
      <c r="C67" s="101">
        <f>IF(TrRoad_act!C43=0,0,C30/TrRoad_act!C43*1000
)</f>
        <v>1176.255724924164</v>
      </c>
      <c r="D67" s="101">
        <f>IF(TrRoad_act!D43=0,0,D30/TrRoad_act!D43*1000
)</f>
        <v>1177.4836627230789</v>
      </c>
      <c r="E67" s="101">
        <f>IF(TrRoad_act!E43=0,0,E30/TrRoad_act!E43*1000
)</f>
        <v>1178.4338511174981</v>
      </c>
      <c r="F67" s="101">
        <f>IF(TrRoad_act!F43=0,0,F30/TrRoad_act!F43*1000
)</f>
        <v>1180.2120569948468</v>
      </c>
      <c r="G67" s="101">
        <f>IF(TrRoad_act!G43=0,0,G30/TrRoad_act!G43*1000
)</f>
        <v>1182.9757625153397</v>
      </c>
      <c r="H67" s="101">
        <f>IF(TrRoad_act!H43=0,0,H30/TrRoad_act!H43*1000
)</f>
        <v>1186.3700992408467</v>
      </c>
      <c r="I67" s="101">
        <f>IF(TrRoad_act!I43=0,0,I30/TrRoad_act!I43*1000
)</f>
        <v>1190.5477171799691</v>
      </c>
      <c r="J67" s="101">
        <f>IF(TrRoad_act!J43=0,0,J30/TrRoad_act!J43*1000
)</f>
        <v>1193.7233751450703</v>
      </c>
      <c r="K67" s="101">
        <f>IF(TrRoad_act!K43=0,0,K30/TrRoad_act!K43*1000
)</f>
        <v>1198.8832195113177</v>
      </c>
      <c r="L67" s="101">
        <f>IF(TrRoad_act!L43=0,0,L30/TrRoad_act!L43*1000
)</f>
        <v>1200.6666036289012</v>
      </c>
      <c r="M67" s="101">
        <f>IF(TrRoad_act!M43=0,0,M30/TrRoad_act!M43*1000
)</f>
        <v>1202.1911323101904</v>
      </c>
      <c r="N67" s="101">
        <f>IF(TrRoad_act!N43=0,0,N30/TrRoad_act!N43*1000
)</f>
        <v>1202.5590079990518</v>
      </c>
      <c r="O67" s="101">
        <f>IF(TrRoad_act!O43=0,0,O30/TrRoad_act!O43*1000
)</f>
        <v>1202.7819126175857</v>
      </c>
      <c r="P67" s="101">
        <f>IF(TrRoad_act!P43=0,0,P30/TrRoad_act!P43*1000
)</f>
        <v>1203.3175828572946</v>
      </c>
      <c r="Q67" s="101">
        <f>IF(TrRoad_act!Q43=0,0,Q30/TrRoad_act!Q43*1000
)</f>
        <v>1206.5086765488736</v>
      </c>
      <c r="R67" s="101">
        <f>IF(TrRoad_act!R43=0,0,R30/TrRoad_act!R43*1000
)</f>
        <v>1209.2998986489865</v>
      </c>
      <c r="S67" s="101">
        <f>IF(TrRoad_act!S43=0,0,S30/TrRoad_act!S43*1000
)</f>
        <v>1211.2710880736697</v>
      </c>
      <c r="T67" s="101">
        <f>IF(TrRoad_act!T43=0,0,T30/TrRoad_act!T43*1000
)</f>
        <v>1212.6933611313864</v>
      </c>
      <c r="U67" s="101">
        <f>IF(TrRoad_act!U43=0,0,U30/TrRoad_act!U43*1000
)</f>
        <v>1228.4887002299863</v>
      </c>
      <c r="V67" s="101">
        <f>IF(TrRoad_act!V43=0,0,V30/TrRoad_act!V43*1000
)</f>
        <v>1234.3714535769489</v>
      </c>
      <c r="W67" s="101">
        <f>IF(TrRoad_act!W43=0,0,W30/TrRoad_act!W43*1000
)</f>
        <v>1234.3396327789424</v>
      </c>
      <c r="DA67" s="175" t="s">
        <v>781</v>
      </c>
    </row>
    <row r="68" spans="1:105" ht="11.45" customHeight="1" x14ac:dyDescent="0.25">
      <c r="A68" s="111" t="s">
        <v>113</v>
      </c>
      <c r="B68" s="101">
        <f>IF(TrRoad_act!B44=0,0,B31/TrRoad_act!B44*1000
)</f>
        <v>0</v>
      </c>
      <c r="C68" s="101">
        <f>IF(TrRoad_act!C44=0,0,C31/TrRoad_act!C44*1000
)</f>
        <v>0</v>
      </c>
      <c r="D68" s="101">
        <f>IF(TrRoad_act!D44=0,0,D31/TrRoad_act!D44*1000
)</f>
        <v>0</v>
      </c>
      <c r="E68" s="101">
        <f>IF(TrRoad_act!E44=0,0,E31/TrRoad_act!E44*1000
)</f>
        <v>0</v>
      </c>
      <c r="F68" s="101">
        <f>IF(TrRoad_act!F44=0,0,F31/TrRoad_act!F44*1000
)</f>
        <v>1193.7646878686949</v>
      </c>
      <c r="G68" s="101">
        <f>IF(TrRoad_act!G44=0,0,G31/TrRoad_act!G44*1000
)</f>
        <v>1510.5577365064942</v>
      </c>
      <c r="H68" s="101">
        <f>IF(TrRoad_act!H44=0,0,H31/TrRoad_act!H44*1000
)</f>
        <v>1323.9632842171368</v>
      </c>
      <c r="I68" s="101">
        <f>IF(TrRoad_act!I44=0,0,I31/TrRoad_act!I44*1000
)</f>
        <v>1236.5055897567725</v>
      </c>
      <c r="J68" s="101">
        <f>IF(TrRoad_act!J44=0,0,J31/TrRoad_act!J44*1000
)</f>
        <v>1268.2909362620505</v>
      </c>
      <c r="K68" s="101">
        <f>IF(TrRoad_act!K44=0,0,K31/TrRoad_act!K44*1000
)</f>
        <v>1125.3874385242361</v>
      </c>
      <c r="L68" s="101">
        <f>IF(TrRoad_act!L44=0,0,L31/TrRoad_act!L44*1000
)</f>
        <v>1082.3681570651984</v>
      </c>
      <c r="M68" s="101">
        <f>IF(TrRoad_act!M44=0,0,M31/TrRoad_act!M44*1000
)</f>
        <v>956.59681251178699</v>
      </c>
      <c r="N68" s="101">
        <f>IF(TrRoad_act!N44=0,0,N31/TrRoad_act!N44*1000
)</f>
        <v>937.22576232839424</v>
      </c>
      <c r="O68" s="101">
        <f>IF(TrRoad_act!O44=0,0,O31/TrRoad_act!O44*1000
)</f>
        <v>876.55192847608396</v>
      </c>
      <c r="P68" s="101">
        <f>IF(TrRoad_act!P44=0,0,P31/TrRoad_act!P44*1000
)</f>
        <v>861.80530638730647</v>
      </c>
      <c r="Q68" s="101">
        <f>IF(TrRoad_act!Q44=0,0,Q31/TrRoad_act!Q44*1000
)</f>
        <v>862.13109109196682</v>
      </c>
      <c r="R68" s="101">
        <f>IF(TrRoad_act!R44=0,0,R31/TrRoad_act!R44*1000
)</f>
        <v>1063.1660046979609</v>
      </c>
      <c r="S68" s="101">
        <f>IF(TrRoad_act!S44=0,0,S31/TrRoad_act!S44*1000
)</f>
        <v>1074.6031164461019</v>
      </c>
      <c r="T68" s="101">
        <f>IF(TrRoad_act!T44=0,0,T31/TrRoad_act!T44*1000
)</f>
        <v>1068.9495482715929</v>
      </c>
      <c r="U68" s="101">
        <f>IF(TrRoad_act!U44=0,0,U31/TrRoad_act!U44*1000
)</f>
        <v>1072.0842456062765</v>
      </c>
      <c r="V68" s="101">
        <f>IF(TrRoad_act!V44=0,0,V31/TrRoad_act!V44*1000
)</f>
        <v>1076.5504443255027</v>
      </c>
      <c r="W68" s="101">
        <f>IF(TrRoad_act!W44=0,0,W31/TrRoad_act!W44*1000
)</f>
        <v>1076.3704479996402</v>
      </c>
      <c r="DA68" s="175" t="s">
        <v>782</v>
      </c>
    </row>
    <row r="69" spans="1:105" ht="11.45" customHeight="1" x14ac:dyDescent="0.25">
      <c r="A69" s="111" t="s">
        <v>115</v>
      </c>
      <c r="B69" s="101">
        <f>IF(TrRoad_act!B45=0,0,B32/TrRoad_act!B45*1000
)</f>
        <v>0</v>
      </c>
      <c r="C69" s="101">
        <f>IF(TrRoad_act!C45=0,0,C32/TrRoad_act!C45*1000
)</f>
        <v>0</v>
      </c>
      <c r="D69" s="101">
        <f>IF(TrRoad_act!D45=0,0,D32/TrRoad_act!D45*1000
)</f>
        <v>0</v>
      </c>
      <c r="E69" s="101">
        <f>IF(TrRoad_act!E45=0,0,E32/TrRoad_act!E45*1000
)</f>
        <v>0</v>
      </c>
      <c r="F69" s="101">
        <f>IF(TrRoad_act!F45=0,0,F32/TrRoad_act!F45*1000
)</f>
        <v>0</v>
      </c>
      <c r="G69" s="101">
        <f>IF(TrRoad_act!G45=0,0,G32/TrRoad_act!G45*1000
)</f>
        <v>0</v>
      </c>
      <c r="H69" s="101">
        <f>IF(TrRoad_act!H45=0,0,H32/TrRoad_act!H45*1000
)</f>
        <v>0</v>
      </c>
      <c r="I69" s="101">
        <f>IF(TrRoad_act!I45=0,0,I32/TrRoad_act!I45*1000
)</f>
        <v>0</v>
      </c>
      <c r="J69" s="101">
        <f>IF(TrRoad_act!J45=0,0,J32/TrRoad_act!J45*1000
)</f>
        <v>0</v>
      </c>
      <c r="K69" s="101">
        <f>IF(TrRoad_act!K45=0,0,K32/TrRoad_act!K45*1000
)</f>
        <v>0</v>
      </c>
      <c r="L69" s="101">
        <f>IF(TrRoad_act!L45=0,0,L32/TrRoad_act!L45*1000
)</f>
        <v>0</v>
      </c>
      <c r="M69" s="101">
        <f>IF(TrRoad_act!M45=0,0,M32/TrRoad_act!M45*1000
)</f>
        <v>0</v>
      </c>
      <c r="N69" s="101">
        <f>IF(TrRoad_act!N45=0,0,N32/TrRoad_act!N45*1000
)</f>
        <v>0</v>
      </c>
      <c r="O69" s="101">
        <f>IF(TrRoad_act!O45=0,0,O32/TrRoad_act!O45*1000
)</f>
        <v>0</v>
      </c>
      <c r="P69" s="101">
        <f>IF(TrRoad_act!P45=0,0,P32/TrRoad_act!P45*1000
)</f>
        <v>0</v>
      </c>
      <c r="Q69" s="101">
        <f>IF(TrRoad_act!Q45=0,0,Q32/TrRoad_act!Q45*1000
)</f>
        <v>0</v>
      </c>
      <c r="R69" s="101">
        <f>IF(TrRoad_act!R45=0,0,R32/TrRoad_act!R45*1000
)</f>
        <v>0</v>
      </c>
      <c r="S69" s="101">
        <f>IF(TrRoad_act!S45=0,0,S32/TrRoad_act!S45*1000
)</f>
        <v>0</v>
      </c>
      <c r="T69" s="101">
        <f>IF(TrRoad_act!T45=0,0,T32/TrRoad_act!T45*1000
)</f>
        <v>0</v>
      </c>
      <c r="U69" s="101">
        <f>IF(TrRoad_act!U45=0,0,U32/TrRoad_act!U45*1000
)</f>
        <v>0</v>
      </c>
      <c r="V69" s="101">
        <f>IF(TrRoad_act!V45=0,0,V32/TrRoad_act!V45*1000
)</f>
        <v>0</v>
      </c>
      <c r="W69" s="101">
        <f>IF(TrRoad_act!W45=0,0,W32/TrRoad_act!W45*1000
)</f>
        <v>0</v>
      </c>
      <c r="DA69" s="175" t="s">
        <v>783</v>
      </c>
    </row>
    <row r="70" spans="1:105" ht="11.45" customHeight="1" x14ac:dyDescent="0.25">
      <c r="A70" s="27" t="s">
        <v>34</v>
      </c>
      <c r="B70" s="29">
        <f>IF(TrRoad_act!B46=0,0,B33/TrRoad_act!B46*1000
)</f>
        <v>878.12109612994902</v>
      </c>
      <c r="C70" s="29">
        <f>IF(TrRoad_act!C46=0,0,C33/TrRoad_act!C46*1000
)</f>
        <v>956.8546373182412</v>
      </c>
      <c r="D70" s="29">
        <f>IF(TrRoad_act!D46=0,0,D33/TrRoad_act!D46*1000
)</f>
        <v>1026.4561715905704</v>
      </c>
      <c r="E70" s="29">
        <f>IF(TrRoad_act!E46=0,0,E33/TrRoad_act!E46*1000
)</f>
        <v>1084.4481474502159</v>
      </c>
      <c r="F70" s="29">
        <f>IF(TrRoad_act!F46=0,0,F33/TrRoad_act!F46*1000
)</f>
        <v>1062.7828321266434</v>
      </c>
      <c r="G70" s="29">
        <f>IF(TrRoad_act!G46=0,0,G33/TrRoad_act!G46*1000
)</f>
        <v>1082.0464540708419</v>
      </c>
      <c r="H70" s="29">
        <f>IF(TrRoad_act!H46=0,0,H33/TrRoad_act!H46*1000
)</f>
        <v>936.21580381250806</v>
      </c>
      <c r="I70" s="29">
        <f>IF(TrRoad_act!I46=0,0,I33/TrRoad_act!I46*1000
)</f>
        <v>893.7557246595909</v>
      </c>
      <c r="J70" s="29">
        <f>IF(TrRoad_act!J46=0,0,J33/TrRoad_act!J46*1000
)</f>
        <v>846.9771091625604</v>
      </c>
      <c r="K70" s="29">
        <f>IF(TrRoad_act!K46=0,0,K33/TrRoad_act!K46*1000
)</f>
        <v>833.28370937850843</v>
      </c>
      <c r="L70" s="29">
        <f>IF(TrRoad_act!L46=0,0,L33/TrRoad_act!L46*1000
)</f>
        <v>894.93042020193991</v>
      </c>
      <c r="M70" s="29">
        <f>IF(TrRoad_act!M46=0,0,M33/TrRoad_act!M46*1000
)</f>
        <v>811.72907650394427</v>
      </c>
      <c r="N70" s="29">
        <f>IF(TrRoad_act!N46=0,0,N33/TrRoad_act!N46*1000
)</f>
        <v>832.7175180746442</v>
      </c>
      <c r="O70" s="29">
        <f>IF(TrRoad_act!O46=0,0,O33/TrRoad_act!O46*1000
)</f>
        <v>933.70798636323934</v>
      </c>
      <c r="P70" s="29">
        <f>IF(TrRoad_act!P46=0,0,P33/TrRoad_act!P46*1000
)</f>
        <v>856.75018593476079</v>
      </c>
      <c r="Q70" s="29">
        <f>IF(TrRoad_act!Q46=0,0,Q33/TrRoad_act!Q46*1000
)</f>
        <v>841.45724814856203</v>
      </c>
      <c r="R70" s="29">
        <f>IF(TrRoad_act!R46=0,0,R33/TrRoad_act!R46*1000
)</f>
        <v>852.94605403313767</v>
      </c>
      <c r="S70" s="29">
        <f>IF(TrRoad_act!S46=0,0,S33/TrRoad_act!S46*1000
)</f>
        <v>858.10449815639367</v>
      </c>
      <c r="T70" s="29">
        <f>IF(TrRoad_act!T46=0,0,T33/TrRoad_act!T46*1000
)</f>
        <v>884.58997049417326</v>
      </c>
      <c r="U70" s="29">
        <f>IF(TrRoad_act!U46=0,0,U33/TrRoad_act!U46*1000
)</f>
        <v>902.56080840057007</v>
      </c>
      <c r="V70" s="29">
        <f>IF(TrRoad_act!V46=0,0,V33/TrRoad_act!V46*1000
)</f>
        <v>815.37593391677831</v>
      </c>
      <c r="W70" s="29">
        <f>IF(TrRoad_act!W46=0,0,W33/TrRoad_act!W46*1000
)</f>
        <v>815.69871082091674</v>
      </c>
      <c r="DA70" s="173" t="s">
        <v>784</v>
      </c>
    </row>
    <row r="71" spans="1:105" ht="11.45" customHeight="1" x14ac:dyDescent="0.25">
      <c r="A71" s="136" t="s">
        <v>156</v>
      </c>
      <c r="B71" s="152">
        <f>IF(TrRoad_act!B47=0,0,B34/TrRoad_act!B47*1000
)</f>
        <v>331.45948761508811</v>
      </c>
      <c r="C71" s="152">
        <f>IF(TrRoad_act!C47=0,0,C34/TrRoad_act!C47*1000
)</f>
        <v>321.13969299718633</v>
      </c>
      <c r="D71" s="152">
        <f>IF(TrRoad_act!D47=0,0,D34/TrRoad_act!D47*1000
)</f>
        <v>316.85893229221773</v>
      </c>
      <c r="E71" s="152">
        <f>IF(TrRoad_act!E47=0,0,E34/TrRoad_act!E47*1000
)</f>
        <v>313.06479624027486</v>
      </c>
      <c r="F71" s="152">
        <f>IF(TrRoad_act!F47=0,0,F34/TrRoad_act!F47*1000
)</f>
        <v>309.03930586578946</v>
      </c>
      <c r="G71" s="152">
        <f>IF(TrRoad_act!G47=0,0,G34/TrRoad_act!G47*1000
)</f>
        <v>303.02916003607714</v>
      </c>
      <c r="H71" s="152">
        <f>IF(TrRoad_act!H47=0,0,H34/TrRoad_act!H47*1000
)</f>
        <v>291.32541155313868</v>
      </c>
      <c r="I71" s="152">
        <f>IF(TrRoad_act!I47=0,0,I34/TrRoad_act!I47*1000
)</f>
        <v>287.0265921145197</v>
      </c>
      <c r="J71" s="152">
        <f>IF(TrRoad_act!J47=0,0,J34/TrRoad_act!J47*1000
)</f>
        <v>282.76762989013258</v>
      </c>
      <c r="K71" s="152">
        <f>IF(TrRoad_act!K47=0,0,K34/TrRoad_act!K47*1000
)</f>
        <v>276.53617517110109</v>
      </c>
      <c r="L71" s="152">
        <f>IF(TrRoad_act!L47=0,0,L34/TrRoad_act!L47*1000
)</f>
        <v>277.72266048363963</v>
      </c>
      <c r="M71" s="152">
        <f>IF(TrRoad_act!M47=0,0,M34/TrRoad_act!M47*1000
)</f>
        <v>276.34018776515057</v>
      </c>
      <c r="N71" s="152">
        <f>IF(TrRoad_act!N47=0,0,N34/TrRoad_act!N47*1000
)</f>
        <v>274.08384116956699</v>
      </c>
      <c r="O71" s="152">
        <f>IF(TrRoad_act!O47=0,0,O34/TrRoad_act!O47*1000
)</f>
        <v>273.22640019430872</v>
      </c>
      <c r="P71" s="152">
        <f>IF(TrRoad_act!P47=0,0,P34/TrRoad_act!P47*1000
)</f>
        <v>267.52174836487552</v>
      </c>
      <c r="Q71" s="152">
        <f>IF(TrRoad_act!Q47=0,0,Q34/TrRoad_act!Q47*1000
)</f>
        <v>263.7167680402398</v>
      </c>
      <c r="R71" s="152">
        <f>IF(TrRoad_act!R47=0,0,R34/TrRoad_act!R47*1000
)</f>
        <v>267.0160903130971</v>
      </c>
      <c r="S71" s="152">
        <f>IF(TrRoad_act!S47=0,0,S34/TrRoad_act!S47*1000
)</f>
        <v>267.10356641415939</v>
      </c>
      <c r="T71" s="152">
        <f>IF(TrRoad_act!T47=0,0,T34/TrRoad_act!T47*1000
)</f>
        <v>264.59985110679429</v>
      </c>
      <c r="U71" s="152">
        <f>IF(TrRoad_act!U47=0,0,U34/TrRoad_act!U47*1000
)</f>
        <v>263.70313503228004</v>
      </c>
      <c r="V71" s="152">
        <f>IF(TrRoad_act!V47=0,0,V34/TrRoad_act!V47*1000
)</f>
        <v>264.74280073148134</v>
      </c>
      <c r="W71" s="152">
        <f>IF(TrRoad_act!W47=0,0,W34/TrRoad_act!W47*1000
)</f>
        <v>265.22703593061749</v>
      </c>
      <c r="DA71" s="174" t="s">
        <v>785</v>
      </c>
    </row>
    <row r="72" spans="1:105" ht="11.45" customHeight="1" x14ac:dyDescent="0.25">
      <c r="A72" s="111" t="s">
        <v>110</v>
      </c>
      <c r="B72" s="87">
        <f>IF(TrRoad_act!B48=0,0,B35/TrRoad_act!B48*1000
)</f>
        <v>324.88047010280729</v>
      </c>
      <c r="C72" s="87">
        <f>IF(TrRoad_act!C48=0,0,C35/TrRoad_act!C48*1000
)</f>
        <v>324.04652043554574</v>
      </c>
      <c r="D72" s="87">
        <f>IF(TrRoad_act!D48=0,0,D35/TrRoad_act!D48*1000
)</f>
        <v>323.23626540849273</v>
      </c>
      <c r="E72" s="87">
        <f>IF(TrRoad_act!E48=0,0,E35/TrRoad_act!E48*1000
)</f>
        <v>322.16673651438504</v>
      </c>
      <c r="F72" s="87">
        <f>IF(TrRoad_act!F48=0,0,F35/TrRoad_act!F48*1000
)</f>
        <v>320.3151722812961</v>
      </c>
      <c r="G72" s="87">
        <f>IF(TrRoad_act!G48=0,0,G35/TrRoad_act!G48*1000
)</f>
        <v>318.04378186301727</v>
      </c>
      <c r="H72" s="87">
        <f>IF(TrRoad_act!H48=0,0,H35/TrRoad_act!H48*1000
)</f>
        <v>315.01257557021245</v>
      </c>
      <c r="I72" s="87">
        <f>IF(TrRoad_act!I48=0,0,I35/TrRoad_act!I48*1000
)</f>
        <v>308.97772913215937</v>
      </c>
      <c r="J72" s="87">
        <f>IF(TrRoad_act!J48=0,0,J35/TrRoad_act!J48*1000
)</f>
        <v>297.59101153136351</v>
      </c>
      <c r="K72" s="87">
        <f>IF(TrRoad_act!K48=0,0,K35/TrRoad_act!K48*1000
)</f>
        <v>287.99267990343418</v>
      </c>
      <c r="L72" s="87">
        <f>IF(TrRoad_act!L48=0,0,L35/TrRoad_act!L48*1000
)</f>
        <v>284.20978767372509</v>
      </c>
      <c r="M72" s="87">
        <f>IF(TrRoad_act!M48=0,0,M35/TrRoad_act!M48*1000
)</f>
        <v>280.21620600184878</v>
      </c>
      <c r="N72" s="87">
        <f>IF(TrRoad_act!N48=0,0,N35/TrRoad_act!N48*1000
)</f>
        <v>273.3789601647984</v>
      </c>
      <c r="O72" s="87">
        <f>IF(TrRoad_act!O48=0,0,O35/TrRoad_act!O48*1000
)</f>
        <v>267.25378206826633</v>
      </c>
      <c r="P72" s="87">
        <f>IF(TrRoad_act!P48=0,0,P35/TrRoad_act!P48*1000
)</f>
        <v>261.67046888044734</v>
      </c>
      <c r="Q72" s="87">
        <f>IF(TrRoad_act!Q48=0,0,Q35/TrRoad_act!Q48*1000
)</f>
        <v>256.92863200756517</v>
      </c>
      <c r="R72" s="87">
        <f>IF(TrRoad_act!R48=0,0,R35/TrRoad_act!R48*1000
)</f>
        <v>252.06134728470153</v>
      </c>
      <c r="S72" s="87">
        <f>IF(TrRoad_act!S48=0,0,S35/TrRoad_act!S48*1000
)</f>
        <v>248.44648488653343</v>
      </c>
      <c r="T72" s="87">
        <f>IF(TrRoad_act!T48=0,0,T35/TrRoad_act!T48*1000
)</f>
        <v>243.82135691470171</v>
      </c>
      <c r="U72" s="87">
        <f>IF(TrRoad_act!U48=0,0,U35/TrRoad_act!U48*1000
)</f>
        <v>239.98582760692548</v>
      </c>
      <c r="V72" s="87">
        <f>IF(TrRoad_act!V48=0,0,V35/TrRoad_act!V48*1000
)</f>
        <v>237.7662136149855</v>
      </c>
      <c r="W72" s="87">
        <f>IF(TrRoad_act!W48=0,0,W35/TrRoad_act!W48*1000
)</f>
        <v>237.98658615685267</v>
      </c>
      <c r="DA72" s="171" t="s">
        <v>786</v>
      </c>
    </row>
    <row r="73" spans="1:105" ht="11.45" customHeight="1" x14ac:dyDescent="0.25">
      <c r="A73" s="111" t="s">
        <v>111</v>
      </c>
      <c r="B73" s="87">
        <f>IF(TrRoad_act!B49=0,0,B36/TrRoad_act!B49*1000
)</f>
        <v>332.61649012458764</v>
      </c>
      <c r="C73" s="87">
        <f>IF(TrRoad_act!C49=0,0,C36/TrRoad_act!C49*1000
)</f>
        <v>320.7514818408012</v>
      </c>
      <c r="D73" s="87">
        <f>IF(TrRoad_act!D49=0,0,D36/TrRoad_act!D49*1000
)</f>
        <v>316.30134717338865</v>
      </c>
      <c r="E73" s="87">
        <f>IF(TrRoad_act!E49=0,0,E36/TrRoad_act!E49*1000
)</f>
        <v>312.37563609245603</v>
      </c>
      <c r="F73" s="87">
        <f>IF(TrRoad_act!F49=0,0,F36/TrRoad_act!F49*1000
)</f>
        <v>308.28739527017547</v>
      </c>
      <c r="G73" s="87">
        <f>IF(TrRoad_act!G49=0,0,G36/TrRoad_act!G49*1000
)</f>
        <v>302.07262076038853</v>
      </c>
      <c r="H73" s="87">
        <f>IF(TrRoad_act!H49=0,0,H36/TrRoad_act!H49*1000
)</f>
        <v>289.95317600318953</v>
      </c>
      <c r="I73" s="87">
        <f>IF(TrRoad_act!I49=0,0,I36/TrRoad_act!I49*1000
)</f>
        <v>285.82286592877585</v>
      </c>
      <c r="J73" s="87">
        <f>IF(TrRoad_act!J49=0,0,J36/TrRoad_act!J49*1000
)</f>
        <v>281.97912477330811</v>
      </c>
      <c r="K73" s="87">
        <f>IF(TrRoad_act!K49=0,0,K36/TrRoad_act!K49*1000
)</f>
        <v>275.933186316925</v>
      </c>
      <c r="L73" s="87">
        <f>IF(TrRoad_act!L49=0,0,L36/TrRoad_act!L49*1000
)</f>
        <v>277.39904817677962</v>
      </c>
      <c r="M73" s="87">
        <f>IF(TrRoad_act!M49=0,0,M36/TrRoad_act!M49*1000
)</f>
        <v>276.1745479698501</v>
      </c>
      <c r="N73" s="87">
        <f>IF(TrRoad_act!N49=0,0,N36/TrRoad_act!N49*1000
)</f>
        <v>274.34410400057857</v>
      </c>
      <c r="O73" s="87">
        <f>IF(TrRoad_act!O49=0,0,O36/TrRoad_act!O49*1000
)</f>
        <v>273.91351878938519</v>
      </c>
      <c r="P73" s="87">
        <f>IF(TrRoad_act!P49=0,0,P36/TrRoad_act!P49*1000
)</f>
        <v>268.31428234901847</v>
      </c>
      <c r="Q73" s="87">
        <f>IF(TrRoad_act!Q49=0,0,Q36/TrRoad_act!Q49*1000
)</f>
        <v>264.68851405517773</v>
      </c>
      <c r="R73" s="87">
        <f>IF(TrRoad_act!R49=0,0,R36/TrRoad_act!R49*1000
)</f>
        <v>268.67093674418714</v>
      </c>
      <c r="S73" s="87">
        <f>IF(TrRoad_act!S49=0,0,S36/TrRoad_act!S49*1000
)</f>
        <v>269.05850209844658</v>
      </c>
      <c r="T73" s="87">
        <f>IF(TrRoad_act!T49=0,0,T36/TrRoad_act!T49*1000
)</f>
        <v>266.89697113669672</v>
      </c>
      <c r="U73" s="87">
        <f>IF(TrRoad_act!U49=0,0,U36/TrRoad_act!U49*1000
)</f>
        <v>266.31251424466478</v>
      </c>
      <c r="V73" s="87">
        <f>IF(TrRoad_act!V49=0,0,V36/TrRoad_act!V49*1000
)</f>
        <v>267.81928804961427</v>
      </c>
      <c r="W73" s="87">
        <f>IF(TrRoad_act!W49=0,0,W36/TrRoad_act!W49*1000
)</f>
        <v>269.39322713887606</v>
      </c>
      <c r="DA73" s="171" t="s">
        <v>787</v>
      </c>
    </row>
    <row r="74" spans="1:105" ht="11.45" customHeight="1" x14ac:dyDescent="0.25">
      <c r="A74" s="111" t="s">
        <v>112</v>
      </c>
      <c r="B74" s="87">
        <f>IF(TrRoad_act!B50=0,0,B37/TrRoad_act!B50*1000
)</f>
        <v>0</v>
      </c>
      <c r="C74" s="87">
        <f>IF(TrRoad_act!C50=0,0,C37/TrRoad_act!C50*1000
)</f>
        <v>0</v>
      </c>
      <c r="D74" s="87">
        <f>IF(TrRoad_act!D50=0,0,D37/TrRoad_act!D50*1000
)</f>
        <v>0</v>
      </c>
      <c r="E74" s="87">
        <f>IF(TrRoad_act!E50=0,0,E37/TrRoad_act!E50*1000
)</f>
        <v>557.33576308285546</v>
      </c>
      <c r="F74" s="87">
        <f>IF(TrRoad_act!F50=0,0,F37/TrRoad_act!F50*1000
)</f>
        <v>554.23856333432343</v>
      </c>
      <c r="G74" s="87">
        <f>IF(TrRoad_act!G50=0,0,G37/TrRoad_act!G50*1000
)</f>
        <v>560.37980260572078</v>
      </c>
      <c r="H74" s="87">
        <f>IF(TrRoad_act!H50=0,0,H37/TrRoad_act!H50*1000
)</f>
        <v>560.58761331170035</v>
      </c>
      <c r="I74" s="87">
        <f>IF(TrRoad_act!I50=0,0,I37/TrRoad_act!I50*1000
)</f>
        <v>560.6271265829979</v>
      </c>
      <c r="J74" s="87">
        <f>IF(TrRoad_act!J50=0,0,J37/TrRoad_act!J50*1000
)</f>
        <v>560.60801146539188</v>
      </c>
      <c r="K74" s="87">
        <f>IF(TrRoad_act!K50=0,0,K37/TrRoad_act!K50*1000
)</f>
        <v>560.56821998203611</v>
      </c>
      <c r="L74" s="87">
        <f>IF(TrRoad_act!L50=0,0,L37/TrRoad_act!L50*1000
)</f>
        <v>560.63598077295092</v>
      </c>
      <c r="M74" s="87">
        <f>IF(TrRoad_act!M50=0,0,M37/TrRoad_act!M50*1000
)</f>
        <v>560.68925015970922</v>
      </c>
      <c r="N74" s="87">
        <f>IF(TrRoad_act!N50=0,0,N37/TrRoad_act!N50*1000
)</f>
        <v>556.32331784690109</v>
      </c>
      <c r="O74" s="87">
        <f>IF(TrRoad_act!O50=0,0,O37/TrRoad_act!O50*1000
)</f>
        <v>556.49101706550789</v>
      </c>
      <c r="P74" s="87">
        <f>IF(TrRoad_act!P50=0,0,P37/TrRoad_act!P50*1000
)</f>
        <v>547.18412131438402</v>
      </c>
      <c r="Q74" s="87">
        <f>IF(TrRoad_act!Q50=0,0,Q37/TrRoad_act!Q50*1000
)</f>
        <v>542.55269508374818</v>
      </c>
      <c r="R74" s="87">
        <f>IF(TrRoad_act!R50=0,0,R37/TrRoad_act!R50*1000
)</f>
        <v>581.35728561308235</v>
      </c>
      <c r="S74" s="87">
        <f>IF(TrRoad_act!S50=0,0,S37/TrRoad_act!S50*1000
)</f>
        <v>575.79142814063334</v>
      </c>
      <c r="T74" s="87">
        <f>IF(TrRoad_act!T50=0,0,T37/TrRoad_act!T50*1000
)</f>
        <v>572.30632516809237</v>
      </c>
      <c r="U74" s="87">
        <f>IF(TrRoad_act!U50=0,0,U37/TrRoad_act!U50*1000
)</f>
        <v>564.92919902375377</v>
      </c>
      <c r="V74" s="87">
        <f>IF(TrRoad_act!V50=0,0,V37/TrRoad_act!V50*1000
)</f>
        <v>546.53239846458507</v>
      </c>
      <c r="W74" s="87">
        <f>IF(TrRoad_act!W50=0,0,W37/TrRoad_act!W50*1000
)</f>
        <v>522.33513858303684</v>
      </c>
      <c r="DA74" s="171" t="s">
        <v>788</v>
      </c>
    </row>
    <row r="75" spans="1:105" ht="11.45" customHeight="1" x14ac:dyDescent="0.25">
      <c r="A75" s="111" t="s">
        <v>113</v>
      </c>
      <c r="B75" s="87">
        <f>IF(TrRoad_act!B51=0,0,B38/TrRoad_act!B51*1000
)</f>
        <v>0</v>
      </c>
      <c r="C75" s="87">
        <f>IF(TrRoad_act!C51=0,0,C38/TrRoad_act!C51*1000
)</f>
        <v>0</v>
      </c>
      <c r="D75" s="87">
        <f>IF(TrRoad_act!D51=0,0,D38/TrRoad_act!D51*1000
)</f>
        <v>0</v>
      </c>
      <c r="E75" s="87">
        <f>IF(TrRoad_act!E51=0,0,E38/TrRoad_act!E51*1000
)</f>
        <v>0</v>
      </c>
      <c r="F75" s="87">
        <f>IF(TrRoad_act!F51=0,0,F38/TrRoad_act!F51*1000
)</f>
        <v>0</v>
      </c>
      <c r="G75" s="87">
        <f>IF(TrRoad_act!G51=0,0,G38/TrRoad_act!G51*1000
)</f>
        <v>0</v>
      </c>
      <c r="H75" s="87">
        <f>IF(TrRoad_act!H51=0,0,H38/TrRoad_act!H51*1000
)</f>
        <v>289.89296366670391</v>
      </c>
      <c r="I75" s="87">
        <f>IF(TrRoad_act!I51=0,0,I38/TrRoad_act!I51*1000
)</f>
        <v>288.55657018555979</v>
      </c>
      <c r="J75" s="87">
        <f>IF(TrRoad_act!J51=0,0,J38/TrRoad_act!J51*1000
)</f>
        <v>280.11080381880697</v>
      </c>
      <c r="K75" s="87">
        <f>IF(TrRoad_act!K51=0,0,K38/TrRoad_act!K51*1000
)</f>
        <v>273.28404074856928</v>
      </c>
      <c r="L75" s="87">
        <f>IF(TrRoad_act!L51=0,0,L38/TrRoad_act!L51*1000
)</f>
        <v>261.88641661633744</v>
      </c>
      <c r="M75" s="87">
        <f>IF(TrRoad_act!M51=0,0,M38/TrRoad_act!M51*1000
)</f>
        <v>255.50297217133894</v>
      </c>
      <c r="N75" s="87">
        <f>IF(TrRoad_act!N51=0,0,N38/TrRoad_act!N51*1000
)</f>
        <v>252.73413339602396</v>
      </c>
      <c r="O75" s="87">
        <f>IF(TrRoad_act!O51=0,0,O38/TrRoad_act!O51*1000
)</f>
        <v>258.26087011857817</v>
      </c>
      <c r="P75" s="87">
        <f>IF(TrRoad_act!P51=0,0,P38/TrRoad_act!P51*1000
)</f>
        <v>246.00462873826936</v>
      </c>
      <c r="Q75" s="87">
        <f>IF(TrRoad_act!Q51=0,0,Q38/TrRoad_act!Q51*1000
)</f>
        <v>241.61072929503621</v>
      </c>
      <c r="R75" s="87">
        <f>IF(TrRoad_act!R51=0,0,R38/TrRoad_act!R51*1000
)</f>
        <v>222.08600181381024</v>
      </c>
      <c r="S75" s="87">
        <f>IF(TrRoad_act!S51=0,0,S38/TrRoad_act!S51*1000
)</f>
        <v>220.96545225690377</v>
      </c>
      <c r="T75" s="87">
        <f>IF(TrRoad_act!T51=0,0,T38/TrRoad_act!T51*1000
)</f>
        <v>217.57378043461486</v>
      </c>
      <c r="U75" s="87">
        <f>IF(TrRoad_act!U51=0,0,U38/TrRoad_act!U51*1000
)</f>
        <v>215.72722288691241</v>
      </c>
      <c r="V75" s="87">
        <f>IF(TrRoad_act!V51=0,0,V38/TrRoad_act!V51*1000
)</f>
        <v>212.81614895923985</v>
      </c>
      <c r="W75" s="87">
        <f>IF(TrRoad_act!W51=0,0,W38/TrRoad_act!W51*1000
)</f>
        <v>211.73866571494625</v>
      </c>
      <c r="DA75" s="171" t="s">
        <v>789</v>
      </c>
    </row>
    <row r="76" spans="1:105" ht="11.45" customHeight="1" x14ac:dyDescent="0.25">
      <c r="A76" s="111" t="s">
        <v>115</v>
      </c>
      <c r="B76" s="87">
        <f>IF(TrRoad_act!B52=0,0,B39/TrRoad_act!B52*1000
)</f>
        <v>0</v>
      </c>
      <c r="C76" s="87">
        <f>IF(TrRoad_act!C52=0,0,C39/TrRoad_act!C52*1000
)</f>
        <v>0</v>
      </c>
      <c r="D76" s="87">
        <f>IF(TrRoad_act!D52=0,0,D39/TrRoad_act!D52*1000
)</f>
        <v>0</v>
      </c>
      <c r="E76" s="87">
        <f>IF(TrRoad_act!E52=0,0,E39/TrRoad_act!E52*1000
)</f>
        <v>0</v>
      </c>
      <c r="F76" s="87">
        <f>IF(TrRoad_act!F52=0,0,F39/TrRoad_act!F52*1000
)</f>
        <v>0</v>
      </c>
      <c r="G76" s="87">
        <f>IF(TrRoad_act!G52=0,0,G39/TrRoad_act!G52*1000
)</f>
        <v>0</v>
      </c>
      <c r="H76" s="87">
        <f>IF(TrRoad_act!H52=0,0,H39/TrRoad_act!H52*1000
)</f>
        <v>0</v>
      </c>
      <c r="I76" s="87">
        <f>IF(TrRoad_act!I52=0,0,I39/TrRoad_act!I52*1000
)</f>
        <v>0</v>
      </c>
      <c r="J76" s="87">
        <f>IF(TrRoad_act!J52=0,0,J39/TrRoad_act!J52*1000
)</f>
        <v>0</v>
      </c>
      <c r="K76" s="87">
        <f>IF(TrRoad_act!K52=0,0,K39/TrRoad_act!K52*1000
)</f>
        <v>0</v>
      </c>
      <c r="L76" s="87">
        <f>IF(TrRoad_act!L52=0,0,L39/TrRoad_act!L52*1000
)</f>
        <v>0</v>
      </c>
      <c r="M76" s="87">
        <f>IF(TrRoad_act!M52=0,0,M39/TrRoad_act!M52*1000
)</f>
        <v>0</v>
      </c>
      <c r="N76" s="87">
        <f>IF(TrRoad_act!N52=0,0,N39/TrRoad_act!N52*1000
)</f>
        <v>0</v>
      </c>
      <c r="O76" s="87">
        <f>IF(TrRoad_act!O52=0,0,O39/TrRoad_act!O52*1000
)</f>
        <v>0</v>
      </c>
      <c r="P76" s="87">
        <f>IF(TrRoad_act!P52=0,0,P39/TrRoad_act!P52*1000
)</f>
        <v>0</v>
      </c>
      <c r="Q76" s="87">
        <f>IF(TrRoad_act!Q52=0,0,Q39/TrRoad_act!Q52*1000
)</f>
        <v>0</v>
      </c>
      <c r="R76" s="87">
        <f>IF(TrRoad_act!R52=0,0,R39/TrRoad_act!R52*1000
)</f>
        <v>0</v>
      </c>
      <c r="S76" s="87">
        <f>IF(TrRoad_act!S52=0,0,S39/TrRoad_act!S52*1000
)</f>
        <v>0</v>
      </c>
      <c r="T76" s="87">
        <f>IF(TrRoad_act!T52=0,0,T39/TrRoad_act!T52*1000
)</f>
        <v>0</v>
      </c>
      <c r="U76" s="87">
        <f>IF(TrRoad_act!U52=0,0,U39/TrRoad_act!U52*1000
)</f>
        <v>0</v>
      </c>
      <c r="V76" s="87">
        <f>IF(TrRoad_act!V52=0,0,V39/TrRoad_act!V52*1000
)</f>
        <v>0</v>
      </c>
      <c r="W76" s="87">
        <f>IF(TrRoad_act!W52=0,0,W39/TrRoad_act!W52*1000
)</f>
        <v>0</v>
      </c>
      <c r="DA76" s="171" t="s">
        <v>790</v>
      </c>
    </row>
    <row r="77" spans="1:105" ht="11.45" customHeight="1" x14ac:dyDescent="0.25">
      <c r="A77" s="109" t="s">
        <v>158</v>
      </c>
      <c r="B77" s="116">
        <f>IF(TrRoad_act!B53=0,0,B40/TrRoad_act!B53*1000
)</f>
        <v>1721.0533984767499</v>
      </c>
      <c r="C77" s="116">
        <f>IF(TrRoad_act!C53=0,0,C40/TrRoad_act!C53*1000
)</f>
        <v>1961.1232718186461</v>
      </c>
      <c r="D77" s="116">
        <f>IF(TrRoad_act!D53=0,0,D40/TrRoad_act!D53*1000
)</f>
        <v>2176.9103593908526</v>
      </c>
      <c r="E77" s="116">
        <f>IF(TrRoad_act!E53=0,0,E40/TrRoad_act!E53*1000
)</f>
        <v>2325.9726788421622</v>
      </c>
      <c r="F77" s="116">
        <f>IF(TrRoad_act!F53=0,0,F40/TrRoad_act!F53*1000
)</f>
        <v>2231.0628450874692</v>
      </c>
      <c r="G77" s="116">
        <f>IF(TrRoad_act!G53=0,0,G40/TrRoad_act!G53*1000
)</f>
        <v>2310.6897304404251</v>
      </c>
      <c r="H77" s="116">
        <f>IF(TrRoad_act!H53=0,0,H40/TrRoad_act!H53*1000
)</f>
        <v>1876.5859745682337</v>
      </c>
      <c r="I77" s="116">
        <f>IF(TrRoad_act!I53=0,0,I40/TrRoad_act!I53*1000
)</f>
        <v>1743.0211222003456</v>
      </c>
      <c r="J77" s="116">
        <f>IF(TrRoad_act!J53=0,0,J40/TrRoad_act!J53*1000
)</f>
        <v>1585.0614946294238</v>
      </c>
      <c r="K77" s="116">
        <f>IF(TrRoad_act!K53=0,0,K40/TrRoad_act!K53*1000
)</f>
        <v>1644.1734632805694</v>
      </c>
      <c r="L77" s="116">
        <f>IF(TrRoad_act!L53=0,0,L40/TrRoad_act!L53*1000
)</f>
        <v>1785.6389620585578</v>
      </c>
      <c r="M77" s="116">
        <f>IF(TrRoad_act!M53=0,0,M40/TrRoad_act!M53*1000
)</f>
        <v>1573.4682937277894</v>
      </c>
      <c r="N77" s="116">
        <f>IF(TrRoad_act!N53=0,0,N40/TrRoad_act!N53*1000
)</f>
        <v>1648.8980545077889</v>
      </c>
      <c r="O77" s="116">
        <f>IF(TrRoad_act!O53=0,0,O40/TrRoad_act!O53*1000
)</f>
        <v>1915.2213989859531</v>
      </c>
      <c r="P77" s="116">
        <f>IF(TrRoad_act!P53=0,0,P40/TrRoad_act!P53*1000
)</f>
        <v>1754.1687560205155</v>
      </c>
      <c r="Q77" s="116">
        <f>IF(TrRoad_act!Q53=0,0,Q40/TrRoad_act!Q53*1000
)</f>
        <v>1703.7958084235254</v>
      </c>
      <c r="R77" s="116">
        <f>IF(TrRoad_act!R53=0,0,R40/TrRoad_act!R53*1000
)</f>
        <v>1716.7986521379732</v>
      </c>
      <c r="S77" s="116">
        <f>IF(TrRoad_act!S53=0,0,S40/TrRoad_act!S53*1000
)</f>
        <v>1700.4872292967784</v>
      </c>
      <c r="T77" s="116">
        <f>IF(TrRoad_act!T53=0,0,T40/TrRoad_act!T53*1000
)</f>
        <v>1782.9035886776003</v>
      </c>
      <c r="U77" s="116">
        <f>IF(TrRoad_act!U53=0,0,U40/TrRoad_act!U53*1000
)</f>
        <v>1842.9161515532182</v>
      </c>
      <c r="V77" s="116">
        <f>IF(TrRoad_act!V53=0,0,V40/TrRoad_act!V53*1000
)</f>
        <v>1640.7443853159027</v>
      </c>
      <c r="W77" s="116">
        <f>IF(TrRoad_act!W53=0,0,W40/TrRoad_act!W53*1000
)</f>
        <v>1643.9107427201209</v>
      </c>
      <c r="DA77" s="176" t="s">
        <v>791</v>
      </c>
    </row>
    <row r="78" spans="1:105" ht="11.45" customHeight="1" x14ac:dyDescent="0.25">
      <c r="A78" s="128" t="s">
        <v>27</v>
      </c>
      <c r="B78" s="101">
        <f>IF(TrRoad_act!B54=0,0,B41/TrRoad_act!B54*1000
)</f>
        <v>1161.1220803250135</v>
      </c>
      <c r="C78" s="101">
        <f>IF(TrRoad_act!C54=0,0,C41/TrRoad_act!C54*1000
)</f>
        <v>1203.5216805967577</v>
      </c>
      <c r="D78" s="101">
        <f>IF(TrRoad_act!D54=0,0,D41/TrRoad_act!D54*1000
)</f>
        <v>1241.9793042582423</v>
      </c>
      <c r="E78" s="101">
        <f>IF(TrRoad_act!E54=0,0,E41/TrRoad_act!E54*1000
)</f>
        <v>1268.3818414918849</v>
      </c>
      <c r="F78" s="101">
        <f>IF(TrRoad_act!F54=0,0,F41/TrRoad_act!F54*1000
)</f>
        <v>1246.6088131509048</v>
      </c>
      <c r="G78" s="101">
        <f>IF(TrRoad_act!G54=0,0,G41/TrRoad_act!G54*1000
)</f>
        <v>1250.6380143781628</v>
      </c>
      <c r="H78" s="101">
        <f>IF(TrRoad_act!H54=0,0,H41/TrRoad_act!H54*1000
)</f>
        <v>1140.5502911839721</v>
      </c>
      <c r="I78" s="101">
        <f>IF(TrRoad_act!I54=0,0,I41/TrRoad_act!I54*1000
)</f>
        <v>1105.4466640053272</v>
      </c>
      <c r="J78" s="101">
        <f>IF(TrRoad_act!J54=0,0,J41/TrRoad_act!J54*1000
)</f>
        <v>1065.6214754536977</v>
      </c>
      <c r="K78" s="101">
        <f>IF(TrRoad_act!K54=0,0,K41/TrRoad_act!K54*1000
)</f>
        <v>1060.6446439262215</v>
      </c>
      <c r="L78" s="101">
        <f>IF(TrRoad_act!L54=0,0,L41/TrRoad_act!L54*1000
)</f>
        <v>1088.4041096214987</v>
      </c>
      <c r="M78" s="101">
        <f>IF(TrRoad_act!M54=0,0,M41/TrRoad_act!M54*1000
)</f>
        <v>1045.732229034264</v>
      </c>
      <c r="N78" s="101">
        <f>IF(TrRoad_act!N54=0,0,N41/TrRoad_act!N54*1000
)</f>
        <v>1060.316283623835</v>
      </c>
      <c r="O78" s="101">
        <f>IF(TrRoad_act!O54=0,0,O41/TrRoad_act!O54*1000
)</f>
        <v>1104.6925473400536</v>
      </c>
      <c r="P78" s="101">
        <f>IF(TrRoad_act!P54=0,0,P41/TrRoad_act!P54*1000
)</f>
        <v>1057.3591061387481</v>
      </c>
      <c r="Q78" s="101">
        <f>IF(TrRoad_act!Q54=0,0,Q41/TrRoad_act!Q54*1000
)</f>
        <v>1041.0888342062728</v>
      </c>
      <c r="R78" s="101">
        <f>IF(TrRoad_act!R54=0,0,R41/TrRoad_act!R54*1000
)</f>
        <v>1054.4835349827943</v>
      </c>
      <c r="S78" s="101">
        <f>IF(TrRoad_act!S54=0,0,S41/TrRoad_act!S54*1000
)</f>
        <v>1054.7435729615911</v>
      </c>
      <c r="T78" s="101">
        <f>IF(TrRoad_act!T54=0,0,T41/TrRoad_act!T54*1000
)</f>
        <v>1062.5419091776769</v>
      </c>
      <c r="U78" s="101">
        <f>IF(TrRoad_act!U54=0,0,U41/TrRoad_act!U54*1000
)</f>
        <v>1065.7062503921188</v>
      </c>
      <c r="V78" s="101">
        <f>IF(TrRoad_act!V54=0,0,V41/TrRoad_act!V54*1000
)</f>
        <v>1021.5442932390457</v>
      </c>
      <c r="W78" s="101">
        <f>IF(TrRoad_act!W54=0,0,W41/TrRoad_act!W54*1000
)</f>
        <v>1011.6583467336235</v>
      </c>
      <c r="DA78" s="175" t="s">
        <v>792</v>
      </c>
    </row>
    <row r="79" spans="1:105" ht="11.45" customHeight="1" x14ac:dyDescent="0.25">
      <c r="A79" s="138" t="s">
        <v>116</v>
      </c>
      <c r="B79" s="88">
        <f>IF(TrRoad_act!B55=0,0,B42/TrRoad_act!B55*1000
)</f>
        <v>2598.5859314852055</v>
      </c>
      <c r="C79" s="88">
        <f>IF(TrRoad_act!C55=0,0,C42/TrRoad_act!C55*1000
)</f>
        <v>3070.6737414423278</v>
      </c>
      <c r="D79" s="88">
        <f>IF(TrRoad_act!D55=0,0,D42/TrRoad_act!D55*1000
)</f>
        <v>3471.8301840621466</v>
      </c>
      <c r="E79" s="88">
        <f>IF(TrRoad_act!E55=0,0,E42/TrRoad_act!E55*1000
)</f>
        <v>3796.4820808864151</v>
      </c>
      <c r="F79" s="88">
        <f>IF(TrRoad_act!F55=0,0,F42/TrRoad_act!F55*1000
)</f>
        <v>3334.8961873527269</v>
      </c>
      <c r="G79" s="88">
        <f>IF(TrRoad_act!G55=0,0,G42/TrRoad_act!G55*1000
)</f>
        <v>3449.0531823257847</v>
      </c>
      <c r="H79" s="88">
        <f>IF(TrRoad_act!H55=0,0,H42/TrRoad_act!H55*1000
)</f>
        <v>2752.943092147395</v>
      </c>
      <c r="I79" s="88">
        <f>IF(TrRoad_act!I55=0,0,I42/TrRoad_act!I55*1000
)</f>
        <v>2424.3104137925047</v>
      </c>
      <c r="J79" s="88">
        <f>IF(TrRoad_act!J55=0,0,J42/TrRoad_act!J55*1000
)</f>
        <v>2073.3006844890406</v>
      </c>
      <c r="K79" s="88">
        <f>IF(TrRoad_act!K55=0,0,K42/TrRoad_act!K55*1000
)</f>
        <v>2249.8797690186175</v>
      </c>
      <c r="L79" s="88">
        <f>IF(TrRoad_act!L55=0,0,L42/TrRoad_act!L55*1000
)</f>
        <v>2473.8031684378584</v>
      </c>
      <c r="M79" s="88">
        <f>IF(TrRoad_act!M55=0,0,M42/TrRoad_act!M55*1000
)</f>
        <v>2093.9872449254694</v>
      </c>
      <c r="N79" s="88">
        <f>IF(TrRoad_act!N55=0,0,N42/TrRoad_act!N55*1000
)</f>
        <v>2230.6114977970128</v>
      </c>
      <c r="O79" s="88">
        <f>IF(TrRoad_act!O55=0,0,O42/TrRoad_act!O55*1000
)</f>
        <v>2690.1604542903956</v>
      </c>
      <c r="P79" s="88">
        <f>IF(TrRoad_act!P55=0,0,P42/TrRoad_act!P55*1000
)</f>
        <v>2442.9083449304667</v>
      </c>
      <c r="Q79" s="88">
        <f>IF(TrRoad_act!Q55=0,0,Q42/TrRoad_act!Q55*1000
)</f>
        <v>2366.840133037108</v>
      </c>
      <c r="R79" s="88">
        <f>IF(TrRoad_act!R55=0,0,R42/TrRoad_act!R55*1000
)</f>
        <v>2391.0858128336308</v>
      </c>
      <c r="S79" s="88">
        <f>IF(TrRoad_act!S55=0,0,S42/TrRoad_act!S55*1000
)</f>
        <v>2322.7382388707751</v>
      </c>
      <c r="T79" s="88">
        <f>IF(TrRoad_act!T55=0,0,T42/TrRoad_act!T55*1000
)</f>
        <v>2482.3517748365166</v>
      </c>
      <c r="U79" s="88">
        <f>IF(TrRoad_act!U55=0,0,U42/TrRoad_act!U55*1000
)</f>
        <v>2593.3807222013088</v>
      </c>
      <c r="V79" s="88">
        <f>IF(TrRoad_act!V55=0,0,V42/TrRoad_act!V55*1000
)</f>
        <v>2210.0595674699525</v>
      </c>
      <c r="W79" s="88">
        <f>IF(TrRoad_act!W55=0,0,W42/TrRoad_act!W55*1000
)</f>
        <v>2228.7894031241945</v>
      </c>
      <c r="DA79" s="178" t="s">
        <v>793</v>
      </c>
    </row>
    <row r="80" spans="1:105" x14ac:dyDescent="0.25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DA80" s="171"/>
    </row>
    <row r="81" spans="1:105" ht="11.45" customHeight="1" x14ac:dyDescent="0.25">
      <c r="A81" s="53" t="s">
        <v>71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DA81" s="172"/>
    </row>
    <row r="82" spans="1:105" ht="11.45" customHeight="1" x14ac:dyDescent="0.25">
      <c r="A82" s="27" t="s">
        <v>161</v>
      </c>
      <c r="B82" s="29">
        <f>IF(TrRoad_act!B4=0,0,B18/TrRoad_act!B4*1000)</f>
        <v>161.03299925969364</v>
      </c>
      <c r="C82" s="29">
        <f>IF(TrRoad_act!C4=0,0,C18/TrRoad_act!C4*1000)</f>
        <v>166.91001901733765</v>
      </c>
      <c r="D82" s="29">
        <f>IF(TrRoad_act!D4=0,0,D18/TrRoad_act!D4*1000)</f>
        <v>182.33355305659208</v>
      </c>
      <c r="E82" s="29">
        <f>IF(TrRoad_act!E4=0,0,E18/TrRoad_act!E4*1000)</f>
        <v>190.27819951944096</v>
      </c>
      <c r="F82" s="29">
        <f>IF(TrRoad_act!F4=0,0,F18/TrRoad_act!F4*1000)</f>
        <v>191.57326680353407</v>
      </c>
      <c r="G82" s="29">
        <f>IF(TrRoad_act!G4=0,0,G18/TrRoad_act!G4*1000)</f>
        <v>196.46919228285023</v>
      </c>
      <c r="H82" s="29">
        <f>IF(TrRoad_act!H4=0,0,H18/TrRoad_act!H4*1000)</f>
        <v>187.97984102832578</v>
      </c>
      <c r="I82" s="29">
        <f>IF(TrRoad_act!I4=0,0,I18/TrRoad_act!I4*1000)</f>
        <v>187.92584270405595</v>
      </c>
      <c r="J82" s="29">
        <f>IF(TrRoad_act!J4=0,0,J18/TrRoad_act!J4*1000)</f>
        <v>183.7037828754566</v>
      </c>
      <c r="K82" s="29">
        <f>IF(TrRoad_act!K4=0,0,K18/TrRoad_act!K4*1000)</f>
        <v>181.42005680708488</v>
      </c>
      <c r="L82" s="29">
        <f>IF(TrRoad_act!L4=0,0,L18/TrRoad_act!L4*1000)</f>
        <v>182.07013798191593</v>
      </c>
      <c r="M82" s="29">
        <f>IF(TrRoad_act!M4=0,0,M18/TrRoad_act!M4*1000)</f>
        <v>173.71323729898893</v>
      </c>
      <c r="N82" s="29">
        <f>IF(TrRoad_act!N4=0,0,N18/TrRoad_act!N4*1000)</f>
        <v>172.3429394589499</v>
      </c>
      <c r="O82" s="29">
        <f>IF(TrRoad_act!O4=0,0,O18/TrRoad_act!O4*1000)</f>
        <v>174.46707744413484</v>
      </c>
      <c r="P82" s="29">
        <f>IF(TrRoad_act!P4=0,0,P18/TrRoad_act!P4*1000)</f>
        <v>170.55068231475846</v>
      </c>
      <c r="Q82" s="29">
        <f>IF(TrRoad_act!Q4=0,0,Q18/TrRoad_act!Q4*1000)</f>
        <v>169.88375333946038</v>
      </c>
      <c r="R82" s="29">
        <f>IF(TrRoad_act!R4=0,0,R18/TrRoad_act!R4*1000)</f>
        <v>170.34310454036984</v>
      </c>
      <c r="S82" s="29">
        <f>IF(TrRoad_act!S4=0,0,S18/TrRoad_act!S4*1000)</f>
        <v>169.63331048874943</v>
      </c>
      <c r="T82" s="29">
        <f>IF(TrRoad_act!T4=0,0,T18/TrRoad_act!T4*1000)</f>
        <v>172.23275988626187</v>
      </c>
      <c r="U82" s="29">
        <f>IF(TrRoad_act!U4=0,0,U18/TrRoad_act!U4*1000)</f>
        <v>172.47059044192901</v>
      </c>
      <c r="V82" s="29">
        <f>IF(TrRoad_act!V4=0,0,V18/TrRoad_act!V4*1000)</f>
        <v>166.54513579908905</v>
      </c>
      <c r="W82" s="29">
        <f>IF(TrRoad_act!W4=0,0,W18/TrRoad_act!W4*1000)</f>
        <v>161.87888097989091</v>
      </c>
      <c r="DA82" s="173" t="s">
        <v>435</v>
      </c>
    </row>
    <row r="83" spans="1:105" ht="11.45" customHeight="1" x14ac:dyDescent="0.25">
      <c r="A83" s="136" t="s">
        <v>180</v>
      </c>
      <c r="B83" s="152">
        <f>IF(TrRoad_act!B5=0,0,B19/TrRoad_act!B5*1000)</f>
        <v>92.536206708331633</v>
      </c>
      <c r="C83" s="152">
        <f>IF(TrRoad_act!C5=0,0,C19/TrRoad_act!C5*1000)</f>
        <v>91.992698303431609</v>
      </c>
      <c r="D83" s="152">
        <f>IF(TrRoad_act!D5=0,0,D19/TrRoad_act!D5*1000)</f>
        <v>91.706607413551609</v>
      </c>
      <c r="E83" s="152">
        <f>IF(TrRoad_act!E5=0,0,E19/TrRoad_act!E5*1000)</f>
        <v>91.582393634945404</v>
      </c>
      <c r="F83" s="152">
        <f>IF(TrRoad_act!F5=0,0,F19/TrRoad_act!F5*1000)</f>
        <v>90.727436877530891</v>
      </c>
      <c r="G83" s="152">
        <f>IF(TrRoad_act!G5=0,0,G19/TrRoad_act!G5*1000)</f>
        <v>90.362393338966569</v>
      </c>
      <c r="H83" s="152">
        <f>IF(TrRoad_act!H5=0,0,H19/TrRoad_act!H5*1000)</f>
        <v>89.930834361797508</v>
      </c>
      <c r="I83" s="152">
        <f>IF(TrRoad_act!I5=0,0,I19/TrRoad_act!I5*1000)</f>
        <v>88.778409695181168</v>
      </c>
      <c r="J83" s="152">
        <f>IF(TrRoad_act!J5=0,0,J19/TrRoad_act!J5*1000)</f>
        <v>86.741294489444087</v>
      </c>
      <c r="K83" s="152">
        <f>IF(TrRoad_act!K5=0,0,K19/TrRoad_act!K5*1000)</f>
        <v>85.598711863887758</v>
      </c>
      <c r="L83" s="152">
        <f>IF(TrRoad_act!L5=0,0,L19/TrRoad_act!L5*1000)</f>
        <v>85.34985474280586</v>
      </c>
      <c r="M83" s="152">
        <f>IF(TrRoad_act!M5=0,0,M19/TrRoad_act!M5*1000)</f>
        <v>85.092037974480121</v>
      </c>
      <c r="N83" s="152">
        <f>IF(TrRoad_act!N5=0,0,N19/TrRoad_act!N5*1000)</f>
        <v>84.689244055397324</v>
      </c>
      <c r="O83" s="152">
        <f>IF(TrRoad_act!O5=0,0,O19/TrRoad_act!O5*1000)</f>
        <v>86.149925278032356</v>
      </c>
      <c r="P83" s="152">
        <f>IF(TrRoad_act!P5=0,0,P19/TrRoad_act!P5*1000)</f>
        <v>86.845209279792229</v>
      </c>
      <c r="Q83" s="152">
        <f>IF(TrRoad_act!Q5=0,0,Q19/TrRoad_act!Q5*1000)</f>
        <v>86.403568040555712</v>
      </c>
      <c r="R83" s="152">
        <f>IF(TrRoad_act!R5=0,0,R19/TrRoad_act!R5*1000)</f>
        <v>85.651099350747529</v>
      </c>
      <c r="S83" s="152">
        <f>IF(TrRoad_act!S5=0,0,S19/TrRoad_act!S5*1000)</f>
        <v>89.283910627919653</v>
      </c>
      <c r="T83" s="152">
        <f>IF(TrRoad_act!T5=0,0,T19/TrRoad_act!T5*1000)</f>
        <v>89.702376824637881</v>
      </c>
      <c r="U83" s="152">
        <f>IF(TrRoad_act!U5=0,0,U19/TrRoad_act!U5*1000)</f>
        <v>89.871366265546044</v>
      </c>
      <c r="V83" s="152">
        <f>IF(TrRoad_act!V5=0,0,V19/TrRoad_act!V5*1000)</f>
        <v>89.914844712423388</v>
      </c>
      <c r="W83" s="152">
        <f>IF(TrRoad_act!W5=0,0,W19/TrRoad_act!W5*1000)</f>
        <v>82.865828225792583</v>
      </c>
      <c r="DA83" s="174" t="s">
        <v>436</v>
      </c>
    </row>
    <row r="84" spans="1:105" ht="11.45" customHeight="1" x14ac:dyDescent="0.25">
      <c r="A84" s="109" t="s">
        <v>20</v>
      </c>
      <c r="B84" s="116">
        <f>IF(TrRoad_act!B6=0,0,B20/TrRoad_act!B6*1000)</f>
        <v>172.22253456315431</v>
      </c>
      <c r="C84" s="116">
        <f>IF(TrRoad_act!C6=0,0,C20/TrRoad_act!C6*1000)</f>
        <v>178.86435060411208</v>
      </c>
      <c r="D84" s="116">
        <f>IF(TrRoad_act!D6=0,0,D20/TrRoad_act!D6*1000)</f>
        <v>196.0726070041178</v>
      </c>
      <c r="E84" s="116">
        <f>IF(TrRoad_act!E6=0,0,E20/TrRoad_act!E6*1000)</f>
        <v>205.16013827488669</v>
      </c>
      <c r="F84" s="116">
        <f>IF(TrRoad_act!F6=0,0,F20/TrRoad_act!F6*1000)</f>
        <v>206.89443754706642</v>
      </c>
      <c r="G84" s="116">
        <f>IF(TrRoad_act!G6=0,0,G20/TrRoad_act!G6*1000)</f>
        <v>212.77322307756188</v>
      </c>
      <c r="H84" s="116">
        <f>IF(TrRoad_act!H6=0,0,H20/TrRoad_act!H6*1000)</f>
        <v>204.04004997899506</v>
      </c>
      <c r="I84" s="116">
        <f>IF(TrRoad_act!I6=0,0,I20/TrRoad_act!I6*1000)</f>
        <v>203.83691205791482</v>
      </c>
      <c r="J84" s="116">
        <f>IF(TrRoad_act!J6=0,0,J20/TrRoad_act!J6*1000)</f>
        <v>199.27942853651453</v>
      </c>
      <c r="K84" s="116">
        <f>IF(TrRoad_act!K6=0,0,K20/TrRoad_act!K6*1000)</f>
        <v>195.37126988277899</v>
      </c>
      <c r="L84" s="116">
        <f>IF(TrRoad_act!L6=0,0,L20/TrRoad_act!L6*1000)</f>
        <v>195.85649606684467</v>
      </c>
      <c r="M84" s="116">
        <f>IF(TrRoad_act!M6=0,0,M20/TrRoad_act!M6*1000)</f>
        <v>186.99206209118478</v>
      </c>
      <c r="N84" s="116">
        <f>IF(TrRoad_act!N6=0,0,N20/TrRoad_act!N6*1000)</f>
        <v>185.23684587842723</v>
      </c>
      <c r="O84" s="116">
        <f>IF(TrRoad_act!O6=0,0,O20/TrRoad_act!O6*1000)</f>
        <v>187.67202584507186</v>
      </c>
      <c r="P84" s="116">
        <f>IF(TrRoad_act!P6=0,0,P20/TrRoad_act!P6*1000)</f>
        <v>183.27839486205778</v>
      </c>
      <c r="Q84" s="116">
        <f>IF(TrRoad_act!Q6=0,0,Q20/TrRoad_act!Q6*1000)</f>
        <v>182.51364978125693</v>
      </c>
      <c r="R84" s="116">
        <f>IF(TrRoad_act!R6=0,0,R20/TrRoad_act!R6*1000)</f>
        <v>182.75249384478437</v>
      </c>
      <c r="S84" s="116">
        <f>IF(TrRoad_act!S6=0,0,S20/TrRoad_act!S6*1000)</f>
        <v>181.52881521802809</v>
      </c>
      <c r="T84" s="116">
        <f>IF(TrRoad_act!T6=0,0,T20/TrRoad_act!T6*1000)</f>
        <v>184.17389801859869</v>
      </c>
      <c r="U84" s="116">
        <f>IF(TrRoad_act!U6=0,0,U20/TrRoad_act!U6*1000)</f>
        <v>184.72422040921271</v>
      </c>
      <c r="V84" s="116">
        <f>IF(TrRoad_act!V6=0,0,V20/TrRoad_act!V6*1000)</f>
        <v>174.50477509331915</v>
      </c>
      <c r="W84" s="116">
        <f>IF(TrRoad_act!W6=0,0,W20/TrRoad_act!W6*1000)</f>
        <v>169.49232625641247</v>
      </c>
      <c r="DA84" s="176" t="s">
        <v>437</v>
      </c>
    </row>
    <row r="85" spans="1:105" ht="11.45" customHeight="1" x14ac:dyDescent="0.25">
      <c r="A85" s="111" t="s">
        <v>110</v>
      </c>
      <c r="B85" s="87">
        <f>IF(TrRoad_act!B7=0,0,B21/TrRoad_act!B7*1000)</f>
        <v>152.21495227490666</v>
      </c>
      <c r="C85" s="87">
        <f>IF(TrRoad_act!C7=0,0,C21/TrRoad_act!C7*1000)</f>
        <v>155.97932301504861</v>
      </c>
      <c r="D85" s="87">
        <f>IF(TrRoad_act!D7=0,0,D21/TrRoad_act!D7*1000)</f>
        <v>176.76993029392565</v>
      </c>
      <c r="E85" s="87">
        <f>IF(TrRoad_act!E7=0,0,E21/TrRoad_act!E7*1000)</f>
        <v>188.15253268238956</v>
      </c>
      <c r="F85" s="87">
        <f>IF(TrRoad_act!F7=0,0,F21/TrRoad_act!F7*1000)</f>
        <v>191.98793034825107</v>
      </c>
      <c r="G85" s="87">
        <f>IF(TrRoad_act!G7=0,0,G21/TrRoad_act!G7*1000)</f>
        <v>198.72146352231718</v>
      </c>
      <c r="H85" s="87">
        <f>IF(TrRoad_act!H7=0,0,H21/TrRoad_act!H7*1000)</f>
        <v>197.5337340177918</v>
      </c>
      <c r="I85" s="87">
        <f>IF(TrRoad_act!I7=0,0,I21/TrRoad_act!I7*1000)</f>
        <v>199.47255581991382</v>
      </c>
      <c r="J85" s="87">
        <f>IF(TrRoad_act!J7=0,0,J21/TrRoad_act!J7*1000)</f>
        <v>194.94675926136401</v>
      </c>
      <c r="K85" s="87">
        <f>IF(TrRoad_act!K7=0,0,K21/TrRoad_act!K7*1000)</f>
        <v>189.87587127514885</v>
      </c>
      <c r="L85" s="87">
        <f>IF(TrRoad_act!L7=0,0,L21/TrRoad_act!L7*1000)</f>
        <v>187.62415771448755</v>
      </c>
      <c r="M85" s="87">
        <f>IF(TrRoad_act!M7=0,0,M21/TrRoad_act!M7*1000)</f>
        <v>179.48185156782023</v>
      </c>
      <c r="N85" s="87">
        <f>IF(TrRoad_act!N7=0,0,N21/TrRoad_act!N7*1000)</f>
        <v>176.27876730051864</v>
      </c>
      <c r="O85" s="87">
        <f>IF(TrRoad_act!O7=0,0,O21/TrRoad_act!O7*1000)</f>
        <v>176.13643886980495</v>
      </c>
      <c r="P85" s="87">
        <f>IF(TrRoad_act!P7=0,0,P21/TrRoad_act!P7*1000)</f>
        <v>177.12388557072003</v>
      </c>
      <c r="Q85" s="87">
        <f>IF(TrRoad_act!Q7=0,0,Q21/TrRoad_act!Q7*1000)</f>
        <v>180.80349844239174</v>
      </c>
      <c r="R85" s="87">
        <f>IF(TrRoad_act!R7=0,0,R21/TrRoad_act!R7*1000)</f>
        <v>180.26650050210858</v>
      </c>
      <c r="S85" s="87">
        <f>IF(TrRoad_act!S7=0,0,S21/TrRoad_act!S7*1000)</f>
        <v>178.60416663921251</v>
      </c>
      <c r="T85" s="87">
        <f>IF(TrRoad_act!T7=0,0,T21/TrRoad_act!T7*1000)</f>
        <v>182.31866814430379</v>
      </c>
      <c r="U85" s="87">
        <f>IF(TrRoad_act!U7=0,0,U21/TrRoad_act!U7*1000)</f>
        <v>182.00890833541879</v>
      </c>
      <c r="V85" s="87">
        <f>IF(TrRoad_act!V7=0,0,V21/TrRoad_act!V7*1000)</f>
        <v>166.91037641407598</v>
      </c>
      <c r="W85" s="87">
        <f>IF(TrRoad_act!W7=0,0,W21/TrRoad_act!W7*1000)</f>
        <v>163.77837313683406</v>
      </c>
      <c r="DA85" s="171" t="s">
        <v>794</v>
      </c>
    </row>
    <row r="86" spans="1:105" ht="11.45" customHeight="1" x14ac:dyDescent="0.25">
      <c r="A86" s="111" t="s">
        <v>111</v>
      </c>
      <c r="B86" s="87">
        <f>IF(TrRoad_act!B8=0,0,B22/TrRoad_act!B8*1000)</f>
        <v>198.27179415986177</v>
      </c>
      <c r="C86" s="87">
        <f>IF(TrRoad_act!C8=0,0,C22/TrRoad_act!C8*1000)</f>
        <v>206.97247225946063</v>
      </c>
      <c r="D86" s="87">
        <f>IF(TrRoad_act!D8=0,0,D22/TrRoad_act!D8*1000)</f>
        <v>217.4453046674102</v>
      </c>
      <c r="E86" s="87">
        <f>IF(TrRoad_act!E8=0,0,E22/TrRoad_act!E8*1000)</f>
        <v>222.22821183975302</v>
      </c>
      <c r="F86" s="87">
        <f>IF(TrRoad_act!F8=0,0,F22/TrRoad_act!F8*1000)</f>
        <v>220.50876083855877</v>
      </c>
      <c r="G86" s="87">
        <f>IF(TrRoad_act!G8=0,0,G22/TrRoad_act!G8*1000)</f>
        <v>224.43305660600751</v>
      </c>
      <c r="H86" s="87">
        <f>IF(TrRoad_act!H8=0,0,H22/TrRoad_act!H8*1000)</f>
        <v>209.23318756005327</v>
      </c>
      <c r="I86" s="87">
        <f>IF(TrRoad_act!I8=0,0,I22/TrRoad_act!I8*1000)</f>
        <v>207.14404205168495</v>
      </c>
      <c r="J86" s="87">
        <f>IF(TrRoad_act!J8=0,0,J22/TrRoad_act!J8*1000)</f>
        <v>202.48016116489663</v>
      </c>
      <c r="K86" s="87">
        <f>IF(TrRoad_act!K8=0,0,K22/TrRoad_act!K8*1000)</f>
        <v>199.10168197195031</v>
      </c>
      <c r="L86" s="87">
        <f>IF(TrRoad_act!L8=0,0,L22/TrRoad_act!L8*1000)</f>
        <v>201.30270630416484</v>
      </c>
      <c r="M86" s="87">
        <f>IF(TrRoad_act!M8=0,0,M22/TrRoad_act!M8*1000)</f>
        <v>191.64394260623723</v>
      </c>
      <c r="N86" s="87">
        <f>IF(TrRoad_act!N8=0,0,N22/TrRoad_act!N8*1000)</f>
        <v>190.67766241470349</v>
      </c>
      <c r="O86" s="87">
        <f>IF(TrRoad_act!O8=0,0,O22/TrRoad_act!O8*1000)</f>
        <v>194.40086940724362</v>
      </c>
      <c r="P86" s="87">
        <f>IF(TrRoad_act!P8=0,0,P22/TrRoad_act!P8*1000)</f>
        <v>186.90223646857257</v>
      </c>
      <c r="Q86" s="87">
        <f>IF(TrRoad_act!Q8=0,0,Q22/TrRoad_act!Q8*1000)</f>
        <v>183.92163265771603</v>
      </c>
      <c r="R86" s="87">
        <f>IF(TrRoad_act!R8=0,0,R22/TrRoad_act!R8*1000)</f>
        <v>184.65244493425772</v>
      </c>
      <c r="S86" s="87">
        <f>IF(TrRoad_act!S8=0,0,S22/TrRoad_act!S8*1000)</f>
        <v>183.92221831538231</v>
      </c>
      <c r="T86" s="87">
        <f>IF(TrRoad_act!T8=0,0,T22/TrRoad_act!T8*1000)</f>
        <v>186.65604099862787</v>
      </c>
      <c r="U86" s="87">
        <f>IF(TrRoad_act!U8=0,0,U22/TrRoad_act!U8*1000)</f>
        <v>188.33741935636087</v>
      </c>
      <c r="V86" s="87">
        <f>IF(TrRoad_act!V8=0,0,V22/TrRoad_act!V8*1000)</f>
        <v>181.53166336406875</v>
      </c>
      <c r="W86" s="87">
        <f>IF(TrRoad_act!W8=0,0,W22/TrRoad_act!W8*1000)</f>
        <v>178.51026462531206</v>
      </c>
      <c r="DA86" s="171" t="s">
        <v>795</v>
      </c>
    </row>
    <row r="87" spans="1:105" ht="11.45" customHeight="1" x14ac:dyDescent="0.25">
      <c r="A87" s="111" t="s">
        <v>112</v>
      </c>
      <c r="B87" s="87">
        <f>IF(TrRoad_act!B9=0,0,B23/TrRoad_act!B9*1000)</f>
        <v>175.42285439554578</v>
      </c>
      <c r="C87" s="87">
        <f>IF(TrRoad_act!C9=0,0,C23/TrRoad_act!C9*1000)</f>
        <v>177.75259952125128</v>
      </c>
      <c r="D87" s="87">
        <f>IF(TrRoad_act!D9=0,0,D23/TrRoad_act!D9*1000)</f>
        <v>170.00334862282742</v>
      </c>
      <c r="E87" s="87">
        <f>IF(TrRoad_act!E9=0,0,E23/TrRoad_act!E9*1000)</f>
        <v>166.25875866622374</v>
      </c>
      <c r="F87" s="87">
        <f>IF(TrRoad_act!F9=0,0,F23/TrRoad_act!F9*1000)</f>
        <v>167.14666286946604</v>
      </c>
      <c r="G87" s="87">
        <f>IF(TrRoad_act!G9=0,0,G23/TrRoad_act!G9*1000)</f>
        <v>160.77431731558136</v>
      </c>
      <c r="H87" s="87">
        <f>IF(TrRoad_act!H9=0,0,H23/TrRoad_act!H9*1000)</f>
        <v>156.83373222067522</v>
      </c>
      <c r="I87" s="87">
        <f>IF(TrRoad_act!I9=0,0,I23/TrRoad_act!I9*1000)</f>
        <v>158.86629954950959</v>
      </c>
      <c r="J87" s="87">
        <f>IF(TrRoad_act!J9=0,0,J23/TrRoad_act!J9*1000)</f>
        <v>165.17163025112919</v>
      </c>
      <c r="K87" s="87">
        <f>IF(TrRoad_act!K9=0,0,K23/TrRoad_act!K9*1000)</f>
        <v>171.47516907209368</v>
      </c>
      <c r="L87" s="87">
        <f>IF(TrRoad_act!L9=0,0,L23/TrRoad_act!L9*1000)</f>
        <v>168.78601834125692</v>
      </c>
      <c r="M87" s="87">
        <f>IF(TrRoad_act!M9=0,0,M23/TrRoad_act!M9*1000)</f>
        <v>160.76156939614765</v>
      </c>
      <c r="N87" s="87">
        <f>IF(TrRoad_act!N9=0,0,N23/TrRoad_act!N9*1000)</f>
        <v>165.05632409971676</v>
      </c>
      <c r="O87" s="87">
        <f>IF(TrRoad_act!O9=0,0,O23/TrRoad_act!O9*1000)</f>
        <v>164.15703660554277</v>
      </c>
      <c r="P87" s="87">
        <f>IF(TrRoad_act!P9=0,0,P23/TrRoad_act!P9*1000)</f>
        <v>155.5499250584208</v>
      </c>
      <c r="Q87" s="87">
        <f>IF(TrRoad_act!Q9=0,0,Q23/TrRoad_act!Q9*1000)</f>
        <v>152.23330114567031</v>
      </c>
      <c r="R87" s="87">
        <f>IF(TrRoad_act!R9=0,0,R23/TrRoad_act!R9*1000)</f>
        <v>170.49668569350706</v>
      </c>
      <c r="S87" s="87">
        <f>IF(TrRoad_act!S9=0,0,S23/TrRoad_act!S9*1000)</f>
        <v>182.36711660237356</v>
      </c>
      <c r="T87" s="87">
        <f>IF(TrRoad_act!T9=0,0,T23/TrRoad_act!T9*1000)</f>
        <v>170.5481284855762</v>
      </c>
      <c r="U87" s="87">
        <f>IF(TrRoad_act!U9=0,0,U23/TrRoad_act!U9*1000)</f>
        <v>193.7901056337368</v>
      </c>
      <c r="V87" s="87">
        <f>IF(TrRoad_act!V9=0,0,V23/TrRoad_act!V9*1000)</f>
        <v>158.87511488215731</v>
      </c>
      <c r="W87" s="87">
        <f>IF(TrRoad_act!W9=0,0,W23/TrRoad_act!W9*1000)</f>
        <v>115.63912063150875</v>
      </c>
      <c r="DA87" s="171" t="s">
        <v>796</v>
      </c>
    </row>
    <row r="88" spans="1:105" ht="11.45" customHeight="1" x14ac:dyDescent="0.25">
      <c r="A88" s="111" t="s">
        <v>113</v>
      </c>
      <c r="B88" s="87">
        <f>IF(TrRoad_act!B10=0,0,B24/TrRoad_act!B10*1000)</f>
        <v>0</v>
      </c>
      <c r="C88" s="87">
        <f>IF(TrRoad_act!C10=0,0,C24/TrRoad_act!C10*1000)</f>
        <v>0</v>
      </c>
      <c r="D88" s="87">
        <f>IF(TrRoad_act!D10=0,0,D24/TrRoad_act!D10*1000)</f>
        <v>0</v>
      </c>
      <c r="E88" s="87">
        <f>IF(TrRoad_act!E10=0,0,E24/TrRoad_act!E10*1000)</f>
        <v>0</v>
      </c>
      <c r="F88" s="87">
        <f>IF(TrRoad_act!F10=0,0,F24/TrRoad_act!F10*1000)</f>
        <v>0</v>
      </c>
      <c r="G88" s="87">
        <f>IF(TrRoad_act!G10=0,0,G24/TrRoad_act!G10*1000)</f>
        <v>0</v>
      </c>
      <c r="H88" s="87">
        <f>IF(TrRoad_act!H10=0,0,H24/TrRoad_act!H10*1000)</f>
        <v>141.50815326900599</v>
      </c>
      <c r="I88" s="87">
        <f>IF(TrRoad_act!I10=0,0,I24/TrRoad_act!I10*1000)</f>
        <v>140.76249664786451</v>
      </c>
      <c r="J88" s="87">
        <f>IF(TrRoad_act!J10=0,0,J24/TrRoad_act!J10*1000)</f>
        <v>136.4072994231669</v>
      </c>
      <c r="K88" s="87">
        <f>IF(TrRoad_act!K10=0,0,K24/TrRoad_act!K10*1000)</f>
        <v>135.57727852745253</v>
      </c>
      <c r="L88" s="87">
        <f>IF(TrRoad_act!L10=0,0,L24/TrRoad_act!L10*1000)</f>
        <v>141.44188319072023</v>
      </c>
      <c r="M88" s="87">
        <f>IF(TrRoad_act!M10=0,0,M24/TrRoad_act!M10*1000)</f>
        <v>144.72074801485681</v>
      </c>
      <c r="N88" s="87">
        <f>IF(TrRoad_act!N10=0,0,N24/TrRoad_act!N10*1000)</f>
        <v>144.64803246701612</v>
      </c>
      <c r="O88" s="87">
        <f>IF(TrRoad_act!O10=0,0,O24/TrRoad_act!O10*1000)</f>
        <v>139.41107972886203</v>
      </c>
      <c r="P88" s="87">
        <f>IF(TrRoad_act!P10=0,0,P24/TrRoad_act!P10*1000)</f>
        <v>130.01919047586949</v>
      </c>
      <c r="Q88" s="87">
        <f>IF(TrRoad_act!Q10=0,0,Q24/TrRoad_act!Q10*1000)</f>
        <v>128.19686631213648</v>
      </c>
      <c r="R88" s="87">
        <f>IF(TrRoad_act!R10=0,0,R24/TrRoad_act!R10*1000)</f>
        <v>126.03842152441788</v>
      </c>
      <c r="S88" s="87">
        <f>IF(TrRoad_act!S10=0,0,S24/TrRoad_act!S10*1000)</f>
        <v>125.45649159407066</v>
      </c>
      <c r="T88" s="87">
        <f>IF(TrRoad_act!T10=0,0,T24/TrRoad_act!T10*1000)</f>
        <v>122.67251423773317</v>
      </c>
      <c r="U88" s="87">
        <f>IF(TrRoad_act!U10=0,0,U24/TrRoad_act!U10*1000)</f>
        <v>121.35570805603054</v>
      </c>
      <c r="V88" s="87">
        <f>IF(TrRoad_act!V10=0,0,V24/TrRoad_act!V10*1000)</f>
        <v>120.89979434948529</v>
      </c>
      <c r="W88" s="87">
        <f>IF(TrRoad_act!W10=0,0,W24/TrRoad_act!W10*1000)</f>
        <v>117.87256872761745</v>
      </c>
      <c r="DA88" s="171" t="s">
        <v>797</v>
      </c>
    </row>
    <row r="89" spans="1:105" ht="11.45" customHeight="1" x14ac:dyDescent="0.25">
      <c r="A89" s="111" t="s">
        <v>114</v>
      </c>
      <c r="B89" s="87">
        <f>IF(TrRoad_act!B11=0,0,B25/TrRoad_act!B11*1000)</f>
        <v>0</v>
      </c>
      <c r="C89" s="87">
        <f>IF(TrRoad_act!C11=0,0,C25/TrRoad_act!C11*1000)</f>
        <v>0</v>
      </c>
      <c r="D89" s="87">
        <f>IF(TrRoad_act!D11=0,0,D25/TrRoad_act!D11*1000)</f>
        <v>0</v>
      </c>
      <c r="E89" s="87">
        <f>IF(TrRoad_act!E11=0,0,E25/TrRoad_act!E11*1000)</f>
        <v>0</v>
      </c>
      <c r="F89" s="87">
        <f>IF(TrRoad_act!F11=0,0,F25/TrRoad_act!F11*1000)</f>
        <v>0</v>
      </c>
      <c r="G89" s="87">
        <f>IF(TrRoad_act!G11=0,0,G25/TrRoad_act!G11*1000)</f>
        <v>0</v>
      </c>
      <c r="H89" s="87">
        <f>IF(TrRoad_act!H11=0,0,H25/TrRoad_act!H11*1000)</f>
        <v>0</v>
      </c>
      <c r="I89" s="87">
        <f>IF(TrRoad_act!I11=0,0,I25/TrRoad_act!I11*1000)</f>
        <v>0</v>
      </c>
      <c r="J89" s="87">
        <f>IF(TrRoad_act!J11=0,0,J25/TrRoad_act!J11*1000)</f>
        <v>0</v>
      </c>
      <c r="K89" s="87">
        <f>IF(TrRoad_act!K11=0,0,K25/TrRoad_act!K11*1000)</f>
        <v>0</v>
      </c>
      <c r="L89" s="87">
        <f>IF(TrRoad_act!L11=0,0,L25/TrRoad_act!L11*1000)</f>
        <v>0</v>
      </c>
      <c r="M89" s="87">
        <f>IF(TrRoad_act!M11=0,0,M25/TrRoad_act!M11*1000)</f>
        <v>66.522652671760412</v>
      </c>
      <c r="N89" s="87">
        <f>IF(TrRoad_act!N11=0,0,N25/TrRoad_act!N11*1000)</f>
        <v>48.866139105607601</v>
      </c>
      <c r="O89" s="87">
        <f>IF(TrRoad_act!O11=0,0,O25/TrRoad_act!O11*1000)</f>
        <v>34.347690477422269</v>
      </c>
      <c r="P89" s="87">
        <f>IF(TrRoad_act!P11=0,0,P25/TrRoad_act!P11*1000)</f>
        <v>39.465873231557055</v>
      </c>
      <c r="Q89" s="87">
        <f>IF(TrRoad_act!Q11=0,0,Q25/TrRoad_act!Q11*1000)</f>
        <v>49.803782627311634</v>
      </c>
      <c r="R89" s="87">
        <f>IF(TrRoad_act!R11=0,0,R25/TrRoad_act!R11*1000)</f>
        <v>63.165688932254064</v>
      </c>
      <c r="S89" s="87">
        <f>IF(TrRoad_act!S11=0,0,S25/TrRoad_act!S11*1000)</f>
        <v>66.794773859271302</v>
      </c>
      <c r="T89" s="87">
        <f>IF(TrRoad_act!T11=0,0,T25/TrRoad_act!T11*1000)</f>
        <v>71.312633515572472</v>
      </c>
      <c r="U89" s="87">
        <f>IF(TrRoad_act!U11=0,0,U25/TrRoad_act!U11*1000)</f>
        <v>71.799324919130996</v>
      </c>
      <c r="V89" s="87">
        <f>IF(TrRoad_act!V11=0,0,V25/TrRoad_act!V11*1000)</f>
        <v>56.782713591502002</v>
      </c>
      <c r="W89" s="87">
        <f>IF(TrRoad_act!W11=0,0,W25/TrRoad_act!W11*1000)</f>
        <v>49.067464352802112</v>
      </c>
      <c r="DA89" s="171" t="s">
        <v>798</v>
      </c>
    </row>
    <row r="90" spans="1:105" ht="11.45" customHeight="1" x14ac:dyDescent="0.25">
      <c r="A90" s="111" t="s">
        <v>115</v>
      </c>
      <c r="B90" s="87">
        <f>IF(TrRoad_act!B12=0,0,B26/TrRoad_act!B12*1000)</f>
        <v>0</v>
      </c>
      <c r="C90" s="87">
        <f>IF(TrRoad_act!C12=0,0,C26/TrRoad_act!C12*1000)</f>
        <v>0</v>
      </c>
      <c r="D90" s="87">
        <f>IF(TrRoad_act!D12=0,0,D26/TrRoad_act!D12*1000)</f>
        <v>0</v>
      </c>
      <c r="E90" s="87">
        <f>IF(TrRoad_act!E12=0,0,E26/TrRoad_act!E12*1000)</f>
        <v>0</v>
      </c>
      <c r="F90" s="87">
        <f>IF(TrRoad_act!F12=0,0,F26/TrRoad_act!F12*1000)</f>
        <v>0</v>
      </c>
      <c r="G90" s="87">
        <f>IF(TrRoad_act!G12=0,0,G26/TrRoad_act!G12*1000)</f>
        <v>0</v>
      </c>
      <c r="H90" s="87">
        <f>IF(TrRoad_act!H12=0,0,H26/TrRoad_act!H12*1000)</f>
        <v>0</v>
      </c>
      <c r="I90" s="87">
        <f>IF(TrRoad_act!I12=0,0,I26/TrRoad_act!I12*1000)</f>
        <v>0</v>
      </c>
      <c r="J90" s="87">
        <f>IF(TrRoad_act!J12=0,0,J26/TrRoad_act!J12*1000)</f>
        <v>0</v>
      </c>
      <c r="K90" s="87">
        <f>IF(TrRoad_act!K12=0,0,K26/TrRoad_act!K12*1000)</f>
        <v>0</v>
      </c>
      <c r="L90" s="87">
        <f>IF(TrRoad_act!L12=0,0,L26/TrRoad_act!L12*1000)</f>
        <v>0</v>
      </c>
      <c r="M90" s="87">
        <f>IF(TrRoad_act!M12=0,0,M26/TrRoad_act!M12*1000)</f>
        <v>0</v>
      </c>
      <c r="N90" s="87">
        <f>IF(TrRoad_act!N12=0,0,N26/TrRoad_act!N12*1000)</f>
        <v>0</v>
      </c>
      <c r="O90" s="87">
        <f>IF(TrRoad_act!O12=0,0,O26/TrRoad_act!O12*1000)</f>
        <v>0</v>
      </c>
      <c r="P90" s="87">
        <f>IF(TrRoad_act!P12=0,0,P26/TrRoad_act!P12*1000)</f>
        <v>0</v>
      </c>
      <c r="Q90" s="87">
        <f>IF(TrRoad_act!Q12=0,0,Q26/TrRoad_act!Q12*1000)</f>
        <v>0</v>
      </c>
      <c r="R90" s="87">
        <f>IF(TrRoad_act!R12=0,0,R26/TrRoad_act!R12*1000)</f>
        <v>0</v>
      </c>
      <c r="S90" s="87">
        <f>IF(TrRoad_act!S12=0,0,S26/TrRoad_act!S12*1000)</f>
        <v>0</v>
      </c>
      <c r="T90" s="87">
        <f>IF(TrRoad_act!T12=0,0,T26/TrRoad_act!T12*1000)</f>
        <v>0</v>
      </c>
      <c r="U90" s="87">
        <f>IF(TrRoad_act!U12=0,0,U26/TrRoad_act!U12*1000)</f>
        <v>0</v>
      </c>
      <c r="V90" s="87">
        <f>IF(TrRoad_act!V12=0,0,V26/TrRoad_act!V12*1000)</f>
        <v>0</v>
      </c>
      <c r="W90" s="87">
        <f>IF(TrRoad_act!W12=0,0,W26/TrRoad_act!W12*1000)</f>
        <v>0</v>
      </c>
      <c r="DA90" s="171" t="s">
        <v>799</v>
      </c>
    </row>
    <row r="91" spans="1:105" ht="11.45" customHeight="1" x14ac:dyDescent="0.25">
      <c r="A91" s="109" t="s">
        <v>21</v>
      </c>
      <c r="B91" s="116">
        <f>IF(TrRoad_act!B13=0,0,B27/TrRoad_act!B13*1000)</f>
        <v>88.210467752686952</v>
      </c>
      <c r="C91" s="116">
        <f>IF(TrRoad_act!C13=0,0,C27/TrRoad_act!C13*1000)</f>
        <v>88.631559822181643</v>
      </c>
      <c r="D91" s="116">
        <f>IF(TrRoad_act!D13=0,0,D27/TrRoad_act!D13*1000)</f>
        <v>91.591519379216734</v>
      </c>
      <c r="E91" s="116">
        <f>IF(TrRoad_act!E13=0,0,E27/TrRoad_act!E13*1000)</f>
        <v>92.260531142950754</v>
      </c>
      <c r="F91" s="116">
        <f>IF(TrRoad_act!F13=0,0,F27/TrRoad_act!F13*1000)</f>
        <v>90.650653887585122</v>
      </c>
      <c r="G91" s="116">
        <f>IF(TrRoad_act!G13=0,0,G27/TrRoad_act!G13*1000)</f>
        <v>89.377538053870154</v>
      </c>
      <c r="H91" s="116">
        <f>IF(TrRoad_act!H13=0,0,H27/TrRoad_act!H13*1000)</f>
        <v>82.965760003621895</v>
      </c>
      <c r="I91" s="116">
        <f>IF(TrRoad_act!I13=0,0,I27/TrRoad_act!I13*1000)</f>
        <v>85.244581852155079</v>
      </c>
      <c r="J91" s="116">
        <f>IF(TrRoad_act!J13=0,0,J27/TrRoad_act!J13*1000)</f>
        <v>84.308618883986185</v>
      </c>
      <c r="K91" s="116">
        <f>IF(TrRoad_act!K13=0,0,K27/TrRoad_act!K13*1000)</f>
        <v>84.802348940458657</v>
      </c>
      <c r="L91" s="116">
        <f>IF(TrRoad_act!L13=0,0,L27/TrRoad_act!L13*1000)</f>
        <v>89.39453801852278</v>
      </c>
      <c r="M91" s="116">
        <f>IF(TrRoad_act!M13=0,0,M27/TrRoad_act!M13*1000)</f>
        <v>85.531580431172628</v>
      </c>
      <c r="N91" s="116">
        <f>IF(TrRoad_act!N13=0,0,N27/TrRoad_act!N13*1000)</f>
        <v>86.809759447515503</v>
      </c>
      <c r="O91" s="116">
        <f>IF(TrRoad_act!O13=0,0,O27/TrRoad_act!O13*1000)</f>
        <v>86.341695637029261</v>
      </c>
      <c r="P91" s="116">
        <f>IF(TrRoad_act!P13=0,0,P27/TrRoad_act!P13*1000)</f>
        <v>85.392386136182935</v>
      </c>
      <c r="Q91" s="116">
        <f>IF(TrRoad_act!Q13=0,0,Q27/TrRoad_act!Q13*1000)</f>
        <v>85.133185742045981</v>
      </c>
      <c r="R91" s="116">
        <f>IF(TrRoad_act!R13=0,0,R27/TrRoad_act!R13*1000)</f>
        <v>87.948900972114316</v>
      </c>
      <c r="S91" s="116">
        <f>IF(TrRoad_act!S13=0,0,S27/TrRoad_act!S13*1000)</f>
        <v>89.962158367279613</v>
      </c>
      <c r="T91" s="116">
        <f>IF(TrRoad_act!T13=0,0,T27/TrRoad_act!T13*1000)</f>
        <v>90.331111457072794</v>
      </c>
      <c r="U91" s="116">
        <f>IF(TrRoad_act!U13=0,0,U27/TrRoad_act!U13*1000)</f>
        <v>90.894687267114037</v>
      </c>
      <c r="V91" s="116">
        <f>IF(TrRoad_act!V13=0,0,V27/TrRoad_act!V13*1000)</f>
        <v>112.6806367392855</v>
      </c>
      <c r="W91" s="116">
        <f>IF(TrRoad_act!W13=0,0,W27/TrRoad_act!W13*1000)</f>
        <v>109.75600400784852</v>
      </c>
      <c r="DA91" s="176" t="s">
        <v>438</v>
      </c>
    </row>
    <row r="92" spans="1:105" ht="11.45" customHeight="1" x14ac:dyDescent="0.25">
      <c r="A92" s="111" t="s">
        <v>110</v>
      </c>
      <c r="B92" s="101">
        <f>IF(TrRoad_act!B14=0,0,B28/TrRoad_act!B14*1000)</f>
        <v>73.281352843643702</v>
      </c>
      <c r="C92" s="101">
        <f>IF(TrRoad_act!C14=0,0,C28/TrRoad_act!C14*1000)</f>
        <v>73.920432431014291</v>
      </c>
      <c r="D92" s="101">
        <f>IF(TrRoad_act!D14=0,0,D28/TrRoad_act!D14*1000)</f>
        <v>76.880754208857141</v>
      </c>
      <c r="E92" s="101">
        <f>IF(TrRoad_act!E14=0,0,E28/TrRoad_act!E14*1000)</f>
        <v>77.929792377596584</v>
      </c>
      <c r="F92" s="101">
        <f>IF(TrRoad_act!F14=0,0,F28/TrRoad_act!F14*1000)</f>
        <v>77.073124257465253</v>
      </c>
      <c r="G92" s="101">
        <f>IF(TrRoad_act!G14=0,0,G28/TrRoad_act!G14*1000)</f>
        <v>76.902984370664015</v>
      </c>
      <c r="H92" s="101">
        <f>IF(TrRoad_act!H14=0,0,H28/TrRoad_act!H14*1000)</f>
        <v>74.025945012900806</v>
      </c>
      <c r="I92" s="101">
        <f>IF(TrRoad_act!I14=0,0,I28/TrRoad_act!I14*1000)</f>
        <v>73.831624954222008</v>
      </c>
      <c r="J92" s="101">
        <f>IF(TrRoad_act!J14=0,0,J28/TrRoad_act!J14*1000)</f>
        <v>71.664303255840224</v>
      </c>
      <c r="K92" s="101">
        <f>IF(TrRoad_act!K14=0,0,K28/TrRoad_act!K14*1000)</f>
        <v>71.897582179075059</v>
      </c>
      <c r="L92" s="101">
        <f>IF(TrRoad_act!L14=0,0,L28/TrRoad_act!L14*1000)</f>
        <v>74.109780696483583</v>
      </c>
      <c r="M92" s="101">
        <f>IF(TrRoad_act!M14=0,0,M28/TrRoad_act!M14*1000)</f>
        <v>71.022087831511172</v>
      </c>
      <c r="N92" s="101">
        <f>IF(TrRoad_act!N14=0,0,N28/TrRoad_act!N14*1000)</f>
        <v>71.775181617541065</v>
      </c>
      <c r="O92" s="101">
        <f>IF(TrRoad_act!O14=0,0,O28/TrRoad_act!O14*1000)</f>
        <v>68.854046469277449</v>
      </c>
      <c r="P92" s="101">
        <f>IF(TrRoad_act!P14=0,0,P28/TrRoad_act!P14*1000)</f>
        <v>64.502891842654506</v>
      </c>
      <c r="Q92" s="101">
        <f>IF(TrRoad_act!Q14=0,0,Q28/TrRoad_act!Q14*1000)</f>
        <v>64.650516121135709</v>
      </c>
      <c r="R92" s="101">
        <f>IF(TrRoad_act!R14=0,0,R28/TrRoad_act!R14*1000)</f>
        <v>63.428863725002756</v>
      </c>
      <c r="S92" s="101">
        <f>IF(TrRoad_act!S14=0,0,S28/TrRoad_act!S14*1000)</f>
        <v>63.46062105437629</v>
      </c>
      <c r="T92" s="101">
        <f>IF(TrRoad_act!T14=0,0,T28/TrRoad_act!T14*1000)</f>
        <v>63.475808958649196</v>
      </c>
      <c r="U92" s="101">
        <f>IF(TrRoad_act!U14=0,0,U28/TrRoad_act!U14*1000)</f>
        <v>63.507022692161172</v>
      </c>
      <c r="V92" s="101">
        <f>IF(TrRoad_act!V14=0,0,V28/TrRoad_act!V14*1000)</f>
        <v>62.695338788808662</v>
      </c>
      <c r="W92" s="101">
        <f>IF(TrRoad_act!W14=0,0,W28/TrRoad_act!W14*1000)</f>
        <v>63.247642956313591</v>
      </c>
      <c r="DA92" s="175" t="s">
        <v>800</v>
      </c>
    </row>
    <row r="93" spans="1:105" ht="11.45" customHeight="1" x14ac:dyDescent="0.25">
      <c r="A93" s="111" t="s">
        <v>111</v>
      </c>
      <c r="B93" s="101">
        <f>IF(TrRoad_act!B15=0,0,B29/TrRoad_act!B15*1000)</f>
        <v>89.138222393571752</v>
      </c>
      <c r="C93" s="101">
        <f>IF(TrRoad_act!C15=0,0,C29/TrRoad_act!C15*1000)</f>
        <v>89.55254846980597</v>
      </c>
      <c r="D93" s="101">
        <f>IF(TrRoad_act!D15=0,0,D29/TrRoad_act!D15*1000)</f>
        <v>92.547343335388547</v>
      </c>
      <c r="E93" s="101">
        <f>IF(TrRoad_act!E15=0,0,E29/TrRoad_act!E15*1000)</f>
        <v>93.219103267831542</v>
      </c>
      <c r="F93" s="101">
        <f>IF(TrRoad_act!F15=0,0,F29/TrRoad_act!F15*1000)</f>
        <v>91.623983700915545</v>
      </c>
      <c r="G93" s="101">
        <f>IF(TrRoad_act!G15=0,0,G29/TrRoad_act!G15*1000)</f>
        <v>90.361195330990313</v>
      </c>
      <c r="H93" s="101">
        <f>IF(TrRoad_act!H15=0,0,H29/TrRoad_act!H15*1000)</f>
        <v>83.92290329767161</v>
      </c>
      <c r="I93" s="101">
        <f>IF(TrRoad_act!I15=0,0,I29/TrRoad_act!I15*1000)</f>
        <v>86.24797634717018</v>
      </c>
      <c r="J93" s="101">
        <f>IF(TrRoad_act!J15=0,0,J29/TrRoad_act!J15*1000)</f>
        <v>85.367499377530507</v>
      </c>
      <c r="K93" s="101">
        <f>IF(TrRoad_act!K15=0,0,K29/TrRoad_act!K15*1000)</f>
        <v>86.577025090576811</v>
      </c>
      <c r="L93" s="101">
        <f>IF(TrRoad_act!L15=0,0,L29/TrRoad_act!L15*1000)</f>
        <v>91.668249499076097</v>
      </c>
      <c r="M93" s="101">
        <f>IF(TrRoad_act!M15=0,0,M29/TrRoad_act!M15*1000)</f>
        <v>88.120236962002721</v>
      </c>
      <c r="N93" s="101">
        <f>IF(TrRoad_act!N15=0,0,N29/TrRoad_act!N15*1000)</f>
        <v>89.721720864350729</v>
      </c>
      <c r="O93" s="101">
        <f>IF(TrRoad_act!O15=0,0,O29/TrRoad_act!O15*1000)</f>
        <v>89.934934312069871</v>
      </c>
      <c r="P93" s="101">
        <f>IF(TrRoad_act!P15=0,0,P29/TrRoad_act!P15*1000)</f>
        <v>89.007699410411917</v>
      </c>
      <c r="Q93" s="101">
        <f>IF(TrRoad_act!Q15=0,0,Q29/TrRoad_act!Q15*1000)</f>
        <v>88.677444680916636</v>
      </c>
      <c r="R93" s="101">
        <f>IF(TrRoad_act!R15=0,0,R29/TrRoad_act!R15*1000)</f>
        <v>90.528394695109853</v>
      </c>
      <c r="S93" s="101">
        <f>IF(TrRoad_act!S15=0,0,S29/TrRoad_act!S15*1000)</f>
        <v>92.448985443854355</v>
      </c>
      <c r="T93" s="101">
        <f>IF(TrRoad_act!T15=0,0,T29/TrRoad_act!T15*1000)</f>
        <v>92.992134897790635</v>
      </c>
      <c r="U93" s="101">
        <f>IF(TrRoad_act!U15=0,0,U29/TrRoad_act!U15*1000)</f>
        <v>93.7094961316444</v>
      </c>
      <c r="V93" s="101">
        <f>IF(TrRoad_act!V15=0,0,V29/TrRoad_act!V15*1000)</f>
        <v>116.60064448752875</v>
      </c>
      <c r="W93" s="101">
        <f>IF(TrRoad_act!W15=0,0,W29/TrRoad_act!W15*1000)</f>
        <v>113.48787309825721</v>
      </c>
      <c r="DA93" s="175" t="s">
        <v>801</v>
      </c>
    </row>
    <row r="94" spans="1:105" ht="11.45" customHeight="1" x14ac:dyDescent="0.25">
      <c r="A94" s="111" t="s">
        <v>112</v>
      </c>
      <c r="B94" s="101">
        <f>IF(TrRoad_act!B16=0,0,B30/TrRoad_act!B16*1000)</f>
        <v>0</v>
      </c>
      <c r="C94" s="101">
        <f>IF(TrRoad_act!C16=0,0,C30/TrRoad_act!C16*1000)</f>
        <v>60.220110585198725</v>
      </c>
      <c r="D94" s="101">
        <f>IF(TrRoad_act!D16=0,0,D30/TrRoad_act!D16*1000)</f>
        <v>62.866079479437133</v>
      </c>
      <c r="E94" s="101">
        <f>IF(TrRoad_act!E16=0,0,E30/TrRoad_act!E16*1000)</f>
        <v>63.875679115504141</v>
      </c>
      <c r="F94" s="101">
        <f>IF(TrRoad_act!F16=0,0,F30/TrRoad_act!F16*1000)</f>
        <v>63.409786208400817</v>
      </c>
      <c r="G94" s="101">
        <f>IF(TrRoad_act!G16=0,0,G30/TrRoad_act!G16*1000)</f>
        <v>63.654501897772569</v>
      </c>
      <c r="H94" s="101">
        <f>IF(TrRoad_act!H16=0,0,H30/TrRoad_act!H16*1000)</f>
        <v>61.66075999939131</v>
      </c>
      <c r="I94" s="101">
        <f>IF(TrRoad_act!I16=0,0,I30/TrRoad_act!I16*1000)</f>
        <v>64.383224517179045</v>
      </c>
      <c r="J94" s="101">
        <f>IF(TrRoad_act!J16=0,0,J30/TrRoad_act!J16*1000)</f>
        <v>64.655547593881394</v>
      </c>
      <c r="K94" s="101">
        <f>IF(TrRoad_act!K16=0,0,K30/TrRoad_act!K16*1000)</f>
        <v>67.227558756058997</v>
      </c>
      <c r="L94" s="101">
        <f>IF(TrRoad_act!L16=0,0,L30/TrRoad_act!L16*1000)</f>
        <v>70.926409417528816</v>
      </c>
      <c r="M94" s="101">
        <f>IF(TrRoad_act!M16=0,0,M30/TrRoad_act!M16*1000)</f>
        <v>68.559181962685685</v>
      </c>
      <c r="N94" s="101">
        <f>IF(TrRoad_act!N16=0,0,N30/TrRoad_act!N16*1000)</f>
        <v>69.693617356581413</v>
      </c>
      <c r="O94" s="101">
        <f>IF(TrRoad_act!O16=0,0,O30/TrRoad_act!O16*1000)</f>
        <v>69.613250300418059</v>
      </c>
      <c r="P94" s="101">
        <f>IF(TrRoad_act!P16=0,0,P30/TrRoad_act!P16*1000)</f>
        <v>69.904356864062152</v>
      </c>
      <c r="Q94" s="101">
        <f>IF(TrRoad_act!Q16=0,0,Q30/TrRoad_act!Q16*1000)</f>
        <v>70.042630506164727</v>
      </c>
      <c r="R94" s="101">
        <f>IF(TrRoad_act!R16=0,0,R30/TrRoad_act!R16*1000)</f>
        <v>69.75548580813674</v>
      </c>
      <c r="S94" s="101">
        <f>IF(TrRoad_act!S16=0,0,S30/TrRoad_act!S16*1000)</f>
        <v>69.982402121227224</v>
      </c>
      <c r="T94" s="101">
        <f>IF(TrRoad_act!T16=0,0,T30/TrRoad_act!T16*1000)</f>
        <v>70.036500392378059</v>
      </c>
      <c r="U94" s="101">
        <f>IF(TrRoad_act!U16=0,0,U30/TrRoad_act!U16*1000)</f>
        <v>70.941982871830405</v>
      </c>
      <c r="V94" s="101">
        <f>IF(TrRoad_act!V16=0,0,V30/TrRoad_act!V16*1000)</f>
        <v>87.847952837137683</v>
      </c>
      <c r="W94" s="101">
        <f>IF(TrRoad_act!W16=0,0,W30/TrRoad_act!W16*1000)</f>
        <v>85.207891781669673</v>
      </c>
      <c r="DA94" s="175" t="s">
        <v>802</v>
      </c>
    </row>
    <row r="95" spans="1:105" ht="11.45" customHeight="1" x14ac:dyDescent="0.25">
      <c r="A95" s="111" t="s">
        <v>113</v>
      </c>
      <c r="B95" s="101">
        <f>IF(TrRoad_act!B17=0,0,B31/TrRoad_act!B17*1000)</f>
        <v>0</v>
      </c>
      <c r="C95" s="101">
        <f>IF(TrRoad_act!C17=0,0,C31/TrRoad_act!C17*1000)</f>
        <v>0</v>
      </c>
      <c r="D95" s="101">
        <f>IF(TrRoad_act!D17=0,0,D31/TrRoad_act!D17*1000)</f>
        <v>0</v>
      </c>
      <c r="E95" s="101">
        <f>IF(TrRoad_act!E17=0,0,E31/TrRoad_act!E17*1000)</f>
        <v>0</v>
      </c>
      <c r="F95" s="101">
        <f>IF(TrRoad_act!F17=0,0,F31/TrRoad_act!F17*1000)</f>
        <v>64.137934528169993</v>
      </c>
      <c r="G95" s="101">
        <f>IF(TrRoad_act!G17=0,0,G31/TrRoad_act!G17*1000)</f>
        <v>81.281293625743928</v>
      </c>
      <c r="H95" s="101">
        <f>IF(TrRoad_act!H17=0,0,H31/TrRoad_act!H17*1000)</f>
        <v>68.812070001054209</v>
      </c>
      <c r="I95" s="101">
        <f>IF(TrRoad_act!I17=0,0,I31/TrRoad_act!I17*1000)</f>
        <v>66.868564655794387</v>
      </c>
      <c r="J95" s="101">
        <f>IF(TrRoad_act!J17=0,0,J31/TrRoad_act!J17*1000)</f>
        <v>68.694344686359074</v>
      </c>
      <c r="K95" s="101">
        <f>IF(TrRoad_act!K17=0,0,K31/TrRoad_act!K17*1000)</f>
        <v>63.106271666357749</v>
      </c>
      <c r="L95" s="101">
        <f>IF(TrRoad_act!L17=0,0,L31/TrRoad_act!L17*1000)</f>
        <v>63.938221331780937</v>
      </c>
      <c r="M95" s="101">
        <f>IF(TrRoad_act!M17=0,0,M31/TrRoad_act!M17*1000)</f>
        <v>54.553301194205453</v>
      </c>
      <c r="N95" s="101">
        <f>IF(TrRoad_act!N17=0,0,N31/TrRoad_act!N17*1000)</f>
        <v>54.316381335107785</v>
      </c>
      <c r="O95" s="101">
        <f>IF(TrRoad_act!O17=0,0,O31/TrRoad_act!O17*1000)</f>
        <v>50.732080486248925</v>
      </c>
      <c r="P95" s="101">
        <f>IF(TrRoad_act!P17=0,0,P31/TrRoad_act!P17*1000)</f>
        <v>50.064876091971151</v>
      </c>
      <c r="Q95" s="101">
        <f>IF(TrRoad_act!Q17=0,0,Q31/TrRoad_act!Q17*1000)</f>
        <v>50.05014106816094</v>
      </c>
      <c r="R95" s="101">
        <f>IF(TrRoad_act!R17=0,0,R31/TrRoad_act!R17*1000)</f>
        <v>61.326112104412204</v>
      </c>
      <c r="S95" s="101">
        <f>IF(TrRoad_act!S17=0,0,S31/TrRoad_act!S17*1000)</f>
        <v>62.086272970862147</v>
      </c>
      <c r="T95" s="101">
        <f>IF(TrRoad_act!T17=0,0,T31/TrRoad_act!T17*1000)</f>
        <v>61.734885220374061</v>
      </c>
      <c r="U95" s="101">
        <f>IF(TrRoad_act!U17=0,0,U31/TrRoad_act!U17*1000)</f>
        <v>61.910038061173225</v>
      </c>
      <c r="V95" s="101">
        <f>IF(TrRoad_act!V17=0,0,V31/TrRoad_act!V17*1000)</f>
        <v>76.616121011106046</v>
      </c>
      <c r="W95" s="101">
        <f>IF(TrRoad_act!W17=0,0,W31/TrRoad_act!W17*1000)</f>
        <v>74.303096339584101</v>
      </c>
      <c r="DA95" s="175" t="s">
        <v>803</v>
      </c>
    </row>
    <row r="96" spans="1:105" ht="11.45" customHeight="1" x14ac:dyDescent="0.25">
      <c r="A96" s="111" t="s">
        <v>115</v>
      </c>
      <c r="B96" s="101">
        <f>IF(TrRoad_act!B18=0,0,B32/TrRoad_act!B18*1000)</f>
        <v>0</v>
      </c>
      <c r="C96" s="101">
        <f>IF(TrRoad_act!C18=0,0,C32/TrRoad_act!C18*1000)</f>
        <v>0</v>
      </c>
      <c r="D96" s="101">
        <f>IF(TrRoad_act!D18=0,0,D32/TrRoad_act!D18*1000)</f>
        <v>0</v>
      </c>
      <c r="E96" s="101">
        <f>IF(TrRoad_act!E18=0,0,E32/TrRoad_act!E18*1000)</f>
        <v>0</v>
      </c>
      <c r="F96" s="101">
        <f>IF(TrRoad_act!F18=0,0,F32/TrRoad_act!F18*1000)</f>
        <v>0</v>
      </c>
      <c r="G96" s="101">
        <f>IF(TrRoad_act!G18=0,0,G32/TrRoad_act!G18*1000)</f>
        <v>0</v>
      </c>
      <c r="H96" s="101">
        <f>IF(TrRoad_act!H18=0,0,H32/TrRoad_act!H18*1000)</f>
        <v>0</v>
      </c>
      <c r="I96" s="101">
        <f>IF(TrRoad_act!I18=0,0,I32/TrRoad_act!I18*1000)</f>
        <v>0</v>
      </c>
      <c r="J96" s="101">
        <f>IF(TrRoad_act!J18=0,0,J32/TrRoad_act!J18*1000)</f>
        <v>0</v>
      </c>
      <c r="K96" s="101">
        <f>IF(TrRoad_act!K18=0,0,K32/TrRoad_act!K18*1000)</f>
        <v>0</v>
      </c>
      <c r="L96" s="101">
        <f>IF(TrRoad_act!L18=0,0,L32/TrRoad_act!L18*1000)</f>
        <v>0</v>
      </c>
      <c r="M96" s="101">
        <f>IF(TrRoad_act!M18=0,0,M32/TrRoad_act!M18*1000)</f>
        <v>0</v>
      </c>
      <c r="N96" s="101">
        <f>IF(TrRoad_act!N18=0,0,N32/TrRoad_act!N18*1000)</f>
        <v>0</v>
      </c>
      <c r="O96" s="101">
        <f>IF(TrRoad_act!O18=0,0,O32/TrRoad_act!O18*1000)</f>
        <v>0</v>
      </c>
      <c r="P96" s="101">
        <f>IF(TrRoad_act!P18=0,0,P32/TrRoad_act!P18*1000)</f>
        <v>0</v>
      </c>
      <c r="Q96" s="101">
        <f>IF(TrRoad_act!Q18=0,0,Q32/TrRoad_act!Q18*1000)</f>
        <v>0</v>
      </c>
      <c r="R96" s="101">
        <f>IF(TrRoad_act!R18=0,0,R32/TrRoad_act!R18*1000)</f>
        <v>0</v>
      </c>
      <c r="S96" s="101">
        <f>IF(TrRoad_act!S18=0,0,S32/TrRoad_act!S18*1000)</f>
        <v>0</v>
      </c>
      <c r="T96" s="101">
        <f>IF(TrRoad_act!T18=0,0,T32/TrRoad_act!T18*1000)</f>
        <v>0</v>
      </c>
      <c r="U96" s="101">
        <f>IF(TrRoad_act!U18=0,0,U32/TrRoad_act!U18*1000)</f>
        <v>0</v>
      </c>
      <c r="V96" s="101">
        <f>IF(TrRoad_act!V18=0,0,V32/TrRoad_act!V18*1000)</f>
        <v>0</v>
      </c>
      <c r="W96" s="101">
        <f>IF(TrRoad_act!W18=0,0,W32/TrRoad_act!W18*1000)</f>
        <v>0</v>
      </c>
      <c r="DA96" s="175" t="s">
        <v>804</v>
      </c>
    </row>
    <row r="97" spans="1:105" ht="11.45" customHeight="1" x14ac:dyDescent="0.25">
      <c r="A97" s="27" t="s">
        <v>162</v>
      </c>
      <c r="B97" s="29">
        <f>IF(TrRoad_act!B19=0,0,B33/TrRoad_act!B19*1000)</f>
        <v>213.48733901038713</v>
      </c>
      <c r="C97" s="29">
        <f>IF(TrRoad_act!C19=0,0,C33/TrRoad_act!C19*1000)</f>
        <v>233.48009599367097</v>
      </c>
      <c r="D97" s="29">
        <f>IF(TrRoad_act!D19=0,0,D33/TrRoad_act!D19*1000)</f>
        <v>249.12670123742964</v>
      </c>
      <c r="E97" s="29">
        <f>IF(TrRoad_act!E19=0,0,E33/TrRoad_act!E19*1000)</f>
        <v>262.65419043654038</v>
      </c>
      <c r="F97" s="29">
        <f>IF(TrRoad_act!F19=0,0,F33/TrRoad_act!F19*1000)</f>
        <v>247.34524973024406</v>
      </c>
      <c r="G97" s="29">
        <f>IF(TrRoad_act!G19=0,0,G33/TrRoad_act!G19*1000)</f>
        <v>251.04612336545523</v>
      </c>
      <c r="H97" s="29">
        <f>IF(TrRoad_act!H19=0,0,H33/TrRoad_act!H19*1000)</f>
        <v>210.17410575426788</v>
      </c>
      <c r="I97" s="29">
        <f>IF(TrRoad_act!I19=0,0,I33/TrRoad_act!I19*1000)</f>
        <v>192.4534119758988</v>
      </c>
      <c r="J97" s="29">
        <f>IF(TrRoad_act!J19=0,0,J33/TrRoad_act!J19*1000)</f>
        <v>174.4840473235455</v>
      </c>
      <c r="K97" s="29">
        <f>IF(TrRoad_act!K19=0,0,K33/TrRoad_act!K19*1000)</f>
        <v>187.36298953754834</v>
      </c>
      <c r="L97" s="29">
        <f>IF(TrRoad_act!L19=0,0,L33/TrRoad_act!L19*1000)</f>
        <v>192.11351887494968</v>
      </c>
      <c r="M97" s="29">
        <f>IF(TrRoad_act!M19=0,0,M33/TrRoad_act!M19*1000)</f>
        <v>172.51958429754339</v>
      </c>
      <c r="N97" s="29">
        <f>IF(TrRoad_act!N19=0,0,N33/TrRoad_act!N19*1000)</f>
        <v>180.23458311398696</v>
      </c>
      <c r="O97" s="29">
        <f>IF(TrRoad_act!O19=0,0,O33/TrRoad_act!O19*1000)</f>
        <v>204.39947615631911</v>
      </c>
      <c r="P97" s="29">
        <f>IF(TrRoad_act!P19=0,0,P33/TrRoad_act!P19*1000)</f>
        <v>189.46486455866125</v>
      </c>
      <c r="Q97" s="29">
        <f>IF(TrRoad_act!Q19=0,0,Q33/TrRoad_act!Q19*1000)</f>
        <v>185.97322692940358</v>
      </c>
      <c r="R97" s="29">
        <f>IF(TrRoad_act!R19=0,0,R33/TrRoad_act!R19*1000)</f>
        <v>186.9641514773943</v>
      </c>
      <c r="S97" s="29">
        <f>IF(TrRoad_act!S19=0,0,S33/TrRoad_act!S19*1000)</f>
        <v>182.56789831531887</v>
      </c>
      <c r="T97" s="29">
        <f>IF(TrRoad_act!T19=0,0,T33/TrRoad_act!T19*1000)</f>
        <v>189.65124222990846</v>
      </c>
      <c r="U97" s="29">
        <f>IF(TrRoad_act!U19=0,0,U33/TrRoad_act!U19*1000)</f>
        <v>195.21927773043899</v>
      </c>
      <c r="V97" s="29">
        <f>IF(TrRoad_act!V19=0,0,V33/TrRoad_act!V19*1000)</f>
        <v>177.52452372222217</v>
      </c>
      <c r="W97" s="29">
        <f>IF(TrRoad_act!W19=0,0,W33/TrRoad_act!W19*1000)</f>
        <v>177.18674300450158</v>
      </c>
      <c r="DA97" s="173" t="s">
        <v>444</v>
      </c>
    </row>
    <row r="98" spans="1:105" ht="11.45" customHeight="1" x14ac:dyDescent="0.25">
      <c r="A98" s="136" t="s">
        <v>156</v>
      </c>
      <c r="B98" s="152">
        <f>IF(TrRoad_act!B20=0,0,B34/TrRoad_act!B20*1000)</f>
        <v>4959.3019353882555</v>
      </c>
      <c r="C98" s="152">
        <f>IF(TrRoad_act!C20=0,0,C34/TrRoad_act!C20*1000)</f>
        <v>4811.8411888816745</v>
      </c>
      <c r="D98" s="152">
        <f>IF(TrRoad_act!D20=0,0,D34/TrRoad_act!D20*1000)</f>
        <v>4780.0959491903686</v>
      </c>
      <c r="E98" s="152">
        <f>IF(TrRoad_act!E20=0,0,E34/TrRoad_act!E20*1000)</f>
        <v>4700.9441675074622</v>
      </c>
      <c r="F98" s="152">
        <f>IF(TrRoad_act!F20=0,0,F34/TrRoad_act!F20*1000)</f>
        <v>4613.4460598924934</v>
      </c>
      <c r="G98" s="152">
        <f>IF(TrRoad_act!G20=0,0,G34/TrRoad_act!G20*1000)</f>
        <v>4519.8703959894892</v>
      </c>
      <c r="H98" s="152">
        <f>IF(TrRoad_act!H20=0,0,H34/TrRoad_act!H20*1000)</f>
        <v>4339.82147979207</v>
      </c>
      <c r="I98" s="152">
        <f>IF(TrRoad_act!I20=0,0,I34/TrRoad_act!I20*1000)</f>
        <v>4268.3311603553839</v>
      </c>
      <c r="J98" s="152">
        <f>IF(TrRoad_act!J20=0,0,J34/TrRoad_act!J20*1000)</f>
        <v>4168.0507398709351</v>
      </c>
      <c r="K98" s="152">
        <f>IF(TrRoad_act!K20=0,0,K34/TrRoad_act!K20*1000)</f>
        <v>4047.0166887485634</v>
      </c>
      <c r="L98" s="152">
        <f>IF(TrRoad_act!L20=0,0,L34/TrRoad_act!L20*1000)</f>
        <v>4043.9475012493594</v>
      </c>
      <c r="M98" s="152">
        <f>IF(TrRoad_act!M20=0,0,M34/TrRoad_act!M20*1000)</f>
        <v>4008.8150442818555</v>
      </c>
      <c r="N98" s="152">
        <f>IF(TrRoad_act!N20=0,0,N34/TrRoad_act!N20*1000)</f>
        <v>3954.1561833058963</v>
      </c>
      <c r="O98" s="152">
        <f>IF(TrRoad_act!O20=0,0,O34/TrRoad_act!O20*1000)</f>
        <v>3936.2769318194069</v>
      </c>
      <c r="P98" s="152">
        <f>IF(TrRoad_act!P20=0,0,P34/TrRoad_act!P20*1000)</f>
        <v>3869.6751304339564</v>
      </c>
      <c r="Q98" s="152">
        <f>IF(TrRoad_act!Q20=0,0,Q34/TrRoad_act!Q20*1000)</f>
        <v>3822.5007727762086</v>
      </c>
      <c r="R98" s="152">
        <f>IF(TrRoad_act!R20=0,0,R34/TrRoad_act!R20*1000)</f>
        <v>3866.3522345093024</v>
      </c>
      <c r="S98" s="152">
        <f>IF(TrRoad_act!S20=0,0,S34/TrRoad_act!S20*1000)</f>
        <v>3849.2487014468702</v>
      </c>
      <c r="T98" s="152">
        <f>IF(TrRoad_act!T20=0,0,T34/TrRoad_act!T20*1000)</f>
        <v>3798.7931167266265</v>
      </c>
      <c r="U98" s="152">
        <f>IF(TrRoad_act!U20=0,0,U34/TrRoad_act!U20*1000)</f>
        <v>3789.6568859077315</v>
      </c>
      <c r="V98" s="152">
        <f>IF(TrRoad_act!V20=0,0,V34/TrRoad_act!V20*1000)</f>
        <v>3793.6361525328343</v>
      </c>
      <c r="W98" s="152">
        <f>IF(TrRoad_act!W20=0,0,W34/TrRoad_act!W20*1000)</f>
        <v>3797.7089249353771</v>
      </c>
      <c r="DA98" s="174" t="s">
        <v>445</v>
      </c>
    </row>
    <row r="99" spans="1:105" ht="11.45" customHeight="1" x14ac:dyDescent="0.25">
      <c r="A99" s="111" t="s">
        <v>110</v>
      </c>
      <c r="B99" s="87">
        <f>IF(TrRoad_act!B21=0,0,B35/TrRoad_act!B21*1000)</f>
        <v>6043.4548805542991</v>
      </c>
      <c r="C99" s="87">
        <f>IF(TrRoad_act!C21=0,0,C35/TrRoad_act!C21*1000)</f>
        <v>6028.1231071442517</v>
      </c>
      <c r="D99" s="87">
        <f>IF(TrRoad_act!D21=0,0,D35/TrRoad_act!D21*1000)</f>
        <v>6051.1141603808237</v>
      </c>
      <c r="E99" s="87">
        <f>IF(TrRoad_act!E21=0,0,E35/TrRoad_act!E21*1000)</f>
        <v>6003.6047231514549</v>
      </c>
      <c r="F99" s="87">
        <f>IF(TrRoad_act!F21=0,0,F35/TrRoad_act!F21*1000)</f>
        <v>5943.6601299067997</v>
      </c>
      <c r="G99" s="87">
        <f>IF(TrRoad_act!G21=0,0,G35/TrRoad_act!G21*1000)</f>
        <v>5906.0943039899284</v>
      </c>
      <c r="H99" s="87">
        <f>IF(TrRoad_act!H21=0,0,H35/TrRoad_act!H21*1000)</f>
        <v>5866.1454268697216</v>
      </c>
      <c r="I99" s="87">
        <f>IF(TrRoad_act!I21=0,0,I35/TrRoad_act!I21*1000)</f>
        <v>5754.1097880166162</v>
      </c>
      <c r="J99" s="87">
        <f>IF(TrRoad_act!J21=0,0,J35/TrRoad_act!J21*1000)</f>
        <v>5485.8713408772246</v>
      </c>
      <c r="K99" s="87">
        <f>IF(TrRoad_act!K21=0,0,K35/TrRoad_act!K21*1000)</f>
        <v>5261.5116424767657</v>
      </c>
      <c r="L99" s="87">
        <f>IF(TrRoad_act!L21=0,0,L35/TrRoad_act!L21*1000)</f>
        <v>5157.8143473337968</v>
      </c>
      <c r="M99" s="87">
        <f>IF(TrRoad_act!M21=0,0,M35/TrRoad_act!M21*1000)</f>
        <v>5091.0161433969124</v>
      </c>
      <c r="N99" s="87">
        <f>IF(TrRoad_act!N21=0,0,N35/TrRoad_act!N21*1000)</f>
        <v>4953.8719417651064</v>
      </c>
      <c r="O99" s="87">
        <f>IF(TrRoad_act!O21=0,0,O35/TrRoad_act!O21*1000)</f>
        <v>4800.0568475757755</v>
      </c>
      <c r="P99" s="87">
        <f>IF(TrRoad_act!P21=0,0,P35/TrRoad_act!P21*1000)</f>
        <v>4706.9823963797908</v>
      </c>
      <c r="Q99" s="87">
        <f>IF(TrRoad_act!Q21=0,0,Q35/TrRoad_act!Q21*1000)</f>
        <v>4634.859597141236</v>
      </c>
      <c r="R99" s="87">
        <f>IF(TrRoad_act!R21=0,0,R35/TrRoad_act!R21*1000)</f>
        <v>4525.7831672695438</v>
      </c>
      <c r="S99" s="87">
        <f>IF(TrRoad_act!S21=0,0,S35/TrRoad_act!S21*1000)</f>
        <v>4424.4868250106047</v>
      </c>
      <c r="T99" s="87">
        <f>IF(TrRoad_act!T21=0,0,T35/TrRoad_act!T21*1000)</f>
        <v>4309.3717556958673</v>
      </c>
      <c r="U99" s="87">
        <f>IF(TrRoad_act!U21=0,0,U35/TrRoad_act!U21*1000)</f>
        <v>4233.0888936678375</v>
      </c>
      <c r="V99" s="87">
        <f>IF(TrRoad_act!V21=0,0,V35/TrRoad_act!V21*1000)</f>
        <v>4168.1114830399338</v>
      </c>
      <c r="W99" s="87">
        <f>IF(TrRoad_act!W21=0,0,W35/TrRoad_act!W21*1000)</f>
        <v>4151.2824974529158</v>
      </c>
      <c r="DA99" s="171" t="s">
        <v>805</v>
      </c>
    </row>
    <row r="100" spans="1:105" ht="11.45" customHeight="1" x14ac:dyDescent="0.25">
      <c r="A100" s="111" t="s">
        <v>111</v>
      </c>
      <c r="B100" s="87">
        <f>IF(TrRoad_act!B22=0,0,B36/TrRoad_act!B22*1000)</f>
        <v>4815.1166332554976</v>
      </c>
      <c r="C100" s="87">
        <f>IF(TrRoad_act!C22=0,0,C36/TrRoad_act!C22*1000)</f>
        <v>4673.4215123884351</v>
      </c>
      <c r="D100" s="87">
        <f>IF(TrRoad_act!D22=0,0,D36/TrRoad_act!D22*1000)</f>
        <v>4688.0266522507227</v>
      </c>
      <c r="E100" s="87">
        <f>IF(TrRoad_act!E22=0,0,E36/TrRoad_act!E22*1000)</f>
        <v>4620.6921006845596</v>
      </c>
      <c r="F100" s="87">
        <f>IF(TrRoad_act!F22=0,0,F36/TrRoad_act!F22*1000)</f>
        <v>4542.509308543019</v>
      </c>
      <c r="G100" s="87">
        <f>IF(TrRoad_act!G22=0,0,G36/TrRoad_act!G22*1000)</f>
        <v>4453.0490474115968</v>
      </c>
      <c r="H100" s="87">
        <f>IF(TrRoad_act!H22=0,0,H36/TrRoad_act!H22*1000)</f>
        <v>4271.7045355697028</v>
      </c>
      <c r="I100" s="87">
        <f>IF(TrRoad_act!I22=0,0,I36/TrRoad_act!I22*1000)</f>
        <v>4205.6311682443002</v>
      </c>
      <c r="J100" s="87">
        <f>IF(TrRoad_act!J22=0,0,J36/TrRoad_act!J22*1000)</f>
        <v>4114.6563858117715</v>
      </c>
      <c r="K100" s="87">
        <f>IF(TrRoad_act!K22=0,0,K36/TrRoad_act!K22*1000)</f>
        <v>3998.4781807113745</v>
      </c>
      <c r="L100" s="87">
        <f>IF(TrRoad_act!L22=0,0,L36/TrRoad_act!L22*1000)</f>
        <v>4000.6148844670183</v>
      </c>
      <c r="M100" s="87">
        <f>IF(TrRoad_act!M22=0,0,M36/TrRoad_act!M22*1000)</f>
        <v>3966.5085287878487</v>
      </c>
      <c r="N100" s="87">
        <f>IF(TrRoad_act!N22=0,0,N36/TrRoad_act!N22*1000)</f>
        <v>3916.6217115825225</v>
      </c>
      <c r="O100" s="87">
        <f>IF(TrRoad_act!O22=0,0,O36/TrRoad_act!O22*1000)</f>
        <v>3905.7638238043023</v>
      </c>
      <c r="P100" s="87">
        <f>IF(TrRoad_act!P22=0,0,P36/TrRoad_act!P22*1000)</f>
        <v>3841.5467402163658</v>
      </c>
      <c r="Q100" s="87">
        <f>IF(TrRoad_act!Q22=0,0,Q36/TrRoad_act!Q22*1000)</f>
        <v>3796.5686390224892</v>
      </c>
      <c r="R100" s="87">
        <f>IF(TrRoad_act!R22=0,0,R36/TrRoad_act!R22*1000)</f>
        <v>3849.2639689646453</v>
      </c>
      <c r="S100" s="87">
        <f>IF(TrRoad_act!S22=0,0,S36/TrRoad_act!S22*1000)</f>
        <v>3836.800221677604</v>
      </c>
      <c r="T100" s="87">
        <f>IF(TrRoad_act!T22=0,0,T36/TrRoad_act!T22*1000)</f>
        <v>3790.8921958140781</v>
      </c>
      <c r="U100" s="87">
        <f>IF(TrRoad_act!U22=0,0,U36/TrRoad_act!U22*1000)</f>
        <v>3787.3183300019277</v>
      </c>
      <c r="V100" s="87">
        <f>IF(TrRoad_act!V22=0,0,V36/TrRoad_act!V22*1000)</f>
        <v>3798.5492924172777</v>
      </c>
      <c r="W100" s="87">
        <f>IF(TrRoad_act!W22=0,0,W36/TrRoad_act!W22*1000)</f>
        <v>3816.6713540739624</v>
      </c>
      <c r="DA100" s="171" t="s">
        <v>806</v>
      </c>
    </row>
    <row r="101" spans="1:105" ht="11.45" customHeight="1" x14ac:dyDescent="0.25">
      <c r="A101" s="111" t="s">
        <v>112</v>
      </c>
      <c r="B101" s="87">
        <f>IF(TrRoad_act!B23=0,0,B37/TrRoad_act!B23*1000)</f>
        <v>0</v>
      </c>
      <c r="C101" s="87">
        <f>IF(TrRoad_act!C23=0,0,C37/TrRoad_act!C23*1000)</f>
        <v>0</v>
      </c>
      <c r="D101" s="87">
        <f>IF(TrRoad_act!D23=0,0,D37/TrRoad_act!D23*1000)</f>
        <v>0</v>
      </c>
      <c r="E101" s="87">
        <f>IF(TrRoad_act!E23=0,0,E37/TrRoad_act!E23*1000)</f>
        <v>10473.188161828337</v>
      </c>
      <c r="F101" s="87">
        <f>IF(TrRoad_act!F23=0,0,F37/TrRoad_act!F23*1000)</f>
        <v>10380.845633074116</v>
      </c>
      <c r="G101" s="87">
        <f>IF(TrRoad_act!G23=0,0,G37/TrRoad_act!G23*1000)</f>
        <v>10514.39797094994</v>
      </c>
      <c r="H101" s="87">
        <f>IF(TrRoad_act!H23=0,0,H37/TrRoad_act!H23*1000)</f>
        <v>10558.101527520468</v>
      </c>
      <c r="I101" s="87">
        <f>IF(TrRoad_act!I23=0,0,I37/TrRoad_act!I23*1000)</f>
        <v>10569.912963009427</v>
      </c>
      <c r="J101" s="87">
        <f>IF(TrRoad_act!J23=0,0,J37/TrRoad_act!J23*1000)</f>
        <v>10472.7413642877</v>
      </c>
      <c r="K101" s="87">
        <f>IF(TrRoad_act!K23=0,0,K37/TrRoad_act!K23*1000)</f>
        <v>10388.713351371218</v>
      </c>
      <c r="L101" s="87">
        <f>IF(TrRoad_act!L23=0,0,L37/TrRoad_act!L23*1000)</f>
        <v>10330.96237583748</v>
      </c>
      <c r="M101" s="87">
        <f>IF(TrRoad_act!M23=0,0,M37/TrRoad_act!M23*1000)</f>
        <v>10291.757960772704</v>
      </c>
      <c r="N101" s="87">
        <f>IF(TrRoad_act!N23=0,0,N37/TrRoad_act!N23*1000)</f>
        <v>10134.11975744361</v>
      </c>
      <c r="O101" s="87">
        <f>IF(TrRoad_act!O23=0,0,O37/TrRoad_act!O23*1000)</f>
        <v>10055.357151178972</v>
      </c>
      <c r="P101" s="87">
        <f>IF(TrRoad_act!P23=0,0,P37/TrRoad_act!P23*1000)</f>
        <v>9852.8334230565288</v>
      </c>
      <c r="Q101" s="87">
        <f>IF(TrRoad_act!Q23=0,0,Q37/TrRoad_act!Q23*1000)</f>
        <v>9787.3699249280617</v>
      </c>
      <c r="R101" s="87">
        <f>IF(TrRoad_act!R23=0,0,R37/TrRoad_act!R23*1000)</f>
        <v>10448.895885981208</v>
      </c>
      <c r="S101" s="87">
        <f>IF(TrRoad_act!S23=0,0,S37/TrRoad_act!S23*1000)</f>
        <v>10274.834386913646</v>
      </c>
      <c r="T101" s="87">
        <f>IF(TrRoad_act!T23=0,0,T37/TrRoad_act!T23*1000)</f>
        <v>10145.88980866101</v>
      </c>
      <c r="U101" s="87">
        <f>IF(TrRoad_act!U23=0,0,U37/TrRoad_act!U23*1000)</f>
        <v>10005.181861306744</v>
      </c>
      <c r="V101" s="87">
        <f>IF(TrRoad_act!V23=0,0,V37/TrRoad_act!V23*1000)</f>
        <v>9629.5071671274163</v>
      </c>
      <c r="W101" s="87">
        <f>IF(TrRoad_act!W23=0,0,W37/TrRoad_act!W23*1000)</f>
        <v>9166.8011131844796</v>
      </c>
      <c r="DA101" s="171" t="s">
        <v>807</v>
      </c>
    </row>
    <row r="102" spans="1:105" ht="11.45" customHeight="1" x14ac:dyDescent="0.25">
      <c r="A102" s="111" t="s">
        <v>113</v>
      </c>
      <c r="B102" s="87">
        <f>IF(TrRoad_act!B24=0,0,B38/TrRoad_act!B24*1000)</f>
        <v>0</v>
      </c>
      <c r="C102" s="87">
        <f>IF(TrRoad_act!C24=0,0,C38/TrRoad_act!C24*1000)</f>
        <v>0</v>
      </c>
      <c r="D102" s="87">
        <f>IF(TrRoad_act!D24=0,0,D38/TrRoad_act!D24*1000)</f>
        <v>0</v>
      </c>
      <c r="E102" s="87">
        <f>IF(TrRoad_act!E24=0,0,E38/TrRoad_act!E24*1000)</f>
        <v>0</v>
      </c>
      <c r="F102" s="87">
        <f>IF(TrRoad_act!F24=0,0,F38/TrRoad_act!F24*1000)</f>
        <v>0</v>
      </c>
      <c r="G102" s="87">
        <f>IF(TrRoad_act!G24=0,0,G38/TrRoad_act!G24*1000)</f>
        <v>0</v>
      </c>
      <c r="H102" s="87">
        <f>IF(TrRoad_act!H24=0,0,H38/TrRoad_act!H24*1000)</f>
        <v>5287.8864901535244</v>
      </c>
      <c r="I102" s="87">
        <f>IF(TrRoad_act!I24=0,0,I38/TrRoad_act!I24*1000)</f>
        <v>5290.1455339405557</v>
      </c>
      <c r="J102" s="87">
        <f>IF(TrRoad_act!J24=0,0,J38/TrRoad_act!J24*1000)</f>
        <v>5108.6661578001131</v>
      </c>
      <c r="K102" s="87">
        <f>IF(TrRoad_act!K24=0,0,K38/TrRoad_act!K24*1000)</f>
        <v>4964.3384415661858</v>
      </c>
      <c r="L102" s="87">
        <f>IF(TrRoad_act!L24=0,0,L38/TrRoad_act!L24*1000)</f>
        <v>4749.2370055703277</v>
      </c>
      <c r="M102" s="87">
        <f>IF(TrRoad_act!M24=0,0,M38/TrRoad_act!M24*1000)</f>
        <v>4633.952559490911</v>
      </c>
      <c r="N102" s="87">
        <f>IF(TrRoad_act!N24=0,0,N38/TrRoad_act!N24*1000)</f>
        <v>4567.1807260624028</v>
      </c>
      <c r="O102" s="87">
        <f>IF(TrRoad_act!O24=0,0,O38/TrRoad_act!O24*1000)</f>
        <v>4647.9421759298593</v>
      </c>
      <c r="P102" s="87">
        <f>IF(TrRoad_act!P24=0,0,P38/TrRoad_act!P24*1000)</f>
        <v>4429.6655071728928</v>
      </c>
      <c r="Q102" s="87">
        <f>IF(TrRoad_act!Q24=0,0,Q38/TrRoad_act!Q24*1000)</f>
        <v>4358.5325570581754</v>
      </c>
      <c r="R102" s="87">
        <f>IF(TrRoad_act!R24=0,0,R38/TrRoad_act!R24*1000)</f>
        <v>3991.6133642999762</v>
      </c>
      <c r="S102" s="87">
        <f>IF(TrRoad_act!S24=0,0,S38/TrRoad_act!S24*1000)</f>
        <v>3943.0656939454025</v>
      </c>
      <c r="T102" s="87">
        <f>IF(TrRoad_act!T24=0,0,T38/TrRoad_act!T24*1000)</f>
        <v>3857.1644318190042</v>
      </c>
      <c r="U102" s="87">
        <f>IF(TrRoad_act!U24=0,0,U38/TrRoad_act!U24*1000)</f>
        <v>3820.6382342213797</v>
      </c>
      <c r="V102" s="87">
        <f>IF(TrRoad_act!V24=0,0,V38/TrRoad_act!V24*1000)</f>
        <v>3749.6672428583388</v>
      </c>
      <c r="W102" s="87">
        <f>IF(TrRoad_act!W24=0,0,W38/TrRoad_act!W24*1000)</f>
        <v>3715.9403861768078</v>
      </c>
      <c r="DA102" s="171" t="s">
        <v>808</v>
      </c>
    </row>
    <row r="103" spans="1:105" ht="11.45" customHeight="1" x14ac:dyDescent="0.25">
      <c r="A103" s="111" t="s">
        <v>115</v>
      </c>
      <c r="B103" s="87">
        <f>IF(TrRoad_act!B25=0,0,B39/TrRoad_act!B25*1000)</f>
        <v>0</v>
      </c>
      <c r="C103" s="87">
        <f>IF(TrRoad_act!C25=0,0,C39/TrRoad_act!C25*1000)</f>
        <v>0</v>
      </c>
      <c r="D103" s="87">
        <f>IF(TrRoad_act!D25=0,0,D39/TrRoad_act!D25*1000)</f>
        <v>0</v>
      </c>
      <c r="E103" s="87">
        <f>IF(TrRoad_act!E25=0,0,E39/TrRoad_act!E25*1000)</f>
        <v>0</v>
      </c>
      <c r="F103" s="87">
        <f>IF(TrRoad_act!F25=0,0,F39/TrRoad_act!F25*1000)</f>
        <v>0</v>
      </c>
      <c r="G103" s="87">
        <f>IF(TrRoad_act!G25=0,0,G39/TrRoad_act!G25*1000)</f>
        <v>0</v>
      </c>
      <c r="H103" s="87">
        <f>IF(TrRoad_act!H25=0,0,H39/TrRoad_act!H25*1000)</f>
        <v>0</v>
      </c>
      <c r="I103" s="87">
        <f>IF(TrRoad_act!I25=0,0,I39/TrRoad_act!I25*1000)</f>
        <v>0</v>
      </c>
      <c r="J103" s="87">
        <f>IF(TrRoad_act!J25=0,0,J39/TrRoad_act!J25*1000)</f>
        <v>0</v>
      </c>
      <c r="K103" s="87">
        <f>IF(TrRoad_act!K25=0,0,K39/TrRoad_act!K25*1000)</f>
        <v>0</v>
      </c>
      <c r="L103" s="87">
        <f>IF(TrRoad_act!L25=0,0,L39/TrRoad_act!L25*1000)</f>
        <v>0</v>
      </c>
      <c r="M103" s="87">
        <f>IF(TrRoad_act!M25=0,0,M39/TrRoad_act!M25*1000)</f>
        <v>0</v>
      </c>
      <c r="N103" s="87">
        <f>IF(TrRoad_act!N25=0,0,N39/TrRoad_act!N25*1000)</f>
        <v>0</v>
      </c>
      <c r="O103" s="87">
        <f>IF(TrRoad_act!O25=0,0,O39/TrRoad_act!O25*1000)</f>
        <v>0</v>
      </c>
      <c r="P103" s="87">
        <f>IF(TrRoad_act!P25=0,0,P39/TrRoad_act!P25*1000)</f>
        <v>0</v>
      </c>
      <c r="Q103" s="87">
        <f>IF(TrRoad_act!Q25=0,0,Q39/TrRoad_act!Q25*1000)</f>
        <v>0</v>
      </c>
      <c r="R103" s="87">
        <f>IF(TrRoad_act!R25=0,0,R39/TrRoad_act!R25*1000)</f>
        <v>0</v>
      </c>
      <c r="S103" s="87">
        <f>IF(TrRoad_act!S25=0,0,S39/TrRoad_act!S25*1000)</f>
        <v>0</v>
      </c>
      <c r="T103" s="87">
        <f>IF(TrRoad_act!T25=0,0,T39/TrRoad_act!T25*1000)</f>
        <v>0</v>
      </c>
      <c r="U103" s="87">
        <f>IF(TrRoad_act!U25=0,0,U39/TrRoad_act!U25*1000)</f>
        <v>0</v>
      </c>
      <c r="V103" s="87">
        <f>IF(TrRoad_act!V25=0,0,V39/TrRoad_act!V25*1000)</f>
        <v>0</v>
      </c>
      <c r="W103" s="87">
        <f>IF(TrRoad_act!W25=0,0,W39/TrRoad_act!W25*1000)</f>
        <v>0</v>
      </c>
      <c r="DA103" s="171" t="s">
        <v>809</v>
      </c>
    </row>
    <row r="104" spans="1:105" ht="11.45" customHeight="1" x14ac:dyDescent="0.25">
      <c r="A104" s="109" t="s">
        <v>158</v>
      </c>
      <c r="B104" s="116">
        <f>IF(TrRoad_act!B26=0,0,B40/TrRoad_act!B26*1000)</f>
        <v>166.24350492238008</v>
      </c>
      <c r="C104" s="116">
        <f>IF(TrRoad_act!C26=0,0,C40/TrRoad_act!C26*1000)</f>
        <v>187.36323781123173</v>
      </c>
      <c r="D104" s="116">
        <f>IF(TrRoad_act!D26=0,0,D40/TrRoad_act!D26*1000)</f>
        <v>203.58724107998378</v>
      </c>
      <c r="E104" s="116">
        <f>IF(TrRoad_act!E26=0,0,E40/TrRoad_act!E26*1000)</f>
        <v>218.05633647550971</v>
      </c>
      <c r="F104" s="116">
        <f>IF(TrRoad_act!F26=0,0,F40/TrRoad_act!F26*1000)</f>
        <v>205.57525527329906</v>
      </c>
      <c r="G104" s="116">
        <f>IF(TrRoad_act!G26=0,0,G40/TrRoad_act!G26*1000)</f>
        <v>210.01968664426624</v>
      </c>
      <c r="H104" s="116">
        <f>IF(TrRoad_act!H26=0,0,H40/TrRoad_act!H26*1000)</f>
        <v>172.9245852022668</v>
      </c>
      <c r="I104" s="116">
        <f>IF(TrRoad_act!I26=0,0,I40/TrRoad_act!I26*1000)</f>
        <v>157.73504416373117</v>
      </c>
      <c r="J104" s="116">
        <f>IF(TrRoad_act!J26=0,0,J40/TrRoad_act!J26*1000)</f>
        <v>142.59860558356107</v>
      </c>
      <c r="K104" s="116">
        <f>IF(TrRoad_act!K26=0,0,K40/TrRoad_act!K26*1000)</f>
        <v>151.87989681718477</v>
      </c>
      <c r="L104" s="116">
        <f>IF(TrRoad_act!L26=0,0,L40/TrRoad_act!L26*1000)</f>
        <v>158.27596728349795</v>
      </c>
      <c r="M104" s="116">
        <f>IF(TrRoad_act!M26=0,0,M40/TrRoad_act!M26*1000)</f>
        <v>139.22730936884363</v>
      </c>
      <c r="N104" s="116">
        <f>IF(TrRoad_act!N26=0,0,N40/TrRoad_act!N26*1000)</f>
        <v>146.31968231149438</v>
      </c>
      <c r="O104" s="116">
        <f>IF(TrRoad_act!O26=0,0,O40/TrRoad_act!O26*1000)</f>
        <v>170.19206312969092</v>
      </c>
      <c r="P104" s="116">
        <f>IF(TrRoad_act!P26=0,0,P40/TrRoad_act!P26*1000)</f>
        <v>155.1844927932971</v>
      </c>
      <c r="Q104" s="116">
        <f>IF(TrRoad_act!Q26=0,0,Q40/TrRoad_act!Q26*1000)</f>
        <v>152.4635313836533</v>
      </c>
      <c r="R104" s="116">
        <f>IF(TrRoad_act!R26=0,0,R40/TrRoad_act!R26*1000)</f>
        <v>153.47375401998377</v>
      </c>
      <c r="S104" s="116">
        <f>IF(TrRoad_act!S26=0,0,S40/TrRoad_act!S26*1000)</f>
        <v>150.47620918743246</v>
      </c>
      <c r="T104" s="116">
        <f>IF(TrRoad_act!T26=0,0,T40/TrRoad_act!T26*1000)</f>
        <v>157.47871815192184</v>
      </c>
      <c r="U104" s="116">
        <f>IF(TrRoad_act!U26=0,0,U40/TrRoad_act!U26*1000)</f>
        <v>162.71401891260984</v>
      </c>
      <c r="V104" s="116">
        <f>IF(TrRoad_act!V26=0,0,V40/TrRoad_act!V26*1000)</f>
        <v>144.26500848541571</v>
      </c>
      <c r="W104" s="116">
        <f>IF(TrRoad_act!W26=0,0,W40/TrRoad_act!W26*1000)</f>
        <v>143.88847377552059</v>
      </c>
      <c r="DA104" s="176" t="s">
        <v>446</v>
      </c>
    </row>
    <row r="105" spans="1:105" ht="11.45" customHeight="1" x14ac:dyDescent="0.25">
      <c r="A105" s="128" t="s">
        <v>27</v>
      </c>
      <c r="B105" s="101">
        <f>IF(TrRoad_act!B27=0,0,B41/TrRoad_act!B27*1000)</f>
        <v>147.70590028188079</v>
      </c>
      <c r="C105" s="101">
        <f>IF(TrRoad_act!C27=0,0,C41/TrRoad_act!C27*1000)</f>
        <v>152.59039133308818</v>
      </c>
      <c r="D105" s="101">
        <f>IF(TrRoad_act!D27=0,0,D41/TrRoad_act!D27*1000)</f>
        <v>154.08272028663814</v>
      </c>
      <c r="E105" s="101">
        <f>IF(TrRoad_act!E27=0,0,E41/TrRoad_act!E27*1000)</f>
        <v>156.84500832194834</v>
      </c>
      <c r="F105" s="101">
        <f>IF(TrRoad_act!F27=0,0,F41/TrRoad_act!F27*1000)</f>
        <v>154.81882238307537</v>
      </c>
      <c r="G105" s="101">
        <f>IF(TrRoad_act!G27=0,0,G41/TrRoad_act!G27*1000)</f>
        <v>152.30720264602206</v>
      </c>
      <c r="H105" s="101">
        <f>IF(TrRoad_act!H27=0,0,H41/TrRoad_act!H27*1000)</f>
        <v>140.22835539596528</v>
      </c>
      <c r="I105" s="101">
        <f>IF(TrRoad_act!I27=0,0,I41/TrRoad_act!I27*1000)</f>
        <v>135.10681555463913</v>
      </c>
      <c r="J105" s="101">
        <f>IF(TrRoad_act!J27=0,0,J41/TrRoad_act!J27*1000)</f>
        <v>130.96452122714672</v>
      </c>
      <c r="K105" s="101">
        <f>IF(TrRoad_act!K27=0,0,K41/TrRoad_act!K27*1000)</f>
        <v>132.15800507301</v>
      </c>
      <c r="L105" s="101">
        <f>IF(TrRoad_act!L27=0,0,L41/TrRoad_act!L27*1000)</f>
        <v>130.39885372567471</v>
      </c>
      <c r="M105" s="101">
        <f>IF(TrRoad_act!M27=0,0,M41/TrRoad_act!M27*1000)</f>
        <v>124.04298702948749</v>
      </c>
      <c r="N105" s="101">
        <f>IF(TrRoad_act!N27=0,0,N41/TrRoad_act!N27*1000)</f>
        <v>125.94917181167101</v>
      </c>
      <c r="O105" s="101">
        <f>IF(TrRoad_act!O27=0,0,O41/TrRoad_act!O27*1000)</f>
        <v>133.57106885112174</v>
      </c>
      <c r="P105" s="101">
        <f>IF(TrRoad_act!P27=0,0,P41/TrRoad_act!P27*1000)</f>
        <v>125.33738470294919</v>
      </c>
      <c r="Q105" s="101">
        <f>IF(TrRoad_act!Q27=0,0,Q41/TrRoad_act!Q27*1000)</f>
        <v>124.73968398479754</v>
      </c>
      <c r="R105" s="101">
        <f>IF(TrRoad_act!R27=0,0,R41/TrRoad_act!R27*1000)</f>
        <v>124.19969657719189</v>
      </c>
      <c r="S105" s="101">
        <f>IF(TrRoad_act!S27=0,0,S41/TrRoad_act!S27*1000)</f>
        <v>124.85181018988304</v>
      </c>
      <c r="T105" s="101">
        <f>IF(TrRoad_act!T27=0,0,T41/TrRoad_act!T27*1000)</f>
        <v>126.45718713341985</v>
      </c>
      <c r="U105" s="101">
        <f>IF(TrRoad_act!U27=0,0,U41/TrRoad_act!U27*1000)</f>
        <v>126.1004381152713</v>
      </c>
      <c r="V105" s="101">
        <f>IF(TrRoad_act!V27=0,0,V41/TrRoad_act!V27*1000)</f>
        <v>118.24508137802371</v>
      </c>
      <c r="W105" s="101">
        <f>IF(TrRoad_act!W27=0,0,W41/TrRoad_act!W27*1000)</f>
        <v>117.67387909649334</v>
      </c>
      <c r="DA105" s="175" t="s">
        <v>810</v>
      </c>
    </row>
    <row r="106" spans="1:105" ht="11.45" customHeight="1" x14ac:dyDescent="0.25">
      <c r="A106" s="138" t="s">
        <v>116</v>
      </c>
      <c r="B106" s="88">
        <f>IF(TrRoad_act!B28=0,0,B42/TrRoad_act!B28*1000)</f>
        <v>182.26197811763564</v>
      </c>
      <c r="C106" s="88">
        <f>IF(TrRoad_act!C28=0,0,C42/TrRoad_act!C28*1000)</f>
        <v>215.56062866483995</v>
      </c>
      <c r="D106" s="88">
        <f>IF(TrRoad_act!D28=0,0,D42/TrRoad_act!D28*1000)</f>
        <v>242.1316788725243</v>
      </c>
      <c r="E106" s="88">
        <f>IF(TrRoad_act!E28=0,0,E42/TrRoad_act!E28*1000)</f>
        <v>266.34218221183306</v>
      </c>
      <c r="F106" s="88">
        <f>IF(TrRoad_act!F28=0,0,F42/TrRoad_act!F28*1000)</f>
        <v>238.32368479517535</v>
      </c>
      <c r="G106" s="88">
        <f>IF(TrRoad_act!G28=0,0,G42/TrRoad_act!G28*1000)</f>
        <v>246.37143500574331</v>
      </c>
      <c r="H106" s="88">
        <f>IF(TrRoad_act!H28=0,0,H42/TrRoad_act!H28*1000)</f>
        <v>195.39872140307159</v>
      </c>
      <c r="I106" s="88">
        <f>IF(TrRoad_act!I28=0,0,I42/TrRoad_act!I28*1000)</f>
        <v>171.75100254840663</v>
      </c>
      <c r="J106" s="88">
        <f>IF(TrRoad_act!J28=0,0,J42/TrRoad_act!J28*1000)</f>
        <v>148.99273688825593</v>
      </c>
      <c r="K106" s="88">
        <f>IF(TrRoad_act!K28=0,0,K42/TrRoad_act!K28*1000)</f>
        <v>163.84447152640573</v>
      </c>
      <c r="L106" s="88">
        <f>IF(TrRoad_act!L28=0,0,L42/TrRoad_act!L28*1000)</f>
        <v>174.47319828737687</v>
      </c>
      <c r="M106" s="88">
        <f>IF(TrRoad_act!M28=0,0,M42/TrRoad_act!M28*1000)</f>
        <v>148.16083414283577</v>
      </c>
      <c r="N106" s="88">
        <f>IF(TrRoad_act!N28=0,0,N42/TrRoad_act!N28*1000)</f>
        <v>158.35183950684737</v>
      </c>
      <c r="O106" s="88">
        <f>IF(TrRoad_act!O28=0,0,O42/TrRoad_act!O28*1000)</f>
        <v>190.72164077426314</v>
      </c>
      <c r="P106" s="88">
        <f>IF(TrRoad_act!P28=0,0,P42/TrRoad_act!P28*1000)</f>
        <v>172.78764945288987</v>
      </c>
      <c r="Q106" s="88">
        <f>IF(TrRoad_act!Q28=0,0,Q42/TrRoad_act!Q28*1000)</f>
        <v>168.99293961206897</v>
      </c>
      <c r="R106" s="88">
        <f>IF(TrRoad_act!R28=0,0,R42/TrRoad_act!R28*1000)</f>
        <v>171.6372197843927</v>
      </c>
      <c r="S106" s="88">
        <f>IF(TrRoad_act!S28=0,0,S42/TrRoad_act!S28*1000)</f>
        <v>165.32343614791978</v>
      </c>
      <c r="T106" s="88">
        <f>IF(TrRoad_act!T28=0,0,T42/TrRoad_act!T28*1000)</f>
        <v>175.35721670878911</v>
      </c>
      <c r="U106" s="88">
        <f>IF(TrRoad_act!U28=0,0,U42/TrRoad_act!U28*1000)</f>
        <v>183.9012054119822</v>
      </c>
      <c r="V106" s="88">
        <f>IF(TrRoad_act!V28=0,0,V42/TrRoad_act!V28*1000)</f>
        <v>159.14833714901829</v>
      </c>
      <c r="W106" s="88">
        <f>IF(TrRoad_act!W28=0,0,W42/TrRoad_act!W28*1000)</f>
        <v>158.7369254002756</v>
      </c>
      <c r="DA106" s="178" t="s">
        <v>811</v>
      </c>
    </row>
    <row r="107" spans="1:105" x14ac:dyDescent="0.25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DA107" s="171"/>
    </row>
    <row r="108" spans="1:105" ht="11.45" customHeight="1" x14ac:dyDescent="0.25">
      <c r="A108" s="53" t="s">
        <v>130</v>
      </c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DA108" s="172"/>
    </row>
    <row r="109" spans="1:105" ht="11.45" customHeight="1" x14ac:dyDescent="0.25">
      <c r="A109" s="27" t="s">
        <v>33</v>
      </c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DA109" s="173"/>
    </row>
    <row r="110" spans="1:105" ht="11.45" customHeight="1" x14ac:dyDescent="0.25">
      <c r="A110" s="136" t="s">
        <v>180</v>
      </c>
      <c r="B110" s="152">
        <f>IF(B19=0,0,1000000*B19/TrRoad_act!B59)</f>
        <v>169.19710349226852</v>
      </c>
      <c r="C110" s="152">
        <f>IF(C19=0,0,1000000*C19/TrRoad_act!C59)</f>
        <v>168.36770510974927</v>
      </c>
      <c r="D110" s="152">
        <f>IF(D19=0,0,1000000*D19/TrRoad_act!D59)</f>
        <v>169.51882779749198</v>
      </c>
      <c r="E110" s="152">
        <f>IF(E19=0,0,1000000*E19/TrRoad_act!E59)</f>
        <v>171.4473372349</v>
      </c>
      <c r="F110" s="152">
        <f>IF(F19=0,0,1000000*F19/TrRoad_act!F59)</f>
        <v>177.81043172061848</v>
      </c>
      <c r="G110" s="152">
        <f>IF(G19=0,0,1000000*G19/TrRoad_act!G59)</f>
        <v>177.66928556249093</v>
      </c>
      <c r="H110" s="152">
        <f>IF(H19=0,0,1000000*H19/TrRoad_act!H59)</f>
        <v>177.70970826086781</v>
      </c>
      <c r="I110" s="152">
        <f>IF(I19=0,0,1000000*I19/TrRoad_act!I59)</f>
        <v>176.75630140886167</v>
      </c>
      <c r="J110" s="152">
        <f>IF(J19=0,0,1000000*J19/TrRoad_act!J59)</f>
        <v>173.90317431729133</v>
      </c>
      <c r="K110" s="152">
        <f>IF(K19=0,0,1000000*K19/TrRoad_act!K59)</f>
        <v>173.03576597473301</v>
      </c>
      <c r="L110" s="152">
        <f>IF(L19=0,0,1000000*L19/TrRoad_act!L59)</f>
        <v>174.11187882501423</v>
      </c>
      <c r="M110" s="152">
        <f>IF(M19=0,0,1000000*M19/TrRoad_act!M59)</f>
        <v>175.49869712794924</v>
      </c>
      <c r="N110" s="152">
        <f>IF(N19=0,0,1000000*N19/TrRoad_act!N59)</f>
        <v>177.66241645424023</v>
      </c>
      <c r="O110" s="152">
        <f>IF(O19=0,0,1000000*O19/TrRoad_act!O59)</f>
        <v>181.10803216620954</v>
      </c>
      <c r="P110" s="152">
        <f>IF(P19=0,0,1000000*P19/TrRoad_act!P59)</f>
        <v>185.2312657386185</v>
      </c>
      <c r="Q110" s="152">
        <f>IF(Q19=0,0,1000000*Q19/TrRoad_act!Q59)</f>
        <v>188.38858717464035</v>
      </c>
      <c r="R110" s="152">
        <f>IF(R19=0,0,1000000*R19/TrRoad_act!R59)</f>
        <v>188.44356818298678</v>
      </c>
      <c r="S110" s="152">
        <f>IF(S19=0,0,1000000*S19/TrRoad_act!S59)</f>
        <v>181.86204364694024</v>
      </c>
      <c r="T110" s="152">
        <f>IF(T19=0,0,1000000*T19/TrRoad_act!T59)</f>
        <v>170.98232959143007</v>
      </c>
      <c r="U110" s="152">
        <f>IF(U19=0,0,1000000*U19/TrRoad_act!U59)</f>
        <v>179.01694304644465</v>
      </c>
      <c r="V110" s="152">
        <f>IF(V19=0,0,1000000*V19/TrRoad_act!V59)</f>
        <v>156.27544160374376</v>
      </c>
      <c r="W110" s="152">
        <f>IF(W19=0,0,1000000*W19/TrRoad_act!W59)</f>
        <v>145.78579191461725</v>
      </c>
      <c r="DA110" s="174" t="s">
        <v>812</v>
      </c>
    </row>
    <row r="111" spans="1:105" ht="11.45" customHeight="1" x14ac:dyDescent="0.25">
      <c r="A111" s="109" t="s">
        <v>20</v>
      </c>
      <c r="B111" s="116">
        <f>IF(B20=0,0,1000000*B20/TrRoad_act!B60)</f>
        <v>2708.8777486983713</v>
      </c>
      <c r="C111" s="116">
        <f>IF(C20=0,0,1000000*C20/TrRoad_act!C60)</f>
        <v>2794.4715274255909</v>
      </c>
      <c r="D111" s="116">
        <f>IF(D20=0,0,1000000*D20/TrRoad_act!D60)</f>
        <v>3269.5005004884433</v>
      </c>
      <c r="E111" s="116">
        <f>IF(E20=0,0,1000000*E20/TrRoad_act!E60)</f>
        <v>3435.1822494011508</v>
      </c>
      <c r="F111" s="116">
        <f>IF(F20=0,0,1000000*F20/TrRoad_act!F60)</f>
        <v>3457.5073805719144</v>
      </c>
      <c r="G111" s="116">
        <f>IF(G20=0,0,1000000*G20/TrRoad_act!G60)</f>
        <v>3507.8686623663802</v>
      </c>
      <c r="H111" s="116">
        <f>IF(H20=0,0,1000000*H20/TrRoad_act!H60)</f>
        <v>3365.4250582554664</v>
      </c>
      <c r="I111" s="116">
        <f>IF(I20=0,0,1000000*I20/TrRoad_act!I60)</f>
        <v>3371.4549265154078</v>
      </c>
      <c r="J111" s="116">
        <f>IF(J20=0,0,1000000*J20/TrRoad_act!J60)</f>
        <v>3171.7214552127352</v>
      </c>
      <c r="K111" s="116">
        <f>IF(K20=0,0,1000000*K20/TrRoad_act!K60)</f>
        <v>3030.4115181138773</v>
      </c>
      <c r="L111" s="116">
        <f>IF(L20=0,0,1000000*L20/TrRoad_act!L60)</f>
        <v>3015.2562070481554</v>
      </c>
      <c r="M111" s="116">
        <f>IF(M20=0,0,1000000*M20/TrRoad_act!M60)</f>
        <v>2870.7977504403511</v>
      </c>
      <c r="N111" s="116">
        <f>IF(N20=0,0,1000000*N20/TrRoad_act!N60)</f>
        <v>2788.6077352051052</v>
      </c>
      <c r="O111" s="116">
        <f>IF(O20=0,0,1000000*O20/TrRoad_act!O60)</f>
        <v>2816.5801594814175</v>
      </c>
      <c r="P111" s="116">
        <f>IF(P20=0,0,1000000*P20/TrRoad_act!P60)</f>
        <v>2782.7115564278147</v>
      </c>
      <c r="Q111" s="116">
        <f>IF(Q20=0,0,1000000*Q20/TrRoad_act!Q60)</f>
        <v>2802.8282619450897</v>
      </c>
      <c r="R111" s="116">
        <f>IF(R20=0,0,1000000*R20/TrRoad_act!R60)</f>
        <v>2837.6899114280905</v>
      </c>
      <c r="S111" s="116">
        <f>IF(S20=0,0,1000000*S20/TrRoad_act!S60)</f>
        <v>2820.9404862941342</v>
      </c>
      <c r="T111" s="116">
        <f>IF(T20=0,0,1000000*T20/TrRoad_act!T60)</f>
        <v>2768.1283027749723</v>
      </c>
      <c r="U111" s="116">
        <f>IF(U20=0,0,1000000*U20/TrRoad_act!U60)</f>
        <v>2666.938548562985</v>
      </c>
      <c r="V111" s="116">
        <f>IF(V20=0,0,1000000*V20/TrRoad_act!V60)</f>
        <v>2233.6821776313632</v>
      </c>
      <c r="W111" s="116">
        <f>IF(W20=0,0,1000000*W20/TrRoad_act!W60)</f>
        <v>2283.3663304682896</v>
      </c>
      <c r="DA111" s="176" t="s">
        <v>813</v>
      </c>
    </row>
    <row r="112" spans="1:105" ht="11.45" customHeight="1" x14ac:dyDescent="0.25">
      <c r="A112" s="111" t="s">
        <v>110</v>
      </c>
      <c r="B112" s="87">
        <f>IF(B21=0,0,1000000*B21/TrRoad_act!B61)</f>
        <v>2137.8557075294793</v>
      </c>
      <c r="C112" s="87">
        <f>IF(C21=0,0,1000000*C21/TrRoad_act!C61)</f>
        <v>2208.6620011870355</v>
      </c>
      <c r="D112" s="87">
        <f>IF(D21=0,0,1000000*D21/TrRoad_act!D61)</f>
        <v>2737.188713368329</v>
      </c>
      <c r="E112" s="87">
        <f>IF(E21=0,0,1000000*E21/TrRoad_act!E61)</f>
        <v>2911.3408935614661</v>
      </c>
      <c r="F112" s="87">
        <f>IF(F21=0,0,1000000*F21/TrRoad_act!F61)</f>
        <v>2973.9469920091251</v>
      </c>
      <c r="G112" s="87">
        <f>IF(G21=0,0,1000000*G21/TrRoad_act!G61)</f>
        <v>2980.4518896678387</v>
      </c>
      <c r="H112" s="87">
        <f>IF(H21=0,0,1000000*H21/TrRoad_act!H61)</f>
        <v>2929.0462801288973</v>
      </c>
      <c r="I112" s="87">
        <f>IF(I21=0,0,1000000*I21/TrRoad_act!I61)</f>
        <v>2885.7116472529656</v>
      </c>
      <c r="J112" s="87">
        <f>IF(J21=0,0,1000000*J21/TrRoad_act!J61)</f>
        <v>2717.0127986684015</v>
      </c>
      <c r="K112" s="87">
        <f>IF(K21=0,0,1000000*K21/TrRoad_act!K61)</f>
        <v>2530.6674782570626</v>
      </c>
      <c r="L112" s="87">
        <f>IF(L21=0,0,1000000*L21/TrRoad_act!L61)</f>
        <v>2495.1692660730737</v>
      </c>
      <c r="M112" s="87">
        <f>IF(M21=0,0,1000000*M21/TrRoad_act!M61)</f>
        <v>2284.1909727934194</v>
      </c>
      <c r="N112" s="87">
        <f>IF(N21=0,0,1000000*N21/TrRoad_act!N61)</f>
        <v>2208.7178706769719</v>
      </c>
      <c r="O112" s="87">
        <f>IF(O21=0,0,1000000*O21/TrRoad_act!O61)</f>
        <v>2162.5334885304928</v>
      </c>
      <c r="P112" s="87">
        <f>IF(P21=0,0,1000000*P21/TrRoad_act!P61)</f>
        <v>2108.4237990036308</v>
      </c>
      <c r="Q112" s="87">
        <f>IF(Q21=0,0,1000000*Q21/TrRoad_act!Q61)</f>
        <v>2116.5953497490877</v>
      </c>
      <c r="R112" s="87">
        <f>IF(R21=0,0,1000000*R21/TrRoad_act!R61)</f>
        <v>2066.2766833010305</v>
      </c>
      <c r="S112" s="87">
        <f>IF(S21=0,0,1000000*S21/TrRoad_act!S61)</f>
        <v>1996.1670948940064</v>
      </c>
      <c r="T112" s="87">
        <f>IF(T21=0,0,1000000*T21/TrRoad_act!T61)</f>
        <v>2013.2284761480234</v>
      </c>
      <c r="U112" s="87">
        <f>IF(U21=0,0,1000000*U21/TrRoad_act!U61)</f>
        <v>1954.2221307424595</v>
      </c>
      <c r="V112" s="87">
        <f>IF(V21=0,0,1000000*V21/TrRoad_act!V61)</f>
        <v>1586.8068820088199</v>
      </c>
      <c r="W112" s="87">
        <f>IF(W21=0,0,1000000*W21/TrRoad_act!W61)</f>
        <v>1658.7475209788452</v>
      </c>
      <c r="DA112" s="171" t="s">
        <v>814</v>
      </c>
    </row>
    <row r="113" spans="1:105" ht="11.45" customHeight="1" x14ac:dyDescent="0.25">
      <c r="A113" s="111" t="s">
        <v>111</v>
      </c>
      <c r="B113" s="87">
        <f>IF(B22=0,0,1000000*B22/TrRoad_act!B62)</f>
        <v>3702.9340699710197</v>
      </c>
      <c r="C113" s="87">
        <f>IF(C22=0,0,1000000*C22/TrRoad_act!C62)</f>
        <v>3710.957524420558</v>
      </c>
      <c r="D113" s="87">
        <f>IF(D22=0,0,1000000*D22/TrRoad_act!D62)</f>
        <v>3968.7226751487369</v>
      </c>
      <c r="E113" s="87">
        <f>IF(E22=0,0,1000000*E22/TrRoad_act!E62)</f>
        <v>4057.5910359419254</v>
      </c>
      <c r="F113" s="87">
        <f>IF(F22=0,0,1000000*F22/TrRoad_act!F62)</f>
        <v>3971.7160834379692</v>
      </c>
      <c r="G113" s="87">
        <f>IF(G22=0,0,1000000*G22/TrRoad_act!G62)</f>
        <v>4027.5318458022393</v>
      </c>
      <c r="H113" s="87">
        <f>IF(H22=0,0,1000000*H22/TrRoad_act!H62)</f>
        <v>3771.0294863406857</v>
      </c>
      <c r="I113" s="87">
        <f>IF(I22=0,0,1000000*I22/TrRoad_act!I62)</f>
        <v>3803.5848598163202</v>
      </c>
      <c r="J113" s="87">
        <f>IF(J22=0,0,1000000*J22/TrRoad_act!J62)</f>
        <v>3567.3622443957606</v>
      </c>
      <c r="K113" s="87">
        <f>IF(K22=0,0,1000000*K22/TrRoad_act!K62)</f>
        <v>3453.6468932340717</v>
      </c>
      <c r="L113" s="87">
        <f>IF(L22=0,0,1000000*L22/TrRoad_act!L62)</f>
        <v>3448.0113856823741</v>
      </c>
      <c r="M113" s="87">
        <f>IF(M22=0,0,1000000*M22/TrRoad_act!M62)</f>
        <v>3349.5104428698878</v>
      </c>
      <c r="N113" s="87">
        <f>IF(N22=0,0,1000000*N22/TrRoad_act!N62)</f>
        <v>3252.2085100694626</v>
      </c>
      <c r="O113" s="87">
        <f>IF(O22=0,0,1000000*O22/TrRoad_act!O62)</f>
        <v>3330.7258173789924</v>
      </c>
      <c r="P113" s="87">
        <f>IF(P22=0,0,1000000*P22/TrRoad_act!P62)</f>
        <v>3308.1494618139373</v>
      </c>
      <c r="Q113" s="87">
        <f>IF(Q22=0,0,1000000*Q22/TrRoad_act!Q62)</f>
        <v>3332.9279984236755</v>
      </c>
      <c r="R113" s="87">
        <f>IF(R22=0,0,1000000*R22/TrRoad_act!R62)</f>
        <v>3432.4291135480198</v>
      </c>
      <c r="S113" s="87">
        <f>IF(S22=0,0,1000000*S22/TrRoad_act!S62)</f>
        <v>3470.563119211346</v>
      </c>
      <c r="T113" s="87">
        <f>IF(T22=0,0,1000000*T22/TrRoad_act!T62)</f>
        <v>3387.5005072006975</v>
      </c>
      <c r="U113" s="87">
        <f>IF(U22=0,0,1000000*U22/TrRoad_act!U62)</f>
        <v>3273.436096433943</v>
      </c>
      <c r="V113" s="87">
        <f>IF(V22=0,0,1000000*V22/TrRoad_act!V62)</f>
        <v>2806.1626980516439</v>
      </c>
      <c r="W113" s="87">
        <f>IF(W22=0,0,1000000*W22/TrRoad_act!W62)</f>
        <v>2887.8662755536861</v>
      </c>
      <c r="DA113" s="171" t="s">
        <v>815</v>
      </c>
    </row>
    <row r="114" spans="1:105" ht="11.45" customHeight="1" x14ac:dyDescent="0.25">
      <c r="A114" s="111" t="s">
        <v>112</v>
      </c>
      <c r="B114" s="87">
        <f>IF(B23=0,0,1000000*B23/TrRoad_act!B63)</f>
        <v>2353.4635524324322</v>
      </c>
      <c r="C114" s="87">
        <f>IF(C23=0,0,1000000*C23/TrRoad_act!C63)</f>
        <v>2322.5600821644207</v>
      </c>
      <c r="D114" s="87">
        <f>IF(D23=0,0,1000000*D23/TrRoad_act!D63)</f>
        <v>2329.2095685318495</v>
      </c>
      <c r="E114" s="87">
        <f>IF(E23=0,0,1000000*E23/TrRoad_act!E63)</f>
        <v>2258.9711475706904</v>
      </c>
      <c r="F114" s="87">
        <f>IF(F23=0,0,1000000*F23/TrRoad_act!F63)</f>
        <v>2272.413149436753</v>
      </c>
      <c r="G114" s="87">
        <f>IF(G23=0,0,1000000*G23/TrRoad_act!G63)</f>
        <v>2121.0126666982392</v>
      </c>
      <c r="H114" s="87">
        <f>IF(H23=0,0,1000000*H23/TrRoad_act!H63)</f>
        <v>2048.2590577956366</v>
      </c>
      <c r="I114" s="87">
        <f>IF(I23=0,0,1000000*I23/TrRoad_act!I63)</f>
        <v>2040.7650250676759</v>
      </c>
      <c r="J114" s="87">
        <f>IF(J23=0,0,1000000*J23/TrRoad_act!J63)</f>
        <v>2131.1930484322452</v>
      </c>
      <c r="K114" s="87">
        <f>IF(K23=0,0,1000000*K23/TrRoad_act!K63)</f>
        <v>2192.910687019079</v>
      </c>
      <c r="L114" s="87">
        <f>IF(L23=0,0,1000000*L23/TrRoad_act!L63)</f>
        <v>2104.3553139581309</v>
      </c>
      <c r="M114" s="87">
        <f>IF(M23=0,0,1000000*M23/TrRoad_act!M63)</f>
        <v>1967.4625584706826</v>
      </c>
      <c r="N114" s="87">
        <f>IF(N23=0,0,1000000*N23/TrRoad_act!N63)</f>
        <v>1960.7547736969875</v>
      </c>
      <c r="O114" s="87">
        <f>IF(O23=0,0,1000000*O23/TrRoad_act!O63)</f>
        <v>1905.893769672537</v>
      </c>
      <c r="P114" s="87">
        <f>IF(P23=0,0,1000000*P23/TrRoad_act!P63)</f>
        <v>1796.292719656336</v>
      </c>
      <c r="Q114" s="87">
        <f>IF(Q23=0,0,1000000*Q23/TrRoad_act!Q63)</f>
        <v>1747.390898649104</v>
      </c>
      <c r="R114" s="87">
        <f>IF(R23=0,0,1000000*R23/TrRoad_act!R63)</f>
        <v>1814.9401521668678</v>
      </c>
      <c r="S114" s="87">
        <f>IF(S23=0,0,1000000*S23/TrRoad_act!S63)</f>
        <v>1978.6635304971758</v>
      </c>
      <c r="T114" s="87">
        <f>IF(T23=0,0,1000000*T23/TrRoad_act!T63)</f>
        <v>1750.9752613231958</v>
      </c>
      <c r="U114" s="87">
        <f>IF(U23=0,0,1000000*U23/TrRoad_act!U63)</f>
        <v>1945.4331064859991</v>
      </c>
      <c r="V114" s="87">
        <f>IF(V23=0,0,1000000*V23/TrRoad_act!V63)</f>
        <v>1378.2143370521896</v>
      </c>
      <c r="W114" s="87">
        <f>IF(W23=0,0,1000000*W23/TrRoad_act!W63)</f>
        <v>1036.725625326367</v>
      </c>
      <c r="DA114" s="171" t="s">
        <v>816</v>
      </c>
    </row>
    <row r="115" spans="1:105" ht="11.45" customHeight="1" x14ac:dyDescent="0.25">
      <c r="A115" s="111" t="s">
        <v>113</v>
      </c>
      <c r="B115" s="87">
        <f>IF(B24=0,0,1000000*B24/TrRoad_act!B64)</f>
        <v>0</v>
      </c>
      <c r="C115" s="87">
        <f>IF(C24=0,0,1000000*C24/TrRoad_act!C64)</f>
        <v>0</v>
      </c>
      <c r="D115" s="87">
        <f>IF(D24=0,0,1000000*D24/TrRoad_act!D64)</f>
        <v>0</v>
      </c>
      <c r="E115" s="87">
        <f>IF(E24=0,0,1000000*E24/TrRoad_act!E64)</f>
        <v>0</v>
      </c>
      <c r="F115" s="87">
        <f>IF(F24=0,0,1000000*F24/TrRoad_act!F64)</f>
        <v>0</v>
      </c>
      <c r="G115" s="87">
        <f>IF(G24=0,0,1000000*G24/TrRoad_act!G64)</f>
        <v>0</v>
      </c>
      <c r="H115" s="87">
        <f>IF(H24=0,0,1000000*H24/TrRoad_act!H64)</f>
        <v>2650.8779424448303</v>
      </c>
      <c r="I115" s="87">
        <f>IF(I24=0,0,1000000*I24/TrRoad_act!I64)</f>
        <v>2619.3277485245585</v>
      </c>
      <c r="J115" s="87">
        <f>IF(J24=0,0,1000000*J24/TrRoad_act!J64)</f>
        <v>2547.0389398681514</v>
      </c>
      <c r="K115" s="87">
        <f>IF(K24=0,0,1000000*K24/TrRoad_act!K64)</f>
        <v>2445.1420443211127</v>
      </c>
      <c r="L115" s="87">
        <f>IF(L24=0,0,1000000*L24/TrRoad_act!L64)</f>
        <v>2511.5215431722208</v>
      </c>
      <c r="M115" s="87">
        <f>IF(M24=0,0,1000000*M24/TrRoad_act!M64)</f>
        <v>2542.5874940320368</v>
      </c>
      <c r="N115" s="87">
        <f>IF(N24=0,0,1000000*N24/TrRoad_act!N64)</f>
        <v>2470.4566648621158</v>
      </c>
      <c r="O115" s="87">
        <f>IF(O24=0,0,1000000*O24/TrRoad_act!O64)</f>
        <v>2350.1136932686582</v>
      </c>
      <c r="P115" s="87">
        <f>IF(P24=0,0,1000000*P24/TrRoad_act!P64)</f>
        <v>2201.6382132736844</v>
      </c>
      <c r="Q115" s="87">
        <f>IF(Q24=0,0,1000000*Q24/TrRoad_act!Q64)</f>
        <v>2179.0530570832725</v>
      </c>
      <c r="R115" s="87">
        <f>IF(R24=0,0,1000000*R24/TrRoad_act!R64)</f>
        <v>2007.0973307342367</v>
      </c>
      <c r="S115" s="87">
        <f>IF(S24=0,0,1000000*S24/TrRoad_act!S64)</f>
        <v>1979.4087154547854</v>
      </c>
      <c r="T115" s="87">
        <f>IF(T24=0,0,1000000*T24/TrRoad_act!T64)</f>
        <v>1850.1475279451522</v>
      </c>
      <c r="U115" s="87">
        <f>IF(U24=0,0,1000000*U24/TrRoad_act!U64)</f>
        <v>1737.0246249173522</v>
      </c>
      <c r="V115" s="87">
        <f>IF(V24=0,0,1000000*V24/TrRoad_act!V64)</f>
        <v>1510.6248715226361</v>
      </c>
      <c r="W115" s="87">
        <f>IF(W24=0,0,1000000*W24/TrRoad_act!W64)</f>
        <v>1537.6273762275173</v>
      </c>
      <c r="DA115" s="171" t="s">
        <v>817</v>
      </c>
    </row>
    <row r="116" spans="1:105" ht="11.45" customHeight="1" x14ac:dyDescent="0.25">
      <c r="A116" s="111" t="s">
        <v>114</v>
      </c>
      <c r="B116" s="87">
        <f>IF(B25=0,0,1000000*B25/TrRoad_act!B65)</f>
        <v>0</v>
      </c>
      <c r="C116" s="87">
        <f>IF(C25=0,0,1000000*C25/TrRoad_act!C65)</f>
        <v>0</v>
      </c>
      <c r="D116" s="87">
        <f>IF(D25=0,0,1000000*D25/TrRoad_act!D65)</f>
        <v>0</v>
      </c>
      <c r="E116" s="87">
        <f>IF(E25=0,0,1000000*E25/TrRoad_act!E65)</f>
        <v>0</v>
      </c>
      <c r="F116" s="87">
        <f>IF(F25=0,0,1000000*F25/TrRoad_act!F65)</f>
        <v>0</v>
      </c>
      <c r="G116" s="87">
        <f>IF(G25=0,0,1000000*G25/TrRoad_act!G65)</f>
        <v>0</v>
      </c>
      <c r="H116" s="87">
        <f>IF(H25=0,0,1000000*H25/TrRoad_act!H65)</f>
        <v>0</v>
      </c>
      <c r="I116" s="87">
        <f>IF(I25=0,0,1000000*I25/TrRoad_act!I65)</f>
        <v>0</v>
      </c>
      <c r="J116" s="87">
        <f>IF(J25=0,0,1000000*J25/TrRoad_act!J65)</f>
        <v>0</v>
      </c>
      <c r="K116" s="87">
        <f>IF(K25=0,0,1000000*K25/TrRoad_act!K65)</f>
        <v>0</v>
      </c>
      <c r="L116" s="87">
        <f>IF(L25=0,0,1000000*L25/TrRoad_act!L65)</f>
        <v>0</v>
      </c>
      <c r="M116" s="87">
        <f>IF(M25=0,0,1000000*M25/TrRoad_act!M65)</f>
        <v>928.64071654205441</v>
      </c>
      <c r="N116" s="87">
        <f>IF(N25=0,0,1000000*N25/TrRoad_act!N65)</f>
        <v>673.13796297905526</v>
      </c>
      <c r="O116" s="87">
        <f>IF(O25=0,0,1000000*O25/TrRoad_act!O65)</f>
        <v>474.04411950169293</v>
      </c>
      <c r="P116" s="87">
        <f>IF(P25=0,0,1000000*P25/TrRoad_act!P65)</f>
        <v>541.76513916760018</v>
      </c>
      <c r="Q116" s="87">
        <f>IF(Q25=0,0,1000000*Q25/TrRoad_act!Q65)</f>
        <v>694.12913628661602</v>
      </c>
      <c r="R116" s="87">
        <f>IF(R25=0,0,1000000*R25/TrRoad_act!R65)</f>
        <v>837.26923215969634</v>
      </c>
      <c r="S116" s="87">
        <f>IF(S25=0,0,1000000*S25/TrRoad_act!S65)</f>
        <v>890.31643729507562</v>
      </c>
      <c r="T116" s="87">
        <f>IF(T25=0,0,1000000*T25/TrRoad_act!T65)</f>
        <v>922.39300994933399</v>
      </c>
      <c r="U116" s="87">
        <f>IF(U25=0,0,1000000*U25/TrRoad_act!U65)</f>
        <v>894.72058583246974</v>
      </c>
      <c r="V116" s="87">
        <f>IF(V25=0,0,1000000*V25/TrRoad_act!V65)</f>
        <v>627.04597025102316</v>
      </c>
      <c r="W116" s="87">
        <f>IF(W25=0,0,1000000*W25/TrRoad_act!W65)</f>
        <v>574.26851577387231</v>
      </c>
      <c r="DA116" s="171" t="s">
        <v>818</v>
      </c>
    </row>
    <row r="117" spans="1:105" ht="11.45" customHeight="1" x14ac:dyDescent="0.25">
      <c r="A117" s="111" t="s">
        <v>115</v>
      </c>
      <c r="B117" s="87">
        <f>IF(B26=0,0,1000000*B26/TrRoad_act!B66)</f>
        <v>0</v>
      </c>
      <c r="C117" s="87">
        <f>IF(C26=0,0,1000000*C26/TrRoad_act!C66)</f>
        <v>0</v>
      </c>
      <c r="D117" s="87">
        <f>IF(D26=0,0,1000000*D26/TrRoad_act!D66)</f>
        <v>0</v>
      </c>
      <c r="E117" s="87">
        <f>IF(E26=0,0,1000000*E26/TrRoad_act!E66)</f>
        <v>0</v>
      </c>
      <c r="F117" s="87">
        <f>IF(F26=0,0,1000000*F26/TrRoad_act!F66)</f>
        <v>0</v>
      </c>
      <c r="G117" s="87">
        <f>IF(G26=0,0,1000000*G26/TrRoad_act!G66)</f>
        <v>0</v>
      </c>
      <c r="H117" s="87">
        <f>IF(H26=0,0,1000000*H26/TrRoad_act!H66)</f>
        <v>0</v>
      </c>
      <c r="I117" s="87">
        <f>IF(I26=0,0,1000000*I26/TrRoad_act!I66)</f>
        <v>0</v>
      </c>
      <c r="J117" s="87">
        <f>IF(J26=0,0,1000000*J26/TrRoad_act!J66)</f>
        <v>0</v>
      </c>
      <c r="K117" s="87">
        <f>IF(K26=0,0,1000000*K26/TrRoad_act!K66)</f>
        <v>0</v>
      </c>
      <c r="L117" s="87">
        <f>IF(L26=0,0,1000000*L26/TrRoad_act!L66)</f>
        <v>0</v>
      </c>
      <c r="M117" s="87">
        <f>IF(M26=0,0,1000000*M26/TrRoad_act!M66)</f>
        <v>0</v>
      </c>
      <c r="N117" s="87">
        <f>IF(N26=0,0,1000000*N26/TrRoad_act!N66)</f>
        <v>0</v>
      </c>
      <c r="O117" s="87">
        <f>IF(O26=0,0,1000000*O26/TrRoad_act!O66)</f>
        <v>0</v>
      </c>
      <c r="P117" s="87">
        <f>IF(P26=0,0,1000000*P26/TrRoad_act!P66)</f>
        <v>0</v>
      </c>
      <c r="Q117" s="87">
        <f>IF(Q26=0,0,1000000*Q26/TrRoad_act!Q66)</f>
        <v>0</v>
      </c>
      <c r="R117" s="87">
        <f>IF(R26=0,0,1000000*R26/TrRoad_act!R66)</f>
        <v>0</v>
      </c>
      <c r="S117" s="87">
        <f>IF(S26=0,0,1000000*S26/TrRoad_act!S66)</f>
        <v>0</v>
      </c>
      <c r="T117" s="87">
        <f>IF(T26=0,0,1000000*T26/TrRoad_act!T66)</f>
        <v>0</v>
      </c>
      <c r="U117" s="87">
        <f>IF(U26=0,0,1000000*U26/TrRoad_act!U66)</f>
        <v>0</v>
      </c>
      <c r="V117" s="87">
        <f>IF(V26=0,0,1000000*V26/TrRoad_act!V66)</f>
        <v>0</v>
      </c>
      <c r="W117" s="87">
        <f>IF(W26=0,0,1000000*W26/TrRoad_act!W66)</f>
        <v>0</v>
      </c>
      <c r="DA117" s="171" t="s">
        <v>819</v>
      </c>
    </row>
    <row r="118" spans="1:105" ht="11.45" customHeight="1" x14ac:dyDescent="0.25">
      <c r="A118" s="109" t="s">
        <v>21</v>
      </c>
      <c r="B118" s="116">
        <f>IF(B27=0,0,1000000*B27/TrRoad_act!B67)</f>
        <v>79807.446018352173</v>
      </c>
      <c r="C118" s="116">
        <f>IF(C27=0,0,1000000*C27/TrRoad_act!C67)</f>
        <v>80170.419443345105</v>
      </c>
      <c r="D118" s="116">
        <f>IF(D27=0,0,1000000*D27/TrRoad_act!D67)</f>
        <v>89370.51741197519</v>
      </c>
      <c r="E118" s="116">
        <f>IF(E27=0,0,1000000*E27/TrRoad_act!E67)</f>
        <v>91523.136222044559</v>
      </c>
      <c r="F118" s="116">
        <f>IF(F27=0,0,1000000*F27/TrRoad_act!F67)</f>
        <v>88789.817072825885</v>
      </c>
      <c r="G118" s="116">
        <f>IF(G27=0,0,1000000*G27/TrRoad_act!G67)</f>
        <v>88379.954666680031</v>
      </c>
      <c r="H118" s="116">
        <f>IF(H27=0,0,1000000*H27/TrRoad_act!H67)</f>
        <v>83941.268086190263</v>
      </c>
      <c r="I118" s="116">
        <f>IF(I27=0,0,1000000*I27/TrRoad_act!I67)</f>
        <v>87758.387011934479</v>
      </c>
      <c r="J118" s="116">
        <f>IF(J27=0,0,1000000*J27/TrRoad_act!J67)</f>
        <v>83888.845492086897</v>
      </c>
      <c r="K118" s="116">
        <f>IF(K27=0,0,1000000*K27/TrRoad_act!K67)</f>
        <v>72243.779872604922</v>
      </c>
      <c r="L118" s="116">
        <f>IF(L27=0,0,1000000*L27/TrRoad_act!L67)</f>
        <v>77712.969550031063</v>
      </c>
      <c r="M118" s="116">
        <f>IF(M27=0,0,1000000*M27/TrRoad_act!M67)</f>
        <v>76935.800450768613</v>
      </c>
      <c r="N118" s="116">
        <f>IF(N27=0,0,1000000*N27/TrRoad_act!N67)</f>
        <v>77324.074577404084</v>
      </c>
      <c r="O118" s="116">
        <f>IF(O27=0,0,1000000*O27/TrRoad_act!O67)</f>
        <v>76104.092282868325</v>
      </c>
      <c r="P118" s="116">
        <f>IF(P27=0,0,1000000*P27/TrRoad_act!P67)</f>
        <v>76331.382137358829</v>
      </c>
      <c r="Q118" s="116">
        <f>IF(Q27=0,0,1000000*Q27/TrRoad_act!Q67)</f>
        <v>76942.619593827374</v>
      </c>
      <c r="R118" s="116">
        <f>IF(R27=0,0,1000000*R27/TrRoad_act!R67)</f>
        <v>80890.56475085135</v>
      </c>
      <c r="S118" s="116">
        <f>IF(S27=0,0,1000000*S27/TrRoad_act!S67)</f>
        <v>83552.826923185959</v>
      </c>
      <c r="T118" s="116">
        <f>IF(T27=0,0,1000000*T27/TrRoad_act!T67)</f>
        <v>83543.863849716436</v>
      </c>
      <c r="U118" s="116">
        <f>IF(U27=0,0,1000000*U27/TrRoad_act!U67)</f>
        <v>82340.909956599557</v>
      </c>
      <c r="V118" s="116">
        <f>IF(V27=0,0,1000000*V27/TrRoad_act!V67)</f>
        <v>83347.651754908118</v>
      </c>
      <c r="W118" s="116">
        <f>IF(W27=0,0,1000000*W27/TrRoad_act!W67)</f>
        <v>83125.081027278706</v>
      </c>
      <c r="DA118" s="176" t="s">
        <v>820</v>
      </c>
    </row>
    <row r="119" spans="1:105" ht="11.45" customHeight="1" x14ac:dyDescent="0.25">
      <c r="A119" s="111" t="s">
        <v>110</v>
      </c>
      <c r="B119" s="101">
        <f>IF(B28=0,0,1000000*B28/TrRoad_act!B68)</f>
        <v>28565.230896139281</v>
      </c>
      <c r="C119" s="101">
        <f>IF(C28=0,0,1000000*C28/TrRoad_act!C68)</f>
        <v>28838.741395869019</v>
      </c>
      <c r="D119" s="101">
        <f>IF(D28=0,0,1000000*D28/TrRoad_act!D68)</f>
        <v>32545.900038083826</v>
      </c>
      <c r="E119" s="101">
        <f>IF(E28=0,0,1000000*E28/TrRoad_act!E68)</f>
        <v>33592.601487792315</v>
      </c>
      <c r="F119" s="101">
        <f>IF(F28=0,0,1000000*F28/TrRoad_act!F68)</f>
        <v>32768.048703486769</v>
      </c>
      <c r="G119" s="101">
        <f>IF(G28=0,0,1000000*G28/TrRoad_act!G68)</f>
        <v>33026.337293435623</v>
      </c>
      <c r="H119" s="101">
        <f>IF(H28=0,0,1000000*H28/TrRoad_act!H68)</f>
        <v>32508.365560618677</v>
      </c>
      <c r="I119" s="101">
        <f>IF(I28=0,0,1000000*I28/TrRoad_act!I68)</f>
        <v>33085.519014267418</v>
      </c>
      <c r="J119" s="101">
        <f>IF(J28=0,0,1000000*J28/TrRoad_act!J68)</f>
        <v>30988.563510777931</v>
      </c>
      <c r="K119" s="101">
        <f>IF(K28=0,0,1000000*K28/TrRoad_act!K68)</f>
        <v>26457.737578932807</v>
      </c>
      <c r="L119" s="101">
        <f>IF(L28=0,0,1000000*L28/TrRoad_act!L68)</f>
        <v>28538.679743978373</v>
      </c>
      <c r="M119" s="101">
        <f>IF(M28=0,0,1000000*M28/TrRoad_act!M68)</f>
        <v>27694.035403569385</v>
      </c>
      <c r="N119" s="101">
        <f>IF(N28=0,0,1000000*N28/TrRoad_act!N68)</f>
        <v>27842.165370695919</v>
      </c>
      <c r="O119" s="101">
        <f>IF(O28=0,0,1000000*O28/TrRoad_act!O68)</f>
        <v>26380.856846128943</v>
      </c>
      <c r="P119" s="101">
        <f>IF(P28=0,0,1000000*P28/TrRoad_act!P68)</f>
        <v>20975.442365970386</v>
      </c>
      <c r="Q119" s="101">
        <f>IF(Q28=0,0,1000000*Q28/TrRoad_act!Q68)</f>
        <v>17002.988568513279</v>
      </c>
      <c r="R119" s="101">
        <f>IF(R28=0,0,1000000*R28/TrRoad_act!R68)</f>
        <v>16888.405065384552</v>
      </c>
      <c r="S119" s="101">
        <f>IF(S28=0,0,1000000*S28/TrRoad_act!S68)</f>
        <v>17096.945152420114</v>
      </c>
      <c r="T119" s="101">
        <f>IF(T28=0,0,1000000*T28/TrRoad_act!T68)</f>
        <v>17019.40693365948</v>
      </c>
      <c r="U119" s="101">
        <f>IF(U28=0,0,1000000*U28/TrRoad_act!U68)</f>
        <v>16659.722381383654</v>
      </c>
      <c r="V119" s="101">
        <f>IF(V28=0,0,1000000*V28/TrRoad_act!V68)</f>
        <v>16242.46831120044</v>
      </c>
      <c r="W119" s="101">
        <f>IF(W28=0,0,1000000*W28/TrRoad_act!W68)</f>
        <v>16310.166112765613</v>
      </c>
      <c r="DA119" s="175" t="s">
        <v>821</v>
      </c>
    </row>
    <row r="120" spans="1:105" ht="11.45" customHeight="1" x14ac:dyDescent="0.25">
      <c r="A120" s="111" t="s">
        <v>111</v>
      </c>
      <c r="B120" s="101">
        <f>IF(B29=0,0,1000000*B29/TrRoad_act!B69)</f>
        <v>80821.217857632742</v>
      </c>
      <c r="C120" s="101">
        <f>IF(C29=0,0,1000000*C29/TrRoad_act!C69)</f>
        <v>81272.422194886152</v>
      </c>
      <c r="D120" s="101">
        <f>IF(D29=0,0,1000000*D29/TrRoad_act!D69)</f>
        <v>90891.344573876631</v>
      </c>
      <c r="E120" s="101">
        <f>IF(E29=0,0,1000000*E29/TrRoad_act!E69)</f>
        <v>93205.318693298119</v>
      </c>
      <c r="F120" s="101">
        <f>IF(F29=0,0,1000000*F29/TrRoad_act!F69)</f>
        <v>90532.434023240188</v>
      </c>
      <c r="G120" s="101">
        <f>IF(G29=0,0,1000000*G29/TrRoad_act!G69)</f>
        <v>90384.206171377009</v>
      </c>
      <c r="H120" s="101">
        <f>IF(H29=0,0,1000000*H29/TrRoad_act!H69)</f>
        <v>86051.485766891186</v>
      </c>
      <c r="I120" s="101">
        <f>IF(I29=0,0,1000000*I29/TrRoad_act!I69)</f>
        <v>90238.937475188111</v>
      </c>
      <c r="J120" s="101">
        <f>IF(J29=0,0,1000000*J29/TrRoad_act!J69)</f>
        <v>86618.318576395875</v>
      </c>
      <c r="K120" s="101">
        <f>IF(K29=0,0,1000000*K29/TrRoad_act!K69)</f>
        <v>75269.671264598248</v>
      </c>
      <c r="L120" s="101">
        <f>IF(L29=0,0,1000000*L29/TrRoad_act!L69)</f>
        <v>81802.911296173945</v>
      </c>
      <c r="M120" s="101">
        <f>IF(M29=0,0,1000000*M29/TrRoad_act!M69)</f>
        <v>81460.934169877874</v>
      </c>
      <c r="N120" s="101">
        <f>IF(N29=0,0,1000000*N29/TrRoad_act!N69)</f>
        <v>82091.436511347143</v>
      </c>
      <c r="O120" s="101">
        <f>IF(O29=0,0,1000000*O29/TrRoad_act!O69)</f>
        <v>81428.7817950975</v>
      </c>
      <c r="P120" s="101">
        <f>IF(P29=0,0,1000000*P29/TrRoad_act!P69)</f>
        <v>81862.783147320122</v>
      </c>
      <c r="Q120" s="101">
        <f>IF(Q29=0,0,1000000*Q29/TrRoad_act!Q69)</f>
        <v>81835.812045150684</v>
      </c>
      <c r="R120" s="101">
        <f>IF(R29=0,0,1000000*R29/TrRoad_act!R69)</f>
        <v>85919.937563488464</v>
      </c>
      <c r="S120" s="101">
        <f>IF(S29=0,0,1000000*S29/TrRoad_act!S69)</f>
        <v>88470.740597280354</v>
      </c>
      <c r="T120" s="101">
        <f>IF(T29=0,0,1000000*T29/TrRoad_act!T69)</f>
        <v>88107.194286487764</v>
      </c>
      <c r="U120" s="101">
        <f>IF(U29=0,0,1000000*U29/TrRoad_act!U69)</f>
        <v>85493.002015318765</v>
      </c>
      <c r="V120" s="101">
        <f>IF(V29=0,0,1000000*V29/TrRoad_act!V69)</f>
        <v>86300.645658786598</v>
      </c>
      <c r="W120" s="101">
        <f>IF(W29=0,0,1000000*W29/TrRoad_act!W69)</f>
        <v>85701.753140063316</v>
      </c>
      <c r="DA120" s="175" t="s">
        <v>822</v>
      </c>
    </row>
    <row r="121" spans="1:105" ht="11.45" customHeight="1" x14ac:dyDescent="0.25">
      <c r="A121" s="111" t="s">
        <v>112</v>
      </c>
      <c r="B121" s="101">
        <f>IF(B30=0,0,1000000*B30/TrRoad_act!B70)</f>
        <v>0</v>
      </c>
      <c r="C121" s="101">
        <f>IF(C30=0,0,1000000*C30/TrRoad_act!C70)</f>
        <v>24215.948172607041</v>
      </c>
      <c r="D121" s="101">
        <f>IF(D30=0,0,1000000*D30/TrRoad_act!D70)</f>
        <v>27155.567289569546</v>
      </c>
      <c r="E121" s="101">
        <f>IF(E30=0,0,1000000*E30/TrRoad_act!E70)</f>
        <v>28377.243397706388</v>
      </c>
      <c r="F121" s="101">
        <f>IF(F30=0,0,1000000*F30/TrRoad_act!F70)</f>
        <v>28062.378900822187</v>
      </c>
      <c r="G121" s="101">
        <f>IF(G30=0,0,1000000*G30/TrRoad_act!G70)</f>
        <v>28738.905589647824</v>
      </c>
      <c r="H121" s="101">
        <f>IF(H30=0,0,1000000*H30/TrRoad_act!H70)</f>
        <v>28752.549217497242</v>
      </c>
      <c r="I121" s="101">
        <f>IF(I30=0,0,1000000*I30/TrRoad_act!I70)</f>
        <v>30944.934091493564</v>
      </c>
      <c r="J121" s="101">
        <f>IF(J30=0,0,1000000*J30/TrRoad_act!J70)</f>
        <v>30287.033589058297</v>
      </c>
      <c r="K121" s="101">
        <f>IF(K30=0,0,1000000*K30/TrRoad_act!K70)</f>
        <v>27068.529490629782</v>
      </c>
      <c r="L121" s="101">
        <f>IF(L30=0,0,1000000*L30/TrRoad_act!L70)</f>
        <v>29542.505740044387</v>
      </c>
      <c r="M121" s="101">
        <f>IF(M30=0,0,1000000*M30/TrRoad_act!M70)</f>
        <v>29842.531856933598</v>
      </c>
      <c r="N121" s="101">
        <f>IF(N30=0,0,1000000*N30/TrRoad_act!N70)</f>
        <v>30353.530747591813</v>
      </c>
      <c r="O121" s="101">
        <f>IF(O30=0,0,1000000*O30/TrRoad_act!O70)</f>
        <v>30284.76121653444</v>
      </c>
      <c r="P121" s="101">
        <f>IF(P30=0,0,1000000*P30/TrRoad_act!P70)</f>
        <v>31181.61881225586</v>
      </c>
      <c r="Q121" s="101">
        <f>IF(Q30=0,0,1000000*Q30/TrRoad_act!Q70)</f>
        <v>31923.790931970922</v>
      </c>
      <c r="R121" s="101">
        <f>IF(R30=0,0,1000000*R30/TrRoad_act!R70)</f>
        <v>32049.820488986607</v>
      </c>
      <c r="S121" s="101">
        <f>IF(S30=0,0,1000000*S30/TrRoad_act!S70)</f>
        <v>32162.5723416195</v>
      </c>
      <c r="T121" s="101">
        <f>IF(T30=0,0,1000000*T30/TrRoad_act!T70)</f>
        <v>31724.916734588423</v>
      </c>
      <c r="U121" s="101">
        <f>IF(U30=0,0,1000000*U30/TrRoad_act!U70)</f>
        <v>31128.734248400349</v>
      </c>
      <c r="V121" s="101">
        <f>IF(V30=0,0,1000000*V30/TrRoad_act!V70)</f>
        <v>31167.317932686507</v>
      </c>
      <c r="W121" s="101">
        <f>IF(W30=0,0,1000000*W30/TrRoad_act!W70)</f>
        <v>30634.647840831316</v>
      </c>
      <c r="DA121" s="175" t="s">
        <v>823</v>
      </c>
    </row>
    <row r="122" spans="1:105" ht="11.45" customHeight="1" x14ac:dyDescent="0.25">
      <c r="A122" s="111" t="s">
        <v>113</v>
      </c>
      <c r="B122" s="101">
        <f>IF(B31=0,0,1000000*B31/TrRoad_act!B71)</f>
        <v>0</v>
      </c>
      <c r="C122" s="101">
        <f>IF(C31=0,0,1000000*C31/TrRoad_act!C71)</f>
        <v>0</v>
      </c>
      <c r="D122" s="101">
        <f>IF(D31=0,0,1000000*D31/TrRoad_act!D71)</f>
        <v>0</v>
      </c>
      <c r="E122" s="101">
        <f>IF(E31=0,0,1000000*E31/TrRoad_act!E71)</f>
        <v>0</v>
      </c>
      <c r="F122" s="101">
        <f>IF(F31=0,0,1000000*F31/TrRoad_act!F71)</f>
        <v>62141.538461538454</v>
      </c>
      <c r="G122" s="101">
        <f>IF(G31=0,0,1000000*G31/TrRoad_act!G71)</f>
        <v>66708.941538461513</v>
      </c>
      <c r="H122" s="101">
        <f>IF(H31=0,0,1000000*H31/TrRoad_act!H71)</f>
        <v>46196.558963113792</v>
      </c>
      <c r="I122" s="101">
        <f>IF(I31=0,0,1000000*I31/TrRoad_act!I71)</f>
        <v>61078.771514418375</v>
      </c>
      <c r="J122" s="101">
        <f>IF(J31=0,0,1000000*J31/TrRoad_act!J71)</f>
        <v>51509.430975122232</v>
      </c>
      <c r="K122" s="101">
        <f>IF(K31=0,0,1000000*K31/TrRoad_act!K71)</f>
        <v>53688.169703200969</v>
      </c>
      <c r="L122" s="101">
        <f>IF(L31=0,0,1000000*L31/TrRoad_act!L71)</f>
        <v>52028.799403084609</v>
      </c>
      <c r="M122" s="101">
        <f>IF(M31=0,0,1000000*M31/TrRoad_act!M71)</f>
        <v>46553.406588963524</v>
      </c>
      <c r="N122" s="101">
        <f>IF(N31=0,0,1000000*N31/TrRoad_act!N71)</f>
        <v>46866.847956989237</v>
      </c>
      <c r="O122" s="101">
        <f>IF(O31=0,0,1000000*O31/TrRoad_act!O71)</f>
        <v>43075.318415288581</v>
      </c>
      <c r="P122" s="101">
        <f>IF(P31=0,0,1000000*P31/TrRoad_act!P71)</f>
        <v>41421.713763838692</v>
      </c>
      <c r="Q122" s="101">
        <f>IF(Q31=0,0,1000000*Q31/TrRoad_act!Q71)</f>
        <v>43991.519973073438</v>
      </c>
      <c r="R122" s="101">
        <f>IF(R31=0,0,1000000*R31/TrRoad_act!R71)</f>
        <v>43236.53965324795</v>
      </c>
      <c r="S122" s="101">
        <f>IF(S31=0,0,1000000*S31/TrRoad_act!S71)</f>
        <v>42889.549159509945</v>
      </c>
      <c r="T122" s="101">
        <f>IF(T31=0,0,1000000*T31/TrRoad_act!T71)</f>
        <v>47454.078140747915</v>
      </c>
      <c r="U122" s="101">
        <f>IF(U31=0,0,1000000*U31/TrRoad_act!U71)</f>
        <v>53925.727552084631</v>
      </c>
      <c r="V122" s="101">
        <f>IF(V31=0,0,1000000*V31/TrRoad_act!V71)</f>
        <v>61149.346717798704</v>
      </c>
      <c r="W122" s="101">
        <f>IF(W31=0,0,1000000*W31/TrRoad_act!W71)</f>
        <v>65002.018383473041</v>
      </c>
      <c r="DA122" s="175" t="s">
        <v>824</v>
      </c>
    </row>
    <row r="123" spans="1:105" ht="11.45" customHeight="1" x14ac:dyDescent="0.25">
      <c r="A123" s="111" t="s">
        <v>115</v>
      </c>
      <c r="B123" s="101">
        <f>IF(B32=0,0,1000000*B32/TrRoad_act!B72)</f>
        <v>0</v>
      </c>
      <c r="C123" s="101">
        <f>IF(C32=0,0,1000000*C32/TrRoad_act!C72)</f>
        <v>0</v>
      </c>
      <c r="D123" s="101">
        <f>IF(D32=0,0,1000000*D32/TrRoad_act!D72)</f>
        <v>0</v>
      </c>
      <c r="E123" s="101">
        <f>IF(E32=0,0,1000000*E32/TrRoad_act!E72)</f>
        <v>0</v>
      </c>
      <c r="F123" s="101">
        <f>IF(F32=0,0,1000000*F32/TrRoad_act!F72)</f>
        <v>0</v>
      </c>
      <c r="G123" s="101">
        <f>IF(G32=0,0,1000000*G32/TrRoad_act!G72)</f>
        <v>0</v>
      </c>
      <c r="H123" s="101">
        <f>IF(H32=0,0,1000000*H32/TrRoad_act!H72)</f>
        <v>0</v>
      </c>
      <c r="I123" s="101">
        <f>IF(I32=0,0,1000000*I32/TrRoad_act!I72)</f>
        <v>0</v>
      </c>
      <c r="J123" s="101">
        <f>IF(J32=0,0,1000000*J32/TrRoad_act!J72)</f>
        <v>0</v>
      </c>
      <c r="K123" s="101">
        <f>IF(K32=0,0,1000000*K32/TrRoad_act!K72)</f>
        <v>0</v>
      </c>
      <c r="L123" s="101">
        <f>IF(L32=0,0,1000000*L32/TrRoad_act!L72)</f>
        <v>0</v>
      </c>
      <c r="M123" s="101">
        <f>IF(M32=0,0,1000000*M32/TrRoad_act!M72)</f>
        <v>0</v>
      </c>
      <c r="N123" s="101">
        <f>IF(N32=0,0,1000000*N32/TrRoad_act!N72)</f>
        <v>0</v>
      </c>
      <c r="O123" s="101">
        <f>IF(O32=0,0,1000000*O32/TrRoad_act!O72)</f>
        <v>0</v>
      </c>
      <c r="P123" s="101">
        <f>IF(P32=0,0,1000000*P32/TrRoad_act!P72)</f>
        <v>0</v>
      </c>
      <c r="Q123" s="101">
        <f>IF(Q32=0,0,1000000*Q32/TrRoad_act!Q72)</f>
        <v>0</v>
      </c>
      <c r="R123" s="101">
        <f>IF(R32=0,0,1000000*R32/TrRoad_act!R72)</f>
        <v>0</v>
      </c>
      <c r="S123" s="101">
        <f>IF(S32=0,0,1000000*S32/TrRoad_act!S72)</f>
        <v>0</v>
      </c>
      <c r="T123" s="101">
        <f>IF(T32=0,0,1000000*T32/TrRoad_act!T72)</f>
        <v>0</v>
      </c>
      <c r="U123" s="101">
        <f>IF(U32=0,0,1000000*U32/TrRoad_act!U72)</f>
        <v>0</v>
      </c>
      <c r="V123" s="101">
        <f>IF(V32=0,0,1000000*V32/TrRoad_act!V72)</f>
        <v>0</v>
      </c>
      <c r="W123" s="101">
        <f>IF(W32=0,0,1000000*W32/TrRoad_act!W72)</f>
        <v>0</v>
      </c>
      <c r="DA123" s="175" t="s">
        <v>825</v>
      </c>
    </row>
    <row r="124" spans="1:105" ht="11.45" customHeight="1" x14ac:dyDescent="0.25">
      <c r="A124" s="27" t="s">
        <v>34</v>
      </c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DA124" s="173"/>
    </row>
    <row r="125" spans="1:105" ht="11.45" customHeight="1" x14ac:dyDescent="0.25">
      <c r="A125" s="136" t="s">
        <v>156</v>
      </c>
      <c r="B125" s="152">
        <f>IF(B34=0,0,1000000*B34/TrRoad_act!B74)</f>
        <v>5196.4426448647928</v>
      </c>
      <c r="C125" s="152">
        <f>IF(C34=0,0,1000000*C34/TrRoad_act!C74)</f>
        <v>5171.4441053499741</v>
      </c>
      <c r="D125" s="152">
        <f>IF(D34=0,0,1000000*D34/TrRoad_act!D74)</f>
        <v>5520.2384547300653</v>
      </c>
      <c r="E125" s="152">
        <f>IF(E34=0,0,1000000*E34/TrRoad_act!E74)</f>
        <v>5395.2881610177219</v>
      </c>
      <c r="F125" s="152">
        <f>IF(F34=0,0,1000000*F34/TrRoad_act!F74)</f>
        <v>5223.2380418861767</v>
      </c>
      <c r="G125" s="152">
        <f>IF(G34=0,0,1000000*G34/TrRoad_act!G74)</f>
        <v>5134.7374734987661</v>
      </c>
      <c r="H125" s="152">
        <f>IF(H34=0,0,1000000*H34/TrRoad_act!H74)</f>
        <v>4925.2469343792136</v>
      </c>
      <c r="I125" s="152">
        <f>IF(I34=0,0,1000000*I34/TrRoad_act!I74)</f>
        <v>4823.718546509117</v>
      </c>
      <c r="J125" s="152">
        <f>IF(J34=0,0,1000000*J34/TrRoad_act!J74)</f>
        <v>4555.8164625932895</v>
      </c>
      <c r="K125" s="152">
        <f>IF(K34=0,0,1000000*K34/TrRoad_act!K74)</f>
        <v>4301.2754016868375</v>
      </c>
      <c r="L125" s="152">
        <f>IF(L34=0,0,1000000*L34/TrRoad_act!L74)</f>
        <v>4216.1896546583066</v>
      </c>
      <c r="M125" s="152">
        <f>IF(M34=0,0,1000000*M34/TrRoad_act!M74)</f>
        <v>4114.2350023892977</v>
      </c>
      <c r="N125" s="152">
        <f>IF(N34=0,0,1000000*N34/TrRoad_act!N74)</f>
        <v>3962.5644984096589</v>
      </c>
      <c r="O125" s="152">
        <f>IF(O34=0,0,1000000*O34/TrRoad_act!O74)</f>
        <v>3917.1736852783165</v>
      </c>
      <c r="P125" s="152">
        <f>IF(P34=0,0,1000000*P34/TrRoad_act!P74)</f>
        <v>3911.3300233809528</v>
      </c>
      <c r="Q125" s="152">
        <f>IF(Q34=0,0,1000000*Q34/TrRoad_act!Q74)</f>
        <v>3891.5818231008634</v>
      </c>
      <c r="R125" s="152">
        <f>IF(R34=0,0,1000000*R34/TrRoad_act!R74)</f>
        <v>3911.9456274662525</v>
      </c>
      <c r="S125" s="152">
        <f>IF(S34=0,0,1000000*S34/TrRoad_act!S74)</f>
        <v>3819.648606969321</v>
      </c>
      <c r="T125" s="152">
        <f>IF(T34=0,0,1000000*T34/TrRoad_act!T74)</f>
        <v>3705.7212434386447</v>
      </c>
      <c r="U125" s="152">
        <f>IF(U34=0,0,1000000*U34/TrRoad_act!U74)</f>
        <v>3713.3165796370595</v>
      </c>
      <c r="V125" s="152">
        <f>IF(V34=0,0,1000000*V34/TrRoad_act!V74)</f>
        <v>3675.4234655820528</v>
      </c>
      <c r="W125" s="152">
        <f>IF(W34=0,0,1000000*W34/TrRoad_act!W74)</f>
        <v>3658.2604954306321</v>
      </c>
      <c r="DA125" s="174" t="s">
        <v>826</v>
      </c>
    </row>
    <row r="126" spans="1:105" ht="11.45" customHeight="1" x14ac:dyDescent="0.25">
      <c r="A126" s="111" t="s">
        <v>110</v>
      </c>
      <c r="B126" s="87">
        <f>IF(B35=0,0,1000000*B35/TrRoad_act!B75)</f>
        <v>5492.5853935818659</v>
      </c>
      <c r="C126" s="87">
        <f>IF(C35=0,0,1000000*C35/TrRoad_act!C75)</f>
        <v>5479.3107564365964</v>
      </c>
      <c r="D126" s="87">
        <f>IF(D35=0,0,1000000*D35/TrRoad_act!D75)</f>
        <v>5640.8068278600513</v>
      </c>
      <c r="E126" s="87">
        <f>IF(E35=0,0,1000000*E35/TrRoad_act!E75)</f>
        <v>5495.1870339755151</v>
      </c>
      <c r="F126" s="87">
        <f>IF(F35=0,0,1000000*F35/TrRoad_act!F75)</f>
        <v>5348.1627412405514</v>
      </c>
      <c r="G126" s="87">
        <f>IF(G35=0,0,1000000*G35/TrRoad_act!G75)</f>
        <v>5330.8819652284465</v>
      </c>
      <c r="H126" s="87">
        <f>IF(H35=0,0,1000000*H35/TrRoad_act!H75)</f>
        <v>5354.2343664745185</v>
      </c>
      <c r="I126" s="87">
        <f>IF(I35=0,0,1000000*I35/TrRoad_act!I75)</f>
        <v>5253.2349956163289</v>
      </c>
      <c r="J126" s="87">
        <f>IF(J35=0,0,1000000*J35/TrRoad_act!J75)</f>
        <v>4808.3233817149821</v>
      </c>
      <c r="K126" s="87">
        <f>IF(K35=0,0,1000000*K35/TrRoad_act!K75)</f>
        <v>4449.0952015922494</v>
      </c>
      <c r="L126" s="87">
        <f>IF(L35=0,0,1000000*L35/TrRoad_act!L75)</f>
        <v>4246.3640618913532</v>
      </c>
      <c r="M126" s="87">
        <f>IF(M35=0,0,1000000*M35/TrRoad_act!M75)</f>
        <v>4210.1172719422757</v>
      </c>
      <c r="N126" s="87">
        <f>IF(N35=0,0,1000000*N35/TrRoad_act!N75)</f>
        <v>4054.2296631866002</v>
      </c>
      <c r="O126" s="87">
        <f>IF(O35=0,0,1000000*O35/TrRoad_act!O75)</f>
        <v>3791.2400307358421</v>
      </c>
      <c r="P126" s="87">
        <f>IF(P35=0,0,1000000*P35/TrRoad_act!P75)</f>
        <v>3740.5790477762662</v>
      </c>
      <c r="Q126" s="87">
        <f>IF(Q35=0,0,1000000*Q35/TrRoad_act!Q75)</f>
        <v>3725.4411911588113</v>
      </c>
      <c r="R126" s="87">
        <f>IF(R35=0,0,1000000*R35/TrRoad_act!R75)</f>
        <v>3570.1668898700223</v>
      </c>
      <c r="S126" s="87">
        <f>IF(S35=0,0,1000000*S35/TrRoad_act!S75)</f>
        <v>3377.7532592319085</v>
      </c>
      <c r="T126" s="87">
        <f>IF(T35=0,0,1000000*T35/TrRoad_act!T75)</f>
        <v>3191.74102503838</v>
      </c>
      <c r="U126" s="87">
        <f>IF(U35=0,0,1000000*U35/TrRoad_act!U75)</f>
        <v>3110.2076081095306</v>
      </c>
      <c r="V126" s="87">
        <f>IF(V35=0,0,1000000*V35/TrRoad_act!V75)</f>
        <v>2987.7267922292081</v>
      </c>
      <c r="W126" s="87">
        <f>IF(W35=0,0,1000000*W35/TrRoad_act!W75)</f>
        <v>2917.0665816551973</v>
      </c>
      <c r="DA126" s="171" t="s">
        <v>827</v>
      </c>
    </row>
    <row r="127" spans="1:105" ht="11.45" customHeight="1" x14ac:dyDescent="0.25">
      <c r="A127" s="111" t="s">
        <v>111</v>
      </c>
      <c r="B127" s="87">
        <f>IF(B36=0,0,1000000*B36/TrRoad_act!B76)</f>
        <v>5150.5648726268755</v>
      </c>
      <c r="C127" s="87">
        <f>IF(C36=0,0,1000000*C36/TrRoad_act!C76)</f>
        <v>5129.7475438720576</v>
      </c>
      <c r="D127" s="87">
        <f>IF(D36=0,0,1000000*D36/TrRoad_act!D76)</f>
        <v>5509.8795505324479</v>
      </c>
      <c r="E127" s="87">
        <f>IF(E36=0,0,1000000*E36/TrRoad_act!E76)</f>
        <v>5387.9362548788122</v>
      </c>
      <c r="F127" s="87">
        <f>IF(F36=0,0,1000000*F36/TrRoad_act!F76)</f>
        <v>5214.971837058275</v>
      </c>
      <c r="G127" s="87">
        <f>IF(G36=0,0,1000000*G36/TrRoad_act!G76)</f>
        <v>5121.9796708174144</v>
      </c>
      <c r="H127" s="87">
        <f>IF(H36=0,0,1000000*H36/TrRoad_act!H76)</f>
        <v>4901.0649732419288</v>
      </c>
      <c r="I127" s="87">
        <f>IF(I36=0,0,1000000*I36/TrRoad_act!I76)</f>
        <v>4801.3564188365581</v>
      </c>
      <c r="J127" s="87">
        <f>IF(J36=0,0,1000000*J36/TrRoad_act!J76)</f>
        <v>4543.5566208829341</v>
      </c>
      <c r="K127" s="87">
        <f>IF(K36=0,0,1000000*K36/TrRoad_act!K76)</f>
        <v>4293.9187238581453</v>
      </c>
      <c r="L127" s="87">
        <f>IF(L36=0,0,1000000*L36/TrRoad_act!L76)</f>
        <v>4215.1183899905864</v>
      </c>
      <c r="M127" s="87">
        <f>IF(M36=0,0,1000000*M36/TrRoad_act!M76)</f>
        <v>4110.5815263658242</v>
      </c>
      <c r="N127" s="87">
        <f>IF(N36=0,0,1000000*N36/TrRoad_act!N76)</f>
        <v>3962.5205020027811</v>
      </c>
      <c r="O127" s="87">
        <f>IF(O36=0,0,1000000*O36/TrRoad_act!O76)</f>
        <v>3932.5290170783537</v>
      </c>
      <c r="P127" s="87">
        <f>IF(P36=0,0,1000000*P36/TrRoad_act!P76)</f>
        <v>3931.4373241858279</v>
      </c>
      <c r="Q127" s="87">
        <f>IF(Q36=0,0,1000000*Q36/TrRoad_act!Q76)</f>
        <v>3913.9187685613801</v>
      </c>
      <c r="R127" s="87">
        <f>IF(R36=0,0,1000000*R36/TrRoad_act!R76)</f>
        <v>3950.0412020365084</v>
      </c>
      <c r="S127" s="87">
        <f>IF(S36=0,0,1000000*S36/TrRoad_act!S76)</f>
        <v>3864.1587811547001</v>
      </c>
      <c r="T127" s="87">
        <f>IF(T36=0,0,1000000*T36/TrRoad_act!T76)</f>
        <v>3757.7553487960267</v>
      </c>
      <c r="U127" s="87">
        <f>IF(U36=0,0,1000000*U36/TrRoad_act!U76)</f>
        <v>3773.0161234689926</v>
      </c>
      <c r="V127" s="87">
        <f>IF(V36=0,0,1000000*V36/TrRoad_act!V76)</f>
        <v>3743.8405057804184</v>
      </c>
      <c r="W127" s="87">
        <f>IF(W36=0,0,1000000*W36/TrRoad_act!W76)</f>
        <v>3745.1830271686727</v>
      </c>
      <c r="DA127" s="171" t="s">
        <v>828</v>
      </c>
    </row>
    <row r="128" spans="1:105" ht="11.45" customHeight="1" x14ac:dyDescent="0.25">
      <c r="A128" s="111" t="s">
        <v>112</v>
      </c>
      <c r="B128" s="87">
        <f>IF(B37=0,0,1000000*B37/TrRoad_act!B77)</f>
        <v>0</v>
      </c>
      <c r="C128" s="87">
        <f>IF(C37=0,0,1000000*C37/TrRoad_act!C77)</f>
        <v>0</v>
      </c>
      <c r="D128" s="87">
        <f>IF(D37=0,0,1000000*D37/TrRoad_act!D77)</f>
        <v>0</v>
      </c>
      <c r="E128" s="87">
        <f>IF(E37=0,0,1000000*E37/TrRoad_act!E77)</f>
        <v>9606.6871421661017</v>
      </c>
      <c r="F128" s="87">
        <f>IF(F37=0,0,1000000*F37/TrRoad_act!F77)</f>
        <v>9397.7409051862724</v>
      </c>
      <c r="G128" s="87">
        <f>IF(G37=0,0,1000000*G37/TrRoad_act!G77)</f>
        <v>9586.0330785267906</v>
      </c>
      <c r="H128" s="87">
        <f>IF(H37=0,0,1000000*H37/TrRoad_act!H77)</f>
        <v>9772.4159390382283</v>
      </c>
      <c r="I128" s="87">
        <f>IF(I37=0,0,1000000*I37/TrRoad_act!I77)</f>
        <v>9824.4305805495715</v>
      </c>
      <c r="J128" s="87">
        <f>IF(J37=0,0,1000000*J37/TrRoad_act!J77)</f>
        <v>9382.3462365233627</v>
      </c>
      <c r="K128" s="87">
        <f>IF(K37=0,0,1000000*K37/TrRoad_act!K77)</f>
        <v>9014.5009374385845</v>
      </c>
      <c r="L128" s="87">
        <f>IF(L37=0,0,1000000*L37/TrRoad_act!L77)</f>
        <v>8762.4750881271539</v>
      </c>
      <c r="M128" s="87">
        <f>IF(M37=0,0,1000000*M37/TrRoad_act!M77)</f>
        <v>8594.204133334606</v>
      </c>
      <c r="N128" s="87">
        <f>IF(N37=0,0,1000000*N37/TrRoad_act!N77)</f>
        <v>8208.5768895154833</v>
      </c>
      <c r="O128" s="87">
        <f>IF(O37=0,0,1000000*O37/TrRoad_act!O77)</f>
        <v>7884.9988401557148</v>
      </c>
      <c r="P128" s="87">
        <f>IF(P37=0,0,1000000*P37/TrRoad_act!P77)</f>
        <v>7619.3604837146404</v>
      </c>
      <c r="Q128" s="87">
        <f>IF(Q37=0,0,1000000*Q37/TrRoad_act!Q77)</f>
        <v>7624.4598078836643</v>
      </c>
      <c r="R128" s="87">
        <f>IF(R37=0,0,1000000*R37/TrRoad_act!R77)</f>
        <v>8020.9589726841232</v>
      </c>
      <c r="S128" s="87">
        <f>IF(S37=0,0,1000000*S37/TrRoad_act!S77)</f>
        <v>7664.0818674720822</v>
      </c>
      <c r="T128" s="87">
        <f>IF(T37=0,0,1000000*T37/TrRoad_act!T77)</f>
        <v>7371.965374757071</v>
      </c>
      <c r="U128" s="87">
        <f>IF(U37=0,0,1000000*U37/TrRoad_act!U77)</f>
        <v>7240.9510174159032</v>
      </c>
      <c r="V128" s="87">
        <f>IF(V37=0,0,1000000*V37/TrRoad_act!V77)</f>
        <v>6826.583693891007</v>
      </c>
      <c r="W128" s="87">
        <f>IF(W37=0,0,1000000*W37/TrRoad_act!W77)</f>
        <v>6396.4474560065219</v>
      </c>
      <c r="DA128" s="171" t="s">
        <v>829</v>
      </c>
    </row>
    <row r="129" spans="1:105" ht="11.45" customHeight="1" x14ac:dyDescent="0.25">
      <c r="A129" s="111" t="s">
        <v>113</v>
      </c>
      <c r="B129" s="87">
        <f>IF(B38=0,0,1000000*B38/TrRoad_act!B78)</f>
        <v>0</v>
      </c>
      <c r="C129" s="87">
        <f>IF(C38=0,0,1000000*C38/TrRoad_act!C78)</f>
        <v>0</v>
      </c>
      <c r="D129" s="87">
        <f>IF(D38=0,0,1000000*D38/TrRoad_act!D78)</f>
        <v>0</v>
      </c>
      <c r="E129" s="87">
        <f>IF(E38=0,0,1000000*E38/TrRoad_act!E78)</f>
        <v>0</v>
      </c>
      <c r="F129" s="87">
        <f>IF(F38=0,0,1000000*F38/TrRoad_act!F78)</f>
        <v>0</v>
      </c>
      <c r="G129" s="87">
        <f>IF(G38=0,0,1000000*G38/TrRoad_act!G78)</f>
        <v>0</v>
      </c>
      <c r="H129" s="87">
        <f>IF(H38=0,0,1000000*H38/TrRoad_act!H78)</f>
        <v>3415.6777672794578</v>
      </c>
      <c r="I129" s="87">
        <f>IF(I38=0,0,1000000*I38/TrRoad_act!I78)</f>
        <v>3486.8334183074176</v>
      </c>
      <c r="J129" s="87">
        <f>IF(J38=0,0,1000000*J38/TrRoad_act!J78)</f>
        <v>3297.882261435213</v>
      </c>
      <c r="K129" s="87">
        <f>IF(K38=0,0,1000000*K38/TrRoad_act!K78)</f>
        <v>3154.0370898910764</v>
      </c>
      <c r="L129" s="87">
        <f>IF(L38=0,0,1000000*L38/TrRoad_act!L78)</f>
        <v>2996.9830885003717</v>
      </c>
      <c r="M129" s="87">
        <f>IF(M38=0,0,1000000*M38/TrRoad_act!M78)</f>
        <v>2925.4390921914205</v>
      </c>
      <c r="N129" s="87">
        <f>IF(N38=0,0,1000000*N38/TrRoad_act!N78)</f>
        <v>2841.857879242983</v>
      </c>
      <c r="O129" s="87">
        <f>IF(O38=0,0,1000000*O38/TrRoad_act!O78)</f>
        <v>2845.0251662329738</v>
      </c>
      <c r="P129" s="87">
        <f>IF(P38=0,0,1000000*P38/TrRoad_act!P78)</f>
        <v>2717.0555646578478</v>
      </c>
      <c r="Q129" s="87">
        <f>IF(Q38=0,0,1000000*Q38/TrRoad_act!Q78)</f>
        <v>2693.1068013240106</v>
      </c>
      <c r="R129" s="87">
        <f>IF(R38=0,0,1000000*R38/TrRoad_act!R78)</f>
        <v>2430.3821525311114</v>
      </c>
      <c r="S129" s="87">
        <f>IF(S38=0,0,1000000*S38/TrRoad_act!S78)</f>
        <v>2332.8645499527443</v>
      </c>
      <c r="T129" s="87">
        <f>IF(T38=0,0,1000000*T38/TrRoad_act!T78)</f>
        <v>2222.9592676413549</v>
      </c>
      <c r="U129" s="87">
        <f>IF(U38=0,0,1000000*U38/TrRoad_act!U78)</f>
        <v>2193.1924704668727</v>
      </c>
      <c r="V129" s="87">
        <f>IF(V38=0,0,1000000*V38/TrRoad_act!V78)</f>
        <v>2108.4450806635359</v>
      </c>
      <c r="W129" s="87">
        <f>IF(W38=0,0,1000000*W38/TrRoad_act!W78)</f>
        <v>2056.6480219137093</v>
      </c>
      <c r="DA129" s="171" t="s">
        <v>830</v>
      </c>
    </row>
    <row r="130" spans="1:105" ht="11.45" customHeight="1" x14ac:dyDescent="0.25">
      <c r="A130" s="111" t="s">
        <v>115</v>
      </c>
      <c r="B130" s="87">
        <f>IF(B39=0,0,1000000*B39/TrRoad_act!B79)</f>
        <v>0</v>
      </c>
      <c r="C130" s="87">
        <f>IF(C39=0,0,1000000*C39/TrRoad_act!C79)</f>
        <v>0</v>
      </c>
      <c r="D130" s="87">
        <f>IF(D39=0,0,1000000*D39/TrRoad_act!D79)</f>
        <v>0</v>
      </c>
      <c r="E130" s="87">
        <f>IF(E39=0,0,1000000*E39/TrRoad_act!E79)</f>
        <v>0</v>
      </c>
      <c r="F130" s="87">
        <f>IF(F39=0,0,1000000*F39/TrRoad_act!F79)</f>
        <v>0</v>
      </c>
      <c r="G130" s="87">
        <f>IF(G39=0,0,1000000*G39/TrRoad_act!G79)</f>
        <v>0</v>
      </c>
      <c r="H130" s="87">
        <f>IF(H39=0,0,1000000*H39/TrRoad_act!H79)</f>
        <v>0</v>
      </c>
      <c r="I130" s="87">
        <f>IF(I39=0,0,1000000*I39/TrRoad_act!I79)</f>
        <v>0</v>
      </c>
      <c r="J130" s="87">
        <f>IF(J39=0,0,1000000*J39/TrRoad_act!J79)</f>
        <v>0</v>
      </c>
      <c r="K130" s="87">
        <f>IF(K39=0,0,1000000*K39/TrRoad_act!K79)</f>
        <v>0</v>
      </c>
      <c r="L130" s="87">
        <f>IF(L39=0,0,1000000*L39/TrRoad_act!L79)</f>
        <v>0</v>
      </c>
      <c r="M130" s="87">
        <f>IF(M39=0,0,1000000*M39/TrRoad_act!M79)</f>
        <v>0</v>
      </c>
      <c r="N130" s="87">
        <f>IF(N39=0,0,1000000*N39/TrRoad_act!N79)</f>
        <v>0</v>
      </c>
      <c r="O130" s="87">
        <f>IF(O39=0,0,1000000*O39/TrRoad_act!O79)</f>
        <v>0</v>
      </c>
      <c r="P130" s="87">
        <f>IF(P39=0,0,1000000*P39/TrRoad_act!P79)</f>
        <v>0</v>
      </c>
      <c r="Q130" s="87">
        <f>IF(Q39=0,0,1000000*Q39/TrRoad_act!Q79)</f>
        <v>0</v>
      </c>
      <c r="R130" s="87">
        <f>IF(R39=0,0,1000000*R39/TrRoad_act!R79)</f>
        <v>0</v>
      </c>
      <c r="S130" s="87">
        <f>IF(S39=0,0,1000000*S39/TrRoad_act!S79)</f>
        <v>0</v>
      </c>
      <c r="T130" s="87">
        <f>IF(T39=0,0,1000000*T39/TrRoad_act!T79)</f>
        <v>0</v>
      </c>
      <c r="U130" s="87">
        <f>IF(U39=0,0,1000000*U39/TrRoad_act!U79)</f>
        <v>0</v>
      </c>
      <c r="V130" s="87">
        <f>IF(V39=0,0,1000000*V39/TrRoad_act!V79)</f>
        <v>0</v>
      </c>
      <c r="W130" s="87">
        <f>IF(W39=0,0,1000000*W39/TrRoad_act!W79)</f>
        <v>0</v>
      </c>
      <c r="DA130" s="171" t="s">
        <v>831</v>
      </c>
    </row>
    <row r="131" spans="1:105" ht="11.45" customHeight="1" x14ac:dyDescent="0.25">
      <c r="A131" s="109" t="s">
        <v>158</v>
      </c>
      <c r="B131" s="116">
        <f>IF(B40=0,0,1000000*B40/TrRoad_act!B80)</f>
        <v>52514.967526033819</v>
      </c>
      <c r="C131" s="116">
        <f>IF(C40=0,0,1000000*C40/TrRoad_act!C80)</f>
        <v>63123.64236555434</v>
      </c>
      <c r="D131" s="116">
        <f>IF(D40=0,0,1000000*D40/TrRoad_act!D80)</f>
        <v>72516.162560659199</v>
      </c>
      <c r="E131" s="116">
        <f>IF(E40=0,0,1000000*E40/TrRoad_act!E80)</f>
        <v>79883.095720393263</v>
      </c>
      <c r="F131" s="116">
        <f>IF(F40=0,0,1000000*F40/TrRoad_act!F80)</f>
        <v>78535.513969488456</v>
      </c>
      <c r="G131" s="116">
        <f>IF(G40=0,0,1000000*G40/TrRoad_act!G80)</f>
        <v>82649.451086334069</v>
      </c>
      <c r="H131" s="116">
        <f>IF(H40=0,0,1000000*H40/TrRoad_act!H80)</f>
        <v>75087.092188038499</v>
      </c>
      <c r="I131" s="116">
        <f>IF(I40=0,0,1000000*I40/TrRoad_act!I80)</f>
        <v>72033.920142564602</v>
      </c>
      <c r="J131" s="116">
        <f>IF(J40=0,0,1000000*J40/TrRoad_act!J80)</f>
        <v>66752.949482234937</v>
      </c>
      <c r="K131" s="116">
        <f>IF(K40=0,0,1000000*K40/TrRoad_act!K80)</f>
        <v>63550.511944439058</v>
      </c>
      <c r="L131" s="116">
        <f>IF(L40=0,0,1000000*L40/TrRoad_act!L80)</f>
        <v>69949.28745727567</v>
      </c>
      <c r="M131" s="116">
        <f>IF(M40=0,0,1000000*M40/TrRoad_act!M80)</f>
        <v>63060.676454133609</v>
      </c>
      <c r="N131" s="116">
        <f>IF(N40=0,0,1000000*N40/TrRoad_act!N80)</f>
        <v>64758.951748609623</v>
      </c>
      <c r="O131" s="116">
        <f>IF(O40=0,0,1000000*O40/TrRoad_act!O80)</f>
        <v>80320.653464652583</v>
      </c>
      <c r="P131" s="116">
        <f>IF(P40=0,0,1000000*P40/TrRoad_act!P80)</f>
        <v>75744.980482375337</v>
      </c>
      <c r="Q131" s="116">
        <f>IF(Q40=0,0,1000000*Q40/TrRoad_act!Q80)</f>
        <v>76729.897973857645</v>
      </c>
      <c r="R131" s="116">
        <f>IF(R40=0,0,1000000*R40/TrRoad_act!R80)</f>
        <v>78977.822108096458</v>
      </c>
      <c r="S131" s="116">
        <f>IF(S40=0,0,1000000*S40/TrRoad_act!S80)</f>
        <v>79122.851813484536</v>
      </c>
      <c r="T131" s="116">
        <f>IF(T40=0,0,1000000*T40/TrRoad_act!T80)</f>
        <v>81787.243018817724</v>
      </c>
      <c r="U131" s="116">
        <f>IF(U40=0,0,1000000*U40/TrRoad_act!U80)</f>
        <v>84741.66994599835</v>
      </c>
      <c r="V131" s="116">
        <f>IF(V40=0,0,1000000*V40/TrRoad_act!V80)</f>
        <v>74350.992143295254</v>
      </c>
      <c r="W131" s="116">
        <f>IF(W40=0,0,1000000*W40/TrRoad_act!W80)</f>
        <v>76858.100250779142</v>
      </c>
      <c r="DA131" s="176" t="s">
        <v>832</v>
      </c>
    </row>
    <row r="132" spans="1:105" ht="11.45" customHeight="1" x14ac:dyDescent="0.25">
      <c r="A132" s="128" t="s">
        <v>27</v>
      </c>
      <c r="B132" s="101">
        <f>IF(B41=0,0,1000000*B41/TrRoad_act!B81)</f>
        <v>25145.014065162781</v>
      </c>
      <c r="C132" s="101">
        <f>IF(C41=0,0,1000000*C41/TrRoad_act!C81)</f>
        <v>27199.300590574803</v>
      </c>
      <c r="D132" s="101">
        <f>IF(D41=0,0,1000000*D41/TrRoad_act!D81)</f>
        <v>28749.605655026724</v>
      </c>
      <c r="E132" s="101">
        <f>IF(E41=0,0,1000000*E41/TrRoad_act!E81)</f>
        <v>30491.857855266848</v>
      </c>
      <c r="F132" s="101">
        <f>IF(F41=0,0,1000000*F41/TrRoad_act!F81)</f>
        <v>28822.132823083437</v>
      </c>
      <c r="G132" s="101">
        <f>IF(G41=0,0,1000000*G41/TrRoad_act!G81)</f>
        <v>29059.772121612492</v>
      </c>
      <c r="H132" s="101">
        <f>IF(H41=0,0,1000000*H41/TrRoad_act!H81)</f>
        <v>31592.958284200231</v>
      </c>
      <c r="I132" s="101">
        <f>IF(I41=0,0,1000000*I41/TrRoad_act!I81)</f>
        <v>30850.948420102515</v>
      </c>
      <c r="J132" s="101">
        <f>IF(J41=0,0,1000000*J41/TrRoad_act!J81)</f>
        <v>29202.252324642559</v>
      </c>
      <c r="K132" s="101">
        <f>IF(K41=0,0,1000000*K41/TrRoad_act!K81)</f>
        <v>26877.061767037678</v>
      </c>
      <c r="L132" s="101">
        <f>IF(L41=0,0,1000000*L41/TrRoad_act!L81)</f>
        <v>27574.006850137361</v>
      </c>
      <c r="M132" s="101">
        <f>IF(M41=0,0,1000000*M41/TrRoad_act!M81)</f>
        <v>27288.401429402587</v>
      </c>
      <c r="N132" s="101">
        <f>IF(N41=0,0,1000000*N41/TrRoad_act!N81)</f>
        <v>26965.369683011908</v>
      </c>
      <c r="O132" s="101">
        <f>IF(O41=0,0,1000000*O41/TrRoad_act!O81)</f>
        <v>30282.637788563403</v>
      </c>
      <c r="P132" s="101">
        <f>IF(P41=0,0,1000000*P41/TrRoad_act!P81)</f>
        <v>30483.274521083062</v>
      </c>
      <c r="Q132" s="101">
        <f>IF(Q41=0,0,1000000*Q41/TrRoad_act!Q81)</f>
        <v>31895.682556857959</v>
      </c>
      <c r="R132" s="101">
        <f>IF(R41=0,0,1000000*R41/TrRoad_act!R81)</f>
        <v>33440.17213432982</v>
      </c>
      <c r="S132" s="101">
        <f>IF(S41=0,0,1000000*S41/TrRoad_act!S81)</f>
        <v>33392.518370403581</v>
      </c>
      <c r="T132" s="101">
        <f>IF(T41=0,0,1000000*T41/TrRoad_act!T81)</f>
        <v>33065.839025054316</v>
      </c>
      <c r="U132" s="101">
        <f>IF(U41=0,0,1000000*U41/TrRoad_act!U81)</f>
        <v>33214.324324679925</v>
      </c>
      <c r="V132" s="101">
        <f>IF(V41=0,0,1000000*V41/TrRoad_act!V81)</f>
        <v>30701.557470539294</v>
      </c>
      <c r="W132" s="101">
        <f>IF(W41=0,0,1000000*W41/TrRoad_act!W81)</f>
        <v>31820.320037338101</v>
      </c>
      <c r="DA132" s="175" t="s">
        <v>833</v>
      </c>
    </row>
    <row r="133" spans="1:105" ht="11.45" customHeight="1" x14ac:dyDescent="0.25">
      <c r="A133" s="138" t="s">
        <v>116</v>
      </c>
      <c r="B133" s="88">
        <f>IF(B42=0,0,1000000*B42/TrRoad_act!B82)</f>
        <v>220873.37874358849</v>
      </c>
      <c r="C133" s="88">
        <f>IF(C42=0,0,1000000*C42/TrRoad_act!C82)</f>
        <v>261007.74131969112</v>
      </c>
      <c r="D133" s="88">
        <f>IF(D42=0,0,1000000*D42/TrRoad_act!D82)</f>
        <v>295110.95553986769</v>
      </c>
      <c r="E133" s="88">
        <f>IF(E42=0,0,1000000*E42/TrRoad_act!E82)</f>
        <v>322710.97570030764</v>
      </c>
      <c r="F133" s="88">
        <f>IF(F42=0,0,1000000*F42/TrRoad_act!F82)</f>
        <v>283461.79609578056</v>
      </c>
      <c r="G133" s="88">
        <f>IF(G42=0,0,1000000*G42/TrRoad_act!G82)</f>
        <v>293169.32793936227</v>
      </c>
      <c r="H133" s="88">
        <f>IF(H42=0,0,1000000*H42/TrRoad_act!H82)</f>
        <v>233996.04369941063</v>
      </c>
      <c r="I133" s="88">
        <f>IF(I42=0,0,1000000*I42/TrRoad_act!I82)</f>
        <v>206063.32040202295</v>
      </c>
      <c r="J133" s="88">
        <f>IF(J42=0,0,1000000*J42/TrRoad_act!J82)</f>
        <v>176227.54549334868</v>
      </c>
      <c r="K133" s="88">
        <f>IF(K42=0,0,1000000*K42/TrRoad_act!K82)</f>
        <v>191243.49244088435</v>
      </c>
      <c r="L133" s="88">
        <f>IF(L42=0,0,1000000*L42/TrRoad_act!L82)</f>
        <v>210276.08483773365</v>
      </c>
      <c r="M133" s="88">
        <f>IF(M42=0,0,1000000*M42/TrRoad_act!M82)</f>
        <v>177989.59012978064</v>
      </c>
      <c r="N133" s="88">
        <f>IF(N42=0,0,1000000*N42/TrRoad_act!N82)</f>
        <v>189605.37938960973</v>
      </c>
      <c r="O133" s="88">
        <f>IF(O42=0,0,1000000*O42/TrRoad_act!O82)</f>
        <v>228662.45501994234</v>
      </c>
      <c r="P133" s="88">
        <f>IF(P42=0,0,1000000*P42/TrRoad_act!P82)</f>
        <v>207646.78782108979</v>
      </c>
      <c r="Q133" s="88">
        <f>IF(Q42=0,0,1000000*Q42/TrRoad_act!Q82)</f>
        <v>201185.33878939488</v>
      </c>
      <c r="R133" s="88">
        <f>IF(R42=0,0,1000000*R42/TrRoad_act!R82)</f>
        <v>203237.9369997888</v>
      </c>
      <c r="S133" s="88">
        <f>IF(S42=0,0,1000000*S42/TrRoad_act!S82)</f>
        <v>197436.41268164583</v>
      </c>
      <c r="T133" s="88">
        <f>IF(T42=0,0,1000000*T42/TrRoad_act!T82)</f>
        <v>211003.83747312601</v>
      </c>
      <c r="U133" s="88">
        <f>IF(U42=0,0,1000000*U42/TrRoad_act!U82)</f>
        <v>220432.97132541283</v>
      </c>
      <c r="V133" s="88">
        <f>IF(V42=0,0,1000000*V42/TrRoad_act!V82)</f>
        <v>187858.13906421914</v>
      </c>
      <c r="W133" s="88">
        <f>IF(W42=0,0,1000000*W42/TrRoad_act!W82)</f>
        <v>189450.01515887713</v>
      </c>
      <c r="DA133" s="178" t="s">
        <v>834</v>
      </c>
    </row>
    <row r="134" spans="1:105" x14ac:dyDescent="0.25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DA134" s="171"/>
    </row>
    <row r="135" spans="1:105" ht="11.45" customHeight="1" x14ac:dyDescent="0.25">
      <c r="A135" s="53" t="s">
        <v>41</v>
      </c>
      <c r="B135" s="76">
        <f t="shared" ref="B135:V147" si="40">IF(B17=0,0,B17/B$17)</f>
        <v>1</v>
      </c>
      <c r="C135" s="76">
        <f t="shared" si="40"/>
        <v>1</v>
      </c>
      <c r="D135" s="76">
        <f t="shared" si="40"/>
        <v>1</v>
      </c>
      <c r="E135" s="76">
        <f t="shared" si="40"/>
        <v>1</v>
      </c>
      <c r="F135" s="76">
        <f t="shared" si="40"/>
        <v>1</v>
      </c>
      <c r="G135" s="76">
        <f t="shared" si="40"/>
        <v>1</v>
      </c>
      <c r="H135" s="76">
        <f t="shared" si="40"/>
        <v>1</v>
      </c>
      <c r="I135" s="76">
        <f t="shared" si="40"/>
        <v>1</v>
      </c>
      <c r="J135" s="76">
        <f t="shared" si="40"/>
        <v>1</v>
      </c>
      <c r="K135" s="76">
        <f t="shared" si="40"/>
        <v>1</v>
      </c>
      <c r="L135" s="76">
        <f t="shared" ref="L135:L147" si="41">IF(L17=0,0,L17/L$17)</f>
        <v>1</v>
      </c>
      <c r="M135" s="76">
        <f t="shared" si="40"/>
        <v>1</v>
      </c>
      <c r="N135" s="76">
        <f t="shared" si="40"/>
        <v>1</v>
      </c>
      <c r="O135" s="76">
        <f t="shared" si="40"/>
        <v>1</v>
      </c>
      <c r="P135" s="76">
        <f t="shared" si="40"/>
        <v>1</v>
      </c>
      <c r="Q135" s="76">
        <f t="shared" si="40"/>
        <v>1</v>
      </c>
      <c r="R135" s="76">
        <f t="shared" si="40"/>
        <v>1</v>
      </c>
      <c r="S135" s="76">
        <f t="shared" si="40"/>
        <v>1</v>
      </c>
      <c r="T135" s="76">
        <f t="shared" si="40"/>
        <v>1</v>
      </c>
      <c r="U135" s="76">
        <f t="shared" si="40"/>
        <v>1</v>
      </c>
      <c r="V135" s="76">
        <f t="shared" si="40"/>
        <v>1</v>
      </c>
      <c r="W135" s="76">
        <f t="shared" ref="W135:W146" si="42">IF(W17=0,0,W17/W$17)</f>
        <v>1</v>
      </c>
      <c r="DA135" s="183"/>
    </row>
    <row r="136" spans="1:105" ht="11.45" customHeight="1" x14ac:dyDescent="0.25">
      <c r="A136" s="27" t="s">
        <v>33</v>
      </c>
      <c r="B136" s="46">
        <f t="shared" si="40"/>
        <v>0.67622930479362597</v>
      </c>
      <c r="C136" s="46">
        <f t="shared" si="40"/>
        <v>0.65726953008548905</v>
      </c>
      <c r="D136" s="46">
        <f t="shared" si="40"/>
        <v>0.65724934023543635</v>
      </c>
      <c r="E136" s="46">
        <f t="shared" si="40"/>
        <v>0.65479070589116073</v>
      </c>
      <c r="F136" s="46">
        <f t="shared" si="40"/>
        <v>0.65786089242976609</v>
      </c>
      <c r="G136" s="46">
        <f t="shared" si="40"/>
        <v>0.65405372673350315</v>
      </c>
      <c r="H136" s="46">
        <f t="shared" si="40"/>
        <v>0.66690019862468908</v>
      </c>
      <c r="I136" s="46">
        <f t="shared" si="40"/>
        <v>0.67088703004262906</v>
      </c>
      <c r="J136" s="46">
        <f t="shared" si="40"/>
        <v>0.66723570840851454</v>
      </c>
      <c r="K136" s="46">
        <f t="shared" si="40"/>
        <v>0.67517996754819742</v>
      </c>
      <c r="L136" s="46">
        <f t="shared" si="41"/>
        <v>0.66070119772570179</v>
      </c>
      <c r="M136" s="46">
        <f t="shared" si="40"/>
        <v>0.67064548503616761</v>
      </c>
      <c r="N136" s="46">
        <f t="shared" si="40"/>
        <v>0.66425602432741782</v>
      </c>
      <c r="O136" s="46">
        <f t="shared" si="40"/>
        <v>0.63723206629128026</v>
      </c>
      <c r="P136" s="46">
        <f t="shared" si="40"/>
        <v>0.6481634567352762</v>
      </c>
      <c r="Q136" s="46">
        <f t="shared" si="40"/>
        <v>0.64666032224786085</v>
      </c>
      <c r="R136" s="46">
        <f t="shared" si="40"/>
        <v>0.64327159818164481</v>
      </c>
      <c r="S136" s="46">
        <f t="shared" si="40"/>
        <v>0.63756432815137543</v>
      </c>
      <c r="T136" s="46">
        <f t="shared" si="40"/>
        <v>0.62519722221326635</v>
      </c>
      <c r="U136" s="46">
        <f t="shared" si="40"/>
        <v>0.60887092396729448</v>
      </c>
      <c r="V136" s="46">
        <f t="shared" si="40"/>
        <v>0.59467390633950146</v>
      </c>
      <c r="W136" s="46">
        <f t="shared" si="42"/>
        <v>0.58773551005560887</v>
      </c>
      <c r="DA136" s="211"/>
    </row>
    <row r="137" spans="1:105" ht="11.45" customHeight="1" x14ac:dyDescent="0.25">
      <c r="A137" s="153" t="s">
        <v>180</v>
      </c>
      <c r="B137" s="154">
        <f t="shared" si="40"/>
        <v>5.3796901896832712E-3</v>
      </c>
      <c r="C137" s="154">
        <f t="shared" si="40"/>
        <v>5.1294472582866244E-3</v>
      </c>
      <c r="D137" s="154">
        <f t="shared" si="40"/>
        <v>4.764089899591783E-3</v>
      </c>
      <c r="E137" s="154">
        <f t="shared" si="40"/>
        <v>4.5798737880431055E-3</v>
      </c>
      <c r="F137" s="154">
        <f t="shared" si="40"/>
        <v>4.7259012598134115E-3</v>
      </c>
      <c r="G137" s="154">
        <f t="shared" si="40"/>
        <v>4.7008665237596456E-3</v>
      </c>
      <c r="H137" s="154">
        <f t="shared" si="40"/>
        <v>5.0824970510821845E-3</v>
      </c>
      <c r="I137" s="154">
        <f t="shared" si="40"/>
        <v>5.190561986946186E-3</v>
      </c>
      <c r="J137" s="154">
        <f t="shared" si="40"/>
        <v>5.5323164799028291E-3</v>
      </c>
      <c r="K137" s="154">
        <f t="shared" si="40"/>
        <v>5.9242847274317886E-3</v>
      </c>
      <c r="L137" s="154">
        <f t="shared" si="41"/>
        <v>5.8600358177239879E-3</v>
      </c>
      <c r="M137" s="154">
        <f t="shared" si="40"/>
        <v>6.3190486533869451E-3</v>
      </c>
      <c r="N137" s="154">
        <f t="shared" si="40"/>
        <v>6.5773072780246694E-3</v>
      </c>
      <c r="O137" s="154">
        <f t="shared" si="40"/>
        <v>6.4119478425289419E-3</v>
      </c>
      <c r="P137" s="154">
        <f t="shared" si="40"/>
        <v>6.7692746659513553E-3</v>
      </c>
      <c r="Q137" s="154">
        <f t="shared" si="40"/>
        <v>6.8444247291041165E-3</v>
      </c>
      <c r="R137" s="154">
        <f t="shared" si="40"/>
        <v>6.7488638506680802E-3</v>
      </c>
      <c r="S137" s="154">
        <f t="shared" si="40"/>
        <v>6.5027888291130063E-3</v>
      </c>
      <c r="T137" s="154">
        <f t="shared" si="40"/>
        <v>6.1345838550172687E-3</v>
      </c>
      <c r="U137" s="154">
        <f t="shared" si="40"/>
        <v>6.5018748173323202E-3</v>
      </c>
      <c r="V137" s="154">
        <f t="shared" si="40"/>
        <v>6.6554499162591527E-3</v>
      </c>
      <c r="W137" s="154">
        <f t="shared" si="42"/>
        <v>6.1376037993927475E-3</v>
      </c>
      <c r="DA137" s="212"/>
    </row>
    <row r="138" spans="1:105" ht="11.45" customHeight="1" x14ac:dyDescent="0.25">
      <c r="A138" s="155" t="s">
        <v>20</v>
      </c>
      <c r="B138" s="156">
        <f t="shared" si="40"/>
        <v>0.62637712961069869</v>
      </c>
      <c r="C138" s="156">
        <f t="shared" si="40"/>
        <v>0.61065881774604114</v>
      </c>
      <c r="D138" s="156">
        <f t="shared" si="40"/>
        <v>0.61382330369082549</v>
      </c>
      <c r="E138" s="156">
        <f t="shared" si="40"/>
        <v>0.61300223074642679</v>
      </c>
      <c r="F138" s="156">
        <f t="shared" si="40"/>
        <v>0.61682464269812276</v>
      </c>
      <c r="G138" s="156">
        <f t="shared" si="40"/>
        <v>0.61465182280397523</v>
      </c>
      <c r="H138" s="156">
        <f t="shared" si="40"/>
        <v>0.62719341713029031</v>
      </c>
      <c r="I138" s="156">
        <f t="shared" si="40"/>
        <v>0.62970255957463217</v>
      </c>
      <c r="J138" s="156">
        <f t="shared" si="40"/>
        <v>0.62548172718085449</v>
      </c>
      <c r="K138" s="156">
        <f t="shared" si="40"/>
        <v>0.63526076579517576</v>
      </c>
      <c r="L138" s="156">
        <f t="shared" si="41"/>
        <v>0.61920404132743767</v>
      </c>
      <c r="M138" s="156">
        <f t="shared" si="40"/>
        <v>0.62748917064482057</v>
      </c>
      <c r="N138" s="156">
        <f t="shared" si="40"/>
        <v>0.62073505626069647</v>
      </c>
      <c r="O138" s="156">
        <f t="shared" si="40"/>
        <v>0.59616227335499972</v>
      </c>
      <c r="P138" s="156">
        <f t="shared" si="40"/>
        <v>0.60575458183013053</v>
      </c>
      <c r="Q138" s="156">
        <f t="shared" si="40"/>
        <v>0.60444250530945876</v>
      </c>
      <c r="R138" s="156">
        <f t="shared" si="40"/>
        <v>0.60014699260160842</v>
      </c>
      <c r="S138" s="156">
        <f t="shared" si="40"/>
        <v>0.5937366039172205</v>
      </c>
      <c r="T138" s="156">
        <f t="shared" si="40"/>
        <v>0.58355784721120263</v>
      </c>
      <c r="U138" s="156">
        <f t="shared" si="40"/>
        <v>0.56711089925213853</v>
      </c>
      <c r="V138" s="156">
        <f t="shared" si="40"/>
        <v>0.54763009060792234</v>
      </c>
      <c r="W138" s="156">
        <f t="shared" si="42"/>
        <v>0.54259835814186574</v>
      </c>
      <c r="DA138" s="213"/>
    </row>
    <row r="139" spans="1:105" ht="11.45" customHeight="1" x14ac:dyDescent="0.25">
      <c r="A139" s="157" t="s">
        <v>110</v>
      </c>
      <c r="B139" s="103">
        <f t="shared" si="40"/>
        <v>0.31206238027429078</v>
      </c>
      <c r="C139" s="103">
        <f t="shared" si="40"/>
        <v>0.29232629126266657</v>
      </c>
      <c r="D139" s="103">
        <f t="shared" si="40"/>
        <v>0.28737216357215611</v>
      </c>
      <c r="E139" s="103">
        <f t="shared" si="40"/>
        <v>0.27581734203830099</v>
      </c>
      <c r="F139" s="103">
        <f t="shared" si="40"/>
        <v>0.26779531095228942</v>
      </c>
      <c r="G139" s="103">
        <f t="shared" si="40"/>
        <v>0.25335787468072701</v>
      </c>
      <c r="H139" s="103">
        <f t="shared" si="40"/>
        <v>0.25592287741713809</v>
      </c>
      <c r="I139" s="103">
        <f t="shared" si="40"/>
        <v>0.2476200216495642</v>
      </c>
      <c r="J139" s="103">
        <f t="shared" si="40"/>
        <v>0.24369202084094738</v>
      </c>
      <c r="K139" s="103">
        <f t="shared" si="40"/>
        <v>0.23914800682710396</v>
      </c>
      <c r="L139" s="103">
        <f t="shared" si="41"/>
        <v>0.2289492355341631</v>
      </c>
      <c r="M139" s="103">
        <f t="shared" si="40"/>
        <v>0.22075120207202134</v>
      </c>
      <c r="N139" s="103">
        <f t="shared" si="40"/>
        <v>0.21464384058128602</v>
      </c>
      <c r="O139" s="103">
        <f t="shared" si="40"/>
        <v>0.19788617829644753</v>
      </c>
      <c r="P139" s="103">
        <f t="shared" si="40"/>
        <v>0.19715560387778536</v>
      </c>
      <c r="Q139" s="103">
        <f t="shared" si="40"/>
        <v>0.19501596839239008</v>
      </c>
      <c r="R139" s="103">
        <f t="shared" si="40"/>
        <v>0.18592213282821285</v>
      </c>
      <c r="S139" s="103">
        <f t="shared" si="40"/>
        <v>0.18010106389987834</v>
      </c>
      <c r="T139" s="103">
        <f t="shared" si="40"/>
        <v>0.18466677540589468</v>
      </c>
      <c r="U139" s="103">
        <f t="shared" si="40"/>
        <v>0.1827479642041123</v>
      </c>
      <c r="V139" s="103">
        <f t="shared" si="40"/>
        <v>0.17188694735040064</v>
      </c>
      <c r="W139" s="103">
        <f t="shared" si="42"/>
        <v>0.17489636762063016</v>
      </c>
      <c r="DA139" s="191"/>
    </row>
    <row r="140" spans="1:105" ht="11.45" customHeight="1" x14ac:dyDescent="0.25">
      <c r="A140" s="157" t="s">
        <v>111</v>
      </c>
      <c r="B140" s="103">
        <f t="shared" si="40"/>
        <v>0.31186848667931871</v>
      </c>
      <c r="C140" s="103">
        <f t="shared" si="40"/>
        <v>0.31592604410753372</v>
      </c>
      <c r="D140" s="103">
        <f t="shared" si="40"/>
        <v>0.32364225567746979</v>
      </c>
      <c r="E140" s="103">
        <f t="shared" si="40"/>
        <v>0.33407863921859082</v>
      </c>
      <c r="F140" s="103">
        <f t="shared" si="40"/>
        <v>0.3465026975331415</v>
      </c>
      <c r="G140" s="103">
        <f t="shared" si="40"/>
        <v>0.3590164224587114</v>
      </c>
      <c r="H140" s="103">
        <f t="shared" si="40"/>
        <v>0.36886284592584373</v>
      </c>
      <c r="I140" s="103">
        <f t="shared" si="40"/>
        <v>0.37981440047721243</v>
      </c>
      <c r="J140" s="103">
        <f t="shared" si="40"/>
        <v>0.37914009342054655</v>
      </c>
      <c r="K140" s="103">
        <f t="shared" si="40"/>
        <v>0.39355681738123904</v>
      </c>
      <c r="L140" s="103">
        <f t="shared" si="41"/>
        <v>0.38801750311990185</v>
      </c>
      <c r="M140" s="103">
        <f t="shared" si="40"/>
        <v>0.4043952363646014</v>
      </c>
      <c r="N140" s="103">
        <f t="shared" si="40"/>
        <v>0.4035558905109935</v>
      </c>
      <c r="O140" s="103">
        <f t="shared" si="40"/>
        <v>0.39600763086322399</v>
      </c>
      <c r="P140" s="103">
        <f t="shared" si="40"/>
        <v>0.40653114508919397</v>
      </c>
      <c r="Q140" s="103">
        <f t="shared" si="40"/>
        <v>0.40774206077987712</v>
      </c>
      <c r="R140" s="103">
        <f t="shared" si="40"/>
        <v>0.412670259429952</v>
      </c>
      <c r="S140" s="103">
        <f t="shared" si="40"/>
        <v>0.41204306736225482</v>
      </c>
      <c r="T140" s="103">
        <f t="shared" si="40"/>
        <v>0.39762426469454076</v>
      </c>
      <c r="U140" s="103">
        <f t="shared" si="40"/>
        <v>0.38313194089585573</v>
      </c>
      <c r="V140" s="103">
        <f t="shared" si="40"/>
        <v>0.37457566621901189</v>
      </c>
      <c r="W140" s="103">
        <f t="shared" si="42"/>
        <v>0.36633444917333469</v>
      </c>
      <c r="DA140" s="191"/>
    </row>
    <row r="141" spans="1:105" ht="11.45" customHeight="1" x14ac:dyDescent="0.25">
      <c r="A141" s="157" t="s">
        <v>112</v>
      </c>
      <c r="B141" s="103">
        <f t="shared" si="40"/>
        <v>2.4462626570891191E-3</v>
      </c>
      <c r="C141" s="103">
        <f t="shared" si="40"/>
        <v>2.406482375840879E-3</v>
      </c>
      <c r="D141" s="103">
        <f t="shared" si="40"/>
        <v>2.8088844411995719E-3</v>
      </c>
      <c r="E141" s="103">
        <f t="shared" si="40"/>
        <v>3.1062494895350199E-3</v>
      </c>
      <c r="F141" s="103">
        <f t="shared" si="40"/>
        <v>2.5266342126918813E-3</v>
      </c>
      <c r="G141" s="103">
        <f t="shared" si="40"/>
        <v>2.2775256645367497E-3</v>
      </c>
      <c r="H141" s="103">
        <f t="shared" si="40"/>
        <v>2.4013495552740781E-3</v>
      </c>
      <c r="I141" s="103">
        <f t="shared" si="40"/>
        <v>2.2437108031451206E-3</v>
      </c>
      <c r="J141" s="103">
        <f t="shared" si="40"/>
        <v>2.5323922100198341E-3</v>
      </c>
      <c r="K141" s="103">
        <f t="shared" si="40"/>
        <v>2.4129858445552771E-3</v>
      </c>
      <c r="L141" s="103">
        <f t="shared" si="41"/>
        <v>2.0662348051305574E-3</v>
      </c>
      <c r="M141" s="103">
        <f t="shared" si="40"/>
        <v>2.0138470525152279E-3</v>
      </c>
      <c r="N141" s="103">
        <f t="shared" si="40"/>
        <v>2.1536291355871329E-3</v>
      </c>
      <c r="O141" s="103">
        <f t="shared" si="40"/>
        <v>1.8683503941195004E-3</v>
      </c>
      <c r="P141" s="103">
        <f t="shared" si="40"/>
        <v>1.6132696277884866E-3</v>
      </c>
      <c r="Q141" s="103">
        <f t="shared" si="40"/>
        <v>1.1642171327947953E-3</v>
      </c>
      <c r="R141" s="103">
        <f t="shared" si="40"/>
        <v>1.0276856732258778E-3</v>
      </c>
      <c r="S141" s="103">
        <f t="shared" si="40"/>
        <v>9.9868560586336731E-4</v>
      </c>
      <c r="T141" s="103">
        <f t="shared" si="40"/>
        <v>6.0964747775791662E-4</v>
      </c>
      <c r="U141" s="103">
        <f t="shared" si="40"/>
        <v>5.0623672720605912E-4</v>
      </c>
      <c r="V141" s="103">
        <f t="shared" si="40"/>
        <v>2.9059222697928422E-4</v>
      </c>
      <c r="W141" s="103">
        <f t="shared" si="42"/>
        <v>2.0788022236602419E-4</v>
      </c>
      <c r="DA141" s="191"/>
    </row>
    <row r="142" spans="1:105" ht="11.45" customHeight="1" x14ac:dyDescent="0.25">
      <c r="A142" s="157" t="s">
        <v>113</v>
      </c>
      <c r="B142" s="103">
        <f t="shared" si="40"/>
        <v>0</v>
      </c>
      <c r="C142" s="103">
        <f t="shared" si="40"/>
        <v>0</v>
      </c>
      <c r="D142" s="103">
        <f t="shared" si="40"/>
        <v>0</v>
      </c>
      <c r="E142" s="103">
        <f t="shared" si="40"/>
        <v>0</v>
      </c>
      <c r="F142" s="103">
        <f t="shared" si="40"/>
        <v>0</v>
      </c>
      <c r="G142" s="103">
        <f t="shared" si="40"/>
        <v>0</v>
      </c>
      <c r="H142" s="103">
        <f t="shared" si="40"/>
        <v>6.3442320344279152E-6</v>
      </c>
      <c r="I142" s="103">
        <f t="shared" si="40"/>
        <v>2.4426644710387008E-5</v>
      </c>
      <c r="J142" s="103">
        <f t="shared" si="40"/>
        <v>1.172207093406874E-4</v>
      </c>
      <c r="K142" s="103">
        <f t="shared" si="40"/>
        <v>1.4295574227748162E-4</v>
      </c>
      <c r="L142" s="103">
        <f t="shared" si="41"/>
        <v>1.7106786824217147E-4</v>
      </c>
      <c r="M142" s="103">
        <f t="shared" si="40"/>
        <v>3.2879520260615044E-4</v>
      </c>
      <c r="N142" s="103">
        <f t="shared" si="40"/>
        <v>3.7296853836795086E-4</v>
      </c>
      <c r="O142" s="103">
        <f t="shared" si="40"/>
        <v>3.9129355088516233E-4</v>
      </c>
      <c r="P142" s="103">
        <f t="shared" si="40"/>
        <v>4.3507049022174034E-4</v>
      </c>
      <c r="Q142" s="103">
        <f t="shared" si="40"/>
        <v>4.7259006669509801E-4</v>
      </c>
      <c r="R142" s="103">
        <f t="shared" si="40"/>
        <v>4.4292290874487134E-4</v>
      </c>
      <c r="S142" s="103">
        <f t="shared" si="40"/>
        <v>4.4276115774387895E-4</v>
      </c>
      <c r="T142" s="103">
        <f t="shared" si="40"/>
        <v>4.3415155625762392E-4</v>
      </c>
      <c r="U142" s="103">
        <f t="shared" si="40"/>
        <v>4.211482457930769E-4</v>
      </c>
      <c r="V142" s="103">
        <f t="shared" si="40"/>
        <v>4.1684953742017304E-4</v>
      </c>
      <c r="W142" s="103">
        <f t="shared" si="42"/>
        <v>3.882457845303863E-4</v>
      </c>
      <c r="DA142" s="191"/>
    </row>
    <row r="143" spans="1:105" ht="11.45" customHeight="1" x14ac:dyDescent="0.25">
      <c r="A143" s="157" t="s">
        <v>114</v>
      </c>
      <c r="B143" s="103">
        <f t="shared" si="40"/>
        <v>0</v>
      </c>
      <c r="C143" s="103">
        <f t="shared" si="40"/>
        <v>0</v>
      </c>
      <c r="D143" s="103">
        <f t="shared" si="40"/>
        <v>0</v>
      </c>
      <c r="E143" s="103">
        <f t="shared" si="40"/>
        <v>0</v>
      </c>
      <c r="F143" s="103">
        <f t="shared" si="40"/>
        <v>0</v>
      </c>
      <c r="G143" s="103">
        <f t="shared" si="40"/>
        <v>0</v>
      </c>
      <c r="H143" s="103">
        <f t="shared" si="40"/>
        <v>0</v>
      </c>
      <c r="I143" s="103">
        <f t="shared" si="40"/>
        <v>0</v>
      </c>
      <c r="J143" s="103">
        <f t="shared" si="40"/>
        <v>0</v>
      </c>
      <c r="K143" s="103">
        <f t="shared" si="40"/>
        <v>0</v>
      </c>
      <c r="L143" s="103">
        <f t="shared" si="41"/>
        <v>0</v>
      </c>
      <c r="M143" s="103">
        <f t="shared" si="40"/>
        <v>8.9953076535360196E-8</v>
      </c>
      <c r="N143" s="103">
        <f t="shared" si="40"/>
        <v>8.7274944618102582E-6</v>
      </c>
      <c r="O143" s="103">
        <f t="shared" si="40"/>
        <v>8.820250323572914E-6</v>
      </c>
      <c r="P143" s="103">
        <f t="shared" si="40"/>
        <v>1.9492745141067663E-5</v>
      </c>
      <c r="Q143" s="103">
        <f t="shared" si="40"/>
        <v>4.7668937701587505E-5</v>
      </c>
      <c r="R143" s="103">
        <f t="shared" si="40"/>
        <v>8.3991761472795791E-5</v>
      </c>
      <c r="S143" s="103">
        <f t="shared" si="40"/>
        <v>1.5102589148005473E-4</v>
      </c>
      <c r="T143" s="103">
        <f t="shared" si="40"/>
        <v>2.2300807675161067E-4</v>
      </c>
      <c r="U143" s="103">
        <f t="shared" si="40"/>
        <v>3.0360917917139239E-4</v>
      </c>
      <c r="V143" s="103">
        <f t="shared" si="40"/>
        <v>4.6003527411034556E-4</v>
      </c>
      <c r="W143" s="103">
        <f t="shared" si="42"/>
        <v>7.7141534100458732E-4</v>
      </c>
      <c r="DA143" s="191"/>
    </row>
    <row r="144" spans="1:105" ht="11.45" customHeight="1" x14ac:dyDescent="0.25">
      <c r="A144" s="157" t="s">
        <v>115</v>
      </c>
      <c r="B144" s="103">
        <f t="shared" si="40"/>
        <v>0</v>
      </c>
      <c r="C144" s="103">
        <f t="shared" si="40"/>
        <v>0</v>
      </c>
      <c r="D144" s="103">
        <f t="shared" si="40"/>
        <v>0</v>
      </c>
      <c r="E144" s="103">
        <f t="shared" si="40"/>
        <v>0</v>
      </c>
      <c r="F144" s="103">
        <f t="shared" si="40"/>
        <v>0</v>
      </c>
      <c r="G144" s="103">
        <f t="shared" si="40"/>
        <v>0</v>
      </c>
      <c r="H144" s="103">
        <f t="shared" si="40"/>
        <v>0</v>
      </c>
      <c r="I144" s="103">
        <f t="shared" si="40"/>
        <v>0</v>
      </c>
      <c r="J144" s="103">
        <f t="shared" si="40"/>
        <v>0</v>
      </c>
      <c r="K144" s="103">
        <f t="shared" si="40"/>
        <v>0</v>
      </c>
      <c r="L144" s="103">
        <f t="shared" si="41"/>
        <v>0</v>
      </c>
      <c r="M144" s="103">
        <f t="shared" si="40"/>
        <v>0</v>
      </c>
      <c r="N144" s="103">
        <f t="shared" si="40"/>
        <v>0</v>
      </c>
      <c r="O144" s="103">
        <f t="shared" si="40"/>
        <v>0</v>
      </c>
      <c r="P144" s="103">
        <f t="shared" si="40"/>
        <v>0</v>
      </c>
      <c r="Q144" s="103">
        <f t="shared" si="40"/>
        <v>0</v>
      </c>
      <c r="R144" s="103">
        <f t="shared" si="40"/>
        <v>0</v>
      </c>
      <c r="S144" s="103">
        <f t="shared" si="40"/>
        <v>0</v>
      </c>
      <c r="T144" s="103">
        <f t="shared" si="40"/>
        <v>0</v>
      </c>
      <c r="U144" s="103">
        <f t="shared" si="40"/>
        <v>0</v>
      </c>
      <c r="V144" s="103">
        <f t="shared" si="40"/>
        <v>0</v>
      </c>
      <c r="W144" s="103">
        <f t="shared" si="42"/>
        <v>0</v>
      </c>
      <c r="DA144" s="191"/>
    </row>
    <row r="145" spans="1:105" ht="11.45" customHeight="1" x14ac:dyDescent="0.25">
      <c r="A145" s="155" t="s">
        <v>21</v>
      </c>
      <c r="B145" s="156">
        <f t="shared" si="40"/>
        <v>4.4472484993243987E-2</v>
      </c>
      <c r="C145" s="156">
        <f t="shared" si="40"/>
        <v>4.1481265081161178E-2</v>
      </c>
      <c r="D145" s="156">
        <f t="shared" si="40"/>
        <v>3.866194664501902E-2</v>
      </c>
      <c r="E145" s="156">
        <f t="shared" si="40"/>
        <v>3.7208601356690803E-2</v>
      </c>
      <c r="F145" s="156">
        <f t="shared" si="40"/>
        <v>3.6310348471829866E-2</v>
      </c>
      <c r="G145" s="156">
        <f t="shared" si="40"/>
        <v>3.4701037405768305E-2</v>
      </c>
      <c r="H145" s="156">
        <f t="shared" si="40"/>
        <v>3.4624284443316632E-2</v>
      </c>
      <c r="I145" s="156">
        <f t="shared" si="40"/>
        <v>3.5993908481050746E-2</v>
      </c>
      <c r="J145" s="156">
        <f t="shared" si="40"/>
        <v>3.6221664747757128E-2</v>
      </c>
      <c r="K145" s="156">
        <f t="shared" si="40"/>
        <v>3.3994917025589801E-2</v>
      </c>
      <c r="L145" s="156">
        <f t="shared" si="41"/>
        <v>3.5637120580540166E-2</v>
      </c>
      <c r="M145" s="156">
        <f t="shared" si="40"/>
        <v>3.6837265737960041E-2</v>
      </c>
      <c r="N145" s="156">
        <f t="shared" si="40"/>
        <v>3.6943660788696785E-2</v>
      </c>
      <c r="O145" s="156">
        <f t="shared" si="40"/>
        <v>3.4657845093751555E-2</v>
      </c>
      <c r="P145" s="156">
        <f t="shared" si="40"/>
        <v>3.563960023919429E-2</v>
      </c>
      <c r="Q145" s="156">
        <f t="shared" si="40"/>
        <v>3.5373392209298055E-2</v>
      </c>
      <c r="R145" s="156">
        <f t="shared" si="40"/>
        <v>3.6375741729368319E-2</v>
      </c>
      <c r="S145" s="156">
        <f t="shared" si="40"/>
        <v>3.7324935405041948E-2</v>
      </c>
      <c r="T145" s="156">
        <f t="shared" si="40"/>
        <v>3.5504791147046418E-2</v>
      </c>
      <c r="U145" s="156">
        <f t="shared" si="40"/>
        <v>3.5258149897823769E-2</v>
      </c>
      <c r="V145" s="156">
        <f t="shared" si="40"/>
        <v>4.0388365815320008E-2</v>
      </c>
      <c r="W145" s="156">
        <f t="shared" si="42"/>
        <v>3.8999548114350323E-2</v>
      </c>
      <c r="DA145" s="213"/>
    </row>
    <row r="146" spans="1:105" ht="11.45" customHeight="1" x14ac:dyDescent="0.25">
      <c r="A146" s="157" t="s">
        <v>110</v>
      </c>
      <c r="B146" s="103">
        <f t="shared" si="40"/>
        <v>2.086435539106572E-5</v>
      </c>
      <c r="C146" s="103">
        <f t="shared" si="40"/>
        <v>2.1096929587919633E-5</v>
      </c>
      <c r="D146" s="103">
        <f t="shared" si="40"/>
        <v>1.6857947610472653E-5</v>
      </c>
      <c r="E146" s="103">
        <f t="shared" si="40"/>
        <v>1.4786730770082793E-5</v>
      </c>
      <c r="F146" s="103">
        <f t="shared" si="40"/>
        <v>1.2804291381487613E-5</v>
      </c>
      <c r="G146" s="103">
        <f t="shared" si="40"/>
        <v>9.7446058339988604E-6</v>
      </c>
      <c r="H146" s="103">
        <f t="shared" si="40"/>
        <v>8.644541278374458E-6</v>
      </c>
      <c r="I146" s="103">
        <f t="shared" si="40"/>
        <v>8.7322731676292913E-6</v>
      </c>
      <c r="J146" s="103">
        <f t="shared" si="40"/>
        <v>7.1308320798000222E-6</v>
      </c>
      <c r="K146" s="103">
        <f t="shared" si="40"/>
        <v>5.0883459696237087E-6</v>
      </c>
      <c r="L146" s="103">
        <f t="shared" si="41"/>
        <v>5.2786474592123004E-6</v>
      </c>
      <c r="M146" s="103">
        <f t="shared" si="40"/>
        <v>4.0238872394694906E-6</v>
      </c>
      <c r="N146" s="103">
        <f t="shared" si="40"/>
        <v>4.0560051686404745E-6</v>
      </c>
      <c r="O146" s="103">
        <f t="shared" si="40"/>
        <v>2.4061399123400821E-6</v>
      </c>
      <c r="P146" s="103">
        <f t="shared" si="40"/>
        <v>2.9176460884545887E-6</v>
      </c>
      <c r="Q146" s="103">
        <f t="shared" si="40"/>
        <v>2.3168073685086332E-6</v>
      </c>
      <c r="R146" s="103">
        <f t="shared" si="40"/>
        <v>2.9631526204503216E-6</v>
      </c>
      <c r="S146" s="103">
        <f t="shared" si="40"/>
        <v>2.9383828613393532E-6</v>
      </c>
      <c r="T146" s="103">
        <f t="shared" si="40"/>
        <v>2.8825237524036727E-6</v>
      </c>
      <c r="U146" s="103">
        <f t="shared" si="40"/>
        <v>2.811843533626769E-6</v>
      </c>
      <c r="V146" s="103">
        <f t="shared" si="40"/>
        <v>2.3462029011797755E-6</v>
      </c>
      <c r="W146" s="103">
        <f t="shared" si="42"/>
        <v>3.0198075521789202E-6</v>
      </c>
      <c r="DA146" s="191"/>
    </row>
    <row r="147" spans="1:105" ht="11.45" customHeight="1" x14ac:dyDescent="0.25">
      <c r="A147" s="157" t="s">
        <v>111</v>
      </c>
      <c r="B147" s="103">
        <f t="shared" si="40"/>
        <v>4.4451620637852921E-2</v>
      </c>
      <c r="C147" s="103">
        <f t="shared" si="40"/>
        <v>4.1439922284727898E-2</v>
      </c>
      <c r="D147" s="103">
        <f t="shared" si="40"/>
        <v>3.8583710257482452E-2</v>
      </c>
      <c r="E147" s="103">
        <f t="shared" si="40"/>
        <v>3.7108875527761084E-2</v>
      </c>
      <c r="F147" s="103">
        <f t="shared" si="40"/>
        <v>3.6150377938104925E-2</v>
      </c>
      <c r="G147" s="103">
        <f t="shared" si="40"/>
        <v>3.4493627014654464E-2</v>
      </c>
      <c r="H147" s="103">
        <f t="shared" si="40"/>
        <v>3.4384906168343651E-2</v>
      </c>
      <c r="I147" s="103">
        <f t="shared" si="40"/>
        <v>3.5566415155672888E-2</v>
      </c>
      <c r="J147" s="103">
        <f t="shared" si="40"/>
        <v>3.5678085736780232E-2</v>
      </c>
      <c r="K147" s="103">
        <f t="shared" si="40"/>
        <v>3.2849312996277677E-2</v>
      </c>
      <c r="L147" s="103">
        <f t="shared" si="41"/>
        <v>3.4149873507080895E-2</v>
      </c>
      <c r="M147" s="103">
        <f t="shared" si="40"/>
        <v>3.5299221528381247E-2</v>
      </c>
      <c r="N147" s="103">
        <f t="shared" si="40"/>
        <v>3.5314803450636784E-2</v>
      </c>
      <c r="O147" s="103">
        <f t="shared" si="40"/>
        <v>3.2986754169206392E-2</v>
      </c>
      <c r="P147" s="103">
        <f t="shared" si="40"/>
        <v>3.3853447080920689E-2</v>
      </c>
      <c r="Q147" s="103">
        <f t="shared" si="40"/>
        <v>3.3701592275725299E-2</v>
      </c>
      <c r="R147" s="103">
        <f t="shared" ref="R147:V147" si="43">IF(R29=0,0,R29/R$17)</f>
        <v>3.489501822646271E-2</v>
      </c>
      <c r="S147" s="103">
        <f t="shared" si="43"/>
        <v>3.5948678025562578E-2</v>
      </c>
      <c r="T147" s="103">
        <f t="shared" si="43"/>
        <v>3.4198502070007068E-2</v>
      </c>
      <c r="U147" s="103">
        <f t="shared" si="43"/>
        <v>3.4003326205453627E-2</v>
      </c>
      <c r="V147" s="103">
        <f t="shared" si="43"/>
        <v>3.8748524526060958E-2</v>
      </c>
      <c r="W147" s="103">
        <f t="shared" ref="W147" si="44">IF(W29=0,0,W29/W$17)</f>
        <v>3.7506982914983458E-2</v>
      </c>
      <c r="DA147" s="191"/>
    </row>
    <row r="148" spans="1:105" ht="11.45" customHeight="1" x14ac:dyDescent="0.25">
      <c r="A148" s="157" t="s">
        <v>112</v>
      </c>
      <c r="B148" s="103">
        <f t="shared" ref="B148:K148" si="45">IF(B30=0,0,B30/B$17)</f>
        <v>0</v>
      </c>
      <c r="C148" s="103">
        <f t="shared" si="45"/>
        <v>2.0245866845349431E-5</v>
      </c>
      <c r="D148" s="103">
        <f t="shared" si="45"/>
        <v>6.1378439926096468E-5</v>
      </c>
      <c r="E148" s="103">
        <f t="shared" si="45"/>
        <v>8.4939098159636961E-5</v>
      </c>
      <c r="F148" s="103">
        <f t="shared" si="45"/>
        <v>1.1209203927440957E-4</v>
      </c>
      <c r="G148" s="103">
        <f t="shared" si="45"/>
        <v>1.6111192673546839E-4</v>
      </c>
      <c r="H148" s="103">
        <f t="shared" si="45"/>
        <v>2.1025961603347648E-4</v>
      </c>
      <c r="I148" s="103">
        <f t="shared" si="45"/>
        <v>2.7904968329981144E-4</v>
      </c>
      <c r="J148" s="103">
        <f t="shared" si="45"/>
        <v>3.3731904775631647E-4</v>
      </c>
      <c r="K148" s="103">
        <f t="shared" si="45"/>
        <v>4.1516361296874214E-4</v>
      </c>
      <c r="L148" s="103">
        <f t="shared" ref="L148:L150" si="46">IF(L30=0,0,L30/L$17)</f>
        <v>4.9315486217949402E-4</v>
      </c>
      <c r="M148" s="103">
        <f t="shared" ref="M148:V148" si="47">IF(M30=0,0,M30/M$17)</f>
        <v>5.6224237166187577E-4</v>
      </c>
      <c r="N148" s="103">
        <f t="shared" si="47"/>
        <v>5.7336747517380089E-4</v>
      </c>
      <c r="O148" s="103">
        <f t="shared" si="47"/>
        <v>5.2343812056458803E-4</v>
      </c>
      <c r="P148" s="103">
        <f t="shared" si="47"/>
        <v>5.175852744486076E-4</v>
      </c>
      <c r="Q148" s="103">
        <f t="shared" si="47"/>
        <v>4.1469032138033738E-4</v>
      </c>
      <c r="R148" s="103">
        <f t="shared" si="47"/>
        <v>3.3036867101745535E-4</v>
      </c>
      <c r="S148" s="103">
        <f t="shared" si="47"/>
        <v>2.6394535026595732E-4</v>
      </c>
      <c r="T148" s="103">
        <f t="shared" si="47"/>
        <v>2.565679115598013E-4</v>
      </c>
      <c r="U148" s="103">
        <f t="shared" si="47"/>
        <v>2.1015747586324678E-5</v>
      </c>
      <c r="V148" s="103">
        <f t="shared" si="47"/>
        <v>2.4011080205992673E-5</v>
      </c>
      <c r="W148" s="103">
        <f t="shared" ref="W148" si="48">IF(W30=0,0,W30/W$17)</f>
        <v>2.1269880147559756E-5</v>
      </c>
      <c r="DA148" s="191"/>
    </row>
    <row r="149" spans="1:105" ht="11.45" customHeight="1" x14ac:dyDescent="0.25">
      <c r="A149" s="157" t="s">
        <v>113</v>
      </c>
      <c r="B149" s="103">
        <f t="shared" ref="B149:K149" si="49">IF(B31=0,0,B31/B$17)</f>
        <v>0</v>
      </c>
      <c r="C149" s="103">
        <f t="shared" si="49"/>
        <v>0</v>
      </c>
      <c r="D149" s="103">
        <f t="shared" si="49"/>
        <v>0</v>
      </c>
      <c r="E149" s="103">
        <f t="shared" si="49"/>
        <v>0</v>
      </c>
      <c r="F149" s="103">
        <f t="shared" si="49"/>
        <v>3.5074203069041234E-5</v>
      </c>
      <c r="G149" s="103">
        <f t="shared" si="49"/>
        <v>3.6553858544379823E-5</v>
      </c>
      <c r="H149" s="103">
        <f t="shared" si="49"/>
        <v>2.0474117661130866E-5</v>
      </c>
      <c r="I149" s="103">
        <f t="shared" si="49"/>
        <v>1.3971136891041924E-4</v>
      </c>
      <c r="J149" s="103">
        <f t="shared" si="49"/>
        <v>1.9912913114077918E-4</v>
      </c>
      <c r="K149" s="103">
        <f t="shared" si="49"/>
        <v>7.253520703737541E-4</v>
      </c>
      <c r="L149" s="103">
        <f t="shared" si="46"/>
        <v>9.888135638205656E-4</v>
      </c>
      <c r="M149" s="103">
        <f t="shared" ref="M149:V149" si="50">IF(M31=0,0,M31/M$17)</f>
        <v>9.7177795067745023E-4</v>
      </c>
      <c r="N149" s="103">
        <f t="shared" si="50"/>
        <v>1.0514338577175602E-3</v>
      </c>
      <c r="O149" s="103">
        <f t="shared" si="50"/>
        <v>1.1452466640682383E-3</v>
      </c>
      <c r="P149" s="103">
        <f t="shared" si="50"/>
        <v>1.2656502377365406E-3</v>
      </c>
      <c r="Q149" s="103">
        <f t="shared" si="50"/>
        <v>1.254792804823912E-3</v>
      </c>
      <c r="R149" s="103">
        <f t="shared" si="50"/>
        <v>1.1473916792677048E-3</v>
      </c>
      <c r="S149" s="103">
        <f t="shared" si="50"/>
        <v>1.1093736463520781E-3</v>
      </c>
      <c r="T149" s="103">
        <f t="shared" si="50"/>
        <v>1.0468386417271443E-3</v>
      </c>
      <c r="U149" s="103">
        <f t="shared" si="50"/>
        <v>1.2309961012501927E-3</v>
      </c>
      <c r="V149" s="103">
        <f t="shared" si="50"/>
        <v>1.6134840061518797E-3</v>
      </c>
      <c r="W149" s="103">
        <f t="shared" ref="W149" si="51">IF(W31=0,0,W31/W$17)</f>
        <v>1.4682755116671264E-3</v>
      </c>
      <c r="DA149" s="191"/>
    </row>
    <row r="150" spans="1:105" ht="11.45" customHeight="1" x14ac:dyDescent="0.25">
      <c r="A150" s="157" t="s">
        <v>115</v>
      </c>
      <c r="B150" s="103">
        <f t="shared" ref="B150:K150" si="52">IF(B32=0,0,B32/B$17)</f>
        <v>0</v>
      </c>
      <c r="C150" s="103">
        <f t="shared" si="52"/>
        <v>0</v>
      </c>
      <c r="D150" s="103">
        <f t="shared" si="52"/>
        <v>0</v>
      </c>
      <c r="E150" s="103">
        <f t="shared" si="52"/>
        <v>0</v>
      </c>
      <c r="F150" s="103">
        <f t="shared" si="52"/>
        <v>0</v>
      </c>
      <c r="G150" s="103">
        <f t="shared" si="52"/>
        <v>0</v>
      </c>
      <c r="H150" s="103">
        <f t="shared" si="52"/>
        <v>0</v>
      </c>
      <c r="I150" s="103">
        <f t="shared" si="52"/>
        <v>0</v>
      </c>
      <c r="J150" s="103">
        <f t="shared" si="52"/>
        <v>0</v>
      </c>
      <c r="K150" s="103">
        <f t="shared" si="52"/>
        <v>0</v>
      </c>
      <c r="L150" s="103">
        <f t="shared" si="46"/>
        <v>0</v>
      </c>
      <c r="M150" s="103">
        <f t="shared" ref="M150:V150" si="53">IF(M32=0,0,M32/M$17)</f>
        <v>0</v>
      </c>
      <c r="N150" s="103">
        <f t="shared" si="53"/>
        <v>0</v>
      </c>
      <c r="O150" s="103">
        <f t="shared" si="53"/>
        <v>0</v>
      </c>
      <c r="P150" s="103">
        <f t="shared" si="53"/>
        <v>0</v>
      </c>
      <c r="Q150" s="103">
        <f t="shared" si="53"/>
        <v>0</v>
      </c>
      <c r="R150" s="103">
        <f t="shared" si="53"/>
        <v>0</v>
      </c>
      <c r="S150" s="103">
        <f t="shared" si="53"/>
        <v>0</v>
      </c>
      <c r="T150" s="103">
        <f t="shared" si="53"/>
        <v>0</v>
      </c>
      <c r="U150" s="103">
        <f t="shared" si="53"/>
        <v>0</v>
      </c>
      <c r="V150" s="103">
        <f t="shared" si="53"/>
        <v>0</v>
      </c>
      <c r="W150" s="103">
        <f t="shared" ref="W150" si="54">IF(W32=0,0,W32/W$17)</f>
        <v>0</v>
      </c>
      <c r="DA150" s="191"/>
    </row>
    <row r="151" spans="1:105" ht="11.45" customHeight="1" x14ac:dyDescent="0.25">
      <c r="A151" s="27" t="s">
        <v>34</v>
      </c>
      <c r="B151" s="46">
        <f t="shared" ref="B151:K151" si="55">IF(B33=0,0,B33/B$17)</f>
        <v>0.32377069520637408</v>
      </c>
      <c r="C151" s="46">
        <f t="shared" si="55"/>
        <v>0.342730469914511</v>
      </c>
      <c r="D151" s="46">
        <f t="shared" si="55"/>
        <v>0.3427506597645637</v>
      </c>
      <c r="E151" s="46">
        <f t="shared" si="55"/>
        <v>0.34520929410883933</v>
      </c>
      <c r="F151" s="46">
        <f t="shared" si="55"/>
        <v>0.34213910757023397</v>
      </c>
      <c r="G151" s="46">
        <f t="shared" si="55"/>
        <v>0.34594627326649685</v>
      </c>
      <c r="H151" s="46">
        <f t="shared" si="55"/>
        <v>0.33309980137531087</v>
      </c>
      <c r="I151" s="46">
        <f t="shared" si="55"/>
        <v>0.32911296995737088</v>
      </c>
      <c r="J151" s="46">
        <f t="shared" si="55"/>
        <v>0.33276429159148546</v>
      </c>
      <c r="K151" s="46">
        <f t="shared" si="55"/>
        <v>0.32482003245180269</v>
      </c>
      <c r="L151" s="46">
        <f t="shared" ref="L151" si="56">IF(L33=0,0,L33/L$17)</f>
        <v>0.33929880227429809</v>
      </c>
      <c r="M151" s="46">
        <f t="shared" ref="M151:V151" si="57">IF(M33=0,0,M33/M$17)</f>
        <v>0.32935451496383239</v>
      </c>
      <c r="N151" s="46">
        <f t="shared" si="57"/>
        <v>0.33574397567258213</v>
      </c>
      <c r="O151" s="46">
        <f t="shared" si="57"/>
        <v>0.36276793370871968</v>
      </c>
      <c r="P151" s="46">
        <f t="shared" si="57"/>
        <v>0.35183654326472386</v>
      </c>
      <c r="Q151" s="46">
        <f t="shared" si="57"/>
        <v>0.35333967775213915</v>
      </c>
      <c r="R151" s="46">
        <f t="shared" si="57"/>
        <v>0.35672840181835508</v>
      </c>
      <c r="S151" s="46">
        <f t="shared" si="57"/>
        <v>0.36243567184862446</v>
      </c>
      <c r="T151" s="46">
        <f t="shared" si="57"/>
        <v>0.3748027777867336</v>
      </c>
      <c r="U151" s="46">
        <f t="shared" si="57"/>
        <v>0.39112907603270547</v>
      </c>
      <c r="V151" s="46">
        <f t="shared" si="57"/>
        <v>0.40532609366049843</v>
      </c>
      <c r="W151" s="46">
        <f t="shared" ref="W151" si="58">IF(W33=0,0,W33/W$17)</f>
        <v>0.41226448994439119</v>
      </c>
      <c r="DA151" s="211"/>
    </row>
    <row r="152" spans="1:105" ht="11.45" customHeight="1" x14ac:dyDescent="0.25">
      <c r="A152" s="153" t="s">
        <v>156</v>
      </c>
      <c r="B152" s="154">
        <f t="shared" ref="B152:K152" si="59">IF(B34=0,0,B34/B$17)</f>
        <v>7.4134160878360195E-2</v>
      </c>
      <c r="C152" s="154">
        <f t="shared" si="59"/>
        <v>7.0438668474235064E-2</v>
      </c>
      <c r="D152" s="154">
        <f t="shared" si="59"/>
        <v>6.544074292757987E-2</v>
      </c>
      <c r="E152" s="154">
        <f t="shared" si="59"/>
        <v>6.1466619353010114E-2</v>
      </c>
      <c r="F152" s="154">
        <f t="shared" si="59"/>
        <v>6.0472810370457222E-2</v>
      </c>
      <c r="G152" s="154">
        <f t="shared" si="59"/>
        <v>5.9290169372923252E-2</v>
      </c>
      <c r="H152" s="154">
        <f t="shared" si="59"/>
        <v>6.1485819136711327E-2</v>
      </c>
      <c r="I152" s="154">
        <f t="shared" si="59"/>
        <v>6.1649843985703966E-2</v>
      </c>
      <c r="J152" s="154">
        <f t="shared" si="59"/>
        <v>6.2963920004654658E-2</v>
      </c>
      <c r="K152" s="154">
        <f t="shared" si="59"/>
        <v>6.3913521271018681E-2</v>
      </c>
      <c r="L152" s="154">
        <f t="shared" ref="L152" si="60">IF(L34=0,0,L34/L$17)</f>
        <v>6.2196042806849421E-2</v>
      </c>
      <c r="M152" s="154">
        <f t="shared" ref="M152:V152" si="61">IF(M34=0,0,M34/M$17)</f>
        <v>6.5844577069366528E-2</v>
      </c>
      <c r="N152" s="154">
        <f t="shared" si="61"/>
        <v>6.5604885261217216E-2</v>
      </c>
      <c r="O152" s="154">
        <f t="shared" si="61"/>
        <v>6.3454859489740653E-2</v>
      </c>
      <c r="P152" s="154">
        <f t="shared" si="61"/>
        <v>6.6318244703581622E-2</v>
      </c>
      <c r="Q152" s="154">
        <f t="shared" si="61"/>
        <v>6.6311610316237349E-2</v>
      </c>
      <c r="R152" s="154">
        <f t="shared" si="61"/>
        <v>6.6541154006427808E-2</v>
      </c>
      <c r="S152" s="154">
        <f t="shared" si="61"/>
        <v>6.6300598489568707E-2</v>
      </c>
      <c r="T152" s="154">
        <f t="shared" si="61"/>
        <v>6.6331483101464972E-2</v>
      </c>
      <c r="U152" s="154">
        <f t="shared" si="61"/>
        <v>6.8047191480264876E-2</v>
      </c>
      <c r="V152" s="154">
        <f t="shared" si="61"/>
        <v>7.8940480165761676E-2</v>
      </c>
      <c r="W152" s="154">
        <f t="shared" ref="W152" si="62">IF(W34=0,0,W34/W$17)</f>
        <v>8.0526873373710089E-2</v>
      </c>
      <c r="DA152" s="212"/>
    </row>
    <row r="153" spans="1:105" ht="11.45" customHeight="1" x14ac:dyDescent="0.25">
      <c r="A153" s="157" t="s">
        <v>110</v>
      </c>
      <c r="B153" s="103">
        <f t="shared" ref="B153:K153" si="63">IF(B35=0,0,B35/B$17)</f>
        <v>1.0627066476082549E-2</v>
      </c>
      <c r="C153" s="103">
        <f t="shared" si="63"/>
        <v>9.0409010104205538E-3</v>
      </c>
      <c r="D153" s="103">
        <f t="shared" si="63"/>
        <v>5.6148918367926754E-3</v>
      </c>
      <c r="E153" s="103">
        <f t="shared" si="63"/>
        <v>4.5651173527147884E-3</v>
      </c>
      <c r="F153" s="103">
        <f t="shared" si="63"/>
        <v>3.9407102752010651E-3</v>
      </c>
      <c r="G153" s="103">
        <f t="shared" si="63"/>
        <v>3.497694849315937E-3</v>
      </c>
      <c r="H153" s="103">
        <f t="shared" si="63"/>
        <v>3.4794914935681524E-3</v>
      </c>
      <c r="I153" s="103">
        <f t="shared" si="63"/>
        <v>3.2875946961123297E-3</v>
      </c>
      <c r="J153" s="103">
        <f t="shared" si="63"/>
        <v>3.135241339913468E-3</v>
      </c>
      <c r="K153" s="103">
        <f t="shared" si="63"/>
        <v>3.1201239318306082E-3</v>
      </c>
      <c r="L153" s="103">
        <f t="shared" ref="L153" si="64">IF(L35=0,0,L35/L$17)</f>
        <v>2.9186479365552642E-3</v>
      </c>
      <c r="M153" s="103">
        <f t="shared" ref="M153:V153" si="65">IF(M35=0,0,M35/M$17)</f>
        <v>3.1203914247522908E-3</v>
      </c>
      <c r="N153" s="103">
        <f t="shared" si="65"/>
        <v>3.112142758496834E-3</v>
      </c>
      <c r="O153" s="103">
        <f t="shared" si="65"/>
        <v>2.8486234742632305E-3</v>
      </c>
      <c r="P153" s="103">
        <f t="shared" si="65"/>
        <v>2.9673152626361909E-3</v>
      </c>
      <c r="Q153" s="103">
        <f t="shared" si="65"/>
        <v>2.9865227686774868E-3</v>
      </c>
      <c r="R153" s="103">
        <f t="shared" si="65"/>
        <v>2.8324382410267334E-3</v>
      </c>
      <c r="S153" s="103">
        <f t="shared" si="65"/>
        <v>2.7820008064127007E-3</v>
      </c>
      <c r="T153" s="103">
        <f t="shared" si="65"/>
        <v>2.8043689965890511E-3</v>
      </c>
      <c r="U153" s="103">
        <f t="shared" si="65"/>
        <v>2.7577919938594881E-3</v>
      </c>
      <c r="V153" s="103">
        <f t="shared" si="65"/>
        <v>3.0458994588909169E-3</v>
      </c>
      <c r="W153" s="103">
        <f t="shared" ref="W153" si="66">IF(W35=0,0,W35/W$17)</f>
        <v>2.9705024448696956E-3</v>
      </c>
      <c r="DA153" s="191"/>
    </row>
    <row r="154" spans="1:105" ht="11.45" customHeight="1" x14ac:dyDescent="0.25">
      <c r="A154" s="157" t="s">
        <v>111</v>
      </c>
      <c r="B154" s="103">
        <f t="shared" ref="B154:K154" si="67">IF(B36=0,0,B36/B$17)</f>
        <v>6.3507094402277642E-2</v>
      </c>
      <c r="C154" s="103">
        <f t="shared" si="67"/>
        <v>6.13977674638145E-2</v>
      </c>
      <c r="D154" s="103">
        <f t="shared" si="67"/>
        <v>5.9825851090787197E-2</v>
      </c>
      <c r="E154" s="103">
        <f t="shared" si="67"/>
        <v>5.6898541942334624E-2</v>
      </c>
      <c r="F154" s="103">
        <f t="shared" si="67"/>
        <v>5.6524347635381583E-2</v>
      </c>
      <c r="G154" s="103">
        <f t="shared" si="67"/>
        <v>5.5759341688402742E-2</v>
      </c>
      <c r="H154" s="103">
        <f t="shared" si="67"/>
        <v>5.7961797039654026E-2</v>
      </c>
      <c r="I154" s="103">
        <f t="shared" si="67"/>
        <v>5.8307499669623696E-2</v>
      </c>
      <c r="J154" s="103">
        <f t="shared" si="67"/>
        <v>5.97597392928522E-2</v>
      </c>
      <c r="K154" s="103">
        <f t="shared" si="67"/>
        <v>6.0741913826730123E-2</v>
      </c>
      <c r="L154" s="103">
        <f t="shared" ref="L154" si="68">IF(L36=0,0,L36/L$17)</f>
        <v>5.9231026420311722E-2</v>
      </c>
      <c r="M154" s="103">
        <f t="shared" ref="M154:V154" si="69">IF(M36=0,0,M36/M$17)</f>
        <v>6.2676178030222421E-2</v>
      </c>
      <c r="N154" s="103">
        <f t="shared" si="69"/>
        <v>6.2437148532486171E-2</v>
      </c>
      <c r="O154" s="103">
        <f t="shared" si="69"/>
        <v>6.0456317602660091E-2</v>
      </c>
      <c r="P154" s="103">
        <f t="shared" si="69"/>
        <v>6.3191741972843815E-2</v>
      </c>
      <c r="Q154" s="103">
        <f t="shared" si="69"/>
        <v>6.3167607086541941E-2</v>
      </c>
      <c r="R154" s="103">
        <f t="shared" si="69"/>
        <v>6.3462078998505631E-2</v>
      </c>
      <c r="S154" s="103">
        <f t="shared" si="69"/>
        <v>6.3288723319469997E-2</v>
      </c>
      <c r="T154" s="103">
        <f t="shared" si="69"/>
        <v>6.3299454969371088E-2</v>
      </c>
      <c r="U154" s="103">
        <f t="shared" si="69"/>
        <v>6.5065114275556835E-2</v>
      </c>
      <c r="V154" s="103">
        <f t="shared" si="69"/>
        <v>7.5650779767065648E-2</v>
      </c>
      <c r="W154" s="103">
        <f t="shared" ref="W154" si="70">IF(W36=0,0,W36/W$17)</f>
        <v>7.7324390956715935E-2</v>
      </c>
      <c r="DA154" s="191"/>
    </row>
    <row r="155" spans="1:105" ht="11.45" customHeight="1" x14ac:dyDescent="0.25">
      <c r="A155" s="157" t="s">
        <v>112</v>
      </c>
      <c r="B155" s="103">
        <f t="shared" ref="B155:K155" si="71">IF(B37=0,0,B37/B$17)</f>
        <v>0</v>
      </c>
      <c r="C155" s="103">
        <f t="shared" si="71"/>
        <v>0</v>
      </c>
      <c r="D155" s="103">
        <f t="shared" si="71"/>
        <v>0</v>
      </c>
      <c r="E155" s="103">
        <f t="shared" si="71"/>
        <v>2.9600579606992869E-6</v>
      </c>
      <c r="F155" s="103">
        <f t="shared" si="71"/>
        <v>7.752459874574217E-6</v>
      </c>
      <c r="G155" s="103">
        <f t="shared" si="71"/>
        <v>3.3132835204568551E-5</v>
      </c>
      <c r="H155" s="103">
        <f t="shared" si="71"/>
        <v>3.3782525504708443E-5</v>
      </c>
      <c r="I155" s="103">
        <f t="shared" si="71"/>
        <v>3.3276391433644312E-5</v>
      </c>
      <c r="J155" s="103">
        <f t="shared" si="71"/>
        <v>3.281661699677109E-5</v>
      </c>
      <c r="K155" s="103">
        <f t="shared" si="71"/>
        <v>3.2072834589968973E-5</v>
      </c>
      <c r="L155" s="103">
        <f t="shared" ref="L155" si="72">IF(L37=0,0,L37/L$17)</f>
        <v>2.8768282437610178E-5</v>
      </c>
      <c r="M155" s="103">
        <f t="shared" ref="M155:V155" si="73">IF(M37=0,0,M37/M$17)</f>
        <v>2.7888090045209788E-5</v>
      </c>
      <c r="N155" s="103">
        <f t="shared" si="73"/>
        <v>2.9098122444710924E-5</v>
      </c>
      <c r="O155" s="103">
        <f t="shared" si="73"/>
        <v>2.9126522554324629E-5</v>
      </c>
      <c r="P155" s="103">
        <f t="shared" si="73"/>
        <v>3.3208296808124097E-5</v>
      </c>
      <c r="Q155" s="103">
        <f t="shared" si="73"/>
        <v>3.3937399692553764E-5</v>
      </c>
      <c r="R155" s="103">
        <f t="shared" si="73"/>
        <v>5.4533501735282208E-5</v>
      </c>
      <c r="S155" s="103">
        <f t="shared" si="73"/>
        <v>5.4663583123789647E-5</v>
      </c>
      <c r="T155" s="103">
        <f t="shared" si="73"/>
        <v>5.4000511156197906E-5</v>
      </c>
      <c r="U155" s="103">
        <f t="shared" si="73"/>
        <v>5.8356921838786554E-5</v>
      </c>
      <c r="V155" s="103">
        <f t="shared" si="73"/>
        <v>7.3956818758462553E-5</v>
      </c>
      <c r="W155" s="103">
        <f t="shared" ref="W155" si="74">IF(W37=0,0,W37/W$17)</f>
        <v>7.7571291008299767E-5</v>
      </c>
      <c r="DA155" s="191"/>
    </row>
    <row r="156" spans="1:105" ht="11.45" customHeight="1" x14ac:dyDescent="0.25">
      <c r="A156" s="157" t="s">
        <v>113</v>
      </c>
      <c r="B156" s="103">
        <f t="shared" ref="B156:K156" si="75">IF(B38=0,0,B38/B$17)</f>
        <v>0</v>
      </c>
      <c r="C156" s="103">
        <f t="shared" si="75"/>
        <v>0</v>
      </c>
      <c r="D156" s="103">
        <f t="shared" si="75"/>
        <v>0</v>
      </c>
      <c r="E156" s="103">
        <f t="shared" si="75"/>
        <v>0</v>
      </c>
      <c r="F156" s="103">
        <f t="shared" si="75"/>
        <v>0</v>
      </c>
      <c r="G156" s="103">
        <f t="shared" si="75"/>
        <v>0</v>
      </c>
      <c r="H156" s="103">
        <f t="shared" si="75"/>
        <v>1.0748077984443677E-5</v>
      </c>
      <c r="I156" s="103">
        <f t="shared" si="75"/>
        <v>2.1473228534296497E-5</v>
      </c>
      <c r="J156" s="103">
        <f t="shared" si="75"/>
        <v>3.6122754892215806E-5</v>
      </c>
      <c r="K156" s="103">
        <f t="shared" si="75"/>
        <v>1.9410677867991213E-5</v>
      </c>
      <c r="L156" s="103">
        <f t="shared" ref="L156" si="76">IF(L38=0,0,L38/L$17)</f>
        <v>1.76001675448178E-5</v>
      </c>
      <c r="M156" s="103">
        <f t="shared" ref="M156:V156" si="77">IF(M38=0,0,M38/M$17)</f>
        <v>2.011952434660814E-5</v>
      </c>
      <c r="N156" s="103">
        <f t="shared" si="77"/>
        <v>2.6495847789501063E-5</v>
      </c>
      <c r="O156" s="103">
        <f t="shared" si="77"/>
        <v>1.207918902630042E-4</v>
      </c>
      <c r="P156" s="103">
        <f t="shared" si="77"/>
        <v>1.2597917129348704E-4</v>
      </c>
      <c r="Q156" s="103">
        <f t="shared" si="77"/>
        <v>1.2354306132536728E-4</v>
      </c>
      <c r="R156" s="103">
        <f t="shared" si="77"/>
        <v>1.9210326516015653E-4</v>
      </c>
      <c r="S156" s="103">
        <f t="shared" si="77"/>
        <v>1.7521078056221957E-4</v>
      </c>
      <c r="T156" s="103">
        <f t="shared" si="77"/>
        <v>1.7365862434863693E-4</v>
      </c>
      <c r="U156" s="103">
        <f t="shared" si="77"/>
        <v>1.6592828900977813E-4</v>
      </c>
      <c r="V156" s="103">
        <f t="shared" si="77"/>
        <v>1.6984412104664533E-4</v>
      </c>
      <c r="W156" s="103">
        <f t="shared" ref="W156" si="78">IF(W38=0,0,W38/W$17)</f>
        <v>1.5440868111616225E-4</v>
      </c>
      <c r="DA156" s="191"/>
    </row>
    <row r="157" spans="1:105" ht="11.45" customHeight="1" x14ac:dyDescent="0.25">
      <c r="A157" s="157" t="s">
        <v>115</v>
      </c>
      <c r="B157" s="103">
        <f t="shared" ref="B157:K157" si="79">IF(B39=0,0,B39/B$17)</f>
        <v>0</v>
      </c>
      <c r="C157" s="103">
        <f t="shared" si="79"/>
        <v>0</v>
      </c>
      <c r="D157" s="103">
        <f t="shared" si="79"/>
        <v>0</v>
      </c>
      <c r="E157" s="103">
        <f t="shared" si="79"/>
        <v>0</v>
      </c>
      <c r="F157" s="103">
        <f t="shared" si="79"/>
        <v>0</v>
      </c>
      <c r="G157" s="103">
        <f t="shared" si="79"/>
        <v>0</v>
      </c>
      <c r="H157" s="103">
        <f t="shared" si="79"/>
        <v>0</v>
      </c>
      <c r="I157" s="103">
        <f t="shared" si="79"/>
        <v>0</v>
      </c>
      <c r="J157" s="103">
        <f t="shared" si="79"/>
        <v>0</v>
      </c>
      <c r="K157" s="103">
        <f t="shared" si="79"/>
        <v>0</v>
      </c>
      <c r="L157" s="103">
        <f t="shared" ref="L157" si="80">IF(L39=0,0,L39/L$17)</f>
        <v>0</v>
      </c>
      <c r="M157" s="103">
        <f t="shared" ref="M157:V157" si="81">IF(M39=0,0,M39/M$17)</f>
        <v>0</v>
      </c>
      <c r="N157" s="103">
        <f t="shared" si="81"/>
        <v>0</v>
      </c>
      <c r="O157" s="103">
        <f t="shared" si="81"/>
        <v>0</v>
      </c>
      <c r="P157" s="103">
        <f t="shared" si="81"/>
        <v>0</v>
      </c>
      <c r="Q157" s="103">
        <f t="shared" si="81"/>
        <v>0</v>
      </c>
      <c r="R157" s="103">
        <f t="shared" si="81"/>
        <v>0</v>
      </c>
      <c r="S157" s="103">
        <f t="shared" si="81"/>
        <v>0</v>
      </c>
      <c r="T157" s="103">
        <f t="shared" si="81"/>
        <v>0</v>
      </c>
      <c r="U157" s="103">
        <f t="shared" si="81"/>
        <v>0</v>
      </c>
      <c r="V157" s="103">
        <f t="shared" si="81"/>
        <v>0</v>
      </c>
      <c r="W157" s="103">
        <f t="shared" ref="W157" si="82">IF(W39=0,0,W39/W$17)</f>
        <v>0</v>
      </c>
      <c r="DA157" s="191"/>
    </row>
    <row r="158" spans="1:105" ht="11.45" customHeight="1" x14ac:dyDescent="0.25">
      <c r="A158" s="155" t="s">
        <v>158</v>
      </c>
      <c r="B158" s="156">
        <f t="shared" ref="B158:K158" si="83">IF(B40=0,0,B40/B$17)</f>
        <v>0.24963653432801386</v>
      </c>
      <c r="C158" s="156">
        <f t="shared" si="83"/>
        <v>0.27229180144027593</v>
      </c>
      <c r="D158" s="156">
        <f t="shared" si="83"/>
        <v>0.27730991683698386</v>
      </c>
      <c r="E158" s="156">
        <f t="shared" si="83"/>
        <v>0.28374267475582921</v>
      </c>
      <c r="F158" s="156">
        <f t="shared" si="83"/>
        <v>0.28166629719977676</v>
      </c>
      <c r="G158" s="156">
        <f t="shared" si="83"/>
        <v>0.28665610389357365</v>
      </c>
      <c r="H158" s="156">
        <f t="shared" si="83"/>
        <v>0.27161398223859956</v>
      </c>
      <c r="I158" s="156">
        <f t="shared" si="83"/>
        <v>0.26746312597166688</v>
      </c>
      <c r="J158" s="156">
        <f t="shared" si="83"/>
        <v>0.26980037158683079</v>
      </c>
      <c r="K158" s="156">
        <f t="shared" si="83"/>
        <v>0.26090651118078401</v>
      </c>
      <c r="L158" s="156">
        <f t="shared" ref="L158" si="84">IF(L40=0,0,L40/L$17)</f>
        <v>0.27710275946744872</v>
      </c>
      <c r="M158" s="156">
        <f t="shared" ref="M158:V158" si="85">IF(M40=0,0,M40/M$17)</f>
        <v>0.26350993789446592</v>
      </c>
      <c r="N158" s="156">
        <f t="shared" si="85"/>
        <v>0.27013909041136491</v>
      </c>
      <c r="O158" s="156">
        <f t="shared" si="85"/>
        <v>0.29931307421897907</v>
      </c>
      <c r="P158" s="156">
        <f t="shared" si="85"/>
        <v>0.28551829856114225</v>
      </c>
      <c r="Q158" s="156">
        <f t="shared" si="85"/>
        <v>0.28702806743590181</v>
      </c>
      <c r="R158" s="156">
        <f t="shared" si="85"/>
        <v>0.29018724781192723</v>
      </c>
      <c r="S158" s="156">
        <f t="shared" si="85"/>
        <v>0.29613507335905576</v>
      </c>
      <c r="T158" s="156">
        <f t="shared" si="85"/>
        <v>0.30847129468526863</v>
      </c>
      <c r="U158" s="156">
        <f t="shared" si="85"/>
        <v>0.32308188455244058</v>
      </c>
      <c r="V158" s="156">
        <f t="shared" si="85"/>
        <v>0.32638561349473677</v>
      </c>
      <c r="W158" s="156">
        <f t="shared" ref="W158" si="86">IF(W40=0,0,W40/W$17)</f>
        <v>0.33173761657068113</v>
      </c>
      <c r="DA158" s="213"/>
    </row>
    <row r="159" spans="1:105" ht="11.45" customHeight="1" x14ac:dyDescent="0.25">
      <c r="A159" s="157" t="s">
        <v>27</v>
      </c>
      <c r="B159" s="103">
        <f t="shared" ref="B159:K159" si="87">IF(B41=0,0,B41/B$17)</f>
        <v>0.10281535454292472</v>
      </c>
      <c r="C159" s="103">
        <f t="shared" si="87"/>
        <v>9.9300392084634509E-2</v>
      </c>
      <c r="D159" s="103">
        <f t="shared" si="87"/>
        <v>9.187688714144325E-2</v>
      </c>
      <c r="E159" s="103">
        <f t="shared" si="87"/>
        <v>9.0000222062933399E-2</v>
      </c>
      <c r="F159" s="103">
        <f t="shared" si="87"/>
        <v>8.318911787555841E-2</v>
      </c>
      <c r="G159" s="103">
        <f t="shared" si="87"/>
        <v>8.033825921356412E-2</v>
      </c>
      <c r="H159" s="103">
        <f t="shared" si="87"/>
        <v>8.9723945802630475E-2</v>
      </c>
      <c r="I159" s="103">
        <f t="shared" si="87"/>
        <v>8.7625536684663538E-2</v>
      </c>
      <c r="J159" s="103">
        <f t="shared" si="87"/>
        <v>8.7883982725482312E-2</v>
      </c>
      <c r="K159" s="103">
        <f t="shared" si="87"/>
        <v>8.5723827390412496E-2</v>
      </c>
      <c r="L159" s="103">
        <f t="shared" ref="L159" si="88">IF(L41=0,0,L41/L$17)</f>
        <v>8.3898570579165957E-2</v>
      </c>
      <c r="M159" s="103">
        <f t="shared" ref="M159:V159" si="89">IF(M41=0,0,M41/M$17)</f>
        <v>8.6961914522698455E-2</v>
      </c>
      <c r="N159" s="103">
        <f t="shared" si="89"/>
        <v>8.6346100695020078E-2</v>
      </c>
      <c r="O159" s="103">
        <f t="shared" si="89"/>
        <v>8.4383633074849015E-2</v>
      </c>
      <c r="P159" s="103">
        <f t="shared" si="89"/>
        <v>8.5549636458661829E-2</v>
      </c>
      <c r="Q159" s="103">
        <f t="shared" si="89"/>
        <v>8.7715251071911346E-2</v>
      </c>
      <c r="R159" s="103">
        <f t="shared" si="89"/>
        <v>8.9916927026272228E-2</v>
      </c>
      <c r="S159" s="103">
        <f t="shared" si="89"/>
        <v>9.0138752508469061E-2</v>
      </c>
      <c r="T159" s="103">
        <f t="shared" si="89"/>
        <v>9.0564568966402262E-2</v>
      </c>
      <c r="U159" s="103">
        <f t="shared" si="89"/>
        <v>9.1779125819064181E-2</v>
      </c>
      <c r="V159" s="103">
        <f t="shared" si="89"/>
        <v>9.7340882847165536E-2</v>
      </c>
      <c r="W159" s="103">
        <f t="shared" ref="W159" si="90">IF(W41=0,0,W41/W$17)</f>
        <v>9.8102209246713049E-2</v>
      </c>
      <c r="DA159" s="191"/>
    </row>
    <row r="160" spans="1:105" ht="11.45" customHeight="1" x14ac:dyDescent="0.25">
      <c r="A160" s="158" t="s">
        <v>116</v>
      </c>
      <c r="B160" s="105">
        <f t="shared" ref="B160:K160" si="91">IF(B42=0,0,B42/B$17)</f>
        <v>0.14682117978508916</v>
      </c>
      <c r="C160" s="105">
        <f t="shared" si="91"/>
        <v>0.17299140935564142</v>
      </c>
      <c r="D160" s="105">
        <f t="shared" si="91"/>
        <v>0.18543302969554062</v>
      </c>
      <c r="E160" s="105">
        <f t="shared" si="91"/>
        <v>0.19374245269289583</v>
      </c>
      <c r="F160" s="105">
        <f t="shared" si="91"/>
        <v>0.19847717932421835</v>
      </c>
      <c r="G160" s="105">
        <f t="shared" si="91"/>
        <v>0.20631784468000952</v>
      </c>
      <c r="H160" s="105">
        <f t="shared" si="91"/>
        <v>0.1818900364359691</v>
      </c>
      <c r="I160" s="105">
        <f t="shared" si="91"/>
        <v>0.17983758928700339</v>
      </c>
      <c r="J160" s="105">
        <f t="shared" si="91"/>
        <v>0.18191638886134848</v>
      </c>
      <c r="K160" s="105">
        <f t="shared" si="91"/>
        <v>0.1751826837903715</v>
      </c>
      <c r="L160" s="105">
        <f t="shared" ref="L160" si="92">IF(L42=0,0,L42/L$17)</f>
        <v>0.19320418888828272</v>
      </c>
      <c r="M160" s="105">
        <f t="shared" ref="M160:V160" si="93">IF(M42=0,0,M42/M$17)</f>
        <v>0.17654802337176742</v>
      </c>
      <c r="N160" s="105">
        <f t="shared" si="93"/>
        <v>0.18379298971634483</v>
      </c>
      <c r="O160" s="105">
        <f t="shared" si="93"/>
        <v>0.21492944114413004</v>
      </c>
      <c r="P160" s="105">
        <f t="shared" si="93"/>
        <v>0.19996866210248038</v>
      </c>
      <c r="Q160" s="105">
        <f t="shared" si="93"/>
        <v>0.19931281636399045</v>
      </c>
      <c r="R160" s="105">
        <f t="shared" si="93"/>
        <v>0.20027032078565501</v>
      </c>
      <c r="S160" s="105">
        <f t="shared" si="93"/>
        <v>0.20599632085058672</v>
      </c>
      <c r="T160" s="105">
        <f t="shared" si="93"/>
        <v>0.21790672571886635</v>
      </c>
      <c r="U160" s="105">
        <f t="shared" si="93"/>
        <v>0.23130275873337636</v>
      </c>
      <c r="V160" s="105">
        <f t="shared" si="93"/>
        <v>0.22904473064757122</v>
      </c>
      <c r="W160" s="105">
        <f t="shared" ref="W160" si="94">IF(W42=0,0,W42/W$17)</f>
        <v>0.23363540732396806</v>
      </c>
      <c r="DA160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0:W10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DA2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835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109</v>
      </c>
      <c r="B3" s="54">
        <f>TrRoad_act!B57</f>
        <v>5029840</v>
      </c>
      <c r="C3" s="54">
        <f>TrRoad_act!C57</f>
        <v>5118158</v>
      </c>
      <c r="D3" s="54">
        <f>TrRoad_act!D57</f>
        <v>4925975</v>
      </c>
      <c r="E3" s="54">
        <f>TrRoad_act!E57</f>
        <v>5009617</v>
      </c>
      <c r="F3" s="54">
        <f>TrRoad_act!F57</f>
        <v>5079844</v>
      </c>
      <c r="G3" s="54">
        <f>TrRoad_act!G57</f>
        <v>5150252</v>
      </c>
      <c r="H3" s="54">
        <f>TrRoad_act!H57</f>
        <v>5222916</v>
      </c>
      <c r="I3" s="54">
        <f>TrRoad_act!I57</f>
        <v>5297854</v>
      </c>
      <c r="J3" s="54">
        <f>TrRoad_act!J57</f>
        <v>5373748</v>
      </c>
      <c r="K3" s="54">
        <f>TrRoad_act!K57</f>
        <v>5476320</v>
      </c>
      <c r="L3" s="54">
        <f>TrRoad_act!L57</f>
        <v>5583456</v>
      </c>
      <c r="M3" s="54">
        <f>TrRoad_act!M57</f>
        <v>5683033</v>
      </c>
      <c r="N3" s="54">
        <f>TrRoad_act!N57</f>
        <v>5783081</v>
      </c>
      <c r="O3" s="54">
        <f>TrRoad_act!O57</f>
        <v>5864559</v>
      </c>
      <c r="P3" s="54">
        <f>TrRoad_act!P57</f>
        <v>5940159</v>
      </c>
      <c r="Q3" s="54">
        <f>TrRoad_act!Q57</f>
        <v>6015599</v>
      </c>
      <c r="R3" s="54">
        <f>TrRoad_act!R57</f>
        <v>6119838</v>
      </c>
      <c r="S3" s="54">
        <f>TrRoad_act!S57</f>
        <v>6232267</v>
      </c>
      <c r="T3" s="54">
        <f>TrRoad_act!T57</f>
        <v>6348065</v>
      </c>
      <c r="U3" s="54">
        <f>TrRoad_act!U57</f>
        <v>6435104</v>
      </c>
      <c r="V3" s="54">
        <f>TrRoad_act!V57</f>
        <v>6523621</v>
      </c>
      <c r="W3" s="54">
        <f>TrRoad_act!W57</f>
        <v>6622323</v>
      </c>
      <c r="DA3" s="172" t="s">
        <v>499</v>
      </c>
    </row>
    <row r="4" spans="1:105" ht="11.45" customHeight="1" x14ac:dyDescent="0.25">
      <c r="A4" s="27" t="s">
        <v>33</v>
      </c>
      <c r="B4" s="28">
        <f>TrRoad_act!B58</f>
        <v>4691319</v>
      </c>
      <c r="C4" s="28">
        <f>TrRoad_act!C58</f>
        <v>4774940</v>
      </c>
      <c r="D4" s="28">
        <f>TrRoad_act!D58</f>
        <v>4593011</v>
      </c>
      <c r="E4" s="28">
        <f>TrRoad_act!E58</f>
        <v>4670104</v>
      </c>
      <c r="F4" s="28">
        <f>TrRoad_act!F58</f>
        <v>4730579</v>
      </c>
      <c r="G4" s="28">
        <f>TrRoad_act!G58</f>
        <v>4794026</v>
      </c>
      <c r="H4" s="28">
        <f>TrRoad_act!H58</f>
        <v>4859620</v>
      </c>
      <c r="I4" s="28">
        <f>TrRoad_act!I58</f>
        <v>4922901</v>
      </c>
      <c r="J4" s="28">
        <f>TrRoad_act!J58</f>
        <v>4985625</v>
      </c>
      <c r="K4" s="28">
        <f>TrRoad_act!K58</f>
        <v>5081879</v>
      </c>
      <c r="L4" s="28">
        <f>TrRoad_act!L58</f>
        <v>5178769</v>
      </c>
      <c r="M4" s="28">
        <f>TrRoad_act!M58</f>
        <v>5266315</v>
      </c>
      <c r="N4" s="28">
        <f>TrRoad_act!N58</f>
        <v>5356231</v>
      </c>
      <c r="O4" s="28">
        <f>TrRoad_act!O58</f>
        <v>5427631</v>
      </c>
      <c r="P4" s="28">
        <f>TrRoad_act!P58</f>
        <v>5493175</v>
      </c>
      <c r="Q4" s="28">
        <f>TrRoad_act!Q58</f>
        <v>5558076</v>
      </c>
      <c r="R4" s="28">
        <f>TrRoad_act!R58</f>
        <v>5648286</v>
      </c>
      <c r="S4" s="28">
        <f>TrRoad_act!S58</f>
        <v>5741175</v>
      </c>
      <c r="T4" s="28">
        <f>TrRoad_act!T58</f>
        <v>5836244</v>
      </c>
      <c r="U4" s="28">
        <f>TrRoad_act!U58</f>
        <v>5910454</v>
      </c>
      <c r="V4" s="28">
        <f>TrRoad_act!V58</f>
        <v>5986384</v>
      </c>
      <c r="W4" s="28">
        <f>TrRoad_act!W58</f>
        <v>6053514</v>
      </c>
      <c r="DA4" s="173" t="s">
        <v>500</v>
      </c>
    </row>
    <row r="5" spans="1:105" ht="11.45" customHeight="1" x14ac:dyDescent="0.25">
      <c r="A5" s="136" t="s">
        <v>180</v>
      </c>
      <c r="B5" s="137">
        <f>TrRoad_act!B59</f>
        <v>565901</v>
      </c>
      <c r="C5" s="137">
        <f>TrRoad_act!C59</f>
        <v>583038</v>
      </c>
      <c r="D5" s="137">
        <f>TrRoad_act!D59</f>
        <v>596824</v>
      </c>
      <c r="E5" s="137">
        <f>TrRoad_act!E59</f>
        <v>606868</v>
      </c>
      <c r="F5" s="137">
        <f>TrRoad_act!F59</f>
        <v>612160</v>
      </c>
      <c r="G5" s="137">
        <f>TrRoad_act!G59</f>
        <v>627711</v>
      </c>
      <c r="H5" s="137">
        <f>TrRoad_act!H59</f>
        <v>645313</v>
      </c>
      <c r="I5" s="137">
        <f>TrRoad_act!I59</f>
        <v>667577</v>
      </c>
      <c r="J5" s="137">
        <f>TrRoad_act!J59</f>
        <v>691243</v>
      </c>
      <c r="K5" s="137">
        <f>TrRoad_act!K59</f>
        <v>712092</v>
      </c>
      <c r="L5" s="137">
        <f>TrRoad_act!L59</f>
        <v>727852</v>
      </c>
      <c r="M5" s="137">
        <f>TrRoad_act!M59</f>
        <v>743429</v>
      </c>
      <c r="N5" s="137">
        <f>TrRoad_act!N59</f>
        <v>762392</v>
      </c>
      <c r="O5" s="137">
        <f>TrRoad_act!O59</f>
        <v>776337</v>
      </c>
      <c r="P5" s="137">
        <f>TrRoad_act!P59</f>
        <v>788184</v>
      </c>
      <c r="Q5" s="137">
        <f>TrRoad_act!Q59</f>
        <v>799906</v>
      </c>
      <c r="R5" s="137">
        <f>TrRoad_act!R59</f>
        <v>816477</v>
      </c>
      <c r="S5" s="137">
        <f>TrRoad_act!S59</f>
        <v>832200</v>
      </c>
      <c r="T5" s="137">
        <f>TrRoad_act!T59</f>
        <v>847355</v>
      </c>
      <c r="U5" s="137">
        <f>TrRoad_act!U59</f>
        <v>860758</v>
      </c>
      <c r="V5" s="137">
        <f>TrRoad_act!V59</f>
        <v>884493</v>
      </c>
      <c r="W5" s="137">
        <f>TrRoad_act!W59</f>
        <v>909542</v>
      </c>
      <c r="DA5" s="174" t="s">
        <v>501</v>
      </c>
    </row>
    <row r="6" spans="1:105" ht="11.45" customHeight="1" x14ac:dyDescent="0.25">
      <c r="A6" s="109" t="s">
        <v>20</v>
      </c>
      <c r="B6" s="110">
        <f>TrRoad_act!B60</f>
        <v>4115500</v>
      </c>
      <c r="C6" s="110">
        <f>TrRoad_act!C60</f>
        <v>4182000</v>
      </c>
      <c r="D6" s="110">
        <f>TrRoad_act!D60</f>
        <v>3987000</v>
      </c>
      <c r="E6" s="110">
        <f>TrRoad_act!E60</f>
        <v>4054000</v>
      </c>
      <c r="F6" s="110">
        <f>TrRoad_act!F60</f>
        <v>4109000</v>
      </c>
      <c r="G6" s="110">
        <f>TrRoad_act!G60</f>
        <v>4157000</v>
      </c>
      <c r="H6" s="110">
        <f>TrRoad_act!H60</f>
        <v>4205000</v>
      </c>
      <c r="I6" s="110">
        <f>TrRoad_act!I60</f>
        <v>4246000</v>
      </c>
      <c r="J6" s="110">
        <f>TrRoad_act!J60</f>
        <v>4285000</v>
      </c>
      <c r="K6" s="110">
        <f>TrRoad_act!K60</f>
        <v>4360000</v>
      </c>
      <c r="L6" s="110">
        <f>TrRoad_act!L60</f>
        <v>4441000</v>
      </c>
      <c r="M6" s="110">
        <f>TrRoad_act!M60</f>
        <v>4513000</v>
      </c>
      <c r="N6" s="110">
        <f>TrRoad_act!N60</f>
        <v>4584000</v>
      </c>
      <c r="O6" s="110">
        <f>TrRoad_act!O60</f>
        <v>4641308</v>
      </c>
      <c r="P6" s="110">
        <f>TrRoad_act!P60</f>
        <v>4694921</v>
      </c>
      <c r="Q6" s="110">
        <f>TrRoad_act!Q60</f>
        <v>4748048</v>
      </c>
      <c r="R6" s="110">
        <f>TrRoad_act!R60</f>
        <v>4821557</v>
      </c>
      <c r="S6" s="110">
        <f>TrRoad_act!S60</f>
        <v>4898578</v>
      </c>
      <c r="T6" s="110">
        <f>TrRoad_act!T60</f>
        <v>4978852</v>
      </c>
      <c r="U6" s="110">
        <f>TrRoad_act!U60</f>
        <v>5039548</v>
      </c>
      <c r="V6" s="110">
        <f>TrRoad_act!V60</f>
        <v>5091827</v>
      </c>
      <c r="W6" s="110">
        <f>TrRoad_act!W60</f>
        <v>5133836</v>
      </c>
      <c r="DA6" s="176" t="s">
        <v>502</v>
      </c>
    </row>
    <row r="7" spans="1:105" ht="11.45" customHeight="1" x14ac:dyDescent="0.25">
      <c r="A7" s="111" t="s">
        <v>110</v>
      </c>
      <c r="B7" s="84">
        <f>TrRoad_act!B61</f>
        <v>2598000</v>
      </c>
      <c r="C7" s="84">
        <f>TrRoad_act!C61</f>
        <v>2532933</v>
      </c>
      <c r="D7" s="84">
        <f>TrRoad_act!D61</f>
        <v>2229586</v>
      </c>
      <c r="E7" s="84">
        <f>TrRoad_act!E61</f>
        <v>2152286</v>
      </c>
      <c r="F7" s="84">
        <f>TrRoad_act!F61</f>
        <v>2073993</v>
      </c>
      <c r="G7" s="84">
        <f>TrRoad_act!G61</f>
        <v>2016724</v>
      </c>
      <c r="H7" s="84">
        <f>TrRoad_act!H61</f>
        <v>1971457</v>
      </c>
      <c r="I7" s="84">
        <f>TrRoad_act!I61</f>
        <v>1950719</v>
      </c>
      <c r="J7" s="84">
        <f>TrRoad_act!J61</f>
        <v>1948861</v>
      </c>
      <c r="K7" s="84">
        <f>TrRoad_act!K61</f>
        <v>1965476</v>
      </c>
      <c r="L7" s="84">
        <f>TrRoad_act!L61</f>
        <v>1984314</v>
      </c>
      <c r="M7" s="84">
        <f>TrRoad_act!M61</f>
        <v>1995411</v>
      </c>
      <c r="N7" s="84">
        <f>TrRoad_act!N61</f>
        <v>2001262</v>
      </c>
      <c r="O7" s="84">
        <f>TrRoad_act!O61</f>
        <v>2006553</v>
      </c>
      <c r="P7" s="84">
        <f>TrRoad_act!P61</f>
        <v>2016745</v>
      </c>
      <c r="Q7" s="84">
        <f>TrRoad_act!Q61</f>
        <v>2028565</v>
      </c>
      <c r="R7" s="84">
        <f>TrRoad_act!R61</f>
        <v>2051338</v>
      </c>
      <c r="S7" s="84">
        <f>TrRoad_act!S61</f>
        <v>2099856</v>
      </c>
      <c r="T7" s="84">
        <f>TrRoad_act!T61</f>
        <v>2166343</v>
      </c>
      <c r="U7" s="84">
        <f>TrRoad_act!U61</f>
        <v>2216232</v>
      </c>
      <c r="V7" s="84">
        <f>TrRoad_act!V61</f>
        <v>2249710</v>
      </c>
      <c r="W7" s="84">
        <f>TrRoad_act!W61</f>
        <v>2277926</v>
      </c>
      <c r="DA7" s="171" t="s">
        <v>503</v>
      </c>
    </row>
    <row r="8" spans="1:105" ht="11.45" customHeight="1" x14ac:dyDescent="0.25">
      <c r="A8" s="111" t="s">
        <v>111</v>
      </c>
      <c r="B8" s="84">
        <f>TrRoad_act!B62</f>
        <v>1499000</v>
      </c>
      <c r="C8" s="84">
        <f>TrRoad_act!C62</f>
        <v>1629238</v>
      </c>
      <c r="D8" s="84">
        <f>TrRoad_act!D62</f>
        <v>1731804</v>
      </c>
      <c r="E8" s="84">
        <f>TrRoad_act!E62</f>
        <v>1870475</v>
      </c>
      <c r="F8" s="84">
        <f>TrRoad_act!F62</f>
        <v>2009398</v>
      </c>
      <c r="G8" s="84">
        <f>TrRoad_act!G62</f>
        <v>2114801</v>
      </c>
      <c r="H8" s="84">
        <f>TrRoad_act!H62</f>
        <v>2207036</v>
      </c>
      <c r="I8" s="84">
        <f>TrRoad_act!I62</f>
        <v>2270075</v>
      </c>
      <c r="J8" s="84">
        <f>TrRoad_act!J62</f>
        <v>2309318</v>
      </c>
      <c r="K8" s="84">
        <f>TrRoad_act!K62</f>
        <v>2370094</v>
      </c>
      <c r="L8" s="84">
        <f>TrRoad_act!L62</f>
        <v>2433626</v>
      </c>
      <c r="M8" s="84">
        <f>TrRoad_act!M62</f>
        <v>2492794</v>
      </c>
      <c r="N8" s="84">
        <f>TrRoad_act!N62</f>
        <v>2555354</v>
      </c>
      <c r="O8" s="84">
        <f>TrRoad_act!O62</f>
        <v>2607130</v>
      </c>
      <c r="P8" s="84">
        <f>TrRoad_act!P62</f>
        <v>2650382</v>
      </c>
      <c r="Q8" s="84">
        <f>TrRoad_act!Q62</f>
        <v>2693495</v>
      </c>
      <c r="R8" s="84">
        <f>TrRoad_act!R62</f>
        <v>2740919</v>
      </c>
      <c r="S8" s="84">
        <f>TrRoad_act!S62</f>
        <v>2763203</v>
      </c>
      <c r="T8" s="84">
        <f>TrRoad_act!T62</f>
        <v>2772203</v>
      </c>
      <c r="U8" s="84">
        <f>TrRoad_act!U62</f>
        <v>2773838</v>
      </c>
      <c r="V8" s="84">
        <f>TrRoad_act!V62</f>
        <v>2772263</v>
      </c>
      <c r="W8" s="84">
        <f>TrRoad_act!W62</f>
        <v>2740563</v>
      </c>
      <c r="DA8" s="171" t="s">
        <v>504</v>
      </c>
    </row>
    <row r="9" spans="1:105" ht="11.45" customHeight="1" x14ac:dyDescent="0.25">
      <c r="A9" s="111" t="s">
        <v>112</v>
      </c>
      <c r="B9" s="84">
        <f>TrRoad_act!B63</f>
        <v>18500</v>
      </c>
      <c r="C9" s="84">
        <f>TrRoad_act!C63</f>
        <v>19829</v>
      </c>
      <c r="D9" s="84">
        <f>TrRoad_act!D63</f>
        <v>25610</v>
      </c>
      <c r="E9" s="84">
        <f>TrRoad_act!E63</f>
        <v>31239</v>
      </c>
      <c r="F9" s="84">
        <f>TrRoad_act!F63</f>
        <v>25609</v>
      </c>
      <c r="G9" s="84">
        <f>TrRoad_act!G63</f>
        <v>25475</v>
      </c>
      <c r="H9" s="84">
        <f>TrRoad_act!H63</f>
        <v>26453</v>
      </c>
      <c r="I9" s="84">
        <f>TrRoad_act!I63</f>
        <v>24994</v>
      </c>
      <c r="J9" s="84">
        <f>TrRoad_act!J63</f>
        <v>25819</v>
      </c>
      <c r="K9" s="84">
        <f>TrRoad_act!K63</f>
        <v>22886</v>
      </c>
      <c r="L9" s="84">
        <f>TrRoad_act!L63</f>
        <v>21234</v>
      </c>
      <c r="M9" s="84">
        <f>TrRoad_act!M63</f>
        <v>21134</v>
      </c>
      <c r="N9" s="84">
        <f>TrRoad_act!N63</f>
        <v>22619</v>
      </c>
      <c r="O9" s="84">
        <f>TrRoad_act!O63</f>
        <v>21496</v>
      </c>
      <c r="P9" s="84">
        <f>TrRoad_act!P63</f>
        <v>19370</v>
      </c>
      <c r="Q9" s="84">
        <f>TrRoad_act!Q63</f>
        <v>14669</v>
      </c>
      <c r="R9" s="84">
        <f>TrRoad_act!R63</f>
        <v>12909</v>
      </c>
      <c r="S9" s="84">
        <f>TrRoad_act!S63</f>
        <v>11747</v>
      </c>
      <c r="T9" s="84">
        <f>TrRoad_act!T63</f>
        <v>8223</v>
      </c>
      <c r="U9" s="84">
        <f>TrRoad_act!U63</f>
        <v>6167</v>
      </c>
      <c r="V9" s="84">
        <f>TrRoad_act!V63</f>
        <v>4379</v>
      </c>
      <c r="W9" s="84">
        <f>TrRoad_act!W63</f>
        <v>4332</v>
      </c>
      <c r="DA9" s="171" t="s">
        <v>505</v>
      </c>
    </row>
    <row r="10" spans="1:105" ht="11.45" customHeight="1" x14ac:dyDescent="0.25">
      <c r="A10" s="111" t="s">
        <v>113</v>
      </c>
      <c r="B10" s="84">
        <f>TrRoad_act!B64</f>
        <v>0</v>
      </c>
      <c r="C10" s="84">
        <f>TrRoad_act!C64</f>
        <v>0</v>
      </c>
      <c r="D10" s="84">
        <f>TrRoad_act!D64</f>
        <v>0</v>
      </c>
      <c r="E10" s="84">
        <f>TrRoad_act!E64</f>
        <v>0</v>
      </c>
      <c r="F10" s="84">
        <f>TrRoad_act!F64</f>
        <v>0</v>
      </c>
      <c r="G10" s="84">
        <f>TrRoad_act!G64</f>
        <v>0</v>
      </c>
      <c r="H10" s="84">
        <f>TrRoad_act!H64</f>
        <v>54</v>
      </c>
      <c r="I10" s="84">
        <f>TrRoad_act!I64</f>
        <v>212</v>
      </c>
      <c r="J10" s="84">
        <f>TrRoad_act!J64</f>
        <v>1000</v>
      </c>
      <c r="K10" s="84">
        <f>TrRoad_act!K64</f>
        <v>1216</v>
      </c>
      <c r="L10" s="84">
        <f>TrRoad_act!L64</f>
        <v>1473</v>
      </c>
      <c r="M10" s="84">
        <f>TrRoad_act!M64</f>
        <v>2670</v>
      </c>
      <c r="N10" s="84">
        <f>TrRoad_act!N64</f>
        <v>3109</v>
      </c>
      <c r="O10" s="84">
        <f>TrRoad_act!O64</f>
        <v>3651</v>
      </c>
      <c r="P10" s="84">
        <f>TrRoad_act!P64</f>
        <v>4262</v>
      </c>
      <c r="Q10" s="84">
        <f>TrRoad_act!Q64</f>
        <v>4775</v>
      </c>
      <c r="R10" s="84">
        <f>TrRoad_act!R64</f>
        <v>5031</v>
      </c>
      <c r="S10" s="84">
        <f>TrRoad_act!S64</f>
        <v>5206</v>
      </c>
      <c r="T10" s="84">
        <f>TrRoad_act!T64</f>
        <v>5542</v>
      </c>
      <c r="U10" s="84">
        <f>TrRoad_act!U64</f>
        <v>5746</v>
      </c>
      <c r="V10" s="84">
        <f>TrRoad_act!V64</f>
        <v>5731</v>
      </c>
      <c r="W10" s="84">
        <f>TrRoad_act!W64</f>
        <v>5455</v>
      </c>
      <c r="DA10" s="171" t="s">
        <v>506</v>
      </c>
    </row>
    <row r="11" spans="1:105" ht="11.45" customHeight="1" x14ac:dyDescent="0.25">
      <c r="A11" s="111" t="s">
        <v>114</v>
      </c>
      <c r="B11" s="84">
        <f>TrRoad_act!B65</f>
        <v>0</v>
      </c>
      <c r="C11" s="84">
        <f>TrRoad_act!C65</f>
        <v>0</v>
      </c>
      <c r="D11" s="84">
        <f>TrRoad_act!D65</f>
        <v>0</v>
      </c>
      <c r="E11" s="84">
        <f>TrRoad_act!E65</f>
        <v>0</v>
      </c>
      <c r="F11" s="84">
        <f>TrRoad_act!F65</f>
        <v>0</v>
      </c>
      <c r="G11" s="84">
        <f>TrRoad_act!G65</f>
        <v>0</v>
      </c>
      <c r="H11" s="84">
        <f>TrRoad_act!H65</f>
        <v>0</v>
      </c>
      <c r="I11" s="84">
        <f>TrRoad_act!I65</f>
        <v>0</v>
      </c>
      <c r="J11" s="84">
        <f>TrRoad_act!J65</f>
        <v>0</v>
      </c>
      <c r="K11" s="84">
        <f>TrRoad_act!K65</f>
        <v>0</v>
      </c>
      <c r="L11" s="84">
        <f>TrRoad_act!L65</f>
        <v>0</v>
      </c>
      <c r="M11" s="84">
        <f>TrRoad_act!M65</f>
        <v>2</v>
      </c>
      <c r="N11" s="84">
        <f>TrRoad_act!N65</f>
        <v>267</v>
      </c>
      <c r="O11" s="84">
        <f>TrRoad_act!O65</f>
        <v>408</v>
      </c>
      <c r="P11" s="84">
        <f>TrRoad_act!P65</f>
        <v>776</v>
      </c>
      <c r="Q11" s="84">
        <f>TrRoad_act!Q65</f>
        <v>1512</v>
      </c>
      <c r="R11" s="84">
        <f>TrRoad_act!R65</f>
        <v>2287</v>
      </c>
      <c r="S11" s="84">
        <f>TrRoad_act!S65</f>
        <v>3948</v>
      </c>
      <c r="T11" s="84">
        <f>TrRoad_act!T65</f>
        <v>5710</v>
      </c>
      <c r="U11" s="84">
        <f>TrRoad_act!U65</f>
        <v>8042</v>
      </c>
      <c r="V11" s="84">
        <f>TrRoad_act!V65</f>
        <v>15237</v>
      </c>
      <c r="W11" s="84">
        <f>TrRoad_act!W65</f>
        <v>29021</v>
      </c>
      <c r="DA11" s="171" t="s">
        <v>507</v>
      </c>
    </row>
    <row r="12" spans="1:105" ht="11.45" customHeight="1" x14ac:dyDescent="0.25">
      <c r="A12" s="111" t="s">
        <v>115</v>
      </c>
      <c r="B12" s="84">
        <f>TrRoad_act!B66</f>
        <v>0</v>
      </c>
      <c r="C12" s="84">
        <f>TrRoad_act!C66</f>
        <v>0</v>
      </c>
      <c r="D12" s="84">
        <f>TrRoad_act!D66</f>
        <v>0</v>
      </c>
      <c r="E12" s="84">
        <f>TrRoad_act!E66</f>
        <v>0</v>
      </c>
      <c r="F12" s="84">
        <f>TrRoad_act!F66</f>
        <v>0</v>
      </c>
      <c r="G12" s="84">
        <f>TrRoad_act!G66</f>
        <v>0</v>
      </c>
      <c r="H12" s="84">
        <f>TrRoad_act!H66</f>
        <v>0</v>
      </c>
      <c r="I12" s="84">
        <f>TrRoad_act!I66</f>
        <v>0</v>
      </c>
      <c r="J12" s="84">
        <f>TrRoad_act!J66</f>
        <v>2</v>
      </c>
      <c r="K12" s="84">
        <f>TrRoad_act!K66</f>
        <v>328</v>
      </c>
      <c r="L12" s="84">
        <f>TrRoad_act!L66</f>
        <v>353</v>
      </c>
      <c r="M12" s="84">
        <f>TrRoad_act!M66</f>
        <v>989</v>
      </c>
      <c r="N12" s="84">
        <f>TrRoad_act!N66</f>
        <v>1389</v>
      </c>
      <c r="O12" s="84">
        <f>TrRoad_act!O66</f>
        <v>2070</v>
      </c>
      <c r="P12" s="84">
        <f>TrRoad_act!P66</f>
        <v>3386</v>
      </c>
      <c r="Q12" s="84">
        <f>TrRoad_act!Q66</f>
        <v>5032</v>
      </c>
      <c r="R12" s="84">
        <f>TrRoad_act!R66</f>
        <v>9073</v>
      </c>
      <c r="S12" s="84">
        <f>TrRoad_act!S66</f>
        <v>14618</v>
      </c>
      <c r="T12" s="84">
        <f>TrRoad_act!T66</f>
        <v>20831</v>
      </c>
      <c r="U12" s="84">
        <f>TrRoad_act!U66</f>
        <v>29523</v>
      </c>
      <c r="V12" s="84">
        <f>TrRoad_act!V66</f>
        <v>44507</v>
      </c>
      <c r="W12" s="84">
        <f>TrRoad_act!W66</f>
        <v>76539</v>
      </c>
      <c r="DA12" s="171" t="s">
        <v>508</v>
      </c>
    </row>
    <row r="13" spans="1:105" ht="11.45" customHeight="1" x14ac:dyDescent="0.25">
      <c r="A13" s="109" t="s">
        <v>21</v>
      </c>
      <c r="B13" s="110">
        <f>TrRoad_act!B67</f>
        <v>9918</v>
      </c>
      <c r="C13" s="110">
        <f>TrRoad_act!C67</f>
        <v>9902</v>
      </c>
      <c r="D13" s="110">
        <f>TrRoad_act!D67</f>
        <v>9187</v>
      </c>
      <c r="E13" s="110">
        <f>TrRoad_act!E67</f>
        <v>9236</v>
      </c>
      <c r="F13" s="110">
        <f>TrRoad_act!F67</f>
        <v>9419</v>
      </c>
      <c r="G13" s="110">
        <f>TrRoad_act!G67</f>
        <v>9315</v>
      </c>
      <c r="H13" s="110">
        <f>TrRoad_act!H67</f>
        <v>9307</v>
      </c>
      <c r="I13" s="110">
        <f>TrRoad_act!I67</f>
        <v>9324</v>
      </c>
      <c r="J13" s="110">
        <f>TrRoad_act!J67</f>
        <v>9382</v>
      </c>
      <c r="K13" s="110">
        <f>TrRoad_act!K67</f>
        <v>9787</v>
      </c>
      <c r="L13" s="110">
        <f>TrRoad_act!L67</f>
        <v>9917</v>
      </c>
      <c r="M13" s="110">
        <f>TrRoad_act!M67</f>
        <v>9886</v>
      </c>
      <c r="N13" s="110">
        <f>TrRoad_act!N67</f>
        <v>9839</v>
      </c>
      <c r="O13" s="110">
        <f>TrRoad_act!O67</f>
        <v>9986</v>
      </c>
      <c r="P13" s="110">
        <f>TrRoad_act!P67</f>
        <v>10070</v>
      </c>
      <c r="Q13" s="110">
        <f>TrRoad_act!Q67</f>
        <v>10122</v>
      </c>
      <c r="R13" s="110">
        <f>TrRoad_act!R67</f>
        <v>10252</v>
      </c>
      <c r="S13" s="110">
        <f>TrRoad_act!S67</f>
        <v>10397</v>
      </c>
      <c r="T13" s="110">
        <f>TrRoad_act!T67</f>
        <v>10037</v>
      </c>
      <c r="U13" s="110">
        <f>TrRoad_act!U67</f>
        <v>10148</v>
      </c>
      <c r="V13" s="110">
        <f>TrRoad_act!V67</f>
        <v>10064</v>
      </c>
      <c r="W13" s="110">
        <f>TrRoad_act!W67</f>
        <v>10136</v>
      </c>
      <c r="DA13" s="176" t="s">
        <v>509</v>
      </c>
    </row>
    <row r="14" spans="1:105" ht="11.45" customHeight="1" x14ac:dyDescent="0.25">
      <c r="A14" s="111" t="s">
        <v>110</v>
      </c>
      <c r="B14" s="102">
        <f>TrRoad_act!B68</f>
        <v>13</v>
      </c>
      <c r="C14" s="102">
        <f>TrRoad_act!C68</f>
        <v>14</v>
      </c>
      <c r="D14" s="102">
        <f>TrRoad_act!D68</f>
        <v>11</v>
      </c>
      <c r="E14" s="102">
        <f>TrRoad_act!E68</f>
        <v>10</v>
      </c>
      <c r="F14" s="102">
        <f>TrRoad_act!F68</f>
        <v>9</v>
      </c>
      <c r="G14" s="102">
        <f>TrRoad_act!G68</f>
        <v>7</v>
      </c>
      <c r="H14" s="102">
        <f>TrRoad_act!H68</f>
        <v>6</v>
      </c>
      <c r="I14" s="102">
        <f>TrRoad_act!I68</f>
        <v>6</v>
      </c>
      <c r="J14" s="102">
        <f>TrRoad_act!J68</f>
        <v>5</v>
      </c>
      <c r="K14" s="102">
        <f>TrRoad_act!K68</f>
        <v>4</v>
      </c>
      <c r="L14" s="102">
        <f>TrRoad_act!L68</f>
        <v>4</v>
      </c>
      <c r="M14" s="102">
        <f>TrRoad_act!M68</f>
        <v>3</v>
      </c>
      <c r="N14" s="102">
        <f>TrRoad_act!N68</f>
        <v>3</v>
      </c>
      <c r="O14" s="102">
        <f>TrRoad_act!O68</f>
        <v>2</v>
      </c>
      <c r="P14" s="102">
        <f>TrRoad_act!P68</f>
        <v>3</v>
      </c>
      <c r="Q14" s="102">
        <f>TrRoad_act!Q68</f>
        <v>3</v>
      </c>
      <c r="R14" s="102">
        <f>TrRoad_act!R68</f>
        <v>4</v>
      </c>
      <c r="S14" s="102">
        <f>TrRoad_act!S68</f>
        <v>4</v>
      </c>
      <c r="T14" s="102">
        <f>TrRoad_act!T68</f>
        <v>4</v>
      </c>
      <c r="U14" s="102">
        <f>TrRoad_act!U68</f>
        <v>4</v>
      </c>
      <c r="V14" s="102">
        <f>TrRoad_act!V68</f>
        <v>3</v>
      </c>
      <c r="W14" s="102">
        <f>TrRoad_act!W68</f>
        <v>4</v>
      </c>
      <c r="DA14" s="175" t="s">
        <v>510</v>
      </c>
    </row>
    <row r="15" spans="1:105" ht="11.45" customHeight="1" x14ac:dyDescent="0.25">
      <c r="A15" s="111" t="s">
        <v>111</v>
      </c>
      <c r="B15" s="102">
        <f>TrRoad_act!B69</f>
        <v>9789</v>
      </c>
      <c r="C15" s="102">
        <f>TrRoad_act!C69</f>
        <v>9758</v>
      </c>
      <c r="D15" s="102">
        <f>TrRoad_act!D69</f>
        <v>9015</v>
      </c>
      <c r="E15" s="102">
        <f>TrRoad_act!E69</f>
        <v>9045</v>
      </c>
      <c r="F15" s="102">
        <f>TrRoad_act!F69</f>
        <v>9197</v>
      </c>
      <c r="G15" s="102">
        <f>TrRoad_act!G69</f>
        <v>9054</v>
      </c>
      <c r="H15" s="102">
        <f>TrRoad_act!H69</f>
        <v>9016</v>
      </c>
      <c r="I15" s="102">
        <f>TrRoad_act!I69</f>
        <v>8960</v>
      </c>
      <c r="J15" s="102">
        <f>TrRoad_act!J69</f>
        <v>8950</v>
      </c>
      <c r="K15" s="102">
        <f>TrRoad_act!K69</f>
        <v>9077</v>
      </c>
      <c r="L15" s="102">
        <f>TrRoad_act!L69</f>
        <v>9028</v>
      </c>
      <c r="M15" s="102">
        <f>TrRoad_act!M69</f>
        <v>8947</v>
      </c>
      <c r="N15" s="102">
        <f>TrRoad_act!N69</f>
        <v>8859</v>
      </c>
      <c r="O15" s="102">
        <f>TrRoad_act!O69</f>
        <v>8883</v>
      </c>
      <c r="P15" s="102">
        <f>TrRoad_act!P69</f>
        <v>8919</v>
      </c>
      <c r="Q15" s="102">
        <f>TrRoad_act!Q69</f>
        <v>9067</v>
      </c>
      <c r="R15" s="102">
        <f>TrRoad_act!R69</f>
        <v>9259</v>
      </c>
      <c r="S15" s="102">
        <f>TrRoad_act!S69</f>
        <v>9457</v>
      </c>
      <c r="T15" s="102">
        <f>TrRoad_act!T69</f>
        <v>9167</v>
      </c>
      <c r="U15" s="102">
        <f>TrRoad_act!U69</f>
        <v>9426</v>
      </c>
      <c r="V15" s="102">
        <f>TrRoad_act!V69</f>
        <v>9325</v>
      </c>
      <c r="W15" s="102">
        <f>TrRoad_act!W69</f>
        <v>9455</v>
      </c>
      <c r="DA15" s="175" t="s">
        <v>511</v>
      </c>
    </row>
    <row r="16" spans="1:105" ht="11.45" customHeight="1" x14ac:dyDescent="0.25">
      <c r="A16" s="111" t="s">
        <v>112</v>
      </c>
      <c r="B16" s="102">
        <f>TrRoad_act!B70</f>
        <v>0</v>
      </c>
      <c r="C16" s="102">
        <f>TrRoad_act!C70</f>
        <v>16</v>
      </c>
      <c r="D16" s="102">
        <f>TrRoad_act!D70</f>
        <v>48</v>
      </c>
      <c r="E16" s="102">
        <f>TrRoad_act!E70</f>
        <v>68</v>
      </c>
      <c r="F16" s="102">
        <f>TrRoad_act!F70</f>
        <v>92</v>
      </c>
      <c r="G16" s="102">
        <f>TrRoad_act!G70</f>
        <v>133</v>
      </c>
      <c r="H16" s="102">
        <f>TrRoad_act!H70</f>
        <v>165</v>
      </c>
      <c r="I16" s="102">
        <f>TrRoad_act!I70</f>
        <v>205</v>
      </c>
      <c r="J16" s="102">
        <f>TrRoad_act!J70</f>
        <v>242</v>
      </c>
      <c r="K16" s="102">
        <f>TrRoad_act!K70</f>
        <v>319</v>
      </c>
      <c r="L16" s="102">
        <f>TrRoad_act!L70</f>
        <v>361</v>
      </c>
      <c r="M16" s="102">
        <f>TrRoad_act!M70</f>
        <v>389</v>
      </c>
      <c r="N16" s="102">
        <f>TrRoad_act!N70</f>
        <v>389</v>
      </c>
      <c r="O16" s="102">
        <f>TrRoad_act!O70</f>
        <v>379</v>
      </c>
      <c r="P16" s="102">
        <f>TrRoad_act!P70</f>
        <v>358</v>
      </c>
      <c r="Q16" s="102">
        <f>TrRoad_act!Q70</f>
        <v>286</v>
      </c>
      <c r="R16" s="102">
        <f>TrRoad_act!R70</f>
        <v>235</v>
      </c>
      <c r="S16" s="102">
        <f>TrRoad_act!S70</f>
        <v>191</v>
      </c>
      <c r="T16" s="102">
        <f>TrRoad_act!T70</f>
        <v>191</v>
      </c>
      <c r="U16" s="102">
        <f>TrRoad_act!U70</f>
        <v>16</v>
      </c>
      <c r="V16" s="102">
        <f>TrRoad_act!V70</f>
        <v>16</v>
      </c>
      <c r="W16" s="102">
        <f>TrRoad_act!W70</f>
        <v>15</v>
      </c>
      <c r="DA16" s="175" t="s">
        <v>512</v>
      </c>
    </row>
    <row r="17" spans="1:105" ht="11.45" customHeight="1" x14ac:dyDescent="0.25">
      <c r="A17" s="111" t="s">
        <v>113</v>
      </c>
      <c r="B17" s="102">
        <f>TrRoad_act!B71</f>
        <v>0</v>
      </c>
      <c r="C17" s="102">
        <f>TrRoad_act!C71</f>
        <v>0</v>
      </c>
      <c r="D17" s="102">
        <f>TrRoad_act!D71</f>
        <v>0</v>
      </c>
      <c r="E17" s="102">
        <f>TrRoad_act!E71</f>
        <v>0</v>
      </c>
      <c r="F17" s="102">
        <f>TrRoad_act!F71</f>
        <v>13</v>
      </c>
      <c r="G17" s="102">
        <f>TrRoad_act!G71</f>
        <v>13</v>
      </c>
      <c r="H17" s="102">
        <f>TrRoad_act!H71</f>
        <v>10</v>
      </c>
      <c r="I17" s="102">
        <f>TrRoad_act!I71</f>
        <v>52</v>
      </c>
      <c r="J17" s="102">
        <f>TrRoad_act!J71</f>
        <v>84</v>
      </c>
      <c r="K17" s="102">
        <f>TrRoad_act!K71</f>
        <v>281</v>
      </c>
      <c r="L17" s="102">
        <f>TrRoad_act!L71</f>
        <v>411</v>
      </c>
      <c r="M17" s="102">
        <f>TrRoad_act!M71</f>
        <v>431</v>
      </c>
      <c r="N17" s="102">
        <f>TrRoad_act!N71</f>
        <v>462</v>
      </c>
      <c r="O17" s="102">
        <f>TrRoad_act!O71</f>
        <v>583</v>
      </c>
      <c r="P17" s="102">
        <f>TrRoad_act!P71</f>
        <v>659</v>
      </c>
      <c r="Q17" s="102">
        <f>TrRoad_act!Q71</f>
        <v>628</v>
      </c>
      <c r="R17" s="102">
        <f>TrRoad_act!R71</f>
        <v>605</v>
      </c>
      <c r="S17" s="102">
        <f>TrRoad_act!S71</f>
        <v>602</v>
      </c>
      <c r="T17" s="102">
        <f>TrRoad_act!T71</f>
        <v>521</v>
      </c>
      <c r="U17" s="102">
        <f>TrRoad_act!U71</f>
        <v>541</v>
      </c>
      <c r="V17" s="102">
        <f>TrRoad_act!V71</f>
        <v>548</v>
      </c>
      <c r="W17" s="102">
        <f>TrRoad_act!W71</f>
        <v>488</v>
      </c>
      <c r="DA17" s="175" t="s">
        <v>513</v>
      </c>
    </row>
    <row r="18" spans="1:105" ht="11.45" customHeight="1" x14ac:dyDescent="0.25">
      <c r="A18" s="111" t="s">
        <v>115</v>
      </c>
      <c r="B18" s="102">
        <f>TrRoad_act!B72</f>
        <v>116</v>
      </c>
      <c r="C18" s="102">
        <f>TrRoad_act!C72</f>
        <v>114</v>
      </c>
      <c r="D18" s="102">
        <f>TrRoad_act!D72</f>
        <v>113</v>
      </c>
      <c r="E18" s="102">
        <f>TrRoad_act!E72</f>
        <v>113</v>
      </c>
      <c r="F18" s="102">
        <f>TrRoad_act!F72</f>
        <v>108</v>
      </c>
      <c r="G18" s="102">
        <f>TrRoad_act!G72</f>
        <v>108</v>
      </c>
      <c r="H18" s="102">
        <f>TrRoad_act!H72</f>
        <v>110</v>
      </c>
      <c r="I18" s="102">
        <f>TrRoad_act!I72</f>
        <v>101</v>
      </c>
      <c r="J18" s="102">
        <f>TrRoad_act!J72</f>
        <v>101</v>
      </c>
      <c r="K18" s="102">
        <f>TrRoad_act!K72</f>
        <v>106</v>
      </c>
      <c r="L18" s="102">
        <f>TrRoad_act!L72</f>
        <v>113</v>
      </c>
      <c r="M18" s="102">
        <f>TrRoad_act!M72</f>
        <v>116</v>
      </c>
      <c r="N18" s="102">
        <f>TrRoad_act!N72</f>
        <v>126</v>
      </c>
      <c r="O18" s="102">
        <f>TrRoad_act!O72</f>
        <v>139</v>
      </c>
      <c r="P18" s="102">
        <f>TrRoad_act!P72</f>
        <v>131</v>
      </c>
      <c r="Q18" s="102">
        <f>TrRoad_act!Q72</f>
        <v>138</v>
      </c>
      <c r="R18" s="102">
        <f>TrRoad_act!R72</f>
        <v>149</v>
      </c>
      <c r="S18" s="102">
        <f>TrRoad_act!S72</f>
        <v>143</v>
      </c>
      <c r="T18" s="102">
        <f>TrRoad_act!T72</f>
        <v>154</v>
      </c>
      <c r="U18" s="102">
        <f>TrRoad_act!U72</f>
        <v>161</v>
      </c>
      <c r="V18" s="102">
        <f>TrRoad_act!V72</f>
        <v>172</v>
      </c>
      <c r="W18" s="102">
        <f>TrRoad_act!W72</f>
        <v>174</v>
      </c>
      <c r="DA18" s="175" t="s">
        <v>514</v>
      </c>
    </row>
    <row r="19" spans="1:105" ht="11.45" customHeight="1" x14ac:dyDescent="0.25">
      <c r="A19" s="27" t="s">
        <v>34</v>
      </c>
      <c r="B19" s="28">
        <f>TrRoad_act!B73</f>
        <v>338521</v>
      </c>
      <c r="C19" s="28">
        <f>TrRoad_act!C73</f>
        <v>343218</v>
      </c>
      <c r="D19" s="28">
        <f>TrRoad_act!D73</f>
        <v>332964</v>
      </c>
      <c r="E19" s="28">
        <f>TrRoad_act!E73</f>
        <v>339513</v>
      </c>
      <c r="F19" s="28">
        <f>TrRoad_act!F73</f>
        <v>349265</v>
      </c>
      <c r="G19" s="28">
        <f>TrRoad_act!G73</f>
        <v>356226</v>
      </c>
      <c r="H19" s="28">
        <f>TrRoad_act!H73</f>
        <v>363296</v>
      </c>
      <c r="I19" s="28">
        <f>TrRoad_act!I73</f>
        <v>374953</v>
      </c>
      <c r="J19" s="28">
        <f>TrRoad_act!J73</f>
        <v>388123</v>
      </c>
      <c r="K19" s="28">
        <f>TrRoad_act!K73</f>
        <v>394441</v>
      </c>
      <c r="L19" s="28">
        <f>TrRoad_act!L73</f>
        <v>404687</v>
      </c>
      <c r="M19" s="28">
        <f>TrRoad_act!M73</f>
        <v>416718</v>
      </c>
      <c r="N19" s="28">
        <f>TrRoad_act!N73</f>
        <v>426850</v>
      </c>
      <c r="O19" s="28">
        <f>TrRoad_act!O73</f>
        <v>436928</v>
      </c>
      <c r="P19" s="28">
        <f>TrRoad_act!P73</f>
        <v>446984</v>
      </c>
      <c r="Q19" s="28">
        <f>TrRoad_act!Q73</f>
        <v>457523</v>
      </c>
      <c r="R19" s="28">
        <f>TrRoad_act!R73</f>
        <v>471552</v>
      </c>
      <c r="S19" s="28">
        <f>TrRoad_act!S73</f>
        <v>491092</v>
      </c>
      <c r="T19" s="28">
        <f>TrRoad_act!T73</f>
        <v>511821</v>
      </c>
      <c r="U19" s="28">
        <f>TrRoad_act!U73</f>
        <v>524650</v>
      </c>
      <c r="V19" s="28">
        <f>TrRoad_act!V73</f>
        <v>537237</v>
      </c>
      <c r="W19" s="28">
        <f>TrRoad_act!W73</f>
        <v>568809</v>
      </c>
      <c r="DA19" s="173" t="s">
        <v>515</v>
      </c>
    </row>
    <row r="20" spans="1:105" ht="11.45" customHeight="1" x14ac:dyDescent="0.25">
      <c r="A20" s="136" t="s">
        <v>156</v>
      </c>
      <c r="B20" s="137">
        <f>TrRoad_act!B74</f>
        <v>253915</v>
      </c>
      <c r="C20" s="137">
        <f>TrRoad_act!C74</f>
        <v>260666</v>
      </c>
      <c r="D20" s="137">
        <f>TrRoad_act!D74</f>
        <v>251753</v>
      </c>
      <c r="E20" s="137">
        <f>TrRoad_act!E74</f>
        <v>258819</v>
      </c>
      <c r="F20" s="137">
        <f>TrRoad_act!F74</f>
        <v>266660</v>
      </c>
      <c r="G20" s="137">
        <f>TrRoad_act!G74</f>
        <v>273942</v>
      </c>
      <c r="H20" s="137">
        <f>TrRoad_act!H74</f>
        <v>281677</v>
      </c>
      <c r="I20" s="137">
        <f>TrRoad_act!I74</f>
        <v>290544</v>
      </c>
      <c r="J20" s="137">
        <f>TrRoad_act!J74</f>
        <v>300301</v>
      </c>
      <c r="K20" s="137">
        <f>TrRoad_act!K74</f>
        <v>309052</v>
      </c>
      <c r="L20" s="137">
        <f>TrRoad_act!L74</f>
        <v>319017</v>
      </c>
      <c r="M20" s="137">
        <f>TrRoad_act!M74</f>
        <v>330440</v>
      </c>
      <c r="N20" s="137">
        <f>TrRoad_act!N74</f>
        <v>340946</v>
      </c>
      <c r="O20" s="137">
        <f>TrRoad_act!O74</f>
        <v>355214</v>
      </c>
      <c r="P20" s="137">
        <f>TrRoad_act!P74</f>
        <v>365686</v>
      </c>
      <c r="Q20" s="137">
        <f>TrRoad_act!Q74</f>
        <v>375163</v>
      </c>
      <c r="R20" s="137">
        <f>TrRoad_act!R74</f>
        <v>387786</v>
      </c>
      <c r="S20" s="137">
        <f>TrRoad_act!S74</f>
        <v>403984</v>
      </c>
      <c r="T20" s="137">
        <f>TrRoad_act!T74</f>
        <v>422745</v>
      </c>
      <c r="U20" s="137">
        <f>TrRoad_act!U74</f>
        <v>434295</v>
      </c>
      <c r="V20" s="137">
        <f>TrRoad_act!V74</f>
        <v>446067</v>
      </c>
      <c r="W20" s="137">
        <f>TrRoad_act!W74</f>
        <v>475560</v>
      </c>
      <c r="DA20" s="174" t="s">
        <v>516</v>
      </c>
    </row>
    <row r="21" spans="1:105" ht="11.45" customHeight="1" x14ac:dyDescent="0.25">
      <c r="A21" s="111" t="s">
        <v>110</v>
      </c>
      <c r="B21" s="84">
        <f>TrRoad_act!B75</f>
        <v>34436</v>
      </c>
      <c r="C21" s="84">
        <f>TrRoad_act!C75</f>
        <v>31577</v>
      </c>
      <c r="D21" s="84">
        <f>TrRoad_act!D75</f>
        <v>21139</v>
      </c>
      <c r="E21" s="84">
        <f>TrRoad_act!E75</f>
        <v>18873</v>
      </c>
      <c r="F21" s="84">
        <f>TrRoad_act!F75</f>
        <v>16971</v>
      </c>
      <c r="G21" s="84">
        <f>TrRoad_act!G75</f>
        <v>15566</v>
      </c>
      <c r="H21" s="84">
        <f>TrRoad_act!H75</f>
        <v>14663</v>
      </c>
      <c r="I21" s="84">
        <f>TrRoad_act!I75</f>
        <v>14227</v>
      </c>
      <c r="J21" s="84">
        <f>TrRoad_act!J75</f>
        <v>14168</v>
      </c>
      <c r="K21" s="84">
        <f>TrRoad_act!K75</f>
        <v>14586</v>
      </c>
      <c r="L21" s="84">
        <f>TrRoad_act!L75</f>
        <v>14864</v>
      </c>
      <c r="M21" s="84">
        <f>TrRoad_act!M75</f>
        <v>15303</v>
      </c>
      <c r="N21" s="84">
        <f>TrRoad_act!N75</f>
        <v>15808</v>
      </c>
      <c r="O21" s="84">
        <f>TrRoad_act!O75</f>
        <v>16476</v>
      </c>
      <c r="P21" s="84">
        <f>TrRoad_act!P75</f>
        <v>17109</v>
      </c>
      <c r="Q21" s="84">
        <f>TrRoad_act!Q75</f>
        <v>17650</v>
      </c>
      <c r="R21" s="84">
        <f>TrRoad_act!R75</f>
        <v>18087</v>
      </c>
      <c r="S21" s="84">
        <f>TrRoad_act!S75</f>
        <v>19169</v>
      </c>
      <c r="T21" s="84">
        <f>TrRoad_act!T75</f>
        <v>20751</v>
      </c>
      <c r="U21" s="84">
        <f>TrRoad_act!U75</f>
        <v>21014</v>
      </c>
      <c r="V21" s="84">
        <f>TrRoad_act!V75</f>
        <v>21173</v>
      </c>
      <c r="W21" s="84">
        <f>TrRoad_act!W75</f>
        <v>22000</v>
      </c>
      <c r="DA21" s="171" t="s">
        <v>517</v>
      </c>
    </row>
    <row r="22" spans="1:105" ht="11.45" customHeight="1" x14ac:dyDescent="0.25">
      <c r="A22" s="111" t="s">
        <v>111</v>
      </c>
      <c r="B22" s="84">
        <f>TrRoad_act!B76</f>
        <v>219454</v>
      </c>
      <c r="C22" s="84">
        <f>TrRoad_act!C76</f>
        <v>229056</v>
      </c>
      <c r="D22" s="84">
        <f>TrRoad_act!D76</f>
        <v>230585</v>
      </c>
      <c r="E22" s="84">
        <f>TrRoad_act!E76</f>
        <v>239911</v>
      </c>
      <c r="F22" s="84">
        <f>TrRoad_act!F76</f>
        <v>249644</v>
      </c>
      <c r="G22" s="84">
        <f>TrRoad_act!G76</f>
        <v>258270</v>
      </c>
      <c r="H22" s="84">
        <f>TrRoad_act!H76</f>
        <v>266843</v>
      </c>
      <c r="I22" s="84">
        <f>TrRoad_act!I76</f>
        <v>276072</v>
      </c>
      <c r="J22" s="84">
        <f>TrRoad_act!J76</f>
        <v>285788</v>
      </c>
      <c r="K22" s="84">
        <f>TrRoad_act!K76</f>
        <v>294219</v>
      </c>
      <c r="L22" s="84">
        <f>TrRoad_act!L76</f>
        <v>303886</v>
      </c>
      <c r="M22" s="84">
        <f>TrRoad_act!M76</f>
        <v>314819</v>
      </c>
      <c r="N22" s="84">
        <f>TrRoad_act!N76</f>
        <v>324487</v>
      </c>
      <c r="O22" s="84">
        <f>TrRoad_act!O76</f>
        <v>337107</v>
      </c>
      <c r="P22" s="84">
        <f>TrRoad_act!P76</f>
        <v>346664</v>
      </c>
      <c r="Q22" s="84">
        <f>TrRoad_act!Q76</f>
        <v>355336</v>
      </c>
      <c r="R22" s="84">
        <f>TrRoad_act!R76</f>
        <v>366275</v>
      </c>
      <c r="S22" s="84">
        <f>TrRoad_act!S76</f>
        <v>381190</v>
      </c>
      <c r="T22" s="84">
        <f>TrRoad_act!T76</f>
        <v>397835</v>
      </c>
      <c r="U22" s="84">
        <f>TrRoad_act!U76</f>
        <v>408692</v>
      </c>
      <c r="V22" s="84">
        <f>TrRoad_act!V76</f>
        <v>419666</v>
      </c>
      <c r="W22" s="84">
        <f>TrRoad_act!W76</f>
        <v>446049</v>
      </c>
      <c r="DA22" s="171" t="s">
        <v>518</v>
      </c>
    </row>
    <row r="23" spans="1:105" ht="11.45" customHeight="1" x14ac:dyDescent="0.25">
      <c r="A23" s="111" t="s">
        <v>112</v>
      </c>
      <c r="B23" s="84">
        <f>TrRoad_act!B77</f>
        <v>0</v>
      </c>
      <c r="C23" s="84">
        <f>TrRoad_act!C77</f>
        <v>0</v>
      </c>
      <c r="D23" s="84">
        <f>TrRoad_act!D77</f>
        <v>0</v>
      </c>
      <c r="E23" s="84">
        <f>TrRoad_act!E77</f>
        <v>7</v>
      </c>
      <c r="F23" s="84">
        <f>TrRoad_act!F77</f>
        <v>19</v>
      </c>
      <c r="G23" s="84">
        <f>TrRoad_act!G77</f>
        <v>82</v>
      </c>
      <c r="H23" s="84">
        <f>TrRoad_act!H77</f>
        <v>78</v>
      </c>
      <c r="I23" s="84">
        <f>TrRoad_act!I77</f>
        <v>77</v>
      </c>
      <c r="J23" s="84">
        <f>TrRoad_act!J77</f>
        <v>76</v>
      </c>
      <c r="K23" s="84">
        <f>TrRoad_act!K77</f>
        <v>74</v>
      </c>
      <c r="L23" s="84">
        <f>TrRoad_act!L77</f>
        <v>71</v>
      </c>
      <c r="M23" s="84">
        <f>TrRoad_act!M77</f>
        <v>67</v>
      </c>
      <c r="N23" s="84">
        <f>TrRoad_act!N77</f>
        <v>73</v>
      </c>
      <c r="O23" s="84">
        <f>TrRoad_act!O77</f>
        <v>81</v>
      </c>
      <c r="P23" s="84">
        <f>TrRoad_act!P77</f>
        <v>94</v>
      </c>
      <c r="Q23" s="84">
        <f>TrRoad_act!Q77</f>
        <v>98</v>
      </c>
      <c r="R23" s="84">
        <f>TrRoad_act!R77</f>
        <v>155</v>
      </c>
      <c r="S23" s="84">
        <f>TrRoad_act!S77</f>
        <v>166</v>
      </c>
      <c r="T23" s="84">
        <f>TrRoad_act!T77</f>
        <v>173</v>
      </c>
      <c r="U23" s="84">
        <f>TrRoad_act!U77</f>
        <v>191</v>
      </c>
      <c r="V23" s="84">
        <f>TrRoad_act!V77</f>
        <v>225</v>
      </c>
      <c r="W23" s="84">
        <f>TrRoad_act!W77</f>
        <v>262</v>
      </c>
      <c r="DA23" s="171" t="s">
        <v>519</v>
      </c>
    </row>
    <row r="24" spans="1:105" ht="11.45" customHeight="1" x14ac:dyDescent="0.25">
      <c r="A24" s="111" t="s">
        <v>113</v>
      </c>
      <c r="B24" s="84">
        <f>TrRoad_act!B78</f>
        <v>0</v>
      </c>
      <c r="C24" s="84">
        <f>TrRoad_act!C78</f>
        <v>0</v>
      </c>
      <c r="D24" s="84">
        <f>TrRoad_act!D78</f>
        <v>0</v>
      </c>
      <c r="E24" s="84">
        <f>TrRoad_act!E78</f>
        <v>0</v>
      </c>
      <c r="F24" s="84">
        <f>TrRoad_act!F78</f>
        <v>0</v>
      </c>
      <c r="G24" s="84">
        <f>TrRoad_act!G78</f>
        <v>0</v>
      </c>
      <c r="H24" s="84">
        <f>TrRoad_act!H78</f>
        <v>71</v>
      </c>
      <c r="I24" s="84">
        <f>TrRoad_act!I78</f>
        <v>140</v>
      </c>
      <c r="J24" s="84">
        <f>TrRoad_act!J78</f>
        <v>238</v>
      </c>
      <c r="K24" s="84">
        <f>TrRoad_act!K78</f>
        <v>128</v>
      </c>
      <c r="L24" s="84">
        <f>TrRoad_act!L78</f>
        <v>127</v>
      </c>
      <c r="M24" s="84">
        <f>TrRoad_act!M78</f>
        <v>142</v>
      </c>
      <c r="N24" s="84">
        <f>TrRoad_act!N78</f>
        <v>192</v>
      </c>
      <c r="O24" s="84">
        <f>TrRoad_act!O78</f>
        <v>931</v>
      </c>
      <c r="P24" s="84">
        <f>TrRoad_act!P78</f>
        <v>1000</v>
      </c>
      <c r="Q24" s="84">
        <f>TrRoad_act!Q78</f>
        <v>1010</v>
      </c>
      <c r="R24" s="84">
        <f>TrRoad_act!R78</f>
        <v>1802</v>
      </c>
      <c r="S24" s="84">
        <f>TrRoad_act!S78</f>
        <v>1748</v>
      </c>
      <c r="T24" s="84">
        <f>TrRoad_act!T78</f>
        <v>1845</v>
      </c>
      <c r="U24" s="84">
        <f>TrRoad_act!U78</f>
        <v>1793</v>
      </c>
      <c r="V24" s="84">
        <f>TrRoad_act!V78</f>
        <v>1673</v>
      </c>
      <c r="W24" s="84">
        <f>TrRoad_act!W78</f>
        <v>1622</v>
      </c>
      <c r="DA24" s="171" t="s">
        <v>520</v>
      </c>
    </row>
    <row r="25" spans="1:105" ht="11.45" customHeight="1" x14ac:dyDescent="0.25">
      <c r="A25" s="111" t="s">
        <v>115</v>
      </c>
      <c r="B25" s="84">
        <f>TrRoad_act!B79</f>
        <v>25</v>
      </c>
      <c r="C25" s="84">
        <f>TrRoad_act!C79</f>
        <v>33</v>
      </c>
      <c r="D25" s="84">
        <f>TrRoad_act!D79</f>
        <v>29</v>
      </c>
      <c r="E25" s="84">
        <f>TrRoad_act!E79</f>
        <v>28</v>
      </c>
      <c r="F25" s="84">
        <f>TrRoad_act!F79</f>
        <v>26</v>
      </c>
      <c r="G25" s="84">
        <f>TrRoad_act!G79</f>
        <v>24</v>
      </c>
      <c r="H25" s="84">
        <f>TrRoad_act!H79</f>
        <v>22</v>
      </c>
      <c r="I25" s="84">
        <f>TrRoad_act!I79</f>
        <v>28</v>
      </c>
      <c r="J25" s="84">
        <f>TrRoad_act!J79</f>
        <v>31</v>
      </c>
      <c r="K25" s="84">
        <f>TrRoad_act!K79</f>
        <v>45</v>
      </c>
      <c r="L25" s="84">
        <f>TrRoad_act!L79</f>
        <v>69</v>
      </c>
      <c r="M25" s="84">
        <f>TrRoad_act!M79</f>
        <v>109</v>
      </c>
      <c r="N25" s="84">
        <f>TrRoad_act!N79</f>
        <v>386</v>
      </c>
      <c r="O25" s="84">
        <f>TrRoad_act!O79</f>
        <v>619</v>
      </c>
      <c r="P25" s="84">
        <f>TrRoad_act!P79</f>
        <v>819</v>
      </c>
      <c r="Q25" s="84">
        <f>TrRoad_act!Q79</f>
        <v>1069</v>
      </c>
      <c r="R25" s="84">
        <f>TrRoad_act!R79</f>
        <v>1467</v>
      </c>
      <c r="S25" s="84">
        <f>TrRoad_act!S79</f>
        <v>1711</v>
      </c>
      <c r="T25" s="84">
        <f>TrRoad_act!T79</f>
        <v>2141</v>
      </c>
      <c r="U25" s="84">
        <f>TrRoad_act!U79</f>
        <v>2605</v>
      </c>
      <c r="V25" s="84">
        <f>TrRoad_act!V79</f>
        <v>3330</v>
      </c>
      <c r="W25" s="84">
        <f>TrRoad_act!W79</f>
        <v>5627</v>
      </c>
      <c r="DA25" s="171" t="s">
        <v>521</v>
      </c>
    </row>
    <row r="26" spans="1:105" ht="11.45" customHeight="1" x14ac:dyDescent="0.25">
      <c r="A26" s="109" t="s">
        <v>158</v>
      </c>
      <c r="B26" s="110">
        <f>TrRoad_act!B80</f>
        <v>84606</v>
      </c>
      <c r="C26" s="110">
        <f>TrRoad_act!C80</f>
        <v>82552</v>
      </c>
      <c r="D26" s="110">
        <f>TrRoad_act!D80</f>
        <v>81211</v>
      </c>
      <c r="E26" s="110">
        <f>TrRoad_act!E80</f>
        <v>80694</v>
      </c>
      <c r="F26" s="110">
        <f>TrRoad_act!F80</f>
        <v>82605</v>
      </c>
      <c r="G26" s="110">
        <f>TrRoad_act!G80</f>
        <v>82284</v>
      </c>
      <c r="H26" s="110">
        <f>TrRoad_act!H80</f>
        <v>81619</v>
      </c>
      <c r="I26" s="110">
        <f>TrRoad_act!I80</f>
        <v>84409</v>
      </c>
      <c r="J26" s="110">
        <f>TrRoad_act!J80</f>
        <v>87822</v>
      </c>
      <c r="K26" s="110">
        <f>TrRoad_act!K80</f>
        <v>85389</v>
      </c>
      <c r="L26" s="110">
        <f>TrRoad_act!L80</f>
        <v>85670</v>
      </c>
      <c r="M26" s="110">
        <f>TrRoad_act!M80</f>
        <v>86278</v>
      </c>
      <c r="N26" s="110">
        <f>TrRoad_act!N80</f>
        <v>85904</v>
      </c>
      <c r="O26" s="110">
        <f>TrRoad_act!O80</f>
        <v>81714</v>
      </c>
      <c r="P26" s="110">
        <f>TrRoad_act!P80</f>
        <v>81298</v>
      </c>
      <c r="Q26" s="110">
        <f>TrRoad_act!Q80</f>
        <v>82360</v>
      </c>
      <c r="R26" s="110">
        <f>TrRoad_act!R80</f>
        <v>83766</v>
      </c>
      <c r="S26" s="110">
        <f>TrRoad_act!S80</f>
        <v>87108</v>
      </c>
      <c r="T26" s="110">
        <f>TrRoad_act!T80</f>
        <v>89076</v>
      </c>
      <c r="U26" s="110">
        <f>TrRoad_act!U80</f>
        <v>90355</v>
      </c>
      <c r="V26" s="110">
        <f>TrRoad_act!V80</f>
        <v>91170</v>
      </c>
      <c r="W26" s="110">
        <f>TrRoad_act!W80</f>
        <v>93249</v>
      </c>
      <c r="DA26" s="176" t="s">
        <v>522</v>
      </c>
    </row>
    <row r="27" spans="1:105" ht="11.45" customHeight="1" x14ac:dyDescent="0.25">
      <c r="A27" s="128" t="s">
        <v>27</v>
      </c>
      <c r="B27" s="102">
        <f>TrRoad_act!B81</f>
        <v>72775</v>
      </c>
      <c r="C27" s="102">
        <f>TrRoad_act!C81</f>
        <v>69868</v>
      </c>
      <c r="D27" s="102">
        <f>TrRoad_act!D81</f>
        <v>67867</v>
      </c>
      <c r="E27" s="102">
        <f>TrRoad_act!E81</f>
        <v>67055</v>
      </c>
      <c r="F27" s="102">
        <f>TrRoad_act!F81</f>
        <v>66478</v>
      </c>
      <c r="G27" s="102">
        <f>TrRoad_act!G81</f>
        <v>65588</v>
      </c>
      <c r="H27" s="102">
        <f>TrRoad_act!H81</f>
        <v>64080</v>
      </c>
      <c r="I27" s="102">
        <f>TrRoad_act!I81</f>
        <v>64569</v>
      </c>
      <c r="J27" s="102">
        <f>TrRoad_act!J81</f>
        <v>65392</v>
      </c>
      <c r="K27" s="102">
        <f>TrRoad_act!K81</f>
        <v>66337</v>
      </c>
      <c r="L27" s="102">
        <f>TrRoad_act!L81</f>
        <v>65800</v>
      </c>
      <c r="M27" s="102">
        <f>TrRoad_act!M81</f>
        <v>65798</v>
      </c>
      <c r="N27" s="102">
        <f>TrRoad_act!N81</f>
        <v>65942</v>
      </c>
      <c r="O27" s="102">
        <f>TrRoad_act!O81</f>
        <v>61103</v>
      </c>
      <c r="P27" s="102">
        <f>TrRoad_act!P81</f>
        <v>60528</v>
      </c>
      <c r="Q27" s="102">
        <f>TrRoad_act!Q81</f>
        <v>60548</v>
      </c>
      <c r="R27" s="102">
        <f>TrRoad_act!R81</f>
        <v>61301</v>
      </c>
      <c r="S27" s="102">
        <f>TrRoad_act!S81</f>
        <v>62825</v>
      </c>
      <c r="T27" s="102">
        <f>TrRoad_act!T81</f>
        <v>64686</v>
      </c>
      <c r="U27" s="102">
        <f>TrRoad_act!U81</f>
        <v>65487</v>
      </c>
      <c r="V27" s="102">
        <f>TrRoad_act!V81</f>
        <v>65848</v>
      </c>
      <c r="W27" s="102">
        <f>TrRoad_act!W81</f>
        <v>66606</v>
      </c>
      <c r="DA27" s="175" t="s">
        <v>523</v>
      </c>
    </row>
    <row r="28" spans="1:105" ht="11.45" customHeight="1" x14ac:dyDescent="0.25">
      <c r="A28" s="138" t="s">
        <v>116</v>
      </c>
      <c r="B28" s="86">
        <f>TrRoad_act!B82</f>
        <v>11831</v>
      </c>
      <c r="C28" s="86">
        <f>TrRoad_act!C82</f>
        <v>12684</v>
      </c>
      <c r="D28" s="86">
        <f>TrRoad_act!D82</f>
        <v>13344</v>
      </c>
      <c r="E28" s="86">
        <f>TrRoad_act!E82</f>
        <v>13639</v>
      </c>
      <c r="F28" s="86">
        <f>TrRoad_act!F82</f>
        <v>16127</v>
      </c>
      <c r="G28" s="86">
        <f>TrRoad_act!G82</f>
        <v>16696</v>
      </c>
      <c r="H28" s="86">
        <f>TrRoad_act!H82</f>
        <v>17539</v>
      </c>
      <c r="I28" s="86">
        <f>TrRoad_act!I82</f>
        <v>19840</v>
      </c>
      <c r="J28" s="86">
        <f>TrRoad_act!J82</f>
        <v>22430</v>
      </c>
      <c r="K28" s="86">
        <f>TrRoad_act!K82</f>
        <v>19052</v>
      </c>
      <c r="L28" s="86">
        <f>TrRoad_act!L82</f>
        <v>19870</v>
      </c>
      <c r="M28" s="86">
        <f>TrRoad_act!M82</f>
        <v>20480</v>
      </c>
      <c r="N28" s="86">
        <f>TrRoad_act!N82</f>
        <v>19962</v>
      </c>
      <c r="O28" s="86">
        <f>TrRoad_act!O82</f>
        <v>20611</v>
      </c>
      <c r="P28" s="86">
        <f>TrRoad_act!P82</f>
        <v>20770</v>
      </c>
      <c r="Q28" s="86">
        <f>TrRoad_act!Q82</f>
        <v>21812</v>
      </c>
      <c r="R28" s="86">
        <f>TrRoad_act!R82</f>
        <v>22465</v>
      </c>
      <c r="S28" s="86">
        <f>TrRoad_act!S82</f>
        <v>24283</v>
      </c>
      <c r="T28" s="86">
        <f>TrRoad_act!T82</f>
        <v>24390</v>
      </c>
      <c r="U28" s="86">
        <f>TrRoad_act!U82</f>
        <v>24868</v>
      </c>
      <c r="V28" s="86">
        <f>TrRoad_act!V82</f>
        <v>25322</v>
      </c>
      <c r="W28" s="86">
        <f>TrRoad_act!W82</f>
        <v>26643</v>
      </c>
      <c r="DA28" s="178" t="s">
        <v>524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117</v>
      </c>
      <c r="B30" s="54">
        <f>TrRoad_act!B111</f>
        <v>393072</v>
      </c>
      <c r="C30" s="54">
        <f>TrRoad_act!C111</f>
        <v>377938</v>
      </c>
      <c r="D30" s="54">
        <f>TrRoad_act!D111</f>
        <v>359797</v>
      </c>
      <c r="E30" s="54">
        <f>TrRoad_act!E111</f>
        <v>376663</v>
      </c>
      <c r="F30" s="54">
        <f>TrRoad_act!F111</f>
        <v>387369</v>
      </c>
      <c r="G30" s="54">
        <f>TrRoad_act!G111</f>
        <v>393700</v>
      </c>
      <c r="H30" s="54">
        <f>TrRoad_act!H111</f>
        <v>402028</v>
      </c>
      <c r="I30" s="54">
        <f>TrRoad_act!I111</f>
        <v>404014</v>
      </c>
      <c r="J30" s="54">
        <f>TrRoad_act!J111</f>
        <v>404840</v>
      </c>
      <c r="K30" s="54">
        <f>TrRoad_act!K111</f>
        <v>411800</v>
      </c>
      <c r="L30" s="54">
        <f>TrRoad_act!L111</f>
        <v>419232</v>
      </c>
      <c r="M30" s="54">
        <f>TrRoad_act!M111</f>
        <v>452974</v>
      </c>
      <c r="N30" s="54">
        <f>TrRoad_act!N111</f>
        <v>440374</v>
      </c>
      <c r="O30" s="54">
        <f>TrRoad_act!O111</f>
        <v>414515</v>
      </c>
      <c r="P30" s="54">
        <f>TrRoad_act!P111</f>
        <v>395886</v>
      </c>
      <c r="Q30" s="54">
        <f>TrRoad_act!Q111</f>
        <v>403635</v>
      </c>
      <c r="R30" s="54">
        <f>TrRoad_act!R111</f>
        <v>439516</v>
      </c>
      <c r="S30" s="54">
        <f>TrRoad_act!S111</f>
        <v>467596</v>
      </c>
      <c r="T30" s="54">
        <f>TrRoad_act!T111</f>
        <v>456997</v>
      </c>
      <c r="U30" s="54">
        <f>TrRoad_act!U111</f>
        <v>453964</v>
      </c>
      <c r="V30" s="54">
        <f>TrRoad_act!V111</f>
        <v>393806</v>
      </c>
      <c r="W30" s="54">
        <f>TrRoad_act!W111</f>
        <v>426706</v>
      </c>
      <c r="DA30" s="172" t="s">
        <v>525</v>
      </c>
    </row>
    <row r="31" spans="1:105" ht="11.45" customHeight="1" x14ac:dyDescent="0.25">
      <c r="A31" s="27" t="s">
        <v>33</v>
      </c>
      <c r="B31" s="28">
        <f>TrRoad_act!B112</f>
        <v>359956</v>
      </c>
      <c r="C31" s="28">
        <f>TrRoad_act!C112</f>
        <v>347638</v>
      </c>
      <c r="D31" s="28">
        <f>TrRoad_act!D112</f>
        <v>331651</v>
      </c>
      <c r="E31" s="28">
        <f>TrRoad_act!E112</f>
        <v>345211</v>
      </c>
      <c r="F31" s="28">
        <f>TrRoad_act!F112</f>
        <v>349716</v>
      </c>
      <c r="G31" s="28">
        <f>TrRoad_act!G112</f>
        <v>358042</v>
      </c>
      <c r="H31" s="28">
        <f>TrRoad_act!H112</f>
        <v>364563</v>
      </c>
      <c r="I31" s="28">
        <f>TrRoad_act!I112</f>
        <v>362899</v>
      </c>
      <c r="J31" s="28">
        <f>TrRoad_act!J112</f>
        <v>362600</v>
      </c>
      <c r="K31" s="28">
        <f>TrRoad_act!K112</f>
        <v>382577</v>
      </c>
      <c r="L31" s="28">
        <f>TrRoad_act!L112</f>
        <v>384707</v>
      </c>
      <c r="M31" s="28">
        <f>TrRoad_act!M112</f>
        <v>413086</v>
      </c>
      <c r="N31" s="28">
        <f>TrRoad_act!N112</f>
        <v>402855</v>
      </c>
      <c r="O31" s="28">
        <f>TrRoad_act!O112</f>
        <v>374946</v>
      </c>
      <c r="P31" s="28">
        <f>TrRoad_act!P112</f>
        <v>356765</v>
      </c>
      <c r="Q31" s="28">
        <f>TrRoad_act!Q112</f>
        <v>361943</v>
      </c>
      <c r="R31" s="28">
        <f>TrRoad_act!R112</f>
        <v>394026</v>
      </c>
      <c r="S31" s="28">
        <f>TrRoad_act!S112</f>
        <v>417512</v>
      </c>
      <c r="T31" s="28">
        <f>TrRoad_act!T112</f>
        <v>404857</v>
      </c>
      <c r="U31" s="28">
        <f>TrRoad_act!U112</f>
        <v>400996</v>
      </c>
      <c r="V31" s="28">
        <f>TrRoad_act!V112</f>
        <v>347233</v>
      </c>
      <c r="W31" s="28">
        <f>TrRoad_act!W112</f>
        <v>360069</v>
      </c>
      <c r="DA31" s="173" t="s">
        <v>526</v>
      </c>
    </row>
    <row r="32" spans="1:105" ht="11.45" customHeight="1" x14ac:dyDescent="0.25">
      <c r="A32" s="136" t="s">
        <v>180</v>
      </c>
      <c r="B32" s="137">
        <f>TrRoad_act!B113</f>
        <v>47550</v>
      </c>
      <c r="C32" s="137">
        <f>TrRoad_act!C113</f>
        <v>51250</v>
      </c>
      <c r="D32" s="137">
        <f>TrRoad_act!D113</f>
        <v>45064</v>
      </c>
      <c r="E32" s="137">
        <f>TrRoad_act!E113</f>
        <v>37992</v>
      </c>
      <c r="F32" s="137">
        <f>TrRoad_act!F113</f>
        <v>37496</v>
      </c>
      <c r="G32" s="137">
        <f>TrRoad_act!G113</f>
        <v>49466</v>
      </c>
      <c r="H32" s="137">
        <f>TrRoad_act!H113</f>
        <v>54036</v>
      </c>
      <c r="I32" s="137">
        <f>TrRoad_act!I113</f>
        <v>63888</v>
      </c>
      <c r="J32" s="137">
        <f>TrRoad_act!J113</f>
        <v>67360</v>
      </c>
      <c r="K32" s="137">
        <f>TrRoad_act!K113</f>
        <v>62436</v>
      </c>
      <c r="L32" s="137">
        <f>TrRoad_act!L113</f>
        <v>52882</v>
      </c>
      <c r="M32" s="137">
        <f>TrRoad_act!M113</f>
        <v>52990</v>
      </c>
      <c r="N32" s="137">
        <f>TrRoad_act!N113</f>
        <v>60228</v>
      </c>
      <c r="O32" s="137">
        <f>TrRoad_act!O113</f>
        <v>51992</v>
      </c>
      <c r="P32" s="137">
        <f>TrRoad_act!P113</f>
        <v>50310</v>
      </c>
      <c r="Q32" s="137">
        <f>TrRoad_act!Q113</f>
        <v>49782</v>
      </c>
      <c r="R32" s="137">
        <f>TrRoad_act!R113</f>
        <v>59526</v>
      </c>
      <c r="S32" s="137">
        <f>TrRoad_act!S113</f>
        <v>55940</v>
      </c>
      <c r="T32" s="137">
        <f>TrRoad_act!T113</f>
        <v>55276</v>
      </c>
      <c r="U32" s="137">
        <f>TrRoad_act!U113</f>
        <v>55976</v>
      </c>
      <c r="V32" s="137">
        <f>TrRoad_act!V113</f>
        <v>73292</v>
      </c>
      <c r="W32" s="137">
        <f>TrRoad_act!W113</f>
        <v>76632</v>
      </c>
      <c r="DA32" s="174" t="s">
        <v>527</v>
      </c>
    </row>
    <row r="33" spans="1:105" ht="11.45" customHeight="1" x14ac:dyDescent="0.25">
      <c r="A33" s="109" t="s">
        <v>20</v>
      </c>
      <c r="B33" s="110">
        <f>TrRoad_act!B114</f>
        <v>311614</v>
      </c>
      <c r="C33" s="110">
        <f>TrRoad_act!C114</f>
        <v>295780</v>
      </c>
      <c r="D33" s="110">
        <f>TrRoad_act!D114</f>
        <v>285876</v>
      </c>
      <c r="E33" s="110">
        <f>TrRoad_act!E114</f>
        <v>306464</v>
      </c>
      <c r="F33" s="110">
        <f>TrRoad_act!F114</f>
        <v>311277</v>
      </c>
      <c r="G33" s="110">
        <f>TrRoad_act!G114</f>
        <v>307915</v>
      </c>
      <c r="H33" s="110">
        <f>TrRoad_act!H114</f>
        <v>309697</v>
      </c>
      <c r="I33" s="110">
        <f>TrRoad_act!I114</f>
        <v>298223</v>
      </c>
      <c r="J33" s="110">
        <f>TrRoad_act!J114</f>
        <v>294277</v>
      </c>
      <c r="K33" s="110">
        <f>TrRoad_act!K114</f>
        <v>319309</v>
      </c>
      <c r="L33" s="110">
        <f>TrRoad_act!L114</f>
        <v>330983</v>
      </c>
      <c r="M33" s="110">
        <f>TrRoad_act!M114</f>
        <v>359475</v>
      </c>
      <c r="N33" s="110">
        <f>TrRoad_act!N114</f>
        <v>341895</v>
      </c>
      <c r="O33" s="110">
        <f>TrRoad_act!O114</f>
        <v>322127</v>
      </c>
      <c r="P33" s="110">
        <f>TrRoad_act!P114</f>
        <v>305555</v>
      </c>
      <c r="Q33" s="110">
        <f>TrRoad_act!Q114</f>
        <v>311262</v>
      </c>
      <c r="R33" s="110">
        <f>TrRoad_act!R114</f>
        <v>333457</v>
      </c>
      <c r="S33" s="110">
        <f>TrRoad_act!S114</f>
        <v>360328</v>
      </c>
      <c r="T33" s="110">
        <f>TrRoad_act!T114</f>
        <v>348456</v>
      </c>
      <c r="U33" s="110">
        <f>TrRoad_act!U114</f>
        <v>343857</v>
      </c>
      <c r="V33" s="110">
        <f>TrRoad_act!V114</f>
        <v>273069</v>
      </c>
      <c r="W33" s="110">
        <f>TrRoad_act!W114</f>
        <v>282550</v>
      </c>
      <c r="DA33" s="176" t="s">
        <v>528</v>
      </c>
    </row>
    <row r="34" spans="1:105" ht="11.45" customHeight="1" x14ac:dyDescent="0.25">
      <c r="A34" s="111" t="s">
        <v>110</v>
      </c>
      <c r="B34" s="84">
        <f>TrRoad_act!B115</f>
        <v>118133</v>
      </c>
      <c r="C34" s="84">
        <f>TrRoad_act!C115</f>
        <v>100833</v>
      </c>
      <c r="D34" s="84">
        <f>TrRoad_act!D115</f>
        <v>84905</v>
      </c>
      <c r="E34" s="84">
        <f>TrRoad_act!E115</f>
        <v>85586</v>
      </c>
      <c r="F34" s="84">
        <f>TrRoad_act!F115</f>
        <v>91022</v>
      </c>
      <c r="G34" s="84">
        <f>TrRoad_act!G115</f>
        <v>103340</v>
      </c>
      <c r="H34" s="84">
        <f>TrRoad_act!H115</f>
        <v>116899</v>
      </c>
      <c r="I34" s="84">
        <f>TrRoad_act!I115</f>
        <v>121319</v>
      </c>
      <c r="J34" s="84">
        <f>TrRoad_act!J115</f>
        <v>132203</v>
      </c>
      <c r="K34" s="84">
        <f>TrRoad_act!K115</f>
        <v>171805</v>
      </c>
      <c r="L34" s="84">
        <f>TrRoad_act!L115</f>
        <v>162923</v>
      </c>
      <c r="M34" s="84">
        <f>TrRoad_act!M115</f>
        <v>162332</v>
      </c>
      <c r="N34" s="84">
        <f>TrRoad_act!N115</f>
        <v>147965</v>
      </c>
      <c r="O34" s="84">
        <f>TrRoad_act!O115</f>
        <v>139008</v>
      </c>
      <c r="P34" s="84">
        <f>TrRoad_act!P115</f>
        <v>130389</v>
      </c>
      <c r="Q34" s="84">
        <f>TrRoad_act!Q115</f>
        <v>126838</v>
      </c>
      <c r="R34" s="84">
        <f>TrRoad_act!R115</f>
        <v>138506</v>
      </c>
      <c r="S34" s="84">
        <f>TrRoad_act!S115</f>
        <v>176905</v>
      </c>
      <c r="T34" s="84">
        <f>TrRoad_act!T115</f>
        <v>196884</v>
      </c>
      <c r="U34" s="84">
        <f>TrRoad_act!U115</f>
        <v>197195</v>
      </c>
      <c r="V34" s="84">
        <f>TrRoad_act!V115</f>
        <v>143102</v>
      </c>
      <c r="W34" s="84">
        <f>TrRoad_act!W115</f>
        <v>150164</v>
      </c>
      <c r="DA34" s="171" t="s">
        <v>529</v>
      </c>
    </row>
    <row r="35" spans="1:105" ht="11.45" customHeight="1" x14ac:dyDescent="0.25">
      <c r="A35" s="111" t="s">
        <v>111</v>
      </c>
      <c r="B35" s="84">
        <f>TrRoad_act!B116</f>
        <v>191281</v>
      </c>
      <c r="C35" s="84">
        <f>TrRoad_act!C116</f>
        <v>192681</v>
      </c>
      <c r="D35" s="84">
        <f>TrRoad_act!D116</f>
        <v>194555</v>
      </c>
      <c r="E35" s="84">
        <f>TrRoad_act!E116</f>
        <v>214505</v>
      </c>
      <c r="F35" s="84">
        <f>TrRoad_act!F116</f>
        <v>220255</v>
      </c>
      <c r="G35" s="84">
        <f>TrRoad_act!G116</f>
        <v>204575</v>
      </c>
      <c r="H35" s="84">
        <f>TrRoad_act!H116</f>
        <v>191766</v>
      </c>
      <c r="I35" s="84">
        <f>TrRoad_act!I116</f>
        <v>176746</v>
      </c>
      <c r="J35" s="84">
        <f>TrRoad_act!J116</f>
        <v>160459</v>
      </c>
      <c r="K35" s="84">
        <f>TrRoad_act!K116</f>
        <v>146962</v>
      </c>
      <c r="L35" s="84">
        <f>TrRoad_act!L116</f>
        <v>167618</v>
      </c>
      <c r="M35" s="84">
        <f>TrRoad_act!M116</f>
        <v>195291</v>
      </c>
      <c r="N35" s="84">
        <f>TrRoad_act!N116</f>
        <v>191108</v>
      </c>
      <c r="O35" s="84">
        <f>TrRoad_act!O116</f>
        <v>181062</v>
      </c>
      <c r="P35" s="84">
        <f>TrRoad_act!P116</f>
        <v>172664</v>
      </c>
      <c r="Q35" s="84">
        <f>TrRoad_act!Q116</f>
        <v>181038</v>
      </c>
      <c r="R35" s="84">
        <f>TrRoad_act!R116</f>
        <v>189228</v>
      </c>
      <c r="S35" s="84">
        <f>TrRoad_act!S116</f>
        <v>175601</v>
      </c>
      <c r="T35" s="84">
        <f>TrRoad_act!T116</f>
        <v>141938</v>
      </c>
      <c r="U35" s="84">
        <f>TrRoad_act!U116</f>
        <v>134073</v>
      </c>
      <c r="V35" s="84">
        <f>TrRoad_act!V116</f>
        <v>105826</v>
      </c>
      <c r="W35" s="84">
        <f>TrRoad_act!W116</f>
        <v>83914</v>
      </c>
      <c r="DA35" s="171" t="s">
        <v>530</v>
      </c>
    </row>
    <row r="36" spans="1:105" ht="11.45" customHeight="1" x14ac:dyDescent="0.25">
      <c r="A36" s="111" t="s">
        <v>112</v>
      </c>
      <c r="B36" s="84">
        <f>TrRoad_act!B117</f>
        <v>2200</v>
      </c>
      <c r="C36" s="84">
        <f>TrRoad_act!C117</f>
        <v>2266</v>
      </c>
      <c r="D36" s="84">
        <f>TrRoad_act!D117</f>
        <v>6416</v>
      </c>
      <c r="E36" s="84">
        <f>TrRoad_act!E117</f>
        <v>6373</v>
      </c>
      <c r="F36" s="84">
        <f>TrRoad_act!F117</f>
        <v>0</v>
      </c>
      <c r="G36" s="84">
        <f>TrRoad_act!G117</f>
        <v>0</v>
      </c>
      <c r="H36" s="84">
        <f>TrRoad_act!H117</f>
        <v>978</v>
      </c>
      <c r="I36" s="84">
        <f>TrRoad_act!I117</f>
        <v>0</v>
      </c>
      <c r="J36" s="84">
        <f>TrRoad_act!J117</f>
        <v>825</v>
      </c>
      <c r="K36" s="84">
        <f>TrRoad_act!K117</f>
        <v>0</v>
      </c>
      <c r="L36" s="84">
        <f>TrRoad_act!L117</f>
        <v>0</v>
      </c>
      <c r="M36" s="84">
        <f>TrRoad_act!M117</f>
        <v>12</v>
      </c>
      <c r="N36" s="84">
        <f>TrRoad_act!N117</f>
        <v>1668</v>
      </c>
      <c r="O36" s="84">
        <f>TrRoad_act!O117</f>
        <v>591</v>
      </c>
      <c r="P36" s="84">
        <f>TrRoad_act!P117</f>
        <v>2</v>
      </c>
      <c r="Q36" s="84">
        <f>TrRoad_act!Q117</f>
        <v>0</v>
      </c>
      <c r="R36" s="84">
        <f>TrRoad_act!R117</f>
        <v>2</v>
      </c>
      <c r="S36" s="84">
        <f>TrRoad_act!S117</f>
        <v>0</v>
      </c>
      <c r="T36" s="84">
        <f>TrRoad_act!T117</f>
        <v>1</v>
      </c>
      <c r="U36" s="84">
        <f>TrRoad_act!U117</f>
        <v>2</v>
      </c>
      <c r="V36" s="84">
        <f>TrRoad_act!V117</f>
        <v>0</v>
      </c>
      <c r="W36" s="84">
        <f>TrRoad_act!W117</f>
        <v>375</v>
      </c>
      <c r="DA36" s="171" t="s">
        <v>531</v>
      </c>
    </row>
    <row r="37" spans="1:105" ht="11.45" customHeight="1" x14ac:dyDescent="0.25">
      <c r="A37" s="111" t="s">
        <v>113</v>
      </c>
      <c r="B37" s="84">
        <f>TrRoad_act!B118</f>
        <v>0</v>
      </c>
      <c r="C37" s="84">
        <f>TrRoad_act!C118</f>
        <v>0</v>
      </c>
      <c r="D37" s="84">
        <f>TrRoad_act!D118</f>
        <v>0</v>
      </c>
      <c r="E37" s="84">
        <f>TrRoad_act!E118</f>
        <v>0</v>
      </c>
      <c r="F37" s="84">
        <f>TrRoad_act!F118</f>
        <v>0</v>
      </c>
      <c r="G37" s="84">
        <f>TrRoad_act!G118</f>
        <v>0</v>
      </c>
      <c r="H37" s="84">
        <f>TrRoad_act!H118</f>
        <v>54</v>
      </c>
      <c r="I37" s="84">
        <f>TrRoad_act!I118</f>
        <v>158</v>
      </c>
      <c r="J37" s="84">
        <f>TrRoad_act!J118</f>
        <v>788</v>
      </c>
      <c r="K37" s="84">
        <f>TrRoad_act!K118</f>
        <v>216</v>
      </c>
      <c r="L37" s="84">
        <f>TrRoad_act!L118</f>
        <v>330</v>
      </c>
      <c r="M37" s="84">
        <f>TrRoad_act!M118</f>
        <v>1201</v>
      </c>
      <c r="N37" s="84">
        <f>TrRoad_act!N118</f>
        <v>460</v>
      </c>
      <c r="O37" s="84">
        <f>TrRoad_act!O118</f>
        <v>628</v>
      </c>
      <c r="P37" s="84">
        <f>TrRoad_act!P118</f>
        <v>788</v>
      </c>
      <c r="Q37" s="84">
        <f>TrRoad_act!Q118</f>
        <v>703</v>
      </c>
      <c r="R37" s="84">
        <f>TrRoad_act!R118</f>
        <v>484</v>
      </c>
      <c r="S37" s="84">
        <f>TrRoad_act!S118</f>
        <v>435</v>
      </c>
      <c r="T37" s="84">
        <f>TrRoad_act!T118</f>
        <v>641</v>
      </c>
      <c r="U37" s="84">
        <f>TrRoad_act!U118</f>
        <v>579</v>
      </c>
      <c r="V37" s="84">
        <f>TrRoad_act!V118</f>
        <v>407</v>
      </c>
      <c r="W37" s="84">
        <f>TrRoad_act!W118</f>
        <v>85</v>
      </c>
      <c r="DA37" s="171" t="s">
        <v>532</v>
      </c>
    </row>
    <row r="38" spans="1:105" ht="11.45" customHeight="1" x14ac:dyDescent="0.25">
      <c r="A38" s="111" t="s">
        <v>114</v>
      </c>
      <c r="B38" s="84">
        <f>TrRoad_act!B119</f>
        <v>0</v>
      </c>
      <c r="C38" s="84">
        <f>TrRoad_act!C119</f>
        <v>0</v>
      </c>
      <c r="D38" s="84">
        <f>TrRoad_act!D119</f>
        <v>0</v>
      </c>
      <c r="E38" s="84">
        <f>TrRoad_act!E119</f>
        <v>0</v>
      </c>
      <c r="F38" s="84">
        <f>TrRoad_act!F119</f>
        <v>0</v>
      </c>
      <c r="G38" s="84">
        <f>TrRoad_act!G119</f>
        <v>0</v>
      </c>
      <c r="H38" s="84">
        <f>TrRoad_act!H119</f>
        <v>0</v>
      </c>
      <c r="I38" s="84">
        <f>TrRoad_act!I119</f>
        <v>0</v>
      </c>
      <c r="J38" s="84">
        <f>TrRoad_act!J119</f>
        <v>0</v>
      </c>
      <c r="K38" s="84">
        <f>TrRoad_act!K119</f>
        <v>0</v>
      </c>
      <c r="L38" s="84">
        <f>TrRoad_act!L119</f>
        <v>0</v>
      </c>
      <c r="M38" s="84">
        <f>TrRoad_act!M119</f>
        <v>2</v>
      </c>
      <c r="N38" s="84">
        <f>TrRoad_act!N119</f>
        <v>267</v>
      </c>
      <c r="O38" s="84">
        <f>TrRoad_act!O119</f>
        <v>154</v>
      </c>
      <c r="P38" s="84">
        <f>TrRoad_act!P119</f>
        <v>368</v>
      </c>
      <c r="Q38" s="84">
        <f>TrRoad_act!Q119</f>
        <v>984</v>
      </c>
      <c r="R38" s="84">
        <f>TrRoad_act!R119</f>
        <v>1182</v>
      </c>
      <c r="S38" s="84">
        <f>TrRoad_act!S119</f>
        <v>1820</v>
      </c>
      <c r="T38" s="84">
        <f>TrRoad_act!T119</f>
        <v>2218</v>
      </c>
      <c r="U38" s="84">
        <f>TrRoad_act!U119</f>
        <v>2766</v>
      </c>
      <c r="V38" s="84">
        <f>TrRoad_act!V119</f>
        <v>7762</v>
      </c>
      <c r="W38" s="84">
        <f>TrRoad_act!W119</f>
        <v>14633</v>
      </c>
      <c r="DA38" s="171" t="s">
        <v>533</v>
      </c>
    </row>
    <row r="39" spans="1:105" ht="11.45" customHeight="1" x14ac:dyDescent="0.25">
      <c r="A39" s="111" t="s">
        <v>115</v>
      </c>
      <c r="B39" s="84">
        <f>TrRoad_act!B120</f>
        <v>0</v>
      </c>
      <c r="C39" s="84">
        <f>TrRoad_act!C120</f>
        <v>0</v>
      </c>
      <c r="D39" s="84">
        <f>TrRoad_act!D120</f>
        <v>0</v>
      </c>
      <c r="E39" s="84">
        <f>TrRoad_act!E120</f>
        <v>0</v>
      </c>
      <c r="F39" s="84">
        <f>TrRoad_act!F120</f>
        <v>0</v>
      </c>
      <c r="G39" s="84">
        <f>TrRoad_act!G120</f>
        <v>0</v>
      </c>
      <c r="H39" s="84">
        <f>TrRoad_act!H120</f>
        <v>0</v>
      </c>
      <c r="I39" s="84">
        <f>TrRoad_act!I120</f>
        <v>0</v>
      </c>
      <c r="J39" s="84">
        <f>TrRoad_act!J120</f>
        <v>2</v>
      </c>
      <c r="K39" s="84">
        <f>TrRoad_act!K120</f>
        <v>326</v>
      </c>
      <c r="L39" s="84">
        <f>TrRoad_act!L120</f>
        <v>112</v>
      </c>
      <c r="M39" s="84">
        <f>TrRoad_act!M120</f>
        <v>637</v>
      </c>
      <c r="N39" s="84">
        <f>TrRoad_act!N120</f>
        <v>427</v>
      </c>
      <c r="O39" s="84">
        <f>TrRoad_act!O120</f>
        <v>684</v>
      </c>
      <c r="P39" s="84">
        <f>TrRoad_act!P120</f>
        <v>1344</v>
      </c>
      <c r="Q39" s="84">
        <f>TrRoad_act!Q120</f>
        <v>1699</v>
      </c>
      <c r="R39" s="84">
        <f>TrRoad_act!R120</f>
        <v>4055</v>
      </c>
      <c r="S39" s="84">
        <f>TrRoad_act!S120</f>
        <v>5567</v>
      </c>
      <c r="T39" s="84">
        <f>TrRoad_act!T120</f>
        <v>6774</v>
      </c>
      <c r="U39" s="84">
        <f>TrRoad_act!U120</f>
        <v>9242</v>
      </c>
      <c r="V39" s="84">
        <f>TrRoad_act!V120</f>
        <v>15972</v>
      </c>
      <c r="W39" s="84">
        <f>TrRoad_act!W120</f>
        <v>33379</v>
      </c>
      <c r="DA39" s="171" t="s">
        <v>534</v>
      </c>
    </row>
    <row r="40" spans="1:105" ht="11.45" customHeight="1" x14ac:dyDescent="0.25">
      <c r="A40" s="109" t="s">
        <v>21</v>
      </c>
      <c r="B40" s="110">
        <f>TrRoad_act!B121</f>
        <v>792</v>
      </c>
      <c r="C40" s="110">
        <f>TrRoad_act!C121</f>
        <v>608</v>
      </c>
      <c r="D40" s="110">
        <f>TrRoad_act!D121</f>
        <v>711</v>
      </c>
      <c r="E40" s="110">
        <f>TrRoad_act!E121</f>
        <v>755</v>
      </c>
      <c r="F40" s="110">
        <f>TrRoad_act!F121</f>
        <v>943</v>
      </c>
      <c r="G40" s="110">
        <f>TrRoad_act!G121</f>
        <v>661</v>
      </c>
      <c r="H40" s="110">
        <f>TrRoad_act!H121</f>
        <v>830</v>
      </c>
      <c r="I40" s="110">
        <f>TrRoad_act!I121</f>
        <v>788</v>
      </c>
      <c r="J40" s="110">
        <f>TrRoad_act!J121</f>
        <v>963</v>
      </c>
      <c r="K40" s="110">
        <f>TrRoad_act!K121</f>
        <v>832</v>
      </c>
      <c r="L40" s="110">
        <f>TrRoad_act!L121</f>
        <v>842</v>
      </c>
      <c r="M40" s="110">
        <f>TrRoad_act!M121</f>
        <v>621</v>
      </c>
      <c r="N40" s="110">
        <f>TrRoad_act!N121</f>
        <v>732</v>
      </c>
      <c r="O40" s="110">
        <f>TrRoad_act!O121</f>
        <v>827</v>
      </c>
      <c r="P40" s="110">
        <f>TrRoad_act!P121</f>
        <v>900</v>
      </c>
      <c r="Q40" s="110">
        <f>TrRoad_act!Q121</f>
        <v>899</v>
      </c>
      <c r="R40" s="110">
        <f>TrRoad_act!R121</f>
        <v>1043</v>
      </c>
      <c r="S40" s="110">
        <f>TrRoad_act!S121</f>
        <v>1244</v>
      </c>
      <c r="T40" s="110">
        <f>TrRoad_act!T121</f>
        <v>1125</v>
      </c>
      <c r="U40" s="110">
        <f>TrRoad_act!U121</f>
        <v>1163</v>
      </c>
      <c r="V40" s="110">
        <f>TrRoad_act!V121</f>
        <v>872</v>
      </c>
      <c r="W40" s="110">
        <f>TrRoad_act!W121</f>
        <v>887</v>
      </c>
      <c r="DA40" s="176" t="s">
        <v>535</v>
      </c>
    </row>
    <row r="41" spans="1:105" ht="11.45" customHeight="1" x14ac:dyDescent="0.25">
      <c r="A41" s="111" t="s">
        <v>110</v>
      </c>
      <c r="B41" s="102">
        <f>TrRoad_act!B122</f>
        <v>0</v>
      </c>
      <c r="C41" s="102">
        <f>TrRoad_act!C122</f>
        <v>1</v>
      </c>
      <c r="D41" s="102">
        <f>TrRoad_act!D122</f>
        <v>0</v>
      </c>
      <c r="E41" s="102">
        <f>TrRoad_act!E122</f>
        <v>0</v>
      </c>
      <c r="F41" s="102">
        <f>TrRoad_act!F122</f>
        <v>0</v>
      </c>
      <c r="G41" s="102">
        <f>TrRoad_act!G122</f>
        <v>0</v>
      </c>
      <c r="H41" s="102">
        <f>TrRoad_act!H122</f>
        <v>0</v>
      </c>
      <c r="I41" s="102">
        <f>TrRoad_act!I122</f>
        <v>1</v>
      </c>
      <c r="J41" s="102">
        <f>TrRoad_act!J122</f>
        <v>0</v>
      </c>
      <c r="K41" s="102">
        <f>TrRoad_act!K122</f>
        <v>0</v>
      </c>
      <c r="L41" s="102">
        <f>TrRoad_act!L122</f>
        <v>0</v>
      </c>
      <c r="M41" s="102">
        <f>TrRoad_act!M122</f>
        <v>0</v>
      </c>
      <c r="N41" s="102">
        <f>TrRoad_act!N122</f>
        <v>0</v>
      </c>
      <c r="O41" s="102">
        <f>TrRoad_act!O122</f>
        <v>0</v>
      </c>
      <c r="P41" s="102">
        <f>TrRoad_act!P122</f>
        <v>1</v>
      </c>
      <c r="Q41" s="102">
        <f>TrRoad_act!Q122</f>
        <v>0</v>
      </c>
      <c r="R41" s="102">
        <f>TrRoad_act!R122</f>
        <v>1</v>
      </c>
      <c r="S41" s="102">
        <f>TrRoad_act!S122</f>
        <v>0</v>
      </c>
      <c r="T41" s="102">
        <f>TrRoad_act!T122</f>
        <v>0</v>
      </c>
      <c r="U41" s="102">
        <f>TrRoad_act!U122</f>
        <v>0</v>
      </c>
      <c r="V41" s="102">
        <f>TrRoad_act!V122</f>
        <v>0</v>
      </c>
      <c r="W41" s="102">
        <f>TrRoad_act!W122</f>
        <v>1</v>
      </c>
      <c r="DA41" s="175" t="s">
        <v>536</v>
      </c>
    </row>
    <row r="42" spans="1:105" ht="11.45" customHeight="1" x14ac:dyDescent="0.25">
      <c r="A42" s="111" t="s">
        <v>111</v>
      </c>
      <c r="B42" s="102">
        <f>TrRoad_act!B123</f>
        <v>781</v>
      </c>
      <c r="C42" s="102">
        <f>TrRoad_act!C123</f>
        <v>582</v>
      </c>
      <c r="D42" s="102">
        <f>TrRoad_act!D123</f>
        <v>669</v>
      </c>
      <c r="E42" s="102">
        <f>TrRoad_act!E123</f>
        <v>724</v>
      </c>
      <c r="F42" s="102">
        <f>TrRoad_act!F123</f>
        <v>905</v>
      </c>
      <c r="G42" s="102">
        <f>TrRoad_act!G123</f>
        <v>612</v>
      </c>
      <c r="H42" s="102">
        <f>TrRoad_act!H123</f>
        <v>794</v>
      </c>
      <c r="I42" s="102">
        <f>TrRoad_act!I123</f>
        <v>705</v>
      </c>
      <c r="J42" s="102">
        <f>TrRoad_act!J123</f>
        <v>880</v>
      </c>
      <c r="K42" s="102">
        <f>TrRoad_act!K123</f>
        <v>549</v>
      </c>
      <c r="L42" s="102">
        <f>TrRoad_act!L123</f>
        <v>659</v>
      </c>
      <c r="M42" s="102">
        <f>TrRoad_act!M123</f>
        <v>566</v>
      </c>
      <c r="N42" s="102">
        <f>TrRoad_act!N123</f>
        <v>684</v>
      </c>
      <c r="O42" s="102">
        <f>TrRoad_act!O123</f>
        <v>691</v>
      </c>
      <c r="P42" s="102">
        <f>TrRoad_act!P123</f>
        <v>822</v>
      </c>
      <c r="Q42" s="102">
        <f>TrRoad_act!Q123</f>
        <v>876</v>
      </c>
      <c r="R42" s="102">
        <f>TrRoad_act!R123</f>
        <v>1020</v>
      </c>
      <c r="S42" s="102">
        <f>TrRoad_act!S123</f>
        <v>1215</v>
      </c>
      <c r="T42" s="102">
        <f>TrRoad_act!T123</f>
        <v>1102</v>
      </c>
      <c r="U42" s="102">
        <f>TrRoad_act!U123</f>
        <v>1121</v>
      </c>
      <c r="V42" s="102">
        <f>TrRoad_act!V123</f>
        <v>844</v>
      </c>
      <c r="W42" s="102">
        <f>TrRoad_act!W123</f>
        <v>870</v>
      </c>
      <c r="DA42" s="175" t="s">
        <v>537</v>
      </c>
    </row>
    <row r="43" spans="1:105" ht="11.45" customHeight="1" x14ac:dyDescent="0.25">
      <c r="A43" s="111" t="s">
        <v>112</v>
      </c>
      <c r="B43" s="102">
        <f>TrRoad_act!B124</f>
        <v>0</v>
      </c>
      <c r="C43" s="102">
        <f>TrRoad_act!C124</f>
        <v>16</v>
      </c>
      <c r="D43" s="102">
        <f>TrRoad_act!D124</f>
        <v>32</v>
      </c>
      <c r="E43" s="102">
        <f>TrRoad_act!E124</f>
        <v>20</v>
      </c>
      <c r="F43" s="102">
        <f>TrRoad_act!F124</f>
        <v>25</v>
      </c>
      <c r="G43" s="102">
        <f>TrRoad_act!G124</f>
        <v>41</v>
      </c>
      <c r="H43" s="102">
        <f>TrRoad_act!H124</f>
        <v>32</v>
      </c>
      <c r="I43" s="102">
        <f>TrRoad_act!I124</f>
        <v>40</v>
      </c>
      <c r="J43" s="102">
        <f>TrRoad_act!J124</f>
        <v>38</v>
      </c>
      <c r="K43" s="102">
        <f>TrRoad_act!K124</f>
        <v>79</v>
      </c>
      <c r="L43" s="102">
        <f>TrRoad_act!L124</f>
        <v>44</v>
      </c>
      <c r="M43" s="102">
        <f>TrRoad_act!M124</f>
        <v>30</v>
      </c>
      <c r="N43" s="102">
        <f>TrRoad_act!N124</f>
        <v>3</v>
      </c>
      <c r="O43" s="102">
        <f>TrRoad_act!O124</f>
        <v>0</v>
      </c>
      <c r="P43" s="102">
        <f>TrRoad_act!P124</f>
        <v>0</v>
      </c>
      <c r="Q43" s="102">
        <f>TrRoad_act!Q124</f>
        <v>0</v>
      </c>
      <c r="R43" s="102">
        <f>TrRoad_act!R124</f>
        <v>0</v>
      </c>
      <c r="S43" s="102">
        <f>TrRoad_act!S124</f>
        <v>0</v>
      </c>
      <c r="T43" s="102">
        <f>TrRoad_act!T124</f>
        <v>6</v>
      </c>
      <c r="U43" s="102">
        <f>TrRoad_act!U124</f>
        <v>0</v>
      </c>
      <c r="V43" s="102">
        <f>TrRoad_act!V124</f>
        <v>6</v>
      </c>
      <c r="W43" s="102">
        <f>TrRoad_act!W124</f>
        <v>5</v>
      </c>
      <c r="DA43" s="175" t="s">
        <v>538</v>
      </c>
    </row>
    <row r="44" spans="1:105" ht="11.45" customHeight="1" x14ac:dyDescent="0.25">
      <c r="A44" s="111" t="s">
        <v>113</v>
      </c>
      <c r="B44" s="102">
        <f>TrRoad_act!B125</f>
        <v>0</v>
      </c>
      <c r="C44" s="102">
        <f>TrRoad_act!C125</f>
        <v>0</v>
      </c>
      <c r="D44" s="102">
        <f>TrRoad_act!D125</f>
        <v>0</v>
      </c>
      <c r="E44" s="102">
        <f>TrRoad_act!E125</f>
        <v>0</v>
      </c>
      <c r="F44" s="102">
        <f>TrRoad_act!F125</f>
        <v>13</v>
      </c>
      <c r="G44" s="102">
        <f>TrRoad_act!G125</f>
        <v>0</v>
      </c>
      <c r="H44" s="102">
        <f>TrRoad_act!H125</f>
        <v>2</v>
      </c>
      <c r="I44" s="102">
        <f>TrRoad_act!I125</f>
        <v>42</v>
      </c>
      <c r="J44" s="102">
        <f>TrRoad_act!J125</f>
        <v>43</v>
      </c>
      <c r="K44" s="102">
        <f>TrRoad_act!K125</f>
        <v>197</v>
      </c>
      <c r="L44" s="102">
        <f>TrRoad_act!L125</f>
        <v>130</v>
      </c>
      <c r="M44" s="102">
        <f>TrRoad_act!M125</f>
        <v>20</v>
      </c>
      <c r="N44" s="102">
        <f>TrRoad_act!N125</f>
        <v>31</v>
      </c>
      <c r="O44" s="102">
        <f>TrRoad_act!O125</f>
        <v>121</v>
      </c>
      <c r="P44" s="102">
        <f>TrRoad_act!P125</f>
        <v>76</v>
      </c>
      <c r="Q44" s="102">
        <f>TrRoad_act!Q125</f>
        <v>11</v>
      </c>
      <c r="R44" s="102">
        <f>TrRoad_act!R125</f>
        <v>0</v>
      </c>
      <c r="S44" s="102">
        <f>TrRoad_act!S125</f>
        <v>23</v>
      </c>
      <c r="T44" s="102">
        <f>TrRoad_act!T125</f>
        <v>0</v>
      </c>
      <c r="U44" s="102">
        <f>TrRoad_act!U125</f>
        <v>20</v>
      </c>
      <c r="V44" s="102">
        <f>TrRoad_act!V125</f>
        <v>8</v>
      </c>
      <c r="W44" s="102">
        <f>TrRoad_act!W125</f>
        <v>0</v>
      </c>
      <c r="DA44" s="175" t="s">
        <v>539</v>
      </c>
    </row>
    <row r="45" spans="1:105" ht="11.45" customHeight="1" x14ac:dyDescent="0.25">
      <c r="A45" s="111" t="s">
        <v>115</v>
      </c>
      <c r="B45" s="102">
        <f>TrRoad_act!B126</f>
        <v>11</v>
      </c>
      <c r="C45" s="102">
        <f>TrRoad_act!C126</f>
        <v>9</v>
      </c>
      <c r="D45" s="102">
        <f>TrRoad_act!D126</f>
        <v>10</v>
      </c>
      <c r="E45" s="102">
        <f>TrRoad_act!E126</f>
        <v>11</v>
      </c>
      <c r="F45" s="102">
        <f>TrRoad_act!F126</f>
        <v>0</v>
      </c>
      <c r="G45" s="102">
        <f>TrRoad_act!G126</f>
        <v>8</v>
      </c>
      <c r="H45" s="102">
        <f>TrRoad_act!H126</f>
        <v>2</v>
      </c>
      <c r="I45" s="102">
        <f>TrRoad_act!I126</f>
        <v>0</v>
      </c>
      <c r="J45" s="102">
        <f>TrRoad_act!J126</f>
        <v>2</v>
      </c>
      <c r="K45" s="102">
        <f>TrRoad_act!K126</f>
        <v>7</v>
      </c>
      <c r="L45" s="102">
        <f>TrRoad_act!L126</f>
        <v>9</v>
      </c>
      <c r="M45" s="102">
        <f>TrRoad_act!M126</f>
        <v>5</v>
      </c>
      <c r="N45" s="102">
        <f>TrRoad_act!N126</f>
        <v>14</v>
      </c>
      <c r="O45" s="102">
        <f>TrRoad_act!O126</f>
        <v>15</v>
      </c>
      <c r="P45" s="102">
        <f>TrRoad_act!P126</f>
        <v>1</v>
      </c>
      <c r="Q45" s="102">
        <f>TrRoad_act!Q126</f>
        <v>12</v>
      </c>
      <c r="R45" s="102">
        <f>TrRoad_act!R126</f>
        <v>22</v>
      </c>
      <c r="S45" s="102">
        <f>TrRoad_act!S126</f>
        <v>6</v>
      </c>
      <c r="T45" s="102">
        <f>TrRoad_act!T126</f>
        <v>17</v>
      </c>
      <c r="U45" s="102">
        <f>TrRoad_act!U126</f>
        <v>22</v>
      </c>
      <c r="V45" s="102">
        <f>TrRoad_act!V126</f>
        <v>14</v>
      </c>
      <c r="W45" s="102">
        <f>TrRoad_act!W126</f>
        <v>11</v>
      </c>
      <c r="DA45" s="175" t="s">
        <v>540</v>
      </c>
    </row>
    <row r="46" spans="1:105" ht="11.45" customHeight="1" x14ac:dyDescent="0.25">
      <c r="A46" s="27" t="s">
        <v>34</v>
      </c>
      <c r="B46" s="28">
        <f>TrRoad_act!B127</f>
        <v>33116</v>
      </c>
      <c r="C46" s="28">
        <f>TrRoad_act!C127</f>
        <v>30300</v>
      </c>
      <c r="D46" s="28">
        <f>TrRoad_act!D127</f>
        <v>28146</v>
      </c>
      <c r="E46" s="28">
        <f>TrRoad_act!E127</f>
        <v>31452</v>
      </c>
      <c r="F46" s="28">
        <f>TrRoad_act!F127</f>
        <v>37653</v>
      </c>
      <c r="G46" s="28">
        <f>TrRoad_act!G127</f>
        <v>35658</v>
      </c>
      <c r="H46" s="28">
        <f>TrRoad_act!H127</f>
        <v>37465</v>
      </c>
      <c r="I46" s="28">
        <f>TrRoad_act!I127</f>
        <v>41115</v>
      </c>
      <c r="J46" s="28">
        <f>TrRoad_act!J127</f>
        <v>42240</v>
      </c>
      <c r="K46" s="28">
        <f>TrRoad_act!K127</f>
        <v>29223</v>
      </c>
      <c r="L46" s="28">
        <f>TrRoad_act!L127</f>
        <v>34525</v>
      </c>
      <c r="M46" s="28">
        <f>TrRoad_act!M127</f>
        <v>39888</v>
      </c>
      <c r="N46" s="28">
        <f>TrRoad_act!N127</f>
        <v>37519</v>
      </c>
      <c r="O46" s="28">
        <f>TrRoad_act!O127</f>
        <v>39569</v>
      </c>
      <c r="P46" s="28">
        <f>TrRoad_act!P127</f>
        <v>39121</v>
      </c>
      <c r="Q46" s="28">
        <f>TrRoad_act!Q127</f>
        <v>41692</v>
      </c>
      <c r="R46" s="28">
        <f>TrRoad_act!R127</f>
        <v>45490</v>
      </c>
      <c r="S46" s="28">
        <f>TrRoad_act!S127</f>
        <v>50084</v>
      </c>
      <c r="T46" s="28">
        <f>TrRoad_act!T127</f>
        <v>52140</v>
      </c>
      <c r="U46" s="28">
        <f>TrRoad_act!U127</f>
        <v>52968</v>
      </c>
      <c r="V46" s="28">
        <f>TrRoad_act!V127</f>
        <v>46573</v>
      </c>
      <c r="W46" s="28">
        <f>TrRoad_act!W127</f>
        <v>66637</v>
      </c>
      <c r="DA46" s="173" t="s">
        <v>541</v>
      </c>
    </row>
    <row r="47" spans="1:105" ht="11.45" customHeight="1" x14ac:dyDescent="0.25">
      <c r="A47" s="136" t="s">
        <v>156</v>
      </c>
      <c r="B47" s="137">
        <f>TrRoad_act!B128</f>
        <v>26360</v>
      </c>
      <c r="C47" s="137">
        <f>TrRoad_act!C128</f>
        <v>23313</v>
      </c>
      <c r="D47" s="137">
        <f>TrRoad_act!D128</f>
        <v>21795</v>
      </c>
      <c r="E47" s="137">
        <f>TrRoad_act!E128</f>
        <v>24837</v>
      </c>
      <c r="F47" s="137">
        <f>TrRoad_act!F128</f>
        <v>28196</v>
      </c>
      <c r="G47" s="137">
        <f>TrRoad_act!G128</f>
        <v>28195</v>
      </c>
      <c r="H47" s="137">
        <f>TrRoad_act!H128</f>
        <v>29860</v>
      </c>
      <c r="I47" s="137">
        <f>TrRoad_act!I128</f>
        <v>31794</v>
      </c>
      <c r="J47" s="137">
        <f>TrRoad_act!J128</f>
        <v>32203</v>
      </c>
      <c r="K47" s="137">
        <f>TrRoad_act!K128</f>
        <v>25156</v>
      </c>
      <c r="L47" s="137">
        <f>TrRoad_act!L128</f>
        <v>27741</v>
      </c>
      <c r="M47" s="137">
        <f>TrRoad_act!M128</f>
        <v>35348</v>
      </c>
      <c r="N47" s="137">
        <f>TrRoad_act!N128</f>
        <v>31516</v>
      </c>
      <c r="O47" s="137">
        <f>TrRoad_act!O128</f>
        <v>32296</v>
      </c>
      <c r="P47" s="137">
        <f>TrRoad_act!P128</f>
        <v>32148</v>
      </c>
      <c r="Q47" s="137">
        <f>TrRoad_act!Q128</f>
        <v>33834</v>
      </c>
      <c r="R47" s="137">
        <f>TrRoad_act!R128</f>
        <v>37460</v>
      </c>
      <c r="S47" s="137">
        <f>TrRoad_act!S128</f>
        <v>40852</v>
      </c>
      <c r="T47" s="137">
        <f>TrRoad_act!T128</f>
        <v>44158</v>
      </c>
      <c r="U47" s="137">
        <f>TrRoad_act!U128</f>
        <v>44217</v>
      </c>
      <c r="V47" s="137">
        <f>TrRoad_act!V128</f>
        <v>38750</v>
      </c>
      <c r="W47" s="137">
        <f>TrRoad_act!W128</f>
        <v>57780</v>
      </c>
      <c r="DA47" s="174" t="s">
        <v>542</v>
      </c>
    </row>
    <row r="48" spans="1:105" ht="11.45" customHeight="1" x14ac:dyDescent="0.25">
      <c r="A48" s="111" t="s">
        <v>110</v>
      </c>
      <c r="B48" s="84">
        <f>TrRoad_act!B129</f>
        <v>378</v>
      </c>
      <c r="C48" s="84">
        <f>TrRoad_act!C129</f>
        <v>199</v>
      </c>
      <c r="D48" s="84">
        <f>TrRoad_act!D129</f>
        <v>217</v>
      </c>
      <c r="E48" s="84">
        <f>TrRoad_act!E129</f>
        <v>317</v>
      </c>
      <c r="F48" s="84">
        <f>TrRoad_act!F129</f>
        <v>473</v>
      </c>
      <c r="G48" s="84">
        <f>TrRoad_act!G129</f>
        <v>500</v>
      </c>
      <c r="H48" s="84">
        <f>TrRoad_act!H129</f>
        <v>651</v>
      </c>
      <c r="I48" s="84">
        <f>TrRoad_act!I129</f>
        <v>903</v>
      </c>
      <c r="J48" s="84">
        <f>TrRoad_act!J129</f>
        <v>1070</v>
      </c>
      <c r="K48" s="84">
        <f>TrRoad_act!K129</f>
        <v>1294</v>
      </c>
      <c r="L48" s="84">
        <f>TrRoad_act!L129</f>
        <v>1149</v>
      </c>
      <c r="M48" s="84">
        <f>TrRoad_act!M129</f>
        <v>1235</v>
      </c>
      <c r="N48" s="84">
        <f>TrRoad_act!N129</f>
        <v>1400</v>
      </c>
      <c r="O48" s="84">
        <f>TrRoad_act!O129</f>
        <v>2301</v>
      </c>
      <c r="P48" s="84">
        <f>TrRoad_act!P129</f>
        <v>2300</v>
      </c>
      <c r="Q48" s="84">
        <f>TrRoad_act!Q129</f>
        <v>2087</v>
      </c>
      <c r="R48" s="84">
        <f>TrRoad_act!R129</f>
        <v>1846</v>
      </c>
      <c r="S48" s="84">
        <f>TrRoad_act!S129</f>
        <v>2230</v>
      </c>
      <c r="T48" s="84">
        <f>TrRoad_act!T129</f>
        <v>2654</v>
      </c>
      <c r="U48" s="84">
        <f>TrRoad_act!U129</f>
        <v>2079</v>
      </c>
      <c r="V48" s="84">
        <f>TrRoad_act!V129</f>
        <v>1124</v>
      </c>
      <c r="W48" s="84">
        <f>TrRoad_act!W129</f>
        <v>1919</v>
      </c>
      <c r="DA48" s="171" t="s">
        <v>543</v>
      </c>
    </row>
    <row r="49" spans="1:105" ht="11.45" customHeight="1" x14ac:dyDescent="0.25">
      <c r="A49" s="111" t="s">
        <v>111</v>
      </c>
      <c r="B49" s="84">
        <f>TrRoad_act!B130</f>
        <v>25982</v>
      </c>
      <c r="C49" s="84">
        <f>TrRoad_act!C130</f>
        <v>23105</v>
      </c>
      <c r="D49" s="84">
        <f>TrRoad_act!D130</f>
        <v>21578</v>
      </c>
      <c r="E49" s="84">
        <f>TrRoad_act!E130</f>
        <v>24513</v>
      </c>
      <c r="F49" s="84">
        <f>TrRoad_act!F130</f>
        <v>27711</v>
      </c>
      <c r="G49" s="84">
        <f>TrRoad_act!G130</f>
        <v>27631</v>
      </c>
      <c r="H49" s="84">
        <f>TrRoad_act!H130</f>
        <v>29138</v>
      </c>
      <c r="I49" s="84">
        <f>TrRoad_act!I130</f>
        <v>30812</v>
      </c>
      <c r="J49" s="84">
        <f>TrRoad_act!J130</f>
        <v>30891</v>
      </c>
      <c r="K49" s="84">
        <f>TrRoad_act!K130</f>
        <v>23719</v>
      </c>
      <c r="L49" s="84">
        <f>TrRoad_act!L130</f>
        <v>26440</v>
      </c>
      <c r="M49" s="84">
        <f>TrRoad_act!M130</f>
        <v>33930</v>
      </c>
      <c r="N49" s="84">
        <f>TrRoad_act!N130</f>
        <v>29637</v>
      </c>
      <c r="O49" s="84">
        <f>TrRoad_act!O130</f>
        <v>29004</v>
      </c>
      <c r="P49" s="84">
        <f>TrRoad_act!P130</f>
        <v>29456</v>
      </c>
      <c r="Q49" s="84">
        <f>TrRoad_act!Q130</f>
        <v>31334</v>
      </c>
      <c r="R49" s="84">
        <f>TrRoad_act!R130</f>
        <v>34304</v>
      </c>
      <c r="S49" s="84">
        <f>TrRoad_act!S130</f>
        <v>38242</v>
      </c>
      <c r="T49" s="84">
        <f>TrRoad_act!T130</f>
        <v>40922</v>
      </c>
      <c r="U49" s="84">
        <f>TrRoad_act!U130</f>
        <v>41541</v>
      </c>
      <c r="V49" s="84">
        <f>TrRoad_act!V130</f>
        <v>36755</v>
      </c>
      <c r="W49" s="84">
        <f>TrRoad_act!W130</f>
        <v>53423</v>
      </c>
      <c r="DA49" s="171" t="s">
        <v>544</v>
      </c>
    </row>
    <row r="50" spans="1:105" ht="11.45" customHeight="1" x14ac:dyDescent="0.25">
      <c r="A50" s="111" t="s">
        <v>112</v>
      </c>
      <c r="B50" s="84">
        <f>TrRoad_act!B131</f>
        <v>0</v>
      </c>
      <c r="C50" s="84">
        <f>TrRoad_act!C131</f>
        <v>0</v>
      </c>
      <c r="D50" s="84">
        <f>TrRoad_act!D131</f>
        <v>0</v>
      </c>
      <c r="E50" s="84">
        <f>TrRoad_act!E131</f>
        <v>7</v>
      </c>
      <c r="F50" s="84">
        <f>TrRoad_act!F131</f>
        <v>12</v>
      </c>
      <c r="G50" s="84">
        <f>TrRoad_act!G131</f>
        <v>64</v>
      </c>
      <c r="H50" s="84">
        <f>TrRoad_act!H131</f>
        <v>0</v>
      </c>
      <c r="I50" s="84">
        <f>TrRoad_act!I131</f>
        <v>0</v>
      </c>
      <c r="J50" s="84">
        <f>TrRoad_act!J131</f>
        <v>0</v>
      </c>
      <c r="K50" s="84">
        <f>TrRoad_act!K131</f>
        <v>0</v>
      </c>
      <c r="L50" s="84">
        <f>TrRoad_act!L131</f>
        <v>0</v>
      </c>
      <c r="M50" s="84">
        <f>TrRoad_act!M131</f>
        <v>0</v>
      </c>
      <c r="N50" s="84">
        <f>TrRoad_act!N131</f>
        <v>9</v>
      </c>
      <c r="O50" s="84">
        <f>TrRoad_act!O131</f>
        <v>13</v>
      </c>
      <c r="P50" s="84">
        <f>TrRoad_act!P131</f>
        <v>18</v>
      </c>
      <c r="Q50" s="84">
        <f>TrRoad_act!Q131</f>
        <v>11</v>
      </c>
      <c r="R50" s="84">
        <f>TrRoad_act!R131</f>
        <v>59</v>
      </c>
      <c r="S50" s="84">
        <f>TrRoad_act!S131</f>
        <v>13</v>
      </c>
      <c r="T50" s="84">
        <f>TrRoad_act!T131</f>
        <v>9</v>
      </c>
      <c r="U50" s="84">
        <f>TrRoad_act!U131</f>
        <v>20</v>
      </c>
      <c r="V50" s="84">
        <f>TrRoad_act!V131</f>
        <v>36</v>
      </c>
      <c r="W50" s="84">
        <f>TrRoad_act!W131</f>
        <v>40</v>
      </c>
      <c r="DA50" s="171" t="s">
        <v>545</v>
      </c>
    </row>
    <row r="51" spans="1:105" ht="11.45" customHeight="1" x14ac:dyDescent="0.25">
      <c r="A51" s="111" t="s">
        <v>113</v>
      </c>
      <c r="B51" s="84">
        <f>TrRoad_act!B132</f>
        <v>0</v>
      </c>
      <c r="C51" s="84">
        <f>TrRoad_act!C132</f>
        <v>0</v>
      </c>
      <c r="D51" s="84">
        <f>TrRoad_act!D132</f>
        <v>0</v>
      </c>
      <c r="E51" s="84">
        <f>TrRoad_act!E132</f>
        <v>0</v>
      </c>
      <c r="F51" s="84">
        <f>TrRoad_act!F132</f>
        <v>0</v>
      </c>
      <c r="G51" s="84">
        <f>TrRoad_act!G132</f>
        <v>0</v>
      </c>
      <c r="H51" s="84">
        <f>TrRoad_act!H132</f>
        <v>71</v>
      </c>
      <c r="I51" s="84">
        <f>TrRoad_act!I132</f>
        <v>73</v>
      </c>
      <c r="J51" s="84">
        <f>TrRoad_act!J132</f>
        <v>238</v>
      </c>
      <c r="K51" s="84">
        <f>TrRoad_act!K132</f>
        <v>128</v>
      </c>
      <c r="L51" s="84">
        <f>TrRoad_act!L132</f>
        <v>127</v>
      </c>
      <c r="M51" s="84">
        <f>TrRoad_act!M132</f>
        <v>142</v>
      </c>
      <c r="N51" s="84">
        <f>TrRoad_act!N132</f>
        <v>192</v>
      </c>
      <c r="O51" s="84">
        <f>TrRoad_act!O132</f>
        <v>744</v>
      </c>
      <c r="P51" s="84">
        <f>TrRoad_act!P132</f>
        <v>172</v>
      </c>
      <c r="Q51" s="84">
        <f>TrRoad_act!Q132</f>
        <v>149</v>
      </c>
      <c r="R51" s="84">
        <f>TrRoad_act!R132</f>
        <v>806</v>
      </c>
      <c r="S51" s="84">
        <f>TrRoad_act!S132</f>
        <v>100</v>
      </c>
      <c r="T51" s="84">
        <f>TrRoad_act!T132</f>
        <v>120</v>
      </c>
      <c r="U51" s="84">
        <f>TrRoad_act!U132</f>
        <v>88</v>
      </c>
      <c r="V51" s="84">
        <f>TrRoad_act!V132</f>
        <v>52</v>
      </c>
      <c r="W51" s="84">
        <f>TrRoad_act!W132</f>
        <v>78</v>
      </c>
      <c r="DA51" s="171" t="s">
        <v>546</v>
      </c>
    </row>
    <row r="52" spans="1:105" ht="11.45" customHeight="1" x14ac:dyDescent="0.25">
      <c r="A52" s="111" t="s">
        <v>115</v>
      </c>
      <c r="B52" s="84">
        <f>TrRoad_act!B133</f>
        <v>0</v>
      </c>
      <c r="C52" s="84">
        <f>TrRoad_act!C133</f>
        <v>9</v>
      </c>
      <c r="D52" s="84">
        <f>TrRoad_act!D133</f>
        <v>0</v>
      </c>
      <c r="E52" s="84">
        <f>TrRoad_act!E133</f>
        <v>0</v>
      </c>
      <c r="F52" s="84">
        <f>TrRoad_act!F133</f>
        <v>0</v>
      </c>
      <c r="G52" s="84">
        <f>TrRoad_act!G133</f>
        <v>0</v>
      </c>
      <c r="H52" s="84">
        <f>TrRoad_act!H133</f>
        <v>0</v>
      </c>
      <c r="I52" s="84">
        <f>TrRoad_act!I133</f>
        <v>6</v>
      </c>
      <c r="J52" s="84">
        <f>TrRoad_act!J133</f>
        <v>4</v>
      </c>
      <c r="K52" s="84">
        <f>TrRoad_act!K133</f>
        <v>15</v>
      </c>
      <c r="L52" s="84">
        <f>TrRoad_act!L133</f>
        <v>25</v>
      </c>
      <c r="M52" s="84">
        <f>TrRoad_act!M133</f>
        <v>41</v>
      </c>
      <c r="N52" s="84">
        <f>TrRoad_act!N133</f>
        <v>278</v>
      </c>
      <c r="O52" s="84">
        <f>TrRoad_act!O133</f>
        <v>234</v>
      </c>
      <c r="P52" s="84">
        <f>TrRoad_act!P133</f>
        <v>202</v>
      </c>
      <c r="Q52" s="84">
        <f>TrRoad_act!Q133</f>
        <v>253</v>
      </c>
      <c r="R52" s="84">
        <f>TrRoad_act!R133</f>
        <v>445</v>
      </c>
      <c r="S52" s="84">
        <f>TrRoad_act!S133</f>
        <v>267</v>
      </c>
      <c r="T52" s="84">
        <f>TrRoad_act!T133</f>
        <v>453</v>
      </c>
      <c r="U52" s="84">
        <f>TrRoad_act!U133</f>
        <v>489</v>
      </c>
      <c r="V52" s="84">
        <f>TrRoad_act!V133</f>
        <v>783</v>
      </c>
      <c r="W52" s="84">
        <f>TrRoad_act!W133</f>
        <v>2320</v>
      </c>
      <c r="DA52" s="171" t="s">
        <v>547</v>
      </c>
    </row>
    <row r="53" spans="1:105" ht="11.45" customHeight="1" x14ac:dyDescent="0.25">
      <c r="A53" s="109" t="s">
        <v>158</v>
      </c>
      <c r="B53" s="110">
        <f>TrRoad_act!B134</f>
        <v>6756</v>
      </c>
      <c r="C53" s="110">
        <f>TrRoad_act!C134</f>
        <v>6987</v>
      </c>
      <c r="D53" s="110">
        <f>TrRoad_act!D134</f>
        <v>6351</v>
      </c>
      <c r="E53" s="110">
        <f>TrRoad_act!E134</f>
        <v>6615</v>
      </c>
      <c r="F53" s="110">
        <f>TrRoad_act!F134</f>
        <v>9457</v>
      </c>
      <c r="G53" s="110">
        <f>TrRoad_act!G134</f>
        <v>7463</v>
      </c>
      <c r="H53" s="110">
        <f>TrRoad_act!H134</f>
        <v>7605</v>
      </c>
      <c r="I53" s="110">
        <f>TrRoad_act!I134</f>
        <v>9321</v>
      </c>
      <c r="J53" s="110">
        <f>TrRoad_act!J134</f>
        <v>10037</v>
      </c>
      <c r="K53" s="110">
        <f>TrRoad_act!K134</f>
        <v>4067</v>
      </c>
      <c r="L53" s="110">
        <f>TrRoad_act!L134</f>
        <v>6784</v>
      </c>
      <c r="M53" s="110">
        <f>TrRoad_act!M134</f>
        <v>4540</v>
      </c>
      <c r="N53" s="110">
        <f>TrRoad_act!N134</f>
        <v>6003</v>
      </c>
      <c r="O53" s="110">
        <f>TrRoad_act!O134</f>
        <v>7273</v>
      </c>
      <c r="P53" s="110">
        <f>TrRoad_act!P134</f>
        <v>6973</v>
      </c>
      <c r="Q53" s="110">
        <f>TrRoad_act!Q134</f>
        <v>7858</v>
      </c>
      <c r="R53" s="110">
        <f>TrRoad_act!R134</f>
        <v>8030</v>
      </c>
      <c r="S53" s="110">
        <f>TrRoad_act!S134</f>
        <v>9232</v>
      </c>
      <c r="T53" s="110">
        <f>TrRoad_act!T134</f>
        <v>7982</v>
      </c>
      <c r="U53" s="110">
        <f>TrRoad_act!U134</f>
        <v>8751</v>
      </c>
      <c r="V53" s="110">
        <f>TrRoad_act!V134</f>
        <v>7823</v>
      </c>
      <c r="W53" s="110">
        <f>TrRoad_act!W134</f>
        <v>8857</v>
      </c>
      <c r="DA53" s="176" t="s">
        <v>548</v>
      </c>
    </row>
    <row r="54" spans="1:105" ht="11.45" customHeight="1" x14ac:dyDescent="0.25">
      <c r="A54" s="128" t="s">
        <v>27</v>
      </c>
      <c r="B54" s="102">
        <f>TrRoad_act!B135</f>
        <v>5573</v>
      </c>
      <c r="C54" s="102">
        <f>TrRoad_act!C135</f>
        <v>4975</v>
      </c>
      <c r="D54" s="102">
        <f>TrRoad_act!D135</f>
        <v>4334</v>
      </c>
      <c r="E54" s="102">
        <f>TrRoad_act!E135</f>
        <v>4788</v>
      </c>
      <c r="F54" s="102">
        <f>TrRoad_act!F135</f>
        <v>5295</v>
      </c>
      <c r="G54" s="102">
        <f>TrRoad_act!G135</f>
        <v>5079</v>
      </c>
      <c r="H54" s="102">
        <f>TrRoad_act!H135</f>
        <v>4842</v>
      </c>
      <c r="I54" s="102">
        <f>TrRoad_act!I135</f>
        <v>5037</v>
      </c>
      <c r="J54" s="102">
        <f>TrRoad_act!J135</f>
        <v>5420</v>
      </c>
      <c r="K54" s="102">
        <f>TrRoad_act!K135</f>
        <v>4067</v>
      </c>
      <c r="L54" s="102">
        <f>TrRoad_act!L135</f>
        <v>4057</v>
      </c>
      <c r="M54" s="102">
        <f>TrRoad_act!M135</f>
        <v>1854</v>
      </c>
      <c r="N54" s="102">
        <f>TrRoad_act!N135</f>
        <v>4290</v>
      </c>
      <c r="O54" s="102">
        <f>TrRoad_act!O135</f>
        <v>4266</v>
      </c>
      <c r="P54" s="102">
        <f>TrRoad_act!P135</f>
        <v>4344</v>
      </c>
      <c r="Q54" s="102">
        <f>TrRoad_act!Q135</f>
        <v>4288</v>
      </c>
      <c r="R54" s="102">
        <f>TrRoad_act!R135</f>
        <v>4784</v>
      </c>
      <c r="S54" s="102">
        <f>TrRoad_act!S135</f>
        <v>4759</v>
      </c>
      <c r="T54" s="102">
        <f>TrRoad_act!T135</f>
        <v>5135</v>
      </c>
      <c r="U54" s="102">
        <f>TrRoad_act!U135</f>
        <v>5487</v>
      </c>
      <c r="V54" s="102">
        <f>TrRoad_act!V135</f>
        <v>4564</v>
      </c>
      <c r="W54" s="102">
        <f>TrRoad_act!W135</f>
        <v>4675</v>
      </c>
      <c r="DA54" s="175" t="s">
        <v>549</v>
      </c>
    </row>
    <row r="55" spans="1:105" ht="11.45" customHeight="1" x14ac:dyDescent="0.25">
      <c r="A55" s="138" t="s">
        <v>116</v>
      </c>
      <c r="B55" s="86">
        <f>TrRoad_act!B136</f>
        <v>1183</v>
      </c>
      <c r="C55" s="86">
        <f>TrRoad_act!C136</f>
        <v>2012</v>
      </c>
      <c r="D55" s="86">
        <f>TrRoad_act!D136</f>
        <v>2017</v>
      </c>
      <c r="E55" s="86">
        <f>TrRoad_act!E136</f>
        <v>1827</v>
      </c>
      <c r="F55" s="86">
        <f>TrRoad_act!F136</f>
        <v>4162</v>
      </c>
      <c r="G55" s="86">
        <f>TrRoad_act!G136</f>
        <v>2384</v>
      </c>
      <c r="H55" s="86">
        <f>TrRoad_act!H136</f>
        <v>2763</v>
      </c>
      <c r="I55" s="86">
        <f>TrRoad_act!I136</f>
        <v>4284</v>
      </c>
      <c r="J55" s="86">
        <f>TrRoad_act!J136</f>
        <v>4617</v>
      </c>
      <c r="K55" s="86">
        <f>TrRoad_act!K136</f>
        <v>0</v>
      </c>
      <c r="L55" s="86">
        <f>TrRoad_act!L136</f>
        <v>2727</v>
      </c>
      <c r="M55" s="86">
        <f>TrRoad_act!M136</f>
        <v>2686</v>
      </c>
      <c r="N55" s="86">
        <f>TrRoad_act!N136</f>
        <v>1713</v>
      </c>
      <c r="O55" s="86">
        <f>TrRoad_act!O136</f>
        <v>3007</v>
      </c>
      <c r="P55" s="86">
        <f>TrRoad_act!P136</f>
        <v>2629</v>
      </c>
      <c r="Q55" s="86">
        <f>TrRoad_act!Q136</f>
        <v>3570</v>
      </c>
      <c r="R55" s="86">
        <f>TrRoad_act!R136</f>
        <v>3246</v>
      </c>
      <c r="S55" s="86">
        <f>TrRoad_act!S136</f>
        <v>4473</v>
      </c>
      <c r="T55" s="86">
        <f>TrRoad_act!T136</f>
        <v>2847</v>
      </c>
      <c r="U55" s="86">
        <f>TrRoad_act!U136</f>
        <v>3264</v>
      </c>
      <c r="V55" s="86">
        <f>TrRoad_act!V136</f>
        <v>3259</v>
      </c>
      <c r="W55" s="86">
        <f>TrRoad_act!W136</f>
        <v>4182</v>
      </c>
      <c r="DA55" s="178" t="s">
        <v>550</v>
      </c>
    </row>
    <row r="56" spans="1:105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148"/>
      <c r="B57" s="230">
        <v>2020</v>
      </c>
      <c r="C57" s="230"/>
      <c r="D57" s="230"/>
      <c r="E57" s="230"/>
      <c r="F57" s="230"/>
      <c r="G57" s="230"/>
      <c r="H57" s="230"/>
      <c r="I57" s="230"/>
      <c r="J57" s="230"/>
      <c r="K57" s="230"/>
      <c r="L57" s="230"/>
      <c r="M57" s="230"/>
      <c r="N57" s="230"/>
      <c r="O57" s="230"/>
      <c r="P57" s="230"/>
      <c r="Q57" s="230"/>
      <c r="R57" s="230"/>
      <c r="S57" s="230"/>
      <c r="T57" s="230"/>
      <c r="U57" s="230"/>
      <c r="V57" s="230"/>
      <c r="W57" s="168"/>
      <c r="DA57" s="209"/>
    </row>
    <row r="58" spans="1:105" ht="11.45" customHeight="1" x14ac:dyDescent="0.25">
      <c r="A58" s="149" t="s">
        <v>118</v>
      </c>
      <c r="B58" s="147" t="s">
        <v>119</v>
      </c>
      <c r="C58" s="147">
        <v>2001</v>
      </c>
      <c r="D58" s="147">
        <v>2002</v>
      </c>
      <c r="E58" s="147">
        <v>2003</v>
      </c>
      <c r="F58" s="147">
        <v>2004</v>
      </c>
      <c r="G58" s="147">
        <v>2005</v>
      </c>
      <c r="H58" s="147">
        <v>2006</v>
      </c>
      <c r="I58" s="147">
        <v>2007</v>
      </c>
      <c r="J58" s="147">
        <v>2008</v>
      </c>
      <c r="K58" s="147">
        <v>2009</v>
      </c>
      <c r="L58" s="147">
        <v>2010</v>
      </c>
      <c r="M58" s="147">
        <v>2011</v>
      </c>
      <c r="N58" s="147">
        <v>2012</v>
      </c>
      <c r="O58" s="147">
        <v>2013</v>
      </c>
      <c r="P58" s="147">
        <v>2014</v>
      </c>
      <c r="Q58" s="147">
        <v>2015</v>
      </c>
      <c r="R58" s="147">
        <v>2016</v>
      </c>
      <c r="S58" s="147">
        <v>2017</v>
      </c>
      <c r="T58" s="147">
        <v>2018</v>
      </c>
      <c r="U58" s="147">
        <v>2019</v>
      </c>
      <c r="V58" s="147">
        <v>2020</v>
      </c>
      <c r="W58" s="147">
        <v>2021</v>
      </c>
      <c r="DA58" s="210"/>
    </row>
    <row r="59" spans="1:105" ht="11.45" customHeight="1" x14ac:dyDescent="0.25">
      <c r="A59" s="53" t="s">
        <v>152</v>
      </c>
      <c r="B59" s="54">
        <f t="shared" ref="B59:K59" si="0">B60+B75</f>
        <v>202748</v>
      </c>
      <c r="C59" s="54">
        <f t="shared" si="0"/>
        <v>97985</v>
      </c>
      <c r="D59" s="54">
        <f t="shared" si="0"/>
        <v>109526</v>
      </c>
      <c r="E59" s="54">
        <f t="shared" si="0"/>
        <v>137093</v>
      </c>
      <c r="F59" s="54">
        <f t="shared" si="0"/>
        <v>163057</v>
      </c>
      <c r="G59" s="54">
        <f t="shared" si="0"/>
        <v>189493</v>
      </c>
      <c r="H59" s="54">
        <f t="shared" si="0"/>
        <v>215510</v>
      </c>
      <c r="I59" s="54">
        <f t="shared" si="0"/>
        <v>237869</v>
      </c>
      <c r="J59" s="54">
        <f t="shared" si="0"/>
        <v>259239</v>
      </c>
      <c r="K59" s="54">
        <f t="shared" si="0"/>
        <v>288402</v>
      </c>
      <c r="L59" s="54">
        <f t="shared" ref="L59" si="1">L60+L75</f>
        <v>312097</v>
      </c>
      <c r="M59" s="54">
        <f t="shared" ref="M59:V59" si="2">M60+M75</f>
        <v>357322</v>
      </c>
      <c r="N59" s="54">
        <f t="shared" si="2"/>
        <v>368440</v>
      </c>
      <c r="O59" s="54">
        <f t="shared" si="2"/>
        <v>360906</v>
      </c>
      <c r="P59" s="54">
        <f t="shared" si="2"/>
        <v>357855</v>
      </c>
      <c r="Q59" s="54">
        <f t="shared" si="2"/>
        <v>375298</v>
      </c>
      <c r="R59" s="54">
        <f t="shared" si="2"/>
        <v>418899</v>
      </c>
      <c r="S59" s="54">
        <f t="shared" si="2"/>
        <v>453955</v>
      </c>
      <c r="T59" s="54">
        <f t="shared" si="2"/>
        <v>449872</v>
      </c>
      <c r="U59" s="54">
        <f t="shared" si="2"/>
        <v>450902</v>
      </c>
      <c r="V59" s="54">
        <f t="shared" si="2"/>
        <v>389149</v>
      </c>
      <c r="W59" s="54">
        <f t="shared" ref="W59" si="3">W60+W75</f>
        <v>426706</v>
      </c>
      <c r="DA59" s="172" t="s">
        <v>836</v>
      </c>
    </row>
    <row r="60" spans="1:105" ht="11.45" customHeight="1" x14ac:dyDescent="0.25">
      <c r="A60" s="27" t="s">
        <v>33</v>
      </c>
      <c r="B60" s="28">
        <f t="shared" ref="B60:K60" si="4">B61+B62+B69</f>
        <v>202748</v>
      </c>
      <c r="C60" s="28">
        <f t="shared" si="4"/>
        <v>97985</v>
      </c>
      <c r="D60" s="28">
        <f t="shared" si="4"/>
        <v>109526</v>
      </c>
      <c r="E60" s="28">
        <f t="shared" si="4"/>
        <v>133957</v>
      </c>
      <c r="F60" s="28">
        <f t="shared" si="4"/>
        <v>156060</v>
      </c>
      <c r="G60" s="28">
        <f t="shared" si="4"/>
        <v>178907</v>
      </c>
      <c r="H60" s="28">
        <f t="shared" si="4"/>
        <v>201818</v>
      </c>
      <c r="I60" s="28">
        <f t="shared" si="4"/>
        <v>220928</v>
      </c>
      <c r="J60" s="28">
        <f t="shared" si="4"/>
        <v>239456</v>
      </c>
      <c r="K60" s="28">
        <f t="shared" si="4"/>
        <v>271144</v>
      </c>
      <c r="L60" s="28">
        <f t="shared" ref="L60" si="5">L61+L62+L69</f>
        <v>291409</v>
      </c>
      <c r="M60" s="28">
        <f t="shared" ref="M60:V60" si="6">M61+M62+M69</f>
        <v>331122</v>
      </c>
      <c r="N60" s="28">
        <f t="shared" si="6"/>
        <v>340048</v>
      </c>
      <c r="O60" s="28">
        <f t="shared" si="6"/>
        <v>329510</v>
      </c>
      <c r="P60" s="28">
        <f t="shared" si="6"/>
        <v>324622</v>
      </c>
      <c r="Q60" s="28">
        <f t="shared" si="6"/>
        <v>338451</v>
      </c>
      <c r="R60" s="28">
        <f t="shared" si="6"/>
        <v>377076</v>
      </c>
      <c r="S60" s="28">
        <f t="shared" si="6"/>
        <v>406755</v>
      </c>
      <c r="T60" s="28">
        <f t="shared" si="6"/>
        <v>399356</v>
      </c>
      <c r="U60" s="28">
        <f t="shared" si="6"/>
        <v>398790</v>
      </c>
      <c r="V60" s="28">
        <f t="shared" si="6"/>
        <v>343777</v>
      </c>
      <c r="W60" s="28">
        <f t="shared" ref="W60" si="7">W61+W62+W69</f>
        <v>360069</v>
      </c>
      <c r="DA60" s="173" t="s">
        <v>837</v>
      </c>
    </row>
    <row r="61" spans="1:105" ht="11.45" customHeight="1" x14ac:dyDescent="0.25">
      <c r="A61" s="136" t="s">
        <v>180</v>
      </c>
      <c r="B61" s="137">
        <v>2739</v>
      </c>
      <c r="C61" s="137">
        <v>10796</v>
      </c>
      <c r="D61" s="137">
        <v>12501</v>
      </c>
      <c r="E61" s="137">
        <v>13229</v>
      </c>
      <c r="F61" s="137">
        <v>15794</v>
      </c>
      <c r="G61" s="137">
        <v>24472</v>
      </c>
      <c r="H61" s="137">
        <v>30638</v>
      </c>
      <c r="I61" s="137">
        <v>40655</v>
      </c>
      <c r="J61" s="137">
        <v>47249</v>
      </c>
      <c r="K61" s="137">
        <v>47520</v>
      </c>
      <c r="L61" s="137">
        <v>43069</v>
      </c>
      <c r="M61" s="137">
        <v>45619</v>
      </c>
      <c r="N61" s="137">
        <v>54220</v>
      </c>
      <c r="O61" s="137">
        <v>48481</v>
      </c>
      <c r="P61" s="137">
        <v>48183</v>
      </c>
      <c r="Q61" s="137">
        <v>48611</v>
      </c>
      <c r="R61" s="137">
        <v>58887</v>
      </c>
      <c r="S61" s="137">
        <v>55754</v>
      </c>
      <c r="T61" s="137">
        <v>55243</v>
      </c>
      <c r="U61" s="137">
        <v>55965</v>
      </c>
      <c r="V61" s="137">
        <v>73285</v>
      </c>
      <c r="W61" s="137">
        <v>76632</v>
      </c>
      <c r="DA61" s="174" t="s">
        <v>838</v>
      </c>
    </row>
    <row r="62" spans="1:105" ht="11.45" customHeight="1" x14ac:dyDescent="0.25">
      <c r="A62" s="109" t="s">
        <v>20</v>
      </c>
      <c r="B62" s="110">
        <f t="shared" ref="B62:K62" si="8">SUM(B63:B68)</f>
        <v>199968</v>
      </c>
      <c r="C62" s="110">
        <f t="shared" si="8"/>
        <v>87178</v>
      </c>
      <c r="D62" s="110">
        <f t="shared" si="8"/>
        <v>97004</v>
      </c>
      <c r="E62" s="110">
        <f t="shared" si="8"/>
        <v>120692</v>
      </c>
      <c r="F62" s="110">
        <f t="shared" si="8"/>
        <v>140205</v>
      </c>
      <c r="G62" s="110">
        <f t="shared" si="8"/>
        <v>154369</v>
      </c>
      <c r="H62" s="110">
        <f t="shared" si="8"/>
        <v>171062</v>
      </c>
      <c r="I62" s="110">
        <f t="shared" si="8"/>
        <v>180131</v>
      </c>
      <c r="J62" s="110">
        <f t="shared" si="8"/>
        <v>191964</v>
      </c>
      <c r="K62" s="110">
        <f t="shared" si="8"/>
        <v>223334</v>
      </c>
      <c r="L62" s="110">
        <f t="shared" ref="L62" si="9">SUM(L63:L68)</f>
        <v>247971</v>
      </c>
      <c r="M62" s="110">
        <f t="shared" ref="M62:V62" si="10">SUM(M63:M68)</f>
        <v>285198</v>
      </c>
      <c r="N62" s="110">
        <f t="shared" si="10"/>
        <v>285389</v>
      </c>
      <c r="O62" s="110">
        <f t="shared" si="10"/>
        <v>280444</v>
      </c>
      <c r="P62" s="110">
        <f t="shared" si="10"/>
        <v>275755</v>
      </c>
      <c r="Q62" s="110">
        <f t="shared" si="10"/>
        <v>289108</v>
      </c>
      <c r="R62" s="110">
        <f t="shared" si="10"/>
        <v>317280</v>
      </c>
      <c r="S62" s="110">
        <f t="shared" si="10"/>
        <v>349857</v>
      </c>
      <c r="T62" s="110">
        <f t="shared" si="10"/>
        <v>343039</v>
      </c>
      <c r="U62" s="110">
        <f t="shared" si="10"/>
        <v>341683</v>
      </c>
      <c r="V62" s="110">
        <f t="shared" si="10"/>
        <v>269655</v>
      </c>
      <c r="W62" s="110">
        <f t="shared" ref="W62" si="11">SUM(W63:W68)</f>
        <v>282550</v>
      </c>
      <c r="DA62" s="176" t="s">
        <v>839</v>
      </c>
    </row>
    <row r="63" spans="1:105" ht="11.45" customHeight="1" x14ac:dyDescent="0.25">
      <c r="A63" s="111" t="s">
        <v>110</v>
      </c>
      <c r="B63" s="84">
        <v>75827</v>
      </c>
      <c r="C63" s="84">
        <v>26472</v>
      </c>
      <c r="D63" s="84">
        <v>26279</v>
      </c>
      <c r="E63" s="84">
        <v>30775</v>
      </c>
      <c r="F63" s="84">
        <v>37502</v>
      </c>
      <c r="G63" s="84">
        <v>48162</v>
      </c>
      <c r="H63" s="84">
        <v>60888</v>
      </c>
      <c r="I63" s="84">
        <v>69830</v>
      </c>
      <c r="J63" s="84">
        <v>83208</v>
      </c>
      <c r="K63" s="84">
        <v>117081</v>
      </c>
      <c r="L63" s="84">
        <v>119113</v>
      </c>
      <c r="M63" s="84">
        <v>126230</v>
      </c>
      <c r="N63" s="84">
        <v>121396</v>
      </c>
      <c r="O63" s="84">
        <v>119427</v>
      </c>
      <c r="P63" s="84">
        <v>116483</v>
      </c>
      <c r="Q63" s="84">
        <v>117051</v>
      </c>
      <c r="R63" s="84">
        <v>131229</v>
      </c>
      <c r="S63" s="84">
        <v>171095</v>
      </c>
      <c r="T63" s="84">
        <v>193351</v>
      </c>
      <c r="U63" s="84">
        <v>195686</v>
      </c>
      <c r="V63" s="84">
        <v>140677</v>
      </c>
      <c r="W63" s="84">
        <v>150164</v>
      </c>
      <c r="DA63" s="171" t="s">
        <v>840</v>
      </c>
    </row>
    <row r="64" spans="1:105" ht="11.45" customHeight="1" x14ac:dyDescent="0.25">
      <c r="A64" s="111" t="s">
        <v>111</v>
      </c>
      <c r="B64" s="84">
        <v>124141</v>
      </c>
      <c r="C64" s="84">
        <v>60706</v>
      </c>
      <c r="D64" s="84">
        <v>70725</v>
      </c>
      <c r="E64" s="84">
        <v>88840</v>
      </c>
      <c r="F64" s="84">
        <v>102703</v>
      </c>
      <c r="G64" s="84">
        <v>106207</v>
      </c>
      <c r="H64" s="84">
        <v>109690</v>
      </c>
      <c r="I64" s="84">
        <v>110301</v>
      </c>
      <c r="J64" s="84">
        <v>108249</v>
      </c>
      <c r="K64" s="84">
        <v>106253</v>
      </c>
      <c r="L64" s="84">
        <v>128826</v>
      </c>
      <c r="M64" s="84">
        <v>158347</v>
      </c>
      <c r="N64" s="84">
        <v>162310</v>
      </c>
      <c r="O64" s="84">
        <v>160000</v>
      </c>
      <c r="P64" s="84">
        <v>157756</v>
      </c>
      <c r="Q64" s="84">
        <v>170013</v>
      </c>
      <c r="R64" s="84">
        <v>181647</v>
      </c>
      <c r="S64" s="84">
        <v>171420</v>
      </c>
      <c r="T64" s="84">
        <v>140224</v>
      </c>
      <c r="U64" s="84">
        <v>133448</v>
      </c>
      <c r="V64" s="84">
        <v>104843</v>
      </c>
      <c r="W64" s="84">
        <v>83914</v>
      </c>
      <c r="DA64" s="171" t="s">
        <v>841</v>
      </c>
    </row>
    <row r="65" spans="1:105" ht="11.45" customHeight="1" x14ac:dyDescent="0.25">
      <c r="A65" s="111" t="s">
        <v>112</v>
      </c>
      <c r="B65" s="84">
        <v>0</v>
      </c>
      <c r="C65" s="84">
        <v>0</v>
      </c>
      <c r="D65" s="84">
        <v>0</v>
      </c>
      <c r="E65" s="84">
        <v>1077</v>
      </c>
      <c r="F65" s="84">
        <v>0</v>
      </c>
      <c r="G65" s="84">
        <v>0</v>
      </c>
      <c r="H65" s="84">
        <v>484</v>
      </c>
      <c r="I65" s="84">
        <v>0</v>
      </c>
      <c r="J65" s="84">
        <v>507</v>
      </c>
      <c r="K65" s="84">
        <v>0</v>
      </c>
      <c r="L65" s="84">
        <v>0</v>
      </c>
      <c r="M65" s="84">
        <v>9</v>
      </c>
      <c r="N65" s="84">
        <v>1366</v>
      </c>
      <c r="O65" s="84">
        <v>507</v>
      </c>
      <c r="P65" s="84">
        <v>2</v>
      </c>
      <c r="Q65" s="84">
        <v>0</v>
      </c>
      <c r="R65" s="84">
        <v>2</v>
      </c>
      <c r="S65" s="84">
        <v>0</v>
      </c>
      <c r="T65" s="84">
        <v>1</v>
      </c>
      <c r="U65" s="84">
        <v>2</v>
      </c>
      <c r="V65" s="84">
        <v>0</v>
      </c>
      <c r="W65" s="84">
        <v>375</v>
      </c>
      <c r="DA65" s="171" t="s">
        <v>842</v>
      </c>
    </row>
    <row r="66" spans="1:105" ht="11.45" customHeight="1" x14ac:dyDescent="0.25">
      <c r="A66" s="111" t="s">
        <v>113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0</v>
      </c>
      <c r="L66" s="84">
        <v>32</v>
      </c>
      <c r="M66" s="84">
        <v>612</v>
      </c>
      <c r="N66" s="84">
        <v>317</v>
      </c>
      <c r="O66" s="84">
        <v>510</v>
      </c>
      <c r="P66" s="84">
        <v>704</v>
      </c>
      <c r="Q66" s="84">
        <v>665</v>
      </c>
      <c r="R66" s="84">
        <v>472</v>
      </c>
      <c r="S66" s="84">
        <v>432</v>
      </c>
      <c r="T66" s="84">
        <v>640</v>
      </c>
      <c r="U66" s="84">
        <v>579</v>
      </c>
      <c r="V66" s="84">
        <v>407</v>
      </c>
      <c r="W66" s="84">
        <v>85</v>
      </c>
      <c r="DA66" s="171" t="s">
        <v>843</v>
      </c>
    </row>
    <row r="67" spans="1:105" ht="11.45" customHeight="1" x14ac:dyDescent="0.25">
      <c r="A67" s="111" t="s">
        <v>114</v>
      </c>
      <c r="B67" s="84">
        <v>0</v>
      </c>
      <c r="C67" s="84">
        <v>0</v>
      </c>
      <c r="D67" s="84">
        <v>0</v>
      </c>
      <c r="E67" s="84">
        <v>0</v>
      </c>
      <c r="F67" s="84">
        <v>0</v>
      </c>
      <c r="G67" s="84">
        <v>0</v>
      </c>
      <c r="H67" s="84">
        <v>0</v>
      </c>
      <c r="I67" s="84">
        <v>0</v>
      </c>
      <c r="J67" s="84">
        <v>0</v>
      </c>
      <c r="K67" s="84">
        <v>0</v>
      </c>
      <c r="L67" s="84">
        <v>0</v>
      </c>
      <c r="M67" s="84">
        <v>0</v>
      </c>
      <c r="N67" s="84">
        <v>0</v>
      </c>
      <c r="O67" s="84">
        <v>0</v>
      </c>
      <c r="P67" s="84">
        <v>0</v>
      </c>
      <c r="Q67" s="84">
        <v>0</v>
      </c>
      <c r="R67" s="84">
        <v>232</v>
      </c>
      <c r="S67" s="84">
        <v>1534</v>
      </c>
      <c r="T67" s="84">
        <v>2120</v>
      </c>
      <c r="U67" s="84">
        <v>2744</v>
      </c>
      <c r="V67" s="84">
        <v>7758</v>
      </c>
      <c r="W67" s="84">
        <v>14633</v>
      </c>
      <c r="DA67" s="171" t="s">
        <v>844</v>
      </c>
    </row>
    <row r="68" spans="1:105" ht="11.45" customHeight="1" x14ac:dyDescent="0.25">
      <c r="A68" s="111" t="s">
        <v>115</v>
      </c>
      <c r="B68" s="84">
        <v>0</v>
      </c>
      <c r="C68" s="84">
        <v>0</v>
      </c>
      <c r="D68" s="84">
        <v>0</v>
      </c>
      <c r="E68" s="84">
        <v>0</v>
      </c>
      <c r="F68" s="84">
        <v>0</v>
      </c>
      <c r="G68" s="84">
        <v>0</v>
      </c>
      <c r="H68" s="84">
        <v>0</v>
      </c>
      <c r="I68" s="84">
        <v>0</v>
      </c>
      <c r="J68" s="84">
        <v>0</v>
      </c>
      <c r="K68" s="84">
        <v>0</v>
      </c>
      <c r="L68" s="84">
        <v>0</v>
      </c>
      <c r="M68" s="84">
        <v>0</v>
      </c>
      <c r="N68" s="84">
        <v>0</v>
      </c>
      <c r="O68" s="84">
        <v>0</v>
      </c>
      <c r="P68" s="84">
        <v>810</v>
      </c>
      <c r="Q68" s="84">
        <v>1379</v>
      </c>
      <c r="R68" s="84">
        <v>3698</v>
      </c>
      <c r="S68" s="84">
        <v>5376</v>
      </c>
      <c r="T68" s="84">
        <v>6703</v>
      </c>
      <c r="U68" s="84">
        <v>9224</v>
      </c>
      <c r="V68" s="84">
        <v>15970</v>
      </c>
      <c r="W68" s="84">
        <v>33379</v>
      </c>
      <c r="DA68" s="171" t="s">
        <v>845</v>
      </c>
    </row>
    <row r="69" spans="1:105" ht="11.45" customHeight="1" x14ac:dyDescent="0.25">
      <c r="A69" s="109" t="s">
        <v>21</v>
      </c>
      <c r="B69" s="110">
        <f t="shared" ref="B69:K69" si="12">SUM(B70:B74)</f>
        <v>41</v>
      </c>
      <c r="C69" s="110">
        <f t="shared" si="12"/>
        <v>11</v>
      </c>
      <c r="D69" s="110">
        <f t="shared" si="12"/>
        <v>21</v>
      </c>
      <c r="E69" s="110">
        <f t="shared" si="12"/>
        <v>36</v>
      </c>
      <c r="F69" s="110">
        <f t="shared" si="12"/>
        <v>61</v>
      </c>
      <c r="G69" s="110">
        <f t="shared" si="12"/>
        <v>66</v>
      </c>
      <c r="H69" s="110">
        <f t="shared" si="12"/>
        <v>118</v>
      </c>
      <c r="I69" s="110">
        <f t="shared" si="12"/>
        <v>142</v>
      </c>
      <c r="J69" s="110">
        <f t="shared" si="12"/>
        <v>243</v>
      </c>
      <c r="K69" s="110">
        <f t="shared" si="12"/>
        <v>290</v>
      </c>
      <c r="L69" s="110">
        <f t="shared" ref="L69" si="13">SUM(L70:L74)</f>
        <v>369</v>
      </c>
      <c r="M69" s="110">
        <f t="shared" ref="M69:V69" si="14">SUM(M70:M74)</f>
        <v>305</v>
      </c>
      <c r="N69" s="110">
        <f t="shared" si="14"/>
        <v>439</v>
      </c>
      <c r="O69" s="110">
        <f t="shared" si="14"/>
        <v>585</v>
      </c>
      <c r="P69" s="110">
        <f t="shared" si="14"/>
        <v>684</v>
      </c>
      <c r="Q69" s="110">
        <f t="shared" si="14"/>
        <v>732</v>
      </c>
      <c r="R69" s="110">
        <f t="shared" si="14"/>
        <v>909</v>
      </c>
      <c r="S69" s="110">
        <f t="shared" si="14"/>
        <v>1144</v>
      </c>
      <c r="T69" s="110">
        <f t="shared" si="14"/>
        <v>1074</v>
      </c>
      <c r="U69" s="110">
        <f t="shared" si="14"/>
        <v>1142</v>
      </c>
      <c r="V69" s="110">
        <f t="shared" si="14"/>
        <v>837</v>
      </c>
      <c r="W69" s="110">
        <f t="shared" ref="W69" si="15">SUM(W70:W74)</f>
        <v>887</v>
      </c>
      <c r="DA69" s="176" t="s">
        <v>846</v>
      </c>
    </row>
    <row r="70" spans="1:105" ht="11.45" customHeight="1" x14ac:dyDescent="0.25">
      <c r="A70" s="111" t="s">
        <v>110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1</v>
      </c>
      <c r="J70" s="102">
        <v>0</v>
      </c>
      <c r="K70" s="102">
        <v>0</v>
      </c>
      <c r="L70" s="102">
        <v>0</v>
      </c>
      <c r="M70" s="102">
        <v>0</v>
      </c>
      <c r="N70" s="102">
        <v>0</v>
      </c>
      <c r="O70" s="102">
        <v>0</v>
      </c>
      <c r="P70" s="102">
        <v>1</v>
      </c>
      <c r="Q70" s="102">
        <v>0</v>
      </c>
      <c r="R70" s="102">
        <v>1</v>
      </c>
      <c r="S70" s="102">
        <v>0</v>
      </c>
      <c r="T70" s="102">
        <v>0</v>
      </c>
      <c r="U70" s="102">
        <v>0</v>
      </c>
      <c r="V70" s="102">
        <v>0</v>
      </c>
      <c r="W70" s="102">
        <v>1</v>
      </c>
      <c r="DA70" s="175" t="s">
        <v>847</v>
      </c>
    </row>
    <row r="71" spans="1:105" ht="11.45" customHeight="1" x14ac:dyDescent="0.25">
      <c r="A71" s="111" t="s">
        <v>111</v>
      </c>
      <c r="B71" s="102">
        <v>34</v>
      </c>
      <c r="C71" s="102">
        <v>8</v>
      </c>
      <c r="D71" s="102">
        <v>17</v>
      </c>
      <c r="E71" s="102">
        <v>31</v>
      </c>
      <c r="F71" s="102">
        <v>61</v>
      </c>
      <c r="G71" s="102">
        <v>62</v>
      </c>
      <c r="H71" s="102">
        <v>116</v>
      </c>
      <c r="I71" s="102">
        <v>141</v>
      </c>
      <c r="J71" s="102">
        <v>233</v>
      </c>
      <c r="K71" s="102">
        <v>185</v>
      </c>
      <c r="L71" s="102">
        <v>275</v>
      </c>
      <c r="M71" s="102">
        <v>283</v>
      </c>
      <c r="N71" s="102">
        <v>399</v>
      </c>
      <c r="O71" s="102">
        <v>459</v>
      </c>
      <c r="P71" s="102">
        <v>609</v>
      </c>
      <c r="Q71" s="102">
        <v>709</v>
      </c>
      <c r="R71" s="102">
        <v>886</v>
      </c>
      <c r="S71" s="102">
        <v>1115</v>
      </c>
      <c r="T71" s="102">
        <v>1053</v>
      </c>
      <c r="U71" s="102">
        <v>1100</v>
      </c>
      <c r="V71" s="102">
        <v>809</v>
      </c>
      <c r="W71" s="102">
        <v>870</v>
      </c>
      <c r="DA71" s="175" t="s">
        <v>848</v>
      </c>
    </row>
    <row r="72" spans="1:105" ht="11.45" customHeight="1" x14ac:dyDescent="0.25">
      <c r="A72" s="111" t="s">
        <v>112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0</v>
      </c>
      <c r="K72" s="102">
        <v>0</v>
      </c>
      <c r="L72" s="102">
        <v>0</v>
      </c>
      <c r="M72" s="102">
        <v>0</v>
      </c>
      <c r="N72" s="102">
        <v>0</v>
      </c>
      <c r="O72" s="102">
        <v>0</v>
      </c>
      <c r="P72" s="102">
        <v>0</v>
      </c>
      <c r="Q72" s="102">
        <v>0</v>
      </c>
      <c r="R72" s="102">
        <v>0</v>
      </c>
      <c r="S72" s="102">
        <v>0</v>
      </c>
      <c r="T72" s="102">
        <v>4</v>
      </c>
      <c r="U72" s="102">
        <v>0</v>
      </c>
      <c r="V72" s="102">
        <v>6</v>
      </c>
      <c r="W72" s="102">
        <v>5</v>
      </c>
      <c r="DA72" s="175" t="s">
        <v>849</v>
      </c>
    </row>
    <row r="73" spans="1:105" ht="11.45" customHeight="1" x14ac:dyDescent="0.25">
      <c r="A73" s="111" t="s">
        <v>113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8</v>
      </c>
      <c r="K73" s="102">
        <v>100</v>
      </c>
      <c r="L73" s="102">
        <v>87</v>
      </c>
      <c r="M73" s="102">
        <v>17</v>
      </c>
      <c r="N73" s="102">
        <v>28</v>
      </c>
      <c r="O73" s="102">
        <v>113</v>
      </c>
      <c r="P73" s="102">
        <v>73</v>
      </c>
      <c r="Q73" s="102">
        <v>11</v>
      </c>
      <c r="R73" s="102">
        <v>0</v>
      </c>
      <c r="S73" s="102">
        <v>23</v>
      </c>
      <c r="T73" s="102">
        <v>0</v>
      </c>
      <c r="U73" s="102">
        <v>20</v>
      </c>
      <c r="V73" s="102">
        <v>8</v>
      </c>
      <c r="W73" s="102">
        <v>0</v>
      </c>
      <c r="DA73" s="175" t="s">
        <v>850</v>
      </c>
    </row>
    <row r="74" spans="1:105" ht="11.45" customHeight="1" x14ac:dyDescent="0.25">
      <c r="A74" s="111" t="s">
        <v>115</v>
      </c>
      <c r="B74" s="102">
        <v>7</v>
      </c>
      <c r="C74" s="102">
        <v>3</v>
      </c>
      <c r="D74" s="102">
        <v>4</v>
      </c>
      <c r="E74" s="102">
        <v>5</v>
      </c>
      <c r="F74" s="102">
        <v>0</v>
      </c>
      <c r="G74" s="102">
        <v>4</v>
      </c>
      <c r="H74" s="102">
        <v>2</v>
      </c>
      <c r="I74" s="102">
        <v>0</v>
      </c>
      <c r="J74" s="102">
        <v>2</v>
      </c>
      <c r="K74" s="102">
        <v>5</v>
      </c>
      <c r="L74" s="102">
        <v>7</v>
      </c>
      <c r="M74" s="102">
        <v>5</v>
      </c>
      <c r="N74" s="102">
        <v>12</v>
      </c>
      <c r="O74" s="102">
        <v>13</v>
      </c>
      <c r="P74" s="102">
        <v>1</v>
      </c>
      <c r="Q74" s="102">
        <v>12</v>
      </c>
      <c r="R74" s="102">
        <v>22</v>
      </c>
      <c r="S74" s="102">
        <v>6</v>
      </c>
      <c r="T74" s="102">
        <v>17</v>
      </c>
      <c r="U74" s="102">
        <v>22</v>
      </c>
      <c r="V74" s="102">
        <v>14</v>
      </c>
      <c r="W74" s="102">
        <v>11</v>
      </c>
      <c r="DA74" s="175" t="s">
        <v>851</v>
      </c>
    </row>
    <row r="75" spans="1:105" ht="11.45" customHeight="1" x14ac:dyDescent="0.25">
      <c r="A75" s="27" t="s">
        <v>34</v>
      </c>
      <c r="B75" s="28">
        <f t="shared" ref="B75:K75" si="16">B76+B82</f>
        <v>0</v>
      </c>
      <c r="C75" s="28">
        <f t="shared" si="16"/>
        <v>0</v>
      </c>
      <c r="D75" s="28">
        <f t="shared" si="16"/>
        <v>0</v>
      </c>
      <c r="E75" s="28">
        <f t="shared" si="16"/>
        <v>3136</v>
      </c>
      <c r="F75" s="28">
        <f t="shared" si="16"/>
        <v>6997</v>
      </c>
      <c r="G75" s="28">
        <f t="shared" si="16"/>
        <v>10586</v>
      </c>
      <c r="H75" s="28">
        <f t="shared" si="16"/>
        <v>13692</v>
      </c>
      <c r="I75" s="28">
        <f t="shared" si="16"/>
        <v>16941</v>
      </c>
      <c r="J75" s="28">
        <f t="shared" si="16"/>
        <v>19783</v>
      </c>
      <c r="K75" s="28">
        <f t="shared" si="16"/>
        <v>17258</v>
      </c>
      <c r="L75" s="28">
        <f t="shared" ref="L75" si="17">L76+L82</f>
        <v>20688</v>
      </c>
      <c r="M75" s="28">
        <f t="shared" ref="M75:V75" si="18">M76+M82</f>
        <v>26200</v>
      </c>
      <c r="N75" s="28">
        <f t="shared" si="18"/>
        <v>28392</v>
      </c>
      <c r="O75" s="28">
        <f t="shared" si="18"/>
        <v>31396</v>
      </c>
      <c r="P75" s="28">
        <f t="shared" si="18"/>
        <v>33233</v>
      </c>
      <c r="Q75" s="28">
        <f t="shared" si="18"/>
        <v>36847</v>
      </c>
      <c r="R75" s="28">
        <f t="shared" si="18"/>
        <v>41823</v>
      </c>
      <c r="S75" s="28">
        <f t="shared" si="18"/>
        <v>47200</v>
      </c>
      <c r="T75" s="28">
        <f t="shared" si="18"/>
        <v>50516</v>
      </c>
      <c r="U75" s="28">
        <f t="shared" si="18"/>
        <v>52112</v>
      </c>
      <c r="V75" s="28">
        <f t="shared" si="18"/>
        <v>45372</v>
      </c>
      <c r="W75" s="28">
        <f t="shared" ref="W75" si="19">W76+W82</f>
        <v>66637</v>
      </c>
      <c r="DA75" s="173" t="s">
        <v>852</v>
      </c>
    </row>
    <row r="76" spans="1:105" ht="11.45" customHeight="1" x14ac:dyDescent="0.25">
      <c r="A76" s="136" t="s">
        <v>156</v>
      </c>
      <c r="B76" s="137">
        <f t="shared" ref="B76:K76" si="20">SUM(B77:B81)</f>
        <v>0</v>
      </c>
      <c r="C76" s="137">
        <f t="shared" si="20"/>
        <v>0</v>
      </c>
      <c r="D76" s="137">
        <f t="shared" si="20"/>
        <v>0</v>
      </c>
      <c r="E76" s="137">
        <f t="shared" si="20"/>
        <v>3136</v>
      </c>
      <c r="F76" s="137">
        <f t="shared" si="20"/>
        <v>6997</v>
      </c>
      <c r="G76" s="137">
        <f t="shared" si="20"/>
        <v>8688</v>
      </c>
      <c r="H76" s="137">
        <f t="shared" si="20"/>
        <v>10944</v>
      </c>
      <c r="I76" s="137">
        <f t="shared" si="20"/>
        <v>13626</v>
      </c>
      <c r="J76" s="137">
        <f t="shared" si="20"/>
        <v>15779</v>
      </c>
      <c r="K76" s="137">
        <f t="shared" si="20"/>
        <v>13971</v>
      </c>
      <c r="L76" s="137">
        <f t="shared" ref="L76" si="21">SUM(L77:L81)</f>
        <v>17174</v>
      </c>
      <c r="M76" s="137">
        <f t="shared" ref="M76:V76" si="22">SUM(M77:M81)</f>
        <v>24057</v>
      </c>
      <c r="N76" s="137">
        <f t="shared" si="22"/>
        <v>23251</v>
      </c>
      <c r="O76" s="137">
        <f t="shared" si="22"/>
        <v>25271</v>
      </c>
      <c r="P76" s="137">
        <f t="shared" si="22"/>
        <v>27127</v>
      </c>
      <c r="Q76" s="137">
        <f t="shared" si="22"/>
        <v>29982</v>
      </c>
      <c r="R76" s="137">
        <f t="shared" si="22"/>
        <v>34560</v>
      </c>
      <c r="S76" s="137">
        <f t="shared" si="22"/>
        <v>38838</v>
      </c>
      <c r="T76" s="137">
        <f t="shared" si="22"/>
        <v>42962</v>
      </c>
      <c r="U76" s="137">
        <f t="shared" si="22"/>
        <v>43697</v>
      </c>
      <c r="V76" s="137">
        <f t="shared" si="22"/>
        <v>37720</v>
      </c>
      <c r="W76" s="137">
        <f t="shared" ref="W76" si="23">SUM(W77:W81)</f>
        <v>57780</v>
      </c>
      <c r="DA76" s="174" t="s">
        <v>853</v>
      </c>
    </row>
    <row r="77" spans="1:105" ht="11.45" customHeight="1" x14ac:dyDescent="0.25">
      <c r="A77" s="111" t="s">
        <v>110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143</v>
      </c>
      <c r="H77" s="84">
        <v>249</v>
      </c>
      <c r="I77" s="84">
        <v>405</v>
      </c>
      <c r="J77" s="84">
        <v>549</v>
      </c>
      <c r="K77" s="84">
        <v>749</v>
      </c>
      <c r="L77" s="84">
        <v>738</v>
      </c>
      <c r="M77" s="84">
        <v>868</v>
      </c>
      <c r="N77" s="84">
        <v>1064</v>
      </c>
      <c r="O77" s="84">
        <v>1867</v>
      </c>
      <c r="P77" s="84">
        <v>1973</v>
      </c>
      <c r="Q77" s="84">
        <v>1873</v>
      </c>
      <c r="R77" s="84">
        <v>1718</v>
      </c>
      <c r="S77" s="84">
        <v>2134</v>
      </c>
      <c r="T77" s="84">
        <v>2592</v>
      </c>
      <c r="U77" s="84">
        <v>2059</v>
      </c>
      <c r="V77" s="84">
        <v>1100</v>
      </c>
      <c r="W77" s="84">
        <v>1919</v>
      </c>
      <c r="DA77" s="171" t="s">
        <v>854</v>
      </c>
    </row>
    <row r="78" spans="1:105" ht="11.45" customHeight="1" x14ac:dyDescent="0.25">
      <c r="A78" s="111" t="s">
        <v>111</v>
      </c>
      <c r="B78" s="84">
        <v>0</v>
      </c>
      <c r="C78" s="84">
        <v>0</v>
      </c>
      <c r="D78" s="84">
        <v>0</v>
      </c>
      <c r="E78" s="84">
        <v>3136</v>
      </c>
      <c r="F78" s="84">
        <v>6997</v>
      </c>
      <c r="G78" s="84">
        <v>8511</v>
      </c>
      <c r="H78" s="84">
        <v>10695</v>
      </c>
      <c r="I78" s="84">
        <v>13221</v>
      </c>
      <c r="J78" s="84">
        <v>15230</v>
      </c>
      <c r="K78" s="84">
        <v>13222</v>
      </c>
      <c r="L78" s="84">
        <v>16421</v>
      </c>
      <c r="M78" s="84">
        <v>23157</v>
      </c>
      <c r="N78" s="84">
        <v>21948</v>
      </c>
      <c r="O78" s="84">
        <v>23035</v>
      </c>
      <c r="P78" s="84">
        <v>24819</v>
      </c>
      <c r="Q78" s="84">
        <v>27728</v>
      </c>
      <c r="R78" s="84">
        <v>31588</v>
      </c>
      <c r="S78" s="84">
        <v>36331</v>
      </c>
      <c r="T78" s="84">
        <v>39792</v>
      </c>
      <c r="U78" s="84">
        <v>41043</v>
      </c>
      <c r="V78" s="84">
        <v>35752</v>
      </c>
      <c r="W78" s="84">
        <v>53423</v>
      </c>
      <c r="DA78" s="171" t="s">
        <v>855</v>
      </c>
    </row>
    <row r="79" spans="1:105" ht="11.45" customHeight="1" x14ac:dyDescent="0.25">
      <c r="A79" s="111" t="s">
        <v>112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34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9</v>
      </c>
      <c r="O79" s="84">
        <v>13</v>
      </c>
      <c r="P79" s="84">
        <v>18</v>
      </c>
      <c r="Q79" s="84">
        <v>11</v>
      </c>
      <c r="R79" s="84">
        <v>59</v>
      </c>
      <c r="S79" s="84">
        <v>13</v>
      </c>
      <c r="T79" s="84">
        <v>9</v>
      </c>
      <c r="U79" s="84">
        <v>20</v>
      </c>
      <c r="V79" s="84">
        <v>36</v>
      </c>
      <c r="W79" s="84">
        <v>40</v>
      </c>
      <c r="DA79" s="171" t="s">
        <v>856</v>
      </c>
    </row>
    <row r="80" spans="1:105" ht="11.45" customHeight="1" x14ac:dyDescent="0.25">
      <c r="A80" s="111" t="s">
        <v>113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152</v>
      </c>
      <c r="P80" s="84">
        <v>133</v>
      </c>
      <c r="Q80" s="84">
        <v>133</v>
      </c>
      <c r="R80" s="84">
        <v>768</v>
      </c>
      <c r="S80" s="84">
        <v>98</v>
      </c>
      <c r="T80" s="84">
        <v>120</v>
      </c>
      <c r="U80" s="84">
        <v>88</v>
      </c>
      <c r="V80" s="84">
        <v>52</v>
      </c>
      <c r="W80" s="84">
        <v>78</v>
      </c>
      <c r="DA80" s="171" t="s">
        <v>857</v>
      </c>
    </row>
    <row r="81" spans="1:105" ht="11.45" customHeight="1" x14ac:dyDescent="0.25">
      <c r="A81" s="111" t="s">
        <v>115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15</v>
      </c>
      <c r="M81" s="84">
        <v>32</v>
      </c>
      <c r="N81" s="84">
        <v>230</v>
      </c>
      <c r="O81" s="84">
        <v>204</v>
      </c>
      <c r="P81" s="84">
        <v>184</v>
      </c>
      <c r="Q81" s="84">
        <v>237</v>
      </c>
      <c r="R81" s="84">
        <v>427</v>
      </c>
      <c r="S81" s="84">
        <v>262</v>
      </c>
      <c r="T81" s="84">
        <v>449</v>
      </c>
      <c r="U81" s="84">
        <v>487</v>
      </c>
      <c r="V81" s="84">
        <v>780</v>
      </c>
      <c r="W81" s="84">
        <v>2320</v>
      </c>
      <c r="DA81" s="171" t="s">
        <v>858</v>
      </c>
    </row>
    <row r="82" spans="1:105" ht="11.45" customHeight="1" x14ac:dyDescent="0.25">
      <c r="A82" s="109" t="s">
        <v>158</v>
      </c>
      <c r="B82" s="110">
        <f t="shared" ref="B82:K82" si="24">SUM(B83:B84)</f>
        <v>0</v>
      </c>
      <c r="C82" s="110">
        <f t="shared" si="24"/>
        <v>0</v>
      </c>
      <c r="D82" s="110">
        <f t="shared" si="24"/>
        <v>0</v>
      </c>
      <c r="E82" s="110">
        <f t="shared" si="24"/>
        <v>0</v>
      </c>
      <c r="F82" s="110">
        <f t="shared" si="24"/>
        <v>0</v>
      </c>
      <c r="G82" s="110">
        <f t="shared" si="24"/>
        <v>1898</v>
      </c>
      <c r="H82" s="110">
        <f t="shared" si="24"/>
        <v>2748</v>
      </c>
      <c r="I82" s="110">
        <f t="shared" si="24"/>
        <v>3315</v>
      </c>
      <c r="J82" s="110">
        <f t="shared" si="24"/>
        <v>4004</v>
      </c>
      <c r="K82" s="110">
        <f t="shared" si="24"/>
        <v>3287</v>
      </c>
      <c r="L82" s="110">
        <f t="shared" ref="L82" si="25">SUM(L83:L84)</f>
        <v>3514</v>
      </c>
      <c r="M82" s="110">
        <f t="shared" ref="M82:V82" si="26">SUM(M83:M84)</f>
        <v>2143</v>
      </c>
      <c r="N82" s="110">
        <f t="shared" si="26"/>
        <v>5141</v>
      </c>
      <c r="O82" s="110">
        <f t="shared" si="26"/>
        <v>6125</v>
      </c>
      <c r="P82" s="110">
        <f t="shared" si="26"/>
        <v>6106</v>
      </c>
      <c r="Q82" s="110">
        <f t="shared" si="26"/>
        <v>6865</v>
      </c>
      <c r="R82" s="110">
        <f t="shared" si="26"/>
        <v>7263</v>
      </c>
      <c r="S82" s="110">
        <f t="shared" si="26"/>
        <v>8362</v>
      </c>
      <c r="T82" s="110">
        <f t="shared" si="26"/>
        <v>7554</v>
      </c>
      <c r="U82" s="110">
        <f t="shared" si="26"/>
        <v>8415</v>
      </c>
      <c r="V82" s="110">
        <f t="shared" si="26"/>
        <v>7652</v>
      </c>
      <c r="W82" s="110">
        <f t="shared" ref="W82" si="27">SUM(W83:W84)</f>
        <v>8857</v>
      </c>
      <c r="DA82" s="176" t="s">
        <v>859</v>
      </c>
    </row>
    <row r="83" spans="1:105" ht="11.45" customHeight="1" x14ac:dyDescent="0.25">
      <c r="A83" s="128" t="s">
        <v>27</v>
      </c>
      <c r="B83" s="102">
        <v>0</v>
      </c>
      <c r="C83" s="102">
        <v>0</v>
      </c>
      <c r="D83" s="102">
        <v>0</v>
      </c>
      <c r="E83" s="102">
        <v>0</v>
      </c>
      <c r="F83" s="102">
        <v>0</v>
      </c>
      <c r="G83" s="102">
        <v>1898</v>
      </c>
      <c r="H83" s="102">
        <v>2748</v>
      </c>
      <c r="I83" s="102">
        <v>3315</v>
      </c>
      <c r="J83" s="102">
        <v>4004</v>
      </c>
      <c r="K83" s="102">
        <v>3287</v>
      </c>
      <c r="L83" s="102">
        <v>3514</v>
      </c>
      <c r="M83" s="102">
        <v>1692</v>
      </c>
      <c r="N83" s="102">
        <v>4063</v>
      </c>
      <c r="O83" s="102">
        <v>4145</v>
      </c>
      <c r="P83" s="102">
        <v>4286</v>
      </c>
      <c r="Q83" s="102">
        <v>4265</v>
      </c>
      <c r="R83" s="102">
        <v>4773</v>
      </c>
      <c r="S83" s="102">
        <v>4756</v>
      </c>
      <c r="T83" s="102">
        <v>5134</v>
      </c>
      <c r="U83" s="102">
        <v>5487</v>
      </c>
      <c r="V83" s="102">
        <v>4564</v>
      </c>
      <c r="W83" s="102">
        <v>4675</v>
      </c>
      <c r="DA83" s="175" t="s">
        <v>860</v>
      </c>
    </row>
    <row r="84" spans="1:105" ht="11.45" customHeight="1" x14ac:dyDescent="0.25">
      <c r="A84" s="138" t="s">
        <v>116</v>
      </c>
      <c r="B84" s="86">
        <v>0</v>
      </c>
      <c r="C84" s="86">
        <v>0</v>
      </c>
      <c r="D84" s="86">
        <v>0</v>
      </c>
      <c r="E84" s="86">
        <v>0</v>
      </c>
      <c r="F84" s="86">
        <v>0</v>
      </c>
      <c r="G84" s="86">
        <v>0</v>
      </c>
      <c r="H84" s="86">
        <v>0</v>
      </c>
      <c r="I84" s="86">
        <v>0</v>
      </c>
      <c r="J84" s="86">
        <v>0</v>
      </c>
      <c r="K84" s="86">
        <v>0</v>
      </c>
      <c r="L84" s="86">
        <v>0</v>
      </c>
      <c r="M84" s="86">
        <v>451</v>
      </c>
      <c r="N84" s="86">
        <v>1078</v>
      </c>
      <c r="O84" s="86">
        <v>1980</v>
      </c>
      <c r="P84" s="86">
        <v>1820</v>
      </c>
      <c r="Q84" s="86">
        <v>2600</v>
      </c>
      <c r="R84" s="86">
        <v>2490</v>
      </c>
      <c r="S84" s="86">
        <v>3606</v>
      </c>
      <c r="T84" s="86">
        <v>2420</v>
      </c>
      <c r="U84" s="86">
        <v>2928</v>
      </c>
      <c r="V84" s="86">
        <v>3088</v>
      </c>
      <c r="W84" s="86">
        <v>4182</v>
      </c>
      <c r="DA84" s="178" t="s">
        <v>861</v>
      </c>
    </row>
    <row r="85" spans="1:105" x14ac:dyDescent="0.2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DA85" s="171"/>
    </row>
    <row r="86" spans="1:105" ht="11.45" customHeight="1" x14ac:dyDescent="0.25">
      <c r="A86" s="68" t="s">
        <v>36</v>
      </c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DA86" s="179"/>
    </row>
    <row r="87" spans="1:105" x14ac:dyDescent="0.25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DA87" s="171"/>
    </row>
    <row r="88" spans="1:105" ht="11.45" customHeight="1" x14ac:dyDescent="0.25">
      <c r="A88" s="53" t="s">
        <v>120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DA88" s="172"/>
    </row>
    <row r="89" spans="1:105" ht="11.45" customHeight="1" x14ac:dyDescent="0.25">
      <c r="A89" s="27" t="s">
        <v>33</v>
      </c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DA89" s="173"/>
    </row>
    <row r="90" spans="1:105" ht="11.45" customHeight="1" x14ac:dyDescent="0.25">
      <c r="A90" s="136" t="s">
        <v>180</v>
      </c>
      <c r="B90" s="141">
        <v>3.4344808394150266</v>
      </c>
      <c r="C90" s="141">
        <v>3.4132184188791097</v>
      </c>
      <c r="D90" s="141">
        <v>3.3939755916206136</v>
      </c>
      <c r="E90" s="141">
        <v>3.3768678295369714</v>
      </c>
      <c r="F90" s="141">
        <v>3.3585402159398874</v>
      </c>
      <c r="G90" s="141">
        <v>3.3343934628705614</v>
      </c>
      <c r="H90" s="141">
        <v>3.3092777583138746</v>
      </c>
      <c r="I90" s="141">
        <v>3.2792576140304339</v>
      </c>
      <c r="J90" s="141">
        <v>3.2451126295623052</v>
      </c>
      <c r="K90" s="141">
        <v>3.2111468600015893</v>
      </c>
      <c r="L90" s="141">
        <v>3.1784459077114109</v>
      </c>
      <c r="M90" s="141">
        <v>3.1574618289499585</v>
      </c>
      <c r="N90" s="141">
        <v>3.118314190714532</v>
      </c>
      <c r="O90" s="141">
        <v>3.082797090858739</v>
      </c>
      <c r="P90" s="141">
        <v>3.0621175460497616</v>
      </c>
      <c r="Q90" s="141">
        <v>3.0362320295034833</v>
      </c>
      <c r="R90" s="141">
        <v>3.0006362236718624</v>
      </c>
      <c r="S90" s="141">
        <v>2.9821844920260876</v>
      </c>
      <c r="T90" s="141">
        <v>2.9635921453798941</v>
      </c>
      <c r="U90" s="141">
        <v>2.9323896161709575</v>
      </c>
      <c r="V90" s="141">
        <v>2.9033033042016099</v>
      </c>
      <c r="W90" s="141">
        <v>2.6469953055378945</v>
      </c>
      <c r="DA90" s="174" t="s">
        <v>862</v>
      </c>
    </row>
    <row r="91" spans="1:105" ht="11.45" customHeight="1" x14ac:dyDescent="0.25">
      <c r="A91" s="109" t="s">
        <v>20</v>
      </c>
      <c r="B91" s="130">
        <v>7.683529763537714</v>
      </c>
      <c r="C91" s="130">
        <v>7.612907634108109</v>
      </c>
      <c r="D91" s="130">
        <v>7.5687690546982376</v>
      </c>
      <c r="E91" s="130">
        <v>7.5292328099917665</v>
      </c>
      <c r="F91" s="130">
        <v>7.4798228030066563</v>
      </c>
      <c r="G91" s="130">
        <v>7.4343885503232325</v>
      </c>
      <c r="H91" s="130">
        <v>7.3870303256757888</v>
      </c>
      <c r="I91" s="130">
        <v>7.3433250959225402</v>
      </c>
      <c r="J91" s="130">
        <v>7.2827545664944404</v>
      </c>
      <c r="K91" s="130">
        <v>7.2030313274937683</v>
      </c>
      <c r="L91" s="130">
        <v>7.0927173289678258</v>
      </c>
      <c r="M91" s="130">
        <v>6.9635686606590896</v>
      </c>
      <c r="N91" s="130">
        <v>6.8386438178211062</v>
      </c>
      <c r="O91" s="130">
        <v>6.7022716348908462</v>
      </c>
      <c r="P91" s="130">
        <v>6.5951087462469502</v>
      </c>
      <c r="Q91" s="130">
        <v>6.4597593153337023</v>
      </c>
      <c r="R91" s="130">
        <v>6.3228312577354302</v>
      </c>
      <c r="S91" s="130">
        <v>6.1818766851344256</v>
      </c>
      <c r="T91" s="130">
        <v>6.0660439282647811</v>
      </c>
      <c r="U91" s="130">
        <v>5.9463095915352744</v>
      </c>
      <c r="V91" s="130">
        <v>5.8619272065217753</v>
      </c>
      <c r="W91" s="130">
        <v>5.7537696969928991</v>
      </c>
      <c r="DA91" s="176" t="s">
        <v>863</v>
      </c>
    </row>
    <row r="92" spans="1:105" ht="11.45" customHeight="1" x14ac:dyDescent="0.25">
      <c r="A92" s="111" t="s">
        <v>110</v>
      </c>
      <c r="B92" s="96">
        <v>7.7267141526709793</v>
      </c>
      <c r="C92" s="96">
        <v>7.6841468777741229</v>
      </c>
      <c r="D92" s="96">
        <v>7.6603163718767702</v>
      </c>
      <c r="E92" s="96">
        <v>7.6329312108894767</v>
      </c>
      <c r="F92" s="96">
        <v>7.5967122472949526</v>
      </c>
      <c r="G92" s="96">
        <v>7.5462677346072757</v>
      </c>
      <c r="H92" s="96">
        <v>7.487845641863986</v>
      </c>
      <c r="I92" s="96">
        <v>7.4185182355113675</v>
      </c>
      <c r="J92" s="96">
        <v>7.325728128742667</v>
      </c>
      <c r="K92" s="96">
        <v>7.1883008194908387</v>
      </c>
      <c r="L92" s="96">
        <v>7.0312480839130824</v>
      </c>
      <c r="M92" s="96">
        <v>6.8722330488600525</v>
      </c>
      <c r="N92" s="96">
        <v>6.7117239443650005</v>
      </c>
      <c r="O92" s="96">
        <v>6.5541783087397292</v>
      </c>
      <c r="P92" s="96">
        <v>6.4257976770907659</v>
      </c>
      <c r="Q92" s="96">
        <v>6.2786136874005471</v>
      </c>
      <c r="R92" s="96">
        <v>6.1468545231826033</v>
      </c>
      <c r="S92" s="96">
        <v>5.9966699364222888</v>
      </c>
      <c r="T92" s="96">
        <v>5.8506305583082687</v>
      </c>
      <c r="U92" s="96">
        <v>5.7094716181784477</v>
      </c>
      <c r="V92" s="96">
        <v>5.6293966649275395</v>
      </c>
      <c r="W92" s="96">
        <v>5.5354751801539139</v>
      </c>
      <c r="DA92" s="171" t="s">
        <v>864</v>
      </c>
    </row>
    <row r="93" spans="1:105" ht="11.45" customHeight="1" x14ac:dyDescent="0.25">
      <c r="A93" s="111" t="s">
        <v>111</v>
      </c>
      <c r="B93" s="96">
        <v>7.5926295739032961</v>
      </c>
      <c r="C93" s="96">
        <v>7.4427286229273442</v>
      </c>
      <c r="D93" s="96">
        <v>7.3832795297776013</v>
      </c>
      <c r="E93" s="96">
        <v>7.3345351373807537</v>
      </c>
      <c r="F93" s="96">
        <v>7.2791255906617316</v>
      </c>
      <c r="G93" s="96">
        <v>7.2405986782792997</v>
      </c>
      <c r="H93" s="96">
        <v>7.2053083143249435</v>
      </c>
      <c r="I93" s="96">
        <v>7.1784340013297854</v>
      </c>
      <c r="J93" s="96">
        <v>7.1357477778609715</v>
      </c>
      <c r="K93" s="96">
        <v>7.0820994502661563</v>
      </c>
      <c r="L93" s="96">
        <v>6.9765456405576751</v>
      </c>
      <c r="M93" s="96">
        <v>6.837539690992501</v>
      </c>
      <c r="N93" s="96">
        <v>6.7123605311288932</v>
      </c>
      <c r="O93" s="96">
        <v>6.5816088887434558</v>
      </c>
      <c r="P93" s="96">
        <v>6.4649221994864821</v>
      </c>
      <c r="Q93" s="96">
        <v>6.3296224751569987</v>
      </c>
      <c r="R93" s="96">
        <v>6.1800180226760792</v>
      </c>
      <c r="S93" s="96">
        <v>6.0526600164488791</v>
      </c>
      <c r="T93" s="96">
        <v>5.9830561876474526</v>
      </c>
      <c r="U93" s="96">
        <v>5.9151903926568874</v>
      </c>
      <c r="V93" s="96">
        <v>5.8507773725304322</v>
      </c>
      <c r="W93" s="96">
        <v>5.7887124726895758</v>
      </c>
      <c r="DA93" s="171" t="s">
        <v>865</v>
      </c>
    </row>
    <row r="94" spans="1:105" ht="11.45" customHeight="1" x14ac:dyDescent="0.25">
      <c r="A94" s="111" t="s">
        <v>112</v>
      </c>
      <c r="B94" s="96">
        <v>8.9844130767145156</v>
      </c>
      <c r="C94" s="96">
        <v>8.4500912544847093</v>
      </c>
      <c r="D94" s="96">
        <v>8.0860198819413256</v>
      </c>
      <c r="E94" s="96">
        <v>7.9145499911531285</v>
      </c>
      <c r="F94" s="96">
        <v>7.7665987717544862</v>
      </c>
      <c r="G94" s="96">
        <v>7.7665364928767175</v>
      </c>
      <c r="H94" s="96">
        <v>7.777403387937782</v>
      </c>
      <c r="I94" s="96">
        <v>7.7586386885220291</v>
      </c>
      <c r="J94" s="96">
        <v>7.7689484467054486</v>
      </c>
      <c r="K94" s="96">
        <v>7.7292258353515688</v>
      </c>
      <c r="L94" s="96">
        <v>7.6786250976252415</v>
      </c>
      <c r="M94" s="96">
        <v>7.6803910622770752</v>
      </c>
      <c r="N94" s="96">
        <v>7.752884261839287</v>
      </c>
      <c r="O94" s="96">
        <v>7.7594593912392948</v>
      </c>
      <c r="P94" s="96">
        <v>7.7556371953588057</v>
      </c>
      <c r="Q94" s="96">
        <v>7.6811907010034099</v>
      </c>
      <c r="R94" s="96">
        <v>7.6573729040135596</v>
      </c>
      <c r="S94" s="96">
        <v>7.6615111467158235</v>
      </c>
      <c r="T94" s="96">
        <v>7.7772660232509807</v>
      </c>
      <c r="U94" s="96">
        <v>7.8828337772590897</v>
      </c>
      <c r="V94" s="96">
        <v>8.0257124849335568</v>
      </c>
      <c r="W94" s="96">
        <v>7.7003019817945901</v>
      </c>
      <c r="DA94" s="171" t="s">
        <v>866</v>
      </c>
    </row>
    <row r="95" spans="1:105" ht="11.45" customHeight="1" x14ac:dyDescent="0.25">
      <c r="A95" s="111" t="s">
        <v>113</v>
      </c>
      <c r="B95" s="96">
        <v>0</v>
      </c>
      <c r="C95" s="96">
        <v>0</v>
      </c>
      <c r="D95" s="96">
        <v>0</v>
      </c>
      <c r="E95" s="96">
        <v>0</v>
      </c>
      <c r="F95" s="96">
        <v>0</v>
      </c>
      <c r="G95" s="96">
        <v>0</v>
      </c>
      <c r="H95" s="96">
        <v>6.7102819799687294</v>
      </c>
      <c r="I95" s="96">
        <v>6.6144874661064819</v>
      </c>
      <c r="J95" s="96">
        <v>6.3991963629241049</v>
      </c>
      <c r="K95" s="96">
        <v>6.3464260158808425</v>
      </c>
      <c r="L95" s="96">
        <v>6.600281994036715</v>
      </c>
      <c r="M95" s="96">
        <v>6.7194655685176752</v>
      </c>
      <c r="N95" s="96">
        <v>6.7006325055160021</v>
      </c>
      <c r="O95" s="96">
        <v>6.4294117126559955</v>
      </c>
      <c r="P95" s="96">
        <v>6.1609577659181847</v>
      </c>
      <c r="Q95" s="96">
        <v>6.004391328693174</v>
      </c>
      <c r="R95" s="96">
        <v>5.8858409980587183</v>
      </c>
      <c r="S95" s="96">
        <v>5.8000161748663857</v>
      </c>
      <c r="T95" s="96">
        <v>5.6918585056079047</v>
      </c>
      <c r="U95" s="96">
        <v>5.6067323772669297</v>
      </c>
      <c r="V95" s="96">
        <v>5.4916233694217382</v>
      </c>
      <c r="W95" s="96">
        <v>5.4175536505336002</v>
      </c>
      <c r="DA95" s="171" t="s">
        <v>867</v>
      </c>
    </row>
    <row r="96" spans="1:105" ht="11.45" customHeight="1" x14ac:dyDescent="0.25">
      <c r="A96" s="111" t="s">
        <v>114</v>
      </c>
      <c r="B96" s="96">
        <v>0</v>
      </c>
      <c r="C96" s="96">
        <v>0</v>
      </c>
      <c r="D96" s="96">
        <v>0</v>
      </c>
      <c r="E96" s="96">
        <v>0</v>
      </c>
      <c r="F96" s="96">
        <v>0</v>
      </c>
      <c r="G96" s="96">
        <v>0</v>
      </c>
      <c r="H96" s="96">
        <v>0</v>
      </c>
      <c r="I96" s="96">
        <v>0</v>
      </c>
      <c r="J96" s="96">
        <v>0</v>
      </c>
      <c r="K96" s="96">
        <v>0</v>
      </c>
      <c r="L96" s="96">
        <v>0</v>
      </c>
      <c r="M96" s="96">
        <v>3.3601008902245115</v>
      </c>
      <c r="N96" s="96">
        <v>2.7466784995540836</v>
      </c>
      <c r="O96" s="96">
        <v>2.2827828084230677</v>
      </c>
      <c r="P96" s="96">
        <v>2.452587981621714</v>
      </c>
      <c r="Q96" s="96">
        <v>2.8199330909465803</v>
      </c>
      <c r="R96" s="96">
        <v>3.2823244214136769</v>
      </c>
      <c r="S96" s="96">
        <v>3.3798783673055905</v>
      </c>
      <c r="T96" s="96">
        <v>3.4617819717057485</v>
      </c>
      <c r="U96" s="96">
        <v>3.5187060295360584</v>
      </c>
      <c r="V96" s="96">
        <v>3.3045561929771243</v>
      </c>
      <c r="W96" s="96">
        <v>3.1379080353291533</v>
      </c>
      <c r="DA96" s="171" t="s">
        <v>868</v>
      </c>
    </row>
    <row r="97" spans="1:105" ht="11.45" customHeight="1" x14ac:dyDescent="0.25">
      <c r="A97" s="111" t="s">
        <v>115</v>
      </c>
      <c r="B97" s="96">
        <v>0</v>
      </c>
      <c r="C97" s="96">
        <v>0</v>
      </c>
      <c r="D97" s="96">
        <v>0</v>
      </c>
      <c r="E97" s="96">
        <v>0</v>
      </c>
      <c r="F97" s="96">
        <v>0</v>
      </c>
      <c r="G97" s="96">
        <v>0</v>
      </c>
      <c r="H97" s="96">
        <v>0</v>
      </c>
      <c r="I97" s="96">
        <v>0</v>
      </c>
      <c r="J97" s="96">
        <v>1.3307883188520624</v>
      </c>
      <c r="K97" s="96">
        <v>1.3175586680765563</v>
      </c>
      <c r="L97" s="96">
        <v>1.3131946606413893</v>
      </c>
      <c r="M97" s="96">
        <v>1.3073406517835298</v>
      </c>
      <c r="N97" s="96">
        <v>1.3000055179197623</v>
      </c>
      <c r="O97" s="96">
        <v>1.3005972437283</v>
      </c>
      <c r="P97" s="96">
        <v>1.2707104045033371</v>
      </c>
      <c r="Q97" s="96">
        <v>1.3195375541202832</v>
      </c>
      <c r="R97" s="96">
        <v>1.3041355256776763</v>
      </c>
      <c r="S97" s="96">
        <v>1.2795337367415947</v>
      </c>
      <c r="T97" s="96">
        <v>1.2941207540651742</v>
      </c>
      <c r="U97" s="96">
        <v>1.352356526979569</v>
      </c>
      <c r="V97" s="96">
        <v>1.4038955569484539</v>
      </c>
      <c r="W97" s="96">
        <v>1.4500140550839542</v>
      </c>
      <c r="DA97" s="171" t="s">
        <v>869</v>
      </c>
    </row>
    <row r="98" spans="1:105" ht="11.45" customHeight="1" x14ac:dyDescent="0.25">
      <c r="A98" s="109" t="s">
        <v>21</v>
      </c>
      <c r="B98" s="130">
        <v>52.044881772637275</v>
      </c>
      <c r="C98" s="130">
        <v>51.354449760825545</v>
      </c>
      <c r="D98" s="130">
        <v>50.881266365153046</v>
      </c>
      <c r="E98" s="130">
        <v>50.456529582659407</v>
      </c>
      <c r="F98" s="130">
        <v>49.9532955899098</v>
      </c>
      <c r="G98" s="130">
        <v>49.526793256360584</v>
      </c>
      <c r="H98" s="130">
        <v>49.041926787159099</v>
      </c>
      <c r="I98" s="130">
        <v>48.570242943607504</v>
      </c>
      <c r="J98" s="130">
        <v>48.002231861061198</v>
      </c>
      <c r="K98" s="130">
        <v>47.472314654699844</v>
      </c>
      <c r="L98" s="130">
        <v>46.907376311087198</v>
      </c>
      <c r="M98" s="130">
        <v>46.512274186586104</v>
      </c>
      <c r="N98" s="130">
        <v>46.052574178377803</v>
      </c>
      <c r="O98" s="130">
        <v>45.562225795037818</v>
      </c>
      <c r="P98" s="130">
        <v>45.11606802265095</v>
      </c>
      <c r="Q98" s="130">
        <v>44.764139352110099</v>
      </c>
      <c r="R98" s="130">
        <v>44.348106627119293</v>
      </c>
      <c r="S98" s="130">
        <v>43.907795958276985</v>
      </c>
      <c r="T98" s="130">
        <v>43.398303169024338</v>
      </c>
      <c r="U98" s="130">
        <v>43.133383649244735</v>
      </c>
      <c r="V98" s="130">
        <v>42.843236546828017</v>
      </c>
      <c r="W98" s="130">
        <v>42.689297685949441</v>
      </c>
      <c r="DA98" s="176" t="s">
        <v>870</v>
      </c>
    </row>
    <row r="99" spans="1:105" ht="11.45" customHeight="1" x14ac:dyDescent="0.25">
      <c r="A99" s="111" t="s">
        <v>110</v>
      </c>
      <c r="B99" s="97">
        <v>17.609493840537549</v>
      </c>
      <c r="C99" s="97">
        <v>17.377343006907857</v>
      </c>
      <c r="D99" s="97">
        <v>17.332087049008209</v>
      </c>
      <c r="E99" s="97">
        <v>17.305582289648552</v>
      </c>
      <c r="F99" s="97">
        <v>17.26775577446136</v>
      </c>
      <c r="G99" s="97">
        <v>17.20261451588846</v>
      </c>
      <c r="H99" s="97">
        <v>17.14293400367827</v>
      </c>
      <c r="I99" s="97">
        <v>16.381300301127116</v>
      </c>
      <c r="J99" s="97">
        <v>16.192090323005793</v>
      </c>
      <c r="K99" s="97">
        <v>15.884165083767822</v>
      </c>
      <c r="L99" s="97">
        <v>15.884165083767824</v>
      </c>
      <c r="M99" s="97">
        <v>15.405316348658296</v>
      </c>
      <c r="N99" s="97">
        <v>15.405316348658298</v>
      </c>
      <c r="O99" s="97">
        <v>14.558557808126311</v>
      </c>
      <c r="P99" s="97">
        <v>13.029106591727949</v>
      </c>
      <c r="Q99" s="97">
        <v>13.029106591727949</v>
      </c>
      <c r="R99" s="97">
        <v>12.387625961928933</v>
      </c>
      <c r="S99" s="97">
        <v>12.387625961928931</v>
      </c>
      <c r="T99" s="97">
        <v>12.387625961928933</v>
      </c>
      <c r="U99" s="97">
        <v>12.387625961928933</v>
      </c>
      <c r="V99" s="97">
        <v>11.767153264866511</v>
      </c>
      <c r="W99" s="97">
        <v>11.550076392518552</v>
      </c>
      <c r="DA99" s="175" t="s">
        <v>871</v>
      </c>
    </row>
    <row r="100" spans="1:105" ht="11.45" customHeight="1" x14ac:dyDescent="0.25">
      <c r="A100" s="111" t="s">
        <v>111</v>
      </c>
      <c r="B100" s="97">
        <v>52.344894517301682</v>
      </c>
      <c r="C100" s="97">
        <v>51.4501832885719</v>
      </c>
      <c r="D100" s="97">
        <v>50.933482207518608</v>
      </c>
      <c r="E100" s="97">
        <v>50.450551701788889</v>
      </c>
      <c r="F100" s="97">
        <v>49.894312320494834</v>
      </c>
      <c r="G100" s="97">
        <v>49.483443808778325</v>
      </c>
      <c r="H100" s="97">
        <v>49.01093374465902</v>
      </c>
      <c r="I100" s="97">
        <v>48.601167310950331</v>
      </c>
      <c r="J100" s="97">
        <v>48.100026214473964</v>
      </c>
      <c r="K100" s="97">
        <v>47.819149229181257</v>
      </c>
      <c r="L100" s="97">
        <v>47.41223046850741</v>
      </c>
      <c r="M100" s="97">
        <v>47.050786578852346</v>
      </c>
      <c r="N100" s="97">
        <v>46.626146171144299</v>
      </c>
      <c r="O100" s="97">
        <v>46.225349600914704</v>
      </c>
      <c r="P100" s="97">
        <v>45.778265065649862</v>
      </c>
      <c r="Q100" s="97">
        <v>45.339327446895339</v>
      </c>
      <c r="R100" s="97">
        <v>44.871653200869027</v>
      </c>
      <c r="S100" s="97">
        <v>44.375268754229744</v>
      </c>
      <c r="T100" s="97">
        <v>43.895795863815103</v>
      </c>
      <c r="U100" s="97">
        <v>43.579122379134304</v>
      </c>
      <c r="V100" s="97">
        <v>43.340597899473003</v>
      </c>
      <c r="W100" s="97">
        <v>43.169821901105301</v>
      </c>
      <c r="DA100" s="175" t="s">
        <v>872</v>
      </c>
    </row>
    <row r="101" spans="1:105" ht="11.45" customHeight="1" x14ac:dyDescent="0.25">
      <c r="A101" s="111" t="s">
        <v>112</v>
      </c>
      <c r="B101" s="97">
        <v>0</v>
      </c>
      <c r="C101" s="97">
        <v>40.329338822831865</v>
      </c>
      <c r="D101" s="97">
        <v>40.24040205903696</v>
      </c>
      <c r="E101" s="97">
        <v>40.180386846667787</v>
      </c>
      <c r="F101" s="97">
        <v>40.096383289717984</v>
      </c>
      <c r="G101" s="97">
        <v>39.966569010664109</v>
      </c>
      <c r="H101" s="97">
        <v>39.906057679204608</v>
      </c>
      <c r="I101" s="97">
        <v>39.816477863315001</v>
      </c>
      <c r="J101" s="97">
        <v>39.692778152521434</v>
      </c>
      <c r="K101" s="97">
        <v>39.431273627745476</v>
      </c>
      <c r="L101" s="97">
        <v>39.258231662402643</v>
      </c>
      <c r="M101" s="97">
        <v>39.126564895124687</v>
      </c>
      <c r="N101" s="97">
        <v>39.106231778573886</v>
      </c>
      <c r="O101" s="97">
        <v>39.093143851465008</v>
      </c>
      <c r="P101" s="97">
        <v>39.064808735152241</v>
      </c>
      <c r="Q101" s="97">
        <v>38.902863786425478</v>
      </c>
      <c r="R101" s="97">
        <v>38.758646520873071</v>
      </c>
      <c r="S101" s="97">
        <v>38.630080024977524</v>
      </c>
      <c r="T101" s="97">
        <v>38.452904800270666</v>
      </c>
      <c r="U101" s="97">
        <v>36.563107395502279</v>
      </c>
      <c r="V101" s="97">
        <v>35.343055637535684</v>
      </c>
      <c r="W101" s="97">
        <v>34.569556293260177</v>
      </c>
      <c r="DA101" s="175" t="s">
        <v>873</v>
      </c>
    </row>
    <row r="102" spans="1:105" ht="11.45" customHeight="1" x14ac:dyDescent="0.25">
      <c r="A102" s="111" t="s">
        <v>113</v>
      </c>
      <c r="B102" s="97">
        <v>0</v>
      </c>
      <c r="C102" s="97">
        <v>0</v>
      </c>
      <c r="D102" s="97">
        <v>0</v>
      </c>
      <c r="E102" s="97">
        <v>0</v>
      </c>
      <c r="F102" s="97">
        <v>39.891907958359141</v>
      </c>
      <c r="G102" s="97">
        <v>39.891907958359141</v>
      </c>
      <c r="H102" s="97">
        <v>39.846490495066085</v>
      </c>
      <c r="I102" s="97">
        <v>39.550750101286063</v>
      </c>
      <c r="J102" s="97">
        <v>39.294701737179501</v>
      </c>
      <c r="K102" s="97">
        <v>38.908532435184661</v>
      </c>
      <c r="L102" s="97">
        <v>38.67705629839692</v>
      </c>
      <c r="M102" s="97">
        <v>38.634964052936816</v>
      </c>
      <c r="N102" s="97">
        <v>38.557171409006664</v>
      </c>
      <c r="O102" s="97">
        <v>38.255460665880179</v>
      </c>
      <c r="P102" s="97">
        <v>38.097708174227492</v>
      </c>
      <c r="Q102" s="97">
        <v>38.019205307327823</v>
      </c>
      <c r="R102" s="97">
        <v>37.989232234020264</v>
      </c>
      <c r="S102" s="97">
        <v>37.872650637736157</v>
      </c>
      <c r="T102" s="97">
        <v>37.75949247223609</v>
      </c>
      <c r="U102" s="97">
        <v>37.661696341415656</v>
      </c>
      <c r="V102" s="97">
        <v>37.617328997251661</v>
      </c>
      <c r="W102" s="97">
        <v>37.519109110895627</v>
      </c>
      <c r="DA102" s="175" t="s">
        <v>874</v>
      </c>
    </row>
    <row r="103" spans="1:105" ht="11.45" customHeight="1" x14ac:dyDescent="0.25">
      <c r="A103" s="111" t="s">
        <v>115</v>
      </c>
      <c r="B103" s="97">
        <v>30.586565269166179</v>
      </c>
      <c r="C103" s="97">
        <v>29.570638277131476</v>
      </c>
      <c r="D103" s="97">
        <v>29.050243794134769</v>
      </c>
      <c r="E103" s="97">
        <v>28.494202240345025</v>
      </c>
      <c r="F103" s="97">
        <v>28.425752553194041</v>
      </c>
      <c r="G103" s="97">
        <v>27.976533221002125</v>
      </c>
      <c r="H103" s="97">
        <v>27.897396927858544</v>
      </c>
      <c r="I103" s="97">
        <v>27.747484797784733</v>
      </c>
      <c r="J103" s="97">
        <v>27.609856283236798</v>
      </c>
      <c r="K103" s="97">
        <v>27.235798797399976</v>
      </c>
      <c r="L103" s="97">
        <v>26.809539730302617</v>
      </c>
      <c r="M103" s="97">
        <v>26.573904696306709</v>
      </c>
      <c r="N103" s="97">
        <v>25.990994345964914</v>
      </c>
      <c r="O103" s="97">
        <v>25.530429757523279</v>
      </c>
      <c r="P103" s="97">
        <v>25.366107254864712</v>
      </c>
      <c r="Q103" s="97">
        <v>24.949653866861166</v>
      </c>
      <c r="R103" s="97">
        <v>24.299869440582857</v>
      </c>
      <c r="S103" s="97">
        <v>23.970550119635753</v>
      </c>
      <c r="T103" s="97">
        <v>23.617657947037795</v>
      </c>
      <c r="U103" s="97">
        <v>23.153037219663602</v>
      </c>
      <c r="V103" s="97">
        <v>22.948557084918274</v>
      </c>
      <c r="W103" s="97">
        <v>22.785637089727125</v>
      </c>
      <c r="DA103" s="175" t="s">
        <v>875</v>
      </c>
    </row>
    <row r="104" spans="1:105" ht="11.45" customHeight="1" x14ac:dyDescent="0.25">
      <c r="A104" s="27" t="s">
        <v>34</v>
      </c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DA104" s="173"/>
    </row>
    <row r="105" spans="1:105" ht="11.45" customHeight="1" x14ac:dyDescent="0.25">
      <c r="A105" s="136" t="s">
        <v>156</v>
      </c>
      <c r="B105" s="141">
        <v>9.8389741148692593</v>
      </c>
      <c r="C105" s="141">
        <v>9.5884551648304033</v>
      </c>
      <c r="D105" s="141">
        <v>9.4533361306173695</v>
      </c>
      <c r="E105" s="141">
        <v>9.3373492937610596</v>
      </c>
      <c r="F105" s="141">
        <v>9.2070899133097814</v>
      </c>
      <c r="G105" s="141">
        <v>9.0843337593007139</v>
      </c>
      <c r="H105" s="141">
        <v>8.9726531989840801</v>
      </c>
      <c r="I105" s="141">
        <v>8.8634273395262504</v>
      </c>
      <c r="J105" s="141">
        <v>8.7549120589585296</v>
      </c>
      <c r="K105" s="141">
        <v>8.6992243067171735</v>
      </c>
      <c r="L105" s="141">
        <v>8.6652414739219932</v>
      </c>
      <c r="M105" s="141">
        <v>8.5980190658986864</v>
      </c>
      <c r="N105" s="141">
        <v>8.4399607497911759</v>
      </c>
      <c r="O105" s="141">
        <v>8.3329813897810521</v>
      </c>
      <c r="P105" s="141">
        <v>8.2170604766924882</v>
      </c>
      <c r="Q105" s="141">
        <v>8.0530839082389818</v>
      </c>
      <c r="R105" s="141">
        <v>7.9047007464712173</v>
      </c>
      <c r="S105" s="141">
        <v>7.7200968961004248</v>
      </c>
      <c r="T105" s="141">
        <v>7.5505628277631853</v>
      </c>
      <c r="U105" s="141">
        <v>7.3910420438345961</v>
      </c>
      <c r="V105" s="141">
        <v>7.3188069065933208</v>
      </c>
      <c r="W105" s="141">
        <v>7.2352434455318058</v>
      </c>
      <c r="DA105" s="174" t="s">
        <v>876</v>
      </c>
    </row>
    <row r="106" spans="1:105" ht="11.45" customHeight="1" x14ac:dyDescent="0.25">
      <c r="A106" s="111" t="s">
        <v>110</v>
      </c>
      <c r="B106" s="96">
        <v>10.179242709955741</v>
      </c>
      <c r="C106" s="96">
        <v>10.152988333492504</v>
      </c>
      <c r="D106" s="96">
        <v>10.127110654728225</v>
      </c>
      <c r="E106" s="96">
        <v>10.092278667038553</v>
      </c>
      <c r="F106" s="96">
        <v>10.030955471223603</v>
      </c>
      <c r="G106" s="96">
        <v>9.9533716354332142</v>
      </c>
      <c r="H106" s="96">
        <v>9.8476021638561413</v>
      </c>
      <c r="I106" s="96">
        <v>9.7020263854469153</v>
      </c>
      <c r="J106" s="96">
        <v>9.5168956555106199</v>
      </c>
      <c r="K106" s="96">
        <v>9.3094763283241448</v>
      </c>
      <c r="L106" s="96">
        <v>9.1680755525021986</v>
      </c>
      <c r="M106" s="96">
        <v>9.0373508475540643</v>
      </c>
      <c r="N106" s="96">
        <v>8.747413563012751</v>
      </c>
      <c r="O106" s="96">
        <v>8.3863867600439583</v>
      </c>
      <c r="P106" s="96">
        <v>8.0837210023550075</v>
      </c>
      <c r="Q106" s="96">
        <v>7.8131189633320615</v>
      </c>
      <c r="R106" s="96">
        <v>7.5612538480452276</v>
      </c>
      <c r="S106" s="96">
        <v>7.3557002183661506</v>
      </c>
      <c r="T106" s="96">
        <v>7.1021626593799452</v>
      </c>
      <c r="U106" s="96">
        <v>6.8797487405874493</v>
      </c>
      <c r="V106" s="96">
        <v>6.820900008177853</v>
      </c>
      <c r="W106" s="96">
        <v>6.730034575681592</v>
      </c>
      <c r="DA106" s="171" t="s">
        <v>877</v>
      </c>
    </row>
    <row r="107" spans="1:105" ht="11.45" customHeight="1" x14ac:dyDescent="0.25">
      <c r="A107" s="111" t="s">
        <v>111</v>
      </c>
      <c r="B107" s="96">
        <v>9.7864784696352807</v>
      </c>
      <c r="C107" s="96">
        <v>9.4345238416738972</v>
      </c>
      <c r="D107" s="96">
        <v>9.2961067218456606</v>
      </c>
      <c r="E107" s="96">
        <v>9.1691205252474806</v>
      </c>
      <c r="F107" s="96">
        <v>9.0330529194802054</v>
      </c>
      <c r="G107" s="96">
        <v>8.916884305883702</v>
      </c>
      <c r="H107" s="96">
        <v>8.8253760048397059</v>
      </c>
      <c r="I107" s="96">
        <v>8.7384173193142693</v>
      </c>
      <c r="J107" s="96">
        <v>8.6493743184874834</v>
      </c>
      <c r="K107" s="96">
        <v>8.595108103171027</v>
      </c>
      <c r="L107" s="96">
        <v>8.5685417616830346</v>
      </c>
      <c r="M107" s="96">
        <v>8.5309832866716082</v>
      </c>
      <c r="N107" s="96">
        <v>8.3825940758848461</v>
      </c>
      <c r="O107" s="96">
        <v>8.2719313867390962</v>
      </c>
      <c r="P107" s="96">
        <v>8.1530007945412173</v>
      </c>
      <c r="Q107" s="96">
        <v>7.9971409741656201</v>
      </c>
      <c r="R107" s="96">
        <v>7.8427437850751955</v>
      </c>
      <c r="S107" s="96">
        <v>7.646443484643072</v>
      </c>
      <c r="T107" s="96">
        <v>7.481580155029838</v>
      </c>
      <c r="U107" s="96">
        <v>7.3379943794704161</v>
      </c>
      <c r="V107" s="96">
        <v>7.2739612593565157</v>
      </c>
      <c r="W107" s="96">
        <v>7.2246738447708951</v>
      </c>
      <c r="DA107" s="171" t="s">
        <v>878</v>
      </c>
    </row>
    <row r="108" spans="1:105" ht="11.45" customHeight="1" x14ac:dyDescent="0.25">
      <c r="A108" s="111" t="s">
        <v>112</v>
      </c>
      <c r="B108" s="96">
        <v>0</v>
      </c>
      <c r="C108" s="96">
        <v>0</v>
      </c>
      <c r="D108" s="96">
        <v>0</v>
      </c>
      <c r="E108" s="96">
        <v>18.903453023787524</v>
      </c>
      <c r="F108" s="96">
        <v>18.713030250110048</v>
      </c>
      <c r="G108" s="96">
        <v>18.757713111490478</v>
      </c>
      <c r="H108" s="96">
        <v>18.754354280306824</v>
      </c>
      <c r="I108" s="96">
        <v>18.752542579678973</v>
      </c>
      <c r="J108" s="96">
        <v>18.752278836930209</v>
      </c>
      <c r="K108" s="96">
        <v>18.751729809955116</v>
      </c>
      <c r="L108" s="96">
        <v>18.753135171287425</v>
      </c>
      <c r="M108" s="96">
        <v>18.75439663963984</v>
      </c>
      <c r="N108" s="96">
        <v>18.374891349146576</v>
      </c>
      <c r="O108" s="96">
        <v>18.043333513243486</v>
      </c>
      <c r="P108" s="96">
        <v>17.379809588513872</v>
      </c>
      <c r="Q108" s="96">
        <v>16.989894333433025</v>
      </c>
      <c r="R108" s="96">
        <v>18.116258458394263</v>
      </c>
      <c r="S108" s="96">
        <v>17.876028203280221</v>
      </c>
      <c r="T108" s="96">
        <v>17.695417336743702</v>
      </c>
      <c r="U108" s="96">
        <v>17.359130868032889</v>
      </c>
      <c r="V108" s="96">
        <v>16.606353372179573</v>
      </c>
      <c r="W108" s="96">
        <v>15.691904612560011</v>
      </c>
      <c r="DA108" s="171" t="s">
        <v>879</v>
      </c>
    </row>
    <row r="109" spans="1:105" ht="11.45" customHeight="1" x14ac:dyDescent="0.25">
      <c r="A109" s="111" t="s">
        <v>113</v>
      </c>
      <c r="B109" s="96">
        <v>0</v>
      </c>
      <c r="C109" s="96">
        <v>0</v>
      </c>
      <c r="D109" s="96">
        <v>0</v>
      </c>
      <c r="E109" s="96">
        <v>0</v>
      </c>
      <c r="F109" s="96">
        <v>0</v>
      </c>
      <c r="G109" s="96">
        <v>0</v>
      </c>
      <c r="H109" s="96">
        <v>10.788636805000452</v>
      </c>
      <c r="I109" s="96">
        <v>10.679994726086093</v>
      </c>
      <c r="J109" s="96">
        <v>10.199545240749627</v>
      </c>
      <c r="K109" s="96">
        <v>9.8286414563903932</v>
      </c>
      <c r="L109" s="96">
        <v>9.2932861606478951</v>
      </c>
      <c r="M109" s="96">
        <v>8.9416547724881301</v>
      </c>
      <c r="N109" s="96">
        <v>8.7132826913256949</v>
      </c>
      <c r="O109" s="96">
        <v>8.7916732585311426</v>
      </c>
      <c r="P109" s="96">
        <v>8.5997452643180736</v>
      </c>
      <c r="Q109" s="96">
        <v>8.3254411525851779</v>
      </c>
      <c r="R109" s="96">
        <v>7.5213464985866612</v>
      </c>
      <c r="S109" s="96">
        <v>7.3887667742862666</v>
      </c>
      <c r="T109" s="96">
        <v>7.3058707355179964</v>
      </c>
      <c r="U109" s="96">
        <v>7.2019456365999748</v>
      </c>
      <c r="V109" s="96">
        <v>7.0483684892140257</v>
      </c>
      <c r="W109" s="96">
        <v>6.9890852700752619</v>
      </c>
      <c r="DA109" s="171" t="s">
        <v>880</v>
      </c>
    </row>
    <row r="110" spans="1:105" ht="11.45" customHeight="1" x14ac:dyDescent="0.25">
      <c r="A110" s="111" t="s">
        <v>115</v>
      </c>
      <c r="B110" s="96">
        <v>1.9545736660447066</v>
      </c>
      <c r="C110" s="96">
        <v>1.8766596233173385</v>
      </c>
      <c r="D110" s="96">
        <v>1.8689231554874142</v>
      </c>
      <c r="E110" s="96">
        <v>1.8662111838400985</v>
      </c>
      <c r="F110" s="96">
        <v>1.8610431434980064</v>
      </c>
      <c r="G110" s="96">
        <v>1.8546693504161664</v>
      </c>
      <c r="H110" s="96">
        <v>1.8570384845784773</v>
      </c>
      <c r="I110" s="96">
        <v>1.7405518959502011</v>
      </c>
      <c r="J110" s="96">
        <v>1.6834894768246207</v>
      </c>
      <c r="K110" s="96">
        <v>1.572597102915241</v>
      </c>
      <c r="L110" s="96">
        <v>1.5000484559924476</v>
      </c>
      <c r="M110" s="96">
        <v>1.4514944935397023</v>
      </c>
      <c r="N110" s="96">
        <v>1.3935471176844594</v>
      </c>
      <c r="O110" s="96">
        <v>1.3854404855796962</v>
      </c>
      <c r="P110" s="96">
        <v>1.3848795166639796</v>
      </c>
      <c r="Q110" s="96">
        <v>1.3869620312344075</v>
      </c>
      <c r="R110" s="96">
        <v>1.3902826548431939</v>
      </c>
      <c r="S110" s="96">
        <v>1.394886778493633</v>
      </c>
      <c r="T110" s="96">
        <v>1.4101515483507201</v>
      </c>
      <c r="U110" s="96">
        <v>1.4518380029178124</v>
      </c>
      <c r="V110" s="96">
        <v>1.5726817770568622</v>
      </c>
      <c r="W110" s="96">
        <v>1.81719265545165</v>
      </c>
      <c r="DA110" s="171" t="s">
        <v>881</v>
      </c>
    </row>
    <row r="111" spans="1:105" ht="11.45" customHeight="1" x14ac:dyDescent="0.25">
      <c r="A111" s="109" t="s">
        <v>158</v>
      </c>
      <c r="B111" s="130">
        <v>31.726619862865224</v>
      </c>
      <c r="C111" s="130">
        <v>31.620658537480754</v>
      </c>
      <c r="D111" s="130">
        <v>31.495950283626048</v>
      </c>
      <c r="E111" s="130">
        <v>31.325148337028292</v>
      </c>
      <c r="F111" s="130">
        <v>31.159567780036213</v>
      </c>
      <c r="G111" s="130">
        <v>30.945039706738061</v>
      </c>
      <c r="H111" s="130">
        <v>30.711718957217776</v>
      </c>
      <c r="I111" s="130">
        <v>30.473692508231725</v>
      </c>
      <c r="J111" s="130">
        <v>30.20733530878482</v>
      </c>
      <c r="K111" s="130">
        <v>29.904369381963122</v>
      </c>
      <c r="L111" s="130">
        <v>29.655473529219211</v>
      </c>
      <c r="M111" s="130">
        <v>29.537783624258953</v>
      </c>
      <c r="N111" s="130">
        <v>29.305557175073226</v>
      </c>
      <c r="O111" s="130">
        <v>28.83746909235521</v>
      </c>
      <c r="P111" s="130">
        <v>28.399984326618139</v>
      </c>
      <c r="Q111" s="130">
        <v>28.054339197459498</v>
      </c>
      <c r="R111" s="130">
        <v>27.5710622994334</v>
      </c>
      <c r="S111" s="130">
        <v>27.0834389985252</v>
      </c>
      <c r="T111" s="130">
        <v>26.562440116572063</v>
      </c>
      <c r="U111" s="130">
        <v>25.929990859981658</v>
      </c>
      <c r="V111" s="130">
        <v>25.336763178086056</v>
      </c>
      <c r="W111" s="130">
        <v>24.722296490114829</v>
      </c>
      <c r="DA111" s="176" t="s">
        <v>882</v>
      </c>
    </row>
    <row r="112" spans="1:105" ht="11.45" customHeight="1" x14ac:dyDescent="0.25">
      <c r="A112" s="128" t="s">
        <v>27</v>
      </c>
      <c r="B112" s="97">
        <v>30.911228126727099</v>
      </c>
      <c r="C112" s="97">
        <v>30.790254580596407</v>
      </c>
      <c r="D112" s="97">
        <v>30.669519515962556</v>
      </c>
      <c r="E112" s="97">
        <v>30.5246826109633</v>
      </c>
      <c r="F112" s="97">
        <v>30.345913950475772</v>
      </c>
      <c r="G112" s="97">
        <v>30.147341339271481</v>
      </c>
      <c r="H112" s="97">
        <v>29.920246484982126</v>
      </c>
      <c r="I112" s="97">
        <v>29.69011471373042</v>
      </c>
      <c r="J112" s="97">
        <v>29.424214903823621</v>
      </c>
      <c r="K112" s="97">
        <v>29.214362330046594</v>
      </c>
      <c r="L112" s="97">
        <v>28.942120847302974</v>
      </c>
      <c r="M112" s="97">
        <v>28.863997978716306</v>
      </c>
      <c r="N112" s="97">
        <v>28.657564851283052</v>
      </c>
      <c r="O112" s="97">
        <v>28.103603658946284</v>
      </c>
      <c r="P112" s="97">
        <v>27.651365881432447</v>
      </c>
      <c r="Q112" s="97">
        <v>27.347073576426961</v>
      </c>
      <c r="R112" s="97">
        <v>26.87934602342219</v>
      </c>
      <c r="S112" s="97">
        <v>26.429763230545856</v>
      </c>
      <c r="T112" s="97">
        <v>25.917667123063605</v>
      </c>
      <c r="U112" s="97">
        <v>25.263867797009244</v>
      </c>
      <c r="V112" s="97">
        <v>24.646313189003852</v>
      </c>
      <c r="W112" s="97">
        <v>23.990858915177814</v>
      </c>
      <c r="DA112" s="175" t="s">
        <v>883</v>
      </c>
    </row>
    <row r="113" spans="1:105" ht="11.45" customHeight="1" x14ac:dyDescent="0.25">
      <c r="A113" s="138" t="s">
        <v>116</v>
      </c>
      <c r="B113" s="98">
        <v>36.742268041163946</v>
      </c>
      <c r="C113" s="98">
        <v>36.194819973904259</v>
      </c>
      <c r="D113" s="98">
        <v>35.69914099922994</v>
      </c>
      <c r="E113" s="98">
        <v>35.260570967814125</v>
      </c>
      <c r="F113" s="98">
        <v>34.513575300437957</v>
      </c>
      <c r="G113" s="98">
        <v>34.078690912140424</v>
      </c>
      <c r="H113" s="98">
        <v>33.603420651776197</v>
      </c>
      <c r="I113" s="98">
        <v>33.023835381878634</v>
      </c>
      <c r="J113" s="98">
        <v>32.490429803712253</v>
      </c>
      <c r="K113" s="98">
        <v>32.306899184765278</v>
      </c>
      <c r="L113" s="98">
        <v>32.017758706375147</v>
      </c>
      <c r="M113" s="98">
        <v>31.702517408703052</v>
      </c>
      <c r="N113" s="98">
        <v>31.44611973470511</v>
      </c>
      <c r="O113" s="98">
        <v>31.013073360832518</v>
      </c>
      <c r="P113" s="98">
        <v>30.581610578433239</v>
      </c>
      <c r="Q113" s="98">
        <v>30.01764007873027</v>
      </c>
      <c r="R113" s="98">
        <v>29.458571733475825</v>
      </c>
      <c r="S113" s="98">
        <v>28.774629548428521</v>
      </c>
      <c r="T113" s="98">
        <v>28.272476437116879</v>
      </c>
      <c r="U113" s="98">
        <v>27.684148855191332</v>
      </c>
      <c r="V113" s="98">
        <v>27.132227631173699</v>
      </c>
      <c r="W113" s="98">
        <v>26.550849247546612</v>
      </c>
      <c r="DA113" s="178" t="s">
        <v>884</v>
      </c>
    </row>
    <row r="114" spans="1:105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121</v>
      </c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DA115" s="172"/>
    </row>
    <row r="116" spans="1:105" ht="11.45" customHeight="1" x14ac:dyDescent="0.25">
      <c r="A116" s="27" t="s">
        <v>33</v>
      </c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DA116" s="173"/>
    </row>
    <row r="117" spans="1:105" ht="11.45" customHeight="1" x14ac:dyDescent="0.25">
      <c r="A117" s="136" t="s">
        <v>180</v>
      </c>
      <c r="B117" s="150">
        <f>IF(TrRoad_act!B59=0,0,TrRoad_ene!B62/TrRoad_tech!B90)</f>
        <v>1.0725000000065621</v>
      </c>
      <c r="C117" s="150">
        <f>IF(TrRoad_act!C59=0,0,TrRoad_ene!C62/TrRoad_tech!C90)</f>
        <v>1.0728219561730132</v>
      </c>
      <c r="D117" s="150">
        <f>IF(TrRoad_act!D59=0,0,TrRoad_ene!D62/TrRoad_tech!D90)</f>
        <v>1.0753623271949801</v>
      </c>
      <c r="E117" s="150">
        <f>IF(TrRoad_act!E59=0,0,TrRoad_ene!E62/TrRoad_tech!E90)</f>
        <v>1.0797996560853669</v>
      </c>
      <c r="F117" s="150">
        <f>IF(TrRoad_act!F59=0,0,TrRoad_ene!F62/TrRoad_tech!F90)</f>
        <v>1.0757008262138934</v>
      </c>
      <c r="G117" s="150">
        <f>IF(TrRoad_act!G59=0,0,TrRoad_ene!G62/TrRoad_tech!G90)</f>
        <v>1.0780376006162191</v>
      </c>
      <c r="H117" s="150">
        <f>IF(TrRoad_act!H59=0,0,TrRoad_ene!H62/TrRoad_tech!H90)</f>
        <v>1.0813061620202766</v>
      </c>
      <c r="I117" s="150">
        <f>IF(TrRoad_act!I59=0,0,TrRoad_ene!I62/TrRoad_tech!I90)</f>
        <v>1.0860073517050102</v>
      </c>
      <c r="J117" s="150">
        <f>IF(TrRoad_act!J59=0,0,TrRoad_ene!J62/TrRoad_tech!J90)</f>
        <v>1.0959878465118065</v>
      </c>
      <c r="K117" s="150">
        <f>IF(TrRoad_act!K59=0,0,TrRoad_ene!K62/TrRoad_tech!K90)</f>
        <v>1.1100701730499507</v>
      </c>
      <c r="L117" s="150">
        <f>IF(TrRoad_act!L59=0,0,TrRoad_ene!L62/TrRoad_tech!L90)</f>
        <v>1.1165436744114834</v>
      </c>
      <c r="M117" s="150">
        <f>IF(TrRoad_act!M59=0,0,TrRoad_ene!M62/TrRoad_tech!M90)</f>
        <v>1.1228247222467536</v>
      </c>
      <c r="N117" s="150">
        <f>IF(TrRoad_act!N59=0,0,TrRoad_ene!N62/TrRoad_tech!N90)</f>
        <v>1.1260040567553091</v>
      </c>
      <c r="O117" s="150">
        <f>IF(TrRoad_act!O59=0,0,TrRoad_ene!O62/TrRoad_tech!O90)</f>
        <v>1.1508934019503179</v>
      </c>
      <c r="P117" s="150">
        <f>IF(TrRoad_act!P59=0,0,TrRoad_ene!P62/TrRoad_tech!P90)</f>
        <v>1.1689584886541582</v>
      </c>
      <c r="Q117" s="150">
        <f>IF(TrRoad_act!Q59=0,0,TrRoad_ene!Q62/TrRoad_tech!Q90)</f>
        <v>1.1721910883446944</v>
      </c>
      <c r="R117" s="150">
        <f>IF(TrRoad_act!R59=0,0,TrRoad_ene!R62/TrRoad_tech!R90)</f>
        <v>1.1755224243100229</v>
      </c>
      <c r="S117" s="150">
        <f>IF(TrRoad_act!S59=0,0,TrRoad_ene!S62/TrRoad_tech!S90)</f>
        <v>1.2309335364822764</v>
      </c>
      <c r="T117" s="150">
        <f>IF(TrRoad_act!T59=0,0,TrRoad_ene!T62/TrRoad_tech!T90)</f>
        <v>1.2427195042956081</v>
      </c>
      <c r="U117" s="150">
        <f>IF(TrRoad_act!U59=0,0,TrRoad_ene!U62/TrRoad_tech!U90)</f>
        <v>1.2587670488447855</v>
      </c>
      <c r="V117" s="150">
        <f>IF(TrRoad_act!V59=0,0,TrRoad_ene!V62/TrRoad_tech!V90)</f>
        <v>1.2792309426301873</v>
      </c>
      <c r="W117" s="150">
        <f>IF(TrRoad_act!W59=0,0,TrRoad_ene!W62/TrRoad_tech!W90)</f>
        <v>1.2866486044946164</v>
      </c>
      <c r="DA117" s="174"/>
    </row>
    <row r="118" spans="1:105" ht="11.45" customHeight="1" x14ac:dyDescent="0.25">
      <c r="A118" s="109" t="s">
        <v>20</v>
      </c>
      <c r="B118" s="151">
        <f>IF(TrRoad_act!B60=0,0,TrRoad_ene!B63/TrRoad_tech!B91)</f>
        <v>0.89205977210952481</v>
      </c>
      <c r="C118" s="151">
        <f>IF(TrRoad_act!C60=0,0,TrRoad_ene!C63/TrRoad_tech!C91)</f>
        <v>0.92580259571196899</v>
      </c>
      <c r="D118" s="151">
        <f>IF(TrRoad_act!D60=0,0,TrRoad_ene!D63/TrRoad_tech!D91)</f>
        <v>1.0135108672849606</v>
      </c>
      <c r="E118" s="151">
        <f>IF(TrRoad_act!E60=0,0,TrRoad_ene!E63/TrRoad_tech!E91)</f>
        <v>1.0685503022425813</v>
      </c>
      <c r="F118" s="151">
        <f>IF(TrRoad_act!F60=0,0,TrRoad_ene!F63/TrRoad_tech!F91)</f>
        <v>1.081771193359031</v>
      </c>
      <c r="G118" s="151">
        <f>IF(TrRoad_act!G60=0,0,TrRoad_ene!G63/TrRoad_tech!G91)</f>
        <v>1.1031873666829108</v>
      </c>
      <c r="H118" s="151">
        <f>IF(TrRoad_act!H60=0,0,TrRoad_ene!H63/TrRoad_tech!H91)</f>
        <v>1.0899732425969646</v>
      </c>
      <c r="I118" s="151">
        <f>IF(TrRoad_act!I60=0,0,TrRoad_ene!I63/TrRoad_tech!I91)</f>
        <v>1.0960166701821781</v>
      </c>
      <c r="J118" s="151">
        <f>IF(TrRoad_act!J60=0,0,TrRoad_ene!J63/TrRoad_tech!J91)</f>
        <v>1.0967116982591882</v>
      </c>
      <c r="K118" s="151">
        <f>IF(TrRoad_act!K60=0,0,TrRoad_ene!K63/TrRoad_tech!K91)</f>
        <v>1.1043550937946045</v>
      </c>
      <c r="L118" s="151">
        <f>IF(TrRoad_act!L60=0,0,TrRoad_ene!L63/TrRoad_tech!L91)</f>
        <v>1.118507443807419</v>
      </c>
      <c r="M118" s="151">
        <f>IF(TrRoad_act!M60=0,0,TrRoad_ene!M63/TrRoad_tech!M91)</f>
        <v>1.0900941319502004</v>
      </c>
      <c r="N118" s="151">
        <f>IF(TrRoad_act!N60=0,0,TrRoad_ene!N63/TrRoad_tech!N91)</f>
        <v>1.0978189129384401</v>
      </c>
      <c r="O118" s="151">
        <f>IF(TrRoad_act!O60=0,0,TrRoad_ene!O63/TrRoad_tech!O91)</f>
        <v>1.1275470801260814</v>
      </c>
      <c r="P118" s="151">
        <f>IF(TrRoad_act!P60=0,0,TrRoad_ene!P63/TrRoad_tech!P91)</f>
        <v>1.1307611376598206</v>
      </c>
      <c r="Q118" s="151">
        <f>IF(TrRoad_act!Q60=0,0,TrRoad_ene!Q63/TrRoad_tech!Q91)</f>
        <v>1.1549207724005677</v>
      </c>
      <c r="R118" s="151">
        <f>IF(TrRoad_act!R60=0,0,TrRoad_ene!R63/TrRoad_tech!R91)</f>
        <v>1.1642068162982984</v>
      </c>
      <c r="S118" s="151">
        <f>IF(TrRoad_act!S60=0,0,TrRoad_ene!S63/TrRoad_tech!S91)</f>
        <v>1.1743378000548181</v>
      </c>
      <c r="T118" s="151">
        <f>IF(TrRoad_act!T60=0,0,TrRoad_ene!T63/TrRoad_tech!T91)</f>
        <v>1.2163936187995881</v>
      </c>
      <c r="U118" s="151">
        <f>IF(TrRoad_act!U60=0,0,TrRoad_ene!U63/TrRoad_tech!U91)</f>
        <v>1.2443631607405712</v>
      </c>
      <c r="V118" s="151">
        <f>IF(TrRoad_act!V60=0,0,TrRoad_ene!V63/TrRoad_tech!V91)</f>
        <v>1.1793666155773095</v>
      </c>
      <c r="W118" s="151">
        <f>IF(TrRoad_act!W60=0,0,TrRoad_ene!W63/TrRoad_tech!W91)</f>
        <v>1.1827834130946975</v>
      </c>
      <c r="DA118" s="176"/>
    </row>
    <row r="119" spans="1:105" ht="11.45" customHeight="1" x14ac:dyDescent="0.25">
      <c r="A119" s="111" t="s">
        <v>110</v>
      </c>
      <c r="B119" s="91">
        <f>IF(TrRoad_act!B61=0,0,TrRoad_ene!B64/TrRoad_tech!B92)</f>
        <v>0.80823534442942468</v>
      </c>
      <c r="C119" s="91">
        <f>IF(TrRoad_act!C61=0,0,TrRoad_ene!C64/TrRoad_tech!C92)</f>
        <v>0.82559082601636991</v>
      </c>
      <c r="D119" s="91">
        <f>IF(TrRoad_act!D61=0,0,TrRoad_ene!D64/TrRoad_tech!D92)</f>
        <v>0.93248801533754078</v>
      </c>
      <c r="E119" s="91">
        <f>IF(TrRoad_act!E61=0,0,TrRoad_ene!E64/TrRoad_tech!E92)</f>
        <v>0.99962186574693346</v>
      </c>
      <c r="F119" s="91">
        <f>IF(TrRoad_act!F61=0,0,TrRoad_ene!F64/TrRoad_tech!F92)</f>
        <v>1.0233775370501332</v>
      </c>
      <c r="G119" s="91">
        <f>IF(TrRoad_act!G61=0,0,TrRoad_ene!G64/TrRoad_tech!G92)</f>
        <v>1.0467745201681367</v>
      </c>
      <c r="H119" s="91">
        <f>IF(TrRoad_act!H61=0,0,TrRoad_ene!H64/TrRoad_tech!H92)</f>
        <v>1.0530496345854583</v>
      </c>
      <c r="I119" s="91">
        <f>IF(TrRoad_act!I61=0,0,TrRoad_ene!I64/TrRoad_tech!I92)</f>
        <v>1.0731299467376421</v>
      </c>
      <c r="J119" s="91">
        <f>IF(TrRoad_act!J61=0,0,TrRoad_ene!J64/TrRoad_tech!J92)</f>
        <v>1.0868401036372812</v>
      </c>
      <c r="K119" s="91">
        <f>IF(TrRoad_act!K61=0,0,TrRoad_ene!K64/TrRoad_tech!K92)</f>
        <v>1.0935872892448799</v>
      </c>
      <c r="L119" s="91">
        <f>IF(TrRoad_act!L61=0,0,TrRoad_ene!L64/TrRoad_tech!L92)</f>
        <v>1.1041018968013254</v>
      </c>
      <c r="M119" s="91">
        <f>IF(TrRoad_act!M61=0,0,TrRoad_ene!M64/TrRoad_tech!M92)</f>
        <v>1.0832690047293541</v>
      </c>
      <c r="N119" s="91">
        <f>IF(TrRoad_act!N61=0,0,TrRoad_ene!N64/TrRoad_tech!N92)</f>
        <v>1.0898210549593128</v>
      </c>
      <c r="O119" s="91">
        <f>IF(TrRoad_act!O61=0,0,TrRoad_ene!O64/TrRoad_tech!O92)</f>
        <v>1.105567686031943</v>
      </c>
      <c r="P119" s="91">
        <f>IF(TrRoad_act!P61=0,0,TrRoad_ene!P64/TrRoad_tech!P92)</f>
        <v>1.1317538223055179</v>
      </c>
      <c r="Q119" s="91">
        <f>IF(TrRoad_act!Q61=0,0,TrRoad_ene!Q64/TrRoad_tech!Q92)</f>
        <v>1.1797588746072558</v>
      </c>
      <c r="R119" s="91">
        <f>IF(TrRoad_act!R61=0,0,TrRoad_ene!R64/TrRoad_tech!R92)</f>
        <v>1.1999026501661323</v>
      </c>
      <c r="S119" s="91">
        <f>IF(TrRoad_act!S61=0,0,TrRoad_ene!S64/TrRoad_tech!S92)</f>
        <v>1.2194557165909117</v>
      </c>
      <c r="T119" s="91">
        <f>IF(TrRoad_act!T61=0,0,TrRoad_ene!T64/TrRoad_tech!T92)</f>
        <v>1.2757522272744035</v>
      </c>
      <c r="U119" s="91">
        <f>IF(TrRoad_act!U61=0,0,TrRoad_ene!U64/TrRoad_tech!U92)</f>
        <v>1.3047849411602865</v>
      </c>
      <c r="V119" s="91">
        <f>IF(TrRoad_act!V61=0,0,TrRoad_ene!V64/TrRoad_tech!V92)</f>
        <v>1.2085349350912249</v>
      </c>
      <c r="W119" s="91">
        <f>IF(TrRoad_act!W61=0,0,TrRoad_ene!W64/TrRoad_tech!W92)</f>
        <v>1.2137979548972493</v>
      </c>
      <c r="DA119" s="171"/>
    </row>
    <row r="120" spans="1:105" ht="11.45" customHeight="1" x14ac:dyDescent="0.25">
      <c r="A120" s="111" t="s">
        <v>111</v>
      </c>
      <c r="B120" s="91">
        <f>IF(TrRoad_act!B62=0,0,TrRoad_ene!B65/TrRoad_tech!B93)</f>
        <v>1.0060855156785646</v>
      </c>
      <c r="C120" s="91">
        <f>IF(TrRoad_act!C62=0,0,TrRoad_ene!C65/TrRoad_tech!C93)</f>
        <v>1.0620594592816073</v>
      </c>
      <c r="D120" s="91">
        <f>IF(TrRoad_act!D62=0,0,TrRoad_ene!D65/TrRoad_tech!D93)</f>
        <v>1.1172546972375506</v>
      </c>
      <c r="E120" s="91">
        <f>IF(TrRoad_act!E62=0,0,TrRoad_ene!E65/TrRoad_tech!E93)</f>
        <v>1.1532177611887973</v>
      </c>
      <c r="F120" s="91">
        <f>IF(TrRoad_act!F62=0,0,TrRoad_ene!F65/TrRoad_tech!F93)</f>
        <v>1.151142557328789</v>
      </c>
      <c r="G120" s="91">
        <f>IF(TrRoad_act!G62=0,0,TrRoad_ene!G65/TrRoad_tech!G93)</f>
        <v>1.1674327842730763</v>
      </c>
      <c r="H120" s="91">
        <f>IF(TrRoad_act!H62=0,0,TrRoad_ene!H65/TrRoad_tech!H93)</f>
        <v>1.1358750120015713</v>
      </c>
      <c r="I120" s="91">
        <f>IF(TrRoad_act!I62=0,0,TrRoad_ene!I65/TrRoad_tech!I93)</f>
        <v>1.1306599500777219</v>
      </c>
      <c r="J120" s="91">
        <f>IF(TrRoad_act!J62=0,0,TrRoad_ene!J65/TrRoad_tech!J93)</f>
        <v>1.1226422925232233</v>
      </c>
      <c r="K120" s="91">
        <f>IF(TrRoad_act!K62=0,0,TrRoad_ene!K65/TrRoad_tech!K93)</f>
        <v>1.1323533206229455</v>
      </c>
      <c r="L120" s="91">
        <f>IF(TrRoad_act!L62=0,0,TrRoad_ene!L65/TrRoad_tech!L93)</f>
        <v>1.1533233993504635</v>
      </c>
      <c r="M120" s="91">
        <f>IF(TrRoad_act!M62=0,0,TrRoad_ene!M65/TrRoad_tech!M93)</f>
        <v>1.1236246492534681</v>
      </c>
      <c r="N120" s="91">
        <f>IF(TrRoad_act!N62=0,0,TrRoad_ene!N65/TrRoad_tech!N93)</f>
        <v>1.1359567331946383</v>
      </c>
      <c r="O120" s="91">
        <f>IF(TrRoad_act!O62=0,0,TrRoad_ene!O65/TrRoad_tech!O93)</f>
        <v>1.1756556277130321</v>
      </c>
      <c r="P120" s="91">
        <f>IF(TrRoad_act!P62=0,0,TrRoad_ene!P65/TrRoad_tech!P93)</f>
        <v>1.1702627130306009</v>
      </c>
      <c r="Q120" s="91">
        <f>IF(TrRoad_act!Q62=0,0,TrRoad_ene!Q65/TrRoad_tech!Q93)</f>
        <v>1.1854875224378469</v>
      </c>
      <c r="R120" s="91">
        <f>IF(TrRoad_act!R62=0,0,TrRoad_ene!R65/TrRoad_tech!R93)</f>
        <v>1.1935662655181414</v>
      </c>
      <c r="S120" s="91">
        <f>IF(TrRoad_act!S62=0,0,TrRoad_ene!S65/TrRoad_tech!S93)</f>
        <v>1.200682075600362</v>
      </c>
      <c r="T120" s="91">
        <f>IF(TrRoad_act!T62=0,0,TrRoad_ene!T65/TrRoad_tech!T93)</f>
        <v>1.234690083515632</v>
      </c>
      <c r="U120" s="91">
        <f>IF(TrRoad_act!U62=0,0,TrRoad_ene!U65/TrRoad_tech!U93)</f>
        <v>1.2584711232337227</v>
      </c>
      <c r="V120" s="91">
        <f>IF(TrRoad_act!V62=0,0,TrRoad_ene!V65/TrRoad_tech!V93)</f>
        <v>1.2073907090950011</v>
      </c>
      <c r="W120" s="91">
        <f>IF(TrRoad_act!W62=0,0,TrRoad_ene!W65/TrRoad_tech!W93)</f>
        <v>1.2146247105917967</v>
      </c>
      <c r="DA120" s="171"/>
    </row>
    <row r="121" spans="1:105" ht="11.45" customHeight="1" x14ac:dyDescent="0.25">
      <c r="A121" s="111" t="s">
        <v>112</v>
      </c>
      <c r="B121" s="91">
        <f>IF(TrRoad_act!B63=0,0,TrRoad_ene!B66/TrRoad_tech!B94)</f>
        <v>0.87978328371913306</v>
      </c>
      <c r="C121" s="91">
        <f>IF(TrRoad_act!C63=0,0,TrRoad_ene!C66/TrRoad_tech!C94)</f>
        <v>0.93961928542215289</v>
      </c>
      <c r="D121" s="91">
        <f>IF(TrRoad_act!D63=0,0,TrRoad_ene!D66/TrRoad_tech!D94)</f>
        <v>0.93305688316020174</v>
      </c>
      <c r="E121" s="91">
        <f>IF(TrRoad_act!E63=0,0,TrRoad_ene!E66/TrRoad_tech!E94)</f>
        <v>0.93557629525774966</v>
      </c>
      <c r="F121" s="91">
        <f>IF(TrRoad_act!F63=0,0,TrRoad_ene!F66/TrRoad_tech!F94)</f>
        <v>0.95710226772098284</v>
      </c>
      <c r="G121" s="91">
        <f>IF(TrRoad_act!G63=0,0,TrRoad_ene!G66/TrRoad_tech!G94)</f>
        <v>0.90381735868567081</v>
      </c>
      <c r="H121" s="91">
        <f>IF(TrRoad_act!H63=0,0,TrRoad_ene!H66/TrRoad_tech!H94)</f>
        <v>0.8841602808512955</v>
      </c>
      <c r="I121" s="91">
        <f>IF(TrRoad_act!I63=0,0,TrRoad_ene!I66/TrRoad_tech!I94)</f>
        <v>0.89179109030305115</v>
      </c>
      <c r="J121" s="91">
        <f>IF(TrRoad_act!J63=0,0,TrRoad_ene!J66/TrRoad_tech!J94)</f>
        <v>0.92752157160696913</v>
      </c>
      <c r="K121" s="91">
        <f>IF(TrRoad_act!K63=0,0,TrRoad_ene!K66/TrRoad_tech!K94)</f>
        <v>0.96649616763887602</v>
      </c>
      <c r="L121" s="91">
        <f>IF(TrRoad_act!L63=0,0,TrRoad_ene!L66/TrRoad_tech!L94)</f>
        <v>0.95684075436826221</v>
      </c>
      <c r="M121" s="91">
        <f>IF(TrRoad_act!M63=0,0,TrRoad_ene!M66/TrRoad_tech!M94)</f>
        <v>0.91073576356756647</v>
      </c>
      <c r="N121" s="91">
        <f>IF(TrRoad_act!N63=0,0,TrRoad_ene!N66/TrRoad_tech!N94)</f>
        <v>0.92550522044394212</v>
      </c>
      <c r="O121" s="91">
        <f>IF(TrRoad_act!O63=0,0,TrRoad_ene!O66/TrRoad_tech!O94)</f>
        <v>0.91745781724871012</v>
      </c>
      <c r="P121" s="91">
        <f>IF(TrRoad_act!P63=0,0,TrRoad_ene!P66/TrRoad_tech!P94)</f>
        <v>0.86926041585274139</v>
      </c>
      <c r="Q121" s="91">
        <f>IF(TrRoad_act!Q63=0,0,TrRoad_ene!Q66/TrRoad_tech!Q94)</f>
        <v>0.85911309421955762</v>
      </c>
      <c r="R121" s="91">
        <f>IF(TrRoad_act!R63=0,0,TrRoad_ene!R66/TrRoad_tech!R94)</f>
        <v>0.9651487596040107</v>
      </c>
      <c r="S121" s="91">
        <f>IF(TrRoad_act!S63=0,0,TrRoad_ene!S66/TrRoad_tech!S94)</f>
        <v>1.0328520514414037</v>
      </c>
      <c r="T121" s="91">
        <f>IF(TrRoad_act!T63=0,0,TrRoad_ene!T66/TrRoad_tech!T94)</f>
        <v>0.95170058572022531</v>
      </c>
      <c r="U121" s="91">
        <f>IF(TrRoad_act!U63=0,0,TrRoad_ene!U66/TrRoad_tech!U94)</f>
        <v>1.0672142844193926</v>
      </c>
      <c r="V121" s="91">
        <f>IF(TrRoad_act!V63=0,0,TrRoad_ene!V66/TrRoad_tech!V94)</f>
        <v>0.84995390628739598</v>
      </c>
      <c r="W121" s="91">
        <f>IF(TrRoad_act!W63=0,0,TrRoad_ene!W66/TrRoad_tech!W94)</f>
        <v>0.65225821000043893</v>
      </c>
      <c r="DA121" s="171"/>
    </row>
    <row r="122" spans="1:105" ht="11.45" customHeight="1" x14ac:dyDescent="0.25">
      <c r="A122" s="111" t="s">
        <v>113</v>
      </c>
      <c r="B122" s="91">
        <f>IF(TrRoad_act!B64=0,0,TrRoad_ene!B67/TrRoad_tech!B95)</f>
        <v>0</v>
      </c>
      <c r="C122" s="91">
        <f>IF(TrRoad_act!C64=0,0,TrRoad_ene!C67/TrRoad_tech!C95)</f>
        <v>0</v>
      </c>
      <c r="D122" s="91">
        <f>IF(TrRoad_act!D64=0,0,TrRoad_ene!D67/TrRoad_tech!D95)</f>
        <v>0</v>
      </c>
      <c r="E122" s="91">
        <f>IF(TrRoad_act!E64=0,0,TrRoad_ene!E67/TrRoad_tech!E95)</f>
        <v>0</v>
      </c>
      <c r="F122" s="91">
        <f>IF(TrRoad_act!F64=0,0,TrRoad_ene!F67/TrRoad_tech!F95)</f>
        <v>0</v>
      </c>
      <c r="G122" s="91">
        <f>IF(TrRoad_act!G64=0,0,TrRoad_ene!G67/TrRoad_tech!G95)</f>
        <v>0</v>
      </c>
      <c r="H122" s="91">
        <f>IF(TrRoad_act!H64=0,0,TrRoad_ene!H67/TrRoad_tech!H95)</f>
        <v>1.0400000000040801</v>
      </c>
      <c r="I122" s="91">
        <f>IF(TrRoad_act!I64=0,0,TrRoad_ene!I67/TrRoad_tech!I95)</f>
        <v>1.0424953785324766</v>
      </c>
      <c r="J122" s="91">
        <f>IF(TrRoad_act!J64=0,0,TrRoad_ene!J67/TrRoad_tech!J95)</f>
        <v>1.0460774269468682</v>
      </c>
      <c r="K122" s="91">
        <f>IF(TrRoad_act!K64=0,0,TrRoad_ene!K67/TrRoad_tech!K95)</f>
        <v>1.0469720381375454</v>
      </c>
      <c r="L122" s="91">
        <f>IF(TrRoad_act!L64=0,0,TrRoad_ene!L67/TrRoad_tech!L95)</f>
        <v>1.0494248824012815</v>
      </c>
      <c r="M122" s="91">
        <f>IF(TrRoad_act!M64=0,0,TrRoad_ene!M67/TrRoad_tech!M95)</f>
        <v>1.0547088345308935</v>
      </c>
      <c r="N122" s="91">
        <f>IF(TrRoad_act!N64=0,0,TrRoad_ene!N67/TrRoad_tech!N95)</f>
        <v>1.0564639574080261</v>
      </c>
      <c r="O122" s="91">
        <f>IF(TrRoad_act!O64=0,0,TrRoad_ene!O67/TrRoad_tech!O95)</f>
        <v>1.0589112500260514</v>
      </c>
      <c r="P122" s="91">
        <f>IF(TrRoad_act!P64=0,0,TrRoad_ene!P67/TrRoad_tech!P95)</f>
        <v>1.0624074755256208</v>
      </c>
      <c r="Q122" s="91">
        <f>IF(TrRoad_act!Q64=0,0,TrRoad_ene!Q67/TrRoad_tech!Q95)</f>
        <v>1.0659227134449651</v>
      </c>
      <c r="R122" s="91">
        <f>IF(TrRoad_act!R64=0,0,TrRoad_ene!R67/TrRoad_tech!R95)</f>
        <v>1.068697320198136</v>
      </c>
      <c r="S122" s="91">
        <f>IF(TrRoad_act!S64=0,0,TrRoad_ene!S67/TrRoad_tech!S95)</f>
        <v>1.0714941747815052</v>
      </c>
      <c r="T122" s="91">
        <f>IF(TrRoad_act!T64=0,0,TrRoad_ene!T67/TrRoad_tech!T95)</f>
        <v>1.0752371664820928</v>
      </c>
      <c r="U122" s="91">
        <f>IF(TrRoad_act!U64=0,0,TrRoad_ene!U67/TrRoad_tech!U95)</f>
        <v>1.0788047197719388</v>
      </c>
      <c r="V122" s="91">
        <f>IF(TrRoad_act!V64=0,0,TrRoad_ene!V67/TrRoad_tech!V95)</f>
        <v>1.0814828152316502</v>
      </c>
      <c r="W122" s="91">
        <f>IF(TrRoad_act!W64=0,0,TrRoad_ene!W67/TrRoad_tech!W95)</f>
        <v>1.0830106982364782</v>
      </c>
      <c r="DA122" s="171"/>
    </row>
    <row r="123" spans="1:105" ht="11.45" customHeight="1" x14ac:dyDescent="0.25">
      <c r="A123" s="111" t="s">
        <v>114</v>
      </c>
      <c r="B123" s="91">
        <f>IF(TrRoad_act!B65=0,0,TrRoad_ene!B68/TrRoad_tech!B96)</f>
        <v>0</v>
      </c>
      <c r="C123" s="91">
        <f>IF(TrRoad_act!C65=0,0,TrRoad_ene!C68/TrRoad_tech!C96)</f>
        <v>0</v>
      </c>
      <c r="D123" s="91">
        <f>IF(TrRoad_act!D65=0,0,TrRoad_ene!D68/TrRoad_tech!D96)</f>
        <v>0</v>
      </c>
      <c r="E123" s="91">
        <f>IF(TrRoad_act!E65=0,0,TrRoad_ene!E68/TrRoad_tech!E96)</f>
        <v>0</v>
      </c>
      <c r="F123" s="91">
        <f>IF(TrRoad_act!F65=0,0,TrRoad_ene!F68/TrRoad_tech!F96)</f>
        <v>0</v>
      </c>
      <c r="G123" s="91">
        <f>IF(TrRoad_act!G65=0,0,TrRoad_ene!G68/TrRoad_tech!G96)</f>
        <v>0</v>
      </c>
      <c r="H123" s="91">
        <f>IF(TrRoad_act!H65=0,0,TrRoad_ene!H68/TrRoad_tech!H96)</f>
        <v>0</v>
      </c>
      <c r="I123" s="91">
        <f>IF(TrRoad_act!I65=0,0,TrRoad_ene!I68/TrRoad_tech!I96)</f>
        <v>0</v>
      </c>
      <c r="J123" s="91">
        <f>IF(TrRoad_act!J65=0,0,TrRoad_ene!J68/TrRoad_tech!J96)</f>
        <v>0</v>
      </c>
      <c r="K123" s="91">
        <f>IF(TrRoad_act!K65=0,0,TrRoad_ene!K68/TrRoad_tech!K96)</f>
        <v>0</v>
      </c>
      <c r="L123" s="91">
        <f>IF(TrRoad_act!L65=0,0,TrRoad_ene!L68/TrRoad_tech!L96)</f>
        <v>0</v>
      </c>
      <c r="M123" s="91">
        <f>IF(TrRoad_act!M65=0,0,TrRoad_ene!M68/TrRoad_tech!M96)</f>
        <v>1.0934807157214117</v>
      </c>
      <c r="N123" s="91">
        <f>IF(TrRoad_act!N65=0,0,TrRoad_ene!N68/TrRoad_tech!N96)</f>
        <v>1.0977426555062308</v>
      </c>
      <c r="O123" s="91">
        <f>IF(TrRoad_act!O65=0,0,TrRoad_ene!O68/TrRoad_tech!O96)</f>
        <v>1.100830247837308</v>
      </c>
      <c r="P123" s="91">
        <f>IF(TrRoad_act!P65=0,0,TrRoad_ene!P68/TrRoad_tech!P96)</f>
        <v>1.1212544580173647</v>
      </c>
      <c r="Q123" s="91">
        <f>IF(TrRoad_act!Q65=0,0,TrRoad_ene!Q68/TrRoad_tech!Q96)</f>
        <v>1.1599692680556548</v>
      </c>
      <c r="R123" s="91">
        <f>IF(TrRoad_act!R65=0,0,TrRoad_ene!R68/TrRoad_tech!R96)</f>
        <v>1.1814534533662986</v>
      </c>
      <c r="S123" s="91">
        <f>IF(TrRoad_act!S65=0,0,TrRoad_ene!S68/TrRoad_tech!S96)</f>
        <v>1.1957473393303468</v>
      </c>
      <c r="T123" s="91">
        <f>IF(TrRoad_act!T65=0,0,TrRoad_ene!T68/TrRoad_tech!T96)</f>
        <v>1.2318475599342797</v>
      </c>
      <c r="U123" s="91">
        <f>IF(TrRoad_act!U65=0,0,TrRoad_ene!U68/TrRoad_tech!U96)</f>
        <v>1.2448722020308198</v>
      </c>
      <c r="V123" s="91">
        <f>IF(TrRoad_act!V65=0,0,TrRoad_ene!V68/TrRoad_tech!V96)</f>
        <v>1.1756165849226659</v>
      </c>
      <c r="W123" s="91">
        <f>IF(TrRoad_act!W65=0,0,TrRoad_ene!W68/TrRoad_tech!W96)</f>
        <v>1.1716450116949559</v>
      </c>
      <c r="DA123" s="171"/>
    </row>
    <row r="124" spans="1:105" ht="11.45" customHeight="1" x14ac:dyDescent="0.25">
      <c r="A124" s="111" t="s">
        <v>115</v>
      </c>
      <c r="B124" s="91">
        <f>IF(TrRoad_act!B66=0,0,TrRoad_ene!B69/TrRoad_tech!B97)</f>
        <v>0</v>
      </c>
      <c r="C124" s="91">
        <f>IF(TrRoad_act!C66=0,0,TrRoad_ene!C69/TrRoad_tech!C97)</f>
        <v>0</v>
      </c>
      <c r="D124" s="91">
        <f>IF(TrRoad_act!D66=0,0,TrRoad_ene!D69/TrRoad_tech!D97)</f>
        <v>0</v>
      </c>
      <c r="E124" s="91">
        <f>IF(TrRoad_act!E66=0,0,TrRoad_ene!E69/TrRoad_tech!E97)</f>
        <v>0</v>
      </c>
      <c r="F124" s="91">
        <f>IF(TrRoad_act!F66=0,0,TrRoad_ene!F69/TrRoad_tech!F97)</f>
        <v>0</v>
      </c>
      <c r="G124" s="91">
        <f>IF(TrRoad_act!G66=0,0,TrRoad_ene!G69/TrRoad_tech!G97)</f>
        <v>0</v>
      </c>
      <c r="H124" s="91">
        <f>IF(TrRoad_act!H66=0,0,TrRoad_ene!H69/TrRoad_tech!H97)</f>
        <v>0</v>
      </c>
      <c r="I124" s="91">
        <f>IF(TrRoad_act!I66=0,0,TrRoad_ene!I69/TrRoad_tech!I97)</f>
        <v>0</v>
      </c>
      <c r="J124" s="91">
        <f>IF(TrRoad_act!J66=0,0,TrRoad_ene!J69/TrRoad_tech!J97)</f>
        <v>1.0470370370414099</v>
      </c>
      <c r="K124" s="91">
        <f>IF(TrRoad_act!K66=0,0,TrRoad_ene!K69/TrRoad_tech!K97)</f>
        <v>1.0510869205689446</v>
      </c>
      <c r="L124" s="91">
        <f>IF(TrRoad_act!L66=0,0,TrRoad_ene!L69/TrRoad_tech!L97)</f>
        <v>1.0525471061485698</v>
      </c>
      <c r="M124" s="91">
        <f>IF(TrRoad_act!M66=0,0,TrRoad_ene!M69/TrRoad_tech!M97)</f>
        <v>1.0576850549262089</v>
      </c>
      <c r="N124" s="91">
        <f>IF(TrRoad_act!N66=0,0,TrRoad_ene!N69/TrRoad_tech!N97)</f>
        <v>1.0602801558865895</v>
      </c>
      <c r="O124" s="91">
        <f>IF(TrRoad_act!O66=0,0,TrRoad_ene!O69/TrRoad_tech!O97)</f>
        <v>1.0640505212633049</v>
      </c>
      <c r="P124" s="91">
        <f>IF(TrRoad_act!P66=0,0,TrRoad_ene!P69/TrRoad_tech!P97)</f>
        <v>1.0693730964437347</v>
      </c>
      <c r="Q124" s="91">
        <f>IF(TrRoad_act!Q66=0,0,TrRoad_ene!Q69/TrRoad_tech!Q97)</f>
        <v>1.0748239726934827</v>
      </c>
      <c r="R124" s="91">
        <f>IF(TrRoad_act!R66=0,0,TrRoad_ene!R69/TrRoad_tech!R97)</f>
        <v>1.0811177865102282</v>
      </c>
      <c r="S124" s="91">
        <f>IF(TrRoad_act!S66=0,0,TrRoad_ene!S69/TrRoad_tech!S97)</f>
        <v>1.0853161802165618</v>
      </c>
      <c r="T124" s="91">
        <f>IF(TrRoad_act!T66=0,0,TrRoad_ene!T69/TrRoad_tech!T97)</f>
        <v>1.0890438998317764</v>
      </c>
      <c r="U124" s="91">
        <f>IF(TrRoad_act!U66=0,0,TrRoad_ene!U69/TrRoad_tech!U97)</f>
        <v>1.0920161793079921</v>
      </c>
      <c r="V124" s="91">
        <f>IF(TrRoad_act!V66=0,0,TrRoad_ene!V69/TrRoad_tech!V97)</f>
        <v>1.0946958788341783</v>
      </c>
      <c r="W124" s="91">
        <f>IF(TrRoad_act!W66=0,0,TrRoad_ene!W69/TrRoad_tech!W97)</f>
        <v>1.0969395896219116</v>
      </c>
      <c r="DA124" s="171"/>
    </row>
    <row r="125" spans="1:105" ht="11.45" customHeight="1" x14ac:dyDescent="0.25">
      <c r="A125" s="109" t="s">
        <v>21</v>
      </c>
      <c r="B125" s="151">
        <f>IF(TrRoad_act!B67=0,0,TrRoad_ene!B70/TrRoad_tech!B98)</f>
        <v>1.100527076200853</v>
      </c>
      <c r="C125" s="151">
        <f>IF(TrRoad_act!C67=0,0,TrRoad_ene!C70/TrRoad_tech!C98)</f>
        <v>1.0963678654054494</v>
      </c>
      <c r="D125" s="151">
        <f>IF(TrRoad_act!D67=0,0,TrRoad_ene!D70/TrRoad_tech!D98)</f>
        <v>1.0962987034110565</v>
      </c>
      <c r="E125" s="151">
        <f>IF(TrRoad_act!E67=0,0,TrRoad_ene!E70/TrRoad_tech!E98)</f>
        <v>1.0965774709538576</v>
      </c>
      <c r="F125" s="151">
        <f>IF(TrRoad_act!F67=0,0,TrRoad_ene!F70/TrRoad_tech!F98)</f>
        <v>1.0981421143495245</v>
      </c>
      <c r="G125" s="151">
        <f>IF(TrRoad_act!G67=0,0,TrRoad_ene!G70/TrRoad_tech!G98)</f>
        <v>1.1011901862582172</v>
      </c>
      <c r="H125" s="151">
        <f>IF(TrRoad_act!H67=0,0,TrRoad_ene!H70/TrRoad_tech!H98)</f>
        <v>1.1053530918740777</v>
      </c>
      <c r="I125" s="151">
        <f>IF(TrRoad_act!I67=0,0,TrRoad_ene!I70/TrRoad_tech!I98)</f>
        <v>1.1116964493968504</v>
      </c>
      <c r="J125" s="151">
        <f>IF(TrRoad_act!J67=0,0,TrRoad_ene!J70/TrRoad_tech!J98)</f>
        <v>1.1204221726841148</v>
      </c>
      <c r="K125" s="151">
        <f>IF(TrRoad_act!K67=0,0,TrRoad_ene!K70/TrRoad_tech!K98)</f>
        <v>1.1267325731893048</v>
      </c>
      <c r="L125" s="151">
        <f>IF(TrRoad_act!L67=0,0,TrRoad_ene!L70/TrRoad_tech!L98)</f>
        <v>1.1352339072994144</v>
      </c>
      <c r="M125" s="151">
        <f>IF(TrRoad_act!M67=0,0,TrRoad_ene!M70/TrRoad_tech!M98)</f>
        <v>1.1384208761482566</v>
      </c>
      <c r="N125" s="151">
        <f>IF(TrRoad_act!N67=0,0,TrRoad_ene!N70/TrRoad_tech!N98)</f>
        <v>1.1475900303971649</v>
      </c>
      <c r="O125" s="151">
        <f>IF(TrRoad_act!O67=0,0,TrRoad_ene!O70/TrRoad_tech!O98)</f>
        <v>1.1546918935898349</v>
      </c>
      <c r="P125" s="151">
        <f>IF(TrRoad_act!P67=0,0,TrRoad_ene!P70/TrRoad_tech!P98)</f>
        <v>1.1695061101687365</v>
      </c>
      <c r="Q125" s="151">
        <f>IF(TrRoad_act!Q67=0,0,TrRoad_ene!Q70/TrRoad_tech!Q98)</f>
        <v>1.1840482134702341</v>
      </c>
      <c r="R125" s="151">
        <f>IF(TrRoad_act!R67=0,0,TrRoad_ene!R70/TrRoad_tech!R98)</f>
        <v>1.2168781392549526</v>
      </c>
      <c r="S125" s="151">
        <f>IF(TrRoad_act!S67=0,0,TrRoad_ene!S70/TrRoad_tech!S98)</f>
        <v>1.2392072926691131</v>
      </c>
      <c r="T125" s="151">
        <f>IF(TrRoad_act!T67=0,0,TrRoad_ene!T70/TrRoad_tech!T98)</f>
        <v>1.2622078830750068</v>
      </c>
      <c r="U125" s="151">
        <f>IF(TrRoad_act!U67=0,0,TrRoad_ene!U70/TrRoad_tech!U98)</f>
        <v>1.2773810126200296</v>
      </c>
      <c r="V125" s="151">
        <f>IF(TrRoad_act!V67=0,0,TrRoad_ene!V70/TrRoad_tech!V98)</f>
        <v>1.2900803557231471</v>
      </c>
      <c r="W125" s="151">
        <f>IF(TrRoad_act!W67=0,0,TrRoad_ene!W70/TrRoad_tech!W98)</f>
        <v>1.3002715626016559</v>
      </c>
      <c r="DA125" s="176"/>
    </row>
    <row r="126" spans="1:105" ht="11.45" customHeight="1" x14ac:dyDescent="0.25">
      <c r="A126" s="111" t="s">
        <v>110</v>
      </c>
      <c r="B126" s="93">
        <f>IF(TrRoad_act!B68=0,0,TrRoad_ene!B71/TrRoad_tech!B99)</f>
        <v>1.1000000000067303</v>
      </c>
      <c r="C126" s="93">
        <f>IF(TrRoad_act!C68=0,0,TrRoad_ene!C71/TrRoad_tech!C99)</f>
        <v>1.1003436128795512</v>
      </c>
      <c r="D126" s="93">
        <f>IF(TrRoad_act!D68=0,0,TrRoad_ene!D71/TrRoad_tech!D99)</f>
        <v>1.1004116695896342</v>
      </c>
      <c r="E126" s="93">
        <f>IF(TrRoad_act!E68=0,0,TrRoad_ene!E71/TrRoad_tech!E99)</f>
        <v>1.1004516931953725</v>
      </c>
      <c r="F126" s="93">
        <f>IF(TrRoad_act!F68=0,0,TrRoad_ene!F71/TrRoad_tech!F99)</f>
        <v>1.1005090260602188</v>
      </c>
      <c r="G126" s="93">
        <f>IF(TrRoad_act!G68=0,0,TrRoad_ene!G71/TrRoad_tech!G99)</f>
        <v>1.1006083502919723</v>
      </c>
      <c r="H126" s="93">
        <f>IF(TrRoad_act!H68=0,0,TrRoad_ene!H71/TrRoad_tech!H99)</f>
        <v>1.1007000108201876</v>
      </c>
      <c r="I126" s="93">
        <f>IF(TrRoad_act!I68=0,0,TrRoad_ene!I71/TrRoad_tech!I99)</f>
        <v>1.1113681154239763</v>
      </c>
      <c r="J126" s="93">
        <f>IF(TrRoad_act!J68=0,0,TrRoad_ene!J71/TrRoad_tech!J99)</f>
        <v>1.1132727411950119</v>
      </c>
      <c r="K126" s="93">
        <f>IF(TrRoad_act!K68=0,0,TrRoad_ene!K71/TrRoad_tech!K99)</f>
        <v>1.1164693897234943</v>
      </c>
      <c r="L126" s="93">
        <f>IF(TrRoad_act!L68=0,0,TrRoad_ene!L71/TrRoad_tech!L99)</f>
        <v>1.1164693897234943</v>
      </c>
      <c r="M126" s="93">
        <f>IF(TrRoad_act!M68=0,0,TrRoad_ene!M71/TrRoad_tech!M99)</f>
        <v>1.1216943169031683</v>
      </c>
      <c r="N126" s="93">
        <f>IF(TrRoad_act!N68=0,0,TrRoad_ene!N71/TrRoad_tech!N99)</f>
        <v>1.1216943169031686</v>
      </c>
      <c r="O126" s="93">
        <f>IF(TrRoad_act!O68=0,0,TrRoad_ene!O71/TrRoad_tech!O99)</f>
        <v>1.131774943311302</v>
      </c>
      <c r="P126" s="93">
        <f>IF(TrRoad_act!P68=0,0,TrRoad_ene!P71/TrRoad_tech!P99)</f>
        <v>1.1826573612104101</v>
      </c>
      <c r="Q126" s="93">
        <f>IF(TrRoad_act!Q68=0,0,TrRoad_ene!Q71/TrRoad_tech!Q99)</f>
        <v>1.1826573612104101</v>
      </c>
      <c r="R126" s="93">
        <f>IF(TrRoad_act!R68=0,0,TrRoad_ene!R71/TrRoad_tech!R99)</f>
        <v>1.2196109827620574</v>
      </c>
      <c r="S126" s="93">
        <f>IF(TrRoad_act!S68=0,0,TrRoad_ene!S71/TrRoad_tech!S99)</f>
        <v>1.2196109827620571</v>
      </c>
      <c r="T126" s="93">
        <f>IF(TrRoad_act!T68=0,0,TrRoad_ene!T71/TrRoad_tech!T99)</f>
        <v>1.2196109827620571</v>
      </c>
      <c r="U126" s="93">
        <f>IF(TrRoad_act!U68=0,0,TrRoad_ene!U71/TrRoad_tech!U99)</f>
        <v>1.2196109827620571</v>
      </c>
      <c r="V126" s="93">
        <f>IF(TrRoad_act!V68=0,0,TrRoad_ene!V71/TrRoad_tech!V99)</f>
        <v>1.252186497520245</v>
      </c>
      <c r="W126" s="93">
        <f>IF(TrRoad_act!W68=0,0,TrRoad_ene!W71/TrRoad_tech!W99)</f>
        <v>1.2837488247312976</v>
      </c>
      <c r="DA126" s="175"/>
    </row>
    <row r="127" spans="1:105" ht="11.45" customHeight="1" x14ac:dyDescent="0.25">
      <c r="A127" s="111" t="s">
        <v>111</v>
      </c>
      <c r="B127" s="93">
        <f>IF(TrRoad_act!B69=0,0,TrRoad_ene!B72/TrRoad_tech!B100)</f>
        <v>1.1000000000067305</v>
      </c>
      <c r="C127" s="93">
        <f>IF(TrRoad_act!C69=0,0,TrRoad_ene!C72/TrRoad_tech!C100)</f>
        <v>1.1002989987444876</v>
      </c>
      <c r="D127" s="93">
        <f>IF(TrRoad_act!D69=0,0,TrRoad_ene!D72/TrRoad_tech!D100)</f>
        <v>1.1011678969463587</v>
      </c>
      <c r="E127" s="93">
        <f>IF(TrRoad_act!E69=0,0,TrRoad_ene!E72/TrRoad_tech!E100)</f>
        <v>1.1027090195782412</v>
      </c>
      <c r="F127" s="93">
        <f>IF(TrRoad_act!F69=0,0,TrRoad_ene!F72/TrRoad_tech!F100)</f>
        <v>1.1054555427603361</v>
      </c>
      <c r="G127" s="93">
        <f>IF(TrRoad_act!G69=0,0,TrRoad_ene!G72/TrRoad_tech!G100)</f>
        <v>1.10811630367299</v>
      </c>
      <c r="H127" s="93">
        <f>IF(TrRoad_act!H69=0,0,TrRoad_ene!H72/TrRoad_tech!H100)</f>
        <v>1.1125349476160749</v>
      </c>
      <c r="I127" s="93">
        <f>IF(TrRoad_act!I69=0,0,TrRoad_ene!I72/TrRoad_tech!I100)</f>
        <v>1.1174732065788016</v>
      </c>
      <c r="J127" s="93">
        <f>IF(TrRoad_act!J69=0,0,TrRoad_ene!J72/TrRoad_tech!J100)</f>
        <v>1.1248152225649788</v>
      </c>
      <c r="K127" s="93">
        <f>IF(TrRoad_act!K69=0,0,TrRoad_ene!K72/TrRoad_tech!K100)</f>
        <v>1.1299336340201931</v>
      </c>
      <c r="L127" s="93">
        <f>IF(TrRoad_act!L69=0,0,TrRoad_ene!L72/TrRoad_tech!L100)</f>
        <v>1.1375924521207657</v>
      </c>
      <c r="M127" s="93">
        <f>IF(TrRoad_act!M69=0,0,TrRoad_ene!M72/TrRoad_tech!M100)</f>
        <v>1.1453484184377105</v>
      </c>
      <c r="N127" s="93">
        <f>IF(TrRoad_act!N69=0,0,TrRoad_ene!N72/TrRoad_tech!N100)</f>
        <v>1.1561046017865955</v>
      </c>
      <c r="O127" s="93">
        <f>IF(TrRoad_act!O69=0,0,TrRoad_ene!O72/TrRoad_tech!O100)</f>
        <v>1.1678512985449818</v>
      </c>
      <c r="P127" s="93">
        <f>IF(TrRoad_act!P69=0,0,TrRoad_ene!P72/TrRoad_tech!P100)</f>
        <v>1.1832248454196075</v>
      </c>
      <c r="Q127" s="93">
        <f>IF(TrRoad_act!Q69=0,0,TrRoad_ene!Q72/TrRoad_tech!Q100)</f>
        <v>1.200237754673197</v>
      </c>
      <c r="R127" s="93">
        <f>IF(TrRoad_act!R69=0,0,TrRoad_ene!R72/TrRoad_tech!R100)</f>
        <v>1.220056448459762</v>
      </c>
      <c r="S127" s="93">
        <f>IF(TrRoad_act!S69=0,0,TrRoad_ene!S72/TrRoad_tech!S100)</f>
        <v>1.2428999549057913</v>
      </c>
      <c r="T127" s="93">
        <f>IF(TrRoad_act!T69=0,0,TrRoad_ene!T72/TrRoad_tech!T100)</f>
        <v>1.2661843387535461</v>
      </c>
      <c r="U127" s="93">
        <f>IF(TrRoad_act!U69=0,0,TrRoad_ene!U72/TrRoad_tech!U100)</f>
        <v>1.2833182175905726</v>
      </c>
      <c r="V127" s="93">
        <f>IF(TrRoad_act!V69=0,0,TrRoad_ene!V72/TrRoad_tech!V100)</f>
        <v>1.2968645643729986</v>
      </c>
      <c r="W127" s="93">
        <f>IF(TrRoad_act!W69=0,0,TrRoad_ene!W72/TrRoad_tech!W100)</f>
        <v>1.3072265047189937</v>
      </c>
      <c r="DA127" s="175"/>
    </row>
    <row r="128" spans="1:105" ht="11.45" customHeight="1" x14ac:dyDescent="0.25">
      <c r="A128" s="111" t="s">
        <v>112</v>
      </c>
      <c r="B128" s="93">
        <f>IF(TrRoad_act!B70=0,0,TrRoad_ene!B73/TrRoad_tech!B101)</f>
        <v>0</v>
      </c>
      <c r="C128" s="93">
        <f>IF(TrRoad_act!C70=0,0,TrRoad_ene!C73/TrRoad_tech!C101)</f>
        <v>1.1040000000061811</v>
      </c>
      <c r="D128" s="93">
        <f>IF(TrRoad_act!D70=0,0,TrRoad_ene!D73/TrRoad_tech!D101)</f>
        <v>1.1075950447354483</v>
      </c>
      <c r="E128" s="93">
        <f>IF(TrRoad_act!E70=0,0,TrRoad_ene!E73/TrRoad_tech!E101)</f>
        <v>1.1101445236563174</v>
      </c>
      <c r="F128" s="93">
        <f>IF(TrRoad_act!F70=0,0,TrRoad_ene!F73/TrRoad_tech!F101)</f>
        <v>1.1141489914278031</v>
      </c>
      <c r="G128" s="93">
        <f>IF(TrRoad_act!G70=0,0,TrRoad_ene!G73/TrRoad_tech!G101)</f>
        <v>1.1203853068728813</v>
      </c>
      <c r="H128" s="93">
        <f>IF(TrRoad_act!H70=0,0,TrRoad_ene!H73/TrRoad_tech!H101)</f>
        <v>1.1253038162836466</v>
      </c>
      <c r="I128" s="93">
        <f>IF(TrRoad_act!I70=0,0,TrRoad_ene!I73/TrRoad_tech!I101)</f>
        <v>1.1318070423077173</v>
      </c>
      <c r="J128" s="93">
        <f>IF(TrRoad_act!J70=0,0,TrRoad_ene!J73/TrRoad_tech!J101)</f>
        <v>1.1383626201431913</v>
      </c>
      <c r="K128" s="93">
        <f>IF(TrRoad_act!K70=0,0,TrRoad_ene!K73/TrRoad_tech!K101)</f>
        <v>1.1508653160223903</v>
      </c>
      <c r="L128" s="93">
        <f>IF(TrRoad_act!L70=0,0,TrRoad_ene!L73/TrRoad_tech!L101)</f>
        <v>1.1576575880459972</v>
      </c>
      <c r="M128" s="93">
        <f>IF(TrRoad_act!M70=0,0,TrRoad_ene!M73/TrRoad_tech!M101)</f>
        <v>1.1630281448140716</v>
      </c>
      <c r="N128" s="93">
        <f>IF(TrRoad_act!N70=0,0,TrRoad_ene!N73/TrRoad_tech!N101)</f>
        <v>1.1639889329714472</v>
      </c>
      <c r="O128" s="93">
        <f>IF(TrRoad_act!O70=0,0,TrRoad_ene!O73/TrRoad_tech!O101)</f>
        <v>1.1645944504025902</v>
      </c>
      <c r="P128" s="93">
        <f>IF(TrRoad_act!P70=0,0,TrRoad_ene!P73/TrRoad_tech!P101)</f>
        <v>1.1659582121074386</v>
      </c>
      <c r="Q128" s="93">
        <f>IF(TrRoad_act!Q70=0,0,TrRoad_ene!Q73/TrRoad_tech!Q101)</f>
        <v>1.173916757525244</v>
      </c>
      <c r="R128" s="93">
        <f>IF(TrRoad_act!R70=0,0,TrRoad_ene!R73/TrRoad_tech!R101)</f>
        <v>1.1810107179589049</v>
      </c>
      <c r="S128" s="93">
        <f>IF(TrRoad_act!S70=0,0,TrRoad_ene!S73/TrRoad_tech!S101)</f>
        <v>1.1868727767949236</v>
      </c>
      <c r="T128" s="93">
        <f>IF(TrRoad_act!T70=0,0,TrRoad_ene!T73/TrRoad_tech!T101)</f>
        <v>1.1937414459301041</v>
      </c>
      <c r="U128" s="93">
        <f>IF(TrRoad_act!U70=0,0,TrRoad_ene!U73/TrRoad_tech!U101)</f>
        <v>1.2717931845862986</v>
      </c>
      <c r="V128" s="93">
        <f>IF(TrRoad_act!V70=0,0,TrRoad_ene!V73/TrRoad_tech!V101)</f>
        <v>1.3219961806221365</v>
      </c>
      <c r="W128" s="93">
        <f>IF(TrRoad_act!W70=0,0,TrRoad_ene!W73/TrRoad_tech!W101)</f>
        <v>1.3515412141326009</v>
      </c>
      <c r="DA128" s="175"/>
    </row>
    <row r="129" spans="1:105" ht="11.45" customHeight="1" x14ac:dyDescent="0.25">
      <c r="A129" s="111" t="s">
        <v>113</v>
      </c>
      <c r="B129" s="93">
        <f>IF(TrRoad_act!B71=0,0,TrRoad_ene!B74/TrRoad_tech!B102)</f>
        <v>0</v>
      </c>
      <c r="C129" s="93">
        <f>IF(TrRoad_act!C71=0,0,TrRoad_ene!C74/TrRoad_tech!C102)</f>
        <v>0</v>
      </c>
      <c r="D129" s="93">
        <f>IF(TrRoad_act!D71=0,0,TrRoad_ene!D74/TrRoad_tech!D102)</f>
        <v>0</v>
      </c>
      <c r="E129" s="93">
        <f>IF(TrRoad_act!E71=0,0,TrRoad_ene!E74/TrRoad_tech!E102)</f>
        <v>0</v>
      </c>
      <c r="F129" s="93">
        <f>IF(TrRoad_act!F71=0,0,TrRoad_ene!F74/TrRoad_tech!F102)</f>
        <v>1.2740569551163512</v>
      </c>
      <c r="G129" s="93">
        <f>IF(TrRoad_act!G71=0,0,TrRoad_ene!G74/TrRoad_tech!G102)</f>
        <v>1.6121574124770859</v>
      </c>
      <c r="H129" s="93">
        <f>IF(TrRoad_act!H71=0,0,TrRoad_ene!H74/TrRoad_tech!H102)</f>
        <v>1.4146232385685034</v>
      </c>
      <c r="I129" s="93">
        <f>IF(TrRoad_act!I71=0,0,TrRoad_ene!I74/TrRoad_tech!I102)</f>
        <v>1.3310558628442453</v>
      </c>
      <c r="J129" s="93">
        <f>IF(TrRoad_act!J71=0,0,TrRoad_ene!J74/TrRoad_tech!J102)</f>
        <v>1.3742766608077921</v>
      </c>
      <c r="K129" s="93">
        <f>IF(TrRoad_act!K71=0,0,TrRoad_ene!K74/TrRoad_tech!K102)</f>
        <v>1.2316523433104145</v>
      </c>
      <c r="L129" s="93">
        <f>IF(TrRoad_act!L71=0,0,TrRoad_ene!L74/TrRoad_tech!L102)</f>
        <v>1.1916787014262522</v>
      </c>
      <c r="M129" s="93">
        <f>IF(TrRoad_act!M71=0,0,TrRoad_ene!M74/TrRoad_tech!M102)</f>
        <v>1.0548236848132571</v>
      </c>
      <c r="N129" s="93">
        <f>IF(TrRoad_act!N71=0,0,TrRoad_ene!N74/TrRoad_tech!N102)</f>
        <v>1.0357988553125157</v>
      </c>
      <c r="O129" s="93">
        <f>IF(TrRoad_act!O71=0,0,TrRoad_ene!O74/TrRoad_tech!O102)</f>
        <v>0.97667052397595511</v>
      </c>
      <c r="P129" s="93">
        <f>IF(TrRoad_act!P71=0,0,TrRoad_ene!P74/TrRoad_tech!P102)</f>
        <v>0.9945647170700882</v>
      </c>
      <c r="Q129" s="93">
        <f>IF(TrRoad_act!Q71=0,0,TrRoad_ene!Q74/TrRoad_tech!Q102)</f>
        <v>0.98856851249166111</v>
      </c>
      <c r="R129" s="93">
        <f>IF(TrRoad_act!R71=0,0,TrRoad_ene!R74/TrRoad_tech!R102)</f>
        <v>1.2196386196501443</v>
      </c>
      <c r="S129" s="93">
        <f>IF(TrRoad_act!S71=0,0,TrRoad_ene!S74/TrRoad_tech!S102)</f>
        <v>1.2261135090515449</v>
      </c>
      <c r="T129" s="93">
        <f>IF(TrRoad_act!T71=0,0,TrRoad_ene!T74/TrRoad_tech!T102)</f>
        <v>1.2318285026405904</v>
      </c>
      <c r="U129" s="93">
        <f>IF(TrRoad_act!U71=0,0,TrRoad_ene!U74/TrRoad_tech!U102)</f>
        <v>1.2371077254061771</v>
      </c>
      <c r="V129" s="93">
        <f>IF(TrRoad_act!V71=0,0,TrRoad_ene!V74/TrRoad_tech!V102)</f>
        <v>1.2393859415913087</v>
      </c>
      <c r="W129" s="93">
        <f>IF(TrRoad_act!W71=0,0,TrRoad_ene!W74/TrRoad_tech!W102)</f>
        <v>1.2445099177417958</v>
      </c>
      <c r="DA129" s="175"/>
    </row>
    <row r="130" spans="1:105" ht="11.45" customHeight="1" x14ac:dyDescent="0.25">
      <c r="A130" s="111" t="s">
        <v>115</v>
      </c>
      <c r="B130" s="93">
        <f>IF(TrRoad_act!B72=0,0,TrRoad_ene!B75/TrRoad_tech!B103)</f>
        <v>1.1000000000067303</v>
      </c>
      <c r="C130" s="93">
        <f>IF(TrRoad_act!C72=0,0,TrRoad_ene!C75/TrRoad_tech!C103)</f>
        <v>1.1003731719996361</v>
      </c>
      <c r="D130" s="93">
        <f>IF(TrRoad_act!D72=0,0,TrRoad_ene!D75/TrRoad_tech!D103)</f>
        <v>1.1013351159331199</v>
      </c>
      <c r="E130" s="93">
        <f>IF(TrRoad_act!E72=0,0,TrRoad_ene!E75/TrRoad_tech!E103)</f>
        <v>1.1031011054254161</v>
      </c>
      <c r="F130" s="93">
        <f>IF(TrRoad_act!F72=0,0,TrRoad_ene!F75/TrRoad_tech!F103)</f>
        <v>1.1032102669767709</v>
      </c>
      <c r="G130" s="93">
        <f>IF(TrRoad_act!G72=0,0,TrRoad_ene!G75/TrRoad_tech!G103)</f>
        <v>1.1060347805939488</v>
      </c>
      <c r="H130" s="93">
        <f>IF(TrRoad_act!H72=0,0,TrRoad_ene!H75/TrRoad_tech!H103)</f>
        <v>1.1068686662342495</v>
      </c>
      <c r="I130" s="93">
        <f>IF(TrRoad_act!I72=0,0,TrRoad_ene!I75/TrRoad_tech!I103)</f>
        <v>1.107408118268695</v>
      </c>
      <c r="J130" s="93">
        <f>IF(TrRoad_act!J72=0,0,TrRoad_ene!J75/TrRoad_tech!J103)</f>
        <v>1.1090578667081152</v>
      </c>
      <c r="K130" s="93">
        <f>IF(TrRoad_act!K72=0,0,TrRoad_ene!K75/TrRoad_tech!K103)</f>
        <v>1.1154055932866564</v>
      </c>
      <c r="L130" s="93">
        <f>IF(TrRoad_act!L72=0,0,TrRoad_ene!L75/TrRoad_tech!L103)</f>
        <v>1.1240728185251374</v>
      </c>
      <c r="M130" s="93">
        <f>IF(TrRoad_act!M72=0,0,TrRoad_ene!M75/TrRoad_tech!M103)</f>
        <v>1.129425409904232</v>
      </c>
      <c r="N130" s="93">
        <f>IF(TrRoad_act!N72=0,0,TrRoad_ene!N75/TrRoad_tech!N103)</f>
        <v>1.1449202881079761</v>
      </c>
      <c r="O130" s="93">
        <f>IF(TrRoad_act!O72=0,0,TrRoad_ene!O75/TrRoad_tech!O103)</f>
        <v>1.1601485294521254</v>
      </c>
      <c r="P130" s="93">
        <f>IF(TrRoad_act!P72=0,0,TrRoad_ene!P75/TrRoad_tech!P103)</f>
        <v>1.1645235113691794</v>
      </c>
      <c r="Q130" s="93">
        <f>IF(TrRoad_act!Q72=0,0,TrRoad_ene!Q75/TrRoad_tech!Q103)</f>
        <v>1.1808878595910297</v>
      </c>
      <c r="R130" s="93">
        <f>IF(TrRoad_act!R72=0,0,TrRoad_ene!R75/TrRoad_tech!R103)</f>
        <v>1.2098275277554853</v>
      </c>
      <c r="S130" s="93">
        <f>IF(TrRoad_act!S72=0,0,TrRoad_ene!S75/TrRoad_tech!S103)</f>
        <v>1.2227441991501353</v>
      </c>
      <c r="T130" s="93">
        <f>IF(TrRoad_act!T72=0,0,TrRoad_ene!T75/TrRoad_tech!T103)</f>
        <v>1.2419284545331375</v>
      </c>
      <c r="U130" s="93">
        <f>IF(TrRoad_act!U72=0,0,TrRoad_ene!U75/TrRoad_tech!U103)</f>
        <v>1.2662624136015173</v>
      </c>
      <c r="V130" s="93">
        <f>IF(TrRoad_act!V72=0,0,TrRoad_ene!V75/TrRoad_tech!V103)</f>
        <v>1.2767452794467427</v>
      </c>
      <c r="W130" s="93">
        <f>IF(TrRoad_act!W72=0,0,TrRoad_ene!W75/TrRoad_tech!W103)</f>
        <v>1.2874670829540669</v>
      </c>
      <c r="DA130" s="175"/>
    </row>
    <row r="131" spans="1:105" ht="11.45" customHeight="1" x14ac:dyDescent="0.25">
      <c r="A131" s="27" t="s">
        <v>34</v>
      </c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DA131" s="173"/>
    </row>
    <row r="132" spans="1:105" ht="11.45" customHeight="1" x14ac:dyDescent="0.25">
      <c r="A132" s="136" t="s">
        <v>156</v>
      </c>
      <c r="B132" s="150">
        <f>IF(TrRoad_act!B74=0,0,TrRoad_ene!B77/TrRoad_tech!B105)</f>
        <v>1.1004856909843284</v>
      </c>
      <c r="C132" s="150">
        <f>IF(TrRoad_act!C74=0,0,TrRoad_ene!C77/TrRoad_tech!C105)</f>
        <v>1.0929945216716102</v>
      </c>
      <c r="D132" s="150">
        <f>IF(TrRoad_act!D74=0,0,TrRoad_ene!D77/TrRoad_tech!D105)</f>
        <v>1.0905988122521832</v>
      </c>
      <c r="E132" s="150">
        <f>IF(TrRoad_act!E74=0,0,TrRoad_ene!E77/TrRoad_tech!E105)</f>
        <v>1.0898810473583478</v>
      </c>
      <c r="F132" s="150">
        <f>IF(TrRoad_act!F74=0,0,TrRoad_ene!F77/TrRoad_tech!F105)</f>
        <v>1.0902843940911411</v>
      </c>
      <c r="G132" s="150">
        <f>IF(TrRoad_act!G74=0,0,TrRoad_ene!G77/TrRoad_tech!G105)</f>
        <v>1.0928722796540518</v>
      </c>
      <c r="H132" s="150">
        <f>IF(TrRoad_act!H74=0,0,TrRoad_ene!H77/TrRoad_tech!H105)</f>
        <v>1.0978158634785196</v>
      </c>
      <c r="I132" s="150">
        <f>IF(TrRoad_act!I74=0,0,TrRoad_ene!I77/TrRoad_tech!I105)</f>
        <v>1.1040315546434296</v>
      </c>
      <c r="J132" s="150">
        <f>IF(TrRoad_act!J74=0,0,TrRoad_ene!J77/TrRoad_tech!J105)</f>
        <v>1.1107117102901192</v>
      </c>
      <c r="K132" s="150">
        <f>IF(TrRoad_act!K74=0,0,TrRoad_ene!K77/TrRoad_tech!K105)</f>
        <v>1.1141413010546575</v>
      </c>
      <c r="L132" s="150">
        <f>IF(TrRoad_act!L74=0,0,TrRoad_ene!L77/TrRoad_tech!L105)</f>
        <v>1.1159630718078604</v>
      </c>
      <c r="M132" s="150">
        <f>IF(TrRoad_act!M74=0,0,TrRoad_ene!M77/TrRoad_tech!M105)</f>
        <v>1.1229105865013147</v>
      </c>
      <c r="N132" s="150">
        <f>IF(TrRoad_act!N74=0,0,TrRoad_ene!N77/TrRoad_tech!N105)</f>
        <v>1.1330911397156262</v>
      </c>
      <c r="O132" s="150">
        <f>IF(TrRoad_act!O74=0,0,TrRoad_ene!O77/TrRoad_tech!O105)</f>
        <v>1.1416784540201743</v>
      </c>
      <c r="P132" s="150">
        <f>IF(TrRoad_act!P74=0,0,TrRoad_ene!P77/TrRoad_tech!P105)</f>
        <v>1.1526847672898441</v>
      </c>
      <c r="Q132" s="150">
        <f>IF(TrRoad_act!Q74=0,0,TrRoad_ene!Q77/TrRoad_tech!Q105)</f>
        <v>1.167903503651242</v>
      </c>
      <c r="R132" s="150">
        <f>IF(TrRoad_act!R74=0,0,TrRoad_ene!R77/TrRoad_tech!R105)</f>
        <v>1.1811902830632728</v>
      </c>
      <c r="S132" s="150">
        <f>IF(TrRoad_act!S74=0,0,TrRoad_ene!S77/TrRoad_tech!S105)</f>
        <v>1.1961223015271647</v>
      </c>
      <c r="T132" s="150">
        <f>IF(TrRoad_act!T74=0,0,TrRoad_ene!T77/TrRoad_tech!T105)</f>
        <v>1.2134148894834238</v>
      </c>
      <c r="U132" s="150">
        <f>IF(TrRoad_act!U74=0,0,TrRoad_ene!U77/TrRoad_tech!U105)</f>
        <v>1.2336395780805454</v>
      </c>
      <c r="V132" s="150">
        <f>IF(TrRoad_act!V74=0,0,TrRoad_ene!V77/TrRoad_tech!V105)</f>
        <v>1.2459317090591431</v>
      </c>
      <c r="W132" s="150">
        <f>IF(TrRoad_act!W74=0,0,TrRoad_ene!W77/TrRoad_tech!W105)</f>
        <v>1.264592017568277</v>
      </c>
      <c r="DA132" s="174"/>
    </row>
    <row r="133" spans="1:105" ht="11.45" customHeight="1" x14ac:dyDescent="0.25">
      <c r="A133" s="111" t="s">
        <v>110</v>
      </c>
      <c r="B133" s="91">
        <f>IF(TrRoad_act!B75=0,0,TrRoad_ene!B78/TrRoad_tech!B106)</f>
        <v>1.1000000000067303</v>
      </c>
      <c r="C133" s="91">
        <f>IF(TrRoad_act!C75=0,0,TrRoad_ene!C78/TrRoad_tech!C106)</f>
        <v>1.1000135254889978</v>
      </c>
      <c r="D133" s="91">
        <f>IF(TrRoad_act!D75=0,0,TrRoad_ene!D78/TrRoad_tech!D106)</f>
        <v>1.1000668431805476</v>
      </c>
      <c r="E133" s="91">
        <f>IF(TrRoad_act!E75=0,0,TrRoad_ene!E78/TrRoad_tech!E106)</f>
        <v>1.1002110791378696</v>
      </c>
      <c r="F133" s="91">
        <f>IF(TrRoad_act!F75=0,0,TrRoad_ene!F78/TrRoad_tech!F106)</f>
        <v>1.1005752894354315</v>
      </c>
      <c r="G133" s="91">
        <f>IF(TrRoad_act!G75=0,0,TrRoad_ene!G78/TrRoad_tech!G106)</f>
        <v>1.1011698160995522</v>
      </c>
      <c r="H133" s="91">
        <f>IF(TrRoad_act!H75=0,0,TrRoad_ene!H78/TrRoad_tech!H106)</f>
        <v>1.1023617222970055</v>
      </c>
      <c r="I133" s="91">
        <f>IF(TrRoad_act!I75=0,0,TrRoad_ene!I78/TrRoad_tech!I106)</f>
        <v>1.1046446778110328</v>
      </c>
      <c r="J133" s="91">
        <f>IF(TrRoad_act!J75=0,0,TrRoad_ene!J78/TrRoad_tech!J106)</f>
        <v>1.1080581601571886</v>
      </c>
      <c r="K133" s="91">
        <f>IF(TrRoad_act!K75=0,0,TrRoad_ene!K78/TrRoad_tech!K106)</f>
        <v>1.1128064814314975</v>
      </c>
      <c r="L133" s="91">
        <f>IF(TrRoad_act!L75=0,0,TrRoad_ene!L78/TrRoad_tech!L106)</f>
        <v>1.1153609444274886</v>
      </c>
      <c r="M133" s="91">
        <f>IF(TrRoad_act!M75=0,0,TrRoad_ene!M78/TrRoad_tech!M106)</f>
        <v>1.1188212288010262</v>
      </c>
      <c r="N133" s="91">
        <f>IF(TrRoad_act!N75=0,0,TrRoad_ene!N78/TrRoad_tech!N106)</f>
        <v>1.1291538584566791</v>
      </c>
      <c r="O133" s="91">
        <f>IF(TrRoad_act!O75=0,0,TrRoad_ene!O78/TrRoad_tech!O106)</f>
        <v>1.144283692609648</v>
      </c>
      <c r="P133" s="91">
        <f>IF(TrRoad_act!P75=0,0,TrRoad_ene!P78/TrRoad_tech!P106)</f>
        <v>1.1607431416375553</v>
      </c>
      <c r="Q133" s="91">
        <f>IF(TrRoad_act!Q75=0,0,TrRoad_ene!Q78/TrRoad_tech!Q106)</f>
        <v>1.1764066148891881</v>
      </c>
      <c r="R133" s="91">
        <f>IF(TrRoad_act!R75=0,0,TrRoad_ene!R78/TrRoad_tech!R106)</f>
        <v>1.1910408760254838</v>
      </c>
      <c r="S133" s="91">
        <f>IF(TrRoad_act!S75=0,0,TrRoad_ene!S78/TrRoad_tech!S106)</f>
        <v>1.2063569511043606</v>
      </c>
      <c r="T133" s="91">
        <f>IF(TrRoad_act!T75=0,0,TrRoad_ene!T78/TrRoad_tech!T106)</f>
        <v>1.2258210993867766</v>
      </c>
      <c r="U133" s="91">
        <f>IF(TrRoad_act!U75=0,0,TrRoad_ene!U78/TrRoad_tech!U106)</f>
        <v>1.2449194535694346</v>
      </c>
      <c r="V133" s="91">
        <f>IF(TrRoad_act!V75=0,0,TrRoad_ene!V78/TrRoad_tech!V106)</f>
        <v>1.2525974234691735</v>
      </c>
      <c r="W133" s="91">
        <f>IF(TrRoad_act!W75=0,0,TrRoad_ene!W78/TrRoad_tech!W106)</f>
        <v>1.2642874720354926</v>
      </c>
      <c r="DA133" s="171"/>
    </row>
    <row r="134" spans="1:105" ht="11.45" customHeight="1" x14ac:dyDescent="0.25">
      <c r="A134" s="111" t="s">
        <v>111</v>
      </c>
      <c r="B134" s="91">
        <f>IF(TrRoad_act!B76=0,0,TrRoad_ene!B79/TrRoad_tech!B107)</f>
        <v>1.1000000000067303</v>
      </c>
      <c r="C134" s="91">
        <f>IF(TrRoad_act!C76=0,0,TrRoad_ene!C79/TrRoad_tech!C107)</f>
        <v>1.1002925647879156</v>
      </c>
      <c r="D134" s="91">
        <f>IF(TrRoad_act!D76=0,0,TrRoad_ene!D79/TrRoad_tech!D107)</f>
        <v>1.1009165032631438</v>
      </c>
      <c r="E134" s="91">
        <f>IF(TrRoad_act!E76=0,0,TrRoad_ene!E79/TrRoad_tech!E107)</f>
        <v>1.1020510662073186</v>
      </c>
      <c r="F134" s="91">
        <f>IF(TrRoad_act!F76=0,0,TrRoad_ene!F79/TrRoad_tech!F107)</f>
        <v>1.1038259712917402</v>
      </c>
      <c r="G134" s="91">
        <f>IF(TrRoad_act!G76=0,0,TrRoad_ene!G79/TrRoad_tech!G107)</f>
        <v>1.106151985771141</v>
      </c>
      <c r="H134" s="91">
        <f>IF(TrRoad_act!H76=0,0,TrRoad_ene!H79/TrRoad_tech!H107)</f>
        <v>1.1094544401727924</v>
      </c>
      <c r="I134" s="91">
        <f>IF(TrRoad_act!I76=0,0,TrRoad_ene!I79/TrRoad_tech!I107)</f>
        <v>1.1138456436544133</v>
      </c>
      <c r="J134" s="91">
        <f>IF(TrRoad_act!J76=0,0,TrRoad_ene!J79/TrRoad_tech!J107)</f>
        <v>1.1190984650069122</v>
      </c>
      <c r="K134" s="91">
        <f>IF(TrRoad_act!K76=0,0,TrRoad_ene!K79/TrRoad_tech!K107)</f>
        <v>1.12350542716561</v>
      </c>
      <c r="L134" s="91">
        <f>IF(TrRoad_act!L76=0,0,TrRoad_ene!L79/TrRoad_tech!L107)</f>
        <v>1.1252311415952918</v>
      </c>
      <c r="M134" s="91">
        <f>IF(TrRoad_act!M76=0,0,TrRoad_ene!M79/TrRoad_tech!M107)</f>
        <v>1.1290300987625355</v>
      </c>
      <c r="N134" s="91">
        <f>IF(TrRoad_act!N76=0,0,TrRoad_ene!N79/TrRoad_tech!N107)</f>
        <v>1.1395486256749177</v>
      </c>
      <c r="O134" s="91">
        <f>IF(TrRoad_act!O76=0,0,TrRoad_ene!O79/TrRoad_tech!O107)</f>
        <v>1.1504053624429762</v>
      </c>
      <c r="P134" s="91">
        <f>IF(TrRoad_act!P76=0,0,TrRoad_ene!P79/TrRoad_tech!P107)</f>
        <v>1.1634542807733657</v>
      </c>
      <c r="Q134" s="91">
        <f>IF(TrRoad_act!Q76=0,0,TrRoad_ene!Q79/TrRoad_tech!Q107)</f>
        <v>1.1791295679279894</v>
      </c>
      <c r="R134" s="91">
        <f>IF(TrRoad_act!R76=0,0,TrRoad_ene!R79/TrRoad_tech!R107)</f>
        <v>1.1949897754062575</v>
      </c>
      <c r="S134" s="91">
        <f>IF(TrRoad_act!S76=0,0,TrRoad_ene!S79/TrRoad_tech!S107)</f>
        <v>1.2128574228078912</v>
      </c>
      <c r="T134" s="91">
        <f>IF(TrRoad_act!T76=0,0,TrRoad_ene!T79/TrRoad_tech!T107)</f>
        <v>1.2313950280954249</v>
      </c>
      <c r="U134" s="91">
        <f>IF(TrRoad_act!U76=0,0,TrRoad_ene!U79/TrRoad_tech!U107)</f>
        <v>1.2507646361323301</v>
      </c>
      <c r="V134" s="91">
        <f>IF(TrRoad_act!V76=0,0,TrRoad_ene!V79/TrRoad_tech!V107)</f>
        <v>1.2631217528991132</v>
      </c>
      <c r="W134" s="91">
        <f>IF(TrRoad_act!W76=0,0,TrRoad_ene!W79/TrRoad_tech!W107)</f>
        <v>1.2799565239730617</v>
      </c>
      <c r="DA134" s="171"/>
    </row>
    <row r="135" spans="1:105" ht="11.45" customHeight="1" x14ac:dyDescent="0.25">
      <c r="A135" s="111" t="s">
        <v>112</v>
      </c>
      <c r="B135" s="91">
        <f>IF(TrRoad_act!B77=0,0,TrRoad_ene!B80/TrRoad_tech!B108)</f>
        <v>0</v>
      </c>
      <c r="C135" s="91">
        <f>IF(TrRoad_act!C77=0,0,TrRoad_ene!C80/TrRoad_tech!C108)</f>
        <v>0</v>
      </c>
      <c r="D135" s="91">
        <f>IF(TrRoad_act!D77=0,0,TrRoad_ene!D80/TrRoad_tech!D108)</f>
        <v>0</v>
      </c>
      <c r="E135" s="91">
        <f>IF(TrRoad_act!E77=0,0,TrRoad_ene!E80/TrRoad_tech!E108)</f>
        <v>1.1160000000058974</v>
      </c>
      <c r="F135" s="91">
        <f>IF(TrRoad_act!F77=0,0,TrRoad_ene!F80/TrRoad_tech!F108)</f>
        <v>1.121091464023775</v>
      </c>
      <c r="G135" s="91">
        <f>IF(TrRoad_act!G77=0,0,TrRoad_ene!G80/TrRoad_tech!G108)</f>
        <v>1.1308135658565963</v>
      </c>
      <c r="H135" s="91">
        <f>IF(TrRoad_act!H77=0,0,TrRoad_ene!H80/TrRoad_tech!H108)</f>
        <v>1.1314355150412949</v>
      </c>
      <c r="I135" s="91">
        <f>IF(TrRoad_act!I77=0,0,TrRoad_ene!I80/TrRoad_tech!I108)</f>
        <v>1.1316245815299752</v>
      </c>
      <c r="J135" s="91">
        <f>IF(TrRoad_act!J77=0,0,TrRoad_ene!J80/TrRoad_tech!J108)</f>
        <v>1.1316019129796115</v>
      </c>
      <c r="K135" s="91">
        <f>IF(TrRoad_act!K77=0,0,TrRoad_ene!K80/TrRoad_tech!K108)</f>
        <v>1.1315547223549038</v>
      </c>
      <c r="L135" s="91">
        <f>IF(TrRoad_act!L77=0,0,TrRoad_ene!L80/TrRoad_tech!L108)</f>
        <v>1.1316066942410927</v>
      </c>
      <c r="M135" s="91">
        <f>IF(TrRoad_act!M77=0,0,TrRoad_ene!M80/TrRoad_tech!M108)</f>
        <v>1.1316380930069925</v>
      </c>
      <c r="N135" s="91">
        <f>IF(TrRoad_act!N77=0,0,TrRoad_ene!N80/TrRoad_tech!N108)</f>
        <v>1.1460166013120603</v>
      </c>
      <c r="O135" s="91">
        <f>IF(TrRoad_act!O77=0,0,TrRoad_ene!O80/TrRoad_tech!O108)</f>
        <v>1.1674271975770287</v>
      </c>
      <c r="P135" s="91">
        <f>IF(TrRoad_act!P77=0,0,TrRoad_ene!P80/TrRoad_tech!P108)</f>
        <v>1.1917273249928018</v>
      </c>
      <c r="Q135" s="91">
        <f>IF(TrRoad_act!Q77=0,0,TrRoad_ene!Q80/TrRoad_tech!Q108)</f>
        <v>1.2087588660078235</v>
      </c>
      <c r="R135" s="91">
        <f>IF(TrRoad_act!R77=0,0,TrRoad_ene!R80/TrRoad_tech!R108)</f>
        <v>1.2146832330557711</v>
      </c>
      <c r="S135" s="91">
        <f>IF(TrRoad_act!S77=0,0,TrRoad_ene!S80/TrRoad_tech!S108)</f>
        <v>1.219221434831921</v>
      </c>
      <c r="T135" s="91">
        <f>IF(TrRoad_act!T77=0,0,TrRoad_ene!T80/TrRoad_tech!T108)</f>
        <v>1.2242106726566073</v>
      </c>
      <c r="U135" s="91">
        <f>IF(TrRoad_act!U77=0,0,TrRoad_ene!U80/TrRoad_tech!U108)</f>
        <v>1.2318404766718933</v>
      </c>
      <c r="V135" s="91">
        <f>IF(TrRoad_act!V77=0,0,TrRoad_ene!V80/TrRoad_tech!V108)</f>
        <v>1.2457476085159895</v>
      </c>
      <c r="W135" s="91">
        <f>IF(TrRoad_act!W77=0,0,TrRoad_ene!W80/TrRoad_tech!W108)</f>
        <v>1.2599752332983041</v>
      </c>
      <c r="DA135" s="171"/>
    </row>
    <row r="136" spans="1:105" ht="11.45" customHeight="1" x14ac:dyDescent="0.25">
      <c r="A136" s="111" t="s">
        <v>113</v>
      </c>
      <c r="B136" s="91">
        <f>IF(TrRoad_act!B78=0,0,TrRoad_ene!B81/TrRoad_tech!B109)</f>
        <v>0</v>
      </c>
      <c r="C136" s="91">
        <f>IF(TrRoad_act!C78=0,0,TrRoad_ene!C81/TrRoad_tech!C109)</f>
        <v>0</v>
      </c>
      <c r="D136" s="91">
        <f>IF(TrRoad_act!D78=0,0,TrRoad_ene!D81/TrRoad_tech!D109)</f>
        <v>0</v>
      </c>
      <c r="E136" s="91">
        <f>IF(TrRoad_act!E78=0,0,TrRoad_ene!E81/TrRoad_tech!E109)</f>
        <v>0</v>
      </c>
      <c r="F136" s="91">
        <f>IF(TrRoad_act!F78=0,0,TrRoad_ene!F81/TrRoad_tech!F109)</f>
        <v>0</v>
      </c>
      <c r="G136" s="91">
        <f>IF(TrRoad_act!G78=0,0,TrRoad_ene!G81/TrRoad_tech!G109)</f>
        <v>0</v>
      </c>
      <c r="H136" s="91">
        <f>IF(TrRoad_act!H78=0,0,TrRoad_ene!H81/TrRoad_tech!H109)</f>
        <v>1.1440000000061445</v>
      </c>
      <c r="I136" s="91">
        <f>IF(TrRoad_act!I78=0,0,TrRoad_ene!I81/TrRoad_tech!I109)</f>
        <v>1.1503098861641705</v>
      </c>
      <c r="J136" s="91">
        <f>IF(TrRoad_act!J78=0,0,TrRoad_ene!J81/TrRoad_tech!J109)</f>
        <v>1.1693333333396365</v>
      </c>
      <c r="K136" s="91">
        <f>IF(TrRoad_act!K78=0,0,TrRoad_ene!K81/TrRoad_tech!K109)</f>
        <v>1.1840000000065629</v>
      </c>
      <c r="L136" s="91">
        <f>IF(TrRoad_act!L78=0,0,TrRoad_ene!L81/TrRoad_tech!L109)</f>
        <v>1.2000000000070943</v>
      </c>
      <c r="M136" s="91">
        <f>IF(TrRoad_act!M78=0,0,TrRoad_ene!M81/TrRoad_tech!M109)</f>
        <v>1.2173333333398655</v>
      </c>
      <c r="N136" s="91">
        <f>IF(TrRoad_act!N78=0,0,TrRoad_ene!N81/TrRoad_tech!N109)</f>
        <v>1.2360000000066975</v>
      </c>
      <c r="O136" s="91">
        <f>IF(TrRoad_act!O78=0,0,TrRoad_ene!O81/TrRoad_tech!O109)</f>
        <v>1.2521343737437072</v>
      </c>
      <c r="P136" s="91">
        <f>IF(TrRoad_act!P78=0,0,TrRoad_ene!P81/TrRoad_tech!P109)</f>
        <v>1.2577097477169779</v>
      </c>
      <c r="Q136" s="91">
        <f>IF(TrRoad_act!Q78=0,0,TrRoad_ene!Q81/TrRoad_tech!Q109)</f>
        <v>1.2651600265325609</v>
      </c>
      <c r="R136" s="91">
        <f>IF(TrRoad_act!R78=0,0,TrRoad_ene!R81/TrRoad_tech!R109)</f>
        <v>1.2868152291500228</v>
      </c>
      <c r="S136" s="91">
        <f>IF(TrRoad_act!S78=0,0,TrRoad_ene!S81/TrRoad_tech!S109)</f>
        <v>1.2922921389209112</v>
      </c>
      <c r="T136" s="91">
        <f>IF(TrRoad_act!T78=0,0,TrRoad_ene!T81/TrRoad_tech!T109)</f>
        <v>1.2958471054329788</v>
      </c>
      <c r="U136" s="91">
        <f>IF(TrRoad_act!U78=0,0,TrRoad_ene!U81/TrRoad_tech!U109)</f>
        <v>1.3017680141254802</v>
      </c>
      <c r="V136" s="91">
        <f>IF(TrRoad_act!V78=0,0,TrRoad_ene!V81/TrRoad_tech!V109)</f>
        <v>1.3076036243012086</v>
      </c>
      <c r="W136" s="91">
        <f>IF(TrRoad_act!W78=0,0,TrRoad_ene!W81/TrRoad_tech!W109)</f>
        <v>1.3142226469981917</v>
      </c>
      <c r="DA136" s="171"/>
    </row>
    <row r="137" spans="1:105" ht="11.45" customHeight="1" x14ac:dyDescent="0.25">
      <c r="A137" s="111" t="s">
        <v>115</v>
      </c>
      <c r="B137" s="91">
        <f>IF(TrRoad_act!B79=0,0,TrRoad_ene!B82/TrRoad_tech!B110)</f>
        <v>1.1000000000067303</v>
      </c>
      <c r="C137" s="91">
        <f>IF(TrRoad_act!C79=0,0,TrRoad_ene!C82/TrRoad_tech!C110)</f>
        <v>1.1012388919737253</v>
      </c>
      <c r="D137" s="91">
        <f>IF(TrRoad_act!D79=0,0,TrRoad_ene!D82/TrRoad_tech!D110)</f>
        <v>1.1013675453002845</v>
      </c>
      <c r="E137" s="91">
        <f>IF(TrRoad_act!E79=0,0,TrRoad_ene!E82/TrRoad_tech!E110)</f>
        <v>1.1014128964355803</v>
      </c>
      <c r="F137" s="91">
        <f>IF(TrRoad_act!F79=0,0,TrRoad_ene!F82/TrRoad_tech!F110)</f>
        <v>1.1014996852822976</v>
      </c>
      <c r="G137" s="91">
        <f>IF(TrRoad_act!G79=0,0,TrRoad_ene!G82/TrRoad_tech!G110)</f>
        <v>1.1016073888960682</v>
      </c>
      <c r="H137" s="91">
        <f>IF(TrRoad_act!H79=0,0,TrRoad_ene!H82/TrRoad_tech!H110)</f>
        <v>1.1015672692117271</v>
      </c>
      <c r="I137" s="91">
        <f>IF(TrRoad_act!I79=0,0,TrRoad_ene!I82/TrRoad_tech!I110)</f>
        <v>1.1143630660686166</v>
      </c>
      <c r="J137" s="91">
        <f>IF(TrRoad_act!J79=0,0,TrRoad_ene!J82/TrRoad_tech!J110)</f>
        <v>1.1226007135399023</v>
      </c>
      <c r="K137" s="91">
        <f>IF(TrRoad_act!K79=0,0,TrRoad_ene!K82/TrRoad_tech!K110)</f>
        <v>1.1451789600693951</v>
      </c>
      <c r="L137" s="91">
        <f>IF(TrRoad_act!L79=0,0,TrRoad_ene!L82/TrRoad_tech!L110)</f>
        <v>1.1666812969742233</v>
      </c>
      <c r="M137" s="91">
        <f>IF(TrRoad_act!M79=0,0,TrRoad_ene!M82/TrRoad_tech!M110)</f>
        <v>1.1872205003935128</v>
      </c>
      <c r="N137" s="91">
        <f>IF(TrRoad_act!N79=0,0,TrRoad_ene!N82/TrRoad_tech!N110)</f>
        <v>1.2232554524785553</v>
      </c>
      <c r="O137" s="91">
        <f>IF(TrRoad_act!O79=0,0,TrRoad_ene!O82/TrRoad_tech!O110)</f>
        <v>1.236212635482389</v>
      </c>
      <c r="P137" s="91">
        <f>IF(TrRoad_act!P79=0,0,TrRoad_ene!P82/TrRoad_tech!P110)</f>
        <v>1.247201252918652</v>
      </c>
      <c r="Q137" s="91">
        <f>IF(TrRoad_act!Q79=0,0,TrRoad_ene!Q82/TrRoad_tech!Q110)</f>
        <v>1.2609218601937349</v>
      </c>
      <c r="R137" s="91">
        <f>IF(TrRoad_act!R79=0,0,TrRoad_ene!R82/TrRoad_tech!R110)</f>
        <v>1.2818093454511821</v>
      </c>
      <c r="S137" s="91">
        <f>IF(TrRoad_act!S79=0,0,TrRoad_ene!S82/TrRoad_tech!S110)</f>
        <v>1.2905315255725334</v>
      </c>
      <c r="T137" s="91">
        <f>IF(TrRoad_act!T79=0,0,TrRoad_ene!T82/TrRoad_tech!T110)</f>
        <v>1.3028419938463358</v>
      </c>
      <c r="U137" s="91">
        <f>IF(TrRoad_act!U79=0,0,TrRoad_ene!U82/TrRoad_tech!U110)</f>
        <v>1.3135349134167287</v>
      </c>
      <c r="V137" s="91">
        <f>IF(TrRoad_act!V79=0,0,TrRoad_ene!V82/TrRoad_tech!V110)</f>
        <v>1.3266705367409632</v>
      </c>
      <c r="W137" s="91">
        <f>IF(TrRoad_act!W79=0,0,TrRoad_ene!W82/TrRoad_tech!W110)</f>
        <v>1.3429072000421727</v>
      </c>
      <c r="DA137" s="171"/>
    </row>
    <row r="138" spans="1:105" ht="11.45" customHeight="1" x14ac:dyDescent="0.25">
      <c r="A138" s="109" t="s">
        <v>158</v>
      </c>
      <c r="B138" s="151">
        <f>IF(TrRoad_act!B80=0,0,TrRoad_ene!B83/TrRoad_tech!B111)</f>
        <v>1.7556821507723854</v>
      </c>
      <c r="C138" s="151">
        <f>IF(TrRoad_act!C80=0,0,TrRoad_ene!C83/TrRoad_tech!C111)</f>
        <v>2.0072130689676109</v>
      </c>
      <c r="D138" s="151">
        <f>IF(TrRoad_act!D80=0,0,TrRoad_ene!D83/TrRoad_tech!D111)</f>
        <v>2.2363525609359312</v>
      </c>
      <c r="E138" s="151">
        <f>IF(TrRoad_act!E80=0,0,TrRoad_ene!E83/TrRoad_tech!E111)</f>
        <v>2.4019486572855819</v>
      </c>
      <c r="F138" s="151">
        <f>IF(TrRoad_act!F80=0,0,TrRoad_ene!F83/TrRoad_tech!F111)</f>
        <v>2.3157931935320302</v>
      </c>
      <c r="G138" s="151">
        <f>IF(TrRoad_act!G80=0,0,TrRoad_ene!G83/TrRoad_tech!G111)</f>
        <v>2.4381878431869994</v>
      </c>
      <c r="H138" s="151">
        <f>IF(TrRoad_act!H80=0,0,TrRoad_ene!H83/TrRoad_tech!H111)</f>
        <v>2.0633797365067128</v>
      </c>
      <c r="I138" s="151">
        <f>IF(TrRoad_act!I80=0,0,TrRoad_ene!I83/TrRoad_tech!I111)</f>
        <v>1.9477732246266377</v>
      </c>
      <c r="J138" s="151">
        <f>IF(TrRoad_act!J80=0,0,TrRoad_ene!J83/TrRoad_tech!J111)</f>
        <v>1.8012323316904479</v>
      </c>
      <c r="K138" s="151">
        <f>IF(TrRoad_act!K80=0,0,TrRoad_ene!K83/TrRoad_tech!K111)</f>
        <v>1.9241351261663151</v>
      </c>
      <c r="L138" s="151">
        <f>IF(TrRoad_act!L80=0,0,TrRoad_ene!L83/TrRoad_tech!L111)</f>
        <v>2.0928229283981401</v>
      </c>
      <c r="M138" s="151">
        <f>IF(TrRoad_act!M80=0,0,TrRoad_ene!M83/TrRoad_tech!M111)</f>
        <v>1.8578089486722593</v>
      </c>
      <c r="N138" s="151">
        <f>IF(TrRoad_act!N80=0,0,TrRoad_ene!N83/TrRoad_tech!N111)</f>
        <v>1.9591130134063952</v>
      </c>
      <c r="O138" s="151">
        <f>IF(TrRoad_act!O80=0,0,TrRoad_ene!O83/TrRoad_tech!O111)</f>
        <v>2.3073113225122834</v>
      </c>
      <c r="P138" s="151">
        <f>IF(TrRoad_act!P80=0,0,TrRoad_ene!P83/TrRoad_tech!P111)</f>
        <v>2.1836160953185351</v>
      </c>
      <c r="Q138" s="151">
        <f>IF(TrRoad_act!Q80=0,0,TrRoad_ene!Q83/TrRoad_tech!Q111)</f>
        <v>2.1636085439201116</v>
      </c>
      <c r="R138" s="151">
        <f>IF(TrRoad_act!R80=0,0,TrRoad_ene!R83/TrRoad_tech!R111)</f>
        <v>2.1720878744706966</v>
      </c>
      <c r="S138" s="151">
        <f>IF(TrRoad_act!S80=0,0,TrRoad_ene!S83/TrRoad_tech!S111)</f>
        <v>2.1641735195639193</v>
      </c>
      <c r="T138" s="151">
        <f>IF(TrRoad_act!T80=0,0,TrRoad_ene!T83/TrRoad_tech!T111)</f>
        <v>2.3168983192187746</v>
      </c>
      <c r="U138" s="151">
        <f>IF(TrRoad_act!U80=0,0,TrRoad_ene!U83/TrRoad_tech!U111)</f>
        <v>2.4494275945453383</v>
      </c>
      <c r="V138" s="151">
        <f>IF(TrRoad_act!V80=0,0,TrRoad_ene!V83/TrRoad_tech!V111)</f>
        <v>2.2215911750068038</v>
      </c>
      <c r="W138" s="151">
        <f>IF(TrRoad_act!W80=0,0,TrRoad_ene!W83/TrRoad_tech!W111)</f>
        <v>2.2825285280506082</v>
      </c>
      <c r="DA138" s="176"/>
    </row>
    <row r="139" spans="1:105" ht="11.45" customHeight="1" x14ac:dyDescent="0.25">
      <c r="A139" s="128" t="s">
        <v>27</v>
      </c>
      <c r="B139" s="93">
        <f>IF(TrRoad_act!B81=0,0,TrRoad_ene!B84/TrRoad_tech!B112)</f>
        <v>1.2157295621570123</v>
      </c>
      <c r="C139" s="93">
        <f>IF(TrRoad_act!C81=0,0,TrRoad_ene!C84/TrRoad_tech!C112)</f>
        <v>1.2650279803998055</v>
      </c>
      <c r="D139" s="93">
        <f>IF(TrRoad_act!D81=0,0,TrRoad_ene!D84/TrRoad_tech!D112)</f>
        <v>1.3102731095203992</v>
      </c>
      <c r="E139" s="93">
        <f>IF(TrRoad_act!E81=0,0,TrRoad_ene!E84/TrRoad_tech!E112)</f>
        <v>1.3441604290490883</v>
      </c>
      <c r="F139" s="93">
        <f>IF(TrRoad_act!F81=0,0,TrRoad_ene!F84/TrRoad_tech!F112)</f>
        <v>1.3286462470798028</v>
      </c>
      <c r="G139" s="93">
        <f>IF(TrRoad_act!G81=0,0,TrRoad_ene!G84/TrRoad_tech!G112)</f>
        <v>1.3545629068880176</v>
      </c>
      <c r="H139" s="93">
        <f>IF(TrRoad_act!H81=0,0,TrRoad_ene!H84/TrRoad_tech!H112)</f>
        <v>1.2872535338949196</v>
      </c>
      <c r="I139" s="93">
        <f>IF(TrRoad_act!I81=0,0,TrRoad_ene!I84/TrRoad_tech!I112)</f>
        <v>1.267905075400694</v>
      </c>
      <c r="J139" s="93">
        <f>IF(TrRoad_act!J81=0,0,TrRoad_ene!J84/TrRoad_tech!J112)</f>
        <v>1.2431802863093553</v>
      </c>
      <c r="K139" s="93">
        <f>IF(TrRoad_act!K81=0,0,TrRoad_ene!K84/TrRoad_tech!K112)</f>
        <v>1.2705626190633366</v>
      </c>
      <c r="L139" s="93">
        <f>IF(TrRoad_act!L81=0,0,TrRoad_ene!L84/TrRoad_tech!L112)</f>
        <v>1.307084048504668</v>
      </c>
      <c r="M139" s="93">
        <f>IF(TrRoad_act!M81=0,0,TrRoad_ene!M84/TrRoad_tech!M112)</f>
        <v>1.2635282802717982</v>
      </c>
      <c r="N139" s="93">
        <f>IF(TrRoad_act!N81=0,0,TrRoad_ene!N84/TrRoad_tech!N112)</f>
        <v>1.288284595754863</v>
      </c>
      <c r="O139" s="93">
        <f>IF(TrRoad_act!O81=0,0,TrRoad_ene!O84/TrRoad_tech!O112)</f>
        <v>1.3656008105599757</v>
      </c>
      <c r="P139" s="93">
        <f>IF(TrRoad_act!P81=0,0,TrRoad_ene!P84/TrRoad_tech!P112)</f>
        <v>1.3518513429660213</v>
      </c>
      <c r="Q139" s="93">
        <f>IF(TrRoad_act!Q81=0,0,TrRoad_ene!Q84/TrRoad_tech!Q112)</f>
        <v>1.356244891808905</v>
      </c>
      <c r="R139" s="93">
        <f>IF(TrRoad_act!R81=0,0,TrRoad_ene!R84/TrRoad_tech!R112)</f>
        <v>1.3684616524255293</v>
      </c>
      <c r="S139" s="93">
        <f>IF(TrRoad_act!S81=0,0,TrRoad_ene!S84/TrRoad_tech!S112)</f>
        <v>1.3755491996860845</v>
      </c>
      <c r="T139" s="93">
        <f>IF(TrRoad_act!T81=0,0,TrRoad_ene!T84/TrRoad_tech!T112)</f>
        <v>1.4151329548147613</v>
      </c>
      <c r="U139" s="93">
        <f>IF(TrRoad_act!U81=0,0,TrRoad_ene!U84/TrRoad_tech!U112)</f>
        <v>1.4537812606363167</v>
      </c>
      <c r="V139" s="93">
        <f>IF(TrRoad_act!V81=0,0,TrRoad_ene!V84/TrRoad_tech!V112)</f>
        <v>1.4219344819522202</v>
      </c>
      <c r="W139" s="93">
        <f>IF(TrRoad_act!W81=0,0,TrRoad_ene!W84/TrRoad_tech!W112)</f>
        <v>1.447487638480162</v>
      </c>
      <c r="DA139" s="175"/>
    </row>
    <row r="140" spans="1:105" ht="11.45" customHeight="1" x14ac:dyDescent="0.25">
      <c r="A140" s="138" t="s">
        <v>116</v>
      </c>
      <c r="B140" s="94">
        <f>IF(TrRoad_act!B82=0,0,TrRoad_ene!B85/TrRoad_tech!B113)</f>
        <v>2.289003598950202</v>
      </c>
      <c r="C140" s="94">
        <f>IF(TrRoad_act!C82=0,0,TrRoad_ene!C85/TrRoad_tech!C113)</f>
        <v>2.745659940760282</v>
      </c>
      <c r="D140" s="94">
        <f>IF(TrRoad_act!D82=0,0,TrRoad_ene!D85/TrRoad_tech!D113)</f>
        <v>3.1466986205699725</v>
      </c>
      <c r="E140" s="94">
        <f>IF(TrRoad_act!E82=0,0,TrRoad_ene!E85/TrRoad_tech!E113)</f>
        <v>3.4829261091144055</v>
      </c>
      <c r="F140" s="94">
        <f>IF(TrRoad_act!F82=0,0,TrRoad_ene!F85/TrRoad_tech!F113)</f>
        <v>3.1251564437469326</v>
      </c>
      <c r="G140" s="94">
        <f>IF(TrRoad_act!G82=0,0,TrRoad_ene!G85/TrRoad_tech!G113)</f>
        <v>3.3047115556997704</v>
      </c>
      <c r="H140" s="94">
        <f>IF(TrRoad_act!H82=0,0,TrRoad_ene!H85/TrRoad_tech!H113)</f>
        <v>2.7664865643213807</v>
      </c>
      <c r="I140" s="94">
        <f>IF(TrRoad_act!I82=0,0,TrRoad_ene!I85/TrRoad_tech!I113)</f>
        <v>2.4998936810037948</v>
      </c>
      <c r="J140" s="94">
        <f>IF(TrRoad_act!J82=0,0,TrRoad_ene!J85/TrRoad_tech!J113)</f>
        <v>2.1904980396944254</v>
      </c>
      <c r="K140" s="94">
        <f>IF(TrRoad_act!K82=0,0,TrRoad_ene!K85/TrRoad_tech!K113)</f>
        <v>2.4371744472852206</v>
      </c>
      <c r="L140" s="94">
        <f>IF(TrRoad_act!L82=0,0,TrRoad_ene!L85/TrRoad_tech!L113)</f>
        <v>2.6854551793946948</v>
      </c>
      <c r="M140" s="94">
        <f>IF(TrRoad_act!M82=0,0,TrRoad_ene!M85/TrRoad_tech!M113)</f>
        <v>2.3035690848087551</v>
      </c>
      <c r="N140" s="94">
        <f>IF(TrRoad_act!N82=0,0,TrRoad_ene!N85/TrRoad_tech!N113)</f>
        <v>2.4698611531737078</v>
      </c>
      <c r="O140" s="94">
        <f>IF(TrRoad_act!O82=0,0,TrRoad_ene!O85/TrRoad_tech!O113)</f>
        <v>3.0135453509082781</v>
      </c>
      <c r="P140" s="94">
        <f>IF(TrRoad_act!P82=0,0,TrRoad_ene!P85/TrRoad_tech!P113)</f>
        <v>2.824033440489405</v>
      </c>
      <c r="Q140" s="94">
        <f>IF(TrRoad_act!Q82=0,0,TrRoad_ene!Q85/TrRoad_tech!Q113)</f>
        <v>2.8090118070831767</v>
      </c>
      <c r="R140" s="94">
        <f>IF(TrRoad_act!R82=0,0,TrRoad_ene!R85/TrRoad_tech!R113)</f>
        <v>2.8313594180789563</v>
      </c>
      <c r="S140" s="94">
        <f>IF(TrRoad_act!S82=0,0,TrRoad_ene!S85/TrRoad_tech!S113)</f>
        <v>2.782358211370727</v>
      </c>
      <c r="T140" s="94">
        <f>IF(TrRoad_act!T82=0,0,TrRoad_ene!T85/TrRoad_tech!T113)</f>
        <v>3.0307251883269353</v>
      </c>
      <c r="U140" s="94">
        <f>IF(TrRoad_act!U82=0,0,TrRoad_ene!U85/TrRoad_tech!U113)</f>
        <v>3.2284680739376594</v>
      </c>
      <c r="V140" s="94">
        <f>IF(TrRoad_act!V82=0,0,TrRoad_ene!V85/TrRoad_tech!V113)</f>
        <v>2.7944276781357575</v>
      </c>
      <c r="W140" s="94">
        <f>IF(TrRoad_act!W82=0,0,TrRoad_ene!W85/TrRoad_tech!W113)</f>
        <v>2.8814919366291156</v>
      </c>
      <c r="DA140" s="178"/>
    </row>
    <row r="141" spans="1:105" x14ac:dyDescent="0.25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DA141" s="171"/>
    </row>
    <row r="142" spans="1:105" ht="11.45" customHeight="1" x14ac:dyDescent="0.25">
      <c r="A142" s="53" t="s">
        <v>122</v>
      </c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DA142" s="172"/>
    </row>
    <row r="143" spans="1:105" ht="11.45" customHeight="1" x14ac:dyDescent="0.25">
      <c r="A143" s="27" t="s">
        <v>33</v>
      </c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DA143" s="173"/>
    </row>
    <row r="144" spans="1:105" ht="11.45" customHeight="1" x14ac:dyDescent="0.25">
      <c r="A144" s="136" t="s">
        <v>180</v>
      </c>
      <c r="B144" s="141">
        <v>3.2226666242152233</v>
      </c>
      <c r="C144" s="141">
        <v>3.2055253272735347</v>
      </c>
      <c r="D144" s="141">
        <v>3.1865863533993246</v>
      </c>
      <c r="E144" s="141">
        <v>3.16466424581643</v>
      </c>
      <c r="F144" s="141">
        <v>3.1434094181420571</v>
      </c>
      <c r="G144" s="141">
        <v>3.1167967253198507</v>
      </c>
      <c r="H144" s="141">
        <v>3.1137547139721797</v>
      </c>
      <c r="I144" s="141">
        <v>3.0877307975398449</v>
      </c>
      <c r="J144" s="141">
        <v>3.0388819830601457</v>
      </c>
      <c r="K144" s="141">
        <v>2.9917406201110741</v>
      </c>
      <c r="L144" s="141">
        <v>2.9236976953215534</v>
      </c>
      <c r="M144" s="141">
        <v>2.8790058275311985</v>
      </c>
      <c r="N144" s="141">
        <v>2.8499800488265827</v>
      </c>
      <c r="O144" s="141">
        <v>2.8115113341913305</v>
      </c>
      <c r="P144" s="141">
        <v>2.7888083598270512</v>
      </c>
      <c r="Q144" s="141">
        <v>2.9042229228666936</v>
      </c>
      <c r="R144" s="141">
        <v>2.7979821370064668</v>
      </c>
      <c r="S144" s="141">
        <v>2.7767339798344213</v>
      </c>
      <c r="T144" s="141">
        <v>2.7597354540967851</v>
      </c>
      <c r="U144" s="141">
        <v>2.7461366335066759</v>
      </c>
      <c r="V144" s="141">
        <v>2.7352575770345888</v>
      </c>
      <c r="W144" s="141">
        <v>2.726554331856919</v>
      </c>
      <c r="DA144" s="174" t="s">
        <v>885</v>
      </c>
    </row>
    <row r="145" spans="1:105" ht="11.45" customHeight="1" x14ac:dyDescent="0.25">
      <c r="A145" s="109" t="s">
        <v>20</v>
      </c>
      <c r="B145" s="130">
        <v>7.1933620850456306</v>
      </c>
      <c r="C145" s="130">
        <v>7.1786096069879086</v>
      </c>
      <c r="D145" s="130">
        <v>7.1628529149736666</v>
      </c>
      <c r="E145" s="130">
        <v>7.1409642541508882</v>
      </c>
      <c r="F145" s="130">
        <v>7.0151653613778562</v>
      </c>
      <c r="G145" s="130">
        <v>7.0153530309290844</v>
      </c>
      <c r="H145" s="130">
        <v>6.9893575746076904</v>
      </c>
      <c r="I145" s="130">
        <v>6.9265114850953307</v>
      </c>
      <c r="J145" s="130">
        <v>6.7189197856094518</v>
      </c>
      <c r="K145" s="130">
        <v>6.4078489422577318</v>
      </c>
      <c r="L145" s="130">
        <v>5.9770103056560515</v>
      </c>
      <c r="M145" s="130">
        <v>5.75760444325942</v>
      </c>
      <c r="N145" s="130">
        <v>5.6423161811330136</v>
      </c>
      <c r="O145" s="130">
        <v>5.4621990257037094</v>
      </c>
      <c r="P145" s="130">
        <v>5.3406277807656366</v>
      </c>
      <c r="Q145" s="130">
        <v>5.1419958890152744</v>
      </c>
      <c r="R145" s="130">
        <v>5.0157194167426828</v>
      </c>
      <c r="S145" s="130">
        <v>5.038104398809554</v>
      </c>
      <c r="T145" s="130">
        <v>5.1539998892118044</v>
      </c>
      <c r="U145" s="130">
        <v>5.0911706407629227</v>
      </c>
      <c r="V145" s="130">
        <v>4.7061045071603163</v>
      </c>
      <c r="W145" s="130">
        <v>4.2971865435606151</v>
      </c>
      <c r="DA145" s="176" t="s">
        <v>886</v>
      </c>
    </row>
    <row r="146" spans="1:105" ht="11.45" customHeight="1" x14ac:dyDescent="0.25">
      <c r="A146" s="111" t="s">
        <v>110</v>
      </c>
      <c r="B146" s="96">
        <v>7.3587753834961704</v>
      </c>
      <c r="C146" s="96">
        <v>7.3390684949440415</v>
      </c>
      <c r="D146" s="96">
        <v>7.3172338429027306</v>
      </c>
      <c r="E146" s="96">
        <v>7.2061511942866563</v>
      </c>
      <c r="F146" s="96">
        <v>7.098449754312429</v>
      </c>
      <c r="G146" s="96">
        <v>6.9635991978904057</v>
      </c>
      <c r="H146" s="96">
        <v>6.9481848643760893</v>
      </c>
      <c r="I146" s="96">
        <v>6.8163177273439342</v>
      </c>
      <c r="J146" s="96">
        <v>6.5687933652979025</v>
      </c>
      <c r="K146" s="96">
        <v>6.3299209194824897</v>
      </c>
      <c r="L146" s="96">
        <v>5.9776788725598875</v>
      </c>
      <c r="M146" s="96">
        <v>5.7485572292307072</v>
      </c>
      <c r="N146" s="96">
        <v>5.6003613193589032</v>
      </c>
      <c r="O146" s="96">
        <v>5.4158461420560213</v>
      </c>
      <c r="P146" s="96">
        <v>5.3113456147135221</v>
      </c>
      <c r="Q146" s="96">
        <v>5.1429307759540652</v>
      </c>
      <c r="R146" s="96">
        <v>5.0908770961138403</v>
      </c>
      <c r="S146" s="96">
        <v>5.0864509327731167</v>
      </c>
      <c r="T146" s="96">
        <v>5.2018492088573565</v>
      </c>
      <c r="U146" s="96">
        <v>5.1491267580986229</v>
      </c>
      <c r="V146" s="96">
        <v>4.8995669878469652</v>
      </c>
      <c r="W146" s="96">
        <v>4.7265461263054434</v>
      </c>
      <c r="DA146" s="171" t="s">
        <v>887</v>
      </c>
    </row>
    <row r="147" spans="1:105" ht="11.45" customHeight="1" x14ac:dyDescent="0.25">
      <c r="A147" s="111" t="s">
        <v>111</v>
      </c>
      <c r="B147" s="96">
        <v>7.0998364324180478</v>
      </c>
      <c r="C147" s="96">
        <v>7.0849854948571753</v>
      </c>
      <c r="D147" s="96">
        <v>7.0685208835551805</v>
      </c>
      <c r="E147" s="96">
        <v>7.0893003585087353</v>
      </c>
      <c r="F147" s="96">
        <v>6.9807474729590213</v>
      </c>
      <c r="G147" s="96">
        <v>7.041496211211216</v>
      </c>
      <c r="H147" s="96">
        <v>7.0087011586511583</v>
      </c>
      <c r="I147" s="96">
        <v>7.0024559612607469</v>
      </c>
      <c r="J147" s="96">
        <v>6.8382640444146334</v>
      </c>
      <c r="K147" s="96">
        <v>6.5106750540266374</v>
      </c>
      <c r="L147" s="96">
        <v>5.9765727961650308</v>
      </c>
      <c r="M147" s="96">
        <v>5.7727651928317449</v>
      </c>
      <c r="N147" s="96">
        <v>5.6623388297660071</v>
      </c>
      <c r="O147" s="96">
        <v>5.5135363122657655</v>
      </c>
      <c r="P147" s="96">
        <v>5.4014900330228768</v>
      </c>
      <c r="Q147" s="96">
        <v>5.1872473504415293</v>
      </c>
      <c r="R147" s="96">
        <v>5.049609005778219</v>
      </c>
      <c r="S147" s="96">
        <v>5.1256698437782031</v>
      </c>
      <c r="T147" s="96">
        <v>5.2954278883090602</v>
      </c>
      <c r="U147" s="96">
        <v>5.285805343712477</v>
      </c>
      <c r="V147" s="96">
        <v>5.0476032257843428</v>
      </c>
      <c r="W147" s="96">
        <v>4.8661679268569342</v>
      </c>
      <c r="DA147" s="171" t="s">
        <v>888</v>
      </c>
    </row>
    <row r="148" spans="1:105" ht="11.45" customHeight="1" x14ac:dyDescent="0.25">
      <c r="A148" s="111" t="s">
        <v>112</v>
      </c>
      <c r="B148" s="96">
        <v>7.7853731844596865</v>
      </c>
      <c r="C148" s="96">
        <v>7.9994553705276648</v>
      </c>
      <c r="D148" s="96">
        <v>7.9803491255108367</v>
      </c>
      <c r="E148" s="96">
        <v>8.0044625243941407</v>
      </c>
      <c r="F148" s="96">
        <v>0</v>
      </c>
      <c r="G148" s="96">
        <v>0</v>
      </c>
      <c r="H148" s="96">
        <v>8.1331990856454439</v>
      </c>
      <c r="I148" s="96">
        <v>0</v>
      </c>
      <c r="J148" s="96">
        <v>7.9354165079195411</v>
      </c>
      <c r="K148" s="96">
        <v>0</v>
      </c>
      <c r="L148" s="96">
        <v>0</v>
      </c>
      <c r="M148" s="96">
        <v>8.676466698868273</v>
      </c>
      <c r="N148" s="96">
        <v>8.3873868604733524</v>
      </c>
      <c r="O148" s="96">
        <v>6.718052582417962</v>
      </c>
      <c r="P148" s="96">
        <v>6.4737597612391271</v>
      </c>
      <c r="Q148" s="96">
        <v>0</v>
      </c>
      <c r="R148" s="96">
        <v>5.6431641692310883</v>
      </c>
      <c r="S148" s="96">
        <v>0</v>
      </c>
      <c r="T148" s="96">
        <v>6.4493304791212438</v>
      </c>
      <c r="U148" s="96">
        <v>6.8890575572431461</v>
      </c>
      <c r="V148" s="96">
        <v>0</v>
      </c>
      <c r="W148" s="96">
        <v>4.6557916458291597</v>
      </c>
      <c r="DA148" s="171" t="s">
        <v>889</v>
      </c>
    </row>
    <row r="149" spans="1:105" ht="11.45" customHeight="1" x14ac:dyDescent="0.25">
      <c r="A149" s="111" t="s">
        <v>113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6.7102819799687294</v>
      </c>
      <c r="I149" s="96">
        <v>6.5829299174302474</v>
      </c>
      <c r="J149" s="96">
        <v>6.3438806839021336</v>
      </c>
      <c r="K149" s="96">
        <v>6.1131871286853698</v>
      </c>
      <c r="L149" s="96">
        <v>7.4550480745027983</v>
      </c>
      <c r="M149" s="96">
        <v>6.8520377540274895</v>
      </c>
      <c r="N149" s="96">
        <v>6.5908870814121032</v>
      </c>
      <c r="O149" s="96">
        <v>5.2312072256451714</v>
      </c>
      <c r="P149" s="96">
        <v>5.1252838791286202</v>
      </c>
      <c r="Q149" s="96">
        <v>5.2829119559420077</v>
      </c>
      <c r="R149" s="96">
        <v>5.1036301612324202</v>
      </c>
      <c r="S149" s="96">
        <v>5.263684111672827</v>
      </c>
      <c r="T149" s="96">
        <v>5.2329674361259313</v>
      </c>
      <c r="U149" s="96">
        <v>5.3100848365161308</v>
      </c>
      <c r="V149" s="96">
        <v>4.8900458591420124</v>
      </c>
      <c r="W149" s="96">
        <v>4.6471893234977619</v>
      </c>
      <c r="DA149" s="171" t="s">
        <v>890</v>
      </c>
    </row>
    <row r="150" spans="1:105" ht="11.45" customHeight="1" x14ac:dyDescent="0.25">
      <c r="A150" s="111" t="s">
        <v>114</v>
      </c>
      <c r="B150" s="96">
        <v>0</v>
      </c>
      <c r="C150" s="96">
        <v>0</v>
      </c>
      <c r="D150" s="96">
        <v>0</v>
      </c>
      <c r="E150" s="96">
        <v>0</v>
      </c>
      <c r="F150" s="96">
        <v>0</v>
      </c>
      <c r="G150" s="96">
        <v>0</v>
      </c>
      <c r="H150" s="96">
        <v>0</v>
      </c>
      <c r="I150" s="96">
        <v>0</v>
      </c>
      <c r="J150" s="96">
        <v>0</v>
      </c>
      <c r="K150" s="96">
        <v>0</v>
      </c>
      <c r="L150" s="96">
        <v>0</v>
      </c>
      <c r="M150" s="96">
        <v>3.3601008902245115</v>
      </c>
      <c r="N150" s="96">
        <v>2.7466784995540836</v>
      </c>
      <c r="O150" s="96">
        <v>1.5452874616257561</v>
      </c>
      <c r="P150" s="96">
        <v>2.6299717262023892</v>
      </c>
      <c r="Q150" s="96">
        <v>3.041840098777155</v>
      </c>
      <c r="R150" s="96">
        <v>3.5392389473714783</v>
      </c>
      <c r="S150" s="96">
        <v>3.4451162969900126</v>
      </c>
      <c r="T150" s="96">
        <v>3.5316154480587238</v>
      </c>
      <c r="U150" s="96">
        <v>3.5791455349199621</v>
      </c>
      <c r="V150" s="96">
        <v>3.1017806345089172</v>
      </c>
      <c r="W150" s="96">
        <v>2.9953234701220577</v>
      </c>
      <c r="DA150" s="171" t="s">
        <v>891</v>
      </c>
    </row>
    <row r="151" spans="1:105" ht="11.45" customHeight="1" x14ac:dyDescent="0.25">
      <c r="A151" s="111" t="s">
        <v>115</v>
      </c>
      <c r="B151" s="96">
        <v>0</v>
      </c>
      <c r="C151" s="96">
        <v>0</v>
      </c>
      <c r="D151" s="96">
        <v>0</v>
      </c>
      <c r="E151" s="96">
        <v>0</v>
      </c>
      <c r="F151" s="96">
        <v>0</v>
      </c>
      <c r="G151" s="96">
        <v>0</v>
      </c>
      <c r="H151" s="96">
        <v>0</v>
      </c>
      <c r="I151" s="96">
        <v>0</v>
      </c>
      <c r="J151" s="96">
        <v>1.3307883188520624</v>
      </c>
      <c r="K151" s="96">
        <v>1.3174804356635419</v>
      </c>
      <c r="L151" s="96">
        <v>1.3043056313069064</v>
      </c>
      <c r="M151" s="96">
        <v>1.3043056313069064</v>
      </c>
      <c r="N151" s="96">
        <v>1.2848865351505141</v>
      </c>
      <c r="O151" s="96">
        <v>1.3017423734893363</v>
      </c>
      <c r="P151" s="96">
        <v>1.2292427987962167</v>
      </c>
      <c r="Q151" s="96">
        <v>1.4084326396427644</v>
      </c>
      <c r="R151" s="96">
        <v>1.2866805836874051</v>
      </c>
      <c r="S151" s="96">
        <v>1.2428444522409099</v>
      </c>
      <c r="T151" s="96">
        <v>1.3234363192907084</v>
      </c>
      <c r="U151" s="96">
        <v>1.4694436620806399</v>
      </c>
      <c r="V151" s="96">
        <v>1.4850668450601641</v>
      </c>
      <c r="W151" s="96">
        <v>1.5009996902324618</v>
      </c>
      <c r="DA151" s="171" t="s">
        <v>892</v>
      </c>
    </row>
    <row r="152" spans="1:105" ht="11.45" customHeight="1" x14ac:dyDescent="0.25">
      <c r="A152" s="109" t="s">
        <v>21</v>
      </c>
      <c r="B152" s="130">
        <v>47.290489915210195</v>
      </c>
      <c r="C152" s="130">
        <v>46.889352364018549</v>
      </c>
      <c r="D152" s="130">
        <v>46.669591356978351</v>
      </c>
      <c r="E152" s="130">
        <v>46.608151632440418</v>
      </c>
      <c r="F152" s="130">
        <v>46.647976207809897</v>
      </c>
      <c r="G152" s="130">
        <v>46.008616475581988</v>
      </c>
      <c r="H152" s="130">
        <v>46.340048000932299</v>
      </c>
      <c r="I152" s="130">
        <v>45.688683126452148</v>
      </c>
      <c r="J152" s="130">
        <v>45.395647382344926</v>
      </c>
      <c r="K152" s="130">
        <v>43.141391441958724</v>
      </c>
      <c r="L152" s="130">
        <v>43.324883126163179</v>
      </c>
      <c r="M152" s="130">
        <v>43.800337408918864</v>
      </c>
      <c r="N152" s="130">
        <v>43.50915747449838</v>
      </c>
      <c r="O152" s="130">
        <v>42.484763159101746</v>
      </c>
      <c r="P152" s="130">
        <v>42.974629428169209</v>
      </c>
      <c r="Q152" s="130">
        <v>42.846192183061426</v>
      </c>
      <c r="R152" s="130">
        <v>42.468696273895532</v>
      </c>
      <c r="S152" s="130">
        <v>42.524530825682525</v>
      </c>
      <c r="T152" s="130">
        <v>42.264020178063234</v>
      </c>
      <c r="U152" s="130">
        <v>42.017532080201981</v>
      </c>
      <c r="V152" s="130">
        <v>42.010616926072942</v>
      </c>
      <c r="W152" s="130">
        <v>42.077904739763625</v>
      </c>
      <c r="DA152" s="176" t="s">
        <v>893</v>
      </c>
    </row>
    <row r="153" spans="1:105" ht="11.45" customHeight="1" x14ac:dyDescent="0.25">
      <c r="A153" s="111" t="s">
        <v>110</v>
      </c>
      <c r="B153" s="97">
        <v>0</v>
      </c>
      <c r="C153" s="97">
        <v>15.239495557849153</v>
      </c>
      <c r="D153" s="97">
        <v>0</v>
      </c>
      <c r="E153" s="97">
        <v>0</v>
      </c>
      <c r="F153" s="97">
        <v>0</v>
      </c>
      <c r="G153" s="97">
        <v>0</v>
      </c>
      <c r="H153" s="97">
        <v>0</v>
      </c>
      <c r="I153" s="97">
        <v>14.012469206456549</v>
      </c>
      <c r="J153" s="97">
        <v>0</v>
      </c>
      <c r="K153" s="97">
        <v>0</v>
      </c>
      <c r="L153" s="97">
        <v>0</v>
      </c>
      <c r="M153" s="97">
        <v>0</v>
      </c>
      <c r="N153" s="97">
        <v>0</v>
      </c>
      <c r="O153" s="97">
        <v>0</v>
      </c>
      <c r="P153" s="97">
        <v>10.898693813614951</v>
      </c>
      <c r="Q153" s="97">
        <v>0</v>
      </c>
      <c r="R153" s="97">
        <v>10.961477412265499</v>
      </c>
      <c r="S153" s="97">
        <v>0</v>
      </c>
      <c r="T153" s="97">
        <v>0</v>
      </c>
      <c r="U153" s="97">
        <v>0</v>
      </c>
      <c r="V153" s="97">
        <v>0</v>
      </c>
      <c r="W153" s="97">
        <v>11.071953492743127</v>
      </c>
      <c r="DA153" s="175" t="s">
        <v>894</v>
      </c>
    </row>
    <row r="154" spans="1:105" ht="11.45" customHeight="1" x14ac:dyDescent="0.25">
      <c r="A154" s="111" t="s">
        <v>111</v>
      </c>
      <c r="B154" s="97">
        <v>47.586267743001528</v>
      </c>
      <c r="C154" s="97">
        <v>47.446280968037492</v>
      </c>
      <c r="D154" s="97">
        <v>47.291223036324453</v>
      </c>
      <c r="E154" s="97">
        <v>47.109674409748834</v>
      </c>
      <c r="F154" s="97">
        <v>46.931656421598987</v>
      </c>
      <c r="G154" s="97">
        <v>46.705542446343564</v>
      </c>
      <c r="H154" s="97">
        <v>46.679653104187111</v>
      </c>
      <c r="I154" s="97">
        <v>46.454975906076982</v>
      </c>
      <c r="J154" s="97">
        <v>46.021432593415135</v>
      </c>
      <c r="K154" s="97">
        <v>45.591312358520298</v>
      </c>
      <c r="L154" s="97">
        <v>44.944043160570267</v>
      </c>
      <c r="M154" s="97">
        <v>44.506487739782621</v>
      </c>
      <c r="N154" s="97">
        <v>44.216761291207995</v>
      </c>
      <c r="O154" s="97">
        <v>43.822507110523311</v>
      </c>
      <c r="P154" s="97">
        <v>43.586065044651534</v>
      </c>
      <c r="Q154" s="97">
        <v>43.199999999908329</v>
      </c>
      <c r="R154" s="97">
        <v>42.931790928588619</v>
      </c>
      <c r="S154" s="97">
        <v>42.745035981688048</v>
      </c>
      <c r="T154" s="97">
        <v>42.614791102202965</v>
      </c>
      <c r="U154" s="97">
        <v>42.523855889360682</v>
      </c>
      <c r="V154" s="97">
        <v>42.460316722160613</v>
      </c>
      <c r="W154" s="97">
        <v>42.415895803017705</v>
      </c>
      <c r="DA154" s="175" t="s">
        <v>895</v>
      </c>
    </row>
    <row r="155" spans="1:105" ht="11.45" customHeight="1" x14ac:dyDescent="0.25">
      <c r="A155" s="111" t="s">
        <v>112</v>
      </c>
      <c r="B155" s="97">
        <v>0</v>
      </c>
      <c r="C155" s="97">
        <v>40.329338822831865</v>
      </c>
      <c r="D155" s="97">
        <v>40.197539580875784</v>
      </c>
      <c r="E155" s="97">
        <v>40.043223248286509</v>
      </c>
      <c r="F155" s="97">
        <v>39.891907958359141</v>
      </c>
      <c r="G155" s="97">
        <v>39.699711079392031</v>
      </c>
      <c r="H155" s="97">
        <v>39.677705138559041</v>
      </c>
      <c r="I155" s="97">
        <v>39.486729520165433</v>
      </c>
      <c r="J155" s="97">
        <v>39.118217704402866</v>
      </c>
      <c r="K155" s="97">
        <v>38.752615504742252</v>
      </c>
      <c r="L155" s="97">
        <v>38.202436686484724</v>
      </c>
      <c r="M155" s="97">
        <v>37.830514578815226</v>
      </c>
      <c r="N155" s="97">
        <v>37.584247097526791</v>
      </c>
      <c r="O155" s="97">
        <v>0</v>
      </c>
      <c r="P155" s="97">
        <v>0</v>
      </c>
      <c r="Q155" s="97">
        <v>0</v>
      </c>
      <c r="R155" s="97">
        <v>0</v>
      </c>
      <c r="S155" s="97">
        <v>0</v>
      </c>
      <c r="T155" s="97">
        <v>35.01065225464454</v>
      </c>
      <c r="U155" s="97">
        <v>0</v>
      </c>
      <c r="V155" s="97">
        <v>34.519200907774355</v>
      </c>
      <c r="W155" s="97">
        <v>34.311790484275669</v>
      </c>
      <c r="DA155" s="175" t="s">
        <v>896</v>
      </c>
    </row>
    <row r="156" spans="1:105" ht="11.45" customHeight="1" x14ac:dyDescent="0.25">
      <c r="A156" s="111" t="s">
        <v>113</v>
      </c>
      <c r="B156" s="97">
        <v>0</v>
      </c>
      <c r="C156" s="97">
        <v>0</v>
      </c>
      <c r="D156" s="97">
        <v>0</v>
      </c>
      <c r="E156" s="97">
        <v>0</v>
      </c>
      <c r="F156" s="97">
        <v>39.891907958359141</v>
      </c>
      <c r="G156" s="97">
        <v>0</v>
      </c>
      <c r="H156" s="97">
        <v>39.677705138559041</v>
      </c>
      <c r="I156" s="97">
        <v>39.486729520165433</v>
      </c>
      <c r="J156" s="97">
        <v>39.118217704402866</v>
      </c>
      <c r="K156" s="97">
        <v>38.752615504742252</v>
      </c>
      <c r="L156" s="97">
        <v>38.202436686484724</v>
      </c>
      <c r="M156" s="97">
        <v>37.830514578815226</v>
      </c>
      <c r="N156" s="97">
        <v>37.584247097526791</v>
      </c>
      <c r="O156" s="97">
        <v>37.249131043944814</v>
      </c>
      <c r="P156" s="97">
        <v>37.048155287953804</v>
      </c>
      <c r="Q156" s="97">
        <v>36.719999999922081</v>
      </c>
      <c r="R156" s="97">
        <v>0</v>
      </c>
      <c r="S156" s="97">
        <v>36.165575175567007</v>
      </c>
      <c r="T156" s="97">
        <v>0</v>
      </c>
      <c r="U156" s="97">
        <v>35.722633399081779</v>
      </c>
      <c r="V156" s="97">
        <v>35.535453565964232</v>
      </c>
      <c r="W156" s="97">
        <v>0</v>
      </c>
      <c r="DA156" s="175" t="s">
        <v>897</v>
      </c>
    </row>
    <row r="157" spans="1:105" ht="11.45" customHeight="1" x14ac:dyDescent="0.25">
      <c r="A157" s="111" t="s">
        <v>115</v>
      </c>
      <c r="B157" s="97">
        <v>26.290264142025354</v>
      </c>
      <c r="C157" s="97">
        <v>26.053533022477517</v>
      </c>
      <c r="D157" s="97">
        <v>25.79299769225274</v>
      </c>
      <c r="E157" s="97">
        <v>25.535067715330211</v>
      </c>
      <c r="F157" s="97">
        <v>0</v>
      </c>
      <c r="G157" s="97">
        <v>25.02691986779514</v>
      </c>
      <c r="H157" s="97">
        <v>24.776650669117188</v>
      </c>
      <c r="I157" s="97">
        <v>0</v>
      </c>
      <c r="J157" s="97">
        <v>24.286056468101552</v>
      </c>
      <c r="K157" s="97">
        <v>24.04075936759374</v>
      </c>
      <c r="L157" s="97">
        <v>23.800351773917804</v>
      </c>
      <c r="M157" s="97">
        <v>23.562348256178627</v>
      </c>
      <c r="N157" s="97">
        <v>23.326724773616839</v>
      </c>
      <c r="O157" s="97">
        <v>23.09345752588067</v>
      </c>
      <c r="P157" s="97">
        <v>22.862522950621862</v>
      </c>
      <c r="Q157" s="97">
        <v>22.633897721115645</v>
      </c>
      <c r="R157" s="97">
        <v>22.430090413653645</v>
      </c>
      <c r="S157" s="97">
        <v>22.248233393339937</v>
      </c>
      <c r="T157" s="97">
        <v>22.085823068565151</v>
      </c>
      <c r="U157" s="97">
        <v>21.94066769636084</v>
      </c>
      <c r="V157" s="97">
        <v>21.810843718406304</v>
      </c>
      <c r="W157" s="97">
        <v>21.694659057346481</v>
      </c>
      <c r="DA157" s="175" t="s">
        <v>898</v>
      </c>
    </row>
    <row r="158" spans="1:105" ht="11.45" customHeight="1" x14ac:dyDescent="0.25">
      <c r="A158" s="27" t="s">
        <v>34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DA158" s="173"/>
    </row>
    <row r="159" spans="1:105" ht="11.45" customHeight="1" x14ac:dyDescent="0.25">
      <c r="A159" s="136" t="s">
        <v>156</v>
      </c>
      <c r="B159" s="141">
        <v>8.5147746551949801</v>
      </c>
      <c r="C159" s="141">
        <v>8.492598367476905</v>
      </c>
      <c r="D159" s="141">
        <v>8.4781375886318138</v>
      </c>
      <c r="E159" s="141">
        <v>8.4917290156076817</v>
      </c>
      <c r="F159" s="141">
        <v>8.4059196989162963</v>
      </c>
      <c r="G159" s="141">
        <v>8.462528576811021</v>
      </c>
      <c r="H159" s="141">
        <v>8.555326742761256</v>
      </c>
      <c r="I159" s="141">
        <v>8.5374969418803861</v>
      </c>
      <c r="J159" s="141">
        <v>8.4272928371520361</v>
      </c>
      <c r="K159" s="141">
        <v>8.1207828314513435</v>
      </c>
      <c r="L159" s="141">
        <v>8.4006820534632016</v>
      </c>
      <c r="M159" s="141">
        <v>8.5842663912212789</v>
      </c>
      <c r="N159" s="141">
        <v>7.4128023183812228</v>
      </c>
      <c r="O159" s="141">
        <v>7.3439028888421944</v>
      </c>
      <c r="P159" s="141">
        <v>7.2067839292625271</v>
      </c>
      <c r="Q159" s="141">
        <v>6.9980304376589046</v>
      </c>
      <c r="R159" s="141">
        <v>6.7671789899653607</v>
      </c>
      <c r="S159" s="141">
        <v>6.4814438183977074</v>
      </c>
      <c r="T159" s="141">
        <v>6.5421769395209308</v>
      </c>
      <c r="U159" s="141">
        <v>6.6522919630540898</v>
      </c>
      <c r="V159" s="141">
        <v>6.843753338166235</v>
      </c>
      <c r="W159" s="141">
        <v>6.8843985705748656</v>
      </c>
      <c r="DA159" s="174" t="s">
        <v>899</v>
      </c>
    </row>
    <row r="160" spans="1:105" ht="11.45" customHeight="1" x14ac:dyDescent="0.25">
      <c r="A160" s="111" t="s">
        <v>110</v>
      </c>
      <c r="B160" s="96">
        <v>8.9056054092594792</v>
      </c>
      <c r="C160" s="96">
        <v>8.8017801713367447</v>
      </c>
      <c r="D160" s="96">
        <v>8.6878378303657762</v>
      </c>
      <c r="E160" s="96">
        <v>8.5559480947548199</v>
      </c>
      <c r="F160" s="96">
        <v>8.4280729079449124</v>
      </c>
      <c r="G160" s="96">
        <v>8.2679632557618739</v>
      </c>
      <c r="H160" s="96">
        <v>8.2496616362276747</v>
      </c>
      <c r="I160" s="96">
        <v>8.0930942329867381</v>
      </c>
      <c r="J160" s="96">
        <v>7.7992056457569507</v>
      </c>
      <c r="K160" s="96">
        <v>7.5155895804592632</v>
      </c>
      <c r="L160" s="96">
        <v>7.106223677716927</v>
      </c>
      <c r="M160" s="96">
        <v>6.8373444832990957</v>
      </c>
      <c r="N160" s="96">
        <v>6.654958402810542</v>
      </c>
      <c r="O160" s="96">
        <v>6.6495445780883324</v>
      </c>
      <c r="P160" s="96">
        <v>6.7940883910264001</v>
      </c>
      <c r="Q160" s="96">
        <v>6.7592511619130535</v>
      </c>
      <c r="R160" s="96">
        <v>6.3268749260316284</v>
      </c>
      <c r="S160" s="96">
        <v>6.1021459030936489</v>
      </c>
      <c r="T160" s="96">
        <v>6.0200519139028934</v>
      </c>
      <c r="U160" s="96">
        <v>5.9661426952639882</v>
      </c>
      <c r="V160" s="96">
        <v>6.1571958548839749</v>
      </c>
      <c r="W160" s="96">
        <v>6.1355296226185887</v>
      </c>
      <c r="DA160" s="171" t="s">
        <v>900</v>
      </c>
    </row>
    <row r="161" spans="1:105" ht="11.45" customHeight="1" x14ac:dyDescent="0.25">
      <c r="A161" s="111" t="s">
        <v>111</v>
      </c>
      <c r="B161" s="96">
        <v>8.4803967045171316</v>
      </c>
      <c r="C161" s="96">
        <v>8.4621650741270447</v>
      </c>
      <c r="D161" s="96">
        <v>8.4419536732515787</v>
      </c>
      <c r="E161" s="96">
        <v>8.4674618550461282</v>
      </c>
      <c r="F161" s="96">
        <v>8.3342059982396357</v>
      </c>
      <c r="G161" s="96">
        <v>8.4087790980215136</v>
      </c>
      <c r="H161" s="96">
        <v>8.6036448802552812</v>
      </c>
      <c r="I161" s="96">
        <v>8.5959784868197602</v>
      </c>
      <c r="J161" s="96">
        <v>8.3944220339513578</v>
      </c>
      <c r="K161" s="96">
        <v>7.9922848510154409</v>
      </c>
      <c r="L161" s="96">
        <v>7.7034709019536667</v>
      </c>
      <c r="M161" s="96">
        <v>7.4407742034573916</v>
      </c>
      <c r="N161" s="96">
        <v>7.2984407451866629</v>
      </c>
      <c r="O161" s="96">
        <v>7.273284277466928</v>
      </c>
      <c r="P161" s="96">
        <v>7.2329997740310095</v>
      </c>
      <c r="Q161" s="96">
        <v>7.030629128521003</v>
      </c>
      <c r="R161" s="96">
        <v>6.8106464883205078</v>
      </c>
      <c r="S161" s="96">
        <v>6.4970508338381237</v>
      </c>
      <c r="T161" s="96">
        <v>6.6012328517235757</v>
      </c>
      <c r="U161" s="96">
        <v>6.7123861561320917</v>
      </c>
      <c r="V161" s="96">
        <v>6.9482718932833274</v>
      </c>
      <c r="W161" s="96">
        <v>7.1136928225054366</v>
      </c>
      <c r="DA161" s="171" t="s">
        <v>901</v>
      </c>
    </row>
    <row r="162" spans="1:105" ht="11.45" customHeight="1" x14ac:dyDescent="0.25">
      <c r="A162" s="111" t="s">
        <v>112</v>
      </c>
      <c r="B162" s="96">
        <v>0</v>
      </c>
      <c r="C162" s="96">
        <v>0</v>
      </c>
      <c r="D162" s="96">
        <v>0</v>
      </c>
      <c r="E162" s="96">
        <v>18.903453023787527</v>
      </c>
      <c r="F162" s="96">
        <v>18.605961771697036</v>
      </c>
      <c r="G162" s="96">
        <v>18.772444846873199</v>
      </c>
      <c r="H162" s="96">
        <v>0</v>
      </c>
      <c r="I162" s="96">
        <v>0</v>
      </c>
      <c r="J162" s="96">
        <v>0</v>
      </c>
      <c r="K162" s="96">
        <v>0</v>
      </c>
      <c r="L162" s="96">
        <v>0</v>
      </c>
      <c r="M162" s="96">
        <v>0</v>
      </c>
      <c r="N162" s="96">
        <v>16.293634873750548</v>
      </c>
      <c r="O162" s="96">
        <v>16.816321774651058</v>
      </c>
      <c r="P162" s="96">
        <v>15.325696168379231</v>
      </c>
      <c r="Q162" s="96">
        <v>15.114183636464739</v>
      </c>
      <c r="R162" s="96">
        <v>13.013398149992186</v>
      </c>
      <c r="S162" s="96">
        <v>13.841523486809871</v>
      </c>
      <c r="T162" s="96">
        <v>13.680200369247984</v>
      </c>
      <c r="U162" s="96">
        <v>13.72321986726449</v>
      </c>
      <c r="V162" s="96">
        <v>10.894308478174329</v>
      </c>
      <c r="W162" s="96">
        <v>11.033847680969105</v>
      </c>
      <c r="DA162" s="171" t="s">
        <v>902</v>
      </c>
    </row>
    <row r="163" spans="1:105" ht="11.45" customHeight="1" x14ac:dyDescent="0.25">
      <c r="A163" s="111" t="s">
        <v>113</v>
      </c>
      <c r="B163" s="96">
        <v>0</v>
      </c>
      <c r="C163" s="96">
        <v>0</v>
      </c>
      <c r="D163" s="96">
        <v>0</v>
      </c>
      <c r="E163" s="96">
        <v>0</v>
      </c>
      <c r="F163" s="96">
        <v>0</v>
      </c>
      <c r="G163" s="96">
        <v>0</v>
      </c>
      <c r="H163" s="96">
        <v>10.788636805000452</v>
      </c>
      <c r="I163" s="96">
        <v>10.583883092235947</v>
      </c>
      <c r="J163" s="96">
        <v>10.199545240749627</v>
      </c>
      <c r="K163" s="96">
        <v>9.8286414563903932</v>
      </c>
      <c r="L163" s="96">
        <v>9.2932861606478969</v>
      </c>
      <c r="M163" s="96">
        <v>8.9416547724881301</v>
      </c>
      <c r="N163" s="96">
        <v>8.7132826913256949</v>
      </c>
      <c r="O163" s="96">
        <v>8.8106647218023859</v>
      </c>
      <c r="P163" s="96">
        <v>7.6699654553554186</v>
      </c>
      <c r="Q163" s="96">
        <v>6.9701529952903414</v>
      </c>
      <c r="R163" s="96">
        <v>6.6231404140052819</v>
      </c>
      <c r="S163" s="96">
        <v>7.0237384369288094</v>
      </c>
      <c r="T163" s="96">
        <v>6.4601098180029481</v>
      </c>
      <c r="U163" s="96">
        <v>7.107449060232673</v>
      </c>
      <c r="V163" s="96">
        <v>6.1119725021399169</v>
      </c>
      <c r="W163" s="96">
        <v>7.6012796664255848</v>
      </c>
      <c r="DA163" s="171" t="s">
        <v>903</v>
      </c>
    </row>
    <row r="164" spans="1:105" ht="11.45" customHeight="1" x14ac:dyDescent="0.25">
      <c r="A164" s="111" t="s">
        <v>115</v>
      </c>
      <c r="B164" s="96">
        <v>0</v>
      </c>
      <c r="C164" s="96">
        <v>1.7235386486612407</v>
      </c>
      <c r="D164" s="96">
        <v>0</v>
      </c>
      <c r="E164" s="96">
        <v>0</v>
      </c>
      <c r="F164" s="96">
        <v>0</v>
      </c>
      <c r="G164" s="96">
        <v>0</v>
      </c>
      <c r="H164" s="96">
        <v>0</v>
      </c>
      <c r="I164" s="96">
        <v>1.4455078346411929</v>
      </c>
      <c r="J164" s="96">
        <v>1.4310527562947808</v>
      </c>
      <c r="K164" s="96">
        <v>1.416742228731833</v>
      </c>
      <c r="L164" s="96">
        <v>1.4025748064445145</v>
      </c>
      <c r="M164" s="96">
        <v>1.3885490583800695</v>
      </c>
      <c r="N164" s="96">
        <v>1.3746635677962691</v>
      </c>
      <c r="O164" s="96">
        <v>1.3741535832387557</v>
      </c>
      <c r="P164" s="96">
        <v>1.3858976283739828</v>
      </c>
      <c r="Q164" s="96">
        <v>1.3953628697711609</v>
      </c>
      <c r="R164" s="96">
        <v>1.4047938786748719</v>
      </c>
      <c r="S164" s="96">
        <v>1.4166140360221884</v>
      </c>
      <c r="T164" s="96">
        <v>1.4599619774862544</v>
      </c>
      <c r="U164" s="96">
        <v>1.6090359359037256</v>
      </c>
      <c r="V164" s="96">
        <v>1.9109675347951436</v>
      </c>
      <c r="W164" s="96">
        <v>2.1189286877456106</v>
      </c>
      <c r="DA164" s="171" t="s">
        <v>904</v>
      </c>
    </row>
    <row r="165" spans="1:105" ht="11.45" customHeight="1" x14ac:dyDescent="0.25">
      <c r="A165" s="109" t="s">
        <v>158</v>
      </c>
      <c r="B165" s="130">
        <v>30.232975661504891</v>
      </c>
      <c r="C165" s="130">
        <v>30.548042830586365</v>
      </c>
      <c r="D165" s="130">
        <v>30.51365527922021</v>
      </c>
      <c r="E165" s="130">
        <v>30.157899676966533</v>
      </c>
      <c r="F165" s="130">
        <v>30.582112395279719</v>
      </c>
      <c r="G165" s="130">
        <v>29.838365190855644</v>
      </c>
      <c r="H165" s="130">
        <v>29.711155804966157</v>
      </c>
      <c r="I165" s="130">
        <v>29.752624023125719</v>
      </c>
      <c r="J165" s="130">
        <v>29.381626224394775</v>
      </c>
      <c r="K165" s="130">
        <v>27.193272484816454</v>
      </c>
      <c r="L165" s="130">
        <v>28.313299311633692</v>
      </c>
      <c r="M165" s="130">
        <v>28.568982272874095</v>
      </c>
      <c r="N165" s="130">
        <v>26.902999094479618</v>
      </c>
      <c r="O165" s="130">
        <v>26.859550202017072</v>
      </c>
      <c r="P165" s="130">
        <v>26.166670518696108</v>
      </c>
      <c r="Q165" s="130">
        <v>25.869162359092702</v>
      </c>
      <c r="R165" s="130">
        <v>24.708245801874192</v>
      </c>
      <c r="S165" s="130">
        <v>24.366185605844972</v>
      </c>
      <c r="T165" s="130">
        <v>23.0940384698646</v>
      </c>
      <c r="U165" s="130">
        <v>22.281256824152191</v>
      </c>
      <c r="V165" s="130">
        <v>21.680333379928246</v>
      </c>
      <c r="W165" s="130">
        <v>21.589088260053067</v>
      </c>
      <c r="DA165" s="176" t="s">
        <v>905</v>
      </c>
    </row>
    <row r="166" spans="1:105" ht="11.45" customHeight="1" x14ac:dyDescent="0.25">
      <c r="A166" s="128" t="s">
        <v>27</v>
      </c>
      <c r="B166" s="97">
        <v>29.529677246613002</v>
      </c>
      <c r="C166" s="97">
        <v>29.393814432931158</v>
      </c>
      <c r="D166" s="97">
        <v>29.243588756181733</v>
      </c>
      <c r="E166" s="97">
        <v>29.056529826259176</v>
      </c>
      <c r="F166" s="97">
        <v>28.833112963427613</v>
      </c>
      <c r="G166" s="97">
        <v>28.573901867061384</v>
      </c>
      <c r="H166" s="97">
        <v>28.279545100431452</v>
      </c>
      <c r="I166" s="97">
        <v>27.95077209584381</v>
      </c>
      <c r="J166" s="97">
        <v>27.588388725231891</v>
      </c>
      <c r="K166" s="97">
        <v>27.193272484816454</v>
      </c>
      <c r="L166" s="97">
        <v>26.766367346870169</v>
      </c>
      <c r="M166" s="97">
        <v>26.308678332450487</v>
      </c>
      <c r="N166" s="97">
        <v>25.821265861050637</v>
      </c>
      <c r="O166" s="97">
        <v>25.305239933773592</v>
      </c>
      <c r="P166" s="97">
        <v>24.761754205302339</v>
      </c>
      <c r="Q166" s="97">
        <v>24.19199999994866</v>
      </c>
      <c r="R166" s="97">
        <v>23.083209782977576</v>
      </c>
      <c r="S166" s="97">
        <v>22.307056631097815</v>
      </c>
      <c r="T166" s="97">
        <v>21.492095821624066</v>
      </c>
      <c r="U166" s="97">
        <v>20.496032610045042</v>
      </c>
      <c r="V166" s="97">
        <v>19.396014947973239</v>
      </c>
      <c r="W166" s="97">
        <v>18.868347388605301</v>
      </c>
      <c r="DA166" s="175" t="s">
        <v>906</v>
      </c>
    </row>
    <row r="167" spans="1:105" ht="11.45" customHeight="1" x14ac:dyDescent="0.25">
      <c r="A167" s="138" t="s">
        <v>116</v>
      </c>
      <c r="B167" s="98">
        <v>33.546147315091126</v>
      </c>
      <c r="C167" s="98">
        <v>33.402061855603584</v>
      </c>
      <c r="D167" s="98">
        <v>33.242692617271175</v>
      </c>
      <c r="E167" s="98">
        <v>33.04424825123408</v>
      </c>
      <c r="F167" s="98">
        <v>32.807233008364037</v>
      </c>
      <c r="G167" s="98">
        <v>32.532244897882101</v>
      </c>
      <c r="H167" s="98">
        <v>32.219971958189838</v>
      </c>
      <c r="I167" s="98">
        <v>31.871188018858444</v>
      </c>
      <c r="J167" s="98">
        <v>31.48674800162302</v>
      </c>
      <c r="K167" s="98">
        <v>0</v>
      </c>
      <c r="L167" s="98">
        <v>30.614693877473673</v>
      </c>
      <c r="M167" s="98">
        <v>30.129147390351896</v>
      </c>
      <c r="N167" s="98">
        <v>29.612068313049569</v>
      </c>
      <c r="O167" s="98">
        <v>29.064634207446638</v>
      </c>
      <c r="P167" s="98">
        <v>28.488068946000222</v>
      </c>
      <c r="Q167" s="98">
        <v>27.883636363577196</v>
      </c>
      <c r="R167" s="98">
        <v>27.103246514875242</v>
      </c>
      <c r="S167" s="98">
        <v>26.556973620783872</v>
      </c>
      <c r="T167" s="98">
        <v>25.983387081987935</v>
      </c>
      <c r="U167" s="98">
        <v>25.282336867904011</v>
      </c>
      <c r="V167" s="98">
        <v>24.879360481322131</v>
      </c>
      <c r="W167" s="98">
        <v>24.630566876508908</v>
      </c>
      <c r="DA167" s="178" t="s">
        <v>907</v>
      </c>
    </row>
    <row r="168" spans="1:105" x14ac:dyDescent="0.25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DA168" s="171"/>
    </row>
    <row r="169" spans="1:105" ht="11.45" customHeight="1" x14ac:dyDescent="0.25">
      <c r="A169" s="53" t="s">
        <v>123</v>
      </c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DA169" s="172"/>
    </row>
    <row r="170" spans="1:105" ht="11.45" customHeight="1" x14ac:dyDescent="0.25">
      <c r="A170" s="27" t="s">
        <v>33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DA170" s="173"/>
    </row>
    <row r="171" spans="1:105" ht="11.45" customHeight="1" x14ac:dyDescent="0.25">
      <c r="A171" s="136" t="s">
        <v>180</v>
      </c>
      <c r="B171" s="152">
        <v>99.649826742747436</v>
      </c>
      <c r="C171" s="152">
        <v>99.032907731809999</v>
      </c>
      <c r="D171" s="152">
        <v>98.47458625849049</v>
      </c>
      <c r="E171" s="152">
        <v>97.97821268492838</v>
      </c>
      <c r="F171" s="152">
        <v>97.446445700353053</v>
      </c>
      <c r="G171" s="152">
        <v>96.745839153901017</v>
      </c>
      <c r="H171" s="152">
        <v>96.017118941264101</v>
      </c>
      <c r="I171" s="152">
        <v>95.146098744468759</v>
      </c>
      <c r="J171" s="152">
        <v>94.155398273138644</v>
      </c>
      <c r="K171" s="152">
        <v>93.169897637040762</v>
      </c>
      <c r="L171" s="152">
        <v>92.221095071994512</v>
      </c>
      <c r="M171" s="152">
        <v>91.612252015152478</v>
      </c>
      <c r="N171" s="152">
        <v>90.476401926027364</v>
      </c>
      <c r="O171" s="152">
        <v>89.445890179851062</v>
      </c>
      <c r="P171" s="152">
        <v>88.845883030681918</v>
      </c>
      <c r="Q171" s="152">
        <v>88.094827089597516</v>
      </c>
      <c r="R171" s="152">
        <v>87.062031726996622</v>
      </c>
      <c r="S171" s="152">
        <v>86.526663516318735</v>
      </c>
      <c r="T171" s="152">
        <v>85.987215428336427</v>
      </c>
      <c r="U171" s="152">
        <v>85.081888895743035</v>
      </c>
      <c r="V171" s="152">
        <v>84.237963399036929</v>
      </c>
      <c r="W171" s="152">
        <v>76.80130882041658</v>
      </c>
      <c r="DA171" s="174" t="s">
        <v>908</v>
      </c>
    </row>
    <row r="172" spans="1:105" ht="11.45" customHeight="1" x14ac:dyDescent="0.25">
      <c r="A172" s="109" t="s">
        <v>20</v>
      </c>
      <c r="B172" s="116">
        <v>232.69678750499702</v>
      </c>
      <c r="C172" s="116">
        <v>230.55273159993342</v>
      </c>
      <c r="D172" s="116">
        <v>229.32837251374934</v>
      </c>
      <c r="E172" s="116">
        <v>228.5157848428523</v>
      </c>
      <c r="F172" s="116">
        <v>227.60768565081824</v>
      </c>
      <c r="G172" s="116">
        <v>225.66860544396332</v>
      </c>
      <c r="H172" s="116">
        <v>223.47169021351957</v>
      </c>
      <c r="I172" s="116">
        <v>221.88485075311849</v>
      </c>
      <c r="J172" s="116">
        <v>219.26321085874199</v>
      </c>
      <c r="K172" s="116">
        <v>215.69230607291198</v>
      </c>
      <c r="L172" s="116">
        <v>212.94591436184274</v>
      </c>
      <c r="M172" s="116">
        <v>209.43216526263126</v>
      </c>
      <c r="N172" s="116">
        <v>205.85932667787193</v>
      </c>
      <c r="O172" s="116">
        <v>201.88159170672404</v>
      </c>
      <c r="P172" s="116">
        <v>198.59883686904968</v>
      </c>
      <c r="Q172" s="116">
        <v>194.54923880285298</v>
      </c>
      <c r="R172" s="116">
        <v>189.92976030004712</v>
      </c>
      <c r="S172" s="116">
        <v>184.58106273521133</v>
      </c>
      <c r="T172" s="116">
        <v>179.88703473195403</v>
      </c>
      <c r="U172" s="116">
        <v>175.56840070788107</v>
      </c>
      <c r="V172" s="116">
        <v>170.2290653205288</v>
      </c>
      <c r="W172" s="116">
        <v>160.73668557999335</v>
      </c>
      <c r="DA172" s="176" t="s">
        <v>909</v>
      </c>
    </row>
    <row r="173" spans="1:105" ht="11.45" customHeight="1" x14ac:dyDescent="0.25">
      <c r="A173" s="111" t="s">
        <v>110</v>
      </c>
      <c r="B173" s="87">
        <v>224.18693322381179</v>
      </c>
      <c r="C173" s="87">
        <v>222.95186400470234</v>
      </c>
      <c r="D173" s="87">
        <v>222.26043321941148</v>
      </c>
      <c r="E173" s="87">
        <v>221.46586580870178</v>
      </c>
      <c r="F173" s="87">
        <v>220.41498982023336</v>
      </c>
      <c r="G173" s="87">
        <v>218.95136629618844</v>
      </c>
      <c r="H173" s="87">
        <v>217.25627708415803</v>
      </c>
      <c r="I173" s="87">
        <v>215.24477538868223</v>
      </c>
      <c r="J173" s="87">
        <v>212.55251460887922</v>
      </c>
      <c r="K173" s="87">
        <v>208.56512664633661</v>
      </c>
      <c r="L173" s="87">
        <v>204.00831628065012</v>
      </c>
      <c r="M173" s="87">
        <v>199.39457072974315</v>
      </c>
      <c r="N173" s="87">
        <v>194.73747546515301</v>
      </c>
      <c r="O173" s="87">
        <v>190.16636383920829</v>
      </c>
      <c r="P173" s="87">
        <v>186.44146092109432</v>
      </c>
      <c r="Q173" s="87">
        <v>182.17098751981172</v>
      </c>
      <c r="R173" s="87">
        <v>178.34805808739023</v>
      </c>
      <c r="S173" s="87">
        <v>173.99052379040299</v>
      </c>
      <c r="T173" s="87">
        <v>169.7532607491687</v>
      </c>
      <c r="U173" s="87">
        <v>165.65760129295742</v>
      </c>
      <c r="V173" s="87">
        <v>163.33426464006007</v>
      </c>
      <c r="W173" s="87">
        <v>160.60917746598005</v>
      </c>
      <c r="DA173" s="171" t="s">
        <v>910</v>
      </c>
    </row>
    <row r="174" spans="1:105" ht="11.45" customHeight="1" x14ac:dyDescent="0.25">
      <c r="A174" s="111" t="s">
        <v>111</v>
      </c>
      <c r="B174" s="87">
        <v>235.55516731513578</v>
      </c>
      <c r="C174" s="87">
        <v>230.90461203067909</v>
      </c>
      <c r="D174" s="87">
        <v>229.06025218837192</v>
      </c>
      <c r="E174" s="87">
        <v>227.54799699470635</v>
      </c>
      <c r="F174" s="87">
        <v>225.82896080030059</v>
      </c>
      <c r="G174" s="87">
        <v>224.63369462748852</v>
      </c>
      <c r="H174" s="87">
        <v>223.53883974158015</v>
      </c>
      <c r="I174" s="87">
        <v>222.70508600284754</v>
      </c>
      <c r="J174" s="87">
        <v>221.38078058094101</v>
      </c>
      <c r="K174" s="87">
        <v>219.71638477975387</v>
      </c>
      <c r="L174" s="87">
        <v>216.44166354324179</v>
      </c>
      <c r="M174" s="87">
        <v>212.12911683081325</v>
      </c>
      <c r="N174" s="87">
        <v>208.24553504152266</v>
      </c>
      <c r="O174" s="87">
        <v>204.18907150684805</v>
      </c>
      <c r="P174" s="87">
        <v>200.56896172224214</v>
      </c>
      <c r="Q174" s="87">
        <v>196.37139763829606</v>
      </c>
      <c r="R174" s="87">
        <v>191.73004097889097</v>
      </c>
      <c r="S174" s="87">
        <v>187.77886225039316</v>
      </c>
      <c r="T174" s="87">
        <v>185.61945998013786</v>
      </c>
      <c r="U174" s="87">
        <v>183.5139787975811</v>
      </c>
      <c r="V174" s="87">
        <v>181.51561715153017</v>
      </c>
      <c r="W174" s="87">
        <v>179.59010403066631</v>
      </c>
      <c r="DA174" s="171" t="s">
        <v>911</v>
      </c>
    </row>
    <row r="175" spans="1:105" ht="11.45" customHeight="1" x14ac:dyDescent="0.25">
      <c r="A175" s="111" t="s">
        <v>112</v>
      </c>
      <c r="B175" s="87">
        <v>237.35658562510244</v>
      </c>
      <c r="C175" s="87">
        <v>223.24049342558524</v>
      </c>
      <c r="D175" s="87">
        <v>213.62219814320241</v>
      </c>
      <c r="E175" s="87">
        <v>209.09218516767714</v>
      </c>
      <c r="F175" s="87">
        <v>205.18350510414044</v>
      </c>
      <c r="G175" s="87">
        <v>205.18185977665411</v>
      </c>
      <c r="H175" s="87">
        <v>205.46894910413903</v>
      </c>
      <c r="I175" s="87">
        <v>204.97320998956647</v>
      </c>
      <c r="J175" s="87">
        <v>205.24558048056483</v>
      </c>
      <c r="K175" s="87">
        <v>204.19616041020922</v>
      </c>
      <c r="L175" s="87">
        <v>202.85935429563278</v>
      </c>
      <c r="M175" s="87">
        <v>202.90600880010791</v>
      </c>
      <c r="N175" s="87">
        <v>204.82118547132765</v>
      </c>
      <c r="O175" s="87">
        <v>204.99489189500872</v>
      </c>
      <c r="P175" s="87">
        <v>204.89391441812327</v>
      </c>
      <c r="Q175" s="87">
        <v>202.92713422212444</v>
      </c>
      <c r="R175" s="87">
        <v>202.29789879824628</v>
      </c>
      <c r="S175" s="87">
        <v>202.40722582383052</v>
      </c>
      <c r="T175" s="87">
        <v>205.4653201065889</v>
      </c>
      <c r="U175" s="87">
        <v>208.25428377394499</v>
      </c>
      <c r="V175" s="87">
        <v>212.02895463141408</v>
      </c>
      <c r="W175" s="87">
        <v>203.43202956885261</v>
      </c>
      <c r="DA175" s="171" t="s">
        <v>912</v>
      </c>
    </row>
    <row r="176" spans="1:105" ht="11.45" customHeight="1" x14ac:dyDescent="0.25">
      <c r="A176" s="111" t="s">
        <v>113</v>
      </c>
      <c r="B176" s="87">
        <v>0</v>
      </c>
      <c r="C176" s="87">
        <v>0</v>
      </c>
      <c r="D176" s="87">
        <v>0</v>
      </c>
      <c r="E176" s="87">
        <v>0</v>
      </c>
      <c r="F176" s="87">
        <v>0</v>
      </c>
      <c r="G176" s="87">
        <v>0</v>
      </c>
      <c r="H176" s="87">
        <v>157.61075421084257</v>
      </c>
      <c r="I176" s="87">
        <v>155.36073765056082</v>
      </c>
      <c r="J176" s="87">
        <v>150.30399141415054</v>
      </c>
      <c r="K176" s="87">
        <v>149.06452424685645</v>
      </c>
      <c r="L176" s="87">
        <v>155.0270802612707</v>
      </c>
      <c r="M176" s="87">
        <v>157.8264578611336</v>
      </c>
      <c r="N176" s="87">
        <v>157.3841078566696</v>
      </c>
      <c r="O176" s="87">
        <v>151.01368797745499</v>
      </c>
      <c r="P176" s="87">
        <v>144.7082556360825</v>
      </c>
      <c r="Q176" s="87">
        <v>141.03083129999621</v>
      </c>
      <c r="R176" s="87">
        <v>138.2463272986713</v>
      </c>
      <c r="S176" s="87">
        <v>136.23047831442059</v>
      </c>
      <c r="T176" s="87">
        <v>133.69007660307619</v>
      </c>
      <c r="U176" s="87">
        <v>131.69063852716206</v>
      </c>
      <c r="V176" s="87">
        <v>128.98696413656259</v>
      </c>
      <c r="W176" s="87">
        <v>127.24721843094336</v>
      </c>
      <c r="DA176" s="171" t="s">
        <v>913</v>
      </c>
    </row>
    <row r="177" spans="1:105" ht="11.45" customHeight="1" x14ac:dyDescent="0.25">
      <c r="A177" s="111" t="s">
        <v>114</v>
      </c>
      <c r="B177" s="87">
        <v>0</v>
      </c>
      <c r="C177" s="87">
        <v>0</v>
      </c>
      <c r="D177" s="87">
        <v>0</v>
      </c>
      <c r="E177" s="87">
        <v>0</v>
      </c>
      <c r="F177" s="87">
        <v>0</v>
      </c>
      <c r="G177" s="87">
        <v>0</v>
      </c>
      <c r="H177" s="87">
        <v>0</v>
      </c>
      <c r="I177" s="87">
        <v>0</v>
      </c>
      <c r="J177" s="87">
        <v>0</v>
      </c>
      <c r="K177" s="87">
        <v>0</v>
      </c>
      <c r="L177" s="87">
        <v>0</v>
      </c>
      <c r="M177" s="87">
        <v>72.454774205557044</v>
      </c>
      <c r="N177" s="87">
        <v>52.805110181723578</v>
      </c>
      <c r="O177" s="87">
        <v>36.324241566287959</v>
      </c>
      <c r="P177" s="87">
        <v>40.595600666581817</v>
      </c>
      <c r="Q177" s="87">
        <v>48.788540970374711</v>
      </c>
      <c r="R177" s="87">
        <v>60.675262699870935</v>
      </c>
      <c r="S177" s="87">
        <v>63.251902640219178</v>
      </c>
      <c r="T177" s="87">
        <v>64.693756155902179</v>
      </c>
      <c r="U177" s="87">
        <v>63.84797696869844</v>
      </c>
      <c r="V177" s="87">
        <v>54.305009917337614</v>
      </c>
      <c r="W177" s="87">
        <v>47.072176037040194</v>
      </c>
      <c r="DA177" s="171" t="s">
        <v>914</v>
      </c>
    </row>
    <row r="178" spans="1:105" ht="11.45" customHeight="1" x14ac:dyDescent="0.25">
      <c r="A178" s="111" t="s">
        <v>115</v>
      </c>
      <c r="B178" s="87">
        <v>0</v>
      </c>
      <c r="C178" s="87">
        <v>0</v>
      </c>
      <c r="D178" s="87">
        <v>0</v>
      </c>
      <c r="E178" s="87">
        <v>0</v>
      </c>
      <c r="F178" s="87">
        <v>0</v>
      </c>
      <c r="G178" s="87">
        <v>0</v>
      </c>
      <c r="H178" s="87">
        <v>0</v>
      </c>
      <c r="I178" s="87">
        <v>0</v>
      </c>
      <c r="J178" s="87">
        <v>0</v>
      </c>
      <c r="K178" s="87">
        <v>0</v>
      </c>
      <c r="L178" s="87">
        <v>0</v>
      </c>
      <c r="M178" s="87">
        <v>0</v>
      </c>
      <c r="N178" s="87">
        <v>0</v>
      </c>
      <c r="O178" s="87">
        <v>0</v>
      </c>
      <c r="P178" s="87">
        <v>0</v>
      </c>
      <c r="Q178" s="87">
        <v>0</v>
      </c>
      <c r="R178" s="87">
        <v>0</v>
      </c>
      <c r="S178" s="87">
        <v>0</v>
      </c>
      <c r="T178" s="87">
        <v>0</v>
      </c>
      <c r="U178" s="87">
        <v>0</v>
      </c>
      <c r="V178" s="87">
        <v>0</v>
      </c>
      <c r="W178" s="87">
        <v>0</v>
      </c>
      <c r="DA178" s="171" t="s">
        <v>915</v>
      </c>
    </row>
    <row r="179" spans="1:105" ht="11.45" customHeight="1" x14ac:dyDescent="0.25">
      <c r="A179" s="109" t="s">
        <v>21</v>
      </c>
      <c r="B179" s="116">
        <v>1602.1830492812483</v>
      </c>
      <c r="C179" s="116">
        <v>1574.7175215895693</v>
      </c>
      <c r="D179" s="116">
        <v>1557.195602388442</v>
      </c>
      <c r="E179" s="116">
        <v>1547.5891690699141</v>
      </c>
      <c r="F179" s="116">
        <v>1540.1064967884663</v>
      </c>
      <c r="G179" s="116">
        <v>1514.204778704111</v>
      </c>
      <c r="H179" s="116">
        <v>1511.3072146617001</v>
      </c>
      <c r="I179" s="116">
        <v>1480.1396312686174</v>
      </c>
      <c r="J179" s="116">
        <v>1466.138881145265</v>
      </c>
      <c r="K179" s="116">
        <v>1371.1441584122038</v>
      </c>
      <c r="L179" s="116">
        <v>1388.637742036467</v>
      </c>
      <c r="M179" s="116">
        <v>1418.0670327988614</v>
      </c>
      <c r="N179" s="116">
        <v>1400.6461103757515</v>
      </c>
      <c r="O179" s="116">
        <v>1355.5471577207961</v>
      </c>
      <c r="P179" s="116">
        <v>1374.0843861857686</v>
      </c>
      <c r="Q179" s="116">
        <v>1375.4408478679572</v>
      </c>
      <c r="R179" s="116">
        <v>1360.5142779834139</v>
      </c>
      <c r="S179" s="116">
        <v>1353.5632556161604</v>
      </c>
      <c r="T179" s="116">
        <v>1334.882149711</v>
      </c>
      <c r="U179" s="116">
        <v>1320.2072826465228</v>
      </c>
      <c r="V179" s="116">
        <v>1314.4762735497688</v>
      </c>
      <c r="W179" s="116">
        <v>1315.0035116652384</v>
      </c>
      <c r="DA179" s="176" t="s">
        <v>916</v>
      </c>
    </row>
    <row r="180" spans="1:105" ht="11.45" customHeight="1" x14ac:dyDescent="0.25">
      <c r="A180" s="111" t="s">
        <v>110</v>
      </c>
      <c r="B180" s="101">
        <v>510.93108166412895</v>
      </c>
      <c r="C180" s="101">
        <v>504.1953357301602</v>
      </c>
      <c r="D180" s="101">
        <v>502.88225565353787</v>
      </c>
      <c r="E180" s="101">
        <v>502.11323267698293</v>
      </c>
      <c r="F180" s="101">
        <v>501.01571434424773</v>
      </c>
      <c r="G180" s="101">
        <v>499.12567173399418</v>
      </c>
      <c r="H180" s="101">
        <v>497.39407008013922</v>
      </c>
      <c r="I180" s="101">
        <v>475.29563073826</v>
      </c>
      <c r="J180" s="101">
        <v>469.80579328701936</v>
      </c>
      <c r="K180" s="101">
        <v>460.87148904294349</v>
      </c>
      <c r="L180" s="101">
        <v>460.87148904294355</v>
      </c>
      <c r="M180" s="101">
        <v>446.97792092573854</v>
      </c>
      <c r="N180" s="101">
        <v>446.97792092573854</v>
      </c>
      <c r="O180" s="101">
        <v>422.40962492926832</v>
      </c>
      <c r="P180" s="101">
        <v>378.03332590424878</v>
      </c>
      <c r="Q180" s="101">
        <v>378.03332590424873</v>
      </c>
      <c r="R180" s="101">
        <v>359.4210707754101</v>
      </c>
      <c r="S180" s="101">
        <v>359.4210707754101</v>
      </c>
      <c r="T180" s="101">
        <v>359.42107077541016</v>
      </c>
      <c r="U180" s="101">
        <v>359.42107077541016</v>
      </c>
      <c r="V180" s="101">
        <v>341.41835081514773</v>
      </c>
      <c r="W180" s="101">
        <v>335.11996869256296</v>
      </c>
      <c r="DA180" s="175" t="s">
        <v>917</v>
      </c>
    </row>
    <row r="181" spans="1:105" ht="11.45" customHeight="1" x14ac:dyDescent="0.25">
      <c r="A181" s="111" t="s">
        <v>111</v>
      </c>
      <c r="B181" s="101">
        <v>1623.9578483449363</v>
      </c>
      <c r="C181" s="101">
        <v>1596.2001589791128</v>
      </c>
      <c r="D181" s="101">
        <v>1580.1699275007124</v>
      </c>
      <c r="E181" s="101">
        <v>1565.1874007000188</v>
      </c>
      <c r="F181" s="101">
        <v>1547.930525561748</v>
      </c>
      <c r="G181" s="101">
        <v>1535.1836636109747</v>
      </c>
      <c r="H181" s="101">
        <v>1520.5244225498454</v>
      </c>
      <c r="I181" s="101">
        <v>1507.8117516743775</v>
      </c>
      <c r="J181" s="101">
        <v>1492.264256082769</v>
      </c>
      <c r="K181" s="101">
        <v>1483.5502756861747</v>
      </c>
      <c r="L181" s="101">
        <v>1470.9259515543022</v>
      </c>
      <c r="M181" s="101">
        <v>1459.7124483701921</v>
      </c>
      <c r="N181" s="101">
        <v>1446.5383245290611</v>
      </c>
      <c r="O181" s="101">
        <v>1434.103936384503</v>
      </c>
      <c r="P181" s="101">
        <v>1420.2335017105538</v>
      </c>
      <c r="Q181" s="101">
        <v>1406.6158185060413</v>
      </c>
      <c r="R181" s="101">
        <v>1392.1066047745621</v>
      </c>
      <c r="S181" s="101">
        <v>1376.7066803817495</v>
      </c>
      <c r="T181" s="101">
        <v>1361.8314232886223</v>
      </c>
      <c r="U181" s="101">
        <v>1352.0068855652698</v>
      </c>
      <c r="V181" s="101">
        <v>1344.6068572656559</v>
      </c>
      <c r="W181" s="101">
        <v>1339.3086705864084</v>
      </c>
      <c r="DA181" s="175" t="s">
        <v>918</v>
      </c>
    </row>
    <row r="182" spans="1:105" ht="11.45" customHeight="1" x14ac:dyDescent="0.25">
      <c r="A182" s="111" t="s">
        <v>112</v>
      </c>
      <c r="B182" s="101">
        <v>0</v>
      </c>
      <c r="C182" s="101">
        <v>1065.4490261934588</v>
      </c>
      <c r="D182" s="101">
        <v>1063.0994318002961</v>
      </c>
      <c r="E182" s="101">
        <v>1061.5139074291569</v>
      </c>
      <c r="F182" s="101">
        <v>1059.2946419871389</v>
      </c>
      <c r="G182" s="101">
        <v>1055.8651164545843</v>
      </c>
      <c r="H182" s="101">
        <v>1054.2664852580644</v>
      </c>
      <c r="I182" s="101">
        <v>1051.8999022593832</v>
      </c>
      <c r="J182" s="101">
        <v>1048.6319157202436</v>
      </c>
      <c r="K182" s="101">
        <v>1041.7233040395088</v>
      </c>
      <c r="L182" s="101">
        <v>1037.1517588853703</v>
      </c>
      <c r="M182" s="101">
        <v>1033.6732930073499</v>
      </c>
      <c r="N182" s="101">
        <v>1033.1361183384643</v>
      </c>
      <c r="O182" s="101">
        <v>1032.7903522138495</v>
      </c>
      <c r="P182" s="101">
        <v>1032.0417750498364</v>
      </c>
      <c r="Q182" s="101">
        <v>1027.7633987373492</v>
      </c>
      <c r="R182" s="101">
        <v>1023.9533649101618</v>
      </c>
      <c r="S182" s="101">
        <v>1020.5568041965141</v>
      </c>
      <c r="T182" s="101">
        <v>1015.8760636701493</v>
      </c>
      <c r="U182" s="101">
        <v>965.95005785441526</v>
      </c>
      <c r="V182" s="101">
        <v>933.71786671580924</v>
      </c>
      <c r="W182" s="101">
        <v>913.28301340120311</v>
      </c>
      <c r="DA182" s="175" t="s">
        <v>919</v>
      </c>
    </row>
    <row r="183" spans="1:105" ht="11.45" customHeight="1" x14ac:dyDescent="0.25">
      <c r="A183" s="111" t="s">
        <v>113</v>
      </c>
      <c r="B183" s="101">
        <v>0</v>
      </c>
      <c r="C183" s="101">
        <v>0</v>
      </c>
      <c r="D183" s="101">
        <v>0</v>
      </c>
      <c r="E183" s="101">
        <v>0</v>
      </c>
      <c r="F183" s="101">
        <v>936.97905974672574</v>
      </c>
      <c r="G183" s="101">
        <v>936.97905974672574</v>
      </c>
      <c r="H183" s="101">
        <v>935.91229673060661</v>
      </c>
      <c r="I183" s="101">
        <v>928.96596174000194</v>
      </c>
      <c r="J183" s="101">
        <v>922.95191107838207</v>
      </c>
      <c r="K183" s="101">
        <v>913.88158659393082</v>
      </c>
      <c r="L183" s="101">
        <v>908.4446871298195</v>
      </c>
      <c r="M183" s="101">
        <v>907.45602665724925</v>
      </c>
      <c r="N183" s="101">
        <v>905.6288370818354</v>
      </c>
      <c r="O183" s="101">
        <v>898.54227083623914</v>
      </c>
      <c r="P183" s="101">
        <v>894.83698851543033</v>
      </c>
      <c r="Q183" s="101">
        <v>892.99311725984001</v>
      </c>
      <c r="R183" s="101">
        <v>892.28911127259187</v>
      </c>
      <c r="S183" s="101">
        <v>889.5508488013138</v>
      </c>
      <c r="T183" s="101">
        <v>886.89299569427283</v>
      </c>
      <c r="U183" s="101">
        <v>884.59596525896143</v>
      </c>
      <c r="V183" s="101">
        <v>883.55386738633922</v>
      </c>
      <c r="W183" s="101">
        <v>881.24688380304281</v>
      </c>
      <c r="DA183" s="175" t="s">
        <v>920</v>
      </c>
    </row>
    <row r="184" spans="1:105" ht="11.45" customHeight="1" x14ac:dyDescent="0.25">
      <c r="A184" s="111" t="s">
        <v>115</v>
      </c>
      <c r="B184" s="101">
        <v>0</v>
      </c>
      <c r="C184" s="101">
        <v>0</v>
      </c>
      <c r="D184" s="101">
        <v>0</v>
      </c>
      <c r="E184" s="101">
        <v>0</v>
      </c>
      <c r="F184" s="101">
        <v>0</v>
      </c>
      <c r="G184" s="101">
        <v>0</v>
      </c>
      <c r="H184" s="101">
        <v>0</v>
      </c>
      <c r="I184" s="101">
        <v>0</v>
      </c>
      <c r="J184" s="101">
        <v>0</v>
      </c>
      <c r="K184" s="101">
        <v>0</v>
      </c>
      <c r="L184" s="101">
        <v>0</v>
      </c>
      <c r="M184" s="101">
        <v>0</v>
      </c>
      <c r="N184" s="101">
        <v>0</v>
      </c>
      <c r="O184" s="101">
        <v>0</v>
      </c>
      <c r="P184" s="101">
        <v>0</v>
      </c>
      <c r="Q184" s="101">
        <v>0</v>
      </c>
      <c r="R184" s="101">
        <v>0</v>
      </c>
      <c r="S184" s="101">
        <v>0</v>
      </c>
      <c r="T184" s="101">
        <v>0</v>
      </c>
      <c r="U184" s="101">
        <v>0</v>
      </c>
      <c r="V184" s="101">
        <v>0</v>
      </c>
      <c r="W184" s="101">
        <v>0</v>
      </c>
      <c r="DA184" s="175" t="s">
        <v>921</v>
      </c>
    </row>
    <row r="185" spans="1:105" ht="11.45" customHeight="1" x14ac:dyDescent="0.25">
      <c r="A185" s="27" t="s">
        <v>34</v>
      </c>
      <c r="B185" s="29">
        <v>0</v>
      </c>
      <c r="C185" s="29">
        <v>0</v>
      </c>
      <c r="D185" s="29">
        <v>0</v>
      </c>
      <c r="E185" s="29">
        <v>0</v>
      </c>
      <c r="F185" s="29">
        <v>0</v>
      </c>
      <c r="G185" s="29">
        <v>0</v>
      </c>
      <c r="H185" s="29">
        <v>0</v>
      </c>
      <c r="I185" s="29">
        <v>0</v>
      </c>
      <c r="J185" s="29">
        <v>0</v>
      </c>
      <c r="K185" s="29">
        <v>0</v>
      </c>
      <c r="L185" s="29">
        <v>0</v>
      </c>
      <c r="M185" s="29">
        <v>0</v>
      </c>
      <c r="N185" s="29">
        <v>0</v>
      </c>
      <c r="O185" s="29">
        <v>0</v>
      </c>
      <c r="P185" s="29">
        <v>0</v>
      </c>
      <c r="Q185" s="29">
        <v>0</v>
      </c>
      <c r="R185" s="29">
        <v>0</v>
      </c>
      <c r="S185" s="29">
        <v>0</v>
      </c>
      <c r="T185" s="29">
        <v>0</v>
      </c>
      <c r="U185" s="29">
        <v>0</v>
      </c>
      <c r="V185" s="29">
        <v>0</v>
      </c>
      <c r="W185" s="29">
        <v>0</v>
      </c>
      <c r="DA185" s="173"/>
    </row>
    <row r="186" spans="1:105" ht="11.45" customHeight="1" x14ac:dyDescent="0.25">
      <c r="A186" s="136" t="s">
        <v>156</v>
      </c>
      <c r="B186" s="152">
        <v>303.84998972929577</v>
      </c>
      <c r="C186" s="152">
        <v>296.22467614339456</v>
      </c>
      <c r="D186" s="152">
        <v>291.92123286964545</v>
      </c>
      <c r="E186" s="152">
        <v>288.72641058643558</v>
      </c>
      <c r="F186" s="152">
        <v>283.05647593837699</v>
      </c>
      <c r="G186" s="152">
        <v>280.21733196017715</v>
      </c>
      <c r="H186" s="152">
        <v>279.2775315823996</v>
      </c>
      <c r="I186" s="152">
        <v>275.82927980838258</v>
      </c>
      <c r="J186" s="152">
        <v>269.182350161138</v>
      </c>
      <c r="K186" s="152">
        <v>263.71709037513278</v>
      </c>
      <c r="L186" s="152">
        <v>244.79873605636425</v>
      </c>
      <c r="M186" s="152">
        <v>229.72586665646804</v>
      </c>
      <c r="N186" s="152">
        <v>253.75846204367204</v>
      </c>
      <c r="O186" s="152">
        <v>251.149143568341</v>
      </c>
      <c r="P186" s="152">
        <v>251.86806410596952</v>
      </c>
      <c r="Q186" s="152">
        <v>247.35750235133636</v>
      </c>
      <c r="R186" s="152">
        <v>241.12742939472361</v>
      </c>
      <c r="S186" s="152">
        <v>236.87888311382795</v>
      </c>
      <c r="T186" s="152">
        <v>231.72035066540519</v>
      </c>
      <c r="U186" s="152">
        <v>226.96415109645372</v>
      </c>
      <c r="V186" s="152">
        <v>224.69288202739432</v>
      </c>
      <c r="W186" s="152">
        <v>221.13274399336481</v>
      </c>
      <c r="DA186" s="174" t="s">
        <v>922</v>
      </c>
    </row>
    <row r="187" spans="1:105" ht="11.45" customHeight="1" x14ac:dyDescent="0.25">
      <c r="A187" s="111" t="s">
        <v>110</v>
      </c>
      <c r="B187" s="87">
        <v>295.3458819098359</v>
      </c>
      <c r="C187" s="87">
        <v>294.58412367383823</v>
      </c>
      <c r="D187" s="87">
        <v>293.83329514226779</v>
      </c>
      <c r="E187" s="87">
        <v>292.82266159947807</v>
      </c>
      <c r="F187" s="87">
        <v>291.0433982627485</v>
      </c>
      <c r="G187" s="87">
        <v>288.79234019719621</v>
      </c>
      <c r="H187" s="87">
        <v>285.72348932565598</v>
      </c>
      <c r="I187" s="87">
        <v>281.49967740918277</v>
      </c>
      <c r="J187" s="87">
        <v>276.12819740230861</v>
      </c>
      <c r="K187" s="87">
        <v>270.11002435559277</v>
      </c>
      <c r="L187" s="87">
        <v>266.00734815188832</v>
      </c>
      <c r="M187" s="87">
        <v>262.21443306277774</v>
      </c>
      <c r="N187" s="87">
        <v>253.80204076195895</v>
      </c>
      <c r="O187" s="87">
        <v>243.32701992257768</v>
      </c>
      <c r="P187" s="87">
        <v>234.54531703213343</v>
      </c>
      <c r="Q187" s="87">
        <v>226.69392767645323</v>
      </c>
      <c r="R187" s="87">
        <v>219.3861812442006</v>
      </c>
      <c r="S187" s="87">
        <v>213.4221405225899</v>
      </c>
      <c r="T187" s="87">
        <v>206.06586893248328</v>
      </c>
      <c r="U187" s="87">
        <v>199.61263494774437</v>
      </c>
      <c r="V187" s="87">
        <v>197.90516698887652</v>
      </c>
      <c r="W187" s="87">
        <v>195.26874971694338</v>
      </c>
      <c r="DA187" s="171" t="s">
        <v>923</v>
      </c>
    </row>
    <row r="188" spans="1:105" ht="11.45" customHeight="1" x14ac:dyDescent="0.25">
      <c r="A188" s="111" t="s">
        <v>111</v>
      </c>
      <c r="B188" s="87">
        <v>303.61754789991727</v>
      </c>
      <c r="C188" s="87">
        <v>292.69844135457322</v>
      </c>
      <c r="D188" s="87">
        <v>288.40416260660351</v>
      </c>
      <c r="E188" s="87">
        <v>284.46451896993665</v>
      </c>
      <c r="F188" s="87">
        <v>280.24313198790276</v>
      </c>
      <c r="G188" s="87">
        <v>276.63909507998551</v>
      </c>
      <c r="H188" s="87">
        <v>273.80012434483592</v>
      </c>
      <c r="I188" s="87">
        <v>271.10230173686193</v>
      </c>
      <c r="J188" s="87">
        <v>268.33981493912756</v>
      </c>
      <c r="K188" s="87">
        <v>266.65624967310134</v>
      </c>
      <c r="L188" s="87">
        <v>265.83205050030568</v>
      </c>
      <c r="M188" s="87">
        <v>264.66682931055789</v>
      </c>
      <c r="N188" s="87">
        <v>260.06317453793775</v>
      </c>
      <c r="O188" s="87">
        <v>256.62995446529447</v>
      </c>
      <c r="P188" s="87">
        <v>252.94022941399609</v>
      </c>
      <c r="Q188" s="87">
        <v>248.10480504501734</v>
      </c>
      <c r="R188" s="87">
        <v>243.31475762400447</v>
      </c>
      <c r="S188" s="87">
        <v>237.2247001989418</v>
      </c>
      <c r="T188" s="87">
        <v>232.10994926671484</v>
      </c>
      <c r="U188" s="87">
        <v>227.65531717163356</v>
      </c>
      <c r="V188" s="87">
        <v>225.66874161499334</v>
      </c>
      <c r="W188" s="87">
        <v>224.1396395988551</v>
      </c>
      <c r="DA188" s="171" t="s">
        <v>924</v>
      </c>
    </row>
    <row r="189" spans="1:105" ht="11.45" customHeight="1" x14ac:dyDescent="0.25">
      <c r="A189" s="111" t="s">
        <v>112</v>
      </c>
      <c r="B189" s="87">
        <v>0</v>
      </c>
      <c r="C189" s="87">
        <v>0</v>
      </c>
      <c r="D189" s="87">
        <v>0</v>
      </c>
      <c r="E189" s="87">
        <v>499.4048056271597</v>
      </c>
      <c r="F189" s="87">
        <v>494.37408197282446</v>
      </c>
      <c r="G189" s="87">
        <v>495.55454544023843</v>
      </c>
      <c r="H189" s="87">
        <v>495.46580945997624</v>
      </c>
      <c r="I189" s="87">
        <v>495.41794667010566</v>
      </c>
      <c r="J189" s="87">
        <v>495.41097892743886</v>
      </c>
      <c r="K189" s="87">
        <v>495.39647434409972</v>
      </c>
      <c r="L189" s="87">
        <v>495.43360217477243</v>
      </c>
      <c r="M189" s="87">
        <v>495.46692853882621</v>
      </c>
      <c r="N189" s="87">
        <v>485.44088908482951</v>
      </c>
      <c r="O189" s="87">
        <v>476.68155943299388</v>
      </c>
      <c r="P189" s="87">
        <v>459.15211461454811</v>
      </c>
      <c r="Q189" s="87">
        <v>448.85105734582174</v>
      </c>
      <c r="R189" s="87">
        <v>478.60814226484831</v>
      </c>
      <c r="S189" s="87">
        <v>472.26156930222493</v>
      </c>
      <c r="T189" s="87">
        <v>467.49006355756967</v>
      </c>
      <c r="U189" s="87">
        <v>458.60580953634746</v>
      </c>
      <c r="V189" s="87">
        <v>438.71840068442754</v>
      </c>
      <c r="W189" s="87">
        <v>414.55984592307613</v>
      </c>
      <c r="DA189" s="171" t="s">
        <v>925</v>
      </c>
    </row>
    <row r="190" spans="1:105" ht="11.45" customHeight="1" x14ac:dyDescent="0.25">
      <c r="A190" s="111" t="s">
        <v>113</v>
      </c>
      <c r="B190" s="87">
        <v>0</v>
      </c>
      <c r="C190" s="87">
        <v>0</v>
      </c>
      <c r="D190" s="87">
        <v>0</v>
      </c>
      <c r="E190" s="87">
        <v>0</v>
      </c>
      <c r="F190" s="87">
        <v>0</v>
      </c>
      <c r="G190" s="87">
        <v>0</v>
      </c>
      <c r="H190" s="87">
        <v>253.40294026673683</v>
      </c>
      <c r="I190" s="87">
        <v>250.85116076658443</v>
      </c>
      <c r="J190" s="87">
        <v>239.56638823837474</v>
      </c>
      <c r="K190" s="87">
        <v>230.85461943834181</v>
      </c>
      <c r="L190" s="87">
        <v>218.28022209041742</v>
      </c>
      <c r="M190" s="87">
        <v>210.02112233015305</v>
      </c>
      <c r="N190" s="87">
        <v>204.65713076315797</v>
      </c>
      <c r="O190" s="87">
        <v>206.49836432937005</v>
      </c>
      <c r="P190" s="87">
        <v>201.9903695815492</v>
      </c>
      <c r="Q190" s="87">
        <v>195.54752886898075</v>
      </c>
      <c r="R190" s="87">
        <v>176.6609954487856</v>
      </c>
      <c r="S190" s="87">
        <v>173.54696977856358</v>
      </c>
      <c r="T190" s="87">
        <v>171.59991193056848</v>
      </c>
      <c r="U190" s="87">
        <v>169.15892461128712</v>
      </c>
      <c r="V190" s="87">
        <v>165.55171255949764</v>
      </c>
      <c r="W190" s="87">
        <v>164.15927139109371</v>
      </c>
      <c r="DA190" s="171" t="s">
        <v>926</v>
      </c>
    </row>
    <row r="191" spans="1:105" ht="11.45" customHeight="1" x14ac:dyDescent="0.25">
      <c r="A191" s="111" t="s">
        <v>115</v>
      </c>
      <c r="B191" s="87">
        <v>0</v>
      </c>
      <c r="C191" s="87">
        <v>0</v>
      </c>
      <c r="D191" s="87">
        <v>0</v>
      </c>
      <c r="E191" s="87">
        <v>0</v>
      </c>
      <c r="F191" s="87">
        <v>0</v>
      </c>
      <c r="G191" s="87">
        <v>0</v>
      </c>
      <c r="H191" s="87">
        <v>0</v>
      </c>
      <c r="I191" s="87">
        <v>0</v>
      </c>
      <c r="J191" s="87">
        <v>0</v>
      </c>
      <c r="K191" s="87">
        <v>0</v>
      </c>
      <c r="L191" s="87">
        <v>0</v>
      </c>
      <c r="M191" s="87">
        <v>0</v>
      </c>
      <c r="N191" s="87">
        <v>0</v>
      </c>
      <c r="O191" s="87">
        <v>0</v>
      </c>
      <c r="P191" s="87">
        <v>0</v>
      </c>
      <c r="Q191" s="87">
        <v>0</v>
      </c>
      <c r="R191" s="87">
        <v>0</v>
      </c>
      <c r="S191" s="87">
        <v>0</v>
      </c>
      <c r="T191" s="87">
        <v>0</v>
      </c>
      <c r="U191" s="87">
        <v>0</v>
      </c>
      <c r="V191" s="87">
        <v>0</v>
      </c>
      <c r="W191" s="87">
        <v>0</v>
      </c>
      <c r="DA191" s="171" t="s">
        <v>927</v>
      </c>
    </row>
    <row r="192" spans="1:105" ht="11.45" customHeight="1" x14ac:dyDescent="0.25">
      <c r="A192" s="109" t="s">
        <v>158</v>
      </c>
      <c r="B192" s="116">
        <v>984.29261923006504</v>
      </c>
      <c r="C192" s="116">
        <v>981.00525515060781</v>
      </c>
      <c r="D192" s="116">
        <v>977.13628283786795</v>
      </c>
      <c r="E192" s="116">
        <v>971.83729113585321</v>
      </c>
      <c r="F192" s="116">
        <v>966.70028880658606</v>
      </c>
      <c r="G192" s="116">
        <v>960.04472952930655</v>
      </c>
      <c r="H192" s="116">
        <v>952.80614273188837</v>
      </c>
      <c r="I192" s="116">
        <v>945.42156542957264</v>
      </c>
      <c r="J192" s="116">
        <v>937.15804959877835</v>
      </c>
      <c r="K192" s="116">
        <v>927.75877772746776</v>
      </c>
      <c r="L192" s="116">
        <v>920.03698599952043</v>
      </c>
      <c r="M192" s="116">
        <v>916.38575226233104</v>
      </c>
      <c r="N192" s="116">
        <v>909.18111524422068</v>
      </c>
      <c r="O192" s="116">
        <v>894.65906256541746</v>
      </c>
      <c r="P192" s="116">
        <v>881.08645294605458</v>
      </c>
      <c r="Q192" s="116">
        <v>870.36309347775261</v>
      </c>
      <c r="R192" s="116">
        <v>855.36982013733405</v>
      </c>
      <c r="S192" s="116">
        <v>840.24170317677749</v>
      </c>
      <c r="T192" s="116">
        <v>824.07813591527361</v>
      </c>
      <c r="U192" s="116">
        <v>804.45691127835266</v>
      </c>
      <c r="V192" s="116">
        <v>786.0525041484193</v>
      </c>
      <c r="W192" s="116">
        <v>766.98917410106264</v>
      </c>
      <c r="DA192" s="176" t="s">
        <v>928</v>
      </c>
    </row>
    <row r="193" spans="1:105" ht="11.45" customHeight="1" x14ac:dyDescent="0.25">
      <c r="A193" s="128" t="s">
        <v>27</v>
      </c>
      <c r="B193" s="101">
        <v>896.87457035239856</v>
      </c>
      <c r="C193" s="101">
        <v>893.36458049482451</v>
      </c>
      <c r="D193" s="101">
        <v>889.86151006436398</v>
      </c>
      <c r="E193" s="101">
        <v>885.65913620817753</v>
      </c>
      <c r="F193" s="101">
        <v>880.47224861801431</v>
      </c>
      <c r="G193" s="101">
        <v>874.71075882448463</v>
      </c>
      <c r="H193" s="101">
        <v>868.12170972442959</v>
      </c>
      <c r="I193" s="101">
        <v>861.4445459242844</v>
      </c>
      <c r="J193" s="101">
        <v>853.72958950814825</v>
      </c>
      <c r="K193" s="101">
        <v>847.64081696983294</v>
      </c>
      <c r="L193" s="101">
        <v>839.74185993497258</v>
      </c>
      <c r="M193" s="101">
        <v>837.47516208941579</v>
      </c>
      <c r="N193" s="101">
        <v>831.48560315910868</v>
      </c>
      <c r="O193" s="101">
        <v>815.41268284898467</v>
      </c>
      <c r="P193" s="101">
        <v>802.29121899960285</v>
      </c>
      <c r="Q193" s="101">
        <v>793.46232261300599</v>
      </c>
      <c r="R193" s="101">
        <v>779.89143030088769</v>
      </c>
      <c r="S193" s="101">
        <v>766.84699956699035</v>
      </c>
      <c r="T193" s="101">
        <v>751.98877476614007</v>
      </c>
      <c r="U193" s="101">
        <v>733.01909852915173</v>
      </c>
      <c r="V193" s="101">
        <v>715.10104553386896</v>
      </c>
      <c r="W193" s="101">
        <v>696.0833517750408</v>
      </c>
      <c r="DA193" s="175" t="s">
        <v>929</v>
      </c>
    </row>
    <row r="194" spans="1:105" ht="11.45" customHeight="1" x14ac:dyDescent="0.25">
      <c r="A194" s="138" t="s">
        <v>116</v>
      </c>
      <c r="B194" s="88">
        <v>1066.0594178947845</v>
      </c>
      <c r="C194" s="88">
        <v>1050.1754728085248</v>
      </c>
      <c r="D194" s="88">
        <v>1035.793583301541</v>
      </c>
      <c r="E194" s="88">
        <v>1023.0686825993462</v>
      </c>
      <c r="F194" s="88">
        <v>1001.3949588803644</v>
      </c>
      <c r="G194" s="88">
        <v>988.7769953588803</v>
      </c>
      <c r="H194" s="88">
        <v>974.98725498305612</v>
      </c>
      <c r="I194" s="88">
        <v>958.17086425956688</v>
      </c>
      <c r="J194" s="88">
        <v>942.69435531012448</v>
      </c>
      <c r="K194" s="88">
        <v>937.36930176195278</v>
      </c>
      <c r="L194" s="88">
        <v>928.98002841233085</v>
      </c>
      <c r="M194" s="88">
        <v>919.83345221523246</v>
      </c>
      <c r="N194" s="88">
        <v>912.39419574947522</v>
      </c>
      <c r="O194" s="88">
        <v>899.82956134163567</v>
      </c>
      <c r="P194" s="88">
        <v>887.31087408660517</v>
      </c>
      <c r="Q194" s="88">
        <v>870.9475384876813</v>
      </c>
      <c r="R194" s="88">
        <v>854.72643656665593</v>
      </c>
      <c r="S194" s="88">
        <v>834.88217962398858</v>
      </c>
      <c r="T194" s="88">
        <v>820.31244612416231</v>
      </c>
      <c r="U194" s="88">
        <v>803.24240137852155</v>
      </c>
      <c r="V194" s="88">
        <v>787.22866977815249</v>
      </c>
      <c r="W194" s="88">
        <v>770.36025271332312</v>
      </c>
      <c r="DA194" s="178" t="s">
        <v>930</v>
      </c>
    </row>
    <row r="195" spans="1:105" x14ac:dyDescent="0.2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DA195" s="171"/>
    </row>
    <row r="196" spans="1:105" ht="11.45" customHeight="1" x14ac:dyDescent="0.25">
      <c r="A196" s="53" t="s">
        <v>124</v>
      </c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DA196" s="172"/>
    </row>
    <row r="197" spans="1:105" ht="11.45" customHeight="1" x14ac:dyDescent="0.25">
      <c r="A197" s="27" t="s">
        <v>33</v>
      </c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DA197" s="173"/>
    </row>
    <row r="198" spans="1:105" ht="11.45" customHeight="1" x14ac:dyDescent="0.25">
      <c r="A198" s="136" t="s">
        <v>180</v>
      </c>
      <c r="B198" s="150">
        <f>IF(TrRoad_act!B59=0,0,TrRoad_emi!B56/TrRoad_tech!B171)</f>
        <v>1.0725000000065621</v>
      </c>
      <c r="C198" s="150">
        <f>IF(TrRoad_act!C59=0,0,TrRoad_emi!C56/TrRoad_tech!C171)</f>
        <v>1.0728219561730128</v>
      </c>
      <c r="D198" s="150">
        <f>IF(TrRoad_act!D59=0,0,TrRoad_emi!D56/TrRoad_tech!D171)</f>
        <v>1.0753623271949801</v>
      </c>
      <c r="E198" s="150">
        <f>IF(TrRoad_act!E59=0,0,TrRoad_emi!E56/TrRoad_tech!E171)</f>
        <v>1.0797996560853669</v>
      </c>
      <c r="F198" s="150">
        <f>IF(TrRoad_act!F59=0,0,TrRoad_emi!F56/TrRoad_tech!F171)</f>
        <v>1.0757008262138934</v>
      </c>
      <c r="G198" s="150">
        <f>IF(TrRoad_act!G59=0,0,TrRoad_emi!G56/TrRoad_tech!G171)</f>
        <v>1.0781541259722929</v>
      </c>
      <c r="H198" s="150">
        <f>IF(TrRoad_act!H59=0,0,TrRoad_emi!H56/TrRoad_tech!H171)</f>
        <v>1.0814501359996882</v>
      </c>
      <c r="I198" s="150">
        <f>IF(TrRoad_act!I59=0,0,TrRoad_emi!I56/TrRoad_tech!I171)</f>
        <v>1.079094393654773</v>
      </c>
      <c r="J198" s="150">
        <f>IF(TrRoad_act!J59=0,0,TrRoad_emi!J56/TrRoad_tech!J171)</f>
        <v>1.065987798423685</v>
      </c>
      <c r="K198" s="150">
        <f>IF(TrRoad_act!K59=0,0,TrRoad_emi!K56/TrRoad_tech!K171)</f>
        <v>1.0635833601738376</v>
      </c>
      <c r="L198" s="150">
        <f>IF(TrRoad_act!L59=0,0,TrRoad_emi!L56/TrRoad_tech!L171)</f>
        <v>1.0695612960500396</v>
      </c>
      <c r="M198" s="150">
        <f>IF(TrRoad_act!M59=0,0,TrRoad_emi!M56/TrRoad_tech!M171)</f>
        <v>1.0724768436075616</v>
      </c>
      <c r="N198" s="150">
        <f>IF(TrRoad_act!N59=0,0,TrRoad_emi!N56/TrRoad_tech!N171)</f>
        <v>1.0741299092663721</v>
      </c>
      <c r="O198" s="150">
        <f>IF(TrRoad_act!O59=0,0,TrRoad_emi!O56/TrRoad_tech!O171)</f>
        <v>1.1046759883432613</v>
      </c>
      <c r="P198" s="150">
        <f>IF(TrRoad_act!P59=0,0,TrRoad_emi!P56/TrRoad_tech!P171)</f>
        <v>1.1235461326274703</v>
      </c>
      <c r="Q198" s="150">
        <f>IF(TrRoad_act!Q59=0,0,TrRoad_emi!Q56/TrRoad_tech!Q171)</f>
        <v>1.1293110429539175</v>
      </c>
      <c r="R198" s="150">
        <f>IF(TrRoad_act!R59=0,0,TrRoad_emi!R56/TrRoad_tech!R171)</f>
        <v>1.1339691412203567</v>
      </c>
      <c r="S198" s="150">
        <f>IF(TrRoad_act!S59=0,0,TrRoad_emi!S56/TrRoad_tech!S171)</f>
        <v>1.1878241705555952</v>
      </c>
      <c r="T198" s="150">
        <f>IF(TrRoad_act!T59=0,0,TrRoad_emi!T56/TrRoad_tech!T171)</f>
        <v>1.1995316221263257</v>
      </c>
      <c r="U198" s="150">
        <f>IF(TrRoad_act!U59=0,0,TrRoad_emi!U56/TrRoad_tech!U171)</f>
        <v>1.2156307575173126</v>
      </c>
      <c r="V198" s="150">
        <f>IF(TrRoad_act!V59=0,0,TrRoad_emi!V56/TrRoad_tech!V171)</f>
        <v>1.2269601295446428</v>
      </c>
      <c r="W198" s="150">
        <f>IF(TrRoad_act!W59=0,0,TrRoad_emi!W56/TrRoad_tech!W171)</f>
        <v>1.2403203021997031</v>
      </c>
      <c r="DA198" s="174"/>
    </row>
    <row r="199" spans="1:105" ht="11.45" customHeight="1" x14ac:dyDescent="0.25">
      <c r="A199" s="109" t="s">
        <v>20</v>
      </c>
      <c r="B199" s="151">
        <f>IF(TrRoad_act!B60=0,0,TrRoad_emi!B57/TrRoad_tech!B172)</f>
        <v>0.88102941257226963</v>
      </c>
      <c r="C199" s="151">
        <f>IF(TrRoad_act!C60=0,0,TrRoad_emi!C57/TrRoad_tech!C172)</f>
        <v>0.91550865203554643</v>
      </c>
      <c r="D199" s="151">
        <f>IF(TrRoad_act!D60=0,0,TrRoad_emi!D57/TrRoad_tech!D172)</f>
        <v>1.0024348554028606</v>
      </c>
      <c r="E199" s="151">
        <f>IF(TrRoad_act!E60=0,0,TrRoad_emi!E57/TrRoad_tech!E172)</f>
        <v>1.0563534518830739</v>
      </c>
      <c r="F199" s="151">
        <f>IF(TrRoad_act!F60=0,0,TrRoad_emi!F57/TrRoad_tech!F172)</f>
        <v>1.0679845531753471</v>
      </c>
      <c r="G199" s="151">
        <f>IF(TrRoad_act!G60=0,0,TrRoad_emi!G57/TrRoad_tech!G172)</f>
        <v>1.0875488991364541</v>
      </c>
      <c r="H199" s="151">
        <f>IF(TrRoad_act!H60=0,0,TrRoad_emi!H57/TrRoad_tech!H172)</f>
        <v>1.0576223764080011</v>
      </c>
      <c r="I199" s="151">
        <f>IF(TrRoad_act!I60=0,0,TrRoad_emi!I57/TrRoad_tech!I172)</f>
        <v>1.057021039237791</v>
      </c>
      <c r="J199" s="151">
        <f>IF(TrRoad_act!J60=0,0,TrRoad_emi!J57/TrRoad_tech!J172)</f>
        <v>1.0475121703608463</v>
      </c>
      <c r="K199" s="151">
        <f>IF(TrRoad_act!K60=0,0,TrRoad_emi!K57/TrRoad_tech!K172)</f>
        <v>1.0424914788002657</v>
      </c>
      <c r="L199" s="151">
        <f>IF(TrRoad_act!L60=0,0,TrRoad_emi!L57/TrRoad_tech!L172)</f>
        <v>1.057710714771722</v>
      </c>
      <c r="M199" s="151">
        <f>IF(TrRoad_act!M60=0,0,TrRoad_emi!M57/TrRoad_tech!M172)</f>
        <v>1.0263248639276639</v>
      </c>
      <c r="N199" s="151">
        <f>IF(TrRoad_act!N60=0,0,TrRoad_emi!N57/TrRoad_tech!N172)</f>
        <v>1.0334236800349943</v>
      </c>
      <c r="O199" s="151">
        <f>IF(TrRoad_act!O60=0,0,TrRoad_emi!O57/TrRoad_tech!O172)</f>
        <v>1.0650560485601863</v>
      </c>
      <c r="P199" s="151">
        <f>IF(TrRoad_act!P60=0,0,TrRoad_emi!P57/TrRoad_tech!P172)</f>
        <v>1.056680586754108</v>
      </c>
      <c r="Q199" s="151">
        <f>IF(TrRoad_act!Q60=0,0,TrRoad_emi!Q57/TrRoad_tech!Q172)</f>
        <v>1.0743520319427378</v>
      </c>
      <c r="R199" s="151">
        <f>IF(TrRoad_act!R60=0,0,TrRoad_emi!R57/TrRoad_tech!R172)</f>
        <v>1.1018944093381202</v>
      </c>
      <c r="S199" s="151">
        <f>IF(TrRoad_act!S60=0,0,TrRoad_emi!S57/TrRoad_tech!S172)</f>
        <v>1.1273948028138612</v>
      </c>
      <c r="T199" s="151">
        <f>IF(TrRoad_act!T60=0,0,TrRoad_emi!T57/TrRoad_tech!T172)</f>
        <v>1.1738703271055055</v>
      </c>
      <c r="U199" s="151">
        <f>IF(TrRoad_act!U60=0,0,TrRoad_emi!U57/TrRoad_tech!U172)</f>
        <v>1.2066781894329675</v>
      </c>
      <c r="V199" s="151">
        <f>IF(TrRoad_act!V60=0,0,TrRoad_emi!V57/TrRoad_tech!V172)</f>
        <v>1.1628086921895966</v>
      </c>
      <c r="W199" s="151">
        <f>IF(TrRoad_act!W60=0,0,TrRoad_emi!W57/TrRoad_tech!W172)</f>
        <v>1.2099547734713634</v>
      </c>
      <c r="DA199" s="176"/>
    </row>
    <row r="200" spans="1:105" ht="11.45" customHeight="1" x14ac:dyDescent="0.25">
      <c r="A200" s="111" t="s">
        <v>110</v>
      </c>
      <c r="B200" s="91">
        <f>IF(TrRoad_act!B61=0,0,TrRoad_emi!B58/TrRoad_tech!B173)</f>
        <v>0.80823534442942457</v>
      </c>
      <c r="C200" s="91">
        <f>IF(TrRoad_act!C61=0,0,TrRoad_emi!C58/TrRoad_tech!C173)</f>
        <v>0.82559082601636991</v>
      </c>
      <c r="D200" s="91">
        <f>IF(TrRoad_act!D61=0,0,TrRoad_emi!D58/TrRoad_tech!D173)</f>
        <v>0.93248801533754078</v>
      </c>
      <c r="E200" s="91">
        <f>IF(TrRoad_act!E61=0,0,TrRoad_emi!E58/TrRoad_tech!E173)</f>
        <v>0.99962186574693357</v>
      </c>
      <c r="F200" s="91">
        <f>IF(TrRoad_act!F61=0,0,TrRoad_emi!F58/TrRoad_tech!F173)</f>
        <v>1.0233775370501332</v>
      </c>
      <c r="G200" s="91">
        <f>IF(TrRoad_act!G61=0,0,TrRoad_emi!G58/TrRoad_tech!G173)</f>
        <v>1.0468876662899618</v>
      </c>
      <c r="H200" s="91">
        <f>IF(TrRoad_act!H61=0,0,TrRoad_emi!H58/TrRoad_tech!H173)</f>
        <v>1.0531898462588347</v>
      </c>
      <c r="I200" s="91">
        <f>IF(TrRoad_act!I61=0,0,TrRoad_emi!I58/TrRoad_tech!I173)</f>
        <v>1.0662989595508574</v>
      </c>
      <c r="J200" s="91">
        <f>IF(TrRoad_act!J61=0,0,TrRoad_emi!J58/TrRoad_tech!J173)</f>
        <v>1.0570904531489207</v>
      </c>
      <c r="K200" s="91">
        <f>IF(TrRoad_act!K61=0,0,TrRoad_emi!K58/TrRoad_tech!K173)</f>
        <v>1.0477907360962218</v>
      </c>
      <c r="L200" s="91">
        <f>IF(TrRoad_act!L61=0,0,TrRoad_emi!L58/TrRoad_tech!L173)</f>
        <v>1.0576430486130093</v>
      </c>
      <c r="M200" s="91">
        <f>IF(TrRoad_act!M61=0,0,TrRoad_emi!M58/TrRoad_tech!M173)</f>
        <v>1.0346948191925611</v>
      </c>
      <c r="N200" s="91">
        <f>IF(TrRoad_act!N61=0,0,TrRoad_emi!N58/TrRoad_tech!N173)</f>
        <v>1.0396138307469813</v>
      </c>
      <c r="O200" s="91">
        <f>IF(TrRoad_act!O61=0,0,TrRoad_emi!O58/TrRoad_tech!O173)</f>
        <v>1.0611704560805451</v>
      </c>
      <c r="P200" s="91">
        <f>IF(TrRoad_act!P61=0,0,TrRoad_emi!P58/TrRoad_tech!P173)</f>
        <v>1.0877868140567681</v>
      </c>
      <c r="Q200" s="91">
        <f>IF(TrRoad_act!Q61=0,0,TrRoad_emi!Q58/TrRoad_tech!Q173)</f>
        <v>1.136601991231893</v>
      </c>
      <c r="R200" s="91">
        <f>IF(TrRoad_act!R61=0,0,TrRoad_emi!R58/TrRoad_tech!R173)</f>
        <v>1.1574875558461239</v>
      </c>
      <c r="S200" s="91">
        <f>IF(TrRoad_act!S61=0,0,TrRoad_emi!S58/TrRoad_tech!S173)</f>
        <v>1.1767483232509484</v>
      </c>
      <c r="T200" s="91">
        <f>IF(TrRoad_act!T61=0,0,TrRoad_emi!T58/TrRoad_tech!T173)</f>
        <v>1.2314163681539203</v>
      </c>
      <c r="U200" s="91">
        <f>IF(TrRoad_act!U61=0,0,TrRoad_emi!U58/TrRoad_tech!U173)</f>
        <v>1.2600716771824574</v>
      </c>
      <c r="V200" s="91">
        <f>IF(TrRoad_act!V61=0,0,TrRoad_emi!V58/TrRoad_tech!V173)</f>
        <v>1.1591528402760232</v>
      </c>
      <c r="W200" s="91">
        <f>IF(TrRoad_act!W61=0,0,TrRoad_emi!W58/TrRoad_tech!W173)</f>
        <v>1.1700927828844798</v>
      </c>
      <c r="DA200" s="171"/>
    </row>
    <row r="201" spans="1:105" ht="11.45" customHeight="1" x14ac:dyDescent="0.25">
      <c r="A201" s="111" t="s">
        <v>111</v>
      </c>
      <c r="B201" s="91">
        <f>IF(TrRoad_act!B62=0,0,TrRoad_emi!B59/TrRoad_tech!B174)</f>
        <v>1.0019801535391777</v>
      </c>
      <c r="C201" s="91">
        <f>IF(TrRoad_act!C62=0,0,TrRoad_emi!C59/TrRoad_tech!C174)</f>
        <v>1.0577643231062663</v>
      </c>
      <c r="D201" s="91">
        <f>IF(TrRoad_act!D62=0,0,TrRoad_emi!D59/TrRoad_tech!D174)</f>
        <v>1.1130055358995619</v>
      </c>
      <c r="E201" s="91">
        <f>IF(TrRoad_act!E62=0,0,TrRoad_emi!E59/TrRoad_tech!E174)</f>
        <v>1.14910218917748</v>
      </c>
      <c r="F201" s="91">
        <f>IF(TrRoad_act!F62=0,0,TrRoad_emi!F59/TrRoad_tech!F174)</f>
        <v>1.1472268220617308</v>
      </c>
      <c r="G201" s="91">
        <f>IF(TrRoad_act!G62=0,0,TrRoad_emi!G59/TrRoad_tech!G174)</f>
        <v>1.1524308882819103</v>
      </c>
      <c r="H201" s="91">
        <f>IF(TrRoad_act!H62=0,0,TrRoad_emi!H59/TrRoad_tech!H174)</f>
        <v>1.0842147273105058</v>
      </c>
      <c r="I201" s="91">
        <f>IF(TrRoad_act!I62=0,0,TrRoad_emi!I59/TrRoad_tech!I174)</f>
        <v>1.0702143329989799</v>
      </c>
      <c r="J201" s="91">
        <f>IF(TrRoad_act!J62=0,0,TrRoad_emi!J59/TrRoad_tech!J174)</f>
        <v>1.0541561366551382</v>
      </c>
      <c r="K201" s="91">
        <f>IF(TrRoad_act!K62=0,0,TrRoad_emi!K59/TrRoad_tech!K174)</f>
        <v>1.0429391071336671</v>
      </c>
      <c r="L201" s="91">
        <f>IF(TrRoad_act!L62=0,0,TrRoad_emi!L59/TrRoad_tech!L174)</f>
        <v>1.0695645143627661</v>
      </c>
      <c r="M201" s="91">
        <f>IF(TrRoad_act!M62=0,0,TrRoad_emi!M59/TrRoad_tech!M174)</f>
        <v>1.0384841566042433</v>
      </c>
      <c r="N201" s="91">
        <f>IF(TrRoad_act!N62=0,0,TrRoad_emi!N59/TrRoad_tech!N174)</f>
        <v>1.0515881896520383</v>
      </c>
      <c r="O201" s="91">
        <f>IF(TrRoad_act!O62=0,0,TrRoad_emi!O59/TrRoad_tech!O174)</f>
        <v>1.0907754376342258</v>
      </c>
      <c r="P201" s="91">
        <f>IF(TrRoad_act!P62=0,0,TrRoad_emi!P59/TrRoad_tech!P174)</f>
        <v>1.0669889664715435</v>
      </c>
      <c r="Q201" s="91">
        <f>IF(TrRoad_act!Q62=0,0,TrRoad_emi!Q59/TrRoad_tech!Q174)</f>
        <v>1.0725940362247419</v>
      </c>
      <c r="R201" s="91">
        <f>IF(TrRoad_act!R62=0,0,TrRoad_emi!R59/TrRoad_tech!R174)</f>
        <v>1.1028960593513484</v>
      </c>
      <c r="S201" s="91">
        <f>IF(TrRoad_act!S62=0,0,TrRoad_emi!S59/TrRoad_tech!S174)</f>
        <v>1.1228069455048433</v>
      </c>
      <c r="T201" s="91">
        <f>IF(TrRoad_act!T62=0,0,TrRoad_emi!T59/TrRoad_tech!T174)</f>
        <v>1.15294994506638</v>
      </c>
      <c r="U201" s="91">
        <f>IF(TrRoad_act!U62=0,0,TrRoad_emi!U59/TrRoad_tech!U174)</f>
        <v>1.1770134825212393</v>
      </c>
      <c r="V201" s="91">
        <f>IF(TrRoad_act!V62=0,0,TrRoad_emi!V59/TrRoad_tech!V174)</f>
        <v>1.1344178702291181</v>
      </c>
      <c r="W201" s="91">
        <f>IF(TrRoad_act!W62=0,0,TrRoad_emi!W59/TrRoad_tech!W174)</f>
        <v>1.1405514934652963</v>
      </c>
      <c r="DA201" s="171"/>
    </row>
    <row r="202" spans="1:105" ht="11.45" customHeight="1" x14ac:dyDescent="0.25">
      <c r="A202" s="111" t="s">
        <v>112</v>
      </c>
      <c r="B202" s="91">
        <f>IF(TrRoad_act!B63=0,0,TrRoad_emi!B60/TrRoad_tech!B175)</f>
        <v>0.87978328371913295</v>
      </c>
      <c r="C202" s="91">
        <f>IF(TrRoad_act!C63=0,0,TrRoad_emi!C60/TrRoad_tech!C175)</f>
        <v>0.93961928542215301</v>
      </c>
      <c r="D202" s="91">
        <f>IF(TrRoad_act!D63=0,0,TrRoad_emi!D60/TrRoad_tech!D175)</f>
        <v>0.93305688316020163</v>
      </c>
      <c r="E202" s="91">
        <f>IF(TrRoad_act!E63=0,0,TrRoad_emi!E60/TrRoad_tech!E175)</f>
        <v>0.93557629525774955</v>
      </c>
      <c r="F202" s="91">
        <f>IF(TrRoad_act!F63=0,0,TrRoad_emi!F60/TrRoad_tech!F175)</f>
        <v>0.95710226772098284</v>
      </c>
      <c r="G202" s="91">
        <f>IF(TrRoad_act!G63=0,0,TrRoad_emi!G60/TrRoad_tech!G175)</f>
        <v>0.90381735868567092</v>
      </c>
      <c r="H202" s="91">
        <f>IF(TrRoad_act!H63=0,0,TrRoad_emi!H60/TrRoad_tech!H175)</f>
        <v>0.8841602808512955</v>
      </c>
      <c r="I202" s="91">
        <f>IF(TrRoad_act!I63=0,0,TrRoad_emi!I60/TrRoad_tech!I175)</f>
        <v>0.89179109030305115</v>
      </c>
      <c r="J202" s="91">
        <f>IF(TrRoad_act!J63=0,0,TrRoad_emi!J60/TrRoad_tech!J175)</f>
        <v>0.92752157160696935</v>
      </c>
      <c r="K202" s="91">
        <f>IF(TrRoad_act!K63=0,0,TrRoad_emi!K60/TrRoad_tech!K175)</f>
        <v>0.96649616763887602</v>
      </c>
      <c r="L202" s="91">
        <f>IF(TrRoad_act!L63=0,0,TrRoad_emi!L60/TrRoad_tech!L175)</f>
        <v>0.95684075436826233</v>
      </c>
      <c r="M202" s="91">
        <f>IF(TrRoad_act!M63=0,0,TrRoad_emi!M60/TrRoad_tech!M175)</f>
        <v>0.91073576356756647</v>
      </c>
      <c r="N202" s="91">
        <f>IF(TrRoad_act!N63=0,0,TrRoad_emi!N60/TrRoad_tech!N175)</f>
        <v>0.92550522044394234</v>
      </c>
      <c r="O202" s="91">
        <f>IF(TrRoad_act!O63=0,0,TrRoad_emi!O60/TrRoad_tech!O175)</f>
        <v>0.91745781724871012</v>
      </c>
      <c r="P202" s="91">
        <f>IF(TrRoad_act!P63=0,0,TrRoad_emi!P60/TrRoad_tech!P175)</f>
        <v>0.86926041585274161</v>
      </c>
      <c r="Q202" s="91">
        <f>IF(TrRoad_act!Q63=0,0,TrRoad_emi!Q60/TrRoad_tech!Q175)</f>
        <v>0.85911309421955762</v>
      </c>
      <c r="R202" s="91">
        <f>IF(TrRoad_act!R63=0,0,TrRoad_emi!R60/TrRoad_tech!R175)</f>
        <v>0.9651487596040107</v>
      </c>
      <c r="S202" s="91">
        <f>IF(TrRoad_act!S63=0,0,TrRoad_emi!S60/TrRoad_tech!S175)</f>
        <v>1.0328520514414037</v>
      </c>
      <c r="T202" s="91">
        <f>IF(TrRoad_act!T63=0,0,TrRoad_emi!T60/TrRoad_tech!T175)</f>
        <v>0.95170058572022531</v>
      </c>
      <c r="U202" s="91">
        <f>IF(TrRoad_act!U63=0,0,TrRoad_emi!U60/TrRoad_tech!U175)</f>
        <v>1.0672142844193924</v>
      </c>
      <c r="V202" s="91">
        <f>IF(TrRoad_act!V63=0,0,TrRoad_emi!V60/TrRoad_tech!V175)</f>
        <v>0.84995390628739587</v>
      </c>
      <c r="W202" s="91">
        <f>IF(TrRoad_act!W63=0,0,TrRoad_emi!W60/TrRoad_tech!W175)</f>
        <v>0.65225821000043893</v>
      </c>
      <c r="DA202" s="171"/>
    </row>
    <row r="203" spans="1:105" ht="11.45" customHeight="1" x14ac:dyDescent="0.25">
      <c r="A203" s="111" t="s">
        <v>113</v>
      </c>
      <c r="B203" s="91">
        <f>IF(TrRoad_act!B64=0,0,TrRoad_emi!B61/TrRoad_tech!B176)</f>
        <v>0</v>
      </c>
      <c r="C203" s="91">
        <f>IF(TrRoad_act!C64=0,0,TrRoad_emi!C61/TrRoad_tech!C176)</f>
        <v>0</v>
      </c>
      <c r="D203" s="91">
        <f>IF(TrRoad_act!D64=0,0,TrRoad_emi!D61/TrRoad_tech!D176)</f>
        <v>0</v>
      </c>
      <c r="E203" s="91">
        <f>IF(TrRoad_act!E64=0,0,TrRoad_emi!E61/TrRoad_tech!E176)</f>
        <v>0</v>
      </c>
      <c r="F203" s="91">
        <f>IF(TrRoad_act!F64=0,0,TrRoad_emi!F61/TrRoad_tech!F176)</f>
        <v>0</v>
      </c>
      <c r="G203" s="91">
        <f>IF(TrRoad_act!G64=0,0,TrRoad_emi!G61/TrRoad_tech!G176)</f>
        <v>0</v>
      </c>
      <c r="H203" s="91">
        <f>IF(TrRoad_act!H64=0,0,TrRoad_emi!H61/TrRoad_tech!H176)</f>
        <v>1.0400000000040801</v>
      </c>
      <c r="I203" s="91">
        <f>IF(TrRoad_act!I64=0,0,TrRoad_emi!I61/TrRoad_tech!I176)</f>
        <v>1.0424953785324769</v>
      </c>
      <c r="J203" s="91">
        <f>IF(TrRoad_act!J64=0,0,TrRoad_emi!J61/TrRoad_tech!J176)</f>
        <v>1.0459946785676764</v>
      </c>
      <c r="K203" s="91">
        <f>IF(TrRoad_act!K64=0,0,TrRoad_emi!K61/TrRoad_tech!K176)</f>
        <v>1.0467888349199179</v>
      </c>
      <c r="L203" s="91">
        <f>IF(TrRoad_act!L64=0,0,TrRoad_emi!L61/TrRoad_tech!L176)</f>
        <v>1.0492251631354332</v>
      </c>
      <c r="M203" s="91">
        <f>IF(TrRoad_act!M64=0,0,TrRoad_emi!M61/TrRoad_tech!M176)</f>
        <v>1.0540374730830699</v>
      </c>
      <c r="N203" s="91">
        <f>IF(TrRoad_act!N64=0,0,TrRoad_emi!N61/TrRoad_tech!N176)</f>
        <v>1.0555364460659737</v>
      </c>
      <c r="O203" s="91">
        <f>IF(TrRoad_act!O64=0,0,TrRoad_emi!O61/TrRoad_tech!O176)</f>
        <v>1.0576710524552908</v>
      </c>
      <c r="P203" s="91">
        <f>IF(TrRoad_act!P64=0,0,TrRoad_emi!P61/TrRoad_tech!P176)</f>
        <v>1.0287818789093155</v>
      </c>
      <c r="Q203" s="91">
        <f>IF(TrRoad_act!Q64=0,0,TrRoad_emi!Q61/TrRoad_tech!Q176)</f>
        <v>1.0409842027037659</v>
      </c>
      <c r="R203" s="91">
        <f>IF(TrRoad_act!R64=0,0,TrRoad_emi!R61/TrRoad_tech!R176)</f>
        <v>1.0440445741346014</v>
      </c>
      <c r="S203" s="91">
        <f>IF(TrRoad_act!S64=0,0,TrRoad_emi!S61/TrRoad_tech!S176)</f>
        <v>1.055690113007357</v>
      </c>
      <c r="T203" s="91">
        <f>IF(TrRoad_act!T64=0,0,TrRoad_emi!T61/TrRoad_tech!T176)</f>
        <v>1.0520587723725296</v>
      </c>
      <c r="U203" s="91">
        <f>IF(TrRoad_act!U64=0,0,TrRoad_emi!U61/TrRoad_tech!U176)</f>
        <v>1.0568644233918845</v>
      </c>
      <c r="V203" s="91">
        <f>IF(TrRoad_act!V64=0,0,TrRoad_emi!V61/TrRoad_tech!V176)</f>
        <v>1.0631986332346384</v>
      </c>
      <c r="W203" s="91">
        <f>IF(TrRoad_act!W64=0,0,TrRoad_emi!W61/TrRoad_tech!W176)</f>
        <v>1.0629150493705688</v>
      </c>
      <c r="DA203" s="171"/>
    </row>
    <row r="204" spans="1:105" ht="11.45" customHeight="1" x14ac:dyDescent="0.25">
      <c r="A204" s="111" t="s">
        <v>114</v>
      </c>
      <c r="B204" s="91">
        <f>IF(TrRoad_act!B65=0,0,TrRoad_emi!B62/TrRoad_tech!B177)</f>
        <v>0</v>
      </c>
      <c r="C204" s="91">
        <f>IF(TrRoad_act!C65=0,0,TrRoad_emi!C62/TrRoad_tech!C177)</f>
        <v>0</v>
      </c>
      <c r="D204" s="91">
        <f>IF(TrRoad_act!D65=0,0,TrRoad_emi!D62/TrRoad_tech!D177)</f>
        <v>0</v>
      </c>
      <c r="E204" s="91">
        <f>IF(TrRoad_act!E65=0,0,TrRoad_emi!E62/TrRoad_tech!E177)</f>
        <v>0</v>
      </c>
      <c r="F204" s="91">
        <f>IF(TrRoad_act!F65=0,0,TrRoad_emi!F62/TrRoad_tech!F177)</f>
        <v>0</v>
      </c>
      <c r="G204" s="91">
        <f>IF(TrRoad_act!G65=0,0,TrRoad_emi!G62/TrRoad_tech!G177)</f>
        <v>0</v>
      </c>
      <c r="H204" s="91">
        <f>IF(TrRoad_act!H65=0,0,TrRoad_emi!H62/TrRoad_tech!H177)</f>
        <v>0</v>
      </c>
      <c r="I204" s="91">
        <f>IF(TrRoad_act!I65=0,0,TrRoad_emi!I62/TrRoad_tech!I177)</f>
        <v>0</v>
      </c>
      <c r="J204" s="91">
        <f>IF(TrRoad_act!J65=0,0,TrRoad_emi!J62/TrRoad_tech!J177)</f>
        <v>0</v>
      </c>
      <c r="K204" s="91">
        <f>IF(TrRoad_act!K65=0,0,TrRoad_emi!K62/TrRoad_tech!K177)</f>
        <v>0</v>
      </c>
      <c r="L204" s="91">
        <f>IF(TrRoad_act!L65=0,0,TrRoad_emi!L62/TrRoad_tech!L177)</f>
        <v>0</v>
      </c>
      <c r="M204" s="91">
        <f>IF(TrRoad_act!M65=0,0,TrRoad_emi!M62/TrRoad_tech!M177)</f>
        <v>1.0553769719779253</v>
      </c>
      <c r="N204" s="91">
        <f>IF(TrRoad_act!N65=0,0,TrRoad_emi!N62/TrRoad_tech!N177)</f>
        <v>1.0628051572261119</v>
      </c>
      <c r="O204" s="91">
        <f>IF(TrRoad_act!O65=0,0,TrRoad_emi!O62/TrRoad_tech!O177)</f>
        <v>1.0833545874873129</v>
      </c>
      <c r="P204" s="91">
        <f>IF(TrRoad_act!P65=0,0,TrRoad_emi!P62/TrRoad_tech!P177)</f>
        <v>1.1131454140282973</v>
      </c>
      <c r="Q204" s="91">
        <f>IF(TrRoad_act!Q65=0,0,TrRoad_emi!Q62/TrRoad_tech!Q177)</f>
        <v>1.1690290243589618</v>
      </c>
      <c r="R204" s="91">
        <f>IF(TrRoad_act!R65=0,0,TrRoad_emi!R62/TrRoad_tech!R177)</f>
        <v>1.1921729389592524</v>
      </c>
      <c r="S204" s="91">
        <f>IF(TrRoad_act!S65=0,0,TrRoad_emi!S62/TrRoad_tech!S177)</f>
        <v>1.2105604678764696</v>
      </c>
      <c r="T204" s="91">
        <f>IF(TrRoad_act!T65=0,0,TrRoad_emi!T62/TrRoad_tech!T177)</f>
        <v>1.263851404155113</v>
      </c>
      <c r="U204" s="91">
        <f>IF(TrRoad_act!U65=0,0,TrRoad_emi!U62/TrRoad_tech!U177)</f>
        <v>1.2896955264451786</v>
      </c>
      <c r="V204" s="91">
        <f>IF(TrRoad_act!V65=0,0,TrRoad_emi!V62/TrRoad_tech!V177)</f>
        <v>1.1860716206964401</v>
      </c>
      <c r="W204" s="91">
        <f>IF(TrRoad_act!W65=0,0,TrRoad_emi!W62/TrRoad_tech!W177)</f>
        <v>1.1960888618662542</v>
      </c>
      <c r="DA204" s="171"/>
    </row>
    <row r="205" spans="1:105" ht="11.45" customHeight="1" x14ac:dyDescent="0.25">
      <c r="A205" s="111" t="s">
        <v>115</v>
      </c>
      <c r="B205" s="91">
        <f>0</f>
        <v>0</v>
      </c>
      <c r="C205" s="91">
        <f>0</f>
        <v>0</v>
      </c>
      <c r="D205" s="91">
        <f>0</f>
        <v>0</v>
      </c>
      <c r="E205" s="91">
        <f>0</f>
        <v>0</v>
      </c>
      <c r="F205" s="91">
        <f>0</f>
        <v>0</v>
      </c>
      <c r="G205" s="91">
        <f>0</f>
        <v>0</v>
      </c>
      <c r="H205" s="91">
        <f>0</f>
        <v>0</v>
      </c>
      <c r="I205" s="91">
        <f>0</f>
        <v>0</v>
      </c>
      <c r="J205" s="91">
        <f>0</f>
        <v>0</v>
      </c>
      <c r="K205" s="91">
        <f>0</f>
        <v>0</v>
      </c>
      <c r="L205" s="91">
        <f>0</f>
        <v>0</v>
      </c>
      <c r="M205" s="91">
        <f>0</f>
        <v>0</v>
      </c>
      <c r="N205" s="91">
        <f>0</f>
        <v>0</v>
      </c>
      <c r="O205" s="91">
        <f>0</f>
        <v>0</v>
      </c>
      <c r="P205" s="91">
        <f>0</f>
        <v>0</v>
      </c>
      <c r="Q205" s="91">
        <f>0</f>
        <v>0</v>
      </c>
      <c r="R205" s="91">
        <f>0</f>
        <v>0</v>
      </c>
      <c r="S205" s="91">
        <f>0</f>
        <v>0</v>
      </c>
      <c r="T205" s="91">
        <f>0</f>
        <v>0</v>
      </c>
      <c r="U205" s="91">
        <f>0</f>
        <v>0</v>
      </c>
      <c r="V205" s="91">
        <f>0</f>
        <v>0</v>
      </c>
      <c r="W205" s="91">
        <f>0</f>
        <v>0</v>
      </c>
      <c r="DA205" s="171"/>
    </row>
    <row r="206" spans="1:105" ht="11.45" customHeight="1" x14ac:dyDescent="0.25">
      <c r="A206" s="109" t="s">
        <v>21</v>
      </c>
      <c r="B206" s="151">
        <f>IF(TrRoad_act!B67=0,0,TrRoad_emi!B64/TrRoad_tech!B179)</f>
        <v>1.0978496564631384</v>
      </c>
      <c r="C206" s="151">
        <f>IF(TrRoad_act!C67=0,0,TrRoad_emi!C64/TrRoad_tech!C179)</f>
        <v>1.0983018937027476</v>
      </c>
      <c r="D206" s="151">
        <f>IF(TrRoad_act!D67=0,0,TrRoad_emi!D64/TrRoad_tech!D179)</f>
        <v>1.1007515525543925</v>
      </c>
      <c r="E206" s="151">
        <f>IF(TrRoad_act!E67=0,0,TrRoad_emi!E64/TrRoad_tech!E179)</f>
        <v>1.0990127923162778</v>
      </c>
      <c r="F206" s="151">
        <f>IF(TrRoad_act!F67=0,0,TrRoad_emi!F64/TrRoad_tech!F179)</f>
        <v>1.0948018654942617</v>
      </c>
      <c r="G206" s="151">
        <f>IF(TrRoad_act!G67=0,0,TrRoad_emi!G64/TrRoad_tech!G179)</f>
        <v>1.0963862517281771</v>
      </c>
      <c r="H206" s="151">
        <f>IF(TrRoad_act!H67=0,0,TrRoad_emi!H64/TrRoad_tech!H179)</f>
        <v>1.055754457465683</v>
      </c>
      <c r="I206" s="151">
        <f>IF(TrRoad_act!I67=0,0,TrRoad_emi!I64/TrRoad_tech!I179)</f>
        <v>1.0644945556734577</v>
      </c>
      <c r="J206" s="151">
        <f>IF(TrRoad_act!J67=0,0,TrRoad_emi!J64/TrRoad_tech!J179)</f>
        <v>1.0612892556359319</v>
      </c>
      <c r="K206" s="151">
        <f>IF(TrRoad_act!K67=0,0,TrRoad_emi!K64/TrRoad_tech!K179)</f>
        <v>1.1026345321276267</v>
      </c>
      <c r="L206" s="151">
        <f>IF(TrRoad_act!L67=0,0,TrRoad_emi!L64/TrRoad_tech!L179)</f>
        <v>1.0894732857400908</v>
      </c>
      <c r="M206" s="151">
        <f>IF(TrRoad_act!M67=0,0,TrRoad_emi!M64/TrRoad_tech!M179)</f>
        <v>1.0574167785623685</v>
      </c>
      <c r="N206" s="151">
        <f>IF(TrRoad_act!N67=0,0,TrRoad_emi!N64/TrRoad_tech!N179)</f>
        <v>1.0692071894042285</v>
      </c>
      <c r="O206" s="151">
        <f>IF(TrRoad_act!O67=0,0,TrRoad_emi!O64/TrRoad_tech!O179)</f>
        <v>1.1003749879967433</v>
      </c>
      <c r="P206" s="151">
        <f>IF(TrRoad_act!P67=0,0,TrRoad_emi!P64/TrRoad_tech!P179)</f>
        <v>1.0695650886935086</v>
      </c>
      <c r="Q206" s="151">
        <f>IF(TrRoad_act!Q67=0,0,TrRoad_emi!Q64/TrRoad_tech!Q179)</f>
        <v>1.0660205774745339</v>
      </c>
      <c r="R206" s="151">
        <f>IF(TrRoad_act!R67=0,0,TrRoad_emi!R64/TrRoad_tech!R179)</f>
        <v>1.1204809093767745</v>
      </c>
      <c r="S206" s="151">
        <f>IF(TrRoad_act!S67=0,0,TrRoad_emi!S64/TrRoad_tech!S179)</f>
        <v>1.150155173053782</v>
      </c>
      <c r="T206" s="151">
        <f>IF(TrRoad_act!T67=0,0,TrRoad_emi!T64/TrRoad_tech!T179)</f>
        <v>1.1714960733155328</v>
      </c>
      <c r="U206" s="151">
        <f>IF(TrRoad_act!U67=0,0,TrRoad_emi!U64/TrRoad_tech!U179)</f>
        <v>1.1920240552664132</v>
      </c>
      <c r="V206" s="151">
        <f>IF(TrRoad_act!V67=0,0,TrRoad_emi!V64/TrRoad_tech!V179)</f>
        <v>1.2043665845247979</v>
      </c>
      <c r="W206" s="151">
        <f>IF(TrRoad_act!W67=0,0,TrRoad_emi!W64/TrRoad_tech!W179)</f>
        <v>1.2088868856548258</v>
      </c>
      <c r="DA206" s="176"/>
    </row>
    <row r="207" spans="1:105" ht="11.45" customHeight="1" x14ac:dyDescent="0.25">
      <c r="A207" s="111" t="s">
        <v>110</v>
      </c>
      <c r="B207" s="93">
        <f>IF(TrRoad_act!B68=0,0,TrRoad_emi!B65/TrRoad_tech!B180)</f>
        <v>1.10000000000673</v>
      </c>
      <c r="C207" s="93">
        <f>IF(TrRoad_act!C68=0,0,TrRoad_emi!C65/TrRoad_tech!C180)</f>
        <v>1.1003436128795514</v>
      </c>
      <c r="D207" s="93">
        <f>IF(TrRoad_act!D68=0,0,TrRoad_emi!D65/TrRoad_tech!D180)</f>
        <v>1.100411669589634</v>
      </c>
      <c r="E207" s="93">
        <f>IF(TrRoad_act!E68=0,0,TrRoad_emi!E65/TrRoad_tech!E180)</f>
        <v>1.1004516931953725</v>
      </c>
      <c r="F207" s="93">
        <f>IF(TrRoad_act!F68=0,0,TrRoad_emi!F65/TrRoad_tech!F180)</f>
        <v>1.1005090260602188</v>
      </c>
      <c r="G207" s="93">
        <f>IF(TrRoad_act!G68=0,0,TrRoad_emi!G65/TrRoad_tech!G180)</f>
        <v>1.1007273153260693</v>
      </c>
      <c r="H207" s="93">
        <f>IF(TrRoad_act!H68=0,0,TrRoad_emi!H65/TrRoad_tech!H180)</f>
        <v>1.1008465670558427</v>
      </c>
      <c r="I207" s="93">
        <f>IF(TrRoad_act!I68=0,0,TrRoad_emi!I65/TrRoad_tech!I180)</f>
        <v>1.1042937239401294</v>
      </c>
      <c r="J207" s="93">
        <f>IF(TrRoad_act!J68=0,0,TrRoad_emi!J65/TrRoad_tech!J180)</f>
        <v>1.0827995604226692</v>
      </c>
      <c r="K207" s="93">
        <f>IF(TrRoad_act!K68=0,0,TrRoad_emi!K65/TrRoad_tech!K180)</f>
        <v>1.0697145945204269</v>
      </c>
      <c r="L207" s="93">
        <f>IF(TrRoad_act!L68=0,0,TrRoad_emi!L65/TrRoad_tech!L180)</f>
        <v>1.0694901371433321</v>
      </c>
      <c r="M207" s="93">
        <f>IF(TrRoad_act!M68=0,0,TrRoad_emi!M65/TrRoad_tech!M180)</f>
        <v>1.0713971260604989</v>
      </c>
      <c r="N207" s="93">
        <f>IF(TrRoad_act!N68=0,0,TrRoad_emi!N65/TrRoad_tech!N180)</f>
        <v>1.0700187158398748</v>
      </c>
      <c r="O207" s="93">
        <f>IF(TrRoad_act!O68=0,0,TrRoad_emi!O65/TrRoad_tech!O180)</f>
        <v>1.0863252860481007</v>
      </c>
      <c r="P207" s="93">
        <f>IF(TrRoad_act!P68=0,0,TrRoad_emi!P65/TrRoad_tech!P180)</f>
        <v>1.1367128236873503</v>
      </c>
      <c r="Q207" s="93">
        <f>IF(TrRoad_act!Q68=0,0,TrRoad_emi!Q65/TrRoad_tech!Q180)</f>
        <v>1.1393944479920095</v>
      </c>
      <c r="R207" s="93">
        <f>IF(TrRoad_act!R68=0,0,TrRoad_emi!R65/TrRoad_tech!R180)</f>
        <v>1.1764992229368685</v>
      </c>
      <c r="S207" s="93">
        <f>IF(TrRoad_act!S68=0,0,TrRoad_emi!S65/TrRoad_tech!S180)</f>
        <v>1.1768981517392381</v>
      </c>
      <c r="T207" s="93">
        <f>IF(TrRoad_act!T68=0,0,TrRoad_emi!T65/TrRoad_tech!T180)</f>
        <v>1.1772261845563301</v>
      </c>
      <c r="U207" s="93">
        <f>IF(TrRoad_act!U68=0,0,TrRoad_emi!U65/TrRoad_tech!U180)</f>
        <v>1.1778165183241047</v>
      </c>
      <c r="V207" s="93">
        <f>IF(TrRoad_act!V68=0,0,TrRoad_emi!V65/TrRoad_tech!V180)</f>
        <v>1.2010207508368924</v>
      </c>
      <c r="W207" s="93">
        <f>IF(TrRoad_act!W68=0,0,TrRoad_emi!W65/TrRoad_tech!W180)</f>
        <v>1.237524934684604</v>
      </c>
      <c r="DA207" s="175"/>
    </row>
    <row r="208" spans="1:105" ht="11.45" customHeight="1" x14ac:dyDescent="0.25">
      <c r="A208" s="111" t="s">
        <v>111</v>
      </c>
      <c r="B208" s="93">
        <f>IF(TrRoad_act!B69=0,0,TrRoad_emi!B66/TrRoad_tech!B181)</f>
        <v>1.0955114169956657</v>
      </c>
      <c r="C208" s="93">
        <f>IF(TrRoad_act!C69=0,0,TrRoad_emi!C66/TrRoad_tech!C181)</f>
        <v>1.0958492158327142</v>
      </c>
      <c r="D208" s="93">
        <f>IF(TrRoad_act!D69=0,0,TrRoad_emi!D66/TrRoad_tech!D181)</f>
        <v>1.096979917190348</v>
      </c>
      <c r="E208" s="93">
        <f>IF(TrRoad_act!E69=0,0,TrRoad_emi!E66/TrRoad_tech!E181)</f>
        <v>1.0987737017828187</v>
      </c>
      <c r="F208" s="93">
        <f>IF(TrRoad_act!F69=0,0,TrRoad_emi!F66/TrRoad_tech!F181)</f>
        <v>1.1016952167890708</v>
      </c>
      <c r="G208" s="93">
        <f>IF(TrRoad_act!G69=0,0,TrRoad_emi!G66/TrRoad_tech!G181)</f>
        <v>1.0938766440045591</v>
      </c>
      <c r="H208" s="93">
        <f>IF(TrRoad_act!H69=0,0,TrRoad_emi!H66/TrRoad_tech!H181)</f>
        <v>1.0619361832138818</v>
      </c>
      <c r="I208" s="93">
        <f>IF(TrRoad_act!I69=0,0,TrRoad_emi!I66/TrRoad_tech!I181)</f>
        <v>1.0577325590605335</v>
      </c>
      <c r="J208" s="93">
        <f>IF(TrRoad_act!J69=0,0,TrRoad_emi!J66/TrRoad_tech!J181)</f>
        <v>1.0561965083330038</v>
      </c>
      <c r="K208" s="93">
        <f>IF(TrRoad_act!K69=0,0,TrRoad_emi!K66/TrRoad_tech!K181)</f>
        <v>1.0407104866677246</v>
      </c>
      <c r="L208" s="93">
        <f>IF(TrRoad_act!L69=0,0,TrRoad_emi!L66/TrRoad_tech!L181)</f>
        <v>1.054976010441252</v>
      </c>
      <c r="M208" s="93">
        <f>IF(TrRoad_act!M69=0,0,TrRoad_emi!M66/TrRoad_tech!M181)</f>
        <v>1.0585618490387692</v>
      </c>
      <c r="N208" s="93">
        <f>IF(TrRoad_act!N69=0,0,TrRoad_emi!N66/TrRoad_tech!N181)</f>
        <v>1.0702396576515092</v>
      </c>
      <c r="O208" s="93">
        <f>IF(TrRoad_act!O69=0,0,TrRoad_emi!O66/TrRoad_tech!O181)</f>
        <v>1.0835345667847562</v>
      </c>
      <c r="P208" s="93">
        <f>IF(TrRoad_act!P69=0,0,TrRoad_emi!P66/TrRoad_tech!P181)</f>
        <v>1.0788072121415238</v>
      </c>
      <c r="Q208" s="93">
        <f>IF(TrRoad_act!Q69=0,0,TrRoad_emi!Q66/TrRoad_tech!Q181)</f>
        <v>1.0859396099478897</v>
      </c>
      <c r="R208" s="93">
        <f>IF(TrRoad_act!R69=0,0,TrRoad_emi!R66/TrRoad_tech!R181)</f>
        <v>1.1273738945766323</v>
      </c>
      <c r="S208" s="93">
        <f>IF(TrRoad_act!S69=0,0,TrRoad_emi!S66/TrRoad_tech!S181)</f>
        <v>1.1622866121642452</v>
      </c>
      <c r="T208" s="93">
        <f>IF(TrRoad_act!T69=0,0,TrRoad_emi!T66/TrRoad_tech!T181)</f>
        <v>1.1823591873784811</v>
      </c>
      <c r="U208" s="93">
        <f>IF(TrRoad_act!U69=0,0,TrRoad_emi!U66/TrRoad_tech!U181)</f>
        <v>1.2002522875439101</v>
      </c>
      <c r="V208" s="93">
        <f>IF(TrRoad_act!V69=0,0,TrRoad_emi!V66/TrRoad_tech!V181)</f>
        <v>1.218484063203001</v>
      </c>
      <c r="W208" s="93">
        <f>IF(TrRoad_act!W69=0,0,TrRoad_emi!W66/TrRoad_tech!W181)</f>
        <v>1.2275060183225099</v>
      </c>
      <c r="DA208" s="175"/>
    </row>
    <row r="209" spans="1:105" ht="11.45" customHeight="1" x14ac:dyDescent="0.25">
      <c r="A209" s="111" t="s">
        <v>112</v>
      </c>
      <c r="B209" s="93">
        <f>IF(TrRoad_act!B70=0,0,TrRoad_emi!B67/TrRoad_tech!B182)</f>
        <v>0</v>
      </c>
      <c r="C209" s="93">
        <f>IF(TrRoad_act!C70=0,0,TrRoad_emi!C67/TrRoad_tech!C182)</f>
        <v>1.1040000000061809</v>
      </c>
      <c r="D209" s="93">
        <f>IF(TrRoad_act!D70=0,0,TrRoad_emi!D67/TrRoad_tech!D182)</f>
        <v>1.1075950447354486</v>
      </c>
      <c r="E209" s="93">
        <f>IF(TrRoad_act!E70=0,0,TrRoad_emi!E67/TrRoad_tech!E182)</f>
        <v>1.1101445236563179</v>
      </c>
      <c r="F209" s="93">
        <f>IF(TrRoad_act!F70=0,0,TrRoad_emi!F67/TrRoad_tech!F182)</f>
        <v>1.1141489914278033</v>
      </c>
      <c r="G209" s="93">
        <f>IF(TrRoad_act!G70=0,0,TrRoad_emi!G67/TrRoad_tech!G182)</f>
        <v>1.1203853068728811</v>
      </c>
      <c r="H209" s="93">
        <f>IF(TrRoad_act!H70=0,0,TrRoad_emi!H67/TrRoad_tech!H182)</f>
        <v>1.1253038162836466</v>
      </c>
      <c r="I209" s="93">
        <f>IF(TrRoad_act!I70=0,0,TrRoad_emi!I67/TrRoad_tech!I182)</f>
        <v>1.1318070423077171</v>
      </c>
      <c r="J209" s="93">
        <f>IF(TrRoad_act!J70=0,0,TrRoad_emi!J67/TrRoad_tech!J182)</f>
        <v>1.1383626201431911</v>
      </c>
      <c r="K209" s="93">
        <f>IF(TrRoad_act!K70=0,0,TrRoad_emi!K67/TrRoad_tech!K182)</f>
        <v>1.1508653160223903</v>
      </c>
      <c r="L209" s="93">
        <f>IF(TrRoad_act!L70=0,0,TrRoad_emi!L67/TrRoad_tech!L182)</f>
        <v>1.1576575880459969</v>
      </c>
      <c r="M209" s="93">
        <f>IF(TrRoad_act!M70=0,0,TrRoad_emi!M67/TrRoad_tech!M182)</f>
        <v>1.1630281448140716</v>
      </c>
      <c r="N209" s="93">
        <f>IF(TrRoad_act!N70=0,0,TrRoad_emi!N67/TrRoad_tech!N182)</f>
        <v>1.1639889329714472</v>
      </c>
      <c r="O209" s="93">
        <f>IF(TrRoad_act!O70=0,0,TrRoad_emi!O67/TrRoad_tech!O182)</f>
        <v>1.1645944504025902</v>
      </c>
      <c r="P209" s="93">
        <f>IF(TrRoad_act!P70=0,0,TrRoad_emi!P67/TrRoad_tech!P182)</f>
        <v>1.1659582121074388</v>
      </c>
      <c r="Q209" s="93">
        <f>IF(TrRoad_act!Q70=0,0,TrRoad_emi!Q67/TrRoad_tech!Q182)</f>
        <v>1.173916757525244</v>
      </c>
      <c r="R209" s="93">
        <f>IF(TrRoad_act!R70=0,0,TrRoad_emi!R67/TrRoad_tech!R182)</f>
        <v>1.1810107179589047</v>
      </c>
      <c r="S209" s="93">
        <f>IF(TrRoad_act!S70=0,0,TrRoad_emi!S67/TrRoad_tech!S182)</f>
        <v>1.1868727767949234</v>
      </c>
      <c r="T209" s="93">
        <f>IF(TrRoad_act!T70=0,0,TrRoad_emi!T67/TrRoad_tech!T182)</f>
        <v>1.1937414459301039</v>
      </c>
      <c r="U209" s="93">
        <f>IF(TrRoad_act!U70=0,0,TrRoad_emi!U67/TrRoad_tech!U182)</f>
        <v>1.2717931845862986</v>
      </c>
      <c r="V209" s="93">
        <f>IF(TrRoad_act!V70=0,0,TrRoad_emi!V67/TrRoad_tech!V182)</f>
        <v>1.3219961806221365</v>
      </c>
      <c r="W209" s="93">
        <f>IF(TrRoad_act!W70=0,0,TrRoad_emi!W67/TrRoad_tech!W182)</f>
        <v>1.3515412141326009</v>
      </c>
      <c r="DA209" s="175"/>
    </row>
    <row r="210" spans="1:105" ht="11.45" customHeight="1" x14ac:dyDescent="0.25">
      <c r="A210" s="111" t="s">
        <v>113</v>
      </c>
      <c r="B210" s="93">
        <f>IF(TrRoad_act!B71=0,0,TrRoad_emi!B68/TrRoad_tech!B183)</f>
        <v>0</v>
      </c>
      <c r="C210" s="93">
        <f>IF(TrRoad_act!C71=0,0,TrRoad_emi!C68/TrRoad_tech!C183)</f>
        <v>0</v>
      </c>
      <c r="D210" s="93">
        <f>IF(TrRoad_act!D71=0,0,TrRoad_emi!D68/TrRoad_tech!D183)</f>
        <v>0</v>
      </c>
      <c r="E210" s="93">
        <f>IF(TrRoad_act!E71=0,0,TrRoad_emi!E68/TrRoad_tech!E183)</f>
        <v>0</v>
      </c>
      <c r="F210" s="93">
        <f>IF(TrRoad_act!F71=0,0,TrRoad_emi!F68/TrRoad_tech!F183)</f>
        <v>1.274056955116351</v>
      </c>
      <c r="G210" s="93">
        <f>IF(TrRoad_act!G71=0,0,TrRoad_emi!G68/TrRoad_tech!G183)</f>
        <v>1.6121574124770859</v>
      </c>
      <c r="H210" s="93">
        <f>IF(TrRoad_act!H71=0,0,TrRoad_emi!H68/TrRoad_tech!H183)</f>
        <v>1.4146232385685034</v>
      </c>
      <c r="I210" s="93">
        <f>IF(TrRoad_act!I71=0,0,TrRoad_emi!I68/TrRoad_tech!I183)</f>
        <v>1.3310558628442453</v>
      </c>
      <c r="J210" s="93">
        <f>IF(TrRoad_act!J71=0,0,TrRoad_emi!J68/TrRoad_tech!J183)</f>
        <v>1.3741679507225597</v>
      </c>
      <c r="K210" s="93">
        <f>IF(TrRoad_act!K71=0,0,TrRoad_emi!K68/TrRoad_tech!K183)</f>
        <v>1.2314368240185198</v>
      </c>
      <c r="L210" s="93">
        <f>IF(TrRoad_act!L71=0,0,TrRoad_emi!L68/TrRoad_tech!L183)</f>
        <v>1.1914519094000984</v>
      </c>
      <c r="M210" s="93">
        <f>IF(TrRoad_act!M71=0,0,TrRoad_emi!M68/TrRoad_tech!M183)</f>
        <v>1.0541522502589522</v>
      </c>
      <c r="N210" s="93">
        <f>IF(TrRoad_act!N71=0,0,TrRoad_emi!N68/TrRoad_tech!N183)</f>
        <v>1.0348894866779774</v>
      </c>
      <c r="O210" s="93">
        <f>IF(TrRoad_act!O71=0,0,TrRoad_emi!O68/TrRoad_tech!O183)</f>
        <v>0.97552664679905421</v>
      </c>
      <c r="P210" s="93">
        <f>IF(TrRoad_act!P71=0,0,TrRoad_emi!P68/TrRoad_tech!P183)</f>
        <v>0.96308636930294456</v>
      </c>
      <c r="Q210" s="93">
        <f>IF(TrRoad_act!Q71=0,0,TrRoad_emi!Q68/TrRoad_tech!Q183)</f>
        <v>0.9654397939117676</v>
      </c>
      <c r="R210" s="93">
        <f>IF(TrRoad_act!R71=0,0,TrRoad_emi!R68/TrRoad_tech!R183)</f>
        <v>1.1915039545665449</v>
      </c>
      <c r="S210" s="93">
        <f>IF(TrRoad_act!S71=0,0,TrRoad_emi!S68/TrRoad_tech!S183)</f>
        <v>1.208028880973077</v>
      </c>
      <c r="T210" s="93">
        <f>IF(TrRoad_act!T71=0,0,TrRoad_emi!T68/TrRoad_tech!T183)</f>
        <v>1.2052745409662453</v>
      </c>
      <c r="U210" s="93">
        <f>IF(TrRoad_act!U71=0,0,TrRoad_emi!U68/TrRoad_tech!U183)</f>
        <v>1.2119479261839372</v>
      </c>
      <c r="V210" s="93">
        <f>IF(TrRoad_act!V71=0,0,TrRoad_emi!V68/TrRoad_tech!V183)</f>
        <v>1.2184321568418583</v>
      </c>
      <c r="W210" s="93">
        <f>IF(TrRoad_act!W71=0,0,TrRoad_emi!W68/TrRoad_tech!W183)</f>
        <v>1.2214175933928264</v>
      </c>
      <c r="DA210" s="175"/>
    </row>
    <row r="211" spans="1:105" ht="11.45" customHeight="1" x14ac:dyDescent="0.25">
      <c r="A211" s="111" t="s">
        <v>115</v>
      </c>
      <c r="B211" s="93">
        <f>0</f>
        <v>0</v>
      </c>
      <c r="C211" s="93">
        <f>0</f>
        <v>0</v>
      </c>
      <c r="D211" s="93">
        <f>0</f>
        <v>0</v>
      </c>
      <c r="E211" s="93">
        <f>0</f>
        <v>0</v>
      </c>
      <c r="F211" s="93">
        <f>0</f>
        <v>0</v>
      </c>
      <c r="G211" s="93">
        <f>0</f>
        <v>0</v>
      </c>
      <c r="H211" s="93">
        <f>0</f>
        <v>0</v>
      </c>
      <c r="I211" s="93">
        <f>0</f>
        <v>0</v>
      </c>
      <c r="J211" s="93">
        <f>0</f>
        <v>0</v>
      </c>
      <c r="K211" s="93">
        <f>0</f>
        <v>0</v>
      </c>
      <c r="L211" s="93">
        <f>0</f>
        <v>0</v>
      </c>
      <c r="M211" s="93">
        <f>0</f>
        <v>0</v>
      </c>
      <c r="N211" s="93">
        <f>0</f>
        <v>0</v>
      </c>
      <c r="O211" s="93">
        <f>0</f>
        <v>0</v>
      </c>
      <c r="P211" s="93">
        <f>0</f>
        <v>0</v>
      </c>
      <c r="Q211" s="93">
        <f>0</f>
        <v>0</v>
      </c>
      <c r="R211" s="93">
        <f>0</f>
        <v>0</v>
      </c>
      <c r="S211" s="93">
        <f>0</f>
        <v>0</v>
      </c>
      <c r="T211" s="93">
        <f>0</f>
        <v>0</v>
      </c>
      <c r="U211" s="93">
        <f>0</f>
        <v>0</v>
      </c>
      <c r="V211" s="93">
        <f>0</f>
        <v>0</v>
      </c>
      <c r="W211" s="93">
        <f>0</f>
        <v>0</v>
      </c>
      <c r="DA211" s="175"/>
    </row>
    <row r="212" spans="1:105" ht="11.45" customHeight="1" x14ac:dyDescent="0.25">
      <c r="A212" s="27" t="s">
        <v>34</v>
      </c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DA212" s="173"/>
    </row>
    <row r="213" spans="1:105" ht="11.45" customHeight="1" x14ac:dyDescent="0.25">
      <c r="A213" s="136" t="s">
        <v>156</v>
      </c>
      <c r="B213" s="150">
        <f>IF(TrRoad_act!B74=0,0,TrRoad_emi!B71/TrRoad_tech!B186)</f>
        <v>1.0908655547771782</v>
      </c>
      <c r="C213" s="150">
        <f>IF(TrRoad_act!C74=0,0,TrRoad_emi!C71/TrRoad_tech!C186)</f>
        <v>1.0841085124243028</v>
      </c>
      <c r="D213" s="150">
        <f>IF(TrRoad_act!D74=0,0,TrRoad_emi!D71/TrRoad_tech!D186)</f>
        <v>1.0854261239493599</v>
      </c>
      <c r="E213" s="150">
        <f>IF(TrRoad_act!E74=0,0,TrRoad_emi!E71/TrRoad_tech!E186)</f>
        <v>1.0842956680145932</v>
      </c>
      <c r="F213" s="150">
        <f>IF(TrRoad_act!F74=0,0,TrRoad_emi!F71/TrRoad_tech!F186)</f>
        <v>1.0917938013651702</v>
      </c>
      <c r="G213" s="150">
        <f>IF(TrRoad_act!G74=0,0,TrRoad_emi!G71/TrRoad_tech!G186)</f>
        <v>1.0814076271311508</v>
      </c>
      <c r="H213" s="150">
        <f>IF(TrRoad_act!H74=0,0,TrRoad_emi!H71/TrRoad_tech!H186)</f>
        <v>1.0431394530826565</v>
      </c>
      <c r="I213" s="150">
        <f>IF(TrRoad_act!I74=0,0,TrRoad_emi!I71/TrRoad_tech!I186)</f>
        <v>1.0405950822694234</v>
      </c>
      <c r="J213" s="150">
        <f>IF(TrRoad_act!J74=0,0,TrRoad_emi!J71/TrRoad_tech!J186)</f>
        <v>1.0504686868246085</v>
      </c>
      <c r="K213" s="150">
        <f>IF(TrRoad_act!K74=0,0,TrRoad_emi!K71/TrRoad_tech!K186)</f>
        <v>1.0486092303602068</v>
      </c>
      <c r="L213" s="150">
        <f>IF(TrRoad_act!L74=0,0,TrRoad_emi!L71/TrRoad_tech!L186)</f>
        <v>1.1344938497545785</v>
      </c>
      <c r="M213" s="150">
        <f>IF(TrRoad_act!M74=0,0,TrRoad_emi!M71/TrRoad_tech!M186)</f>
        <v>1.2029128098943667</v>
      </c>
      <c r="N213" s="150">
        <f>IF(TrRoad_act!N74=0,0,TrRoad_emi!N71/TrRoad_tech!N186)</f>
        <v>1.0800973451769933</v>
      </c>
      <c r="O213" s="150">
        <f>IF(TrRoad_act!O74=0,0,TrRoad_emi!O71/TrRoad_tech!O186)</f>
        <v>1.0879049648041512</v>
      </c>
      <c r="P213" s="150">
        <f>IF(TrRoad_act!P74=0,0,TrRoad_emi!P71/TrRoad_tech!P186)</f>
        <v>1.0621503338046063</v>
      </c>
      <c r="Q213" s="150">
        <f>IF(TrRoad_act!Q74=0,0,TrRoad_emi!Q71/TrRoad_tech!Q186)</f>
        <v>1.0661361209318301</v>
      </c>
      <c r="R213" s="150">
        <f>IF(TrRoad_act!R74=0,0,TrRoad_emi!R71/TrRoad_tech!R186)</f>
        <v>1.1073650599741349</v>
      </c>
      <c r="S213" s="150">
        <f>IF(TrRoad_act!S74=0,0,TrRoad_emi!S71/TrRoad_tech!S186)</f>
        <v>1.1275955159152262</v>
      </c>
      <c r="T213" s="150">
        <f>IF(TrRoad_act!T74=0,0,TrRoad_emi!T71/TrRoad_tech!T186)</f>
        <v>1.1418930203884672</v>
      </c>
      <c r="U213" s="150">
        <f>IF(TrRoad_act!U74=0,0,TrRoad_emi!U71/TrRoad_tech!U186)</f>
        <v>1.1618713076860021</v>
      </c>
      <c r="V213" s="150">
        <f>IF(TrRoad_act!V74=0,0,TrRoad_emi!V71/TrRoad_tech!V186)</f>
        <v>1.1782429347236918</v>
      </c>
      <c r="W213" s="150">
        <f>IF(TrRoad_act!W74=0,0,TrRoad_emi!W71/TrRoad_tech!W186)</f>
        <v>1.1994019119057997</v>
      </c>
      <c r="DA213" s="174"/>
    </row>
    <row r="214" spans="1:105" ht="11.45" customHeight="1" x14ac:dyDescent="0.25">
      <c r="A214" s="111" t="s">
        <v>110</v>
      </c>
      <c r="B214" s="91">
        <f>IF(TrRoad_act!B75=0,0,TrRoad_emi!B72/TrRoad_tech!B187)</f>
        <v>1.1000000000067305</v>
      </c>
      <c r="C214" s="91">
        <f>IF(TrRoad_act!C75=0,0,TrRoad_emi!C72/TrRoad_tech!C187)</f>
        <v>1.1000135254889978</v>
      </c>
      <c r="D214" s="91">
        <f>IF(TrRoad_act!D75=0,0,TrRoad_emi!D72/TrRoad_tech!D187)</f>
        <v>1.1000668431805478</v>
      </c>
      <c r="E214" s="91">
        <f>IF(TrRoad_act!E75=0,0,TrRoad_emi!E72/TrRoad_tech!E187)</f>
        <v>1.1002110791378699</v>
      </c>
      <c r="F214" s="91">
        <f>IF(TrRoad_act!F75=0,0,TrRoad_emi!F72/TrRoad_tech!F187)</f>
        <v>1.1005752894354319</v>
      </c>
      <c r="G214" s="91">
        <f>IF(TrRoad_act!G75=0,0,TrRoad_emi!G72/TrRoad_tech!G187)</f>
        <v>1.1012888418226303</v>
      </c>
      <c r="H214" s="91">
        <f>IF(TrRoad_act!H75=0,0,TrRoad_emi!H72/TrRoad_tech!H187)</f>
        <v>1.102508499786568</v>
      </c>
      <c r="I214" s="91">
        <f>IF(TrRoad_act!I75=0,0,TrRoad_emi!I72/TrRoad_tech!I187)</f>
        <v>1.0976130842346756</v>
      </c>
      <c r="J214" s="91">
        <f>IF(TrRoad_act!J75=0,0,TrRoad_emi!J72/TrRoad_tech!J187)</f>
        <v>1.077727716078863</v>
      </c>
      <c r="K214" s="91">
        <f>IF(TrRoad_act!K75=0,0,TrRoad_emi!K72/TrRoad_tech!K187)</f>
        <v>1.0662050791728461</v>
      </c>
      <c r="L214" s="91">
        <f>IF(TrRoad_act!L75=0,0,TrRoad_emi!L72/TrRoad_tech!L187)</f>
        <v>1.0684283334588309</v>
      </c>
      <c r="M214" s="91">
        <f>IF(TrRoad_act!M75=0,0,TrRoad_emi!M72/TrRoad_tech!M187)</f>
        <v>1.0686528682986767</v>
      </c>
      <c r="N214" s="91">
        <f>IF(TrRoad_act!N75=0,0,TrRoad_emi!N72/TrRoad_tech!N187)</f>
        <v>1.0771346020073993</v>
      </c>
      <c r="O214" s="91">
        <f>IF(TrRoad_act!O75=0,0,TrRoad_emi!O72/TrRoad_tech!O187)</f>
        <v>1.0983317107705577</v>
      </c>
      <c r="P214" s="91">
        <f>IF(TrRoad_act!P75=0,0,TrRoad_emi!P72/TrRoad_tech!P187)</f>
        <v>1.1156499400267186</v>
      </c>
      <c r="Q214" s="91">
        <f>IF(TrRoad_act!Q75=0,0,TrRoad_emi!Q72/TrRoad_tech!Q187)</f>
        <v>1.1333723608788682</v>
      </c>
      <c r="R214" s="91">
        <f>IF(TrRoad_act!R75=0,0,TrRoad_emi!R72/TrRoad_tech!R187)</f>
        <v>1.1489390346064228</v>
      </c>
      <c r="S214" s="91">
        <f>IF(TrRoad_act!S75=0,0,TrRoad_emi!S72/TrRoad_tech!S187)</f>
        <v>1.164108298596304</v>
      </c>
      <c r="T214" s="91">
        <f>IF(TrRoad_act!T75=0,0,TrRoad_emi!T72/TrRoad_tech!T187)</f>
        <v>1.1832204827408312</v>
      </c>
      <c r="U214" s="91">
        <f>IF(TrRoad_act!U75=0,0,TrRoad_emi!U72/TrRoad_tech!U187)</f>
        <v>1.2022577011207243</v>
      </c>
      <c r="V214" s="91">
        <f>IF(TrRoad_act!V75=0,0,TrRoad_emi!V72/TrRoad_tech!V187)</f>
        <v>1.2014148858900153</v>
      </c>
      <c r="W214" s="91">
        <f>IF(TrRoad_act!W75=0,0,TrRoad_emi!W72/TrRoad_tech!W187)</f>
        <v>1.2187643260984258</v>
      </c>
      <c r="DA214" s="171"/>
    </row>
    <row r="215" spans="1:105" ht="11.45" customHeight="1" x14ac:dyDescent="0.25">
      <c r="A215" s="111" t="s">
        <v>111</v>
      </c>
      <c r="B215" s="91">
        <f>IF(TrRoad_act!B76=0,0,TrRoad_emi!B73/TrRoad_tech!B188)</f>
        <v>1.0955114169956652</v>
      </c>
      <c r="C215" s="91">
        <f>IF(TrRoad_act!C76=0,0,TrRoad_emi!C73/TrRoad_tech!C188)</f>
        <v>1.0958428078960787</v>
      </c>
      <c r="D215" s="91">
        <f>IF(TrRoad_act!D76=0,0,TrRoad_emi!D73/TrRoad_tech!D188)</f>
        <v>1.0967294796117009</v>
      </c>
      <c r="E215" s="91">
        <f>IF(TrRoad_act!E76=0,0,TrRoad_emi!E73/TrRoad_tech!E188)</f>
        <v>1.0981180964978945</v>
      </c>
      <c r="F215" s="91">
        <f>IF(TrRoad_act!F76=0,0,TrRoad_emi!F73/TrRoad_tech!F188)</f>
        <v>1.1000711884831607</v>
      </c>
      <c r="G215" s="91">
        <f>IF(TrRoad_act!G76=0,0,TrRoad_emi!G73/TrRoad_tech!G188)</f>
        <v>1.0919375682350658</v>
      </c>
      <c r="H215" s="91">
        <f>IF(TrRoad_act!H76=0,0,TrRoad_emi!H73/TrRoad_tech!H188)</f>
        <v>1.0589957791180904</v>
      </c>
      <c r="I215" s="91">
        <f>IF(TrRoad_act!I76=0,0,TrRoad_emi!I73/TrRoad_tech!I188)</f>
        <v>1.054298927370237</v>
      </c>
      <c r="J215" s="91">
        <f>IF(TrRoad_act!J76=0,0,TrRoad_emi!J73/TrRoad_tech!J188)</f>
        <v>1.0508284983250606</v>
      </c>
      <c r="K215" s="91">
        <f>IF(TrRoad_act!K76=0,0,TrRoad_emi!K73/TrRoad_tech!K188)</f>
        <v>1.0347898714363395</v>
      </c>
      <c r="L215" s="91">
        <f>IF(TrRoad_act!L76=0,0,TrRoad_emi!L73/TrRoad_tech!L188)</f>
        <v>1.0435124269428928</v>
      </c>
      <c r="M215" s="91">
        <f>IF(TrRoad_act!M76=0,0,TrRoad_emi!M73/TrRoad_tech!M188)</f>
        <v>1.0434800185926931</v>
      </c>
      <c r="N215" s="91">
        <f>IF(TrRoad_act!N76=0,0,TrRoad_emi!N73/TrRoad_tech!N188)</f>
        <v>1.054913308998916</v>
      </c>
      <c r="O215" s="91">
        <f>IF(TrRoad_act!O76=0,0,TrRoad_emi!O73/TrRoad_tech!O188)</f>
        <v>1.0673481954205313</v>
      </c>
      <c r="P215" s="91">
        <f>IF(TrRoad_act!P76=0,0,TrRoad_emi!P73/TrRoad_tech!P188)</f>
        <v>1.0607813670867638</v>
      </c>
      <c r="Q215" s="91">
        <f>IF(TrRoad_act!Q76=0,0,TrRoad_emi!Q73/TrRoad_tech!Q188)</f>
        <v>1.0668415470919692</v>
      </c>
      <c r="R215" s="91">
        <f>IF(TrRoad_act!R76=0,0,TrRoad_emi!R73/TrRoad_tech!R188)</f>
        <v>1.1042114311839881</v>
      </c>
      <c r="S215" s="91">
        <f>IF(TrRoad_act!S76=0,0,TrRoad_emi!S73/TrRoad_tech!S188)</f>
        <v>1.1341926109414755</v>
      </c>
      <c r="T215" s="91">
        <f>IF(TrRoad_act!T76=0,0,TrRoad_emi!T73/TrRoad_tech!T188)</f>
        <v>1.1498730320689896</v>
      </c>
      <c r="U215" s="91">
        <f>IF(TrRoad_act!U76=0,0,TrRoad_emi!U73/TrRoad_tech!U188)</f>
        <v>1.1698058167641516</v>
      </c>
      <c r="V215" s="91">
        <f>IF(TrRoad_act!V76=0,0,TrRoad_emi!V73/TrRoad_tech!V188)</f>
        <v>1.186780615396583</v>
      </c>
      <c r="W215" s="91">
        <f>IF(TrRoad_act!W76=0,0,TrRoad_emi!W73/TrRoad_tech!W188)</f>
        <v>1.2018990822908957</v>
      </c>
      <c r="DA215" s="171"/>
    </row>
    <row r="216" spans="1:105" ht="11.45" customHeight="1" x14ac:dyDescent="0.25">
      <c r="A216" s="111" t="s">
        <v>112</v>
      </c>
      <c r="B216" s="91">
        <f>IF(TrRoad_act!B77=0,0,TrRoad_emi!B74/TrRoad_tech!B189)</f>
        <v>0</v>
      </c>
      <c r="C216" s="91">
        <f>IF(TrRoad_act!C77=0,0,TrRoad_emi!C74/TrRoad_tech!C189)</f>
        <v>0</v>
      </c>
      <c r="D216" s="91">
        <f>IF(TrRoad_act!D77=0,0,TrRoad_emi!D74/TrRoad_tech!D189)</f>
        <v>0</v>
      </c>
      <c r="E216" s="91">
        <f>IF(TrRoad_act!E77=0,0,TrRoad_emi!E74/TrRoad_tech!E189)</f>
        <v>1.1160000000058974</v>
      </c>
      <c r="F216" s="91">
        <f>IF(TrRoad_act!F77=0,0,TrRoad_emi!F74/TrRoad_tech!F189)</f>
        <v>1.1210914640237748</v>
      </c>
      <c r="G216" s="91">
        <f>IF(TrRoad_act!G77=0,0,TrRoad_emi!G74/TrRoad_tech!G189)</f>
        <v>1.1308135658565965</v>
      </c>
      <c r="H216" s="91">
        <f>IF(TrRoad_act!H77=0,0,TrRoad_emi!H74/TrRoad_tech!H189)</f>
        <v>1.1314355150412949</v>
      </c>
      <c r="I216" s="91">
        <f>IF(TrRoad_act!I77=0,0,TrRoad_emi!I74/TrRoad_tech!I189)</f>
        <v>1.1316245815299752</v>
      </c>
      <c r="J216" s="91">
        <f>IF(TrRoad_act!J77=0,0,TrRoad_emi!J74/TrRoad_tech!J189)</f>
        <v>1.1316019129796115</v>
      </c>
      <c r="K216" s="91">
        <f>IF(TrRoad_act!K77=0,0,TrRoad_emi!K74/TrRoad_tech!K189)</f>
        <v>1.1315547223549041</v>
      </c>
      <c r="L216" s="91">
        <f>IF(TrRoad_act!L77=0,0,TrRoad_emi!L74/TrRoad_tech!L189)</f>
        <v>1.1316066942410927</v>
      </c>
      <c r="M216" s="91">
        <f>IF(TrRoad_act!M77=0,0,TrRoad_emi!M74/TrRoad_tech!M189)</f>
        <v>1.1316380930069927</v>
      </c>
      <c r="N216" s="91">
        <f>IF(TrRoad_act!N77=0,0,TrRoad_emi!N74/TrRoad_tech!N189)</f>
        <v>1.1460166013120603</v>
      </c>
      <c r="O216" s="91">
        <f>IF(TrRoad_act!O77=0,0,TrRoad_emi!O74/TrRoad_tech!O189)</f>
        <v>1.1674271975770287</v>
      </c>
      <c r="P216" s="91">
        <f>IF(TrRoad_act!P77=0,0,TrRoad_emi!P74/TrRoad_tech!P189)</f>
        <v>1.1917273249928024</v>
      </c>
      <c r="Q216" s="91">
        <f>IF(TrRoad_act!Q77=0,0,TrRoad_emi!Q74/TrRoad_tech!Q189)</f>
        <v>1.2087588660078239</v>
      </c>
      <c r="R216" s="91">
        <f>IF(TrRoad_act!R77=0,0,TrRoad_emi!R74/TrRoad_tech!R189)</f>
        <v>1.2146832330557711</v>
      </c>
      <c r="S216" s="91">
        <f>IF(TrRoad_act!S77=0,0,TrRoad_emi!S74/TrRoad_tech!S189)</f>
        <v>1.219221434831921</v>
      </c>
      <c r="T216" s="91">
        <f>IF(TrRoad_act!T77=0,0,TrRoad_emi!T74/TrRoad_tech!T189)</f>
        <v>1.2242106726566071</v>
      </c>
      <c r="U216" s="91">
        <f>IF(TrRoad_act!U77=0,0,TrRoad_emi!U74/TrRoad_tech!U189)</f>
        <v>1.2318404766718933</v>
      </c>
      <c r="V216" s="91">
        <f>IF(TrRoad_act!V77=0,0,TrRoad_emi!V74/TrRoad_tech!V189)</f>
        <v>1.2457476085159891</v>
      </c>
      <c r="W216" s="91">
        <f>IF(TrRoad_act!W77=0,0,TrRoad_emi!W74/TrRoad_tech!W189)</f>
        <v>1.2599752332983041</v>
      </c>
      <c r="DA216" s="171"/>
    </row>
    <row r="217" spans="1:105" ht="11.45" customHeight="1" x14ac:dyDescent="0.25">
      <c r="A217" s="111" t="s">
        <v>113</v>
      </c>
      <c r="B217" s="91">
        <f>IF(TrRoad_act!B78=0,0,TrRoad_emi!B75/TrRoad_tech!B190)</f>
        <v>0</v>
      </c>
      <c r="C217" s="91">
        <f>IF(TrRoad_act!C78=0,0,TrRoad_emi!C75/TrRoad_tech!C190)</f>
        <v>0</v>
      </c>
      <c r="D217" s="91">
        <f>IF(TrRoad_act!D78=0,0,TrRoad_emi!D75/TrRoad_tech!D190)</f>
        <v>0</v>
      </c>
      <c r="E217" s="91">
        <f>IF(TrRoad_act!E78=0,0,TrRoad_emi!E75/TrRoad_tech!E190)</f>
        <v>0</v>
      </c>
      <c r="F217" s="91">
        <f>IF(TrRoad_act!F78=0,0,TrRoad_emi!F75/TrRoad_tech!F190)</f>
        <v>0</v>
      </c>
      <c r="G217" s="91">
        <f>IF(TrRoad_act!G78=0,0,TrRoad_emi!G75/TrRoad_tech!G190)</f>
        <v>0</v>
      </c>
      <c r="H217" s="91">
        <f>IF(TrRoad_act!H78=0,0,TrRoad_emi!H75/TrRoad_tech!H190)</f>
        <v>1.1440000000061443</v>
      </c>
      <c r="I217" s="91">
        <f>IF(TrRoad_act!I78=0,0,TrRoad_emi!I75/TrRoad_tech!I190)</f>
        <v>1.1503098861641705</v>
      </c>
      <c r="J217" s="91">
        <f>IF(TrRoad_act!J78=0,0,TrRoad_emi!J75/TrRoad_tech!J190)</f>
        <v>1.1692408349876255</v>
      </c>
      <c r="K217" s="91">
        <f>IF(TrRoad_act!K78=0,0,TrRoad_emi!K75/TrRoad_tech!K190)</f>
        <v>1.1837928191060514</v>
      </c>
      <c r="L217" s="91">
        <f>IF(TrRoad_act!L78=0,0,TrRoad_emi!L75/TrRoad_tech!L190)</f>
        <v>1.199771624329103</v>
      </c>
      <c r="M217" s="91">
        <f>IF(TrRoad_act!M78=0,0,TrRoad_emi!M75/TrRoad_tech!M190)</f>
        <v>1.2165584553428319</v>
      </c>
      <c r="N217" s="91">
        <f>IF(TrRoad_act!N78=0,0,TrRoad_emi!N75/TrRoad_tech!N190)</f>
        <v>1.2349148668975709</v>
      </c>
      <c r="O217" s="91">
        <f>IF(TrRoad_act!O78=0,0,TrRoad_emi!O75/TrRoad_tech!O190)</f>
        <v>1.2506678731200294</v>
      </c>
      <c r="P217" s="91">
        <f>IF(TrRoad_act!P78=0,0,TrRoad_emi!P75/TrRoad_tech!P190)</f>
        <v>1.2179027606509247</v>
      </c>
      <c r="Q217" s="91">
        <f>IF(TrRoad_act!Q78=0,0,TrRoad_emi!Q75/TrRoad_tech!Q190)</f>
        <v>1.2355601254205486</v>
      </c>
      <c r="R217" s="91">
        <f>IF(TrRoad_act!R78=0,0,TrRoad_emi!R75/TrRoad_tech!R190)</f>
        <v>1.2571309317579016</v>
      </c>
      <c r="S217" s="91">
        <f>IF(TrRoad_act!S78=0,0,TrRoad_emi!S75/TrRoad_tech!S190)</f>
        <v>1.2732314055315606</v>
      </c>
      <c r="T217" s="91">
        <f>IF(TrRoad_act!T78=0,0,TrRoad_emi!T75/TrRoad_tech!T190)</f>
        <v>1.2679131241200636</v>
      </c>
      <c r="U217" s="91">
        <f>IF(TrRoad_act!U78=0,0,TrRoad_emi!U75/TrRoad_tech!U190)</f>
        <v>1.2752931799645528</v>
      </c>
      <c r="V217" s="91">
        <f>IF(TrRoad_act!V78=0,0,TrRoad_emi!V75/TrRoad_tech!V190)</f>
        <v>1.285496511446572</v>
      </c>
      <c r="W217" s="91">
        <f>IF(TrRoad_act!W78=0,0,TrRoad_emi!W75/TrRoad_tech!W190)</f>
        <v>1.289836778152476</v>
      </c>
      <c r="DA217" s="171"/>
    </row>
    <row r="218" spans="1:105" ht="11.45" customHeight="1" x14ac:dyDescent="0.25">
      <c r="A218" s="111" t="s">
        <v>115</v>
      </c>
      <c r="B218" s="91">
        <f>0</f>
        <v>0</v>
      </c>
      <c r="C218" s="91">
        <f>0</f>
        <v>0</v>
      </c>
      <c r="D218" s="91">
        <f>0</f>
        <v>0</v>
      </c>
      <c r="E218" s="91">
        <f>0</f>
        <v>0</v>
      </c>
      <c r="F218" s="91">
        <f>0</f>
        <v>0</v>
      </c>
      <c r="G218" s="91">
        <f>0</f>
        <v>0</v>
      </c>
      <c r="H218" s="91">
        <f>0</f>
        <v>0</v>
      </c>
      <c r="I218" s="91">
        <f>0</f>
        <v>0</v>
      </c>
      <c r="J218" s="91">
        <f>0</f>
        <v>0</v>
      </c>
      <c r="K218" s="91">
        <f>0</f>
        <v>0</v>
      </c>
      <c r="L218" s="91">
        <f>0</f>
        <v>0</v>
      </c>
      <c r="M218" s="91">
        <f>0</f>
        <v>0</v>
      </c>
      <c r="N218" s="91">
        <f>0</f>
        <v>0</v>
      </c>
      <c r="O218" s="91">
        <f>0</f>
        <v>0</v>
      </c>
      <c r="P218" s="91">
        <f>0</f>
        <v>0</v>
      </c>
      <c r="Q218" s="91">
        <f>0</f>
        <v>0</v>
      </c>
      <c r="R218" s="91">
        <f>0</f>
        <v>0</v>
      </c>
      <c r="S218" s="91">
        <f>0</f>
        <v>0</v>
      </c>
      <c r="T218" s="91">
        <f>0</f>
        <v>0</v>
      </c>
      <c r="U218" s="91">
        <f>0</f>
        <v>0</v>
      </c>
      <c r="V218" s="91">
        <f>0</f>
        <v>0</v>
      </c>
      <c r="W218" s="91">
        <f>0</f>
        <v>0</v>
      </c>
      <c r="DA218" s="171"/>
    </row>
    <row r="219" spans="1:105" ht="11.45" customHeight="1" x14ac:dyDescent="0.25">
      <c r="A219" s="109" t="s">
        <v>158</v>
      </c>
      <c r="B219" s="151">
        <f>IF(TrRoad_act!B80=0,0,TrRoad_emi!B77/TrRoad_tech!B192)</f>
        <v>1.7485180370680773</v>
      </c>
      <c r="C219" s="151">
        <f>IF(TrRoad_act!C80=0,0,TrRoad_emi!C77/TrRoad_tech!C192)</f>
        <v>1.9990955823346397</v>
      </c>
      <c r="D219" s="151">
        <f>IF(TrRoad_act!D80=0,0,TrRoad_emi!D77/TrRoad_tech!D192)</f>
        <v>2.2278472282991237</v>
      </c>
      <c r="E219" s="151">
        <f>IF(TrRoad_act!E80=0,0,TrRoad_emi!E77/TrRoad_tech!E192)</f>
        <v>2.3933766485989003</v>
      </c>
      <c r="F219" s="151">
        <f>IF(TrRoad_act!F80=0,0,TrRoad_emi!F77/TrRoad_tech!F192)</f>
        <v>2.3079157738142069</v>
      </c>
      <c r="G219" s="151">
        <f>IF(TrRoad_act!G80=0,0,TrRoad_emi!G77/TrRoad_tech!G192)</f>
        <v>2.4068563259269355</v>
      </c>
      <c r="H219" s="151">
        <f>IF(TrRoad_act!H80=0,0,TrRoad_emi!H77/TrRoad_tech!H192)</f>
        <v>1.9695359742199827</v>
      </c>
      <c r="I219" s="151">
        <f>IF(TrRoad_act!I80=0,0,TrRoad_emi!I77/TrRoad_tech!I192)</f>
        <v>1.8436443444236079</v>
      </c>
      <c r="J219" s="151">
        <f>IF(TrRoad_act!J80=0,0,TrRoad_emi!J77/TrRoad_tech!J192)</f>
        <v>1.6913491756358809</v>
      </c>
      <c r="K219" s="151">
        <f>IF(TrRoad_act!K80=0,0,TrRoad_emi!K77/TrRoad_tech!K192)</f>
        <v>1.7721993073543854</v>
      </c>
      <c r="L219" s="151">
        <f>IF(TrRoad_act!L80=0,0,TrRoad_emi!L77/TrRoad_tech!L192)</f>
        <v>1.9408338895404891</v>
      </c>
      <c r="M219" s="151">
        <f>IF(TrRoad_act!M80=0,0,TrRoad_emi!M77/TrRoad_tech!M192)</f>
        <v>1.7170370554575769</v>
      </c>
      <c r="N219" s="151">
        <f>IF(TrRoad_act!N80=0,0,TrRoad_emi!N77/TrRoad_tech!N192)</f>
        <v>1.8136079015069162</v>
      </c>
      <c r="O219" s="151">
        <f>IF(TrRoad_act!O80=0,0,TrRoad_emi!O77/TrRoad_tech!O192)</f>
        <v>2.1407276571860714</v>
      </c>
      <c r="P219" s="151">
        <f>IF(TrRoad_act!P80=0,0,TrRoad_emi!P77/TrRoad_tech!P192)</f>
        <v>1.9909155908085632</v>
      </c>
      <c r="Q219" s="151">
        <f>IF(TrRoad_act!Q80=0,0,TrRoad_emi!Q77/TrRoad_tech!Q192)</f>
        <v>1.957568997572708</v>
      </c>
      <c r="R219" s="151">
        <f>IF(TrRoad_act!R80=0,0,TrRoad_emi!R77/TrRoad_tech!R192)</f>
        <v>2.0070834996987998</v>
      </c>
      <c r="S219" s="151">
        <f>IF(TrRoad_act!S80=0,0,TrRoad_emi!S77/TrRoad_tech!S192)</f>
        <v>2.0238072245969145</v>
      </c>
      <c r="T219" s="151">
        <f>IF(TrRoad_act!T80=0,0,TrRoad_emi!T77/TrRoad_tech!T192)</f>
        <v>2.1635127920211037</v>
      </c>
      <c r="U219" s="151">
        <f>IF(TrRoad_act!U80=0,0,TrRoad_emi!U77/TrRoad_tech!U192)</f>
        <v>2.2908823651283732</v>
      </c>
      <c r="V219" s="151">
        <f>IF(TrRoad_act!V80=0,0,TrRoad_emi!V77/TrRoad_tech!V192)</f>
        <v>2.08732161866646</v>
      </c>
      <c r="W219" s="151">
        <f>IF(TrRoad_act!W80=0,0,TrRoad_emi!W77/TrRoad_tech!W192)</f>
        <v>2.1433297864299585</v>
      </c>
      <c r="DA219" s="176"/>
    </row>
    <row r="220" spans="1:105" ht="11.45" customHeight="1" x14ac:dyDescent="0.25">
      <c r="A220" s="128" t="s">
        <v>27</v>
      </c>
      <c r="B220" s="93">
        <f>IF(TrRoad_act!B81=0,0,TrRoad_emi!B78/TrRoad_tech!B193)</f>
        <v>1.294631511147414</v>
      </c>
      <c r="C220" s="93">
        <f>IF(TrRoad_act!C81=0,0,TrRoad_emi!C78/TrRoad_tech!C193)</f>
        <v>1.3471786400241441</v>
      </c>
      <c r="D220" s="93">
        <f>IF(TrRoad_act!D81=0,0,TrRoad_emi!D78/TrRoad_tech!D193)</f>
        <v>1.3956995444925016</v>
      </c>
      <c r="E220" s="93">
        <f>IF(TrRoad_act!E81=0,0,TrRoad_emi!E78/TrRoad_tech!E193)</f>
        <v>1.4321331871788503</v>
      </c>
      <c r="F220" s="93">
        <f>IF(TrRoad_act!F81=0,0,TrRoad_emi!F78/TrRoad_tech!F193)</f>
        <v>1.4158411183402735</v>
      </c>
      <c r="G220" s="93">
        <f>IF(TrRoad_act!G81=0,0,TrRoad_emi!G78/TrRoad_tech!G193)</f>
        <v>1.4297732156157348</v>
      </c>
      <c r="H220" s="93">
        <f>IF(TrRoad_act!H81=0,0,TrRoad_emi!H78/TrRoad_tech!H193)</f>
        <v>1.313813810215644</v>
      </c>
      <c r="I220" s="93">
        <f>IF(TrRoad_act!I81=0,0,TrRoad_emi!I78/TrRoad_tech!I193)</f>
        <v>1.2832476207963468</v>
      </c>
      <c r="J220" s="93">
        <f>IF(TrRoad_act!J81=0,0,TrRoad_emi!J78/TrRoad_tech!J193)</f>
        <v>1.2481955510850045</v>
      </c>
      <c r="K220" s="93">
        <f>IF(TrRoad_act!K81=0,0,TrRoad_emi!K78/TrRoad_tech!K193)</f>
        <v>1.2512901959084979</v>
      </c>
      <c r="L220" s="93">
        <f>IF(TrRoad_act!L81=0,0,TrRoad_emi!L78/TrRoad_tech!L193)</f>
        <v>1.2961174874690442</v>
      </c>
      <c r="M220" s="93">
        <f>IF(TrRoad_act!M81=0,0,TrRoad_emi!M78/TrRoad_tech!M193)</f>
        <v>1.2486725294936125</v>
      </c>
      <c r="N220" s="93">
        <f>IF(TrRoad_act!N81=0,0,TrRoad_emi!N78/TrRoad_tech!N193)</f>
        <v>1.2752070265502102</v>
      </c>
      <c r="O220" s="93">
        <f>IF(TrRoad_act!O81=0,0,TrRoad_emi!O78/TrRoad_tech!O193)</f>
        <v>1.3547649804517989</v>
      </c>
      <c r="P220" s="93">
        <f>IF(TrRoad_act!P81=0,0,TrRoad_emi!P78/TrRoad_tech!P193)</f>
        <v>1.3179243161319849</v>
      </c>
      <c r="Q220" s="93">
        <f>IF(TrRoad_act!Q81=0,0,TrRoad_emi!Q78/TrRoad_tech!Q193)</f>
        <v>1.3120835161747704</v>
      </c>
      <c r="R220" s="93">
        <f>IF(TrRoad_act!R81=0,0,TrRoad_emi!R78/TrRoad_tech!R193)</f>
        <v>1.3520901679557717</v>
      </c>
      <c r="S220" s="93">
        <f>IF(TrRoad_act!S81=0,0,TrRoad_emi!S78/TrRoad_tech!S193)</f>
        <v>1.3754289624360077</v>
      </c>
      <c r="T220" s="93">
        <f>IF(TrRoad_act!T81=0,0,TrRoad_emi!T78/TrRoad_tech!T193)</f>
        <v>1.4129757581928204</v>
      </c>
      <c r="U220" s="93">
        <f>IF(TrRoad_act!U81=0,0,TrRoad_emi!U78/TrRoad_tech!U193)</f>
        <v>1.4538587773913729</v>
      </c>
      <c r="V220" s="93">
        <f>IF(TrRoad_act!V81=0,0,TrRoad_emi!V78/TrRoad_tech!V193)</f>
        <v>1.4285313937366673</v>
      </c>
      <c r="W220" s="93">
        <f>IF(TrRoad_act!W81=0,0,TrRoad_emi!W78/TrRoad_tech!W193)</f>
        <v>1.4533580556895287</v>
      </c>
      <c r="DA220" s="175"/>
    </row>
    <row r="221" spans="1:105" ht="11.45" customHeight="1" x14ac:dyDescent="0.25">
      <c r="A221" s="138" t="s">
        <v>116</v>
      </c>
      <c r="B221" s="94">
        <f>IF(TrRoad_act!B82=0,0,TrRoad_emi!B79/TrRoad_tech!B194)</f>
        <v>2.437562004392587</v>
      </c>
      <c r="C221" s="94">
        <f>IF(TrRoad_act!C82=0,0,TrRoad_emi!C79/TrRoad_tech!C194)</f>
        <v>2.9239625385939614</v>
      </c>
      <c r="D221" s="94">
        <f>IF(TrRoad_act!D82=0,0,TrRoad_emi!D79/TrRoad_tech!D194)</f>
        <v>3.3518552731287046</v>
      </c>
      <c r="E221" s="94">
        <f>IF(TrRoad_act!E82=0,0,TrRoad_emi!E79/TrRoad_tech!E194)</f>
        <v>3.7108770363692116</v>
      </c>
      <c r="F221" s="94">
        <f>IF(TrRoad_act!F82=0,0,TrRoad_emi!F79/TrRoad_tech!F194)</f>
        <v>3.3302506246700045</v>
      </c>
      <c r="G221" s="94">
        <f>IF(TrRoad_act!G82=0,0,TrRoad_emi!G79/TrRoad_tech!G194)</f>
        <v>3.4882012814971874</v>
      </c>
      <c r="H221" s="94">
        <f>IF(TrRoad_act!H82=0,0,TrRoad_emi!H79/TrRoad_tech!H194)</f>
        <v>2.823568285715937</v>
      </c>
      <c r="I221" s="94">
        <f>IF(TrRoad_act!I82=0,0,TrRoad_emi!I79/TrRoad_tech!I194)</f>
        <v>2.530144157186315</v>
      </c>
      <c r="J221" s="94">
        <f>IF(TrRoad_act!J82=0,0,TrRoad_emi!J79/TrRoad_tech!J194)</f>
        <v>2.1993349942219322</v>
      </c>
      <c r="K221" s="94">
        <f>IF(TrRoad_act!K82=0,0,TrRoad_emi!K79/TrRoad_tech!K194)</f>
        <v>2.4002063698795846</v>
      </c>
      <c r="L221" s="94">
        <f>IF(TrRoad_act!L82=0,0,TrRoad_emi!L79/TrRoad_tech!L194)</f>
        <v>2.6629239518374797</v>
      </c>
      <c r="M221" s="94">
        <f>IF(TrRoad_act!M82=0,0,TrRoad_emi!M79/TrRoad_tech!M194)</f>
        <v>2.2764852048841293</v>
      </c>
      <c r="N221" s="94">
        <f>IF(TrRoad_act!N82=0,0,TrRoad_emi!N79/TrRoad_tech!N194)</f>
        <v>2.4447892239874496</v>
      </c>
      <c r="O221" s="94">
        <f>IF(TrRoad_act!O82=0,0,TrRoad_emi!O79/TrRoad_tech!O194)</f>
        <v>2.9896333370948569</v>
      </c>
      <c r="P221" s="94">
        <f>IF(TrRoad_act!P82=0,0,TrRoad_emi!P79/TrRoad_tech!P194)</f>
        <v>2.7531594802612878</v>
      </c>
      <c r="Q221" s="94">
        <f>IF(TrRoad_act!Q82=0,0,TrRoad_emi!Q79/TrRoad_tech!Q194)</f>
        <v>2.7175461534077057</v>
      </c>
      <c r="R221" s="94">
        <f>IF(TrRoad_act!R82=0,0,TrRoad_emi!R79/TrRoad_tech!R194)</f>
        <v>2.7974866700489165</v>
      </c>
      <c r="S221" s="94">
        <f>IF(TrRoad_act!S82=0,0,TrRoad_emi!S79/TrRoad_tech!S194)</f>
        <v>2.7821150044391678</v>
      </c>
      <c r="T221" s="94">
        <f>IF(TrRoad_act!T82=0,0,TrRoad_emi!T79/TrRoad_tech!T194)</f>
        <v>3.0261052194992399</v>
      </c>
      <c r="U221" s="94">
        <f>IF(TrRoad_act!U82=0,0,TrRoad_emi!U79/TrRoad_tech!U194)</f>
        <v>3.2286402183830916</v>
      </c>
      <c r="V221" s="94">
        <f>IF(TrRoad_act!V82=0,0,TrRoad_emi!V79/TrRoad_tech!V194)</f>
        <v>2.8073921241877096</v>
      </c>
      <c r="W221" s="94">
        <f>IF(TrRoad_act!W82=0,0,TrRoad_emi!W79/TrRoad_tech!W194)</f>
        <v>2.8931780881400195</v>
      </c>
      <c r="DA221" s="178"/>
    </row>
    <row r="222" spans="1:105" x14ac:dyDescent="0.25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DA222" s="171"/>
    </row>
    <row r="223" spans="1:105" ht="11.45" customHeight="1" x14ac:dyDescent="0.25">
      <c r="A223" s="53" t="s">
        <v>125</v>
      </c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DA223" s="172"/>
    </row>
    <row r="224" spans="1:105" ht="11.45" customHeight="1" x14ac:dyDescent="0.25">
      <c r="A224" s="27" t="s">
        <v>33</v>
      </c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DA224" s="173"/>
    </row>
    <row r="225" spans="1:105" ht="11.45" customHeight="1" x14ac:dyDescent="0.25">
      <c r="A225" s="136" t="s">
        <v>180</v>
      </c>
      <c r="B225" s="152">
        <v>93.504138112291585</v>
      </c>
      <c r="C225" s="152">
        <v>93.006791540785841</v>
      </c>
      <c r="D225" s="152">
        <v>92.457286228777193</v>
      </c>
      <c r="E225" s="152">
        <v>91.821226712182721</v>
      </c>
      <c r="F225" s="152">
        <v>91.204528004508759</v>
      </c>
      <c r="G225" s="152">
        <v>90.432373389914218</v>
      </c>
      <c r="H225" s="152">
        <v>90.344110878658938</v>
      </c>
      <c r="I225" s="152">
        <v>89.589039330758965</v>
      </c>
      <c r="J225" s="152">
        <v>88.171714230666211</v>
      </c>
      <c r="K225" s="152">
        <v>86.803930023987647</v>
      </c>
      <c r="L225" s="152">
        <v>84.82969694965189</v>
      </c>
      <c r="M225" s="152">
        <v>83.532983679043824</v>
      </c>
      <c r="N225" s="152">
        <v>82.690814526200057</v>
      </c>
      <c r="O225" s="152">
        <v>81.574663082166381</v>
      </c>
      <c r="P225" s="152">
        <v>80.915947087602618</v>
      </c>
      <c r="Q225" s="152">
        <v>84.264645696865827</v>
      </c>
      <c r="R225" s="152">
        <v>81.18211986574542</v>
      </c>
      <c r="S225" s="152">
        <v>80.565614699521333</v>
      </c>
      <c r="T225" s="152">
        <v>80.072410566542075</v>
      </c>
      <c r="U225" s="152">
        <v>79.677847260158657</v>
      </c>
      <c r="V225" s="152">
        <v>79.362196615051943</v>
      </c>
      <c r="W225" s="152">
        <v>79.109676098966546</v>
      </c>
      <c r="DA225" s="174" t="s">
        <v>931</v>
      </c>
    </row>
    <row r="226" spans="1:105" ht="11.45" customHeight="1" x14ac:dyDescent="0.25">
      <c r="A226" s="109" t="s">
        <v>20</v>
      </c>
      <c r="B226" s="116">
        <v>217.85198991402976</v>
      </c>
      <c r="C226" s="116">
        <v>217.40025408497999</v>
      </c>
      <c r="D226" s="116">
        <v>217.02939932175903</v>
      </c>
      <c r="E226" s="116">
        <v>216.73165012330495</v>
      </c>
      <c r="F226" s="116">
        <v>213.46836608471176</v>
      </c>
      <c r="G226" s="116">
        <v>212.94890958019886</v>
      </c>
      <c r="H226" s="116">
        <v>211.44133458817993</v>
      </c>
      <c r="I226" s="116">
        <v>209.29047087449689</v>
      </c>
      <c r="J226" s="116">
        <v>202.28773498324691</v>
      </c>
      <c r="K226" s="116">
        <v>191.88084189595463</v>
      </c>
      <c r="L226" s="116">
        <v>179.44884388524017</v>
      </c>
      <c r="M226" s="116">
        <v>173.16229996983148</v>
      </c>
      <c r="N226" s="116">
        <v>169.84703998252428</v>
      </c>
      <c r="O226" s="116">
        <v>164.52890804774748</v>
      </c>
      <c r="P226" s="116">
        <v>160.82258931881367</v>
      </c>
      <c r="Q226" s="116">
        <v>154.86202152465847</v>
      </c>
      <c r="R226" s="116">
        <v>150.66579317434184</v>
      </c>
      <c r="S226" s="116">
        <v>150.42983085370116</v>
      </c>
      <c r="T226" s="116">
        <v>152.84059397577474</v>
      </c>
      <c r="U226" s="116">
        <v>150.31990402956504</v>
      </c>
      <c r="V226" s="116">
        <v>136.66423060718583</v>
      </c>
      <c r="W226" s="116">
        <v>120.04573674401161</v>
      </c>
      <c r="DA226" s="176" t="s">
        <v>932</v>
      </c>
    </row>
    <row r="227" spans="1:105" ht="11.45" customHeight="1" x14ac:dyDescent="0.25">
      <c r="A227" s="111" t="s">
        <v>110</v>
      </c>
      <c r="B227" s="87">
        <v>213.51136497505885</v>
      </c>
      <c r="C227" s="87">
        <v>212.93957898419777</v>
      </c>
      <c r="D227" s="87">
        <v>212.30605694851351</v>
      </c>
      <c r="E227" s="87">
        <v>209.08304677425883</v>
      </c>
      <c r="F227" s="87">
        <v>205.95814075929209</v>
      </c>
      <c r="G227" s="87">
        <v>202.04551605357193</v>
      </c>
      <c r="H227" s="87">
        <v>201.5982765038768</v>
      </c>
      <c r="I227" s="87">
        <v>197.77221429164604</v>
      </c>
      <c r="J227" s="87">
        <v>190.59041274847678</v>
      </c>
      <c r="K227" s="87">
        <v>183.65964243642676</v>
      </c>
      <c r="L227" s="87">
        <v>173.43950711218179</v>
      </c>
      <c r="M227" s="87">
        <v>166.79165169288785</v>
      </c>
      <c r="N227" s="87">
        <v>162.4918179092106</v>
      </c>
      <c r="O227" s="87">
        <v>157.13819786899185</v>
      </c>
      <c r="P227" s="87">
        <v>154.10616481040026</v>
      </c>
      <c r="Q227" s="87">
        <v>149.21968842925787</v>
      </c>
      <c r="R227" s="87">
        <v>147.70937568624535</v>
      </c>
      <c r="S227" s="87">
        <v>147.58095266376799</v>
      </c>
      <c r="T227" s="87">
        <v>150.9291787147728</v>
      </c>
      <c r="U227" s="87">
        <v>149.39946190189471</v>
      </c>
      <c r="V227" s="87">
        <v>142.1586039584935</v>
      </c>
      <c r="W227" s="87">
        <v>137.1384860187963</v>
      </c>
      <c r="DA227" s="171" t="s">
        <v>933</v>
      </c>
    </row>
    <row r="228" spans="1:105" ht="11.45" customHeight="1" x14ac:dyDescent="0.25">
      <c r="A228" s="111" t="s">
        <v>111</v>
      </c>
      <c r="B228" s="87">
        <v>220.26666024858682</v>
      </c>
      <c r="C228" s="87">
        <v>219.80592196972208</v>
      </c>
      <c r="D228" s="87">
        <v>219.29512077334203</v>
      </c>
      <c r="E228" s="87">
        <v>219.93978711084242</v>
      </c>
      <c r="F228" s="87">
        <v>216.57202198160559</v>
      </c>
      <c r="G228" s="87">
        <v>218.45670225790448</v>
      </c>
      <c r="H228" s="87">
        <v>217.43926238181137</v>
      </c>
      <c r="I228" s="87">
        <v>217.24551020387415</v>
      </c>
      <c r="J228" s="87">
        <v>212.15158930755993</v>
      </c>
      <c r="K228" s="87">
        <v>201.98840688303255</v>
      </c>
      <c r="L228" s="87">
        <v>185.41831802390962</v>
      </c>
      <c r="M228" s="87">
        <v>179.09535262226831</v>
      </c>
      <c r="N228" s="87">
        <v>175.66946437436062</v>
      </c>
      <c r="O228" s="87">
        <v>171.0529870965598</v>
      </c>
      <c r="P228" s="87">
        <v>167.57684226462794</v>
      </c>
      <c r="Q228" s="87">
        <v>160.93013700259988</v>
      </c>
      <c r="R228" s="87">
        <v>156.66001912175659</v>
      </c>
      <c r="S228" s="87">
        <v>159.01974485930563</v>
      </c>
      <c r="T228" s="87">
        <v>164.2863503473433</v>
      </c>
      <c r="U228" s="87">
        <v>163.98781871474051</v>
      </c>
      <c r="V228" s="87">
        <v>156.59779142613991</v>
      </c>
      <c r="W228" s="87">
        <v>150.9689086023798</v>
      </c>
      <c r="DA228" s="171" t="s">
        <v>934</v>
      </c>
    </row>
    <row r="229" spans="1:105" ht="11.45" customHeight="1" x14ac:dyDescent="0.25">
      <c r="A229" s="111" t="s">
        <v>112</v>
      </c>
      <c r="B229" s="87">
        <v>205.67950083127064</v>
      </c>
      <c r="C229" s="87">
        <v>211.33527559300219</v>
      </c>
      <c r="D229" s="87">
        <v>210.83051328492618</v>
      </c>
      <c r="E229" s="87">
        <v>211.46755812891172</v>
      </c>
      <c r="F229" s="87">
        <v>0</v>
      </c>
      <c r="G229" s="87">
        <v>0</v>
      </c>
      <c r="H229" s="87">
        <v>214.86861174953401</v>
      </c>
      <c r="I229" s="87">
        <v>0</v>
      </c>
      <c r="J229" s="87">
        <v>209.64345158110606</v>
      </c>
      <c r="K229" s="87">
        <v>0</v>
      </c>
      <c r="L229" s="87">
        <v>0</v>
      </c>
      <c r="M229" s="87">
        <v>229.22104018912489</v>
      </c>
      <c r="N229" s="87">
        <v>221.58392434988224</v>
      </c>
      <c r="O229" s="87">
        <v>177.48226950354612</v>
      </c>
      <c r="P229" s="87">
        <v>171.02836879432624</v>
      </c>
      <c r="Q229" s="87">
        <v>0</v>
      </c>
      <c r="R229" s="87">
        <v>149.08510638297872</v>
      </c>
      <c r="S229" s="87">
        <v>0</v>
      </c>
      <c r="T229" s="87">
        <v>170.38297872340428</v>
      </c>
      <c r="U229" s="87">
        <v>182</v>
      </c>
      <c r="V229" s="87">
        <v>0</v>
      </c>
      <c r="W229" s="87">
        <v>123</v>
      </c>
      <c r="DA229" s="171" t="s">
        <v>935</v>
      </c>
    </row>
    <row r="230" spans="1:105" ht="11.45" customHeight="1" x14ac:dyDescent="0.25">
      <c r="A230" s="111" t="s">
        <v>113</v>
      </c>
      <c r="B230" s="87">
        <v>0</v>
      </c>
      <c r="C230" s="87">
        <v>0</v>
      </c>
      <c r="D230" s="87">
        <v>0</v>
      </c>
      <c r="E230" s="87">
        <v>0</v>
      </c>
      <c r="F230" s="87">
        <v>0</v>
      </c>
      <c r="G230" s="87">
        <v>0</v>
      </c>
      <c r="H230" s="87">
        <v>157.61075421084257</v>
      </c>
      <c r="I230" s="87">
        <v>154.61951558824597</v>
      </c>
      <c r="J230" s="87">
        <v>149.00473962169778</v>
      </c>
      <c r="K230" s="87">
        <v>143.58622139283131</v>
      </c>
      <c r="L230" s="87">
        <v>175.10378151142189</v>
      </c>
      <c r="M230" s="87">
        <v>160.94030646063447</v>
      </c>
      <c r="N230" s="87">
        <v>154.80641304207927</v>
      </c>
      <c r="O230" s="87">
        <v>122.87032329317807</v>
      </c>
      <c r="P230" s="87">
        <v>120.38240123821133</v>
      </c>
      <c r="Q230" s="87">
        <v>124.0847613097442</v>
      </c>
      <c r="R230" s="87">
        <v>119.87379983825873</v>
      </c>
      <c r="S230" s="87">
        <v>123.63313870339756</v>
      </c>
      <c r="T230" s="87">
        <v>122.91166702541922</v>
      </c>
      <c r="U230" s="87">
        <v>124.72299651567941</v>
      </c>
      <c r="V230" s="87">
        <v>114.85714285714292</v>
      </c>
      <c r="W230" s="87">
        <v>109.15294117647061</v>
      </c>
      <c r="DA230" s="171" t="s">
        <v>936</v>
      </c>
    </row>
    <row r="231" spans="1:105" ht="11.45" customHeight="1" x14ac:dyDescent="0.25">
      <c r="A231" s="111" t="s">
        <v>114</v>
      </c>
      <c r="B231" s="87">
        <v>0</v>
      </c>
      <c r="C231" s="87">
        <v>0</v>
      </c>
      <c r="D231" s="87">
        <v>0</v>
      </c>
      <c r="E231" s="87">
        <v>0</v>
      </c>
      <c r="F231" s="87">
        <v>0</v>
      </c>
      <c r="G231" s="87">
        <v>0</v>
      </c>
      <c r="H231" s="87">
        <v>0</v>
      </c>
      <c r="I231" s="87">
        <v>0</v>
      </c>
      <c r="J231" s="87">
        <v>0</v>
      </c>
      <c r="K231" s="87">
        <v>0</v>
      </c>
      <c r="L231" s="87">
        <v>0</v>
      </c>
      <c r="M231" s="87">
        <v>72.454774205557044</v>
      </c>
      <c r="N231" s="87">
        <v>52.80511018172357</v>
      </c>
      <c r="O231" s="87">
        <v>16.145580142239577</v>
      </c>
      <c r="P231" s="87">
        <v>45.397484113631521</v>
      </c>
      <c r="Q231" s="87">
        <v>55.115826159154679</v>
      </c>
      <c r="R231" s="87">
        <v>66.962282598275777</v>
      </c>
      <c r="S231" s="87">
        <v>65.090674996513741</v>
      </c>
      <c r="T231" s="87">
        <v>65.486400000000003</v>
      </c>
      <c r="U231" s="87">
        <v>61.02925402242807</v>
      </c>
      <c r="V231" s="87">
        <v>45.957164570954824</v>
      </c>
      <c r="W231" s="87">
        <v>41.12972774098602</v>
      </c>
      <c r="DA231" s="171" t="s">
        <v>937</v>
      </c>
    </row>
    <row r="232" spans="1:105" ht="11.45" customHeight="1" x14ac:dyDescent="0.25">
      <c r="A232" s="111" t="s">
        <v>115</v>
      </c>
      <c r="B232" s="87">
        <v>0</v>
      </c>
      <c r="C232" s="87">
        <v>0</v>
      </c>
      <c r="D232" s="87">
        <v>0</v>
      </c>
      <c r="E232" s="87">
        <v>0</v>
      </c>
      <c r="F232" s="87">
        <v>0</v>
      </c>
      <c r="G232" s="87">
        <v>0</v>
      </c>
      <c r="H232" s="87">
        <v>0</v>
      </c>
      <c r="I232" s="87">
        <v>0</v>
      </c>
      <c r="J232" s="87">
        <v>0</v>
      </c>
      <c r="K232" s="87">
        <v>0</v>
      </c>
      <c r="L232" s="87">
        <v>0</v>
      </c>
      <c r="M232" s="87">
        <v>0</v>
      </c>
      <c r="N232" s="87">
        <v>0</v>
      </c>
      <c r="O232" s="87">
        <v>0</v>
      </c>
      <c r="P232" s="87">
        <v>0</v>
      </c>
      <c r="Q232" s="87">
        <v>0</v>
      </c>
      <c r="R232" s="87">
        <v>0</v>
      </c>
      <c r="S232" s="87">
        <v>0</v>
      </c>
      <c r="T232" s="87">
        <v>0</v>
      </c>
      <c r="U232" s="87">
        <v>0</v>
      </c>
      <c r="V232" s="87">
        <v>0</v>
      </c>
      <c r="W232" s="87">
        <v>0</v>
      </c>
      <c r="DA232" s="171" t="s">
        <v>938</v>
      </c>
    </row>
    <row r="233" spans="1:105" ht="11.45" customHeight="1" x14ac:dyDescent="0.25">
      <c r="A233" s="109" t="s">
        <v>21</v>
      </c>
      <c r="B233" s="116">
        <v>1455.8207983900313</v>
      </c>
      <c r="C233" s="116">
        <v>1437.8011075474978</v>
      </c>
      <c r="D233" s="116">
        <v>1428.2994040440042</v>
      </c>
      <c r="E233" s="116">
        <v>1429.5527507211339</v>
      </c>
      <c r="F233" s="116">
        <v>1438.200430447547</v>
      </c>
      <c r="G233" s="116">
        <v>1406.6419880706464</v>
      </c>
      <c r="H233" s="116">
        <v>1428.0443991428951</v>
      </c>
      <c r="I233" s="116">
        <v>1392.326381287661</v>
      </c>
      <c r="J233" s="116">
        <v>1386.5256068646636</v>
      </c>
      <c r="K233" s="116">
        <v>1246.0539851843876</v>
      </c>
      <c r="L233" s="116">
        <v>1282.5822420617635</v>
      </c>
      <c r="M233" s="116">
        <v>1335.3854566622601</v>
      </c>
      <c r="N233" s="116">
        <v>1323.2904624687551</v>
      </c>
      <c r="O233" s="116">
        <v>1263.9878526969087</v>
      </c>
      <c r="P233" s="116">
        <v>1308.8633360008182</v>
      </c>
      <c r="Q233" s="116">
        <v>1316.5092361237473</v>
      </c>
      <c r="R233" s="116">
        <v>1302.857597366813</v>
      </c>
      <c r="S233" s="116">
        <v>1310.920785972864</v>
      </c>
      <c r="T233" s="116">
        <v>1299.9929027407291</v>
      </c>
      <c r="U233" s="116">
        <v>1286.0537977313975</v>
      </c>
      <c r="V233" s="116">
        <v>1288.9306139640767</v>
      </c>
      <c r="W233" s="116">
        <v>1296.1701291824359</v>
      </c>
      <c r="DA233" s="176" t="s">
        <v>939</v>
      </c>
    </row>
    <row r="234" spans="1:105" ht="11.45" customHeight="1" x14ac:dyDescent="0.25">
      <c r="A234" s="111" t="s">
        <v>110</v>
      </c>
      <c r="B234" s="101">
        <v>0</v>
      </c>
      <c r="C234" s="101">
        <v>442.16670961110765</v>
      </c>
      <c r="D234" s="101">
        <v>0</v>
      </c>
      <c r="E234" s="101">
        <v>0</v>
      </c>
      <c r="F234" s="101">
        <v>0</v>
      </c>
      <c r="G234" s="101">
        <v>0</v>
      </c>
      <c r="H234" s="101">
        <v>0</v>
      </c>
      <c r="I234" s="101">
        <v>406.56512408999458</v>
      </c>
      <c r="J234" s="101">
        <v>0</v>
      </c>
      <c r="K234" s="101">
        <v>0</v>
      </c>
      <c r="L234" s="101">
        <v>0</v>
      </c>
      <c r="M234" s="101">
        <v>0</v>
      </c>
      <c r="N234" s="101">
        <v>0</v>
      </c>
      <c r="O234" s="101">
        <v>0</v>
      </c>
      <c r="P234" s="101">
        <v>316.22041322378254</v>
      </c>
      <c r="Q234" s="101">
        <v>0</v>
      </c>
      <c r="R234" s="101">
        <v>318.04204945363523</v>
      </c>
      <c r="S234" s="101">
        <v>0</v>
      </c>
      <c r="T234" s="101">
        <v>0</v>
      </c>
      <c r="U234" s="101">
        <v>0</v>
      </c>
      <c r="V234" s="101">
        <v>0</v>
      </c>
      <c r="W234" s="101">
        <v>321.24746034207931</v>
      </c>
      <c r="DA234" s="175" t="s">
        <v>940</v>
      </c>
    </row>
    <row r="235" spans="1:105" ht="11.45" customHeight="1" x14ac:dyDescent="0.25">
      <c r="A235" s="111" t="s">
        <v>111</v>
      </c>
      <c r="B235" s="101">
        <v>1476.3253166772149</v>
      </c>
      <c r="C235" s="101">
        <v>1471.9823406532171</v>
      </c>
      <c r="D235" s="101">
        <v>1467.1717942288608</v>
      </c>
      <c r="E235" s="101">
        <v>1461.5393955068371</v>
      </c>
      <c r="F235" s="101">
        <v>1456.0165319750943</v>
      </c>
      <c r="G235" s="101">
        <v>1449.0015294973425</v>
      </c>
      <c r="H235" s="101">
        <v>1448.1983336790845</v>
      </c>
      <c r="I235" s="101">
        <v>1441.2279060456026</v>
      </c>
      <c r="J235" s="101">
        <v>1427.7775768074389</v>
      </c>
      <c r="K235" s="101">
        <v>1414.4334457774573</v>
      </c>
      <c r="L235" s="101">
        <v>1394.3524444936463</v>
      </c>
      <c r="M235" s="101">
        <v>1380.7776428587113</v>
      </c>
      <c r="N235" s="101">
        <v>1371.7891150495598</v>
      </c>
      <c r="O235" s="101">
        <v>1359.5576992282122</v>
      </c>
      <c r="P235" s="101">
        <v>1352.2222761254977</v>
      </c>
      <c r="Q235" s="101">
        <v>1340.2449215971562</v>
      </c>
      <c r="R235" s="101">
        <v>1331.9239529452277</v>
      </c>
      <c r="S235" s="101">
        <v>1326.1300323626547</v>
      </c>
      <c r="T235" s="101">
        <v>1322.0892907354721</v>
      </c>
      <c r="U235" s="101">
        <v>1319.2680995964329</v>
      </c>
      <c r="V235" s="101">
        <v>1317.296848527855</v>
      </c>
      <c r="W235" s="101">
        <v>1315.9187255812324</v>
      </c>
      <c r="DA235" s="175" t="s">
        <v>941</v>
      </c>
    </row>
    <row r="236" spans="1:105" ht="11.45" customHeight="1" x14ac:dyDescent="0.25">
      <c r="A236" s="111" t="s">
        <v>112</v>
      </c>
      <c r="B236" s="101">
        <v>0</v>
      </c>
      <c r="C236" s="101">
        <v>1065.4490261934588</v>
      </c>
      <c r="D236" s="101">
        <v>1061.9670605055996</v>
      </c>
      <c r="E236" s="101">
        <v>1057.8902223752928</v>
      </c>
      <c r="F236" s="101">
        <v>1053.8926679147664</v>
      </c>
      <c r="G236" s="101">
        <v>1048.8150746908232</v>
      </c>
      <c r="H236" s="101">
        <v>1048.233706165691</v>
      </c>
      <c r="I236" s="101">
        <v>1043.1883770682309</v>
      </c>
      <c r="J236" s="101">
        <v>1033.4527710130499</v>
      </c>
      <c r="K236" s="101">
        <v>1023.7940332560585</v>
      </c>
      <c r="L236" s="101">
        <v>1009.2590197087277</v>
      </c>
      <c r="M236" s="101">
        <v>999.43331814746261</v>
      </c>
      <c r="N236" s="101">
        <v>992.92724946940791</v>
      </c>
      <c r="O236" s="101">
        <v>0</v>
      </c>
      <c r="P236" s="101">
        <v>0</v>
      </c>
      <c r="Q236" s="101">
        <v>0</v>
      </c>
      <c r="R236" s="101">
        <v>0</v>
      </c>
      <c r="S236" s="101">
        <v>0</v>
      </c>
      <c r="T236" s="101">
        <v>924.93619880499591</v>
      </c>
      <c r="U236" s="101">
        <v>0</v>
      </c>
      <c r="V236" s="101">
        <v>911.95268917582587</v>
      </c>
      <c r="W236" s="101">
        <v>906.47317376125761</v>
      </c>
      <c r="DA236" s="175" t="s">
        <v>942</v>
      </c>
    </row>
    <row r="237" spans="1:105" ht="11.45" customHeight="1" x14ac:dyDescent="0.25">
      <c r="A237" s="111" t="s">
        <v>113</v>
      </c>
      <c r="B237" s="101">
        <v>0</v>
      </c>
      <c r="C237" s="101">
        <v>0</v>
      </c>
      <c r="D237" s="101">
        <v>0</v>
      </c>
      <c r="E237" s="101">
        <v>0</v>
      </c>
      <c r="F237" s="101">
        <v>936.97905974672585</v>
      </c>
      <c r="G237" s="101">
        <v>0</v>
      </c>
      <c r="H237" s="101">
        <v>931.94787505380771</v>
      </c>
      <c r="I237" s="101">
        <v>927.46224965971078</v>
      </c>
      <c r="J237" s="101">
        <v>918.8066632936941</v>
      </c>
      <c r="K237" s="101">
        <v>910.21941783937984</v>
      </c>
      <c r="L237" s="101">
        <v>897.29684636544562</v>
      </c>
      <c r="M237" s="101">
        <v>888.561159240454</v>
      </c>
      <c r="N237" s="101">
        <v>882.77684144586033</v>
      </c>
      <c r="O237" s="101">
        <v>874.90565300536161</v>
      </c>
      <c r="P237" s="101">
        <v>870.18514489938411</v>
      </c>
      <c r="Q237" s="101">
        <v>862.47745055816995</v>
      </c>
      <c r="R237" s="101">
        <v>0</v>
      </c>
      <c r="S237" s="101">
        <v>849.45514911380883</v>
      </c>
      <c r="T237" s="101">
        <v>0</v>
      </c>
      <c r="U237" s="101">
        <v>839.05135570069626</v>
      </c>
      <c r="V237" s="101">
        <v>834.65488551378257</v>
      </c>
      <c r="W237" s="101">
        <v>0</v>
      </c>
      <c r="DA237" s="175" t="s">
        <v>943</v>
      </c>
    </row>
    <row r="238" spans="1:105" ht="11.45" customHeight="1" x14ac:dyDescent="0.25">
      <c r="A238" s="111" t="s">
        <v>115</v>
      </c>
      <c r="B238" s="101">
        <v>0</v>
      </c>
      <c r="C238" s="101">
        <v>0</v>
      </c>
      <c r="D238" s="101">
        <v>0</v>
      </c>
      <c r="E238" s="101">
        <v>0</v>
      </c>
      <c r="F238" s="101">
        <v>0</v>
      </c>
      <c r="G238" s="101">
        <v>0</v>
      </c>
      <c r="H238" s="101">
        <v>0</v>
      </c>
      <c r="I238" s="101">
        <v>0</v>
      </c>
      <c r="J238" s="101">
        <v>0</v>
      </c>
      <c r="K238" s="101">
        <v>0</v>
      </c>
      <c r="L238" s="101">
        <v>0</v>
      </c>
      <c r="M238" s="101">
        <v>0</v>
      </c>
      <c r="N238" s="101">
        <v>0</v>
      </c>
      <c r="O238" s="101">
        <v>0</v>
      </c>
      <c r="P238" s="101">
        <v>0</v>
      </c>
      <c r="Q238" s="101">
        <v>0</v>
      </c>
      <c r="R238" s="101">
        <v>0</v>
      </c>
      <c r="S238" s="101">
        <v>0</v>
      </c>
      <c r="T238" s="101">
        <v>0</v>
      </c>
      <c r="U238" s="101">
        <v>0</v>
      </c>
      <c r="V238" s="101">
        <v>0</v>
      </c>
      <c r="W238" s="101">
        <v>0</v>
      </c>
      <c r="DA238" s="175" t="s">
        <v>944</v>
      </c>
    </row>
    <row r="239" spans="1:105" ht="11.45" customHeight="1" x14ac:dyDescent="0.25">
      <c r="A239" s="27" t="s">
        <v>34</v>
      </c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DA239" s="173"/>
    </row>
    <row r="240" spans="1:105" ht="11.45" customHeight="1" x14ac:dyDescent="0.25">
      <c r="A240" s="136" t="s">
        <v>156</v>
      </c>
      <c r="B240" s="152">
        <v>262.95568636757628</v>
      </c>
      <c r="C240" s="152">
        <v>262.36939713179174</v>
      </c>
      <c r="D240" s="152">
        <v>261.8068735857222</v>
      </c>
      <c r="E240" s="152">
        <v>262.57842147849209</v>
      </c>
      <c r="F240" s="152">
        <v>258.42584675497068</v>
      </c>
      <c r="G240" s="152">
        <v>261.03699426530966</v>
      </c>
      <c r="H240" s="152">
        <v>266.28807350648322</v>
      </c>
      <c r="I240" s="152">
        <v>265.68634712483629</v>
      </c>
      <c r="J240" s="152">
        <v>259.10922646898229</v>
      </c>
      <c r="K240" s="152">
        <v>246.18163003625921</v>
      </c>
      <c r="L240" s="152">
        <v>237.32475948744545</v>
      </c>
      <c r="M240" s="152">
        <v>229.35841630716112</v>
      </c>
      <c r="N240" s="152">
        <v>222.8755999597187</v>
      </c>
      <c r="O240" s="152">
        <v>221.33913838372851</v>
      </c>
      <c r="P240" s="152">
        <v>220.90122396470406</v>
      </c>
      <c r="Q240" s="152">
        <v>214.9506139712467</v>
      </c>
      <c r="R240" s="152">
        <v>206.42811492045027</v>
      </c>
      <c r="S240" s="152">
        <v>198.8727853199087</v>
      </c>
      <c r="T240" s="152">
        <v>200.77384548960984</v>
      </c>
      <c r="U240" s="152">
        <v>204.27861041594173</v>
      </c>
      <c r="V240" s="152">
        <v>210.10837983057866</v>
      </c>
      <c r="W240" s="152">
        <v>210.40977516732627</v>
      </c>
      <c r="DA240" s="174" t="s">
        <v>945</v>
      </c>
    </row>
    <row r="241" spans="1:105" ht="11.45" customHeight="1" x14ac:dyDescent="0.25">
      <c r="A241" s="111" t="s">
        <v>110</v>
      </c>
      <c r="B241" s="87">
        <v>258.39190188148899</v>
      </c>
      <c r="C241" s="87">
        <v>255.3794620239741</v>
      </c>
      <c r="D241" s="87">
        <v>252.07347923725573</v>
      </c>
      <c r="E241" s="87">
        <v>248.24676133801799</v>
      </c>
      <c r="F241" s="87">
        <v>244.53652366131743</v>
      </c>
      <c r="G241" s="87">
        <v>239.89101831542101</v>
      </c>
      <c r="H241" s="87">
        <v>239.36000553620718</v>
      </c>
      <c r="I241" s="87">
        <v>234.81727685725531</v>
      </c>
      <c r="J241" s="87">
        <v>226.29023938975055</v>
      </c>
      <c r="K241" s="87">
        <v>218.06125425638524</v>
      </c>
      <c r="L241" s="87">
        <v>206.18369744648606</v>
      </c>
      <c r="M241" s="87">
        <v>198.38229560694921</v>
      </c>
      <c r="N241" s="87">
        <v>193.09045029734813</v>
      </c>
      <c r="O241" s="87">
        <v>192.93337075001381</v>
      </c>
      <c r="P241" s="87">
        <v>197.12724067955688</v>
      </c>
      <c r="Q241" s="87">
        <v>196.11645505935419</v>
      </c>
      <c r="R241" s="87">
        <v>183.5712643863429</v>
      </c>
      <c r="S241" s="87">
        <v>177.05085875681235</v>
      </c>
      <c r="T241" s="87">
        <v>174.66894073718146</v>
      </c>
      <c r="U241" s="87">
        <v>173.1047904191617</v>
      </c>
      <c r="V241" s="87">
        <v>178.64810690423161</v>
      </c>
      <c r="W241" s="87">
        <v>178.019471488178</v>
      </c>
      <c r="DA241" s="171" t="s">
        <v>946</v>
      </c>
    </row>
    <row r="242" spans="1:105" ht="11.45" customHeight="1" x14ac:dyDescent="0.25">
      <c r="A242" s="111" t="s">
        <v>111</v>
      </c>
      <c r="B242" s="87">
        <v>263.09742167551997</v>
      </c>
      <c r="C242" s="87">
        <v>262.53180014675138</v>
      </c>
      <c r="D242" s="87">
        <v>261.90475784624761</v>
      </c>
      <c r="E242" s="87">
        <v>262.69612847377988</v>
      </c>
      <c r="F242" s="87">
        <v>258.56197372011411</v>
      </c>
      <c r="G242" s="87">
        <v>260.87554358748991</v>
      </c>
      <c r="H242" s="87">
        <v>266.92109625027729</v>
      </c>
      <c r="I242" s="87">
        <v>266.68325261905176</v>
      </c>
      <c r="J242" s="87">
        <v>260.43012733264931</v>
      </c>
      <c r="K242" s="87">
        <v>247.95414776745503</v>
      </c>
      <c r="L242" s="87">
        <v>238.99392951474013</v>
      </c>
      <c r="M242" s="87">
        <v>230.84397775361239</v>
      </c>
      <c r="N242" s="87">
        <v>226.42819778553115</v>
      </c>
      <c r="O242" s="87">
        <v>225.64773880157816</v>
      </c>
      <c r="P242" s="87">
        <v>224.39794479349555</v>
      </c>
      <c r="Q242" s="87">
        <v>218.11955984151174</v>
      </c>
      <c r="R242" s="87">
        <v>211.29477705519525</v>
      </c>
      <c r="S242" s="87">
        <v>201.56572651455073</v>
      </c>
      <c r="T242" s="87">
        <v>204.79788902364834</v>
      </c>
      <c r="U242" s="87">
        <v>208.24633003643939</v>
      </c>
      <c r="V242" s="87">
        <v>215.56449349233793</v>
      </c>
      <c r="W242" s="87">
        <v>220.6965434996593</v>
      </c>
      <c r="DA242" s="171" t="s">
        <v>947</v>
      </c>
    </row>
    <row r="243" spans="1:105" ht="11.45" customHeight="1" x14ac:dyDescent="0.25">
      <c r="A243" s="111" t="s">
        <v>112</v>
      </c>
      <c r="B243" s="87">
        <v>0</v>
      </c>
      <c r="C243" s="87">
        <v>0</v>
      </c>
      <c r="D243" s="87">
        <v>0</v>
      </c>
      <c r="E243" s="87">
        <v>499.40480562715976</v>
      </c>
      <c r="F243" s="87">
        <v>491.54547110562675</v>
      </c>
      <c r="G243" s="87">
        <v>495.94373885564784</v>
      </c>
      <c r="H243" s="87">
        <v>0</v>
      </c>
      <c r="I243" s="87">
        <v>0</v>
      </c>
      <c r="J243" s="87">
        <v>0</v>
      </c>
      <c r="K243" s="87">
        <v>0</v>
      </c>
      <c r="L243" s="87">
        <v>0</v>
      </c>
      <c r="M243" s="87">
        <v>0</v>
      </c>
      <c r="N243" s="87">
        <v>430.45678198823265</v>
      </c>
      <c r="O243" s="87">
        <v>444.26549459854823</v>
      </c>
      <c r="P243" s="87">
        <v>404.88509196912975</v>
      </c>
      <c r="Q243" s="87">
        <v>399.29720415014015</v>
      </c>
      <c r="R243" s="87">
        <v>343.79716581238387</v>
      </c>
      <c r="S243" s="87">
        <v>365.67516727317189</v>
      </c>
      <c r="T243" s="87">
        <v>361.41321893665474</v>
      </c>
      <c r="U243" s="87">
        <v>362.54973849305935</v>
      </c>
      <c r="V243" s="87">
        <v>287.81355454681204</v>
      </c>
      <c r="W243" s="87">
        <v>291.5</v>
      </c>
      <c r="DA243" s="171" t="s">
        <v>948</v>
      </c>
    </row>
    <row r="244" spans="1:105" ht="11.45" customHeight="1" x14ac:dyDescent="0.25">
      <c r="A244" s="111" t="s">
        <v>113</v>
      </c>
      <c r="B244" s="87">
        <v>0</v>
      </c>
      <c r="C244" s="87">
        <v>0</v>
      </c>
      <c r="D244" s="87">
        <v>0</v>
      </c>
      <c r="E244" s="87">
        <v>0</v>
      </c>
      <c r="F244" s="87">
        <v>0</v>
      </c>
      <c r="G244" s="87">
        <v>0</v>
      </c>
      <c r="H244" s="87">
        <v>253.40294026673683</v>
      </c>
      <c r="I244" s="87">
        <v>248.59369570851715</v>
      </c>
      <c r="J244" s="87">
        <v>239.56638823837474</v>
      </c>
      <c r="K244" s="87">
        <v>230.85461943834181</v>
      </c>
      <c r="L244" s="87">
        <v>218.28022209041748</v>
      </c>
      <c r="M244" s="87">
        <v>210.02112233015305</v>
      </c>
      <c r="N244" s="87">
        <v>204.65713076315797</v>
      </c>
      <c r="O244" s="87">
        <v>206.94443483112894</v>
      </c>
      <c r="P244" s="87">
        <v>180.15174977718442</v>
      </c>
      <c r="Q244" s="87">
        <v>163.71459110542381</v>
      </c>
      <c r="R244" s="87">
        <v>155.56397764085455</v>
      </c>
      <c r="S244" s="87">
        <v>164.97320317218518</v>
      </c>
      <c r="T244" s="87">
        <v>151.73472347954274</v>
      </c>
      <c r="U244" s="87">
        <v>166.93939393939391</v>
      </c>
      <c r="V244" s="87">
        <v>143.55769230769229</v>
      </c>
      <c r="W244" s="87">
        <v>178.53846153846149</v>
      </c>
      <c r="DA244" s="171" t="s">
        <v>949</v>
      </c>
    </row>
    <row r="245" spans="1:105" ht="11.45" customHeight="1" x14ac:dyDescent="0.25">
      <c r="A245" s="111" t="s">
        <v>115</v>
      </c>
      <c r="B245" s="87">
        <v>0</v>
      </c>
      <c r="C245" s="87">
        <v>0</v>
      </c>
      <c r="D245" s="87">
        <v>0</v>
      </c>
      <c r="E245" s="87">
        <v>0</v>
      </c>
      <c r="F245" s="87">
        <v>0</v>
      </c>
      <c r="G245" s="87">
        <v>0</v>
      </c>
      <c r="H245" s="87">
        <v>0</v>
      </c>
      <c r="I245" s="87">
        <v>0</v>
      </c>
      <c r="J245" s="87">
        <v>0</v>
      </c>
      <c r="K245" s="87">
        <v>0</v>
      </c>
      <c r="L245" s="87">
        <v>0</v>
      </c>
      <c r="M245" s="87">
        <v>0</v>
      </c>
      <c r="N245" s="87">
        <v>0</v>
      </c>
      <c r="O245" s="87">
        <v>0</v>
      </c>
      <c r="P245" s="87">
        <v>0</v>
      </c>
      <c r="Q245" s="87">
        <v>0</v>
      </c>
      <c r="R245" s="87">
        <v>0</v>
      </c>
      <c r="S245" s="87">
        <v>0</v>
      </c>
      <c r="T245" s="87">
        <v>0</v>
      </c>
      <c r="U245" s="87">
        <v>0</v>
      </c>
      <c r="V245" s="87">
        <v>0</v>
      </c>
      <c r="W245" s="87">
        <v>0</v>
      </c>
      <c r="DA245" s="171" t="s">
        <v>950</v>
      </c>
    </row>
    <row r="246" spans="1:105" ht="11.45" customHeight="1" x14ac:dyDescent="0.25">
      <c r="A246" s="109" t="s">
        <v>158</v>
      </c>
      <c r="B246" s="116">
        <v>937.95352072195215</v>
      </c>
      <c r="C246" s="116">
        <v>947.72822380816342</v>
      </c>
      <c r="D246" s="116">
        <v>946.6613779497203</v>
      </c>
      <c r="E246" s="116">
        <v>935.62434926334902</v>
      </c>
      <c r="F246" s="116">
        <v>948.78520438828832</v>
      </c>
      <c r="G246" s="116">
        <v>925.71105129376144</v>
      </c>
      <c r="H246" s="116">
        <v>921.76448339056151</v>
      </c>
      <c r="I246" s="116">
        <v>923.05100118676876</v>
      </c>
      <c r="J246" s="116">
        <v>911.54109573135372</v>
      </c>
      <c r="K246" s="116">
        <v>843.64919790417287</v>
      </c>
      <c r="L246" s="116">
        <v>878.39712074439433</v>
      </c>
      <c r="M246" s="116">
        <v>886.32947700231318</v>
      </c>
      <c r="N246" s="116">
        <v>834.64370167096547</v>
      </c>
      <c r="O246" s="116">
        <v>833.29573506281565</v>
      </c>
      <c r="P246" s="116">
        <v>811.79970550608562</v>
      </c>
      <c r="Q246" s="116">
        <v>802.56975643101555</v>
      </c>
      <c r="R246" s="116">
        <v>766.55326290755568</v>
      </c>
      <c r="S246" s="116">
        <v>755.94112307862827</v>
      </c>
      <c r="T246" s="116">
        <v>716.47379116831178</v>
      </c>
      <c r="U246" s="116">
        <v>691.25790058878056</v>
      </c>
      <c r="V246" s="116">
        <v>672.61473868156941</v>
      </c>
      <c r="W246" s="116">
        <v>669.78393292847932</v>
      </c>
      <c r="DA246" s="176" t="s">
        <v>951</v>
      </c>
    </row>
    <row r="247" spans="1:105" ht="11.45" customHeight="1" x14ac:dyDescent="0.25">
      <c r="A247" s="128" t="s">
        <v>27</v>
      </c>
      <c r="B247" s="101">
        <v>856.78952918410687</v>
      </c>
      <c r="C247" s="101">
        <v>852.8475343158276</v>
      </c>
      <c r="D247" s="101">
        <v>848.48880781236505</v>
      </c>
      <c r="E247" s="101">
        <v>843.0613820007128</v>
      </c>
      <c r="F247" s="101">
        <v>836.57904807208172</v>
      </c>
      <c r="G247" s="101">
        <v>829.05816149549742</v>
      </c>
      <c r="H247" s="101">
        <v>820.51754002555083</v>
      </c>
      <c r="I247" s="101">
        <v>810.97834779339053</v>
      </c>
      <c r="J247" s="101">
        <v>800.46396678957012</v>
      </c>
      <c r="K247" s="101">
        <v>788.99985714924674</v>
      </c>
      <c r="L247" s="101">
        <v>776.61340777858095</v>
      </c>
      <c r="M247" s="101">
        <v>763.33377888516463</v>
      </c>
      <c r="N247" s="101">
        <v>749.19173803583453</v>
      </c>
      <c r="O247" s="101">
        <v>734.21949138423224</v>
      </c>
      <c r="P247" s="101">
        <v>718.45051167184556</v>
      </c>
      <c r="Q247" s="101">
        <v>701.9193646065105</v>
      </c>
      <c r="R247" s="101">
        <v>669.74834424523772</v>
      </c>
      <c r="S247" s="101">
        <v>647.22862999234678</v>
      </c>
      <c r="T247" s="101">
        <v>623.58293002681125</v>
      </c>
      <c r="U247" s="101">
        <v>594.68263006893449</v>
      </c>
      <c r="V247" s="101">
        <v>562.76614121232842</v>
      </c>
      <c r="W247" s="101">
        <v>547.4561181470259</v>
      </c>
      <c r="DA247" s="175" t="s">
        <v>952</v>
      </c>
    </row>
    <row r="248" spans="1:105" ht="11.45" customHeight="1" x14ac:dyDescent="0.25">
      <c r="A248" s="138" t="s">
        <v>116</v>
      </c>
      <c r="B248" s="88">
        <v>973.32549638124704</v>
      </c>
      <c r="C248" s="88">
        <v>969.14492535889485</v>
      </c>
      <c r="D248" s="88">
        <v>964.5209027684374</v>
      </c>
      <c r="E248" s="88">
        <v>958.76313394738929</v>
      </c>
      <c r="F248" s="88">
        <v>951.8862494947706</v>
      </c>
      <c r="G248" s="88">
        <v>943.90760036347785</v>
      </c>
      <c r="H248" s="88">
        <v>934.84714966022614</v>
      </c>
      <c r="I248" s="88">
        <v>924.72734968168083</v>
      </c>
      <c r="J248" s="88">
        <v>913.57300557504323</v>
      </c>
      <c r="K248" s="88">
        <v>0</v>
      </c>
      <c r="L248" s="88">
        <v>888.27077026061306</v>
      </c>
      <c r="M248" s="88">
        <v>874.1828700569024</v>
      </c>
      <c r="N248" s="88">
        <v>859.18006675861636</v>
      </c>
      <c r="O248" s="88">
        <v>843.29652676318142</v>
      </c>
      <c r="P248" s="88">
        <v>826.56776014737818</v>
      </c>
      <c r="Q248" s="88">
        <v>809.03043647828326</v>
      </c>
      <c r="R248" s="88">
        <v>786.38779648376408</v>
      </c>
      <c r="S248" s="88">
        <v>770.5379484876006</v>
      </c>
      <c r="T248" s="88">
        <v>753.89560809162901</v>
      </c>
      <c r="U248" s="88">
        <v>733.55496982988586</v>
      </c>
      <c r="V248" s="88">
        <v>721.86280178997254</v>
      </c>
      <c r="W248" s="88">
        <v>714.6441737720728</v>
      </c>
      <c r="DA248" s="178" t="s">
        <v>953</v>
      </c>
    </row>
  </sheetData>
  <mergeCells count="1">
    <mergeCell ref="B57:V57"/>
  </mergeCells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DA1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8">
        <f t="shared" ref="B4" si="0">SUM(B5,B6,B9)</f>
        <v>14700.109038074523</v>
      </c>
      <c r="C4" s="28">
        <f t="shared" ref="C4:V4" si="1">SUM(C5,C6,C9)</f>
        <v>14816.272078825818</v>
      </c>
      <c r="D4" s="28">
        <f t="shared" si="1"/>
        <v>14960.394390880374</v>
      </c>
      <c r="E4" s="28">
        <f t="shared" si="1"/>
        <v>14919.060873259317</v>
      </c>
      <c r="F4" s="28">
        <f t="shared" si="1"/>
        <v>14615.49764190213</v>
      </c>
      <c r="G4" s="28">
        <f t="shared" si="1"/>
        <v>15122.253047456506</v>
      </c>
      <c r="H4" s="28">
        <f t="shared" si="1"/>
        <v>15440.193801324818</v>
      </c>
      <c r="I4" s="28">
        <f t="shared" si="1"/>
        <v>15796.320178627555</v>
      </c>
      <c r="J4" s="28">
        <f t="shared" si="1"/>
        <v>17090.632454850282</v>
      </c>
      <c r="K4" s="28">
        <f t="shared" si="1"/>
        <v>17006.130905844093</v>
      </c>
      <c r="L4" s="28">
        <f t="shared" si="1"/>
        <v>17181.81580782606</v>
      </c>
      <c r="M4" s="28">
        <f t="shared" si="1"/>
        <v>17793.687437379696</v>
      </c>
      <c r="N4" s="28">
        <f t="shared" si="1"/>
        <v>18323.746071455411</v>
      </c>
      <c r="O4" s="28">
        <f t="shared" si="1"/>
        <v>19013.99198737097</v>
      </c>
      <c r="P4" s="28">
        <f t="shared" si="1"/>
        <v>18991.05836298726</v>
      </c>
      <c r="Q4" s="28">
        <f t="shared" si="1"/>
        <v>19286.04298832206</v>
      </c>
      <c r="R4" s="28">
        <f t="shared" si="1"/>
        <v>19682.330292979968</v>
      </c>
      <c r="S4" s="28">
        <f t="shared" si="1"/>
        <v>19751</v>
      </c>
      <c r="T4" s="28">
        <f t="shared" si="1"/>
        <v>20313.954294048272</v>
      </c>
      <c r="U4" s="28">
        <f t="shared" si="1"/>
        <v>20621</v>
      </c>
      <c r="V4" s="28">
        <f t="shared" si="1"/>
        <v>13270</v>
      </c>
      <c r="W4" s="28">
        <f t="shared" ref="W4" si="2">SUM(W5,W6,W9)</f>
        <v>14570</v>
      </c>
      <c r="DA4" s="173" t="s">
        <v>375</v>
      </c>
    </row>
    <row r="5" spans="1:105" ht="11.45" customHeight="1" x14ac:dyDescent="0.25">
      <c r="A5" s="107" t="s">
        <v>23</v>
      </c>
      <c r="B5" s="108">
        <v>5960.3240131662324</v>
      </c>
      <c r="C5" s="108">
        <v>6055.3407693842382</v>
      </c>
      <c r="D5" s="108">
        <v>6150.5417770758531</v>
      </c>
      <c r="E5" s="108">
        <v>6245.9273099058164</v>
      </c>
      <c r="F5" s="108">
        <v>6341.4976419021305</v>
      </c>
      <c r="G5" s="108">
        <v>6437.2530474565074</v>
      </c>
      <c r="H5" s="108">
        <v>6533.1938013248182</v>
      </c>
      <c r="I5" s="108">
        <v>6629.3201786275549</v>
      </c>
      <c r="J5" s="108">
        <v>6725.6324548502835</v>
      </c>
      <c r="K5" s="108">
        <v>6822.1309058440929</v>
      </c>
      <c r="L5" s="108">
        <v>6918.8158078260594</v>
      </c>
      <c r="M5" s="108">
        <v>7015.6874373796954</v>
      </c>
      <c r="N5" s="108">
        <v>7112.7460714554109</v>
      </c>
      <c r="O5" s="108">
        <v>7209.9919873709705</v>
      </c>
      <c r="P5" s="108">
        <v>7010.0583629872599</v>
      </c>
      <c r="Q5" s="108">
        <v>7182.0429883220595</v>
      </c>
      <c r="R5" s="108">
        <v>7185.3302929799693</v>
      </c>
      <c r="S5" s="108">
        <v>7189</v>
      </c>
      <c r="T5" s="108">
        <v>7191.9542940482734</v>
      </c>
      <c r="U5" s="108">
        <v>7369</v>
      </c>
      <c r="V5" s="108">
        <v>5895</v>
      </c>
      <c r="W5" s="108">
        <v>6190</v>
      </c>
      <c r="DA5" s="203" t="s">
        <v>376</v>
      </c>
    </row>
    <row r="6" spans="1:105" ht="11.45" customHeight="1" x14ac:dyDescent="0.25">
      <c r="A6" s="109" t="s">
        <v>24</v>
      </c>
      <c r="B6" s="110">
        <f t="shared" ref="B6" si="3">SUM(B7:B8)</f>
        <v>8739.7850249082894</v>
      </c>
      <c r="C6" s="110">
        <f t="shared" ref="C6:V6" si="4">SUM(C7:C8)</f>
        <v>8760.9313094415793</v>
      </c>
      <c r="D6" s="110">
        <f t="shared" si="4"/>
        <v>8809.8526138045199</v>
      </c>
      <c r="E6" s="110">
        <f t="shared" si="4"/>
        <v>8673.1335633535</v>
      </c>
      <c r="F6" s="110">
        <f t="shared" si="4"/>
        <v>8274</v>
      </c>
      <c r="G6" s="110">
        <f t="shared" si="4"/>
        <v>8685</v>
      </c>
      <c r="H6" s="110">
        <f t="shared" si="4"/>
        <v>8907</v>
      </c>
      <c r="I6" s="110">
        <f t="shared" si="4"/>
        <v>9167</v>
      </c>
      <c r="J6" s="110">
        <f t="shared" si="4"/>
        <v>10365</v>
      </c>
      <c r="K6" s="110">
        <f t="shared" si="4"/>
        <v>10184</v>
      </c>
      <c r="L6" s="110">
        <f t="shared" si="4"/>
        <v>10263</v>
      </c>
      <c r="M6" s="110">
        <f t="shared" si="4"/>
        <v>10778</v>
      </c>
      <c r="N6" s="110">
        <f t="shared" si="4"/>
        <v>11211</v>
      </c>
      <c r="O6" s="110">
        <f t="shared" si="4"/>
        <v>11804</v>
      </c>
      <c r="P6" s="110">
        <f t="shared" si="4"/>
        <v>11981</v>
      </c>
      <c r="Q6" s="110">
        <f t="shared" si="4"/>
        <v>12104</v>
      </c>
      <c r="R6" s="110">
        <f t="shared" si="4"/>
        <v>12497</v>
      </c>
      <c r="S6" s="110">
        <f t="shared" si="4"/>
        <v>12562</v>
      </c>
      <c r="T6" s="110">
        <f t="shared" si="4"/>
        <v>13122</v>
      </c>
      <c r="U6" s="110">
        <f t="shared" si="4"/>
        <v>13252</v>
      </c>
      <c r="V6" s="110">
        <f t="shared" si="4"/>
        <v>7375</v>
      </c>
      <c r="W6" s="110">
        <f t="shared" ref="W6" si="5">SUM(W7:W8)</f>
        <v>8380</v>
      </c>
      <c r="DA6" s="176" t="s">
        <v>377</v>
      </c>
    </row>
    <row r="7" spans="1:105" ht="11.45" customHeight="1" x14ac:dyDescent="0.25">
      <c r="A7" s="111" t="s">
        <v>90</v>
      </c>
      <c r="B7" s="84">
        <v>1001.5338762650252</v>
      </c>
      <c r="C7" s="84">
        <v>1051.5883771535969</v>
      </c>
      <c r="D7" s="84">
        <v>1128.6711219455485</v>
      </c>
      <c r="E7" s="84">
        <v>1206.2430759399997</v>
      </c>
      <c r="F7" s="84">
        <v>1214.8401714835661</v>
      </c>
      <c r="G7" s="84">
        <v>1416.9676128457966</v>
      </c>
      <c r="H7" s="84">
        <v>1425.5300732332732</v>
      </c>
      <c r="I7" s="84">
        <v>1491.4312697704602</v>
      </c>
      <c r="J7" s="84">
        <v>1973.8122446768073</v>
      </c>
      <c r="K7" s="84">
        <v>1947.9141186092145</v>
      </c>
      <c r="L7" s="84">
        <v>1884.1332266946315</v>
      </c>
      <c r="M7" s="84">
        <v>1774.8163609757851</v>
      </c>
      <c r="N7" s="84">
        <v>1968.2551578594366</v>
      </c>
      <c r="O7" s="84">
        <v>1829.1671225374405</v>
      </c>
      <c r="P7" s="84">
        <v>1955.6856316308445</v>
      </c>
      <c r="Q7" s="84">
        <v>1576.0052678495294</v>
      </c>
      <c r="R7" s="84">
        <v>1619.9734862991543</v>
      </c>
      <c r="S7" s="84">
        <v>1719.6425733362425</v>
      </c>
      <c r="T7" s="84">
        <v>1737.9137662537776</v>
      </c>
      <c r="U7" s="84">
        <v>1758.1643020567928</v>
      </c>
      <c r="V7" s="84">
        <v>1002.0567758779068</v>
      </c>
      <c r="W7" s="84">
        <v>1085.2177665621364</v>
      </c>
      <c r="DA7" s="171" t="s">
        <v>1029</v>
      </c>
    </row>
    <row r="8" spans="1:105" ht="11.45" customHeight="1" x14ac:dyDescent="0.25">
      <c r="A8" s="111" t="s">
        <v>93</v>
      </c>
      <c r="B8" s="84">
        <v>7738.2511486432641</v>
      </c>
      <c r="C8" s="84">
        <v>7709.342932287982</v>
      </c>
      <c r="D8" s="84">
        <v>7681.1814918589716</v>
      </c>
      <c r="E8" s="84">
        <v>7466.8904874135005</v>
      </c>
      <c r="F8" s="84">
        <v>7059.1598285164337</v>
      </c>
      <c r="G8" s="84">
        <v>7268.0323871542032</v>
      </c>
      <c r="H8" s="84">
        <v>7481.4699267667265</v>
      </c>
      <c r="I8" s="84">
        <v>7675.5687302295401</v>
      </c>
      <c r="J8" s="84">
        <v>8391.1877553231934</v>
      </c>
      <c r="K8" s="84">
        <v>8236.0858813907853</v>
      </c>
      <c r="L8" s="84">
        <v>8378.866773305368</v>
      </c>
      <c r="M8" s="84">
        <v>9003.1836390242152</v>
      </c>
      <c r="N8" s="84">
        <v>9242.7448421405643</v>
      </c>
      <c r="O8" s="84">
        <v>9974.8328774625588</v>
      </c>
      <c r="P8" s="84">
        <v>10025.314368369156</v>
      </c>
      <c r="Q8" s="84">
        <v>10527.99473215047</v>
      </c>
      <c r="R8" s="84">
        <v>10877.026513700846</v>
      </c>
      <c r="S8" s="84">
        <v>10842.357426663757</v>
      </c>
      <c r="T8" s="84">
        <v>11384.086233746222</v>
      </c>
      <c r="U8" s="84">
        <v>11493.835697943206</v>
      </c>
      <c r="V8" s="84">
        <v>6372.9432241220929</v>
      </c>
      <c r="W8" s="84">
        <v>7294.7822334378634</v>
      </c>
      <c r="DA8" s="171" t="s">
        <v>1030</v>
      </c>
    </row>
    <row r="9" spans="1:105" ht="11.45" customHeight="1" x14ac:dyDescent="0.25">
      <c r="A9" s="112" t="s">
        <v>25</v>
      </c>
      <c r="B9" s="113">
        <v>0</v>
      </c>
      <c r="C9" s="113">
        <v>0</v>
      </c>
      <c r="D9" s="113">
        <v>0</v>
      </c>
      <c r="E9" s="113">
        <v>0</v>
      </c>
      <c r="F9" s="113">
        <v>0</v>
      </c>
      <c r="G9" s="113">
        <v>0</v>
      </c>
      <c r="H9" s="113">
        <v>0</v>
      </c>
      <c r="I9" s="113">
        <v>0</v>
      </c>
      <c r="J9" s="113">
        <v>0</v>
      </c>
      <c r="K9" s="113">
        <v>0</v>
      </c>
      <c r="L9" s="113">
        <v>0</v>
      </c>
      <c r="M9" s="113">
        <v>0</v>
      </c>
      <c r="N9" s="113">
        <v>0</v>
      </c>
      <c r="O9" s="113">
        <v>0</v>
      </c>
      <c r="P9" s="113">
        <v>0</v>
      </c>
      <c r="Q9" s="113">
        <v>0</v>
      </c>
      <c r="R9" s="113">
        <v>0</v>
      </c>
      <c r="S9" s="113">
        <v>0</v>
      </c>
      <c r="T9" s="113">
        <v>0</v>
      </c>
      <c r="U9" s="113">
        <v>0</v>
      </c>
      <c r="V9" s="113">
        <v>0</v>
      </c>
      <c r="W9" s="113">
        <v>0</v>
      </c>
      <c r="DA9" s="204" t="s">
        <v>378</v>
      </c>
    </row>
    <row r="10" spans="1:105" ht="11.45" customHeight="1" x14ac:dyDescent="0.25">
      <c r="A10" s="27" t="s">
        <v>28</v>
      </c>
      <c r="B10" s="28">
        <f t="shared" ref="B10" si="6">SUM(B11:B12)</f>
        <v>16600</v>
      </c>
      <c r="C10" s="28">
        <f t="shared" ref="C10:V10" si="7">SUM(C11:C12)</f>
        <v>16893</v>
      </c>
      <c r="D10" s="28">
        <f t="shared" si="7"/>
        <v>17130</v>
      </c>
      <c r="E10" s="28">
        <f t="shared" si="7"/>
        <v>16866</v>
      </c>
      <c r="F10" s="28">
        <f t="shared" si="7"/>
        <v>18757</v>
      </c>
      <c r="G10" s="28">
        <f t="shared" si="7"/>
        <v>18957</v>
      </c>
      <c r="H10" s="28">
        <f t="shared" si="7"/>
        <v>20980</v>
      </c>
      <c r="I10" s="28">
        <f t="shared" si="7"/>
        <v>21371</v>
      </c>
      <c r="J10" s="28">
        <f t="shared" si="7"/>
        <v>21915</v>
      </c>
      <c r="K10" s="28">
        <f t="shared" si="7"/>
        <v>17767</v>
      </c>
      <c r="L10" s="28">
        <f t="shared" si="7"/>
        <v>19833</v>
      </c>
      <c r="M10" s="28">
        <f t="shared" si="7"/>
        <v>20345</v>
      </c>
      <c r="N10" s="28">
        <f t="shared" si="7"/>
        <v>19499</v>
      </c>
      <c r="O10" s="28">
        <f t="shared" si="7"/>
        <v>19278</v>
      </c>
      <c r="P10" s="28">
        <f t="shared" si="7"/>
        <v>20746</v>
      </c>
      <c r="Q10" s="28">
        <f t="shared" si="7"/>
        <v>20814</v>
      </c>
      <c r="R10" s="28">
        <f t="shared" si="7"/>
        <v>21361</v>
      </c>
      <c r="S10" s="28">
        <f t="shared" si="7"/>
        <v>22256</v>
      </c>
      <c r="T10" s="28">
        <f t="shared" si="7"/>
        <v>21996</v>
      </c>
      <c r="U10" s="28">
        <f t="shared" si="7"/>
        <v>21736</v>
      </c>
      <c r="V10" s="28">
        <f t="shared" si="7"/>
        <v>20498</v>
      </c>
      <c r="W10" s="28">
        <f t="shared" ref="W10" si="8">SUM(W11:W12)</f>
        <v>21779</v>
      </c>
      <c r="DA10" s="173" t="s">
        <v>383</v>
      </c>
    </row>
    <row r="11" spans="1:105" ht="11.45" customHeight="1" x14ac:dyDescent="0.25">
      <c r="A11" s="83" t="s">
        <v>90</v>
      </c>
      <c r="B11" s="84">
        <v>962.10792413473109</v>
      </c>
      <c r="C11" s="84">
        <v>1018.0618642968278</v>
      </c>
      <c r="D11" s="84">
        <v>1095.2902959237272</v>
      </c>
      <c r="E11" s="84">
        <v>1153.0019810697149</v>
      </c>
      <c r="F11" s="84">
        <v>1304.8243222482647</v>
      </c>
      <c r="G11" s="84">
        <v>1472.1577724772626</v>
      </c>
      <c r="H11" s="84">
        <v>1626.11664761526</v>
      </c>
      <c r="I11" s="84">
        <v>1682.2204244472766</v>
      </c>
      <c r="J11" s="84">
        <v>1549.2467308491964</v>
      </c>
      <c r="K11" s="84">
        <v>1286.1530211346455</v>
      </c>
      <c r="L11" s="84">
        <v>1363.3978983243485</v>
      </c>
      <c r="M11" s="84">
        <v>1261.8018987451403</v>
      </c>
      <c r="N11" s="84">
        <v>1283.8533446899592</v>
      </c>
      <c r="O11" s="84">
        <v>1120.6083993380889</v>
      </c>
      <c r="P11" s="84">
        <v>1311.9834300923289</v>
      </c>
      <c r="Q11" s="84">
        <v>1048.7972471347914</v>
      </c>
      <c r="R11" s="84">
        <v>1078.0090944666267</v>
      </c>
      <c r="S11" s="84">
        <v>1195.6545329791632</v>
      </c>
      <c r="T11" s="84">
        <v>1142.7385045560554</v>
      </c>
      <c r="U11" s="84">
        <v>1144.9760748951653</v>
      </c>
      <c r="V11" s="84">
        <v>1408.3205503105246</v>
      </c>
      <c r="W11" s="84">
        <v>1409.8705100035811</v>
      </c>
      <c r="DA11" s="171" t="s">
        <v>1031</v>
      </c>
    </row>
    <row r="12" spans="1:105" ht="11.45" customHeight="1" x14ac:dyDescent="0.25">
      <c r="A12" s="85" t="s">
        <v>93</v>
      </c>
      <c r="B12" s="86">
        <v>15637.892075865269</v>
      </c>
      <c r="C12" s="86">
        <v>15874.938135703173</v>
      </c>
      <c r="D12" s="86">
        <v>16034.709704076273</v>
      </c>
      <c r="E12" s="86">
        <v>15712.998018930284</v>
      </c>
      <c r="F12" s="86">
        <v>17452.175677751737</v>
      </c>
      <c r="G12" s="86">
        <v>17484.842227522739</v>
      </c>
      <c r="H12" s="86">
        <v>19353.883352384739</v>
      </c>
      <c r="I12" s="86">
        <v>19688.779575552722</v>
      </c>
      <c r="J12" s="86">
        <v>20365.753269150802</v>
      </c>
      <c r="K12" s="86">
        <v>16480.846978865353</v>
      </c>
      <c r="L12" s="86">
        <v>18469.602101675653</v>
      </c>
      <c r="M12" s="86">
        <v>19083.19810125486</v>
      </c>
      <c r="N12" s="86">
        <v>18215.14665531004</v>
      </c>
      <c r="O12" s="86">
        <v>18157.391600661911</v>
      </c>
      <c r="P12" s="86">
        <v>19434.016569907672</v>
      </c>
      <c r="Q12" s="86">
        <v>19765.202752865207</v>
      </c>
      <c r="R12" s="86">
        <v>20282.990905533374</v>
      </c>
      <c r="S12" s="86">
        <v>21060.345467020838</v>
      </c>
      <c r="T12" s="86">
        <v>20853.261495443945</v>
      </c>
      <c r="U12" s="86">
        <v>20591.023925104833</v>
      </c>
      <c r="V12" s="86">
        <v>19089.679449689476</v>
      </c>
      <c r="W12" s="86">
        <v>20369.12948999642</v>
      </c>
      <c r="DA12" s="178" t="s">
        <v>1032</v>
      </c>
    </row>
    <row r="13" spans="1:105" x14ac:dyDescent="0.25">
      <c r="A13" s="106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14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DA13" s="171"/>
    </row>
    <row r="14" spans="1:105" ht="11.45" customHeight="1" x14ac:dyDescent="0.25">
      <c r="A14" s="53" t="s">
        <v>64</v>
      </c>
      <c r="B14" s="62">
        <f t="shared" ref="B14" si="9">B15+B21</f>
        <v>202.1610649504305</v>
      </c>
      <c r="C14" s="62">
        <f t="shared" ref="C14:V14" si="10">C15+C21</f>
        <v>195.61153982527031</v>
      </c>
      <c r="D14" s="62">
        <f t="shared" si="10"/>
        <v>195.35212012482631</v>
      </c>
      <c r="E14" s="62">
        <f t="shared" si="10"/>
        <v>196.14851548393014</v>
      </c>
      <c r="F14" s="62">
        <f t="shared" si="10"/>
        <v>199.74454822229154</v>
      </c>
      <c r="G14" s="62">
        <f t="shared" si="10"/>
        <v>197.25932378202796</v>
      </c>
      <c r="H14" s="62">
        <f t="shared" si="10"/>
        <v>204.34581926253435</v>
      </c>
      <c r="I14" s="62">
        <f t="shared" si="10"/>
        <v>209.16585415239467</v>
      </c>
      <c r="J14" s="62">
        <f t="shared" si="10"/>
        <v>217.55158910861616</v>
      </c>
      <c r="K14" s="62">
        <f t="shared" si="10"/>
        <v>218.41364546620451</v>
      </c>
      <c r="L14" s="62">
        <f t="shared" si="10"/>
        <v>224.5169786493019</v>
      </c>
      <c r="M14" s="62">
        <f t="shared" si="10"/>
        <v>219.53183870275382</v>
      </c>
      <c r="N14" s="62">
        <f t="shared" si="10"/>
        <v>217.66871618980974</v>
      </c>
      <c r="O14" s="62">
        <f t="shared" si="10"/>
        <v>233.02457969210494</v>
      </c>
      <c r="P14" s="62">
        <f t="shared" si="10"/>
        <v>239.17401710858053</v>
      </c>
      <c r="Q14" s="62">
        <f t="shared" si="10"/>
        <v>243.77317962519868</v>
      </c>
      <c r="R14" s="62">
        <f t="shared" si="10"/>
        <v>256.74344189783938</v>
      </c>
      <c r="S14" s="62">
        <f t="shared" si="10"/>
        <v>270.28367752476601</v>
      </c>
      <c r="T14" s="62">
        <f t="shared" si="10"/>
        <v>267.91342632340411</v>
      </c>
      <c r="U14" s="62">
        <f t="shared" si="10"/>
        <v>274.8891131645737</v>
      </c>
      <c r="V14" s="62">
        <f t="shared" si="10"/>
        <v>247.06144643174764</v>
      </c>
      <c r="W14" s="62">
        <f t="shared" ref="W14" si="11">W15+W21</f>
        <v>257.22862129158608</v>
      </c>
      <c r="DA14" s="172" t="s">
        <v>1033</v>
      </c>
    </row>
    <row r="15" spans="1:105" ht="11.45" customHeight="1" x14ac:dyDescent="0.25">
      <c r="A15" s="27" t="s">
        <v>33</v>
      </c>
      <c r="B15" s="29">
        <f t="shared" ref="B15" si="12">SUM(B16,B17,B20)</f>
        <v>163.90982219746923</v>
      </c>
      <c r="C15" s="29">
        <f t="shared" ref="C15:V15" si="13">SUM(C16,C17,C20)</f>
        <v>158.18230543809545</v>
      </c>
      <c r="D15" s="29">
        <f t="shared" si="13"/>
        <v>157.39777270130995</v>
      </c>
      <c r="E15" s="29">
        <f t="shared" si="13"/>
        <v>158.77910342074136</v>
      </c>
      <c r="F15" s="29">
        <f t="shared" si="13"/>
        <v>158.18531313908559</v>
      </c>
      <c r="G15" s="29">
        <f t="shared" si="13"/>
        <v>156.29265219012274</v>
      </c>
      <c r="H15" s="29">
        <f t="shared" si="13"/>
        <v>161.19498093213653</v>
      </c>
      <c r="I15" s="29">
        <f t="shared" si="13"/>
        <v>164.24668221196359</v>
      </c>
      <c r="J15" s="29">
        <f t="shared" si="13"/>
        <v>172.38075756568611</v>
      </c>
      <c r="K15" s="29">
        <f t="shared" si="13"/>
        <v>180.38781536790998</v>
      </c>
      <c r="L15" s="29">
        <f t="shared" si="13"/>
        <v>183.3186643310728</v>
      </c>
      <c r="M15" s="29">
        <f t="shared" si="13"/>
        <v>175.73481770326629</v>
      </c>
      <c r="N15" s="29">
        <f t="shared" si="13"/>
        <v>177.11476970371672</v>
      </c>
      <c r="O15" s="29">
        <f t="shared" si="13"/>
        <v>191.22556303756056</v>
      </c>
      <c r="P15" s="29">
        <f t="shared" si="13"/>
        <v>198.24704399548975</v>
      </c>
      <c r="Q15" s="29">
        <f t="shared" si="13"/>
        <v>201.89520201081893</v>
      </c>
      <c r="R15" s="29">
        <f t="shared" si="13"/>
        <v>214.99813002794559</v>
      </c>
      <c r="S15" s="29">
        <f t="shared" si="13"/>
        <v>227.30263615611267</v>
      </c>
      <c r="T15" s="29">
        <f t="shared" si="13"/>
        <v>223.88981634495894</v>
      </c>
      <c r="U15" s="29">
        <f t="shared" si="13"/>
        <v>229.36238828580701</v>
      </c>
      <c r="V15" s="29">
        <f t="shared" si="13"/>
        <v>193.4355999231245</v>
      </c>
      <c r="W15" s="29">
        <f t="shared" ref="W15" si="14">SUM(W16,W17,W20)</f>
        <v>206.11669153335498</v>
      </c>
      <c r="DA15" s="173" t="s">
        <v>1034</v>
      </c>
    </row>
    <row r="16" spans="1:105" ht="11.45" customHeight="1" x14ac:dyDescent="0.25">
      <c r="A16" s="107" t="s">
        <v>23</v>
      </c>
      <c r="B16" s="115">
        <v>81.71328050041177</v>
      </c>
      <c r="C16" s="115">
        <v>83.015916202083417</v>
      </c>
      <c r="D16" s="115">
        <v>84.321077906085208</v>
      </c>
      <c r="E16" s="115">
        <v>85.628769364233904</v>
      </c>
      <c r="F16" s="115">
        <v>86.938994333326448</v>
      </c>
      <c r="G16" s="115">
        <v>87.386177113304967</v>
      </c>
      <c r="H16" s="115">
        <v>89.464986096462383</v>
      </c>
      <c r="I16" s="115">
        <v>90.410167935661605</v>
      </c>
      <c r="J16" s="115">
        <v>89.621597105640575</v>
      </c>
      <c r="K16" s="115">
        <v>92.05272238978317</v>
      </c>
      <c r="L16" s="115">
        <v>92.756772803271787</v>
      </c>
      <c r="M16" s="115">
        <v>92.986357757513986</v>
      </c>
      <c r="N16" s="115">
        <v>92.965786167403579</v>
      </c>
      <c r="O16" s="115">
        <v>93.013034817337356</v>
      </c>
      <c r="P16" s="115">
        <v>91.169105244174688</v>
      </c>
      <c r="Q16" s="115">
        <v>93.46151791365962</v>
      </c>
      <c r="R16" s="115">
        <v>92.89231944003285</v>
      </c>
      <c r="S16" s="115">
        <v>93.35894047942233</v>
      </c>
      <c r="T16" s="115">
        <v>92.064505444041615</v>
      </c>
      <c r="U16" s="115">
        <v>95.532312103833377</v>
      </c>
      <c r="V16" s="115">
        <v>95.464005455720482</v>
      </c>
      <c r="W16" s="115">
        <v>95.499937922230117</v>
      </c>
      <c r="DA16" s="203" t="s">
        <v>1035</v>
      </c>
    </row>
    <row r="17" spans="1:105" ht="11.45" customHeight="1" x14ac:dyDescent="0.25">
      <c r="A17" s="109" t="s">
        <v>24</v>
      </c>
      <c r="B17" s="116">
        <f t="shared" ref="B17" si="15">SUM(B18:B19)</f>
        <v>82.196541697057469</v>
      </c>
      <c r="C17" s="116">
        <f t="shared" ref="C17:V17" si="16">SUM(C18:C19)</f>
        <v>75.166389236012037</v>
      </c>
      <c r="D17" s="116">
        <f t="shared" si="16"/>
        <v>73.076694795224739</v>
      </c>
      <c r="E17" s="116">
        <f t="shared" si="16"/>
        <v>73.150334056507475</v>
      </c>
      <c r="F17" s="116">
        <f t="shared" si="16"/>
        <v>71.246318805759145</v>
      </c>
      <c r="G17" s="116">
        <f t="shared" si="16"/>
        <v>68.906475076817784</v>
      </c>
      <c r="H17" s="116">
        <f t="shared" si="16"/>
        <v>71.729994835674148</v>
      </c>
      <c r="I17" s="116">
        <f t="shared" si="16"/>
        <v>73.836514276301983</v>
      </c>
      <c r="J17" s="116">
        <f t="shared" si="16"/>
        <v>82.759160460045521</v>
      </c>
      <c r="K17" s="116">
        <f t="shared" si="16"/>
        <v>88.335092978126823</v>
      </c>
      <c r="L17" s="116">
        <f t="shared" si="16"/>
        <v>90.561891527801009</v>
      </c>
      <c r="M17" s="116">
        <f t="shared" si="16"/>
        <v>82.748459945752316</v>
      </c>
      <c r="N17" s="116">
        <f t="shared" si="16"/>
        <v>84.148983536313125</v>
      </c>
      <c r="O17" s="116">
        <f t="shared" si="16"/>
        <v>98.21252822022322</v>
      </c>
      <c r="P17" s="116">
        <f t="shared" si="16"/>
        <v>107.07793875131506</v>
      </c>
      <c r="Q17" s="116">
        <f t="shared" si="16"/>
        <v>108.43368409715933</v>
      </c>
      <c r="R17" s="116">
        <f t="shared" si="16"/>
        <v>122.10581058791273</v>
      </c>
      <c r="S17" s="116">
        <f t="shared" si="16"/>
        <v>133.94369567669034</v>
      </c>
      <c r="T17" s="116">
        <f t="shared" si="16"/>
        <v>131.82531090091732</v>
      </c>
      <c r="U17" s="116">
        <f t="shared" si="16"/>
        <v>133.83007618197362</v>
      </c>
      <c r="V17" s="116">
        <f t="shared" si="16"/>
        <v>97.971594467404017</v>
      </c>
      <c r="W17" s="116">
        <f t="shared" ref="W17" si="17">SUM(W18:W19)</f>
        <v>110.61675361112485</v>
      </c>
      <c r="DA17" s="176" t="s">
        <v>1036</v>
      </c>
    </row>
    <row r="18" spans="1:105" ht="11.45" customHeight="1" x14ac:dyDescent="0.25">
      <c r="A18" s="111" t="s">
        <v>92</v>
      </c>
      <c r="B18" s="87">
        <v>12.459000399442086</v>
      </c>
      <c r="C18" s="87">
        <v>13.099500505193607</v>
      </c>
      <c r="D18" s="87">
        <v>14.028691743101591</v>
      </c>
      <c r="E18" s="87">
        <v>14.972217159327906</v>
      </c>
      <c r="F18" s="87">
        <v>15.052276455975608</v>
      </c>
      <c r="G18" s="87">
        <v>16.869335500654646</v>
      </c>
      <c r="H18" s="87">
        <v>17.561054843691625</v>
      </c>
      <c r="I18" s="87">
        <v>18.096926868268561</v>
      </c>
      <c r="J18" s="87">
        <v>21.745156815105304</v>
      </c>
      <c r="K18" s="87">
        <v>22.577225343120094</v>
      </c>
      <c r="L18" s="87">
        <v>21.302803043723536</v>
      </c>
      <c r="M18" s="87">
        <v>19.185294932358214</v>
      </c>
      <c r="N18" s="87">
        <v>20.083717328686099</v>
      </c>
      <c r="O18" s="87">
        <v>17.753401760435622</v>
      </c>
      <c r="P18" s="87">
        <v>19.615811194130778</v>
      </c>
      <c r="Q18" s="87">
        <v>15.892003891674996</v>
      </c>
      <c r="R18" s="87">
        <v>15.998149904074554</v>
      </c>
      <c r="S18" s="87">
        <v>17.396935860853141</v>
      </c>
      <c r="T18" s="87">
        <v>16.712949945557245</v>
      </c>
      <c r="U18" s="87">
        <v>17.894862620498483</v>
      </c>
      <c r="V18" s="87">
        <v>14.582947232957343</v>
      </c>
      <c r="W18" s="87">
        <v>14.750218701945402</v>
      </c>
      <c r="DA18" s="171" t="s">
        <v>1037</v>
      </c>
    </row>
    <row r="19" spans="1:105" ht="11.45" customHeight="1" x14ac:dyDescent="0.25">
      <c r="A19" s="111" t="s">
        <v>93</v>
      </c>
      <c r="B19" s="87">
        <v>69.73754129761538</v>
      </c>
      <c r="C19" s="87">
        <v>62.066888730818434</v>
      </c>
      <c r="D19" s="87">
        <v>59.04800305212315</v>
      </c>
      <c r="E19" s="87">
        <v>58.178116897179564</v>
      </c>
      <c r="F19" s="87">
        <v>56.194042349783537</v>
      </c>
      <c r="G19" s="87">
        <v>52.037139576163142</v>
      </c>
      <c r="H19" s="87">
        <v>54.168939991982519</v>
      </c>
      <c r="I19" s="87">
        <v>55.739587408033422</v>
      </c>
      <c r="J19" s="87">
        <v>61.014003644940217</v>
      </c>
      <c r="K19" s="87">
        <v>65.757867635006733</v>
      </c>
      <c r="L19" s="87">
        <v>69.259088484077466</v>
      </c>
      <c r="M19" s="87">
        <v>63.563165013394105</v>
      </c>
      <c r="N19" s="87">
        <v>64.065266207627019</v>
      </c>
      <c r="O19" s="87">
        <v>80.459126459787598</v>
      </c>
      <c r="P19" s="87">
        <v>87.462127557184289</v>
      </c>
      <c r="Q19" s="87">
        <v>92.54168020548434</v>
      </c>
      <c r="R19" s="87">
        <v>106.10766068383818</v>
      </c>
      <c r="S19" s="87">
        <v>116.54675981583719</v>
      </c>
      <c r="T19" s="87">
        <v>115.11236095536007</v>
      </c>
      <c r="U19" s="87">
        <v>115.93521356147514</v>
      </c>
      <c r="V19" s="87">
        <v>83.38864723444668</v>
      </c>
      <c r="W19" s="87">
        <v>95.86653490917945</v>
      </c>
      <c r="DA19" s="171" t="s">
        <v>1038</v>
      </c>
    </row>
    <row r="20" spans="1:105" ht="11.45" customHeight="1" x14ac:dyDescent="0.25">
      <c r="A20" s="112" t="s">
        <v>25</v>
      </c>
      <c r="B20" s="117">
        <v>0</v>
      </c>
      <c r="C20" s="117">
        <v>0</v>
      </c>
      <c r="D20" s="117">
        <v>0</v>
      </c>
      <c r="E20" s="117">
        <v>0</v>
      </c>
      <c r="F20" s="117">
        <v>0</v>
      </c>
      <c r="G20" s="117">
        <v>0</v>
      </c>
      <c r="H20" s="117">
        <v>0</v>
      </c>
      <c r="I20" s="117">
        <v>0</v>
      </c>
      <c r="J20" s="117">
        <v>0</v>
      </c>
      <c r="K20" s="117">
        <v>0</v>
      </c>
      <c r="L20" s="117">
        <v>0</v>
      </c>
      <c r="M20" s="117">
        <v>0</v>
      </c>
      <c r="N20" s="117">
        <v>0</v>
      </c>
      <c r="O20" s="117">
        <v>0</v>
      </c>
      <c r="P20" s="117">
        <v>0</v>
      </c>
      <c r="Q20" s="117">
        <v>0</v>
      </c>
      <c r="R20" s="117">
        <v>0</v>
      </c>
      <c r="S20" s="117">
        <v>0</v>
      </c>
      <c r="T20" s="117">
        <v>0</v>
      </c>
      <c r="U20" s="117">
        <v>0</v>
      </c>
      <c r="V20" s="117">
        <v>0</v>
      </c>
      <c r="W20" s="117">
        <v>0</v>
      </c>
      <c r="DA20" s="204" t="s">
        <v>1039</v>
      </c>
    </row>
    <row r="21" spans="1:105" ht="11.45" customHeight="1" x14ac:dyDescent="0.25">
      <c r="A21" s="27" t="s">
        <v>34</v>
      </c>
      <c r="B21" s="29">
        <f t="shared" ref="B21" si="18">SUM(B22:B23)</f>
        <v>38.251242752961268</v>
      </c>
      <c r="C21" s="29">
        <f t="shared" ref="C21:V21" si="19">SUM(C22:C23)</f>
        <v>37.429234387174859</v>
      </c>
      <c r="D21" s="29">
        <f t="shared" si="19"/>
        <v>37.954347423516374</v>
      </c>
      <c r="E21" s="29">
        <f t="shared" si="19"/>
        <v>37.369412063188783</v>
      </c>
      <c r="F21" s="29">
        <f t="shared" si="19"/>
        <v>41.559235083205955</v>
      </c>
      <c r="G21" s="29">
        <f t="shared" si="19"/>
        <v>40.966671591905225</v>
      </c>
      <c r="H21" s="29">
        <f t="shared" si="19"/>
        <v>43.150838330397818</v>
      </c>
      <c r="I21" s="29">
        <f t="shared" si="19"/>
        <v>44.919171940431085</v>
      </c>
      <c r="J21" s="29">
        <f t="shared" si="19"/>
        <v>45.170831542930031</v>
      </c>
      <c r="K21" s="29">
        <f t="shared" si="19"/>
        <v>38.025830098294527</v>
      </c>
      <c r="L21" s="29">
        <f t="shared" si="19"/>
        <v>41.198314318229095</v>
      </c>
      <c r="M21" s="29">
        <f t="shared" si="19"/>
        <v>43.797020999487536</v>
      </c>
      <c r="N21" s="29">
        <f t="shared" si="19"/>
        <v>40.553946486093039</v>
      </c>
      <c r="O21" s="29">
        <f t="shared" si="19"/>
        <v>41.799016654544381</v>
      </c>
      <c r="P21" s="29">
        <f t="shared" si="19"/>
        <v>40.926973113090781</v>
      </c>
      <c r="Q21" s="29">
        <f t="shared" si="19"/>
        <v>41.877977614379759</v>
      </c>
      <c r="R21" s="29">
        <f t="shared" si="19"/>
        <v>41.745311869893804</v>
      </c>
      <c r="S21" s="29">
        <f t="shared" si="19"/>
        <v>42.981041368653322</v>
      </c>
      <c r="T21" s="29">
        <f t="shared" si="19"/>
        <v>44.023609978445187</v>
      </c>
      <c r="U21" s="29">
        <f t="shared" si="19"/>
        <v>45.526724878766665</v>
      </c>
      <c r="V21" s="29">
        <f t="shared" si="19"/>
        <v>53.625846508623141</v>
      </c>
      <c r="W21" s="29">
        <f t="shared" ref="W21" si="20">SUM(W22:W23)</f>
        <v>51.111929758231099</v>
      </c>
      <c r="DA21" s="173" t="s">
        <v>1040</v>
      </c>
    </row>
    <row r="22" spans="1:105" ht="11.45" customHeight="1" x14ac:dyDescent="0.25">
      <c r="A22" s="83" t="s">
        <v>92</v>
      </c>
      <c r="B22" s="87">
        <v>2.110532094751731</v>
      </c>
      <c r="C22" s="87">
        <v>2.2337466545007749</v>
      </c>
      <c r="D22" s="87">
        <v>2.5085241756870866</v>
      </c>
      <c r="E22" s="87">
        <v>2.6417686204263431</v>
      </c>
      <c r="F22" s="87">
        <v>2.9899540776423721</v>
      </c>
      <c r="G22" s="87">
        <v>3.1775212383291507</v>
      </c>
      <c r="H22" s="87">
        <v>3.6744741925923736</v>
      </c>
      <c r="I22" s="87">
        <v>3.8850583821945519</v>
      </c>
      <c r="J22" s="87">
        <v>2.5043676768459529</v>
      </c>
      <c r="K22" s="87">
        <v>2.0152169617762392</v>
      </c>
      <c r="L22" s="87">
        <v>2.0356906397100039</v>
      </c>
      <c r="M22" s="87">
        <v>1.7738424434917652</v>
      </c>
      <c r="N22" s="87">
        <v>1.7443115603703356</v>
      </c>
      <c r="O22" s="87">
        <v>1.5861329273938716</v>
      </c>
      <c r="P22" s="87">
        <v>1.6903823006741587</v>
      </c>
      <c r="Q22" s="87">
        <v>1.3765528673976584</v>
      </c>
      <c r="R22" s="87">
        <v>1.3744141659096956</v>
      </c>
      <c r="S22" s="87">
        <v>1.5316245674475621</v>
      </c>
      <c r="T22" s="87">
        <v>1.4940232501331205</v>
      </c>
      <c r="U22" s="87">
        <v>1.5620086395473971</v>
      </c>
      <c r="V22" s="87">
        <v>2.0155768677489401</v>
      </c>
      <c r="W22" s="87">
        <v>2.0012826347129544</v>
      </c>
      <c r="DA22" s="171" t="s">
        <v>1041</v>
      </c>
    </row>
    <row r="23" spans="1:105" ht="11.45" customHeight="1" x14ac:dyDescent="0.25">
      <c r="A23" s="85" t="s">
        <v>93</v>
      </c>
      <c r="B23" s="88">
        <v>36.140710658209535</v>
      </c>
      <c r="C23" s="88">
        <v>35.195487732674081</v>
      </c>
      <c r="D23" s="88">
        <v>35.445823247829289</v>
      </c>
      <c r="E23" s="88">
        <v>34.727643442762442</v>
      </c>
      <c r="F23" s="88">
        <v>38.569281005563582</v>
      </c>
      <c r="G23" s="88">
        <v>37.789150353576076</v>
      </c>
      <c r="H23" s="88">
        <v>39.476364137805447</v>
      </c>
      <c r="I23" s="88">
        <v>41.034113558236534</v>
      </c>
      <c r="J23" s="88">
        <v>42.666463866084079</v>
      </c>
      <c r="K23" s="88">
        <v>36.010613136518288</v>
      </c>
      <c r="L23" s="88">
        <v>39.16262367851909</v>
      </c>
      <c r="M23" s="88">
        <v>42.02317855599577</v>
      </c>
      <c r="N23" s="88">
        <v>38.809634925722705</v>
      </c>
      <c r="O23" s="88">
        <v>40.212883727150512</v>
      </c>
      <c r="P23" s="88">
        <v>39.236590812416622</v>
      </c>
      <c r="Q23" s="88">
        <v>40.501424746982103</v>
      </c>
      <c r="R23" s="88">
        <v>40.370897703984106</v>
      </c>
      <c r="S23" s="88">
        <v>41.449416801205757</v>
      </c>
      <c r="T23" s="88">
        <v>42.529586728312069</v>
      </c>
      <c r="U23" s="88">
        <v>43.964716239219264</v>
      </c>
      <c r="V23" s="88">
        <v>51.610269640874201</v>
      </c>
      <c r="W23" s="88">
        <v>49.110647123518142</v>
      </c>
      <c r="DA23" s="178" t="s">
        <v>1042</v>
      </c>
    </row>
    <row r="24" spans="1:105" x14ac:dyDescent="0.25">
      <c r="A24" s="106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14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DA24" s="171"/>
    </row>
    <row r="25" spans="1:105" ht="11.45" customHeight="1" x14ac:dyDescent="0.25">
      <c r="A25" s="53" t="s">
        <v>97</v>
      </c>
      <c r="B25" s="62">
        <f t="shared" ref="B25" si="21">B26+B32</f>
        <v>1482.0811650000001</v>
      </c>
      <c r="C25" s="62">
        <f t="shared" ref="C25:V25" si="22">C26+C32</f>
        <v>1447.5915730000002</v>
      </c>
      <c r="D25" s="62">
        <f t="shared" si="22"/>
        <v>1443.504958</v>
      </c>
      <c r="E25" s="62">
        <f t="shared" si="22"/>
        <v>1452.9593150000001</v>
      </c>
      <c r="F25" s="62">
        <f t="shared" si="22"/>
        <v>1473.1261299999999</v>
      </c>
      <c r="G25" s="62">
        <f t="shared" si="22"/>
        <v>1458.6296520000001</v>
      </c>
      <c r="H25" s="62">
        <f t="shared" si="22"/>
        <v>1507.2722140000001</v>
      </c>
      <c r="I25" s="62">
        <f t="shared" si="22"/>
        <v>1538.7499079999998</v>
      </c>
      <c r="J25" s="62">
        <f t="shared" si="22"/>
        <v>1598.1718760000001</v>
      </c>
      <c r="K25" s="62">
        <f t="shared" si="22"/>
        <v>1638.3202769999998</v>
      </c>
      <c r="L25" s="62">
        <f t="shared" si="22"/>
        <v>1659.2520959999999</v>
      </c>
      <c r="M25" s="62">
        <f t="shared" si="22"/>
        <v>1628.3079169999999</v>
      </c>
      <c r="N25" s="62">
        <f t="shared" si="22"/>
        <v>1614.3338720000002</v>
      </c>
      <c r="O25" s="62">
        <f t="shared" si="22"/>
        <v>1721.710785</v>
      </c>
      <c r="P25" s="62">
        <f t="shared" si="22"/>
        <v>1750.8843590000001</v>
      </c>
      <c r="Q25" s="62">
        <f t="shared" si="22"/>
        <v>1802.5510610000001</v>
      </c>
      <c r="R25" s="62">
        <f t="shared" si="22"/>
        <v>1877.8024990000001</v>
      </c>
      <c r="S25" s="62">
        <f t="shared" si="22"/>
        <v>1957.7953299999999</v>
      </c>
      <c r="T25" s="62">
        <f t="shared" si="22"/>
        <v>1936.250757</v>
      </c>
      <c r="U25" s="62">
        <f t="shared" si="22"/>
        <v>1988.3097</v>
      </c>
      <c r="V25" s="62">
        <f t="shared" si="22"/>
        <v>1973.386645</v>
      </c>
      <c r="W25" s="62">
        <f t="shared" ref="W25" si="23">W26+W32</f>
        <v>1906.3460250000001</v>
      </c>
      <c r="DA25" s="172" t="s">
        <v>1043</v>
      </c>
    </row>
    <row r="26" spans="1:105" ht="11.45" customHeight="1" x14ac:dyDescent="0.25">
      <c r="A26" s="27" t="s">
        <v>33</v>
      </c>
      <c r="B26" s="29">
        <f t="shared" ref="B26" si="24">SUM(B27,B28,B31)</f>
        <v>1290.8249499999999</v>
      </c>
      <c r="C26" s="29">
        <f t="shared" ref="C26:V26" si="25">SUM(C27,C28,C31)</f>
        <v>1260.4454000000001</v>
      </c>
      <c r="D26" s="29">
        <f t="shared" si="25"/>
        <v>1253.7332200000001</v>
      </c>
      <c r="E26" s="29">
        <f t="shared" si="25"/>
        <v>1266.112253</v>
      </c>
      <c r="F26" s="29">
        <f t="shared" si="25"/>
        <v>1265.3299529999999</v>
      </c>
      <c r="G26" s="29">
        <f t="shared" si="25"/>
        <v>1253.7962930000001</v>
      </c>
      <c r="H26" s="29">
        <f t="shared" si="25"/>
        <v>1291.518022</v>
      </c>
      <c r="I26" s="29">
        <f t="shared" si="25"/>
        <v>1314.1540479999999</v>
      </c>
      <c r="J26" s="29">
        <f t="shared" si="25"/>
        <v>1366.4695300000001</v>
      </c>
      <c r="K26" s="29">
        <f t="shared" si="25"/>
        <v>1425.7435519999999</v>
      </c>
      <c r="L26" s="29">
        <f t="shared" si="25"/>
        <v>1447.1794829999999</v>
      </c>
      <c r="M26" s="29">
        <f t="shared" si="25"/>
        <v>1402.9877959999999</v>
      </c>
      <c r="N26" s="29">
        <f t="shared" si="25"/>
        <v>1406.136735</v>
      </c>
      <c r="O26" s="29">
        <f t="shared" si="25"/>
        <v>1507.55267</v>
      </c>
      <c r="P26" s="29">
        <f t="shared" si="25"/>
        <v>1542.6629740000001</v>
      </c>
      <c r="Q26" s="29">
        <f t="shared" si="25"/>
        <v>1589.0607730000002</v>
      </c>
      <c r="R26" s="29">
        <f t="shared" si="25"/>
        <v>1666.0201120000002</v>
      </c>
      <c r="S26" s="29">
        <f t="shared" si="25"/>
        <v>1741.6756129999999</v>
      </c>
      <c r="T26" s="29">
        <f t="shared" si="25"/>
        <v>1715.785457</v>
      </c>
      <c r="U26" s="29">
        <f t="shared" si="25"/>
        <v>1760.676074</v>
      </c>
      <c r="V26" s="29">
        <f t="shared" si="25"/>
        <v>1705.257411</v>
      </c>
      <c r="W26" s="29">
        <f t="shared" ref="W26" si="26">SUM(W27,W28,W31)</f>
        <v>1650.7863750000001</v>
      </c>
      <c r="DA26" s="173" t="s">
        <v>1044</v>
      </c>
    </row>
    <row r="27" spans="1:105" ht="11.45" customHeight="1" x14ac:dyDescent="0.25">
      <c r="A27" s="107" t="s">
        <v>23</v>
      </c>
      <c r="B27" s="115">
        <v>742.84800499999994</v>
      </c>
      <c r="C27" s="115">
        <v>754.69014800000002</v>
      </c>
      <c r="D27" s="115">
        <v>766.55525399999999</v>
      </c>
      <c r="E27" s="115">
        <v>778.44335799999999</v>
      </c>
      <c r="F27" s="115">
        <v>790.35449400000005</v>
      </c>
      <c r="G27" s="115">
        <v>794.41979200000003</v>
      </c>
      <c r="H27" s="115">
        <v>813.31805599999996</v>
      </c>
      <c r="I27" s="115">
        <v>821.910618</v>
      </c>
      <c r="J27" s="115">
        <v>814.74179200000003</v>
      </c>
      <c r="K27" s="115">
        <v>836.84293100000002</v>
      </c>
      <c r="L27" s="115">
        <v>843.24338999999998</v>
      </c>
      <c r="M27" s="115">
        <v>845.33052599999996</v>
      </c>
      <c r="N27" s="115">
        <v>845.14351099999999</v>
      </c>
      <c r="O27" s="115">
        <v>845.57304399999998</v>
      </c>
      <c r="P27" s="115">
        <v>828.81004800000005</v>
      </c>
      <c r="Q27" s="115">
        <v>849.65016300000002</v>
      </c>
      <c r="R27" s="115">
        <v>844.47563200000002</v>
      </c>
      <c r="S27" s="115">
        <v>848.71764099999996</v>
      </c>
      <c r="T27" s="115">
        <v>836.95005000000003</v>
      </c>
      <c r="U27" s="115">
        <v>868.47556499999996</v>
      </c>
      <c r="V27" s="115">
        <v>867.85459600000002</v>
      </c>
      <c r="W27" s="115">
        <v>868.18125399999997</v>
      </c>
      <c r="DA27" s="203" t="s">
        <v>1045</v>
      </c>
    </row>
    <row r="28" spans="1:105" ht="11.45" customHeight="1" x14ac:dyDescent="0.25">
      <c r="A28" s="109" t="s">
        <v>24</v>
      </c>
      <c r="B28" s="116">
        <f t="shared" ref="B28" si="27">SUM(B29:B30)</f>
        <v>547.976945</v>
      </c>
      <c r="C28" s="116">
        <f t="shared" ref="C28:V28" si="28">SUM(C29:C30)</f>
        <v>505.75525200000004</v>
      </c>
      <c r="D28" s="116">
        <f t="shared" si="28"/>
        <v>487.17796599999997</v>
      </c>
      <c r="E28" s="116">
        <f t="shared" si="28"/>
        <v>487.66889499999996</v>
      </c>
      <c r="F28" s="116">
        <f t="shared" si="28"/>
        <v>474.975459</v>
      </c>
      <c r="G28" s="116">
        <f t="shared" si="28"/>
        <v>459.37650100000002</v>
      </c>
      <c r="H28" s="116">
        <f t="shared" si="28"/>
        <v>478.19996599999996</v>
      </c>
      <c r="I28" s="116">
        <f t="shared" si="28"/>
        <v>492.24342999999999</v>
      </c>
      <c r="J28" s="116">
        <f t="shared" si="28"/>
        <v>551.72773800000004</v>
      </c>
      <c r="K28" s="116">
        <f t="shared" si="28"/>
        <v>588.900621</v>
      </c>
      <c r="L28" s="116">
        <f t="shared" si="28"/>
        <v>603.93609300000003</v>
      </c>
      <c r="M28" s="116">
        <f t="shared" si="28"/>
        <v>557.65727000000004</v>
      </c>
      <c r="N28" s="116">
        <f t="shared" si="28"/>
        <v>560.99322399999994</v>
      </c>
      <c r="O28" s="116">
        <f t="shared" si="28"/>
        <v>661.97962600000005</v>
      </c>
      <c r="P28" s="116">
        <f t="shared" si="28"/>
        <v>713.85292600000002</v>
      </c>
      <c r="Q28" s="116">
        <f t="shared" si="28"/>
        <v>739.41061000000002</v>
      </c>
      <c r="R28" s="116">
        <f t="shared" si="28"/>
        <v>821.54448000000002</v>
      </c>
      <c r="S28" s="116">
        <f t="shared" si="28"/>
        <v>892.95797199999993</v>
      </c>
      <c r="T28" s="116">
        <f t="shared" si="28"/>
        <v>878.83540700000003</v>
      </c>
      <c r="U28" s="116">
        <f t="shared" si="28"/>
        <v>892.20050900000001</v>
      </c>
      <c r="V28" s="116">
        <f t="shared" si="28"/>
        <v>837.40281499999992</v>
      </c>
      <c r="W28" s="116">
        <f t="shared" ref="W28" si="29">SUM(W29:W30)</f>
        <v>782.60512100000005</v>
      </c>
      <c r="DA28" s="176" t="s">
        <v>1046</v>
      </c>
    </row>
    <row r="29" spans="1:105" ht="11.45" customHeight="1" x14ac:dyDescent="0.25">
      <c r="A29" s="111" t="s">
        <v>92</v>
      </c>
      <c r="B29" s="87">
        <v>83.060002999999995</v>
      </c>
      <c r="C29" s="87">
        <v>87.330004000000002</v>
      </c>
      <c r="D29" s="87">
        <v>93.524611999999991</v>
      </c>
      <c r="E29" s="87">
        <v>99.814781999999994</v>
      </c>
      <c r="F29" s="87">
        <v>100.34851</v>
      </c>
      <c r="G29" s="87">
        <v>112.462237</v>
      </c>
      <c r="H29" s="87">
        <v>117.07369899999999</v>
      </c>
      <c r="I29" s="87">
        <v>120.64618</v>
      </c>
      <c r="J29" s="87">
        <v>144.967713</v>
      </c>
      <c r="K29" s="87">
        <v>150.514836</v>
      </c>
      <c r="L29" s="87">
        <v>142.20883599999999</v>
      </c>
      <c r="M29" s="87">
        <v>133.90283600000001</v>
      </c>
      <c r="N29" s="87">
        <v>133.89144899999999</v>
      </c>
      <c r="O29" s="87">
        <v>125.585449</v>
      </c>
      <c r="P29" s="87">
        <v>130.772075</v>
      </c>
      <c r="Q29" s="87">
        <v>122.466075</v>
      </c>
      <c r="R29" s="87">
        <v>114.16007499999999</v>
      </c>
      <c r="S29" s="87">
        <v>115.979573</v>
      </c>
      <c r="T29" s="87">
        <v>111.419667</v>
      </c>
      <c r="U29" s="87">
        <v>119.29908499999999</v>
      </c>
      <c r="V29" s="87">
        <v>110.99308499999999</v>
      </c>
      <c r="W29" s="87">
        <v>102.687085</v>
      </c>
      <c r="DA29" s="171" t="s">
        <v>1047</v>
      </c>
    </row>
    <row r="30" spans="1:105" ht="11.45" customHeight="1" x14ac:dyDescent="0.25">
      <c r="A30" s="111" t="s">
        <v>93</v>
      </c>
      <c r="B30" s="87">
        <v>464.91694200000001</v>
      </c>
      <c r="C30" s="87">
        <v>418.42524800000001</v>
      </c>
      <c r="D30" s="87">
        <v>393.65335399999998</v>
      </c>
      <c r="E30" s="87">
        <v>387.85411299999998</v>
      </c>
      <c r="F30" s="87">
        <v>374.62694900000002</v>
      </c>
      <c r="G30" s="87">
        <v>346.914264</v>
      </c>
      <c r="H30" s="87">
        <v>361.12626699999998</v>
      </c>
      <c r="I30" s="87">
        <v>371.59724999999997</v>
      </c>
      <c r="J30" s="87">
        <v>406.76002499999998</v>
      </c>
      <c r="K30" s="87">
        <v>438.385785</v>
      </c>
      <c r="L30" s="87">
        <v>461.72725700000001</v>
      </c>
      <c r="M30" s="87">
        <v>423.754434</v>
      </c>
      <c r="N30" s="87">
        <v>427.10177499999998</v>
      </c>
      <c r="O30" s="87">
        <v>536.39417700000001</v>
      </c>
      <c r="P30" s="87">
        <v>583.08085100000005</v>
      </c>
      <c r="Q30" s="87">
        <v>616.94453499999997</v>
      </c>
      <c r="R30" s="87">
        <v>707.38440500000002</v>
      </c>
      <c r="S30" s="87">
        <v>776.97839899999997</v>
      </c>
      <c r="T30" s="87">
        <v>767.41574000000003</v>
      </c>
      <c r="U30" s="87">
        <v>772.90142400000002</v>
      </c>
      <c r="V30" s="87">
        <v>726.40972999999997</v>
      </c>
      <c r="W30" s="87">
        <v>679.91803600000003</v>
      </c>
      <c r="DA30" s="171" t="s">
        <v>1048</v>
      </c>
    </row>
    <row r="31" spans="1:105" ht="11.45" customHeight="1" x14ac:dyDescent="0.25">
      <c r="A31" s="112" t="s">
        <v>25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  <c r="O31" s="117">
        <v>0</v>
      </c>
      <c r="P31" s="117">
        <v>0</v>
      </c>
      <c r="Q31" s="117">
        <v>0</v>
      </c>
      <c r="R31" s="117">
        <v>0</v>
      </c>
      <c r="S31" s="117">
        <v>0</v>
      </c>
      <c r="T31" s="117">
        <v>0</v>
      </c>
      <c r="U31" s="117">
        <v>0</v>
      </c>
      <c r="V31" s="117">
        <v>0</v>
      </c>
      <c r="W31" s="117">
        <v>0</v>
      </c>
      <c r="DA31" s="204" t="s">
        <v>1049</v>
      </c>
    </row>
    <row r="32" spans="1:105" ht="11.45" customHeight="1" x14ac:dyDescent="0.25">
      <c r="A32" s="27" t="s">
        <v>34</v>
      </c>
      <c r="B32" s="29">
        <f t="shared" ref="B32" si="30">SUM(B33:B34)</f>
        <v>191.256215</v>
      </c>
      <c r="C32" s="29">
        <f t="shared" ref="C32:V32" si="31">SUM(C33:C34)</f>
        <v>187.146173</v>
      </c>
      <c r="D32" s="29">
        <f t="shared" si="31"/>
        <v>189.771738</v>
      </c>
      <c r="E32" s="29">
        <f t="shared" si="31"/>
        <v>186.84706199999999</v>
      </c>
      <c r="F32" s="29">
        <f t="shared" si="31"/>
        <v>207.796177</v>
      </c>
      <c r="G32" s="29">
        <f t="shared" si="31"/>
        <v>204.833359</v>
      </c>
      <c r="H32" s="29">
        <f t="shared" si="31"/>
        <v>215.75419199999999</v>
      </c>
      <c r="I32" s="29">
        <f t="shared" si="31"/>
        <v>224.59586000000002</v>
      </c>
      <c r="J32" s="29">
        <f t="shared" si="31"/>
        <v>231.70234600000001</v>
      </c>
      <c r="K32" s="29">
        <f t="shared" si="31"/>
        <v>212.57672500000001</v>
      </c>
      <c r="L32" s="29">
        <f t="shared" si="31"/>
        <v>212.07261299999999</v>
      </c>
      <c r="M32" s="29">
        <f t="shared" si="31"/>
        <v>225.320121</v>
      </c>
      <c r="N32" s="29">
        <f t="shared" si="31"/>
        <v>208.197137</v>
      </c>
      <c r="O32" s="29">
        <f t="shared" si="31"/>
        <v>214.15811499999998</v>
      </c>
      <c r="P32" s="29">
        <f t="shared" si="31"/>
        <v>208.221385</v>
      </c>
      <c r="Q32" s="29">
        <f t="shared" si="31"/>
        <v>213.49028799999999</v>
      </c>
      <c r="R32" s="29">
        <f t="shared" si="31"/>
        <v>211.782387</v>
      </c>
      <c r="S32" s="29">
        <f t="shared" si="31"/>
        <v>216.11971700000001</v>
      </c>
      <c r="T32" s="29">
        <f t="shared" si="31"/>
        <v>220.46529999999998</v>
      </c>
      <c r="U32" s="29">
        <f t="shared" si="31"/>
        <v>227.63362599999999</v>
      </c>
      <c r="V32" s="29">
        <f t="shared" si="31"/>
        <v>268.129234</v>
      </c>
      <c r="W32" s="29">
        <f t="shared" ref="W32" si="32">SUM(W33:W34)</f>
        <v>255.55965</v>
      </c>
      <c r="DA32" s="173" t="s">
        <v>1050</v>
      </c>
    </row>
    <row r="33" spans="1:105" ht="11.45" customHeight="1" x14ac:dyDescent="0.25">
      <c r="A33" s="83" t="s">
        <v>92</v>
      </c>
      <c r="B33" s="87">
        <v>10.552660999999999</v>
      </c>
      <c r="C33" s="87">
        <v>11.168733999999999</v>
      </c>
      <c r="D33" s="87">
        <v>12.542620999999999</v>
      </c>
      <c r="E33" s="87">
        <v>13.208843999999999</v>
      </c>
      <c r="F33" s="87">
        <v>14.949770999999998</v>
      </c>
      <c r="G33" s="87">
        <v>15.887606999999999</v>
      </c>
      <c r="H33" s="87">
        <v>18.372371000000001</v>
      </c>
      <c r="I33" s="87">
        <v>19.425292000000002</v>
      </c>
      <c r="J33" s="87">
        <v>18.370025999999999</v>
      </c>
      <c r="K33" s="87">
        <v>17.31476</v>
      </c>
      <c r="L33" s="87">
        <v>16.259494</v>
      </c>
      <c r="M33" s="87">
        <v>15.204227999999999</v>
      </c>
      <c r="N33" s="87">
        <v>14.148961999999999</v>
      </c>
      <c r="O33" s="87">
        <v>13.093696</v>
      </c>
      <c r="P33" s="87">
        <v>12.03843</v>
      </c>
      <c r="Q33" s="87">
        <v>10.983163999999999</v>
      </c>
      <c r="R33" s="87">
        <v>9.927897999999999</v>
      </c>
      <c r="S33" s="87">
        <v>8.8726319999999994</v>
      </c>
      <c r="T33" s="87">
        <v>7.8173659999999998</v>
      </c>
      <c r="U33" s="87">
        <v>7.8100440000000004</v>
      </c>
      <c r="V33" s="87">
        <v>10.077884999999998</v>
      </c>
      <c r="W33" s="87">
        <v>10.006413999999999</v>
      </c>
      <c r="DA33" s="171" t="s">
        <v>1051</v>
      </c>
    </row>
    <row r="34" spans="1:105" ht="11.45" customHeight="1" x14ac:dyDescent="0.25">
      <c r="A34" s="85" t="s">
        <v>93</v>
      </c>
      <c r="B34" s="88">
        <v>180.703554</v>
      </c>
      <c r="C34" s="88">
        <v>175.977439</v>
      </c>
      <c r="D34" s="88">
        <v>177.229117</v>
      </c>
      <c r="E34" s="88">
        <v>173.63821799999999</v>
      </c>
      <c r="F34" s="88">
        <v>192.846406</v>
      </c>
      <c r="G34" s="88">
        <v>188.945752</v>
      </c>
      <c r="H34" s="88">
        <v>197.381821</v>
      </c>
      <c r="I34" s="88">
        <v>205.170568</v>
      </c>
      <c r="J34" s="88">
        <v>213.33232000000001</v>
      </c>
      <c r="K34" s="88">
        <v>195.261965</v>
      </c>
      <c r="L34" s="88">
        <v>195.813119</v>
      </c>
      <c r="M34" s="88">
        <v>210.115893</v>
      </c>
      <c r="N34" s="88">
        <v>194.04817499999999</v>
      </c>
      <c r="O34" s="88">
        <v>201.06441899999999</v>
      </c>
      <c r="P34" s="88">
        <v>196.18295499999999</v>
      </c>
      <c r="Q34" s="88">
        <v>202.507124</v>
      </c>
      <c r="R34" s="88">
        <v>201.854489</v>
      </c>
      <c r="S34" s="88">
        <v>207.247085</v>
      </c>
      <c r="T34" s="88">
        <v>212.64793399999999</v>
      </c>
      <c r="U34" s="88">
        <v>219.82358199999999</v>
      </c>
      <c r="V34" s="88">
        <v>258.05134900000002</v>
      </c>
      <c r="W34" s="88">
        <v>245.553236</v>
      </c>
      <c r="DA34" s="178" t="s">
        <v>1052</v>
      </c>
    </row>
    <row r="35" spans="1:105" x14ac:dyDescent="0.25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14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DA35" s="171"/>
    </row>
    <row r="36" spans="1:105" ht="11.45" customHeight="1" x14ac:dyDescent="0.25">
      <c r="A36" s="53" t="s">
        <v>98</v>
      </c>
      <c r="B36" s="54"/>
      <c r="C36" s="54">
        <f t="shared" ref="C36" si="33">C37+C43</f>
        <v>46.382107000000097</v>
      </c>
      <c r="D36" s="54">
        <f t="shared" ref="D36:V36" si="34">D37+D43</f>
        <v>55.065283999999956</v>
      </c>
      <c r="E36" s="54">
        <f t="shared" si="34"/>
        <v>55.789370000000019</v>
      </c>
      <c r="F36" s="54">
        <f t="shared" si="34"/>
        <v>67.77398400000007</v>
      </c>
      <c r="G36" s="54">
        <f t="shared" si="34"/>
        <v>47.59621199999998</v>
      </c>
      <c r="H36" s="54">
        <f t="shared" si="34"/>
        <v>94.977574999999931</v>
      </c>
      <c r="I36" s="54">
        <f t="shared" si="34"/>
        <v>77.812707000000074</v>
      </c>
      <c r="J36" s="54">
        <f t="shared" si="34"/>
        <v>106.36549700000008</v>
      </c>
      <c r="K36" s="54">
        <f t="shared" si="34"/>
        <v>99.296370000000024</v>
      </c>
      <c r="L36" s="54">
        <f t="shared" si="34"/>
        <v>73.270346999999987</v>
      </c>
      <c r="M36" s="54">
        <f t="shared" si="34"/>
        <v>47.41216399999999</v>
      </c>
      <c r="N36" s="54">
        <f t="shared" si="34"/>
        <v>43.171287000000007</v>
      </c>
      <c r="O36" s="54">
        <f t="shared" si="34"/>
        <v>159.71544100000006</v>
      </c>
      <c r="P36" s="54">
        <f t="shared" si="34"/>
        <v>76.117103000000142</v>
      </c>
      <c r="Q36" s="54">
        <f t="shared" si="34"/>
        <v>104.00522999999993</v>
      </c>
      <c r="R36" s="54">
        <f t="shared" si="34"/>
        <v>127.58996600000006</v>
      </c>
      <c r="S36" s="54">
        <f t="shared" si="34"/>
        <v>126.93635999999992</v>
      </c>
      <c r="T36" s="54">
        <f t="shared" si="34"/>
        <v>27.047861000000154</v>
      </c>
      <c r="U36" s="54">
        <f t="shared" si="34"/>
        <v>98.393955999999932</v>
      </c>
      <c r="V36" s="54">
        <f t="shared" si="34"/>
        <v>71.343643000000057</v>
      </c>
      <c r="W36" s="54">
        <f t="shared" ref="W36" si="35">W37+W43</f>
        <v>25.858275999999954</v>
      </c>
      <c r="DA36" s="172" t="s">
        <v>1053</v>
      </c>
    </row>
    <row r="37" spans="1:105" ht="11.45" customHeight="1" x14ac:dyDescent="0.25">
      <c r="A37" s="27" t="s">
        <v>33</v>
      </c>
      <c r="B37" s="28"/>
      <c r="C37" s="28">
        <f t="shared" ref="C37" si="36">SUM(C38,C39,C42)</f>
        <v>44.179484000000087</v>
      </c>
      <c r="D37" s="28">
        <f t="shared" ref="D37:V37" si="37">SUM(D38,D39,D42)</f>
        <v>46.127053999999958</v>
      </c>
      <c r="E37" s="28">
        <f t="shared" si="37"/>
        <v>52.401381000000029</v>
      </c>
      <c r="F37" s="28">
        <f t="shared" si="37"/>
        <v>40.512204000000068</v>
      </c>
      <c r="G37" s="28">
        <f t="shared" si="37"/>
        <v>44.246364999999983</v>
      </c>
      <c r="H37" s="28">
        <f t="shared" si="37"/>
        <v>77.744076999999919</v>
      </c>
      <c r="I37" s="28">
        <f t="shared" si="37"/>
        <v>62.658374000000066</v>
      </c>
      <c r="J37" s="28">
        <f t="shared" si="37"/>
        <v>92.337830000000068</v>
      </c>
      <c r="K37" s="28">
        <f t="shared" si="37"/>
        <v>99.296370000000024</v>
      </c>
      <c r="L37" s="28">
        <f t="shared" si="37"/>
        <v>66.853277999999989</v>
      </c>
      <c r="M37" s="28">
        <f t="shared" si="37"/>
        <v>27.243474999999989</v>
      </c>
      <c r="N37" s="28">
        <f t="shared" si="37"/>
        <v>43.171287000000007</v>
      </c>
      <c r="O37" s="28">
        <f t="shared" si="37"/>
        <v>146.83328200000005</v>
      </c>
      <c r="P37" s="28">
        <f t="shared" si="37"/>
        <v>75.132652000000135</v>
      </c>
      <c r="Q37" s="28">
        <f t="shared" si="37"/>
        <v>91.815145999999913</v>
      </c>
      <c r="R37" s="28">
        <f t="shared" si="37"/>
        <v>122.37668600000006</v>
      </c>
      <c r="S37" s="28">
        <f t="shared" si="37"/>
        <v>115.67784899999992</v>
      </c>
      <c r="T37" s="28">
        <f t="shared" si="37"/>
        <v>15.781097000000159</v>
      </c>
      <c r="U37" s="28">
        <f t="shared" si="37"/>
        <v>84.912964999999929</v>
      </c>
      <c r="V37" s="28">
        <f t="shared" si="37"/>
        <v>24.535370000000057</v>
      </c>
      <c r="W37" s="28">
        <f t="shared" ref="W37" si="38">SUM(W38,W39,W42)</f>
        <v>25.482996999999955</v>
      </c>
      <c r="DA37" s="173" t="s">
        <v>1054</v>
      </c>
    </row>
    <row r="38" spans="1:105" ht="11.45" customHeight="1" x14ac:dyDescent="0.25">
      <c r="A38" s="107" t="s">
        <v>23</v>
      </c>
      <c r="B38" s="108"/>
      <c r="C38" s="108">
        <v>36.998482000000081</v>
      </c>
      <c r="D38" s="108">
        <v>37.021444999999972</v>
      </c>
      <c r="E38" s="108">
        <v>37.044443000000001</v>
      </c>
      <c r="F38" s="108">
        <v>37.067475000000059</v>
      </c>
      <c r="G38" s="108">
        <v>29.221636999999987</v>
      </c>
      <c r="H38" s="108">
        <v>44.054602999999929</v>
      </c>
      <c r="I38" s="108">
        <v>33.748901000000046</v>
      </c>
      <c r="J38" s="108">
        <v>17.987513000000035</v>
      </c>
      <c r="K38" s="108">
        <v>47.257477999999992</v>
      </c>
      <c r="L38" s="108">
        <v>31.556797999999958</v>
      </c>
      <c r="M38" s="108">
        <v>27.243474999999989</v>
      </c>
      <c r="N38" s="108">
        <v>24.969324000000029</v>
      </c>
      <c r="O38" s="108">
        <v>25.585871999999995</v>
      </c>
      <c r="P38" s="108">
        <v>8.3933430000000726</v>
      </c>
      <c r="Q38" s="108">
        <v>45.996453999999972</v>
      </c>
      <c r="R38" s="108">
        <v>19.981808000000001</v>
      </c>
      <c r="S38" s="108">
        <v>29.398347999999942</v>
      </c>
      <c r="T38" s="108">
        <v>13.388748000000078</v>
      </c>
      <c r="U38" s="108">
        <v>56.68185399999993</v>
      </c>
      <c r="V38" s="108">
        <v>24.535370000000057</v>
      </c>
      <c r="W38" s="108">
        <v>25.482996999999955</v>
      </c>
      <c r="DA38" s="203" t="s">
        <v>1055</v>
      </c>
    </row>
    <row r="39" spans="1:105" ht="11.45" customHeight="1" x14ac:dyDescent="0.25">
      <c r="A39" s="109" t="s">
        <v>24</v>
      </c>
      <c r="B39" s="110"/>
      <c r="C39" s="110">
        <f t="shared" ref="C39" si="39">SUM(C40:C41)</f>
        <v>7.1810020000000065</v>
      </c>
      <c r="D39" s="110">
        <f t="shared" ref="D39:V39" si="40">SUM(D40:D41)</f>
        <v>9.105608999999987</v>
      </c>
      <c r="E39" s="110">
        <f t="shared" si="40"/>
        <v>15.356938000000028</v>
      </c>
      <c r="F39" s="110">
        <f t="shared" si="40"/>
        <v>3.4447290000000095</v>
      </c>
      <c r="G39" s="110">
        <f t="shared" si="40"/>
        <v>15.024727999999996</v>
      </c>
      <c r="H39" s="110">
        <f t="shared" si="40"/>
        <v>33.68947399999999</v>
      </c>
      <c r="I39" s="110">
        <f t="shared" si="40"/>
        <v>28.90947300000002</v>
      </c>
      <c r="J39" s="110">
        <f t="shared" si="40"/>
        <v>74.350317000000032</v>
      </c>
      <c r="K39" s="110">
        <f t="shared" si="40"/>
        <v>52.038892000000033</v>
      </c>
      <c r="L39" s="110">
        <f t="shared" si="40"/>
        <v>35.296480000000031</v>
      </c>
      <c r="M39" s="110">
        <f t="shared" si="40"/>
        <v>0</v>
      </c>
      <c r="N39" s="110">
        <f t="shared" si="40"/>
        <v>18.201962999999978</v>
      </c>
      <c r="O39" s="110">
        <f t="shared" si="40"/>
        <v>121.24741000000006</v>
      </c>
      <c r="P39" s="110">
        <f t="shared" si="40"/>
        <v>66.739309000000063</v>
      </c>
      <c r="Q39" s="110">
        <f t="shared" si="40"/>
        <v>45.818691999999942</v>
      </c>
      <c r="R39" s="110">
        <f t="shared" si="40"/>
        <v>102.39487800000006</v>
      </c>
      <c r="S39" s="110">
        <f t="shared" si="40"/>
        <v>86.279500999999982</v>
      </c>
      <c r="T39" s="110">
        <f t="shared" si="40"/>
        <v>2.3923490000000811</v>
      </c>
      <c r="U39" s="110">
        <f t="shared" si="40"/>
        <v>28.231110999999999</v>
      </c>
      <c r="V39" s="110">
        <f t="shared" si="40"/>
        <v>0</v>
      </c>
      <c r="W39" s="110">
        <f t="shared" ref="W39" si="41">SUM(W40:W41)</f>
        <v>0</v>
      </c>
      <c r="DA39" s="176" t="s">
        <v>1056</v>
      </c>
    </row>
    <row r="40" spans="1:105" ht="11.45" customHeight="1" x14ac:dyDescent="0.25">
      <c r="A40" s="111" t="s">
        <v>92</v>
      </c>
      <c r="B40" s="84"/>
      <c r="C40" s="84">
        <v>7.1810020000000065</v>
      </c>
      <c r="D40" s="84">
        <v>9.105608999999987</v>
      </c>
      <c r="E40" s="84">
        <v>9.2011710000000022</v>
      </c>
      <c r="F40" s="84">
        <v>3.4447290000000095</v>
      </c>
      <c r="G40" s="84">
        <v>15.024727999999996</v>
      </c>
      <c r="H40" s="84">
        <v>7.5224629999999877</v>
      </c>
      <c r="I40" s="84">
        <v>6.4834820000000093</v>
      </c>
      <c r="J40" s="84">
        <v>27.232534000000001</v>
      </c>
      <c r="K40" s="84">
        <v>8.458123999999998</v>
      </c>
      <c r="L40" s="84">
        <v>0</v>
      </c>
      <c r="M40" s="84">
        <v>0</v>
      </c>
      <c r="N40" s="84">
        <v>2.8996139999999855</v>
      </c>
      <c r="O40" s="84">
        <v>0</v>
      </c>
      <c r="P40" s="84">
        <v>8.0976270000000028</v>
      </c>
      <c r="Q40" s="84">
        <v>0</v>
      </c>
      <c r="R40" s="84">
        <v>0</v>
      </c>
      <c r="S40" s="84">
        <v>4.7304990000000089</v>
      </c>
      <c r="T40" s="84">
        <v>0</v>
      </c>
      <c r="U40" s="84">
        <v>10.790418999999986</v>
      </c>
      <c r="V40" s="84">
        <v>0</v>
      </c>
      <c r="W40" s="84">
        <v>0</v>
      </c>
      <c r="DA40" s="171" t="s">
        <v>1057</v>
      </c>
    </row>
    <row r="41" spans="1:105" ht="11.45" customHeight="1" x14ac:dyDescent="0.25">
      <c r="A41" s="111" t="s">
        <v>93</v>
      </c>
      <c r="B41" s="84"/>
      <c r="C41" s="84">
        <v>0</v>
      </c>
      <c r="D41" s="84">
        <v>0</v>
      </c>
      <c r="E41" s="84">
        <v>6.1557670000000257</v>
      </c>
      <c r="F41" s="84">
        <v>0</v>
      </c>
      <c r="G41" s="84">
        <v>0</v>
      </c>
      <c r="H41" s="84">
        <v>26.167011000000002</v>
      </c>
      <c r="I41" s="84">
        <v>22.42599100000001</v>
      </c>
      <c r="J41" s="84">
        <v>47.117783000000031</v>
      </c>
      <c r="K41" s="84">
        <v>43.580768000000035</v>
      </c>
      <c r="L41" s="84">
        <v>35.296480000000031</v>
      </c>
      <c r="M41" s="84">
        <v>0</v>
      </c>
      <c r="N41" s="84">
        <v>15.302348999999992</v>
      </c>
      <c r="O41" s="84">
        <v>121.24741000000006</v>
      </c>
      <c r="P41" s="84">
        <v>58.64168200000006</v>
      </c>
      <c r="Q41" s="84">
        <v>45.818691999999942</v>
      </c>
      <c r="R41" s="84">
        <v>102.39487800000006</v>
      </c>
      <c r="S41" s="84">
        <v>81.549001999999973</v>
      </c>
      <c r="T41" s="84">
        <v>2.3923490000000811</v>
      </c>
      <c r="U41" s="84">
        <v>17.440692000000013</v>
      </c>
      <c r="V41" s="84">
        <v>0</v>
      </c>
      <c r="W41" s="84">
        <v>0</v>
      </c>
      <c r="DA41" s="171" t="s">
        <v>1058</v>
      </c>
    </row>
    <row r="42" spans="1:105" ht="11.45" customHeight="1" x14ac:dyDescent="0.25">
      <c r="A42" s="112" t="s">
        <v>25</v>
      </c>
      <c r="B42" s="113"/>
      <c r="C42" s="113">
        <v>0</v>
      </c>
      <c r="D42" s="113">
        <v>0</v>
      </c>
      <c r="E42" s="113">
        <v>0</v>
      </c>
      <c r="F42" s="113">
        <v>0</v>
      </c>
      <c r="G42" s="113">
        <v>0</v>
      </c>
      <c r="H42" s="113">
        <v>0</v>
      </c>
      <c r="I42" s="113">
        <v>0</v>
      </c>
      <c r="J42" s="113">
        <v>0</v>
      </c>
      <c r="K42" s="113">
        <v>0</v>
      </c>
      <c r="L42" s="113">
        <v>0</v>
      </c>
      <c r="M42" s="113">
        <v>0</v>
      </c>
      <c r="N42" s="113">
        <v>0</v>
      </c>
      <c r="O42" s="113">
        <v>0</v>
      </c>
      <c r="P42" s="113">
        <v>0</v>
      </c>
      <c r="Q42" s="113">
        <v>0</v>
      </c>
      <c r="R42" s="113">
        <v>0</v>
      </c>
      <c r="S42" s="113">
        <v>0</v>
      </c>
      <c r="T42" s="113">
        <v>0</v>
      </c>
      <c r="U42" s="113">
        <v>0</v>
      </c>
      <c r="V42" s="113">
        <v>0</v>
      </c>
      <c r="W42" s="113">
        <v>0</v>
      </c>
      <c r="DA42" s="204" t="s">
        <v>1059</v>
      </c>
    </row>
    <row r="43" spans="1:105" ht="11.45" customHeight="1" x14ac:dyDescent="0.25">
      <c r="A43" s="27" t="s">
        <v>34</v>
      </c>
      <c r="B43" s="28"/>
      <c r="C43" s="28">
        <f t="shared" ref="C43" si="42">SUM(C44:C45)</f>
        <v>2.202623000000008</v>
      </c>
      <c r="D43" s="28">
        <f t="shared" ref="D43:V43" si="43">SUM(D44:D45)</f>
        <v>8.938229999999999</v>
      </c>
      <c r="E43" s="28">
        <f t="shared" si="43"/>
        <v>3.3879889999999939</v>
      </c>
      <c r="F43" s="28">
        <f t="shared" si="43"/>
        <v>27.261780000000009</v>
      </c>
      <c r="G43" s="28">
        <f t="shared" si="43"/>
        <v>3.3498470000000005</v>
      </c>
      <c r="H43" s="28">
        <f t="shared" si="43"/>
        <v>17.233498000000008</v>
      </c>
      <c r="I43" s="28">
        <f t="shared" si="43"/>
        <v>15.154333000000005</v>
      </c>
      <c r="J43" s="28">
        <f t="shared" si="43"/>
        <v>14.027667000000008</v>
      </c>
      <c r="K43" s="28">
        <f t="shared" si="43"/>
        <v>0</v>
      </c>
      <c r="L43" s="28">
        <f t="shared" si="43"/>
        <v>6.4170689999999979</v>
      </c>
      <c r="M43" s="28">
        <f t="shared" si="43"/>
        <v>20.168689000000001</v>
      </c>
      <c r="N43" s="28">
        <f t="shared" si="43"/>
        <v>0</v>
      </c>
      <c r="O43" s="28">
        <f t="shared" si="43"/>
        <v>12.882159000000001</v>
      </c>
      <c r="P43" s="28">
        <f t="shared" si="43"/>
        <v>0.98445100000000707</v>
      </c>
      <c r="Q43" s="28">
        <f t="shared" si="43"/>
        <v>12.190084000000013</v>
      </c>
      <c r="R43" s="28">
        <f t="shared" si="43"/>
        <v>5.2132799999999975</v>
      </c>
      <c r="S43" s="28">
        <f t="shared" si="43"/>
        <v>11.258510999999999</v>
      </c>
      <c r="T43" s="28">
        <f t="shared" si="43"/>
        <v>11.266763999999995</v>
      </c>
      <c r="U43" s="28">
        <f t="shared" si="43"/>
        <v>13.480990999999998</v>
      </c>
      <c r="V43" s="28">
        <f t="shared" si="43"/>
        <v>46.808273</v>
      </c>
      <c r="W43" s="28">
        <f t="shared" ref="W43" si="44">SUM(W44:W45)</f>
        <v>0.37527900000000081</v>
      </c>
      <c r="DA43" s="173" t="s">
        <v>1060</v>
      </c>
    </row>
    <row r="44" spans="1:105" ht="11.45" customHeight="1" x14ac:dyDescent="0.25">
      <c r="A44" s="83" t="s">
        <v>92</v>
      </c>
      <c r="B44" s="84"/>
      <c r="C44" s="84">
        <v>1.0628229999999999</v>
      </c>
      <c r="D44" s="84">
        <v>1.8206369999999996</v>
      </c>
      <c r="E44" s="84">
        <v>1.1129730000000002</v>
      </c>
      <c r="F44" s="84">
        <v>2.187676999999999</v>
      </c>
      <c r="G44" s="84">
        <v>1.3845860000000023</v>
      </c>
      <c r="H44" s="84">
        <v>2.9315140000000035</v>
      </c>
      <c r="I44" s="84">
        <v>1.4996710000000029</v>
      </c>
      <c r="J44" s="84">
        <v>0</v>
      </c>
      <c r="K44" s="84">
        <v>0</v>
      </c>
      <c r="L44" s="84">
        <v>0</v>
      </c>
      <c r="M44" s="84">
        <v>0</v>
      </c>
      <c r="N44" s="84">
        <v>0</v>
      </c>
      <c r="O44" s="84">
        <v>0</v>
      </c>
      <c r="P44" s="84">
        <v>0</v>
      </c>
      <c r="Q44" s="84">
        <v>0</v>
      </c>
      <c r="R44" s="84">
        <v>0</v>
      </c>
      <c r="S44" s="84">
        <v>0</v>
      </c>
      <c r="T44" s="84">
        <v>0</v>
      </c>
      <c r="U44" s="84">
        <v>0.43942800000000126</v>
      </c>
      <c r="V44" s="84">
        <v>2.7145909999999978</v>
      </c>
      <c r="W44" s="84">
        <v>0.37527900000000081</v>
      </c>
      <c r="DA44" s="171" t="s">
        <v>1061</v>
      </c>
    </row>
    <row r="45" spans="1:105" ht="11.45" customHeight="1" x14ac:dyDescent="0.25">
      <c r="A45" s="85" t="s">
        <v>93</v>
      </c>
      <c r="B45" s="86"/>
      <c r="C45" s="86">
        <v>1.1398000000000081</v>
      </c>
      <c r="D45" s="86">
        <v>7.1175929999999994</v>
      </c>
      <c r="E45" s="86">
        <v>2.2750159999999937</v>
      </c>
      <c r="F45" s="86">
        <v>25.074103000000008</v>
      </c>
      <c r="G45" s="86">
        <v>1.9652609999999981</v>
      </c>
      <c r="H45" s="86">
        <v>14.301984000000004</v>
      </c>
      <c r="I45" s="86">
        <v>13.654662000000002</v>
      </c>
      <c r="J45" s="86">
        <v>14.027667000000008</v>
      </c>
      <c r="K45" s="86">
        <v>0</v>
      </c>
      <c r="L45" s="86">
        <v>6.4170689999999979</v>
      </c>
      <c r="M45" s="86">
        <v>20.168689000000001</v>
      </c>
      <c r="N45" s="86">
        <v>0</v>
      </c>
      <c r="O45" s="86">
        <v>12.882159000000001</v>
      </c>
      <c r="P45" s="86">
        <v>0.98445100000000707</v>
      </c>
      <c r="Q45" s="86">
        <v>12.190084000000013</v>
      </c>
      <c r="R45" s="86">
        <v>5.2132799999999975</v>
      </c>
      <c r="S45" s="86">
        <v>11.258510999999999</v>
      </c>
      <c r="T45" s="86">
        <v>11.266763999999995</v>
      </c>
      <c r="U45" s="86">
        <v>13.041562999999996</v>
      </c>
      <c r="V45" s="86">
        <v>44.093682000000001</v>
      </c>
      <c r="W45" s="86">
        <v>0</v>
      </c>
      <c r="DA45" s="178" t="s">
        <v>1062</v>
      </c>
    </row>
    <row r="46" spans="1:105" x14ac:dyDescent="0.25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DA46" s="171"/>
    </row>
    <row r="47" spans="1:105" ht="11.45" customHeight="1" x14ac:dyDescent="0.25">
      <c r="A47" s="68" t="s">
        <v>36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DA47" s="179"/>
    </row>
    <row r="48" spans="1:105" x14ac:dyDescent="0.2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DA48" s="208"/>
    </row>
    <row r="49" spans="1:105" ht="11.45" customHeight="1" x14ac:dyDescent="0.25">
      <c r="A49" s="53" t="s">
        <v>99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DA49" s="172"/>
    </row>
    <row r="50" spans="1:105" ht="11.45" customHeight="1" x14ac:dyDescent="0.25">
      <c r="A50" s="27" t="s">
        <v>100</v>
      </c>
      <c r="B50" s="29">
        <f t="shared" ref="B50:J50" si="45">IF(B4=0,0,B4/B15)</f>
        <v>89.68412533792312</v>
      </c>
      <c r="C50" s="29">
        <f t="shared" si="45"/>
        <v>93.665799330660008</v>
      </c>
      <c r="D50" s="29">
        <f t="shared" si="45"/>
        <v>95.048323328376213</v>
      </c>
      <c r="E50" s="29">
        <f t="shared" si="45"/>
        <v>93.961110447424502</v>
      </c>
      <c r="F50" s="29">
        <f t="shared" si="45"/>
        <v>92.394782751110057</v>
      </c>
      <c r="G50" s="29">
        <f t="shared" si="45"/>
        <v>96.75600762767138</v>
      </c>
      <c r="H50" s="29">
        <f t="shared" si="45"/>
        <v>95.785822313072984</v>
      </c>
      <c r="I50" s="29">
        <f t="shared" si="45"/>
        <v>96.174363864726914</v>
      </c>
      <c r="J50" s="29">
        <f t="shared" si="45"/>
        <v>99.144664962606711</v>
      </c>
      <c r="K50" s="29">
        <f t="shared" ref="K50:V50" si="46">IF(K4=0,0,K4/K15)</f>
        <v>94.275385902086782</v>
      </c>
      <c r="L50" s="29">
        <f t="shared" si="46"/>
        <v>93.72649462902352</v>
      </c>
      <c r="M50" s="29">
        <f t="shared" si="46"/>
        <v>101.2530565651759</v>
      </c>
      <c r="N50" s="29">
        <f t="shared" si="46"/>
        <v>103.45690594922131</v>
      </c>
      <c r="O50" s="29">
        <f t="shared" si="46"/>
        <v>99.432270902171368</v>
      </c>
      <c r="P50" s="29">
        <f t="shared" si="46"/>
        <v>95.794913156028286</v>
      </c>
      <c r="Q50" s="29">
        <f t="shared" si="46"/>
        <v>95.525018902076638</v>
      </c>
      <c r="R50" s="29">
        <f t="shared" si="46"/>
        <v>91.546518522843186</v>
      </c>
      <c r="S50" s="29">
        <f t="shared" si="46"/>
        <v>86.892964965152927</v>
      </c>
      <c r="T50" s="29">
        <f t="shared" si="46"/>
        <v>90.731926202259601</v>
      </c>
      <c r="U50" s="29">
        <f t="shared" si="46"/>
        <v>89.905760722653028</v>
      </c>
      <c r="V50" s="29">
        <f t="shared" si="46"/>
        <v>68.601643158104224</v>
      </c>
      <c r="W50" s="29">
        <f t="shared" ref="W50" si="47">IF(W4=0,0,W4/W15)</f>
        <v>70.688113085893377</v>
      </c>
      <c r="DA50" s="173" t="s">
        <v>1063</v>
      </c>
    </row>
    <row r="51" spans="1:105" ht="11.45" customHeight="1" x14ac:dyDescent="0.25">
      <c r="A51" s="107" t="s">
        <v>23</v>
      </c>
      <c r="B51" s="115">
        <f t="shared" ref="B51:J51" si="48">IF(B5=0,0,B5/B16)</f>
        <v>72.941925433237216</v>
      </c>
      <c r="C51" s="115">
        <f t="shared" si="48"/>
        <v>72.941925433237216</v>
      </c>
      <c r="D51" s="115">
        <f t="shared" si="48"/>
        <v>72.941925433237216</v>
      </c>
      <c r="E51" s="115">
        <f t="shared" si="48"/>
        <v>72.941925433237216</v>
      </c>
      <c r="F51" s="115">
        <f t="shared" si="48"/>
        <v>72.941925433237216</v>
      </c>
      <c r="G51" s="115">
        <f t="shared" si="48"/>
        <v>73.664431379232454</v>
      </c>
      <c r="H51" s="115">
        <f t="shared" si="48"/>
        <v>73.025147450206262</v>
      </c>
      <c r="I51" s="115">
        <f t="shared" si="48"/>
        <v>73.324940435296654</v>
      </c>
      <c r="J51" s="115">
        <f t="shared" si="48"/>
        <v>75.044773492738699</v>
      </c>
      <c r="K51" s="115">
        <f t="shared" ref="K51:V51" si="49">IF(K5=0,0,K5/K16)</f>
        <v>74.111125980140201</v>
      </c>
      <c r="L51" s="115">
        <f t="shared" si="49"/>
        <v>74.590950059250162</v>
      </c>
      <c r="M51" s="115">
        <f t="shared" si="49"/>
        <v>75.448566935753277</v>
      </c>
      <c r="N51" s="115">
        <f t="shared" si="49"/>
        <v>76.509287606598434</v>
      </c>
      <c r="O51" s="115">
        <f t="shared" si="49"/>
        <v>77.515930982471815</v>
      </c>
      <c r="P51" s="115">
        <f t="shared" si="49"/>
        <v>76.890722402205128</v>
      </c>
      <c r="Q51" s="115">
        <f t="shared" si="49"/>
        <v>76.844921296451432</v>
      </c>
      <c r="R51" s="115">
        <f t="shared" si="49"/>
        <v>77.351177538617705</v>
      </c>
      <c r="S51" s="115">
        <f t="shared" si="49"/>
        <v>77.00387304185999</v>
      </c>
      <c r="T51" s="115">
        <f t="shared" si="49"/>
        <v>78.118643654906364</v>
      </c>
      <c r="U51" s="115">
        <f t="shared" si="49"/>
        <v>77.136204889406287</v>
      </c>
      <c r="V51" s="115">
        <f t="shared" si="49"/>
        <v>61.751023035947362</v>
      </c>
      <c r="W51" s="115">
        <f t="shared" ref="W51" si="50">IF(W5=0,0,W5/W16)</f>
        <v>64.816796059498955</v>
      </c>
      <c r="DA51" s="203" t="s">
        <v>1064</v>
      </c>
    </row>
    <row r="52" spans="1:105" ht="11.45" customHeight="1" x14ac:dyDescent="0.25">
      <c r="A52" s="109" t="s">
        <v>24</v>
      </c>
      <c r="B52" s="116">
        <f t="shared" ref="B52:J52" si="51">IF(B6=0,0,B6/B17)</f>
        <v>106.3278922015908</v>
      </c>
      <c r="C52" s="116">
        <f t="shared" si="51"/>
        <v>116.55384006718043</v>
      </c>
      <c r="D52" s="116">
        <f t="shared" si="51"/>
        <v>120.55625447335102</v>
      </c>
      <c r="E52" s="116">
        <f t="shared" si="51"/>
        <v>118.56587772591224</v>
      </c>
      <c r="F52" s="116">
        <f t="shared" si="51"/>
        <v>116.13231586824352</v>
      </c>
      <c r="G52" s="116">
        <f t="shared" si="51"/>
        <v>126.04040462551386</v>
      </c>
      <c r="H52" s="116">
        <f t="shared" si="51"/>
        <v>124.17399472013065</v>
      </c>
      <c r="I52" s="116">
        <f t="shared" si="51"/>
        <v>124.15266470592547</v>
      </c>
      <c r="J52" s="116">
        <f t="shared" si="51"/>
        <v>125.24293313734152</v>
      </c>
      <c r="K52" s="116">
        <f t="shared" ref="K52:V52" si="52">IF(K6=0,0,K6/K17)</f>
        <v>115.28826943694644</v>
      </c>
      <c r="L52" s="116">
        <f t="shared" si="52"/>
        <v>113.3258131744016</v>
      </c>
      <c r="M52" s="116">
        <f t="shared" si="52"/>
        <v>130.25015821521959</v>
      </c>
      <c r="N52" s="116">
        <f t="shared" si="52"/>
        <v>133.22799074764907</v>
      </c>
      <c r="O52" s="116">
        <f t="shared" si="52"/>
        <v>120.18833252649539</v>
      </c>
      <c r="P52" s="116">
        <f t="shared" si="52"/>
        <v>111.89046165546269</v>
      </c>
      <c r="Q52" s="116">
        <f t="shared" si="52"/>
        <v>111.62583011709266</v>
      </c>
      <c r="R52" s="116">
        <f t="shared" si="52"/>
        <v>102.34566184712818</v>
      </c>
      <c r="S52" s="116">
        <f t="shared" si="52"/>
        <v>93.785675664212036</v>
      </c>
      <c r="T52" s="116">
        <f t="shared" si="52"/>
        <v>99.540823460395799</v>
      </c>
      <c r="U52" s="116">
        <f t="shared" si="52"/>
        <v>99.021089863094545</v>
      </c>
      <c r="V52" s="116">
        <f t="shared" si="52"/>
        <v>75.276921235100701</v>
      </c>
      <c r="W52" s="116">
        <f t="shared" ref="W52" si="53">IF(W6=0,0,W6/W17)</f>
        <v>75.757059635469304</v>
      </c>
      <c r="DA52" s="176" t="s">
        <v>1065</v>
      </c>
    </row>
    <row r="53" spans="1:105" ht="11.45" customHeight="1" x14ac:dyDescent="0.25">
      <c r="A53" s="111" t="s">
        <v>92</v>
      </c>
      <c r="B53" s="87">
        <f t="shared" ref="B53:J53" si="54">IF(B7=0,0,B7/B18)</f>
        <v>80.386374841907369</v>
      </c>
      <c r="C53" s="87">
        <f t="shared" si="54"/>
        <v>80.276982831266722</v>
      </c>
      <c r="D53" s="87">
        <f t="shared" si="54"/>
        <v>80.454481616260225</v>
      </c>
      <c r="E53" s="87">
        <f t="shared" si="54"/>
        <v>80.565427491712072</v>
      </c>
      <c r="F53" s="87">
        <f t="shared" si="54"/>
        <v>80.708069310093379</v>
      </c>
      <c r="G53" s="87">
        <f t="shared" si="54"/>
        <v>83.996646624925361</v>
      </c>
      <c r="H53" s="87">
        <f t="shared" si="54"/>
        <v>81.175651800060265</v>
      </c>
      <c r="I53" s="87">
        <f t="shared" si="54"/>
        <v>82.413510350509256</v>
      </c>
      <c r="J53" s="87">
        <f t="shared" si="54"/>
        <v>90.77020053061635</v>
      </c>
      <c r="K53" s="87">
        <f t="shared" ref="K53:V53" si="55">IF(K7=0,0,K7/K18)</f>
        <v>86.277834809439852</v>
      </c>
      <c r="L53" s="87">
        <f t="shared" si="55"/>
        <v>88.445319746302374</v>
      </c>
      <c r="M53" s="87">
        <f t="shared" si="55"/>
        <v>92.509203910248601</v>
      </c>
      <c r="N53" s="87">
        <f t="shared" si="55"/>
        <v>98.002532382196307</v>
      </c>
      <c r="O53" s="87">
        <f t="shared" si="55"/>
        <v>103.03192296441094</v>
      </c>
      <c r="P53" s="87">
        <f t="shared" si="55"/>
        <v>99.699452256963127</v>
      </c>
      <c r="Q53" s="87">
        <f t="shared" si="55"/>
        <v>99.16970059862102</v>
      </c>
      <c r="R53" s="87">
        <f t="shared" si="55"/>
        <v>101.26005169426277</v>
      </c>
      <c r="S53" s="87">
        <f t="shared" si="55"/>
        <v>98.847439979692595</v>
      </c>
      <c r="T53" s="87">
        <f t="shared" si="55"/>
        <v>103.98605703451904</v>
      </c>
      <c r="U53" s="87">
        <f t="shared" si="55"/>
        <v>98.249667479582868</v>
      </c>
      <c r="V53" s="87">
        <f t="shared" si="55"/>
        <v>68.714283873514034</v>
      </c>
      <c r="W53" s="87">
        <f t="shared" ref="W53" si="56">IF(W7=0,0,W7/W18)</f>
        <v>73.572994983390132</v>
      </c>
      <c r="DA53" s="171" t="s">
        <v>1066</v>
      </c>
    </row>
    <row r="54" spans="1:105" ht="11.45" customHeight="1" x14ac:dyDescent="0.25">
      <c r="A54" s="111" t="s">
        <v>93</v>
      </c>
      <c r="B54" s="87">
        <f t="shared" ref="B54:J54" si="57">IF(B8=0,0,B8/B19)</f>
        <v>110.96248884971612</v>
      </c>
      <c r="C54" s="87">
        <f t="shared" si="57"/>
        <v>124.21023656789191</v>
      </c>
      <c r="D54" s="87">
        <f t="shared" si="57"/>
        <v>130.08367929189072</v>
      </c>
      <c r="E54" s="87">
        <f t="shared" si="57"/>
        <v>128.34534504803628</v>
      </c>
      <c r="F54" s="87">
        <f t="shared" si="57"/>
        <v>125.62114297768838</v>
      </c>
      <c r="G54" s="87">
        <f t="shared" si="57"/>
        <v>139.67009805595654</v>
      </c>
      <c r="H54" s="87">
        <f t="shared" si="57"/>
        <v>138.11364829871232</v>
      </c>
      <c r="I54" s="87">
        <f t="shared" si="57"/>
        <v>137.70408227175548</v>
      </c>
      <c r="J54" s="87">
        <f t="shared" si="57"/>
        <v>137.52888278163434</v>
      </c>
      <c r="K54" s="87">
        <f t="shared" ref="K54:V54" si="58">IF(K8=0,0,K8/K19)</f>
        <v>125.24867635772056</v>
      </c>
      <c r="L54" s="87">
        <f t="shared" si="58"/>
        <v>120.97858861124998</v>
      </c>
      <c r="M54" s="87">
        <f t="shared" si="58"/>
        <v>141.641525199808</v>
      </c>
      <c r="N54" s="87">
        <f t="shared" si="58"/>
        <v>144.2707630713038</v>
      </c>
      <c r="O54" s="87">
        <f t="shared" si="58"/>
        <v>123.97391466147532</v>
      </c>
      <c r="P54" s="87">
        <f t="shared" si="58"/>
        <v>114.62463409450483</v>
      </c>
      <c r="Q54" s="87">
        <f t="shared" si="58"/>
        <v>113.76489716605063</v>
      </c>
      <c r="R54" s="87">
        <f t="shared" si="58"/>
        <v>102.50934233778263</v>
      </c>
      <c r="S54" s="87">
        <f t="shared" si="58"/>
        <v>93.030106060403938</v>
      </c>
      <c r="T54" s="87">
        <f t="shared" si="58"/>
        <v>98.895428251714051</v>
      </c>
      <c r="U54" s="87">
        <f t="shared" si="58"/>
        <v>99.140160654023816</v>
      </c>
      <c r="V54" s="87">
        <f t="shared" si="58"/>
        <v>76.424590582511811</v>
      </c>
      <c r="W54" s="87">
        <f t="shared" ref="W54" si="59">IF(W8=0,0,W8/W19)</f>
        <v>76.093104234430513</v>
      </c>
      <c r="DA54" s="171" t="s">
        <v>1067</v>
      </c>
    </row>
    <row r="55" spans="1:105" ht="11.45" customHeight="1" x14ac:dyDescent="0.25">
      <c r="A55" s="112" t="s">
        <v>25</v>
      </c>
      <c r="B55" s="117">
        <f t="shared" ref="B55:J55" si="60">IF(B9=0,0,B9/B20)</f>
        <v>0</v>
      </c>
      <c r="C55" s="117">
        <f t="shared" si="60"/>
        <v>0</v>
      </c>
      <c r="D55" s="117">
        <f t="shared" si="60"/>
        <v>0</v>
      </c>
      <c r="E55" s="117">
        <f t="shared" si="60"/>
        <v>0</v>
      </c>
      <c r="F55" s="117">
        <f t="shared" si="60"/>
        <v>0</v>
      </c>
      <c r="G55" s="117">
        <f t="shared" si="60"/>
        <v>0</v>
      </c>
      <c r="H55" s="117">
        <f t="shared" si="60"/>
        <v>0</v>
      </c>
      <c r="I55" s="117">
        <f t="shared" si="60"/>
        <v>0</v>
      </c>
      <c r="J55" s="117">
        <f t="shared" si="60"/>
        <v>0</v>
      </c>
      <c r="K55" s="117">
        <f t="shared" ref="K55:V55" si="61">IF(K9=0,0,K9/K20)</f>
        <v>0</v>
      </c>
      <c r="L55" s="117">
        <f t="shared" si="61"/>
        <v>0</v>
      </c>
      <c r="M55" s="117">
        <f t="shared" si="61"/>
        <v>0</v>
      </c>
      <c r="N55" s="117">
        <f t="shared" si="61"/>
        <v>0</v>
      </c>
      <c r="O55" s="117">
        <f t="shared" si="61"/>
        <v>0</v>
      </c>
      <c r="P55" s="117">
        <f t="shared" si="61"/>
        <v>0</v>
      </c>
      <c r="Q55" s="117">
        <f t="shared" si="61"/>
        <v>0</v>
      </c>
      <c r="R55" s="117">
        <f t="shared" si="61"/>
        <v>0</v>
      </c>
      <c r="S55" s="117">
        <f t="shared" si="61"/>
        <v>0</v>
      </c>
      <c r="T55" s="117">
        <f t="shared" si="61"/>
        <v>0</v>
      </c>
      <c r="U55" s="117">
        <f t="shared" si="61"/>
        <v>0</v>
      </c>
      <c r="V55" s="117">
        <f t="shared" si="61"/>
        <v>0</v>
      </c>
      <c r="W55" s="117">
        <f t="shared" ref="W55" si="62">IF(W9=0,0,W9/W20)</f>
        <v>0</v>
      </c>
      <c r="DA55" s="204" t="s">
        <v>1068</v>
      </c>
    </row>
    <row r="56" spans="1:105" ht="11.45" customHeight="1" x14ac:dyDescent="0.25">
      <c r="A56" s="27" t="s">
        <v>101</v>
      </c>
      <c r="B56" s="29">
        <f t="shared" ref="B56:J56" si="63">IF(B10=0,0,B10/B21)</f>
        <v>433.97282820869628</v>
      </c>
      <c r="C56" s="29">
        <f t="shared" si="63"/>
        <v>451.33170038306724</v>
      </c>
      <c r="D56" s="29">
        <f t="shared" si="63"/>
        <v>451.33169617840184</v>
      </c>
      <c r="E56" s="29">
        <f t="shared" si="63"/>
        <v>451.33169265496872</v>
      </c>
      <c r="F56" s="29">
        <f t="shared" si="63"/>
        <v>451.3316946870296</v>
      </c>
      <c r="G56" s="29">
        <f t="shared" si="63"/>
        <v>462.74201108751515</v>
      </c>
      <c r="H56" s="29">
        <f t="shared" si="63"/>
        <v>486.20144617724696</v>
      </c>
      <c r="I56" s="29">
        <f t="shared" si="63"/>
        <v>475.76567146742696</v>
      </c>
      <c r="J56" s="29">
        <f t="shared" si="63"/>
        <v>485.15821496826203</v>
      </c>
      <c r="K56" s="29">
        <f t="shared" ref="K56:V56" si="64">IF(K10=0,0,K10/K21)</f>
        <v>467.23503350415632</v>
      </c>
      <c r="L56" s="29">
        <f t="shared" si="64"/>
        <v>481.40319156758449</v>
      </c>
      <c r="M56" s="29">
        <f t="shared" si="64"/>
        <v>464.52931125699291</v>
      </c>
      <c r="N56" s="29">
        <f t="shared" si="64"/>
        <v>480.81633699168327</v>
      </c>
      <c r="O56" s="29">
        <f t="shared" si="64"/>
        <v>461.20702214902701</v>
      </c>
      <c r="P56" s="29">
        <f t="shared" si="64"/>
        <v>506.90286678846144</v>
      </c>
      <c r="Q56" s="29">
        <f t="shared" si="64"/>
        <v>497.01540489035074</v>
      </c>
      <c r="R56" s="29">
        <f t="shared" si="64"/>
        <v>511.69817742828474</v>
      </c>
      <c r="S56" s="29">
        <f t="shared" si="64"/>
        <v>517.80969681743477</v>
      </c>
      <c r="T56" s="29">
        <f t="shared" si="64"/>
        <v>499.64098834170272</v>
      </c>
      <c r="U56" s="29">
        <f t="shared" si="64"/>
        <v>477.43386017511472</v>
      </c>
      <c r="V56" s="29">
        <f t="shared" si="64"/>
        <v>382.24105230122348</v>
      </c>
      <c r="W56" s="29">
        <f t="shared" ref="W56" si="65">IF(W10=0,0,W10/W21)</f>
        <v>426.10404465295494</v>
      </c>
      <c r="DA56" s="173" t="s">
        <v>1069</v>
      </c>
    </row>
    <row r="57" spans="1:105" ht="11.45" customHeight="1" x14ac:dyDescent="0.25">
      <c r="A57" s="83" t="s">
        <v>92</v>
      </c>
      <c r="B57" s="87">
        <f t="shared" ref="B57:J57" si="66">IF(B11=0,0,B11/B22)</f>
        <v>455.86036171978094</v>
      </c>
      <c r="C57" s="87">
        <f t="shared" si="66"/>
        <v>455.76424803839575</v>
      </c>
      <c r="D57" s="87">
        <f t="shared" si="66"/>
        <v>436.62736302859281</v>
      </c>
      <c r="E57" s="87">
        <f t="shared" si="66"/>
        <v>436.45078231099478</v>
      </c>
      <c r="F57" s="87">
        <f t="shared" si="66"/>
        <v>436.40279695437334</v>
      </c>
      <c r="G57" s="87">
        <f t="shared" si="66"/>
        <v>463.30383404498457</v>
      </c>
      <c r="H57" s="87">
        <f t="shared" si="66"/>
        <v>442.54403824456324</v>
      </c>
      <c r="I57" s="87">
        <f t="shared" si="66"/>
        <v>432.99746334752405</v>
      </c>
      <c r="J57" s="87">
        <f t="shared" si="66"/>
        <v>618.6179230680483</v>
      </c>
      <c r="K57" s="87">
        <f t="shared" ref="K57:V57" si="67">IF(K11=0,0,K11/K22)</f>
        <v>638.22062116875645</v>
      </c>
      <c r="L57" s="87">
        <f t="shared" si="67"/>
        <v>669.74709797681862</v>
      </c>
      <c r="M57" s="87">
        <f t="shared" si="67"/>
        <v>711.33820445817855</v>
      </c>
      <c r="N57" s="87">
        <f t="shared" si="67"/>
        <v>736.02295246921574</v>
      </c>
      <c r="O57" s="87">
        <f t="shared" si="67"/>
        <v>706.5034588111904</v>
      </c>
      <c r="P57" s="87">
        <f t="shared" si="67"/>
        <v>776.14598163331652</v>
      </c>
      <c r="Q57" s="87">
        <f t="shared" si="67"/>
        <v>761.90117501082148</v>
      </c>
      <c r="R57" s="87">
        <f t="shared" si="67"/>
        <v>784.34079130224575</v>
      </c>
      <c r="S57" s="87">
        <f t="shared" si="67"/>
        <v>780.6446556101605</v>
      </c>
      <c r="T57" s="87">
        <f t="shared" si="67"/>
        <v>764.87330732920998</v>
      </c>
      <c r="U57" s="87">
        <f t="shared" si="67"/>
        <v>733.01519972829988</v>
      </c>
      <c r="V57" s="87">
        <f t="shared" si="67"/>
        <v>698.71835346244154</v>
      </c>
      <c r="W57" s="87">
        <f t="shared" ref="W57" si="68">IF(W11=0,0,W11/W22)</f>
        <v>704.48345753312344</v>
      </c>
      <c r="DA57" s="171" t="s">
        <v>1070</v>
      </c>
    </row>
    <row r="58" spans="1:105" ht="11.45" customHeight="1" x14ac:dyDescent="0.25">
      <c r="A58" s="85" t="s">
        <v>93</v>
      </c>
      <c r="B58" s="88">
        <f t="shared" ref="B58:J58" si="69">IF(B12=0,0,B12/B23)</f>
        <v>432.69464797624414</v>
      </c>
      <c r="C58" s="88">
        <f t="shared" si="69"/>
        <v>451.05038055675288</v>
      </c>
      <c r="D58" s="88">
        <f t="shared" si="69"/>
        <v>452.37233148642537</v>
      </c>
      <c r="E58" s="88">
        <f t="shared" si="69"/>
        <v>452.46369926678733</v>
      </c>
      <c r="F58" s="88">
        <f t="shared" si="69"/>
        <v>452.48900738477022</v>
      </c>
      <c r="G58" s="88">
        <f t="shared" si="69"/>
        <v>462.6947698988979</v>
      </c>
      <c r="H58" s="88">
        <f t="shared" si="69"/>
        <v>490.26509343220005</v>
      </c>
      <c r="I58" s="88">
        <f t="shared" si="69"/>
        <v>479.81491174678268</v>
      </c>
      <c r="J58" s="88">
        <f t="shared" si="69"/>
        <v>477.32461103578134</v>
      </c>
      <c r="K58" s="88">
        <f t="shared" ref="K58:V58" si="70">IF(K12=0,0,K12/K23)</f>
        <v>457.66638064132712</v>
      </c>
      <c r="L58" s="88">
        <f t="shared" si="70"/>
        <v>471.61299133812452</v>
      </c>
      <c r="M58" s="88">
        <f t="shared" si="70"/>
        <v>454.1112490057493</v>
      </c>
      <c r="N58" s="88">
        <f t="shared" si="70"/>
        <v>469.34599333829834</v>
      </c>
      <c r="O58" s="88">
        <f t="shared" si="70"/>
        <v>451.53169625590903</v>
      </c>
      <c r="P58" s="88">
        <f t="shared" si="70"/>
        <v>495.3033932743636</v>
      </c>
      <c r="Q58" s="88">
        <f t="shared" si="70"/>
        <v>488.01252983916271</v>
      </c>
      <c r="R58" s="88">
        <f t="shared" si="70"/>
        <v>502.41614774723462</v>
      </c>
      <c r="S58" s="88">
        <f t="shared" si="70"/>
        <v>508.09750998494616</v>
      </c>
      <c r="T58" s="88">
        <f t="shared" si="70"/>
        <v>490.3236334897623</v>
      </c>
      <c r="U58" s="88">
        <f t="shared" si="70"/>
        <v>468.35339077513157</v>
      </c>
      <c r="V58" s="88">
        <f t="shared" si="70"/>
        <v>369.88141279872076</v>
      </c>
      <c r="W58" s="88">
        <f t="shared" ref="W58" si="71">IF(W12=0,0,W12/W23)</f>
        <v>414.75994887149506</v>
      </c>
      <c r="DA58" s="178" t="s">
        <v>1071</v>
      </c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102</v>
      </c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DA60" s="172"/>
    </row>
    <row r="61" spans="1:105" ht="11.45" customHeight="1" x14ac:dyDescent="0.25">
      <c r="A61" s="27" t="s">
        <v>103</v>
      </c>
      <c r="B61" s="29">
        <f t="shared" ref="B61" si="72">IF(B26=0,0,(B62*B27+B64*B29+B65*B30+B66*B31)/(B27+B29+B30+B31))</f>
        <v>366.03865179395547</v>
      </c>
      <c r="C61" s="29">
        <f t="shared" ref="C61" si="73">IF(C26=0,0,(C62*C27+C64*C29+C65*C30+C66*C31)/(C27+C29+C30+C31))</f>
        <v>367.89990255825444</v>
      </c>
      <c r="D61" s="29">
        <f t="shared" ref="D61" si="74">IF(D26=0,0,(D62*D27+D64*D29+D65*D30+D66*D31)/(D27+D29+D30+D31))</f>
        <v>368.91345251264858</v>
      </c>
      <c r="E61" s="29">
        <f t="shared" ref="E61" si="75">IF(E26=0,0,(E62*E27+E64*E29+E65*E30+E66*E31)/(E27+E29+E30+E31))</f>
        <v>369.18637229237839</v>
      </c>
      <c r="F61" s="29">
        <f t="shared" ref="F61" si="76">IF(F26=0,0,(F62*F27+F64*F29+F65*F30+F66*F31)/(F27+F29+F30+F31))</f>
        <v>369.96985914234494</v>
      </c>
      <c r="G61" s="29">
        <f t="shared" ref="G61" si="77">IF(G26=0,0,(G62*G27+G64*G29+G65*G30+G66*G31)/(G27+G29+G30+G31))</f>
        <v>370.68892268610341</v>
      </c>
      <c r="H61" s="29">
        <f t="shared" ref="H61" si="78">IF(H26=0,0,(H62*H27+H64*H29+H65*H30+H66*H31)/(H27+H29+H30+H31))</f>
        <v>370.37904494684625</v>
      </c>
      <c r="I61" s="29">
        <f t="shared" ref="I61" si="79">IF(I26=0,0,(I62*I27+I64*I29+I65*I30+I66*I31)/(I27+I29+I30+I31))</f>
        <v>370.03435445035439</v>
      </c>
      <c r="J61" s="29">
        <f t="shared" ref="J61" si="80">IF(J26=0,0,(J62*J27+J64*J29+J65*J30+J66*J31)/(J27+J29+J30+J31))</f>
        <v>367.69908287673269</v>
      </c>
      <c r="K61" s="29">
        <f t="shared" ref="K61" si="81">IF(K26=0,0,(K62*K27+K64*K29+K65*K30+K66*K31)/(K27+K29+K30+K31))</f>
        <v>366.95615448240164</v>
      </c>
      <c r="L61" s="29">
        <f t="shared" ref="L61" si="82">IF(L26=0,0,(L62*L27+L64*L29+L65*L30+L66*L31)/(L27+L29+L30+L31))</f>
        <v>366.6144469241346</v>
      </c>
      <c r="M61" s="29">
        <f t="shared" ref="M61" si="83">IF(M26=0,0,(M62*M27+M64*M29+M65*M30+M66*M31)/(M27+M29+M30+M31))</f>
        <v>368.20173224086977</v>
      </c>
      <c r="N61" s="29">
        <f t="shared" ref="N61" si="84">IF(N26=0,0,(N62*N27+N64*N29+N65*N30+N66*N31)/(N27+N29+N30+N31))</f>
        <v>368.08314810152507</v>
      </c>
      <c r="O61" s="29">
        <f t="shared" ref="O61" si="85">IF(O26=0,0,(O62*O27+O64*O29+O65*O30+O66*O31)/(O27+O29+O30+O31))</f>
        <v>364.87129694778753</v>
      </c>
      <c r="P61" s="29">
        <f t="shared" ref="P61" si="86">IF(P26=0,0,(P62*P27+P64*P29+P65*P30+P66*P31)/(P27+P29+P30+P31))</f>
        <v>362.98074495693447</v>
      </c>
      <c r="Q61" s="29">
        <f t="shared" ref="Q61" si="87">IF(Q26=0,0,(Q62*Q27+Q64*Q29+Q65*Q30+Q66*Q31)/(Q27+Q29+Q30+Q31))</f>
        <v>362.77496128211322</v>
      </c>
      <c r="R61" s="29">
        <f t="shared" ref="R61" si="88">IF(R26=0,0,(R62*R27+R64*R29+R65*R30+R66*R31)/(R27+R29+R30+R31))</f>
        <v>360.55056122875902</v>
      </c>
      <c r="S61" s="29">
        <f t="shared" ref="S61" si="89">IF(S26=0,0,(S62*S27+S64*S29+S65*S30+S66*S31)/(S27+S29+S30+S31))</f>
        <v>358.98395933962013</v>
      </c>
      <c r="T61" s="29">
        <f t="shared" ref="T61" si="90">IF(T26=0,0,(T62*T27+T64*T29+T65*T30+T66*T31)/(T27+T29+T30+T31))</f>
        <v>359.02352926867133</v>
      </c>
      <c r="U61" s="29">
        <f t="shared" ref="U61" si="91">IF(U26=0,0,(U62*U27+U64*U29+U65*U30+U66*U31)/(U27+U29+U30+U31))</f>
        <v>359.46100377348569</v>
      </c>
      <c r="V61" s="29">
        <f t="shared" ref="V61" si="92">IF(V26=0,0,(V62*V27+V64*V29+V65*V30+V66*V31)/(V27+V29+V30+V31))</f>
        <v>360.71430344307117</v>
      </c>
      <c r="W61" s="29">
        <f t="shared" ref="W61" si="93">IF(W26=0,0,(W62*W27+W64*W29+W65*W30+W66*W31)/(W27+W29+W30+W31))</f>
        <v>362.07358466960932</v>
      </c>
      <c r="DA61" s="173" t="s">
        <v>1072</v>
      </c>
    </row>
    <row r="62" spans="1:105" ht="11.45" customHeight="1" x14ac:dyDescent="0.25">
      <c r="A62" s="107" t="s">
        <v>23</v>
      </c>
      <c r="B62" s="115">
        <v>400</v>
      </c>
      <c r="C62" s="115">
        <v>400</v>
      </c>
      <c r="D62" s="115">
        <v>400</v>
      </c>
      <c r="E62" s="115">
        <v>400</v>
      </c>
      <c r="F62" s="115">
        <v>400</v>
      </c>
      <c r="G62" s="115">
        <v>400</v>
      </c>
      <c r="H62" s="115">
        <v>400</v>
      </c>
      <c r="I62" s="115">
        <v>400</v>
      </c>
      <c r="J62" s="115">
        <v>400</v>
      </c>
      <c r="K62" s="115">
        <v>400</v>
      </c>
      <c r="L62" s="115">
        <v>400</v>
      </c>
      <c r="M62" s="115">
        <v>400</v>
      </c>
      <c r="N62" s="115">
        <v>400</v>
      </c>
      <c r="O62" s="115">
        <v>400</v>
      </c>
      <c r="P62" s="115">
        <v>400</v>
      </c>
      <c r="Q62" s="115">
        <v>400</v>
      </c>
      <c r="R62" s="115">
        <v>400</v>
      </c>
      <c r="S62" s="115">
        <v>400</v>
      </c>
      <c r="T62" s="115">
        <v>400</v>
      </c>
      <c r="U62" s="115">
        <v>400</v>
      </c>
      <c r="V62" s="115">
        <v>400</v>
      </c>
      <c r="W62" s="115">
        <v>400</v>
      </c>
      <c r="DA62" s="203" t="s">
        <v>1073</v>
      </c>
    </row>
    <row r="63" spans="1:105" ht="11.45" customHeight="1" x14ac:dyDescent="0.25">
      <c r="A63" s="109" t="s">
        <v>24</v>
      </c>
      <c r="B63" s="116">
        <f t="shared" ref="B63" si="94">IF(B28=0,0,(B64*B29+B65*B30)/(B29+B30))</f>
        <v>320</v>
      </c>
      <c r="C63" s="116">
        <f t="shared" ref="C63" si="95">IF(C28=0,0,(C64*C29+C65*C30)/(C29+C30))</f>
        <v>320</v>
      </c>
      <c r="D63" s="116">
        <f t="shared" ref="D63" si="96">IF(D28=0,0,(D64*D29+D65*D30)/(D29+D30))</f>
        <v>320.00000000000006</v>
      </c>
      <c r="E63" s="116">
        <f t="shared" ref="E63" si="97">IF(E28=0,0,(E64*E29+E65*E30)/(E29+E30))</f>
        <v>320</v>
      </c>
      <c r="F63" s="116">
        <f t="shared" ref="F63" si="98">IF(F28=0,0,(F64*F29+F65*F30)/(F29+F30))</f>
        <v>320.00000000000006</v>
      </c>
      <c r="G63" s="116">
        <f t="shared" ref="G63" si="99">IF(G28=0,0,(G64*G29+G65*G30)/(G29+G30))</f>
        <v>320</v>
      </c>
      <c r="H63" s="116">
        <f t="shared" ref="H63" si="100">IF(H28=0,0,(H64*H29+H65*H30)/(H29+H30))</f>
        <v>320</v>
      </c>
      <c r="I63" s="116">
        <f t="shared" ref="I63" si="101">IF(I28=0,0,(I64*I29+I65*I30)/(I29+I30))</f>
        <v>320</v>
      </c>
      <c r="J63" s="116">
        <f t="shared" ref="J63" si="102">IF(J28=0,0,(J64*J29+J65*J30)/(J29+J30))</f>
        <v>319.99999999999994</v>
      </c>
      <c r="K63" s="116">
        <f t="shared" ref="K63" si="103">IF(K28=0,0,(K64*K29+K65*K30)/(K29+K30))</f>
        <v>320</v>
      </c>
      <c r="L63" s="116">
        <f t="shared" ref="L63" si="104">IF(L28=0,0,(L64*L29+L65*L30)/(L29+L30))</f>
        <v>320</v>
      </c>
      <c r="M63" s="116">
        <f t="shared" ref="M63" si="105">IF(M28=0,0,(M64*M29+M65*M30)/(M29+M30))</f>
        <v>320</v>
      </c>
      <c r="N63" s="116">
        <f t="shared" ref="N63" si="106">IF(N28=0,0,(N64*N29+N65*N30)/(N29+N30))</f>
        <v>320.00000000000006</v>
      </c>
      <c r="O63" s="116">
        <f t="shared" ref="O63" si="107">IF(O28=0,0,(O64*O29+O65*O30)/(O29+O30))</f>
        <v>320</v>
      </c>
      <c r="P63" s="116">
        <f t="shared" ref="P63" si="108">IF(P28=0,0,(P64*P29+P65*P30)/(P29+P30))</f>
        <v>320.00000000000006</v>
      </c>
      <c r="Q63" s="116">
        <f t="shared" ref="Q63" si="109">IF(Q28=0,0,(Q64*Q29+Q65*Q30)/(Q29+Q30))</f>
        <v>320</v>
      </c>
      <c r="R63" s="116">
        <f t="shared" ref="R63" si="110">IF(R28=0,0,(R64*R29+R65*R30)/(R29+R30))</f>
        <v>319.99999999999994</v>
      </c>
      <c r="S63" s="116">
        <f t="shared" ref="S63" si="111">IF(S28=0,0,(S64*S29+S65*S30)/(S29+S30))</f>
        <v>320</v>
      </c>
      <c r="T63" s="116">
        <f t="shared" ref="T63" si="112">IF(T28=0,0,(T64*T29+T65*T30)/(T29+T30))</f>
        <v>319.99999999999994</v>
      </c>
      <c r="U63" s="116">
        <f t="shared" ref="U63" si="113">IF(U28=0,0,(U64*U29+U65*U30)/(U29+U30))</f>
        <v>320</v>
      </c>
      <c r="V63" s="116">
        <f t="shared" ref="V63" si="114">IF(V28=0,0,(V64*V29+V65*V30)/(V29+V30))</f>
        <v>320.00000000000006</v>
      </c>
      <c r="W63" s="116">
        <f t="shared" ref="W63" si="115">IF(W28=0,0,(W64*W29+W65*W30)/(W29+W30))</f>
        <v>320</v>
      </c>
      <c r="DA63" s="176" t="s">
        <v>1074</v>
      </c>
    </row>
    <row r="64" spans="1:105" ht="11.45" customHeight="1" x14ac:dyDescent="0.25">
      <c r="A64" s="111" t="s">
        <v>92</v>
      </c>
      <c r="B64" s="87">
        <v>320</v>
      </c>
      <c r="C64" s="87">
        <v>320</v>
      </c>
      <c r="D64" s="87">
        <v>320</v>
      </c>
      <c r="E64" s="87">
        <v>320</v>
      </c>
      <c r="F64" s="87">
        <v>320</v>
      </c>
      <c r="G64" s="87">
        <v>320</v>
      </c>
      <c r="H64" s="87">
        <v>320</v>
      </c>
      <c r="I64" s="87">
        <v>320</v>
      </c>
      <c r="J64" s="87">
        <v>320</v>
      </c>
      <c r="K64" s="87">
        <v>320</v>
      </c>
      <c r="L64" s="87">
        <v>320</v>
      </c>
      <c r="M64" s="87">
        <v>320</v>
      </c>
      <c r="N64" s="87">
        <v>320</v>
      </c>
      <c r="O64" s="87">
        <v>320</v>
      </c>
      <c r="P64" s="87">
        <v>320</v>
      </c>
      <c r="Q64" s="87">
        <v>320</v>
      </c>
      <c r="R64" s="87">
        <v>320</v>
      </c>
      <c r="S64" s="87">
        <v>320</v>
      </c>
      <c r="T64" s="87">
        <v>320</v>
      </c>
      <c r="U64" s="87">
        <v>320</v>
      </c>
      <c r="V64" s="87">
        <v>320</v>
      </c>
      <c r="W64" s="87">
        <v>320</v>
      </c>
      <c r="DA64" s="171" t="s">
        <v>1075</v>
      </c>
    </row>
    <row r="65" spans="1:105" ht="11.45" customHeight="1" x14ac:dyDescent="0.25">
      <c r="A65" s="111" t="s">
        <v>93</v>
      </c>
      <c r="B65" s="87">
        <v>320</v>
      </c>
      <c r="C65" s="87">
        <v>320</v>
      </c>
      <c r="D65" s="87">
        <v>320</v>
      </c>
      <c r="E65" s="87">
        <v>320</v>
      </c>
      <c r="F65" s="87">
        <v>320</v>
      </c>
      <c r="G65" s="87">
        <v>320</v>
      </c>
      <c r="H65" s="87">
        <v>320</v>
      </c>
      <c r="I65" s="87">
        <v>320</v>
      </c>
      <c r="J65" s="87">
        <v>320</v>
      </c>
      <c r="K65" s="87">
        <v>320</v>
      </c>
      <c r="L65" s="87">
        <v>320</v>
      </c>
      <c r="M65" s="87">
        <v>320</v>
      </c>
      <c r="N65" s="87">
        <v>320</v>
      </c>
      <c r="O65" s="87">
        <v>320</v>
      </c>
      <c r="P65" s="87">
        <v>320</v>
      </c>
      <c r="Q65" s="87">
        <v>320</v>
      </c>
      <c r="R65" s="87">
        <v>320</v>
      </c>
      <c r="S65" s="87">
        <v>320</v>
      </c>
      <c r="T65" s="87">
        <v>320</v>
      </c>
      <c r="U65" s="87">
        <v>320</v>
      </c>
      <c r="V65" s="87">
        <v>320</v>
      </c>
      <c r="W65" s="87">
        <v>320</v>
      </c>
      <c r="DA65" s="171" t="s">
        <v>1076</v>
      </c>
    </row>
    <row r="66" spans="1:105" ht="11.45" customHeight="1" x14ac:dyDescent="0.25">
      <c r="A66" s="112" t="s">
        <v>25</v>
      </c>
      <c r="B66" s="117">
        <v>0</v>
      </c>
      <c r="C66" s="117">
        <v>0</v>
      </c>
      <c r="D66" s="117">
        <v>0</v>
      </c>
      <c r="E66" s="117">
        <v>0</v>
      </c>
      <c r="F66" s="117">
        <v>0</v>
      </c>
      <c r="G66" s="117">
        <v>0</v>
      </c>
      <c r="H66" s="117">
        <v>0</v>
      </c>
      <c r="I66" s="117">
        <v>0</v>
      </c>
      <c r="J66" s="117">
        <v>0</v>
      </c>
      <c r="K66" s="117">
        <v>0</v>
      </c>
      <c r="L66" s="117">
        <v>0</v>
      </c>
      <c r="M66" s="117">
        <v>0</v>
      </c>
      <c r="N66" s="117">
        <v>0</v>
      </c>
      <c r="O66" s="117">
        <v>0</v>
      </c>
      <c r="P66" s="117">
        <v>0</v>
      </c>
      <c r="Q66" s="117">
        <v>0</v>
      </c>
      <c r="R66" s="117">
        <v>0</v>
      </c>
      <c r="S66" s="117">
        <v>0</v>
      </c>
      <c r="T66" s="117">
        <v>0</v>
      </c>
      <c r="U66" s="117">
        <v>0</v>
      </c>
      <c r="V66" s="117">
        <v>0</v>
      </c>
      <c r="W66" s="117">
        <v>0</v>
      </c>
      <c r="DA66" s="204" t="s">
        <v>1077</v>
      </c>
    </row>
    <row r="67" spans="1:105" ht="11.45" customHeight="1" x14ac:dyDescent="0.25">
      <c r="A67" s="27" t="s">
        <v>80</v>
      </c>
      <c r="B67" s="29">
        <f t="shared" ref="B67" si="116">IF(B32=0,0,(B68*B33+B69*B34)/(B33+B34))</f>
        <v>2100</v>
      </c>
      <c r="C67" s="29">
        <f t="shared" ref="C67" si="117">IF(C32=0,0,(C68*C33+C69*C34)/(C33+C34))</f>
        <v>2100</v>
      </c>
      <c r="D67" s="29">
        <f t="shared" ref="D67" si="118">IF(D32=0,0,(D68*D33+D69*D34)/(D33+D34))</f>
        <v>2100</v>
      </c>
      <c r="E67" s="29">
        <f t="shared" ref="E67" si="119">IF(E32=0,0,(E68*E33+E69*E34)/(E33+E34))</f>
        <v>2100</v>
      </c>
      <c r="F67" s="29">
        <f t="shared" ref="F67" si="120">IF(F32=0,0,(F68*F33+F69*F34)/(F33+F34))</f>
        <v>2100</v>
      </c>
      <c r="G67" s="29">
        <f t="shared" ref="G67" si="121">IF(G32=0,0,(G68*G33+G69*G34)/(G33+G34))</f>
        <v>2100</v>
      </c>
      <c r="H67" s="29">
        <f t="shared" ref="H67" si="122">IF(H32=0,0,(H68*H33+H69*H34)/(H33+H34))</f>
        <v>2100</v>
      </c>
      <c r="I67" s="29">
        <f t="shared" ref="I67" si="123">IF(I32=0,0,(I68*I33+I69*I34)/(I33+I34))</f>
        <v>2100</v>
      </c>
      <c r="J67" s="29">
        <f t="shared" ref="J67" si="124">IF(J32=0,0,(J68*J33+J69*J34)/(J33+J34))</f>
        <v>2100</v>
      </c>
      <c r="K67" s="29">
        <f t="shared" ref="K67" si="125">IF(K32=0,0,(K68*K33+K69*K34)/(K33+K34))</f>
        <v>2100</v>
      </c>
      <c r="L67" s="29">
        <f t="shared" ref="L67" si="126">IF(L32=0,0,(L68*L33+L69*L34)/(L33+L34))</f>
        <v>2100</v>
      </c>
      <c r="M67" s="29">
        <f t="shared" ref="M67" si="127">IF(M32=0,0,(M68*M33+M69*M34)/(M33+M34))</f>
        <v>2100</v>
      </c>
      <c r="N67" s="29">
        <f t="shared" ref="N67" si="128">IF(N32=0,0,(N68*N33+N69*N34)/(N33+N34))</f>
        <v>2100</v>
      </c>
      <c r="O67" s="29">
        <f t="shared" ref="O67" si="129">IF(O32=0,0,(O68*O33+O69*O34)/(O33+O34))</f>
        <v>2100</v>
      </c>
      <c r="P67" s="29">
        <f t="shared" ref="P67" si="130">IF(P32=0,0,(P68*P33+P69*P34)/(P33+P34))</f>
        <v>2100</v>
      </c>
      <c r="Q67" s="29">
        <f t="shared" ref="Q67" si="131">IF(Q32=0,0,(Q68*Q33+Q69*Q34)/(Q33+Q34))</f>
        <v>2100</v>
      </c>
      <c r="R67" s="29">
        <f t="shared" ref="R67" si="132">IF(R32=0,0,(R68*R33+R69*R34)/(R33+R34))</f>
        <v>2100</v>
      </c>
      <c r="S67" s="29">
        <f t="shared" ref="S67" si="133">IF(S32=0,0,(S68*S33+S69*S34)/(S33+S34))</f>
        <v>2100</v>
      </c>
      <c r="T67" s="29">
        <f t="shared" ref="T67" si="134">IF(T32=0,0,(T68*T33+T69*T34)/(T33+T34))</f>
        <v>2100</v>
      </c>
      <c r="U67" s="29">
        <f t="shared" ref="U67" si="135">IF(U32=0,0,(U68*U33+U69*U34)/(U33+U34))</f>
        <v>2100</v>
      </c>
      <c r="V67" s="29">
        <f t="shared" ref="V67" si="136">IF(V32=0,0,(V68*V33+V69*V34)/(V33+V34))</f>
        <v>2100.0000000000005</v>
      </c>
      <c r="W67" s="29">
        <f t="shared" ref="W67" si="137">IF(W32=0,0,(W68*W33+W69*W34)/(W33+W34))</f>
        <v>2100</v>
      </c>
      <c r="DA67" s="173" t="s">
        <v>1078</v>
      </c>
    </row>
    <row r="68" spans="1:105" ht="11.45" customHeight="1" x14ac:dyDescent="0.25">
      <c r="A68" s="83" t="s">
        <v>92</v>
      </c>
      <c r="B68" s="87">
        <v>2100</v>
      </c>
      <c r="C68" s="87">
        <v>2100</v>
      </c>
      <c r="D68" s="87">
        <v>2100</v>
      </c>
      <c r="E68" s="87">
        <v>2100</v>
      </c>
      <c r="F68" s="87">
        <v>2100</v>
      </c>
      <c r="G68" s="87">
        <v>2100</v>
      </c>
      <c r="H68" s="87">
        <v>2100</v>
      </c>
      <c r="I68" s="87">
        <v>2100</v>
      </c>
      <c r="J68" s="87">
        <v>2100</v>
      </c>
      <c r="K68" s="87">
        <v>2100</v>
      </c>
      <c r="L68" s="87">
        <v>2100</v>
      </c>
      <c r="M68" s="87">
        <v>2100</v>
      </c>
      <c r="N68" s="87">
        <v>2100</v>
      </c>
      <c r="O68" s="87">
        <v>2100</v>
      </c>
      <c r="P68" s="87">
        <v>2100</v>
      </c>
      <c r="Q68" s="87">
        <v>2100</v>
      </c>
      <c r="R68" s="87">
        <v>2100</v>
      </c>
      <c r="S68" s="87">
        <v>2100</v>
      </c>
      <c r="T68" s="87">
        <v>2100</v>
      </c>
      <c r="U68" s="87">
        <v>2100</v>
      </c>
      <c r="V68" s="87">
        <v>2100</v>
      </c>
      <c r="W68" s="87">
        <v>2100</v>
      </c>
      <c r="DA68" s="171" t="s">
        <v>1079</v>
      </c>
    </row>
    <row r="69" spans="1:105" ht="11.45" customHeight="1" x14ac:dyDescent="0.25">
      <c r="A69" s="85" t="s">
        <v>93</v>
      </c>
      <c r="B69" s="88">
        <v>2100</v>
      </c>
      <c r="C69" s="88">
        <v>2100</v>
      </c>
      <c r="D69" s="88">
        <v>2100</v>
      </c>
      <c r="E69" s="88">
        <v>2100</v>
      </c>
      <c r="F69" s="88">
        <v>2100</v>
      </c>
      <c r="G69" s="88">
        <v>2100</v>
      </c>
      <c r="H69" s="88">
        <v>2100</v>
      </c>
      <c r="I69" s="88">
        <v>2100</v>
      </c>
      <c r="J69" s="88">
        <v>2100</v>
      </c>
      <c r="K69" s="88">
        <v>2100</v>
      </c>
      <c r="L69" s="88">
        <v>2100</v>
      </c>
      <c r="M69" s="88">
        <v>2100</v>
      </c>
      <c r="N69" s="88">
        <v>2100</v>
      </c>
      <c r="O69" s="88">
        <v>2100</v>
      </c>
      <c r="P69" s="88">
        <v>2100</v>
      </c>
      <c r="Q69" s="88">
        <v>2100</v>
      </c>
      <c r="R69" s="88">
        <v>2100</v>
      </c>
      <c r="S69" s="88">
        <v>2100</v>
      </c>
      <c r="T69" s="88">
        <v>2100</v>
      </c>
      <c r="U69" s="88">
        <v>2100</v>
      </c>
      <c r="V69" s="88">
        <v>2100</v>
      </c>
      <c r="W69" s="88">
        <v>2100</v>
      </c>
      <c r="DA69" s="178" t="s">
        <v>1080</v>
      </c>
    </row>
    <row r="70" spans="1:105" x14ac:dyDescent="0.25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14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DA70" s="171"/>
    </row>
    <row r="71" spans="1:105" ht="11.45" customHeight="1" x14ac:dyDescent="0.25">
      <c r="A71" s="53" t="s">
        <v>104</v>
      </c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DA71" s="172"/>
    </row>
    <row r="72" spans="1:105" ht="11.45" customHeight="1" x14ac:dyDescent="0.25">
      <c r="A72" s="27" t="s">
        <v>33</v>
      </c>
      <c r="B72" s="30">
        <f>IF(B50=0,0,B50/B61)</f>
        <v>0.24501271900762725</v>
      </c>
      <c r="C72" s="30">
        <f t="shared" ref="C72:J72" si="138">IF(C50=0,0,C50/C61)</f>
        <v>0.25459587969265274</v>
      </c>
      <c r="D72" s="30">
        <f t="shared" si="138"/>
        <v>0.25764396142511875</v>
      </c>
      <c r="E72" s="30">
        <f t="shared" si="138"/>
        <v>0.25450861001177932</v>
      </c>
      <c r="F72" s="30">
        <f t="shared" si="138"/>
        <v>0.24973597299330647</v>
      </c>
      <c r="G72" s="30">
        <f t="shared" si="138"/>
        <v>0.26101672239502999</v>
      </c>
      <c r="H72" s="30">
        <f t="shared" si="138"/>
        <v>0.25861566311565864</v>
      </c>
      <c r="I72" s="30">
        <f t="shared" si="138"/>
        <v>0.25990658085675161</v>
      </c>
      <c r="J72" s="30">
        <f t="shared" si="138"/>
        <v>0.26963533383585819</v>
      </c>
      <c r="K72" s="30">
        <f t="shared" ref="K72:V72" si="139">IF(K50=0,0,K50/K61)</f>
        <v>0.25691185377463949</v>
      </c>
      <c r="L72" s="30">
        <f t="shared" si="139"/>
        <v>0.25565412224035683</v>
      </c>
      <c r="M72" s="30">
        <f t="shared" si="139"/>
        <v>0.27499342805627619</v>
      </c>
      <c r="N72" s="30">
        <f t="shared" si="139"/>
        <v>0.28106939011694643</v>
      </c>
      <c r="O72" s="30">
        <f t="shared" si="139"/>
        <v>0.27251327175894563</v>
      </c>
      <c r="P72" s="30">
        <f t="shared" si="139"/>
        <v>0.26391183137660318</v>
      </c>
      <c r="Q72" s="30">
        <f t="shared" si="139"/>
        <v>0.26331756349576529</v>
      </c>
      <c r="R72" s="30">
        <f t="shared" si="139"/>
        <v>0.25390757460160918</v>
      </c>
      <c r="S72" s="30">
        <f t="shared" si="139"/>
        <v>0.24205250040976628</v>
      </c>
      <c r="T72" s="30">
        <f t="shared" si="139"/>
        <v>0.25271860701464322</v>
      </c>
      <c r="U72" s="30">
        <f t="shared" si="139"/>
        <v>0.25011269589428714</v>
      </c>
      <c r="V72" s="30">
        <f t="shared" si="139"/>
        <v>0.19018276376426282</v>
      </c>
      <c r="W72" s="30">
        <f t="shared" ref="W72" si="140">IF(W50=0,0,W50/W61)</f>
        <v>0.19523134544707535</v>
      </c>
      <c r="DA72" s="173"/>
    </row>
    <row r="73" spans="1:105" ht="11.45" customHeight="1" x14ac:dyDescent="0.25">
      <c r="A73" s="107" t="s">
        <v>23</v>
      </c>
      <c r="B73" s="118">
        <f t="shared" ref="B73:J80" si="141">IF(B51=0,0,B51/B62)</f>
        <v>0.18235481358309305</v>
      </c>
      <c r="C73" s="118">
        <f t="shared" si="141"/>
        <v>0.18235481358309305</v>
      </c>
      <c r="D73" s="118">
        <f t="shared" si="141"/>
        <v>0.18235481358309305</v>
      </c>
      <c r="E73" s="118">
        <f t="shared" si="141"/>
        <v>0.18235481358309305</v>
      </c>
      <c r="F73" s="118">
        <f t="shared" si="141"/>
        <v>0.18235481358309305</v>
      </c>
      <c r="G73" s="118">
        <f t="shared" si="141"/>
        <v>0.18416107844808113</v>
      </c>
      <c r="H73" s="118">
        <f t="shared" si="141"/>
        <v>0.18256286862551566</v>
      </c>
      <c r="I73" s="118">
        <f t="shared" si="141"/>
        <v>0.18331235108824162</v>
      </c>
      <c r="J73" s="118">
        <f t="shared" si="141"/>
        <v>0.18761193373184676</v>
      </c>
      <c r="K73" s="118">
        <f t="shared" ref="K73:V73" si="142">IF(K51=0,0,K51/K62)</f>
        <v>0.18527781495035051</v>
      </c>
      <c r="L73" s="118">
        <f t="shared" si="142"/>
        <v>0.1864773751481254</v>
      </c>
      <c r="M73" s="118">
        <f t="shared" si="142"/>
        <v>0.1886214173393832</v>
      </c>
      <c r="N73" s="118">
        <f t="shared" si="142"/>
        <v>0.19127321901649608</v>
      </c>
      <c r="O73" s="118">
        <f t="shared" si="142"/>
        <v>0.19378982745617954</v>
      </c>
      <c r="P73" s="118">
        <f t="shared" si="142"/>
        <v>0.19222680600551281</v>
      </c>
      <c r="Q73" s="118">
        <f t="shared" si="142"/>
        <v>0.19211230324112857</v>
      </c>
      <c r="R73" s="118">
        <f t="shared" si="142"/>
        <v>0.19337794384654428</v>
      </c>
      <c r="S73" s="118">
        <f t="shared" si="142"/>
        <v>0.19250968260464998</v>
      </c>
      <c r="T73" s="118">
        <f t="shared" si="142"/>
        <v>0.1952966091372659</v>
      </c>
      <c r="U73" s="118">
        <f t="shared" si="142"/>
        <v>0.19284051222351573</v>
      </c>
      <c r="V73" s="118">
        <f t="shared" si="142"/>
        <v>0.1543775575898684</v>
      </c>
      <c r="W73" s="118">
        <f t="shared" ref="W73" si="143">IF(W51=0,0,W51/W62)</f>
        <v>0.1620419901487474</v>
      </c>
      <c r="DA73" s="203"/>
    </row>
    <row r="74" spans="1:105" ht="11.45" customHeight="1" x14ac:dyDescent="0.25">
      <c r="A74" s="109" t="s">
        <v>24</v>
      </c>
      <c r="B74" s="119">
        <f t="shared" si="141"/>
        <v>0.33227466312997123</v>
      </c>
      <c r="C74" s="119">
        <f t="shared" si="141"/>
        <v>0.36423075020993884</v>
      </c>
      <c r="D74" s="119">
        <f t="shared" si="141"/>
        <v>0.37673829522922186</v>
      </c>
      <c r="E74" s="119">
        <f t="shared" si="141"/>
        <v>0.37051836789347575</v>
      </c>
      <c r="F74" s="119">
        <f t="shared" si="141"/>
        <v>0.36291348708826093</v>
      </c>
      <c r="G74" s="119">
        <f t="shared" si="141"/>
        <v>0.39387626445473078</v>
      </c>
      <c r="H74" s="119">
        <f t="shared" si="141"/>
        <v>0.38804373350040827</v>
      </c>
      <c r="I74" s="119">
        <f t="shared" si="141"/>
        <v>0.3879770772060171</v>
      </c>
      <c r="J74" s="119">
        <f t="shared" si="141"/>
        <v>0.39138416605419235</v>
      </c>
      <c r="K74" s="119">
        <f t="shared" ref="K74:V74" si="144">IF(K52=0,0,K52/K63)</f>
        <v>0.36027584199045759</v>
      </c>
      <c r="L74" s="119">
        <f t="shared" si="144"/>
        <v>0.35414316617000502</v>
      </c>
      <c r="M74" s="119">
        <f t="shared" si="144"/>
        <v>0.40703174442256118</v>
      </c>
      <c r="N74" s="119">
        <f t="shared" si="144"/>
        <v>0.41633747108640329</v>
      </c>
      <c r="O74" s="119">
        <f t="shared" si="144"/>
        <v>0.37558853914529811</v>
      </c>
      <c r="P74" s="119">
        <f t="shared" si="144"/>
        <v>0.34965769267332081</v>
      </c>
      <c r="Q74" s="119">
        <f t="shared" si="144"/>
        <v>0.34883071911591457</v>
      </c>
      <c r="R74" s="119">
        <f t="shared" si="144"/>
        <v>0.31983019327227563</v>
      </c>
      <c r="S74" s="119">
        <f t="shared" si="144"/>
        <v>0.29308023645066261</v>
      </c>
      <c r="T74" s="119">
        <f t="shared" si="144"/>
        <v>0.31106507331373695</v>
      </c>
      <c r="U74" s="119">
        <f t="shared" si="144"/>
        <v>0.30944090582217043</v>
      </c>
      <c r="V74" s="119">
        <f t="shared" si="144"/>
        <v>0.23524037885968965</v>
      </c>
      <c r="W74" s="119">
        <f t="shared" ref="W74" si="145">IF(W52=0,0,W52/W63)</f>
        <v>0.23674081136084157</v>
      </c>
      <c r="DA74" s="176"/>
    </row>
    <row r="75" spans="1:105" ht="11.45" customHeight="1" x14ac:dyDescent="0.25">
      <c r="A75" s="111" t="s">
        <v>92</v>
      </c>
      <c r="B75" s="120">
        <f t="shared" si="141"/>
        <v>0.25120742138096053</v>
      </c>
      <c r="C75" s="120">
        <f t="shared" si="141"/>
        <v>0.25086557134770848</v>
      </c>
      <c r="D75" s="120">
        <f t="shared" si="141"/>
        <v>0.25142025505081322</v>
      </c>
      <c r="E75" s="120">
        <f t="shared" si="141"/>
        <v>0.25176696091160022</v>
      </c>
      <c r="F75" s="120">
        <f t="shared" si="141"/>
        <v>0.25221271659404182</v>
      </c>
      <c r="G75" s="120">
        <f t="shared" si="141"/>
        <v>0.26248952070289178</v>
      </c>
      <c r="H75" s="120">
        <f t="shared" si="141"/>
        <v>0.25367391187518834</v>
      </c>
      <c r="I75" s="120">
        <f t="shared" si="141"/>
        <v>0.25754221984534142</v>
      </c>
      <c r="J75" s="120">
        <f t="shared" si="141"/>
        <v>0.28365687665817607</v>
      </c>
      <c r="K75" s="120">
        <f t="shared" ref="K75:V75" si="146">IF(K53=0,0,K53/K64)</f>
        <v>0.26961823377949956</v>
      </c>
      <c r="L75" s="120">
        <f t="shared" si="146"/>
        <v>0.27639162420719493</v>
      </c>
      <c r="M75" s="120">
        <f t="shared" si="146"/>
        <v>0.28909126221952686</v>
      </c>
      <c r="N75" s="120">
        <f t="shared" si="146"/>
        <v>0.30625791369436345</v>
      </c>
      <c r="O75" s="120">
        <f t="shared" si="146"/>
        <v>0.32197475926378416</v>
      </c>
      <c r="P75" s="120">
        <f t="shared" si="146"/>
        <v>0.31156078830300976</v>
      </c>
      <c r="Q75" s="120">
        <f t="shared" si="146"/>
        <v>0.30990531437069069</v>
      </c>
      <c r="R75" s="120">
        <f t="shared" si="146"/>
        <v>0.31643766154457115</v>
      </c>
      <c r="S75" s="120">
        <f t="shared" si="146"/>
        <v>0.30889824993653936</v>
      </c>
      <c r="T75" s="120">
        <f t="shared" si="146"/>
        <v>0.32495642823287196</v>
      </c>
      <c r="U75" s="120">
        <f t="shared" si="146"/>
        <v>0.30703021087369647</v>
      </c>
      <c r="V75" s="120">
        <f t="shared" si="146"/>
        <v>0.21473213710473135</v>
      </c>
      <c r="W75" s="120">
        <f t="shared" ref="W75" si="147">IF(W53=0,0,W53/W64)</f>
        <v>0.22991560932309416</v>
      </c>
      <c r="DA75" s="171"/>
    </row>
    <row r="76" spans="1:105" ht="11.45" customHeight="1" x14ac:dyDescent="0.25">
      <c r="A76" s="111" t="s">
        <v>93</v>
      </c>
      <c r="B76" s="120">
        <f t="shared" si="141"/>
        <v>0.34675777765536286</v>
      </c>
      <c r="C76" s="120">
        <f t="shared" si="141"/>
        <v>0.38815698927466225</v>
      </c>
      <c r="D76" s="120">
        <f t="shared" si="141"/>
        <v>0.4065114977871585</v>
      </c>
      <c r="E76" s="120">
        <f t="shared" si="141"/>
        <v>0.40107920327511337</v>
      </c>
      <c r="F76" s="120">
        <f t="shared" si="141"/>
        <v>0.3925660718052762</v>
      </c>
      <c r="G76" s="120">
        <f t="shared" si="141"/>
        <v>0.43646905642486422</v>
      </c>
      <c r="H76" s="120">
        <f t="shared" si="141"/>
        <v>0.43160515093347601</v>
      </c>
      <c r="I76" s="120">
        <f t="shared" si="141"/>
        <v>0.43032525709923586</v>
      </c>
      <c r="J76" s="120">
        <f t="shared" si="141"/>
        <v>0.42977775869260731</v>
      </c>
      <c r="K76" s="120">
        <f t="shared" ref="K76:V76" si="148">IF(K54=0,0,K54/K65)</f>
        <v>0.39140211361787675</v>
      </c>
      <c r="L76" s="120">
        <f t="shared" si="148"/>
        <v>0.37805808941015617</v>
      </c>
      <c r="M76" s="120">
        <f t="shared" si="148"/>
        <v>0.44262976624939998</v>
      </c>
      <c r="N76" s="120">
        <f t="shared" si="148"/>
        <v>0.45084613459782441</v>
      </c>
      <c r="O76" s="120">
        <f t="shared" si="148"/>
        <v>0.38741848331711037</v>
      </c>
      <c r="P76" s="120">
        <f t="shared" si="148"/>
        <v>0.35820198154532756</v>
      </c>
      <c r="Q76" s="120">
        <f t="shared" si="148"/>
        <v>0.35551530364390821</v>
      </c>
      <c r="R76" s="120">
        <f t="shared" si="148"/>
        <v>0.32034169480557073</v>
      </c>
      <c r="S76" s="120">
        <f t="shared" si="148"/>
        <v>0.29071908143876229</v>
      </c>
      <c r="T76" s="120">
        <f t="shared" si="148"/>
        <v>0.30904821328660642</v>
      </c>
      <c r="U76" s="120">
        <f t="shared" si="148"/>
        <v>0.30981300204382445</v>
      </c>
      <c r="V76" s="120">
        <f t="shared" si="148"/>
        <v>0.23882684557034942</v>
      </c>
      <c r="W76" s="120">
        <f t="shared" ref="W76" si="149">IF(W54=0,0,W54/W65)</f>
        <v>0.23779095073259535</v>
      </c>
      <c r="DA76" s="171"/>
    </row>
    <row r="77" spans="1:105" ht="11.45" customHeight="1" x14ac:dyDescent="0.25">
      <c r="A77" s="112" t="s">
        <v>25</v>
      </c>
      <c r="B77" s="121">
        <f t="shared" si="141"/>
        <v>0</v>
      </c>
      <c r="C77" s="121">
        <f t="shared" si="141"/>
        <v>0</v>
      </c>
      <c r="D77" s="121">
        <f t="shared" si="141"/>
        <v>0</v>
      </c>
      <c r="E77" s="121">
        <f t="shared" si="141"/>
        <v>0</v>
      </c>
      <c r="F77" s="121">
        <f t="shared" si="141"/>
        <v>0</v>
      </c>
      <c r="G77" s="121">
        <f t="shared" si="141"/>
        <v>0</v>
      </c>
      <c r="H77" s="121">
        <f t="shared" si="141"/>
        <v>0</v>
      </c>
      <c r="I77" s="121">
        <f t="shared" si="141"/>
        <v>0</v>
      </c>
      <c r="J77" s="121">
        <f t="shared" si="141"/>
        <v>0</v>
      </c>
      <c r="K77" s="121">
        <f t="shared" ref="K77:V77" si="150">IF(K55=0,0,K55/K66)</f>
        <v>0</v>
      </c>
      <c r="L77" s="121">
        <f t="shared" si="150"/>
        <v>0</v>
      </c>
      <c r="M77" s="121">
        <f t="shared" si="150"/>
        <v>0</v>
      </c>
      <c r="N77" s="121">
        <f t="shared" si="150"/>
        <v>0</v>
      </c>
      <c r="O77" s="121">
        <f t="shared" si="150"/>
        <v>0</v>
      </c>
      <c r="P77" s="121">
        <f t="shared" si="150"/>
        <v>0</v>
      </c>
      <c r="Q77" s="121">
        <f t="shared" si="150"/>
        <v>0</v>
      </c>
      <c r="R77" s="121">
        <f t="shared" si="150"/>
        <v>0</v>
      </c>
      <c r="S77" s="121">
        <f t="shared" si="150"/>
        <v>0</v>
      </c>
      <c r="T77" s="121">
        <f t="shared" si="150"/>
        <v>0</v>
      </c>
      <c r="U77" s="121">
        <f t="shared" si="150"/>
        <v>0</v>
      </c>
      <c r="V77" s="121">
        <f t="shared" si="150"/>
        <v>0</v>
      </c>
      <c r="W77" s="121">
        <f t="shared" ref="W77" si="151">IF(W55=0,0,W55/W66)</f>
        <v>0</v>
      </c>
      <c r="DA77" s="204"/>
    </row>
    <row r="78" spans="1:105" ht="11.45" customHeight="1" x14ac:dyDescent="0.25">
      <c r="A78" s="27" t="s">
        <v>34</v>
      </c>
      <c r="B78" s="30">
        <f t="shared" si="141"/>
        <v>0.2066537277184268</v>
      </c>
      <c r="C78" s="30">
        <f t="shared" si="141"/>
        <v>0.21491985732527011</v>
      </c>
      <c r="D78" s="30">
        <f t="shared" si="141"/>
        <v>0.2149198553230485</v>
      </c>
      <c r="E78" s="30">
        <f t="shared" si="141"/>
        <v>0.2149198536452232</v>
      </c>
      <c r="F78" s="30">
        <f t="shared" si="141"/>
        <v>0.21491985461287125</v>
      </c>
      <c r="G78" s="30">
        <f t="shared" si="141"/>
        <v>0.22035333861310244</v>
      </c>
      <c r="H78" s="30">
        <f t="shared" si="141"/>
        <v>0.23152449817964141</v>
      </c>
      <c r="I78" s="30">
        <f t="shared" si="141"/>
        <v>0.2265550816511557</v>
      </c>
      <c r="J78" s="30">
        <f t="shared" si="141"/>
        <v>0.23102772141345812</v>
      </c>
      <c r="K78" s="30">
        <f t="shared" ref="K78:V78" si="152">IF(K56=0,0,K56/K67)</f>
        <v>0.2224928730972173</v>
      </c>
      <c r="L78" s="30">
        <f t="shared" si="152"/>
        <v>0.2292396150321831</v>
      </c>
      <c r="M78" s="30">
        <f t="shared" si="152"/>
        <v>0.2212044339319014</v>
      </c>
      <c r="N78" s="30">
        <f t="shared" si="152"/>
        <v>0.22896016047223014</v>
      </c>
      <c r="O78" s="30">
        <f t="shared" si="152"/>
        <v>0.21962239149953666</v>
      </c>
      <c r="P78" s="30">
        <f t="shared" si="152"/>
        <v>0.24138231751831496</v>
      </c>
      <c r="Q78" s="30">
        <f t="shared" si="152"/>
        <v>0.23667400232873845</v>
      </c>
      <c r="R78" s="30">
        <f t="shared" si="152"/>
        <v>0.24366579877537367</v>
      </c>
      <c r="S78" s="30">
        <f t="shared" si="152"/>
        <v>0.24657604610354036</v>
      </c>
      <c r="T78" s="30">
        <f t="shared" si="152"/>
        <v>0.23792428016271558</v>
      </c>
      <c r="U78" s="30">
        <f t="shared" si="152"/>
        <v>0.22734945722624511</v>
      </c>
      <c r="V78" s="30">
        <f t="shared" si="152"/>
        <v>0.18201954871486828</v>
      </c>
      <c r="W78" s="30">
        <f t="shared" ref="W78" si="153">IF(W56=0,0,W56/W67)</f>
        <v>0.20290668792997854</v>
      </c>
      <c r="DA78" s="173"/>
    </row>
    <row r="79" spans="1:105" ht="11.45" customHeight="1" x14ac:dyDescent="0.25">
      <c r="A79" s="83" t="s">
        <v>92</v>
      </c>
      <c r="B79" s="120">
        <f t="shared" si="141"/>
        <v>0.2170763627237052</v>
      </c>
      <c r="C79" s="120">
        <f t="shared" si="141"/>
        <v>0.21703059430399799</v>
      </c>
      <c r="D79" s="120">
        <f t="shared" si="141"/>
        <v>0.20791779191837753</v>
      </c>
      <c r="E79" s="120">
        <f t="shared" si="141"/>
        <v>0.20783370586237845</v>
      </c>
      <c r="F79" s="120">
        <f t="shared" si="141"/>
        <v>0.20781085569255872</v>
      </c>
      <c r="G79" s="120">
        <f t="shared" si="141"/>
        <v>0.22062087335475455</v>
      </c>
      <c r="H79" s="120">
        <f t="shared" si="141"/>
        <v>0.21073525630693488</v>
      </c>
      <c r="I79" s="120">
        <f t="shared" si="141"/>
        <v>0.20618926826072573</v>
      </c>
      <c r="J79" s="120">
        <f t="shared" si="141"/>
        <v>0.29457996336573727</v>
      </c>
      <c r="K79" s="120">
        <f t="shared" ref="K79:V79" si="154">IF(K57=0,0,K57/K68)</f>
        <v>0.30391458150893164</v>
      </c>
      <c r="L79" s="120">
        <f t="shared" si="154"/>
        <v>0.31892718951277077</v>
      </c>
      <c r="M79" s="120">
        <f t="shared" si="154"/>
        <v>0.33873247831341835</v>
      </c>
      <c r="N79" s="120">
        <f t="shared" si="154"/>
        <v>0.35048712022343609</v>
      </c>
      <c r="O79" s="120">
        <f t="shared" si="154"/>
        <v>0.33643021848151922</v>
      </c>
      <c r="P79" s="120">
        <f t="shared" si="154"/>
        <v>0.3695933245872936</v>
      </c>
      <c r="Q79" s="120">
        <f t="shared" si="154"/>
        <v>0.36281008333848641</v>
      </c>
      <c r="R79" s="120">
        <f t="shared" si="154"/>
        <v>0.37349561490583133</v>
      </c>
      <c r="S79" s="120">
        <f t="shared" si="154"/>
        <v>0.37173555029055261</v>
      </c>
      <c r="T79" s="120">
        <f t="shared" si="154"/>
        <v>0.36422538444248093</v>
      </c>
      <c r="U79" s="120">
        <f t="shared" si="154"/>
        <v>0.34905485701347611</v>
      </c>
      <c r="V79" s="120">
        <f t="shared" si="154"/>
        <v>0.33272302545830551</v>
      </c>
      <c r="W79" s="120">
        <f t="shared" ref="W79" si="155">IF(W57=0,0,W57/W68)</f>
        <v>0.33546831311101116</v>
      </c>
      <c r="DA79" s="171"/>
    </row>
    <row r="80" spans="1:105" ht="11.45" customHeight="1" x14ac:dyDescent="0.25">
      <c r="A80" s="85" t="s">
        <v>93</v>
      </c>
      <c r="B80" s="122">
        <f t="shared" si="141"/>
        <v>0.20604507046487816</v>
      </c>
      <c r="C80" s="122">
        <f t="shared" si="141"/>
        <v>0.21478589550321567</v>
      </c>
      <c r="D80" s="122">
        <f t="shared" si="141"/>
        <v>0.21541539594591685</v>
      </c>
      <c r="E80" s="122">
        <f t="shared" si="141"/>
        <v>0.21545890441275586</v>
      </c>
      <c r="F80" s="122">
        <f t="shared" si="141"/>
        <v>0.21547095589750961</v>
      </c>
      <c r="G80" s="122">
        <f t="shared" si="141"/>
        <v>0.22033084280899901</v>
      </c>
      <c r="H80" s="122">
        <f t="shared" si="141"/>
        <v>0.23345956830104764</v>
      </c>
      <c r="I80" s="122">
        <f t="shared" si="141"/>
        <v>0.22848329130799175</v>
      </c>
      <c r="J80" s="122">
        <f t="shared" si="141"/>
        <v>0.22729743382656253</v>
      </c>
      <c r="K80" s="122">
        <f t="shared" ref="K80:V80" si="156">IF(K58=0,0,K58/K69)</f>
        <v>0.2179363717339653</v>
      </c>
      <c r="L80" s="122">
        <f t="shared" si="156"/>
        <v>0.22457761492291645</v>
      </c>
      <c r="M80" s="122">
        <f t="shared" si="156"/>
        <v>0.21624345190749966</v>
      </c>
      <c r="N80" s="122">
        <f t="shared" si="156"/>
        <v>0.22349809206585636</v>
      </c>
      <c r="O80" s="122">
        <f t="shared" si="156"/>
        <v>0.21501509345519476</v>
      </c>
      <c r="P80" s="122">
        <f t="shared" si="156"/>
        <v>0.2358587587020779</v>
      </c>
      <c r="Q80" s="122">
        <f t="shared" si="156"/>
        <v>0.23238691897102987</v>
      </c>
      <c r="R80" s="122">
        <f t="shared" si="156"/>
        <v>0.23924578464154028</v>
      </c>
      <c r="S80" s="122">
        <f t="shared" si="156"/>
        <v>0.24195119523092673</v>
      </c>
      <c r="T80" s="122">
        <f t="shared" si="156"/>
        <v>0.23348744451893444</v>
      </c>
      <c r="U80" s="122">
        <f t="shared" si="156"/>
        <v>0.22302542417863408</v>
      </c>
      <c r="V80" s="122">
        <f t="shared" si="156"/>
        <v>0.17613400609462893</v>
      </c>
      <c r="W80" s="122">
        <f t="shared" ref="W80" si="157">IF(W58=0,0,W58/W69)</f>
        <v>0.19750473755785478</v>
      </c>
      <c r="DA80" s="178"/>
    </row>
    <row r="81" spans="1:105" x14ac:dyDescent="0.25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DA81" s="171"/>
    </row>
    <row r="82" spans="1:105" ht="11.45" customHeight="1" x14ac:dyDescent="0.25">
      <c r="A82" s="53" t="s">
        <v>105</v>
      </c>
      <c r="B82" s="54">
        <f t="shared" ref="B82:J82" si="158">IF(B14=0,0,B14/B25*1000000)</f>
        <v>136403.50456139189</v>
      </c>
      <c r="C82" s="54">
        <f t="shared" si="158"/>
        <v>135128.95727893981</v>
      </c>
      <c r="D82" s="54">
        <f t="shared" si="158"/>
        <v>135331.79712488825</v>
      </c>
      <c r="E82" s="54">
        <f t="shared" si="158"/>
        <v>134999.31722722057</v>
      </c>
      <c r="F82" s="54">
        <f t="shared" si="158"/>
        <v>135592.29189851624</v>
      </c>
      <c r="G82" s="54">
        <f t="shared" si="158"/>
        <v>135236.05770083985</v>
      </c>
      <c r="H82" s="54">
        <f t="shared" si="158"/>
        <v>135573.26763175795</v>
      </c>
      <c r="I82" s="54">
        <f t="shared" si="158"/>
        <v>135932.32601668153</v>
      </c>
      <c r="J82" s="54">
        <f t="shared" si="158"/>
        <v>136125.27687141966</v>
      </c>
      <c r="K82" s="54">
        <f t="shared" ref="K82:V82" si="159">IF(K14=0,0,K14/K25*1000000)</f>
        <v>133315.5967929246</v>
      </c>
      <c r="L82" s="54">
        <f t="shared" si="159"/>
        <v>135312.15611572861</v>
      </c>
      <c r="M82" s="54">
        <f t="shared" si="159"/>
        <v>134822.06676684349</v>
      </c>
      <c r="N82" s="54">
        <f t="shared" si="159"/>
        <v>134835.00530168501</v>
      </c>
      <c r="O82" s="54">
        <f t="shared" si="159"/>
        <v>135344.78712817319</v>
      </c>
      <c r="P82" s="54">
        <f t="shared" si="159"/>
        <v>136601.83545484542</v>
      </c>
      <c r="Q82" s="54">
        <f t="shared" si="159"/>
        <v>135237.87752784145</v>
      </c>
      <c r="R82" s="54">
        <f t="shared" si="159"/>
        <v>136725.47673920172</v>
      </c>
      <c r="S82" s="54">
        <f t="shared" si="159"/>
        <v>138055.12424261734</v>
      </c>
      <c r="T82" s="54">
        <f t="shared" si="159"/>
        <v>138367.11250071009</v>
      </c>
      <c r="U82" s="54">
        <f t="shared" si="159"/>
        <v>138252.66414209703</v>
      </c>
      <c r="V82" s="54">
        <f t="shared" si="159"/>
        <v>125196.67499409251</v>
      </c>
      <c r="W82" s="54">
        <f t="shared" ref="W82" si="160">IF(W14=0,0,W14/W25*1000000)</f>
        <v>134932.80753770086</v>
      </c>
      <c r="DA82" s="172" t="s">
        <v>1081</v>
      </c>
    </row>
    <row r="83" spans="1:105" ht="11.45" customHeight="1" x14ac:dyDescent="0.25">
      <c r="A83" s="27" t="s">
        <v>33</v>
      </c>
      <c r="B83" s="28">
        <f t="shared" ref="B83:J91" si="161">IF(B15=0,0,B15/B26*1000000)</f>
        <v>126980.67402359184</v>
      </c>
      <c r="C83" s="28">
        <f t="shared" si="161"/>
        <v>125497.15000593872</v>
      </c>
      <c r="D83" s="28">
        <f t="shared" si="161"/>
        <v>125543.27363305404</v>
      </c>
      <c r="E83" s="28">
        <f t="shared" si="161"/>
        <v>125406.81368853427</v>
      </c>
      <c r="F83" s="28">
        <f t="shared" si="161"/>
        <v>125015.07038858948</v>
      </c>
      <c r="G83" s="28">
        <f t="shared" si="161"/>
        <v>124655.53859323998</v>
      </c>
      <c r="H83" s="28">
        <f t="shared" si="161"/>
        <v>124810.4774275744</v>
      </c>
      <c r="I83" s="28">
        <f t="shared" si="161"/>
        <v>124982.82257086164</v>
      </c>
      <c r="J83" s="28">
        <f t="shared" si="161"/>
        <v>126150.45837552346</v>
      </c>
      <c r="K83" s="28">
        <f t="shared" ref="K83:V83" si="162">IF(K15=0,0,K15/K26*1000000)</f>
        <v>126521.9226240695</v>
      </c>
      <c r="L83" s="28">
        <f t="shared" si="162"/>
        <v>126673.06749751151</v>
      </c>
      <c r="M83" s="28">
        <f t="shared" si="162"/>
        <v>125257.55263466762</v>
      </c>
      <c r="N83" s="28">
        <f t="shared" si="162"/>
        <v>125958.42587365212</v>
      </c>
      <c r="O83" s="28">
        <f t="shared" si="162"/>
        <v>126845.02959194161</v>
      </c>
      <c r="P83" s="28">
        <f t="shared" si="162"/>
        <v>128509.62740192773</v>
      </c>
      <c r="Q83" s="28">
        <f t="shared" si="162"/>
        <v>127053.16589601507</v>
      </c>
      <c r="R83" s="28">
        <f t="shared" si="162"/>
        <v>129048.94033352795</v>
      </c>
      <c r="S83" s="28">
        <f t="shared" si="162"/>
        <v>130508.02024183403</v>
      </c>
      <c r="T83" s="28">
        <f t="shared" si="162"/>
        <v>130488.23524616162</v>
      </c>
      <c r="U83" s="28">
        <f t="shared" si="162"/>
        <v>130269.4979916033</v>
      </c>
      <c r="V83" s="28">
        <f t="shared" si="162"/>
        <v>113434.83903095291</v>
      </c>
      <c r="W83" s="28">
        <f t="shared" ref="W83" si="163">IF(W15=0,0,W15/W26*1000000)</f>
        <v>124859.6999919841</v>
      </c>
      <c r="DA83" s="173" t="s">
        <v>1082</v>
      </c>
    </row>
    <row r="84" spans="1:105" ht="11.45" customHeight="1" x14ac:dyDescent="0.25">
      <c r="A84" s="107" t="s">
        <v>23</v>
      </c>
      <c r="B84" s="108">
        <f t="shared" si="161"/>
        <v>109999.9999332458</v>
      </c>
      <c r="C84" s="108">
        <f t="shared" si="161"/>
        <v>109999.99989675685</v>
      </c>
      <c r="D84" s="108">
        <f t="shared" si="161"/>
        <v>109999.9999557569</v>
      </c>
      <c r="E84" s="108">
        <f t="shared" si="161"/>
        <v>109999.99997974663</v>
      </c>
      <c r="F84" s="108">
        <f t="shared" si="161"/>
        <v>109999.99999155625</v>
      </c>
      <c r="G84" s="108">
        <f t="shared" si="161"/>
        <v>109999.99999157242</v>
      </c>
      <c r="H84" s="108">
        <f t="shared" si="161"/>
        <v>109999.99992187852</v>
      </c>
      <c r="I84" s="108">
        <f t="shared" si="161"/>
        <v>109999.99994605448</v>
      </c>
      <c r="J84" s="108">
        <f t="shared" si="161"/>
        <v>109999.99998237549</v>
      </c>
      <c r="K84" s="108">
        <f t="shared" ref="K84:V84" si="164">IF(K16=0,0,K16/K27*1000000)</f>
        <v>109999.99997584155</v>
      </c>
      <c r="L84" s="108">
        <f t="shared" si="164"/>
        <v>109999.99988529029</v>
      </c>
      <c r="M84" s="108">
        <f t="shared" si="164"/>
        <v>109999.9998787622</v>
      </c>
      <c r="N84" s="108">
        <f t="shared" si="164"/>
        <v>109999.9999495986</v>
      </c>
      <c r="O84" s="108">
        <f t="shared" si="164"/>
        <v>109999.99997319849</v>
      </c>
      <c r="P84" s="108">
        <f t="shared" si="164"/>
        <v>109999.99995677499</v>
      </c>
      <c r="Q84" s="108">
        <f t="shared" si="164"/>
        <v>109999.9999807681</v>
      </c>
      <c r="R84" s="108">
        <f t="shared" si="164"/>
        <v>109999.99990530555</v>
      </c>
      <c r="S84" s="108">
        <f t="shared" si="164"/>
        <v>109999.99996397192</v>
      </c>
      <c r="T84" s="108">
        <f t="shared" si="164"/>
        <v>109999.9999331401</v>
      </c>
      <c r="U84" s="108">
        <f t="shared" si="164"/>
        <v>109999.99994684177</v>
      </c>
      <c r="V84" s="108">
        <f t="shared" si="164"/>
        <v>109999.99987984217</v>
      </c>
      <c r="W84" s="108">
        <f t="shared" ref="W84" si="165">IF(W16=0,0,W16/W27*1000000)</f>
        <v>109999.99997953206</v>
      </c>
      <c r="DA84" s="203" t="s">
        <v>1083</v>
      </c>
    </row>
    <row r="85" spans="1:105" ht="11.45" customHeight="1" x14ac:dyDescent="0.25">
      <c r="A85" s="109" t="s">
        <v>24</v>
      </c>
      <c r="B85" s="110">
        <f t="shared" si="161"/>
        <v>149999.99990338547</v>
      </c>
      <c r="C85" s="110">
        <f t="shared" si="161"/>
        <v>148622.06361430336</v>
      </c>
      <c r="D85" s="110">
        <f t="shared" si="161"/>
        <v>149999.99978493433</v>
      </c>
      <c r="E85" s="110">
        <f t="shared" si="161"/>
        <v>149999.99960322975</v>
      </c>
      <c r="F85" s="110">
        <f t="shared" si="161"/>
        <v>149999.99990685657</v>
      </c>
      <c r="G85" s="110">
        <f t="shared" si="161"/>
        <v>149999.9998406923</v>
      </c>
      <c r="H85" s="110">
        <f t="shared" si="161"/>
        <v>149999.99986548338</v>
      </c>
      <c r="I85" s="110">
        <f t="shared" si="161"/>
        <v>149999.99954555411</v>
      </c>
      <c r="J85" s="110">
        <f t="shared" si="161"/>
        <v>149999.99956508534</v>
      </c>
      <c r="K85" s="110">
        <f t="shared" ref="K85:V85" si="166">IF(K17=0,0,K17/K28*1000000)</f>
        <v>149999.99970814571</v>
      </c>
      <c r="L85" s="110">
        <f t="shared" si="166"/>
        <v>149952.77244971847</v>
      </c>
      <c r="M85" s="110">
        <f t="shared" si="166"/>
        <v>148385.87138970196</v>
      </c>
      <c r="N85" s="110">
        <f t="shared" si="166"/>
        <v>149999.9998864748</v>
      </c>
      <c r="O85" s="110">
        <f t="shared" si="166"/>
        <v>148361.85943315303</v>
      </c>
      <c r="P85" s="110">
        <f t="shared" si="166"/>
        <v>149999.99979171489</v>
      </c>
      <c r="Q85" s="110">
        <f t="shared" si="166"/>
        <v>146648.8073482734</v>
      </c>
      <c r="R85" s="110">
        <f t="shared" si="166"/>
        <v>148629.57948170099</v>
      </c>
      <c r="S85" s="110">
        <f t="shared" si="166"/>
        <v>149999.99986190879</v>
      </c>
      <c r="T85" s="110">
        <f t="shared" si="166"/>
        <v>149999.99983036335</v>
      </c>
      <c r="U85" s="110">
        <f t="shared" si="166"/>
        <v>149999.99981167194</v>
      </c>
      <c r="V85" s="110">
        <f t="shared" si="166"/>
        <v>116994.58458042564</v>
      </c>
      <c r="W85" s="110">
        <f t="shared" ref="W85" si="167">IF(W17=0,0,W17/W28*1000000)</f>
        <v>141344.27521989707</v>
      </c>
      <c r="DA85" s="176" t="s">
        <v>1084</v>
      </c>
    </row>
    <row r="86" spans="1:105" ht="11.45" customHeight="1" x14ac:dyDescent="0.25">
      <c r="A86" s="111" t="s">
        <v>92</v>
      </c>
      <c r="B86" s="84">
        <f t="shared" si="161"/>
        <v>149999.99939130858</v>
      </c>
      <c r="C86" s="84">
        <f t="shared" si="161"/>
        <v>149999.99891438923</v>
      </c>
      <c r="D86" s="84">
        <f t="shared" si="161"/>
        <v>149999.99939162104</v>
      </c>
      <c r="E86" s="84">
        <f t="shared" si="161"/>
        <v>149999.99859066872</v>
      </c>
      <c r="F86" s="84">
        <f t="shared" si="161"/>
        <v>149999.99956128505</v>
      </c>
      <c r="G86" s="84">
        <f t="shared" si="161"/>
        <v>149999.99956122733</v>
      </c>
      <c r="H86" s="84">
        <f t="shared" si="161"/>
        <v>149999.99994611624</v>
      </c>
      <c r="I86" s="84">
        <f t="shared" si="161"/>
        <v>149999.99890811762</v>
      </c>
      <c r="J86" s="84">
        <f t="shared" si="161"/>
        <v>149999.99906948456</v>
      </c>
      <c r="K86" s="84">
        <f t="shared" ref="K86:V86" si="168">IF(K18=0,0,K18/K29*1000000)</f>
        <v>149999.99962209768</v>
      </c>
      <c r="L86" s="84">
        <f t="shared" si="168"/>
        <v>149799.43330471771</v>
      </c>
      <c r="M86" s="84">
        <f t="shared" si="168"/>
        <v>143277.7341053345</v>
      </c>
      <c r="N86" s="84">
        <f t="shared" si="168"/>
        <v>149999.99984081209</v>
      </c>
      <c r="O86" s="84">
        <f t="shared" si="168"/>
        <v>141365.11754984947</v>
      </c>
      <c r="P86" s="84">
        <f t="shared" si="168"/>
        <v>149999.99957277408</v>
      </c>
      <c r="Q86" s="84">
        <f t="shared" si="168"/>
        <v>129766.58141183178</v>
      </c>
      <c r="R86" s="84">
        <f t="shared" si="168"/>
        <v>140137.87135366333</v>
      </c>
      <c r="S86" s="84">
        <f t="shared" si="168"/>
        <v>149999.99923135724</v>
      </c>
      <c r="T86" s="84">
        <f t="shared" si="168"/>
        <v>149999.99906261833</v>
      </c>
      <c r="U86" s="84">
        <f t="shared" si="168"/>
        <v>149999.99891448024</v>
      </c>
      <c r="V86" s="84">
        <f t="shared" si="168"/>
        <v>131386.08799780044</v>
      </c>
      <c r="W86" s="84">
        <f t="shared" ref="W86" si="169">IF(W18=0,0,W18/W29*1000000)</f>
        <v>143642.39380196063</v>
      </c>
      <c r="DA86" s="171" t="s">
        <v>1085</v>
      </c>
    </row>
    <row r="87" spans="1:105" ht="11.45" customHeight="1" x14ac:dyDescent="0.25">
      <c r="A87" s="111" t="s">
        <v>93</v>
      </c>
      <c r="B87" s="84">
        <f t="shared" si="161"/>
        <v>149999.99999487089</v>
      </c>
      <c r="C87" s="84">
        <f t="shared" si="161"/>
        <v>148334.47318843062</v>
      </c>
      <c r="D87" s="84">
        <f t="shared" si="161"/>
        <v>149999.99987837815</v>
      </c>
      <c r="E87" s="84">
        <f t="shared" si="161"/>
        <v>149999.99986381366</v>
      </c>
      <c r="F87" s="84">
        <f t="shared" si="161"/>
        <v>149999.99999942217</v>
      </c>
      <c r="G87" s="84">
        <f t="shared" si="161"/>
        <v>149999.99993128891</v>
      </c>
      <c r="H87" s="84">
        <f t="shared" si="161"/>
        <v>149999.99983934296</v>
      </c>
      <c r="I87" s="84">
        <f t="shared" si="161"/>
        <v>149999.99975251008</v>
      </c>
      <c r="J87" s="84">
        <f t="shared" si="161"/>
        <v>149999.99974171558</v>
      </c>
      <c r="K87" s="84">
        <f t="shared" ref="K87:V87" si="170">IF(K19=0,0,K19/K30*1000000)</f>
        <v>149999.99973768933</v>
      </c>
      <c r="L87" s="84">
        <f t="shared" si="170"/>
        <v>149999.99985722627</v>
      </c>
      <c r="M87" s="84">
        <f t="shared" si="170"/>
        <v>149999.99979562245</v>
      </c>
      <c r="N87" s="84">
        <f t="shared" si="170"/>
        <v>149999.99990078952</v>
      </c>
      <c r="O87" s="84">
        <f t="shared" si="170"/>
        <v>149999.99983181697</v>
      </c>
      <c r="P87" s="84">
        <f t="shared" si="170"/>
        <v>149999.99984081843</v>
      </c>
      <c r="Q87" s="84">
        <f t="shared" si="170"/>
        <v>149999.99992784497</v>
      </c>
      <c r="R87" s="84">
        <f t="shared" si="170"/>
        <v>149999.99990646978</v>
      </c>
      <c r="S87" s="84">
        <f t="shared" si="170"/>
        <v>149999.99995603118</v>
      </c>
      <c r="T87" s="84">
        <f t="shared" si="170"/>
        <v>149999.99994183084</v>
      </c>
      <c r="U87" s="84">
        <f t="shared" si="170"/>
        <v>149999.99995015553</v>
      </c>
      <c r="V87" s="84">
        <f t="shared" si="170"/>
        <v>114795.60885623969</v>
      </c>
      <c r="W87" s="84">
        <f t="shared" ref="W87" si="171">IF(W19=0,0,W19/W30*1000000)</f>
        <v>140997.19353404452</v>
      </c>
      <c r="DA87" s="171" t="s">
        <v>1086</v>
      </c>
    </row>
    <row r="88" spans="1:105" ht="11.45" customHeight="1" x14ac:dyDescent="0.25">
      <c r="A88" s="112" t="s">
        <v>25</v>
      </c>
      <c r="B88" s="113">
        <f t="shared" si="161"/>
        <v>0</v>
      </c>
      <c r="C88" s="113">
        <f t="shared" si="161"/>
        <v>0</v>
      </c>
      <c r="D88" s="113">
        <f t="shared" si="161"/>
        <v>0</v>
      </c>
      <c r="E88" s="113">
        <f t="shared" si="161"/>
        <v>0</v>
      </c>
      <c r="F88" s="113">
        <f t="shared" si="161"/>
        <v>0</v>
      </c>
      <c r="G88" s="113">
        <f t="shared" si="161"/>
        <v>0</v>
      </c>
      <c r="H88" s="113">
        <f t="shared" si="161"/>
        <v>0</v>
      </c>
      <c r="I88" s="113">
        <f t="shared" si="161"/>
        <v>0</v>
      </c>
      <c r="J88" s="113">
        <f t="shared" si="161"/>
        <v>0</v>
      </c>
      <c r="K88" s="113">
        <f t="shared" ref="K88:V88" si="172">IF(K20=0,0,K20/K31*1000000)</f>
        <v>0</v>
      </c>
      <c r="L88" s="113">
        <f t="shared" si="172"/>
        <v>0</v>
      </c>
      <c r="M88" s="113">
        <f t="shared" si="172"/>
        <v>0</v>
      </c>
      <c r="N88" s="113">
        <f t="shared" si="172"/>
        <v>0</v>
      </c>
      <c r="O88" s="113">
        <f t="shared" si="172"/>
        <v>0</v>
      </c>
      <c r="P88" s="113">
        <f t="shared" si="172"/>
        <v>0</v>
      </c>
      <c r="Q88" s="113">
        <f t="shared" si="172"/>
        <v>0</v>
      </c>
      <c r="R88" s="113">
        <f t="shared" si="172"/>
        <v>0</v>
      </c>
      <c r="S88" s="113">
        <f t="shared" si="172"/>
        <v>0</v>
      </c>
      <c r="T88" s="113">
        <f t="shared" si="172"/>
        <v>0</v>
      </c>
      <c r="U88" s="113">
        <f t="shared" si="172"/>
        <v>0</v>
      </c>
      <c r="V88" s="113">
        <f t="shared" si="172"/>
        <v>0</v>
      </c>
      <c r="W88" s="113">
        <f t="shared" ref="W88" si="173">IF(W20=0,0,W20/W31*1000000)</f>
        <v>0</v>
      </c>
      <c r="DA88" s="204" t="s">
        <v>1087</v>
      </c>
    </row>
    <row r="89" spans="1:105" ht="11.45" customHeight="1" x14ac:dyDescent="0.25">
      <c r="A89" s="27" t="s">
        <v>34</v>
      </c>
      <c r="B89" s="28">
        <f t="shared" si="161"/>
        <v>199999.99870833618</v>
      </c>
      <c r="C89" s="28">
        <f t="shared" si="161"/>
        <v>199999.99886278657</v>
      </c>
      <c r="D89" s="28">
        <f t="shared" si="161"/>
        <v>199999.99907002156</v>
      </c>
      <c r="E89" s="28">
        <f t="shared" si="161"/>
        <v>199999.99819739626</v>
      </c>
      <c r="F89" s="28">
        <f t="shared" si="161"/>
        <v>199999.99847545777</v>
      </c>
      <c r="G89" s="28">
        <f t="shared" si="161"/>
        <v>199999.99898407771</v>
      </c>
      <c r="H89" s="28">
        <f t="shared" si="161"/>
        <v>199999.99967740057</v>
      </c>
      <c r="I89" s="28">
        <f t="shared" si="161"/>
        <v>199999.99973477286</v>
      </c>
      <c r="J89" s="28">
        <f t="shared" si="161"/>
        <v>194951.98181087917</v>
      </c>
      <c r="K89" s="28">
        <f t="shared" ref="K89:V89" si="174">IF(K21=0,0,K21/K32*1000000)</f>
        <v>178880.49643390885</v>
      </c>
      <c r="L89" s="28">
        <f t="shared" si="174"/>
        <v>194265.13275539779</v>
      </c>
      <c r="M89" s="28">
        <f t="shared" si="174"/>
        <v>194376.8750216832</v>
      </c>
      <c r="N89" s="28">
        <f t="shared" si="174"/>
        <v>194786.28318550336</v>
      </c>
      <c r="O89" s="28">
        <f t="shared" si="174"/>
        <v>195178.29924186802</v>
      </c>
      <c r="P89" s="28">
        <f t="shared" si="174"/>
        <v>196555.09021367226</v>
      </c>
      <c r="Q89" s="28">
        <f t="shared" si="174"/>
        <v>196158.70120695964</v>
      </c>
      <c r="R89" s="28">
        <f t="shared" si="174"/>
        <v>197114.18150128701</v>
      </c>
      <c r="S89" s="28">
        <f t="shared" si="174"/>
        <v>198876.07648798337</v>
      </c>
      <c r="T89" s="28">
        <f t="shared" si="174"/>
        <v>199684.98434195854</v>
      </c>
      <c r="U89" s="28">
        <f t="shared" si="174"/>
        <v>199999.99858881423</v>
      </c>
      <c r="V89" s="28">
        <f t="shared" si="174"/>
        <v>199999.99891329696</v>
      </c>
      <c r="W89" s="28">
        <f t="shared" ref="W89" si="175">IF(W21=0,0,W21/W32*1000000)</f>
        <v>199999.99905396294</v>
      </c>
      <c r="DA89" s="173" t="s">
        <v>1088</v>
      </c>
    </row>
    <row r="90" spans="1:105" ht="11.45" customHeight="1" x14ac:dyDescent="0.25">
      <c r="A90" s="83" t="s">
        <v>92</v>
      </c>
      <c r="B90" s="84">
        <f t="shared" si="161"/>
        <v>199999.99002637638</v>
      </c>
      <c r="C90" s="84">
        <f t="shared" si="161"/>
        <v>199999.98697263049</v>
      </c>
      <c r="D90" s="84">
        <f t="shared" si="161"/>
        <v>199999.99806157636</v>
      </c>
      <c r="E90" s="84">
        <f t="shared" si="161"/>
        <v>199999.98640504372</v>
      </c>
      <c r="F90" s="84">
        <f t="shared" si="161"/>
        <v>199999.99181541795</v>
      </c>
      <c r="G90" s="84">
        <f t="shared" si="161"/>
        <v>199999.98982409062</v>
      </c>
      <c r="H90" s="84">
        <f t="shared" si="161"/>
        <v>199999.99959680618</v>
      </c>
      <c r="I90" s="84">
        <f t="shared" si="161"/>
        <v>199999.99908338836</v>
      </c>
      <c r="J90" s="84">
        <f t="shared" si="161"/>
        <v>136329.02189936762</v>
      </c>
      <c r="K90" s="84">
        <f t="shared" ref="K90:V90" si="176">IF(K22=0,0,K22/K33*1000000)</f>
        <v>116387.23041937857</v>
      </c>
      <c r="L90" s="84">
        <f t="shared" si="176"/>
        <v>125200.1224460001</v>
      </c>
      <c r="M90" s="84">
        <f t="shared" si="176"/>
        <v>116667.70871179816</v>
      </c>
      <c r="N90" s="84">
        <f t="shared" si="176"/>
        <v>123281.94537311894</v>
      </c>
      <c r="O90" s="84">
        <f t="shared" si="176"/>
        <v>121137.14320187909</v>
      </c>
      <c r="P90" s="84">
        <f t="shared" si="176"/>
        <v>140415.51104871306</v>
      </c>
      <c r="Q90" s="84">
        <f t="shared" si="176"/>
        <v>125332.99761322497</v>
      </c>
      <c r="R90" s="84">
        <f t="shared" si="176"/>
        <v>138439.59374982456</v>
      </c>
      <c r="S90" s="84">
        <f t="shared" si="176"/>
        <v>172623.47491111569</v>
      </c>
      <c r="T90" s="84">
        <f t="shared" si="176"/>
        <v>191115.93983614436</v>
      </c>
      <c r="U90" s="84">
        <f t="shared" si="176"/>
        <v>199999.97945560832</v>
      </c>
      <c r="V90" s="84">
        <f t="shared" si="176"/>
        <v>199999.98687710174</v>
      </c>
      <c r="W90" s="84">
        <f t="shared" ref="W90" si="177">IF(W22=0,0,W22/W33*1000000)</f>
        <v>199999.98348189017</v>
      </c>
      <c r="DA90" s="171" t="s">
        <v>1089</v>
      </c>
    </row>
    <row r="91" spans="1:105" ht="11.45" customHeight="1" x14ac:dyDescent="0.25">
      <c r="A91" s="85" t="s">
        <v>93</v>
      </c>
      <c r="B91" s="86">
        <f t="shared" si="161"/>
        <v>199999.99921534213</v>
      </c>
      <c r="C91" s="86">
        <f t="shared" si="161"/>
        <v>199999.99961741731</v>
      </c>
      <c r="D91" s="86">
        <f t="shared" si="161"/>
        <v>199999.99914138988</v>
      </c>
      <c r="E91" s="86">
        <f t="shared" si="161"/>
        <v>199999.99909445306</v>
      </c>
      <c r="F91" s="86">
        <f t="shared" si="161"/>
        <v>199999.99899175501</v>
      </c>
      <c r="G91" s="86">
        <f t="shared" si="161"/>
        <v>199999.99975430025</v>
      </c>
      <c r="H91" s="86">
        <f t="shared" si="161"/>
        <v>199999.99968490232</v>
      </c>
      <c r="I91" s="86">
        <f t="shared" si="161"/>
        <v>199999.99979644513</v>
      </c>
      <c r="J91" s="86">
        <f t="shared" si="161"/>
        <v>199999.99937226612</v>
      </c>
      <c r="K91" s="86">
        <f t="shared" ref="K91:V91" si="178">IF(K23=0,0,K23/K34*1000000)</f>
        <v>184422.05647432816</v>
      </c>
      <c r="L91" s="86">
        <f t="shared" si="178"/>
        <v>199999.99937960791</v>
      </c>
      <c r="M91" s="86">
        <f t="shared" si="178"/>
        <v>199999.99979057163</v>
      </c>
      <c r="N91" s="86">
        <f t="shared" si="178"/>
        <v>199999.99961722243</v>
      </c>
      <c r="O91" s="86">
        <f t="shared" si="178"/>
        <v>199999.99963768086</v>
      </c>
      <c r="P91" s="86">
        <f t="shared" si="178"/>
        <v>199999.99904383448</v>
      </c>
      <c r="Q91" s="86">
        <f t="shared" si="178"/>
        <v>199999.99973819245</v>
      </c>
      <c r="R91" s="86">
        <f t="shared" si="178"/>
        <v>199999.99952433116</v>
      </c>
      <c r="S91" s="86">
        <f t="shared" si="178"/>
        <v>199999.99904078629</v>
      </c>
      <c r="T91" s="86">
        <f t="shared" si="178"/>
        <v>199999.99966287974</v>
      </c>
      <c r="U91" s="86">
        <f t="shared" si="178"/>
        <v>199999.99926859196</v>
      </c>
      <c r="V91" s="86">
        <f t="shared" si="178"/>
        <v>199999.99938335604</v>
      </c>
      <c r="W91" s="86">
        <f t="shared" ref="W91" si="179">IF(W23=0,0,W23/W34*1000000)</f>
        <v>199999.99968853247</v>
      </c>
      <c r="DA91" s="178" t="s">
        <v>1090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53" t="s">
        <v>106</v>
      </c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DA93" s="172"/>
    </row>
    <row r="94" spans="1:105" ht="11.45" customHeight="1" x14ac:dyDescent="0.25">
      <c r="A94" s="27" t="s">
        <v>107</v>
      </c>
      <c r="B94" s="28">
        <f t="shared" ref="B94:J102" si="180">IF(B4=0,0,B4/B26*1000000)</f>
        <v>11388150.684625769</v>
      </c>
      <c r="C94" s="28">
        <f t="shared" si="180"/>
        <v>11754790.869025994</v>
      </c>
      <c r="D94" s="28">
        <f t="shared" si="180"/>
        <v>11932677.663977329</v>
      </c>
      <c r="E94" s="28">
        <f t="shared" si="180"/>
        <v>11783363.471847955</v>
      </c>
      <c r="F94" s="28">
        <f t="shared" si="180"/>
        <v>11550740.269168455</v>
      </c>
      <c r="G94" s="28">
        <f t="shared" si="180"/>
        <v>12061172.242959011</v>
      </c>
      <c r="H94" s="28">
        <f t="shared" si="180"/>
        <v>11955074.213687448</v>
      </c>
      <c r="I94" s="28">
        <f t="shared" si="180"/>
        <v>12020143.454770653</v>
      </c>
      <c r="J94" s="28">
        <f t="shared" si="180"/>
        <v>12507144.930520538</v>
      </c>
      <c r="K94" s="28">
        <f t="shared" ref="K94:V94" si="181">IF(K4=0,0,K4/K26*1000000)</f>
        <v>11927903.080458116</v>
      </c>
      <c r="L94" s="28">
        <f t="shared" si="181"/>
        <v>11872622.580447447</v>
      </c>
      <c r="M94" s="28">
        <f t="shared" si="181"/>
        <v>12682710.062133497</v>
      </c>
      <c r="N94" s="28">
        <f t="shared" si="181"/>
        <v>13031269.01912239</v>
      </c>
      <c r="O94" s="28">
        <f t="shared" si="181"/>
        <v>12612489.344979879</v>
      </c>
      <c r="P94" s="28">
        <f t="shared" si="181"/>
        <v>12310568.596681222</v>
      </c>
      <c r="Q94" s="28">
        <f t="shared" si="181"/>
        <v>12136756.073785517</v>
      </c>
      <c r="R94" s="28">
        <f t="shared" si="181"/>
        <v>11813981.206596604</v>
      </c>
      <c r="S94" s="28">
        <f t="shared" si="181"/>
        <v>11340228.830545152</v>
      </c>
      <c r="T94" s="28">
        <f t="shared" si="181"/>
        <v>11839448.93061783</v>
      </c>
      <c r="U94" s="28">
        <f t="shared" si="181"/>
        <v>11711978.315893216</v>
      </c>
      <c r="V94" s="28">
        <f t="shared" si="181"/>
        <v>7781816.3488984238</v>
      </c>
      <c r="W94" s="28">
        <f t="shared" ref="W94" si="182">IF(W4=0,0,W4/W26*1000000)</f>
        <v>8826096.5929040927</v>
      </c>
      <c r="DA94" s="173" t="s">
        <v>1091</v>
      </c>
    </row>
    <row r="95" spans="1:105" ht="11.45" customHeight="1" x14ac:dyDescent="0.25">
      <c r="A95" s="107" t="s">
        <v>23</v>
      </c>
      <c r="B95" s="108">
        <f t="shared" si="180"/>
        <v>8023611.7927869139</v>
      </c>
      <c r="C95" s="108">
        <f t="shared" si="180"/>
        <v>8023611.7901253402</v>
      </c>
      <c r="D95" s="108">
        <f t="shared" si="180"/>
        <v>8023611.7944289166</v>
      </c>
      <c r="E95" s="108">
        <f t="shared" si="180"/>
        <v>8023611.796178773</v>
      </c>
      <c r="F95" s="108">
        <f t="shared" si="180"/>
        <v>8023611.7970401896</v>
      </c>
      <c r="G95" s="108">
        <f t="shared" si="180"/>
        <v>8103087.4510947568</v>
      </c>
      <c r="H95" s="108">
        <f t="shared" si="180"/>
        <v>8032766.2138178544</v>
      </c>
      <c r="I95" s="108">
        <f t="shared" si="180"/>
        <v>8065743.4439270813</v>
      </c>
      <c r="J95" s="108">
        <f t="shared" si="180"/>
        <v>8254925.0828786306</v>
      </c>
      <c r="K95" s="108">
        <f t="shared" ref="K95:V95" si="183">IF(K5=0,0,K5/K27*1000000)</f>
        <v>8152223.8560250122</v>
      </c>
      <c r="L95" s="108">
        <f t="shared" si="183"/>
        <v>8205004.497961211</v>
      </c>
      <c r="M95" s="108">
        <f t="shared" si="183"/>
        <v>8299342.3537856434</v>
      </c>
      <c r="N95" s="108">
        <f t="shared" si="183"/>
        <v>8416021.6328696515</v>
      </c>
      <c r="O95" s="108">
        <f t="shared" si="183"/>
        <v>8526752.4059943538</v>
      </c>
      <c r="P95" s="108">
        <f t="shared" si="183"/>
        <v>8457979.460918963</v>
      </c>
      <c r="Q95" s="108">
        <f t="shared" si="183"/>
        <v>8452941.3411317859</v>
      </c>
      <c r="R95" s="108">
        <f t="shared" si="183"/>
        <v>8508629.5219232198</v>
      </c>
      <c r="S95" s="108">
        <f t="shared" si="183"/>
        <v>8470426.0318302959</v>
      </c>
      <c r="T95" s="108">
        <f t="shared" si="183"/>
        <v>8593050.7968166955</v>
      </c>
      <c r="U95" s="108">
        <f t="shared" si="183"/>
        <v>8484982.5337342676</v>
      </c>
      <c r="V95" s="108">
        <f t="shared" si="183"/>
        <v>6792612.5265343413</v>
      </c>
      <c r="W95" s="108">
        <f t="shared" ref="W95" si="184">IF(W5=0,0,W5/W27*1000000)</f>
        <v>7129847.5652182186</v>
      </c>
      <c r="DA95" s="203" t="s">
        <v>1092</v>
      </c>
    </row>
    <row r="96" spans="1:105" ht="11.45" customHeight="1" x14ac:dyDescent="0.25">
      <c r="A96" s="109" t="s">
        <v>24</v>
      </c>
      <c r="B96" s="110">
        <f t="shared" si="180"/>
        <v>15949183.8199658</v>
      </c>
      <c r="C96" s="110">
        <f t="shared" si="180"/>
        <v>17322472.232955832</v>
      </c>
      <c r="D96" s="110">
        <f t="shared" si="180"/>
        <v>18083438.145075142</v>
      </c>
      <c r="E96" s="110">
        <f t="shared" si="180"/>
        <v>17784881.611843422</v>
      </c>
      <c r="F96" s="110">
        <f t="shared" si="180"/>
        <v>17419847.369419564</v>
      </c>
      <c r="G96" s="110">
        <f t="shared" si="180"/>
        <v>18906060.673747871</v>
      </c>
      <c r="H96" s="110">
        <f t="shared" si="180"/>
        <v>18626099.191316128</v>
      </c>
      <c r="I96" s="110">
        <f t="shared" si="180"/>
        <v>18622899.649468154</v>
      </c>
      <c r="J96" s="110">
        <f t="shared" si="180"/>
        <v>18786439.916131239</v>
      </c>
      <c r="K96" s="110">
        <f t="shared" ref="K96:V96" si="185">IF(K6=0,0,K6/K28*1000000)</f>
        <v>17293240.381894588</v>
      </c>
      <c r="L96" s="110">
        <f t="shared" si="185"/>
        <v>16993519.87562035</v>
      </c>
      <c r="M96" s="110">
        <f t="shared" si="185"/>
        <v>19327283.225411907</v>
      </c>
      <c r="N96" s="110">
        <f t="shared" si="185"/>
        <v>19984198.59702263</v>
      </c>
      <c r="O96" s="110">
        <f t="shared" si="185"/>
        <v>17831364.495800961</v>
      </c>
      <c r="P96" s="110">
        <f t="shared" si="185"/>
        <v>16783569.225014288</v>
      </c>
      <c r="Q96" s="110">
        <f t="shared" si="185"/>
        <v>16369794.855932618</v>
      </c>
      <c r="R96" s="110">
        <f t="shared" si="185"/>
        <v>15211592.682115033</v>
      </c>
      <c r="S96" s="110">
        <f t="shared" si="185"/>
        <v>14067851.336680828</v>
      </c>
      <c r="T96" s="110">
        <f t="shared" si="185"/>
        <v>14931123.502173599</v>
      </c>
      <c r="U96" s="110">
        <f t="shared" si="185"/>
        <v>14853163.460815735</v>
      </c>
      <c r="V96" s="110">
        <f t="shared" si="185"/>
        <v>8806992.1283940282</v>
      </c>
      <c r="W96" s="110">
        <f t="shared" ref="W96" si="186">IF(W6=0,0,W6/W28*1000000)</f>
        <v>10707826.686965929</v>
      </c>
      <c r="DA96" s="176" t="s">
        <v>1093</v>
      </c>
    </row>
    <row r="97" spans="1:105" ht="11.45" customHeight="1" x14ac:dyDescent="0.25">
      <c r="A97" s="111" t="s">
        <v>92</v>
      </c>
      <c r="B97" s="84">
        <f t="shared" si="180"/>
        <v>12057956.177355608</v>
      </c>
      <c r="C97" s="84">
        <f t="shared" si="180"/>
        <v>12041547.33754045</v>
      </c>
      <c r="D97" s="84">
        <f t="shared" si="180"/>
        <v>12068172.193492219</v>
      </c>
      <c r="E97" s="84">
        <f t="shared" si="180"/>
        <v>12084814.010213435</v>
      </c>
      <c r="F97" s="84">
        <f t="shared" si="180"/>
        <v>12106210.36110617</v>
      </c>
      <c r="G97" s="84">
        <f t="shared" si="180"/>
        <v>12599496.956883371</v>
      </c>
      <c r="H97" s="84">
        <f t="shared" si="180"/>
        <v>12176347.765634989</v>
      </c>
      <c r="I97" s="84">
        <f t="shared" si="180"/>
        <v>12362026.462590529</v>
      </c>
      <c r="J97" s="84">
        <f t="shared" si="180"/>
        <v>13615529.995129379</v>
      </c>
      <c r="K97" s="84">
        <f t="shared" ref="K97:V97" si="187">IF(K7=0,0,K7/K29*1000000)</f>
        <v>12941675.188811384</v>
      </c>
      <c r="L97" s="84">
        <f t="shared" si="187"/>
        <v>13249058.776450653</v>
      </c>
      <c r="M97" s="84">
        <f t="shared" si="187"/>
        <v>13254509.120148771</v>
      </c>
      <c r="N97" s="84">
        <f t="shared" si="187"/>
        <v>14700379.841728628</v>
      </c>
      <c r="O97" s="84">
        <f t="shared" si="187"/>
        <v>14565119.901250985</v>
      </c>
      <c r="P97" s="84">
        <f t="shared" si="187"/>
        <v>14954917.795950279</v>
      </c>
      <c r="Q97" s="84">
        <f t="shared" si="187"/>
        <v>12868913.026317937</v>
      </c>
      <c r="R97" s="84">
        <f t="shared" si="187"/>
        <v>14190368.097595891</v>
      </c>
      <c r="S97" s="84">
        <f t="shared" si="187"/>
        <v>14827115.920975519</v>
      </c>
      <c r="T97" s="84">
        <f t="shared" si="187"/>
        <v>15597908.457703231</v>
      </c>
      <c r="U97" s="84">
        <f t="shared" si="187"/>
        <v>14737450.015285473</v>
      </c>
      <c r="V97" s="84">
        <f t="shared" si="187"/>
        <v>9028100.9477113541</v>
      </c>
      <c r="W97" s="84">
        <f t="shared" ref="W97" si="188">IF(W7=0,0,W7/W29*1000000)</f>
        <v>10568201.118593799</v>
      </c>
      <c r="DA97" s="171" t="s">
        <v>1094</v>
      </c>
    </row>
    <row r="98" spans="1:105" ht="11.45" customHeight="1" x14ac:dyDescent="0.25">
      <c r="A98" s="111" t="s">
        <v>93</v>
      </c>
      <c r="B98" s="84">
        <f t="shared" si="180"/>
        <v>16644373.326888278</v>
      </c>
      <c r="C98" s="84">
        <f t="shared" si="180"/>
        <v>18424660.005908586</v>
      </c>
      <c r="D98" s="84">
        <f t="shared" si="180"/>
        <v>19512551.877962589</v>
      </c>
      <c r="E98" s="84">
        <f t="shared" si="180"/>
        <v>19251801.739726555</v>
      </c>
      <c r="F98" s="84">
        <f t="shared" si="180"/>
        <v>18843171.446580671</v>
      </c>
      <c r="G98" s="84">
        <f t="shared" si="180"/>
        <v>20950514.698796596</v>
      </c>
      <c r="H98" s="84">
        <f t="shared" si="180"/>
        <v>20717047.222617917</v>
      </c>
      <c r="I98" s="84">
        <f t="shared" si="180"/>
        <v>20655612.306682952</v>
      </c>
      <c r="J98" s="84">
        <f t="shared" si="180"/>
        <v>20629332.381723583</v>
      </c>
      <c r="K98" s="84">
        <f t="shared" ref="K98:V98" si="189">IF(K8=0,0,K8/K30*1000000)</f>
        <v>18787301.42080402</v>
      </c>
      <c r="L98" s="84">
        <f t="shared" si="189"/>
        <v>18146788.274414927</v>
      </c>
      <c r="M98" s="84">
        <f t="shared" si="189"/>
        <v>21246228.751022853</v>
      </c>
      <c r="N98" s="84">
        <f t="shared" si="189"/>
        <v>21640614.446382396</v>
      </c>
      <c r="O98" s="84">
        <f t="shared" si="189"/>
        <v>18596087.17837099</v>
      </c>
      <c r="P98" s="84">
        <f t="shared" si="189"/>
        <v>17193695.095929597</v>
      </c>
      <c r="Q98" s="84">
        <f t="shared" si="189"/>
        <v>17064734.566698886</v>
      </c>
      <c r="R98" s="84">
        <f t="shared" si="189"/>
        <v>15376401.341079673</v>
      </c>
      <c r="S98" s="84">
        <f t="shared" si="189"/>
        <v>13954515.904970169</v>
      </c>
      <c r="T98" s="84">
        <f t="shared" si="189"/>
        <v>14834314.232004443</v>
      </c>
      <c r="U98" s="84">
        <f t="shared" si="189"/>
        <v>14871024.093161983</v>
      </c>
      <c r="V98" s="84">
        <f t="shared" si="189"/>
        <v>8773207.4075082839</v>
      </c>
      <c r="W98" s="84">
        <f t="shared" ref="W98" si="190">IF(W8=0,0,W8/W30*1000000)</f>
        <v>10728914.144348223</v>
      </c>
      <c r="DA98" s="171" t="s">
        <v>1095</v>
      </c>
    </row>
    <row r="99" spans="1:105" ht="11.45" customHeight="1" x14ac:dyDescent="0.25">
      <c r="A99" s="112" t="s">
        <v>25</v>
      </c>
      <c r="B99" s="113">
        <f t="shared" si="180"/>
        <v>0</v>
      </c>
      <c r="C99" s="113">
        <f t="shared" si="180"/>
        <v>0</v>
      </c>
      <c r="D99" s="113">
        <f t="shared" si="180"/>
        <v>0</v>
      </c>
      <c r="E99" s="113">
        <f t="shared" si="180"/>
        <v>0</v>
      </c>
      <c r="F99" s="113">
        <f t="shared" si="180"/>
        <v>0</v>
      </c>
      <c r="G99" s="113">
        <f t="shared" si="180"/>
        <v>0</v>
      </c>
      <c r="H99" s="113">
        <f t="shared" si="180"/>
        <v>0</v>
      </c>
      <c r="I99" s="113">
        <f t="shared" si="180"/>
        <v>0</v>
      </c>
      <c r="J99" s="113">
        <f t="shared" si="180"/>
        <v>0</v>
      </c>
      <c r="K99" s="113">
        <f t="shared" ref="K99:V99" si="191">IF(K9=0,0,K9/K31*1000000)</f>
        <v>0</v>
      </c>
      <c r="L99" s="113">
        <f t="shared" si="191"/>
        <v>0</v>
      </c>
      <c r="M99" s="113">
        <f t="shared" si="191"/>
        <v>0</v>
      </c>
      <c r="N99" s="113">
        <f t="shared" si="191"/>
        <v>0</v>
      </c>
      <c r="O99" s="113">
        <f t="shared" si="191"/>
        <v>0</v>
      </c>
      <c r="P99" s="113">
        <f t="shared" si="191"/>
        <v>0</v>
      </c>
      <c r="Q99" s="113">
        <f t="shared" si="191"/>
        <v>0</v>
      </c>
      <c r="R99" s="113">
        <f t="shared" si="191"/>
        <v>0</v>
      </c>
      <c r="S99" s="113">
        <f t="shared" si="191"/>
        <v>0</v>
      </c>
      <c r="T99" s="113">
        <f t="shared" si="191"/>
        <v>0</v>
      </c>
      <c r="U99" s="113">
        <f t="shared" si="191"/>
        <v>0</v>
      </c>
      <c r="V99" s="113">
        <f t="shared" si="191"/>
        <v>0</v>
      </c>
      <c r="W99" s="113">
        <f t="shared" ref="W99" si="192">IF(W9=0,0,W9/W31*1000000)</f>
        <v>0</v>
      </c>
      <c r="DA99" s="204" t="s">
        <v>1096</v>
      </c>
    </row>
    <row r="100" spans="1:105" ht="11.45" customHeight="1" x14ac:dyDescent="0.25">
      <c r="A100" s="27" t="s">
        <v>108</v>
      </c>
      <c r="B100" s="28">
        <f t="shared" si="180"/>
        <v>86794565.081192255</v>
      </c>
      <c r="C100" s="28">
        <f t="shared" si="180"/>
        <v>90266339.563352972</v>
      </c>
      <c r="D100" s="28">
        <f t="shared" si="180"/>
        <v>90266338.815951616</v>
      </c>
      <c r="E100" s="28">
        <f t="shared" si="180"/>
        <v>90266337.717421532</v>
      </c>
      <c r="F100" s="28">
        <f t="shared" si="180"/>
        <v>90266338.249331698</v>
      </c>
      <c r="G100" s="28">
        <f t="shared" si="180"/>
        <v>92548401.747393116</v>
      </c>
      <c r="H100" s="28">
        <f t="shared" si="180"/>
        <v>97240289.078601077</v>
      </c>
      <c r="I100" s="28">
        <f t="shared" si="180"/>
        <v>95153134.167299435</v>
      </c>
      <c r="J100" s="28">
        <f t="shared" si="180"/>
        <v>94582555.499891222</v>
      </c>
      <c r="K100" s="28">
        <f t="shared" ref="K100:V100" si="193">IF(K10=0,0,K10/K32*1000000)</f>
        <v>83579234.744537532</v>
      </c>
      <c r="L100" s="28">
        <f t="shared" si="193"/>
        <v>93519854.91874899</v>
      </c>
      <c r="M100" s="28">
        <f t="shared" si="193"/>
        <v>90293755.878109083</v>
      </c>
      <c r="N100" s="28">
        <f t="shared" si="193"/>
        <v>93656427.177478433</v>
      </c>
      <c r="O100" s="28">
        <f t="shared" si="193"/>
        <v>90017602.18145366</v>
      </c>
      <c r="P100" s="28">
        <f t="shared" si="193"/>
        <v>99634338.711175129</v>
      </c>
      <c r="Q100" s="28">
        <f t="shared" si="193"/>
        <v>97493896.303142384</v>
      </c>
      <c r="R100" s="28">
        <f t="shared" si="193"/>
        <v>100862967.41947667</v>
      </c>
      <c r="S100" s="28">
        <f t="shared" si="193"/>
        <v>102979960.87048365</v>
      </c>
      <c r="T100" s="28">
        <f t="shared" si="193"/>
        <v>99770802.933613598</v>
      </c>
      <c r="U100" s="28">
        <f t="shared" si="193"/>
        <v>95486771.361275077</v>
      </c>
      <c r="V100" s="28">
        <f t="shared" si="193"/>
        <v>76448210.044862181</v>
      </c>
      <c r="W100" s="28">
        <f t="shared" ref="W100" si="194">IF(W10=0,0,W10/W32*1000000)</f>
        <v>85220808.527480766</v>
      </c>
      <c r="DA100" s="173" t="s">
        <v>1097</v>
      </c>
    </row>
    <row r="101" spans="1:105" ht="11.45" customHeight="1" x14ac:dyDescent="0.25">
      <c r="A101" s="83" t="s">
        <v>92</v>
      </c>
      <c r="B101" s="84">
        <f t="shared" si="180"/>
        <v>91172067.797376528</v>
      </c>
      <c r="C101" s="84">
        <f t="shared" si="180"/>
        <v>91152843.670269877</v>
      </c>
      <c r="D101" s="84">
        <f t="shared" si="180"/>
        <v>87325471.759349763</v>
      </c>
      <c r="E101" s="84">
        <f t="shared" si="180"/>
        <v>87290150.528669655</v>
      </c>
      <c r="F101" s="84">
        <f t="shared" si="180"/>
        <v>87280555.819100156</v>
      </c>
      <c r="G101" s="84">
        <f t="shared" si="180"/>
        <v>92660762.094459072</v>
      </c>
      <c r="H101" s="84">
        <f t="shared" si="180"/>
        <v>88508807.470481634</v>
      </c>
      <c r="I101" s="84">
        <f t="shared" si="180"/>
        <v>86599492.2726143</v>
      </c>
      <c r="J101" s="84">
        <f t="shared" si="180"/>
        <v>84335576.38128528</v>
      </c>
      <c r="K101" s="84">
        <f t="shared" ref="K101:V101" si="195">IF(K11=0,0,K11/K33*1000000)</f>
        <v>74280730.494366974</v>
      </c>
      <c r="L101" s="84">
        <f t="shared" si="195"/>
        <v>83852418.674550906</v>
      </c>
      <c r="M101" s="84">
        <f t="shared" si="195"/>
        <v>82990198.433300287</v>
      </c>
      <c r="N101" s="84">
        <f t="shared" si="195"/>
        <v>90738341.41967158</v>
      </c>
      <c r="O101" s="84">
        <f t="shared" si="195"/>
        <v>85583810.66263406</v>
      </c>
      <c r="P101" s="84">
        <f t="shared" si="195"/>
        <v>108982934.65944719</v>
      </c>
      <c r="Q101" s="84">
        <f t="shared" si="195"/>
        <v>95491358.14914459</v>
      </c>
      <c r="R101" s="84">
        <f t="shared" si="195"/>
        <v>108583820.50929883</v>
      </c>
      <c r="S101" s="84">
        <f t="shared" si="195"/>
        <v>134757593.12221709</v>
      </c>
      <c r="T101" s="84">
        <f t="shared" si="195"/>
        <v>146179480.98580205</v>
      </c>
      <c r="U101" s="84">
        <f t="shared" si="195"/>
        <v>146603024.88630861</v>
      </c>
      <c r="V101" s="84">
        <f t="shared" si="195"/>
        <v>139743661.52327845</v>
      </c>
      <c r="W101" s="84">
        <f t="shared" ref="W101" si="196">IF(W11=0,0,W11/W33*1000000)</f>
        <v>140896679.86988956</v>
      </c>
      <c r="DA101" s="171" t="s">
        <v>1098</v>
      </c>
    </row>
    <row r="102" spans="1:105" ht="11.45" customHeight="1" x14ac:dyDescent="0.25">
      <c r="A102" s="85" t="s">
        <v>93</v>
      </c>
      <c r="B102" s="86">
        <f t="shared" si="180"/>
        <v>86538929.255731568</v>
      </c>
      <c r="C102" s="86">
        <f t="shared" si="180"/>
        <v>90210075.938786522</v>
      </c>
      <c r="D102" s="86">
        <f t="shared" si="180"/>
        <v>90474465.908873618</v>
      </c>
      <c r="E102" s="86">
        <f t="shared" si="180"/>
        <v>90492739.443630338</v>
      </c>
      <c r="F102" s="86">
        <f t="shared" si="180"/>
        <v>90497801.020734265</v>
      </c>
      <c r="G102" s="86">
        <f t="shared" si="180"/>
        <v>92538953.866095603</v>
      </c>
      <c r="H102" s="86">
        <f t="shared" si="180"/>
        <v>98053018.53195861</v>
      </c>
      <c r="I102" s="86">
        <f t="shared" si="180"/>
        <v>95962982.251687869</v>
      </c>
      <c r="J102" s="86">
        <f t="shared" si="180"/>
        <v>95464921.907523453</v>
      </c>
      <c r="K102" s="86">
        <f t="shared" ref="K102:V102" si="197">IF(K12=0,0,K12/K34*1000000)</f>
        <v>84403775.097036183</v>
      </c>
      <c r="L102" s="86">
        <f t="shared" si="197"/>
        <v>94322597.975039929</v>
      </c>
      <c r="M102" s="86">
        <f t="shared" si="197"/>
        <v>90822249.706046075</v>
      </c>
      <c r="N102" s="86">
        <f t="shared" si="197"/>
        <v>93869198.488004535</v>
      </c>
      <c r="O102" s="86">
        <f t="shared" si="197"/>
        <v>90306339.087583229</v>
      </c>
      <c r="P102" s="86">
        <f t="shared" si="197"/>
        <v>99060678.181280687</v>
      </c>
      <c r="Q102" s="86">
        <f t="shared" si="197"/>
        <v>97602505.840067163</v>
      </c>
      <c r="R102" s="86">
        <f t="shared" si="197"/>
        <v>100483229.31046322</v>
      </c>
      <c r="S102" s="86">
        <f t="shared" si="197"/>
        <v>101619501.50961515</v>
      </c>
      <c r="T102" s="86">
        <f t="shared" si="197"/>
        <v>98064726.53265442</v>
      </c>
      <c r="U102" s="86">
        <f t="shared" si="197"/>
        <v>93670677.812468886</v>
      </c>
      <c r="V102" s="86">
        <f t="shared" si="197"/>
        <v>73976282.331659019</v>
      </c>
      <c r="W102" s="86">
        <f t="shared" ref="W102" si="198">IF(W12=0,0,W12/W34*1000000)</f>
        <v>82951989.64511475</v>
      </c>
      <c r="DA102" s="178" t="s">
        <v>1099</v>
      </c>
    </row>
    <row r="103" spans="1:105" x14ac:dyDescent="0.25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DA103" s="171"/>
    </row>
    <row r="104" spans="1:105" ht="11.45" customHeight="1" x14ac:dyDescent="0.25">
      <c r="A104" s="53" t="s">
        <v>37</v>
      </c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DA104" s="172"/>
    </row>
    <row r="105" spans="1:105" ht="11.45" customHeight="1" x14ac:dyDescent="0.25">
      <c r="A105" s="27" t="s">
        <v>38</v>
      </c>
      <c r="B105" s="31">
        <f t="shared" ref="B105:J110" si="199">IF(B4=0,0,B4/B$4)</f>
        <v>1</v>
      </c>
      <c r="C105" s="31">
        <f t="shared" si="199"/>
        <v>1</v>
      </c>
      <c r="D105" s="31">
        <f t="shared" si="199"/>
        <v>1</v>
      </c>
      <c r="E105" s="31">
        <f t="shared" si="199"/>
        <v>1</v>
      </c>
      <c r="F105" s="31">
        <f t="shared" si="199"/>
        <v>1</v>
      </c>
      <c r="G105" s="31">
        <f t="shared" si="199"/>
        <v>1</v>
      </c>
      <c r="H105" s="31">
        <f t="shared" si="199"/>
        <v>1</v>
      </c>
      <c r="I105" s="31">
        <f t="shared" si="199"/>
        <v>1</v>
      </c>
      <c r="J105" s="31">
        <f t="shared" si="199"/>
        <v>1</v>
      </c>
      <c r="K105" s="31">
        <f t="shared" ref="K105:V105" si="200">IF(K4=0,0,K4/K$4)</f>
        <v>1</v>
      </c>
      <c r="L105" s="31">
        <f t="shared" si="200"/>
        <v>1</v>
      </c>
      <c r="M105" s="31">
        <f t="shared" si="200"/>
        <v>1</v>
      </c>
      <c r="N105" s="31">
        <f t="shared" si="200"/>
        <v>1</v>
      </c>
      <c r="O105" s="31">
        <f t="shared" si="200"/>
        <v>1</v>
      </c>
      <c r="P105" s="31">
        <f t="shared" si="200"/>
        <v>1</v>
      </c>
      <c r="Q105" s="31">
        <f t="shared" si="200"/>
        <v>1</v>
      </c>
      <c r="R105" s="31">
        <f t="shared" si="200"/>
        <v>1</v>
      </c>
      <c r="S105" s="31">
        <f t="shared" si="200"/>
        <v>1</v>
      </c>
      <c r="T105" s="31">
        <f t="shared" si="200"/>
        <v>1</v>
      </c>
      <c r="U105" s="31">
        <f t="shared" si="200"/>
        <v>1</v>
      </c>
      <c r="V105" s="31">
        <f t="shared" si="200"/>
        <v>1</v>
      </c>
      <c r="W105" s="31">
        <f t="shared" ref="W105" si="201">IF(W4=0,0,W4/W$4)</f>
        <v>1</v>
      </c>
      <c r="DA105" s="173"/>
    </row>
    <row r="106" spans="1:105" ht="11.45" customHeight="1" x14ac:dyDescent="0.25">
      <c r="A106" s="107" t="s">
        <v>23</v>
      </c>
      <c r="B106" s="123">
        <f t="shared" si="199"/>
        <v>0.4054612110514616</v>
      </c>
      <c r="C106" s="123">
        <f t="shared" si="199"/>
        <v>0.40869530048911745</v>
      </c>
      <c r="D106" s="123">
        <f t="shared" si="199"/>
        <v>0.41112163331904727</v>
      </c>
      <c r="E106" s="123">
        <f t="shared" si="199"/>
        <v>0.41865418761719214</v>
      </c>
      <c r="F106" s="123">
        <f t="shared" si="199"/>
        <v>0.43388858848851475</v>
      </c>
      <c r="G106" s="123">
        <f t="shared" si="199"/>
        <v>0.42568081801403423</v>
      </c>
      <c r="H106" s="123">
        <f t="shared" si="199"/>
        <v>0.42312900248468704</v>
      </c>
      <c r="I106" s="123">
        <f t="shared" si="199"/>
        <v>0.41967496883211036</v>
      </c>
      <c r="J106" s="123">
        <f t="shared" si="199"/>
        <v>0.39352741758492177</v>
      </c>
      <c r="K106" s="123">
        <f t="shared" ref="K106:V106" si="202">IF(K5=0,0,K5/K$4)</f>
        <v>0.4011571440685367</v>
      </c>
      <c r="L106" s="123">
        <f t="shared" si="202"/>
        <v>0.40268245715185946</v>
      </c>
      <c r="M106" s="123">
        <f t="shared" si="202"/>
        <v>0.39427957032906202</v>
      </c>
      <c r="N106" s="123">
        <f t="shared" si="202"/>
        <v>0.38817095825921705</v>
      </c>
      <c r="O106" s="123">
        <f t="shared" si="202"/>
        <v>0.37919401628862698</v>
      </c>
      <c r="P106" s="123">
        <f t="shared" si="202"/>
        <v>0.36912415458895942</v>
      </c>
      <c r="Q106" s="123">
        <f t="shared" si="202"/>
        <v>0.37239588196867945</v>
      </c>
      <c r="R106" s="123">
        <f t="shared" si="202"/>
        <v>0.36506501953900944</v>
      </c>
      <c r="S106" s="123">
        <f t="shared" si="202"/>
        <v>0.3639815705533897</v>
      </c>
      <c r="T106" s="123">
        <f t="shared" si="202"/>
        <v>0.35404009430873951</v>
      </c>
      <c r="U106" s="123">
        <f t="shared" si="202"/>
        <v>0.35735415353280636</v>
      </c>
      <c r="V106" s="123">
        <f t="shared" si="202"/>
        <v>0.44423511680482292</v>
      </c>
      <c r="W106" s="123">
        <f t="shared" ref="W106" si="203">IF(W5=0,0,W5/W$4)</f>
        <v>0.4248455730954015</v>
      </c>
      <c r="DA106" s="203"/>
    </row>
    <row r="107" spans="1:105" ht="11.45" customHeight="1" x14ac:dyDescent="0.25">
      <c r="A107" s="109" t="s">
        <v>24</v>
      </c>
      <c r="B107" s="124">
        <f t="shared" si="199"/>
        <v>0.59453878894853829</v>
      </c>
      <c r="C107" s="124">
        <f t="shared" si="199"/>
        <v>0.5913046995108826</v>
      </c>
      <c r="D107" s="124">
        <f t="shared" si="199"/>
        <v>0.58887836668095261</v>
      </c>
      <c r="E107" s="124">
        <f t="shared" si="199"/>
        <v>0.5813458123828078</v>
      </c>
      <c r="F107" s="124">
        <f t="shared" si="199"/>
        <v>0.56611141151148536</v>
      </c>
      <c r="G107" s="124">
        <f t="shared" si="199"/>
        <v>0.57431918198596588</v>
      </c>
      <c r="H107" s="124">
        <f t="shared" si="199"/>
        <v>0.57687099751531301</v>
      </c>
      <c r="I107" s="124">
        <f t="shared" si="199"/>
        <v>0.58032503116788969</v>
      </c>
      <c r="J107" s="124">
        <f t="shared" si="199"/>
        <v>0.60647258241507829</v>
      </c>
      <c r="K107" s="124">
        <f t="shared" ref="K107:V107" si="204">IF(K6=0,0,K6/K$4)</f>
        <v>0.59884285593146336</v>
      </c>
      <c r="L107" s="124">
        <f t="shared" si="204"/>
        <v>0.59731754284814043</v>
      </c>
      <c r="M107" s="124">
        <f t="shared" si="204"/>
        <v>0.60572042967093798</v>
      </c>
      <c r="N107" s="124">
        <f t="shared" si="204"/>
        <v>0.6118290417407829</v>
      </c>
      <c r="O107" s="124">
        <f t="shared" si="204"/>
        <v>0.62080598371137308</v>
      </c>
      <c r="P107" s="124">
        <f t="shared" si="204"/>
        <v>0.63087584541104058</v>
      </c>
      <c r="Q107" s="124">
        <f t="shared" si="204"/>
        <v>0.62760411803132055</v>
      </c>
      <c r="R107" s="124">
        <f t="shared" si="204"/>
        <v>0.63493498046099062</v>
      </c>
      <c r="S107" s="124">
        <f t="shared" si="204"/>
        <v>0.63601842944661025</v>
      </c>
      <c r="T107" s="124">
        <f t="shared" si="204"/>
        <v>0.64595990569126061</v>
      </c>
      <c r="U107" s="124">
        <f t="shared" si="204"/>
        <v>0.64264584646719358</v>
      </c>
      <c r="V107" s="124">
        <f t="shared" si="204"/>
        <v>0.55576488319517714</v>
      </c>
      <c r="W107" s="124">
        <f t="shared" ref="W107" si="205">IF(W6=0,0,W6/W$4)</f>
        <v>0.5751544269045985</v>
      </c>
      <c r="DA107" s="176"/>
    </row>
    <row r="108" spans="1:105" ht="11.45" customHeight="1" x14ac:dyDescent="0.25">
      <c r="A108" s="111" t="s">
        <v>92</v>
      </c>
      <c r="B108" s="125">
        <f t="shared" si="199"/>
        <v>6.8131050842614019E-2</v>
      </c>
      <c r="C108" s="125">
        <f t="shared" si="199"/>
        <v>7.0975233956214898E-2</v>
      </c>
      <c r="D108" s="125">
        <f t="shared" si="199"/>
        <v>7.5443941680679832E-2</v>
      </c>
      <c r="E108" s="125">
        <f t="shared" si="199"/>
        <v>8.0852480339566823E-2</v>
      </c>
      <c r="F108" s="125">
        <f t="shared" si="199"/>
        <v>8.3120000512378112E-2</v>
      </c>
      <c r="G108" s="125">
        <f t="shared" si="199"/>
        <v>9.3700826748440366E-2</v>
      </c>
      <c r="H108" s="125">
        <f t="shared" si="199"/>
        <v>9.2325918416319236E-2</v>
      </c>
      <c r="I108" s="125">
        <f t="shared" si="199"/>
        <v>9.4416373744333759E-2</v>
      </c>
      <c r="J108" s="125">
        <f t="shared" si="199"/>
        <v>0.1154908836692374</v>
      </c>
      <c r="K108" s="125">
        <f t="shared" ref="K108:V108" si="206">IF(K7=0,0,K7/K$4)</f>
        <v>0.11454187489170868</v>
      </c>
      <c r="L108" s="125">
        <f t="shared" si="206"/>
        <v>0.10965856273679973</v>
      </c>
      <c r="M108" s="125">
        <f t="shared" si="206"/>
        <v>9.9744157427840319E-2</v>
      </c>
      <c r="N108" s="125">
        <f t="shared" si="206"/>
        <v>0.10741554429885761</v>
      </c>
      <c r="O108" s="125">
        <f t="shared" si="206"/>
        <v>9.6201109359484699E-2</v>
      </c>
      <c r="P108" s="125">
        <f t="shared" si="206"/>
        <v>0.10297928605403003</v>
      </c>
      <c r="Q108" s="125">
        <f t="shared" si="206"/>
        <v>8.1717398888088155E-2</v>
      </c>
      <c r="R108" s="125">
        <f t="shared" si="206"/>
        <v>8.2305980144888879E-2</v>
      </c>
      <c r="S108" s="125">
        <f t="shared" si="206"/>
        <v>8.7066101632132173E-2</v>
      </c>
      <c r="T108" s="125">
        <f t="shared" si="206"/>
        <v>8.5552706336597603E-2</v>
      </c>
      <c r="U108" s="125">
        <f t="shared" si="206"/>
        <v>8.5260865237223843E-2</v>
      </c>
      <c r="V108" s="125">
        <f t="shared" si="206"/>
        <v>7.5512944678063812E-2</v>
      </c>
      <c r="W108" s="125">
        <f t="shared" ref="W108" si="207">IF(W7=0,0,W7/W$4)</f>
        <v>7.4483031335767766E-2</v>
      </c>
      <c r="DA108" s="171"/>
    </row>
    <row r="109" spans="1:105" ht="11.45" customHeight="1" x14ac:dyDescent="0.25">
      <c r="A109" s="111" t="s">
        <v>93</v>
      </c>
      <c r="B109" s="125">
        <f t="shared" si="199"/>
        <v>0.52640773810592434</v>
      </c>
      <c r="C109" s="125">
        <f t="shared" si="199"/>
        <v>0.52032946555466764</v>
      </c>
      <c r="D109" s="125">
        <f t="shared" si="199"/>
        <v>0.51343442500027281</v>
      </c>
      <c r="E109" s="125">
        <f t="shared" si="199"/>
        <v>0.50049333204324098</v>
      </c>
      <c r="F109" s="125">
        <f t="shared" si="199"/>
        <v>0.4829914109991072</v>
      </c>
      <c r="G109" s="125">
        <f t="shared" si="199"/>
        <v>0.48061835523752544</v>
      </c>
      <c r="H109" s="125">
        <f t="shared" si="199"/>
        <v>0.48454507909899369</v>
      </c>
      <c r="I109" s="125">
        <f t="shared" si="199"/>
        <v>0.48590865742355593</v>
      </c>
      <c r="J109" s="125">
        <f t="shared" si="199"/>
        <v>0.49098169874584097</v>
      </c>
      <c r="K109" s="125">
        <f t="shared" ref="K109:V109" si="208">IF(K8=0,0,K8/K$4)</f>
        <v>0.48430098103975461</v>
      </c>
      <c r="L109" s="125">
        <f t="shared" si="208"/>
        <v>0.48765898011134068</v>
      </c>
      <c r="M109" s="125">
        <f t="shared" si="208"/>
        <v>0.5059762722430976</v>
      </c>
      <c r="N109" s="125">
        <f t="shared" si="208"/>
        <v>0.50441349744192543</v>
      </c>
      <c r="O109" s="125">
        <f t="shared" si="208"/>
        <v>0.5246048743518883</v>
      </c>
      <c r="P109" s="125">
        <f t="shared" si="208"/>
        <v>0.52789655935701052</v>
      </c>
      <c r="Q109" s="125">
        <f t="shared" si="208"/>
        <v>0.54588671914323228</v>
      </c>
      <c r="R109" s="125">
        <f t="shared" si="208"/>
        <v>0.55262900031610174</v>
      </c>
      <c r="S109" s="125">
        <f t="shared" si="208"/>
        <v>0.54895232781447811</v>
      </c>
      <c r="T109" s="125">
        <f t="shared" si="208"/>
        <v>0.56040719935466299</v>
      </c>
      <c r="U109" s="125">
        <f t="shared" si="208"/>
        <v>0.55738498122996971</v>
      </c>
      <c r="V109" s="125">
        <f t="shared" si="208"/>
        <v>0.48025193851711329</v>
      </c>
      <c r="W109" s="125">
        <f t="shared" ref="W109" si="209">IF(W8=0,0,W8/W$4)</f>
        <v>0.50067139556883067</v>
      </c>
      <c r="DA109" s="171"/>
    </row>
    <row r="110" spans="1:105" ht="11.45" customHeight="1" x14ac:dyDescent="0.25">
      <c r="A110" s="112" t="s">
        <v>25</v>
      </c>
      <c r="B110" s="126">
        <f t="shared" si="199"/>
        <v>0</v>
      </c>
      <c r="C110" s="126">
        <f t="shared" si="199"/>
        <v>0</v>
      </c>
      <c r="D110" s="126">
        <f t="shared" si="199"/>
        <v>0</v>
      </c>
      <c r="E110" s="126">
        <f t="shared" si="199"/>
        <v>0</v>
      </c>
      <c r="F110" s="126">
        <f t="shared" si="199"/>
        <v>0</v>
      </c>
      <c r="G110" s="126">
        <f t="shared" si="199"/>
        <v>0</v>
      </c>
      <c r="H110" s="126">
        <f t="shared" si="199"/>
        <v>0</v>
      </c>
      <c r="I110" s="126">
        <f t="shared" si="199"/>
        <v>0</v>
      </c>
      <c r="J110" s="126">
        <f t="shared" si="199"/>
        <v>0</v>
      </c>
      <c r="K110" s="126">
        <f t="shared" ref="K110:V110" si="210">IF(K9=0,0,K9/K$4)</f>
        <v>0</v>
      </c>
      <c r="L110" s="126">
        <f t="shared" si="210"/>
        <v>0</v>
      </c>
      <c r="M110" s="126">
        <f t="shared" si="210"/>
        <v>0</v>
      </c>
      <c r="N110" s="126">
        <f t="shared" si="210"/>
        <v>0</v>
      </c>
      <c r="O110" s="126">
        <f t="shared" si="210"/>
        <v>0</v>
      </c>
      <c r="P110" s="126">
        <f t="shared" si="210"/>
        <v>0</v>
      </c>
      <c r="Q110" s="126">
        <f t="shared" si="210"/>
        <v>0</v>
      </c>
      <c r="R110" s="126">
        <f t="shared" si="210"/>
        <v>0</v>
      </c>
      <c r="S110" s="126">
        <f t="shared" si="210"/>
        <v>0</v>
      </c>
      <c r="T110" s="126">
        <f t="shared" si="210"/>
        <v>0</v>
      </c>
      <c r="U110" s="126">
        <f t="shared" si="210"/>
        <v>0</v>
      </c>
      <c r="V110" s="126">
        <f t="shared" si="210"/>
        <v>0</v>
      </c>
      <c r="W110" s="126">
        <f t="shared" ref="W110" si="211">IF(W9=0,0,W9/W$4)</f>
        <v>0</v>
      </c>
      <c r="DA110" s="204"/>
    </row>
    <row r="111" spans="1:105" ht="11.45" customHeight="1" x14ac:dyDescent="0.25">
      <c r="A111" s="27" t="s">
        <v>39</v>
      </c>
      <c r="B111" s="31">
        <f t="shared" ref="B111:J113" si="212">IF(B10=0,0,B10/B$10)</f>
        <v>1</v>
      </c>
      <c r="C111" s="31">
        <f t="shared" si="212"/>
        <v>1</v>
      </c>
      <c r="D111" s="31">
        <f t="shared" si="212"/>
        <v>1</v>
      </c>
      <c r="E111" s="31">
        <f t="shared" si="212"/>
        <v>1</v>
      </c>
      <c r="F111" s="31">
        <f t="shared" si="212"/>
        <v>1</v>
      </c>
      <c r="G111" s="31">
        <f t="shared" si="212"/>
        <v>1</v>
      </c>
      <c r="H111" s="31">
        <f t="shared" si="212"/>
        <v>1</v>
      </c>
      <c r="I111" s="31">
        <f t="shared" si="212"/>
        <v>1</v>
      </c>
      <c r="J111" s="31">
        <f t="shared" si="212"/>
        <v>1</v>
      </c>
      <c r="K111" s="31">
        <f t="shared" ref="K111:V111" si="213">IF(K10=0,0,K10/K$10)</f>
        <v>1</v>
      </c>
      <c r="L111" s="31">
        <f t="shared" si="213"/>
        <v>1</v>
      </c>
      <c r="M111" s="31">
        <f t="shared" si="213"/>
        <v>1</v>
      </c>
      <c r="N111" s="31">
        <f t="shared" si="213"/>
        <v>1</v>
      </c>
      <c r="O111" s="31">
        <f t="shared" si="213"/>
        <v>1</v>
      </c>
      <c r="P111" s="31">
        <f t="shared" si="213"/>
        <v>1</v>
      </c>
      <c r="Q111" s="31">
        <f t="shared" si="213"/>
        <v>1</v>
      </c>
      <c r="R111" s="31">
        <f t="shared" si="213"/>
        <v>1</v>
      </c>
      <c r="S111" s="31">
        <f t="shared" si="213"/>
        <v>1</v>
      </c>
      <c r="T111" s="31">
        <f t="shared" si="213"/>
        <v>1</v>
      </c>
      <c r="U111" s="31">
        <f t="shared" si="213"/>
        <v>1</v>
      </c>
      <c r="V111" s="31">
        <f t="shared" si="213"/>
        <v>1</v>
      </c>
      <c r="W111" s="31">
        <f t="shared" ref="W111" si="214">IF(W10=0,0,W10/W$10)</f>
        <v>1</v>
      </c>
      <c r="DA111" s="173"/>
    </row>
    <row r="112" spans="1:105" ht="11.45" customHeight="1" x14ac:dyDescent="0.25">
      <c r="A112" s="83" t="s">
        <v>92</v>
      </c>
      <c r="B112" s="125">
        <f t="shared" si="212"/>
        <v>5.7958308682815124E-2</v>
      </c>
      <c r="C112" s="125">
        <f t="shared" si="212"/>
        <v>6.0265308962104296E-2</v>
      </c>
      <c r="D112" s="125">
        <f t="shared" si="212"/>
        <v>6.3939888845518225E-2</v>
      </c>
      <c r="E112" s="125">
        <f t="shared" si="212"/>
        <v>6.8362503324422799E-2</v>
      </c>
      <c r="F112" s="125">
        <f t="shared" si="212"/>
        <v>6.9564659713614363E-2</v>
      </c>
      <c r="G112" s="125">
        <f t="shared" si="212"/>
        <v>7.765773975192608E-2</v>
      </c>
      <c r="H112" s="125">
        <f t="shared" si="212"/>
        <v>7.7507943165646326E-2</v>
      </c>
      <c r="I112" s="125">
        <f t="shared" si="212"/>
        <v>7.8715101045682315E-2</v>
      </c>
      <c r="J112" s="125">
        <f t="shared" si="212"/>
        <v>7.0693439691955115E-2</v>
      </c>
      <c r="K112" s="125">
        <f t="shared" ref="K112:V112" si="215">IF(K11=0,0,K11/K$10)</f>
        <v>7.2389993872609082E-2</v>
      </c>
      <c r="L112" s="125">
        <f t="shared" si="215"/>
        <v>6.874390653579128E-2</v>
      </c>
      <c r="M112" s="125">
        <f t="shared" si="215"/>
        <v>6.2020245698950129E-2</v>
      </c>
      <c r="N112" s="125">
        <f t="shared" si="215"/>
        <v>6.5842009574335045E-2</v>
      </c>
      <c r="O112" s="125">
        <f t="shared" si="215"/>
        <v>5.8128872255321554E-2</v>
      </c>
      <c r="P112" s="125">
        <f t="shared" si="215"/>
        <v>6.3240308015633323E-2</v>
      </c>
      <c r="Q112" s="125">
        <f t="shared" si="215"/>
        <v>5.0389028881271808E-2</v>
      </c>
      <c r="R112" s="125">
        <f t="shared" si="215"/>
        <v>5.0466227913797422E-2</v>
      </c>
      <c r="S112" s="125">
        <f t="shared" si="215"/>
        <v>5.3722795335152909E-2</v>
      </c>
      <c r="T112" s="125">
        <f t="shared" si="215"/>
        <v>5.1952105135299846E-2</v>
      </c>
      <c r="U112" s="125">
        <f t="shared" si="215"/>
        <v>5.2676484858997299E-2</v>
      </c>
      <c r="V112" s="125">
        <f t="shared" si="215"/>
        <v>6.8705266382599509E-2</v>
      </c>
      <c r="W112" s="125">
        <f t="shared" ref="W112" si="216">IF(W11=0,0,W11/W$10)</f>
        <v>6.4735318885329032E-2</v>
      </c>
      <c r="DA112" s="171"/>
    </row>
    <row r="113" spans="1:105" ht="11.45" customHeight="1" x14ac:dyDescent="0.25">
      <c r="A113" s="85" t="s">
        <v>93</v>
      </c>
      <c r="B113" s="127">
        <f t="shared" si="212"/>
        <v>0.94204169131718485</v>
      </c>
      <c r="C113" s="127">
        <f t="shared" si="212"/>
        <v>0.93973469103789575</v>
      </c>
      <c r="D113" s="127">
        <f t="shared" si="212"/>
        <v>0.93606011115448173</v>
      </c>
      <c r="E113" s="127">
        <f t="shared" si="212"/>
        <v>0.93163749667557716</v>
      </c>
      <c r="F113" s="127">
        <f t="shared" si="212"/>
        <v>0.93043534028638575</v>
      </c>
      <c r="G113" s="127">
        <f t="shared" si="212"/>
        <v>0.92234226024807398</v>
      </c>
      <c r="H113" s="127">
        <f t="shared" si="212"/>
        <v>0.92249205683435365</v>
      </c>
      <c r="I113" s="127">
        <f t="shared" si="212"/>
        <v>0.92128489895431764</v>
      </c>
      <c r="J113" s="127">
        <f t="shared" si="212"/>
        <v>0.92930656030804482</v>
      </c>
      <c r="K113" s="127">
        <f t="shared" ref="K113:V113" si="217">IF(K12=0,0,K12/K$10)</f>
        <v>0.92761000612739086</v>
      </c>
      <c r="L113" s="127">
        <f t="shared" si="217"/>
        <v>0.93125609346420879</v>
      </c>
      <c r="M113" s="127">
        <f t="shared" si="217"/>
        <v>0.93797975430104996</v>
      </c>
      <c r="N113" s="127">
        <f t="shared" si="217"/>
        <v>0.93415799042566494</v>
      </c>
      <c r="O113" s="127">
        <f t="shared" si="217"/>
        <v>0.9418711277446784</v>
      </c>
      <c r="P113" s="127">
        <f t="shared" si="217"/>
        <v>0.9367596919843667</v>
      </c>
      <c r="Q113" s="127">
        <f t="shared" si="217"/>
        <v>0.94961097111872816</v>
      </c>
      <c r="R113" s="127">
        <f t="shared" si="217"/>
        <v>0.9495337720862026</v>
      </c>
      <c r="S113" s="127">
        <f t="shared" si="217"/>
        <v>0.9462772046648471</v>
      </c>
      <c r="T113" s="127">
        <f t="shared" si="217"/>
        <v>0.9480478948647002</v>
      </c>
      <c r="U113" s="127">
        <f t="shared" si="217"/>
        <v>0.94732351514100266</v>
      </c>
      <c r="V113" s="127">
        <f t="shared" si="217"/>
        <v>0.93129473361740056</v>
      </c>
      <c r="W113" s="127">
        <f t="shared" ref="W113" si="218">IF(W12=0,0,W12/W$10)</f>
        <v>0.93526468111467098</v>
      </c>
      <c r="DA113" s="178"/>
    </row>
    <row r="114" spans="1:105" ht="11.45" customHeight="1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66</v>
      </c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DA115" s="172"/>
    </row>
    <row r="116" spans="1:105" ht="11.45" customHeight="1" x14ac:dyDescent="0.25">
      <c r="A116" s="27" t="s">
        <v>33</v>
      </c>
      <c r="B116" s="31">
        <f t="shared" ref="B116:J121" si="219">IF(B15=0,0,B15/B$15)</f>
        <v>1</v>
      </c>
      <c r="C116" s="31">
        <f t="shared" si="219"/>
        <v>1</v>
      </c>
      <c r="D116" s="31">
        <f t="shared" si="219"/>
        <v>1</v>
      </c>
      <c r="E116" s="31">
        <f t="shared" si="219"/>
        <v>1</v>
      </c>
      <c r="F116" s="31">
        <f t="shared" si="219"/>
        <v>1</v>
      </c>
      <c r="G116" s="31">
        <f t="shared" si="219"/>
        <v>1</v>
      </c>
      <c r="H116" s="31">
        <f t="shared" si="219"/>
        <v>1</v>
      </c>
      <c r="I116" s="31">
        <f t="shared" si="219"/>
        <v>1</v>
      </c>
      <c r="J116" s="31">
        <f t="shared" si="219"/>
        <v>1</v>
      </c>
      <c r="K116" s="31">
        <f t="shared" ref="K116:V116" si="220">IF(K15=0,0,K15/K$15)</f>
        <v>1</v>
      </c>
      <c r="L116" s="31">
        <f t="shared" si="220"/>
        <v>1</v>
      </c>
      <c r="M116" s="31">
        <f t="shared" si="220"/>
        <v>1</v>
      </c>
      <c r="N116" s="31">
        <f t="shared" si="220"/>
        <v>1</v>
      </c>
      <c r="O116" s="31">
        <f t="shared" si="220"/>
        <v>1</v>
      </c>
      <c r="P116" s="31">
        <f t="shared" si="220"/>
        <v>1</v>
      </c>
      <c r="Q116" s="31">
        <f t="shared" si="220"/>
        <v>1</v>
      </c>
      <c r="R116" s="31">
        <f t="shared" si="220"/>
        <v>1</v>
      </c>
      <c r="S116" s="31">
        <f t="shared" si="220"/>
        <v>1</v>
      </c>
      <c r="T116" s="31">
        <f t="shared" si="220"/>
        <v>1</v>
      </c>
      <c r="U116" s="31">
        <f t="shared" si="220"/>
        <v>1</v>
      </c>
      <c r="V116" s="31">
        <f t="shared" si="220"/>
        <v>1</v>
      </c>
      <c r="W116" s="31">
        <f t="shared" ref="W116" si="221">IF(W15=0,0,W15/W$15)</f>
        <v>1</v>
      </c>
      <c r="DA116" s="173"/>
    </row>
    <row r="117" spans="1:105" ht="11.45" customHeight="1" x14ac:dyDescent="0.25">
      <c r="A117" s="107" t="s">
        <v>23</v>
      </c>
      <c r="B117" s="123">
        <f t="shared" si="219"/>
        <v>0.49852583210033785</v>
      </c>
      <c r="C117" s="123">
        <f t="shared" si="219"/>
        <v>0.52481164673991709</v>
      </c>
      <c r="D117" s="123">
        <f t="shared" si="219"/>
        <v>0.53571963858789373</v>
      </c>
      <c r="E117" s="123">
        <f t="shared" si="219"/>
        <v>0.53929495455916643</v>
      </c>
      <c r="F117" s="123">
        <f t="shared" si="219"/>
        <v>0.54960218877516587</v>
      </c>
      <c r="G117" s="123">
        <f t="shared" si="219"/>
        <v>0.55911890859081304</v>
      </c>
      <c r="H117" s="123">
        <f t="shared" si="219"/>
        <v>0.55501099090751072</v>
      </c>
      <c r="I117" s="123">
        <f t="shared" si="219"/>
        <v>0.55045354169763683</v>
      </c>
      <c r="J117" s="123">
        <f t="shared" si="219"/>
        <v>0.51990488016906433</v>
      </c>
      <c r="K117" s="123">
        <f t="shared" ref="K117:V117" si="222">IF(K16=0,0,K16/K$15)</f>
        <v>0.51030454691209071</v>
      </c>
      <c r="L117" s="123">
        <f t="shared" si="222"/>
        <v>0.50598651883996615</v>
      </c>
      <c r="M117" s="123">
        <f t="shared" si="222"/>
        <v>0.529128825879709</v>
      </c>
      <c r="N117" s="123">
        <f t="shared" si="222"/>
        <v>0.52489008298359152</v>
      </c>
      <c r="O117" s="123">
        <f t="shared" si="222"/>
        <v>0.4864048160708917</v>
      </c>
      <c r="P117" s="123">
        <f t="shared" si="222"/>
        <v>0.45987624030474245</v>
      </c>
      <c r="Q117" s="123">
        <f t="shared" si="222"/>
        <v>0.46292094602947181</v>
      </c>
      <c r="R117" s="123">
        <f t="shared" si="222"/>
        <v>0.43206105759133184</v>
      </c>
      <c r="S117" s="123">
        <f t="shared" si="222"/>
        <v>0.41072528703671923</v>
      </c>
      <c r="T117" s="123">
        <f t="shared" si="222"/>
        <v>0.4112045243817295</v>
      </c>
      <c r="U117" s="123">
        <f t="shared" si="222"/>
        <v>0.41651254513792019</v>
      </c>
      <c r="V117" s="123">
        <f t="shared" si="222"/>
        <v>0.49351828460562558</v>
      </c>
      <c r="W117" s="123">
        <f t="shared" ref="W117" si="223">IF(W16=0,0,W16/W$15)</f>
        <v>0.46332947230901855</v>
      </c>
      <c r="DA117" s="203"/>
    </row>
    <row r="118" spans="1:105" ht="11.45" customHeight="1" x14ac:dyDescent="0.25">
      <c r="A118" s="109" t="s">
        <v>24</v>
      </c>
      <c r="B118" s="124">
        <f t="shared" si="219"/>
        <v>0.50147416789966226</v>
      </c>
      <c r="C118" s="124">
        <f t="shared" si="219"/>
        <v>0.47518835326008291</v>
      </c>
      <c r="D118" s="124">
        <f t="shared" si="219"/>
        <v>0.46428036141210627</v>
      </c>
      <c r="E118" s="124">
        <f t="shared" si="219"/>
        <v>0.46070504544083363</v>
      </c>
      <c r="F118" s="124">
        <f t="shared" si="219"/>
        <v>0.45039781122483413</v>
      </c>
      <c r="G118" s="124">
        <f t="shared" si="219"/>
        <v>0.44088109140918708</v>
      </c>
      <c r="H118" s="124">
        <f t="shared" si="219"/>
        <v>0.44498900909248934</v>
      </c>
      <c r="I118" s="124">
        <f t="shared" si="219"/>
        <v>0.44954645830236317</v>
      </c>
      <c r="J118" s="124">
        <f t="shared" si="219"/>
        <v>0.48009511983093556</v>
      </c>
      <c r="K118" s="124">
        <f t="shared" ref="K118:V118" si="224">IF(K17=0,0,K17/K$15)</f>
        <v>0.4896954530879094</v>
      </c>
      <c r="L118" s="124">
        <f t="shared" si="224"/>
        <v>0.49401348116003391</v>
      </c>
      <c r="M118" s="124">
        <f t="shared" si="224"/>
        <v>0.47087117412029111</v>
      </c>
      <c r="N118" s="124">
        <f t="shared" si="224"/>
        <v>0.47510991701640837</v>
      </c>
      <c r="O118" s="124">
        <f t="shared" si="224"/>
        <v>0.5135951839291083</v>
      </c>
      <c r="P118" s="124">
        <f t="shared" si="224"/>
        <v>0.54012375969525761</v>
      </c>
      <c r="Q118" s="124">
        <f t="shared" si="224"/>
        <v>0.53707905397052824</v>
      </c>
      <c r="R118" s="124">
        <f t="shared" si="224"/>
        <v>0.56793894240866816</v>
      </c>
      <c r="S118" s="124">
        <f t="shared" si="224"/>
        <v>0.58927471296328082</v>
      </c>
      <c r="T118" s="124">
        <f t="shared" si="224"/>
        <v>0.58879547561827039</v>
      </c>
      <c r="U118" s="124">
        <f t="shared" si="224"/>
        <v>0.58348745486207976</v>
      </c>
      <c r="V118" s="124">
        <f t="shared" si="224"/>
        <v>0.50648171539437448</v>
      </c>
      <c r="W118" s="124">
        <f t="shared" ref="W118" si="225">IF(W17=0,0,W17/W$15)</f>
        <v>0.53667052769098134</v>
      </c>
      <c r="DA118" s="176"/>
    </row>
    <row r="119" spans="1:105" ht="11.45" customHeight="1" x14ac:dyDescent="0.25">
      <c r="A119" s="111" t="s">
        <v>92</v>
      </c>
      <c r="B119" s="125">
        <f t="shared" si="219"/>
        <v>7.6011310563391318E-2</v>
      </c>
      <c r="C119" s="125">
        <f t="shared" si="219"/>
        <v>8.2812679135720949E-2</v>
      </c>
      <c r="D119" s="125">
        <f t="shared" si="219"/>
        <v>8.9128908893288533E-2</v>
      </c>
      <c r="E119" s="125">
        <f t="shared" si="219"/>
        <v>9.4295891819301467E-2</v>
      </c>
      <c r="F119" s="125">
        <f t="shared" si="219"/>
        <v>9.5155967120290008E-2</v>
      </c>
      <c r="G119" s="125">
        <f t="shared" si="219"/>
        <v>0.10793428394915126</v>
      </c>
      <c r="H119" s="125">
        <f t="shared" si="219"/>
        <v>0.10894293818667264</v>
      </c>
      <c r="I119" s="125">
        <f t="shared" si="219"/>
        <v>0.11018138463773727</v>
      </c>
      <c r="J119" s="125">
        <f t="shared" si="219"/>
        <v>0.12614607988840784</v>
      </c>
      <c r="K119" s="125">
        <f t="shared" ref="K119:V119" si="226">IF(K18=0,0,K18/K$15)</f>
        <v>0.12515937008867653</v>
      </c>
      <c r="L119" s="125">
        <f t="shared" si="226"/>
        <v>0.11620640550408308</v>
      </c>
      <c r="M119" s="125">
        <f t="shared" si="226"/>
        <v>0.10917184871556405</v>
      </c>
      <c r="N119" s="125">
        <f t="shared" si="226"/>
        <v>0.11339380313839884</v>
      </c>
      <c r="O119" s="125">
        <f t="shared" si="226"/>
        <v>9.2840107140636299E-2</v>
      </c>
      <c r="P119" s="125">
        <f t="shared" si="226"/>
        <v>9.8946298511149805E-2</v>
      </c>
      <c r="Q119" s="125">
        <f t="shared" si="226"/>
        <v>7.8714123631444158E-2</v>
      </c>
      <c r="R119" s="125">
        <f t="shared" si="226"/>
        <v>7.4410646743741926E-2</v>
      </c>
      <c r="S119" s="125">
        <f t="shared" si="226"/>
        <v>7.6536445661390534E-2</v>
      </c>
      <c r="T119" s="125">
        <f t="shared" si="226"/>
        <v>7.4648102438954686E-2</v>
      </c>
      <c r="U119" s="125">
        <f t="shared" si="226"/>
        <v>7.802003961608478E-2</v>
      </c>
      <c r="V119" s="125">
        <f t="shared" si="226"/>
        <v>7.5389159176247403E-2</v>
      </c>
      <c r="W119" s="125">
        <f t="shared" ref="W119" si="227">IF(W18=0,0,W18/W$15)</f>
        <v>7.1562465864432129E-2</v>
      </c>
      <c r="DA119" s="171"/>
    </row>
    <row r="120" spans="1:105" ht="11.45" customHeight="1" x14ac:dyDescent="0.25">
      <c r="A120" s="111" t="s">
        <v>93</v>
      </c>
      <c r="B120" s="125">
        <f t="shared" si="219"/>
        <v>0.42546285733627093</v>
      </c>
      <c r="C120" s="125">
        <f t="shared" si="219"/>
        <v>0.39237567412436197</v>
      </c>
      <c r="D120" s="125">
        <f t="shared" si="219"/>
        <v>0.37515145251881776</v>
      </c>
      <c r="E120" s="125">
        <f t="shared" si="219"/>
        <v>0.36640915362153215</v>
      </c>
      <c r="F120" s="125">
        <f t="shared" si="219"/>
        <v>0.35524184410454412</v>
      </c>
      <c r="G120" s="125">
        <f t="shared" si="219"/>
        <v>0.33294680746003585</v>
      </c>
      <c r="H120" s="125">
        <f t="shared" si="219"/>
        <v>0.33604607090581667</v>
      </c>
      <c r="I120" s="125">
        <f t="shared" si="219"/>
        <v>0.33936507366462587</v>
      </c>
      <c r="J120" s="125">
        <f t="shared" si="219"/>
        <v>0.35394903994252769</v>
      </c>
      <c r="K120" s="125">
        <f t="shared" ref="K120:V120" si="228">IF(K19=0,0,K19/K$15)</f>
        <v>0.3645360829992329</v>
      </c>
      <c r="L120" s="125">
        <f t="shared" si="228"/>
        <v>0.37780707565595079</v>
      </c>
      <c r="M120" s="125">
        <f t="shared" si="228"/>
        <v>0.3616993254047271</v>
      </c>
      <c r="N120" s="125">
        <f t="shared" si="228"/>
        <v>0.36171611387800945</v>
      </c>
      <c r="O120" s="125">
        <f t="shared" si="228"/>
        <v>0.42075507678847207</v>
      </c>
      <c r="P120" s="125">
        <f t="shared" si="228"/>
        <v>0.44117746118410778</v>
      </c>
      <c r="Q120" s="125">
        <f t="shared" si="228"/>
        <v>0.45836493033908415</v>
      </c>
      <c r="R120" s="125">
        <f t="shared" si="228"/>
        <v>0.49352829566492618</v>
      </c>
      <c r="S120" s="125">
        <f t="shared" si="228"/>
        <v>0.5127382673018902</v>
      </c>
      <c r="T120" s="125">
        <f t="shared" si="228"/>
        <v>0.5141473731793158</v>
      </c>
      <c r="U120" s="125">
        <f t="shared" si="228"/>
        <v>0.50546741524599492</v>
      </c>
      <c r="V120" s="125">
        <f t="shared" si="228"/>
        <v>0.43109255621812703</v>
      </c>
      <c r="W120" s="125">
        <f t="shared" ref="W120" si="229">IF(W19=0,0,W19/W$15)</f>
        <v>0.46510806182654924</v>
      </c>
      <c r="DA120" s="171"/>
    </row>
    <row r="121" spans="1:105" ht="11.45" customHeight="1" x14ac:dyDescent="0.25">
      <c r="A121" s="112" t="s">
        <v>25</v>
      </c>
      <c r="B121" s="126">
        <f t="shared" si="219"/>
        <v>0</v>
      </c>
      <c r="C121" s="126">
        <f t="shared" si="219"/>
        <v>0</v>
      </c>
      <c r="D121" s="126">
        <f t="shared" si="219"/>
        <v>0</v>
      </c>
      <c r="E121" s="126">
        <f t="shared" si="219"/>
        <v>0</v>
      </c>
      <c r="F121" s="126">
        <f t="shared" si="219"/>
        <v>0</v>
      </c>
      <c r="G121" s="126">
        <f t="shared" si="219"/>
        <v>0</v>
      </c>
      <c r="H121" s="126">
        <f t="shared" si="219"/>
        <v>0</v>
      </c>
      <c r="I121" s="126">
        <f t="shared" si="219"/>
        <v>0</v>
      </c>
      <c r="J121" s="126">
        <f t="shared" si="219"/>
        <v>0</v>
      </c>
      <c r="K121" s="126">
        <f t="shared" ref="K121:V121" si="230">IF(K20=0,0,K20/K$15)</f>
        <v>0</v>
      </c>
      <c r="L121" s="126">
        <f t="shared" si="230"/>
        <v>0</v>
      </c>
      <c r="M121" s="126">
        <f t="shared" si="230"/>
        <v>0</v>
      </c>
      <c r="N121" s="126">
        <f t="shared" si="230"/>
        <v>0</v>
      </c>
      <c r="O121" s="126">
        <f t="shared" si="230"/>
        <v>0</v>
      </c>
      <c r="P121" s="126">
        <f t="shared" si="230"/>
        <v>0</v>
      </c>
      <c r="Q121" s="126">
        <f t="shared" si="230"/>
        <v>0</v>
      </c>
      <c r="R121" s="126">
        <f t="shared" si="230"/>
        <v>0</v>
      </c>
      <c r="S121" s="126">
        <f t="shared" si="230"/>
        <v>0</v>
      </c>
      <c r="T121" s="126">
        <f t="shared" si="230"/>
        <v>0</v>
      </c>
      <c r="U121" s="126">
        <f t="shared" si="230"/>
        <v>0</v>
      </c>
      <c r="V121" s="126">
        <f t="shared" si="230"/>
        <v>0</v>
      </c>
      <c r="W121" s="126">
        <f t="shared" ref="W121" si="231">IF(W20=0,0,W20/W$15)</f>
        <v>0</v>
      </c>
      <c r="DA121" s="204"/>
    </row>
    <row r="122" spans="1:105" ht="11.45" customHeight="1" x14ac:dyDescent="0.25">
      <c r="A122" s="27" t="s">
        <v>34</v>
      </c>
      <c r="B122" s="31">
        <f t="shared" ref="B122:J124" si="232">IF(B21=0,0,B21/B$21)</f>
        <v>1</v>
      </c>
      <c r="C122" s="31">
        <f t="shared" si="232"/>
        <v>1</v>
      </c>
      <c r="D122" s="31">
        <f t="shared" si="232"/>
        <v>1</v>
      </c>
      <c r="E122" s="31">
        <f t="shared" si="232"/>
        <v>1</v>
      </c>
      <c r="F122" s="31">
        <f t="shared" si="232"/>
        <v>1</v>
      </c>
      <c r="G122" s="31">
        <f t="shared" si="232"/>
        <v>1</v>
      </c>
      <c r="H122" s="31">
        <f t="shared" si="232"/>
        <v>1</v>
      </c>
      <c r="I122" s="31">
        <f t="shared" si="232"/>
        <v>1</v>
      </c>
      <c r="J122" s="31">
        <f t="shared" si="232"/>
        <v>1</v>
      </c>
      <c r="K122" s="31">
        <f t="shared" ref="K122:V122" si="233">IF(K21=0,0,K21/K$21)</f>
        <v>1</v>
      </c>
      <c r="L122" s="31">
        <f t="shared" si="233"/>
        <v>1</v>
      </c>
      <c r="M122" s="31">
        <f t="shared" si="233"/>
        <v>1</v>
      </c>
      <c r="N122" s="31">
        <f t="shared" si="233"/>
        <v>1</v>
      </c>
      <c r="O122" s="31">
        <f t="shared" si="233"/>
        <v>1</v>
      </c>
      <c r="P122" s="31">
        <f t="shared" si="233"/>
        <v>1</v>
      </c>
      <c r="Q122" s="31">
        <f t="shared" si="233"/>
        <v>1</v>
      </c>
      <c r="R122" s="31">
        <f t="shared" si="233"/>
        <v>1</v>
      </c>
      <c r="S122" s="31">
        <f t="shared" si="233"/>
        <v>1</v>
      </c>
      <c r="T122" s="31">
        <f t="shared" si="233"/>
        <v>1</v>
      </c>
      <c r="U122" s="31">
        <f t="shared" si="233"/>
        <v>1</v>
      </c>
      <c r="V122" s="31">
        <f t="shared" si="233"/>
        <v>1</v>
      </c>
      <c r="W122" s="31">
        <f t="shared" ref="W122" si="234">IF(W21=0,0,W21/W$21)</f>
        <v>1</v>
      </c>
      <c r="DA122" s="173"/>
    </row>
    <row r="123" spans="1:105" ht="11.45" customHeight="1" x14ac:dyDescent="0.25">
      <c r="A123" s="83" t="s">
        <v>92</v>
      </c>
      <c r="B123" s="125">
        <f t="shared" si="232"/>
        <v>5.5175516999074269E-2</v>
      </c>
      <c r="C123" s="125">
        <f t="shared" si="232"/>
        <v>5.9679197052082078E-2</v>
      </c>
      <c r="D123" s="125">
        <f t="shared" si="232"/>
        <v>6.6093197379882077E-2</v>
      </c>
      <c r="E123" s="125">
        <f t="shared" si="232"/>
        <v>7.0693341815475097E-2</v>
      </c>
      <c r="F123" s="125">
        <f t="shared" si="232"/>
        <v>7.1944396273323358E-2</v>
      </c>
      <c r="G123" s="125">
        <f t="shared" si="232"/>
        <v>7.7563568502280036E-2</v>
      </c>
      <c r="H123" s="125">
        <f t="shared" si="232"/>
        <v>8.5154178569084082E-2</v>
      </c>
      <c r="I123" s="125">
        <f t="shared" si="232"/>
        <v>8.6489982213979064E-2</v>
      </c>
      <c r="J123" s="125">
        <f t="shared" si="232"/>
        <v>5.5442142446853561E-2</v>
      </c>
      <c r="K123" s="125">
        <f t="shared" ref="K123:V123" si="235">IF(K22=0,0,K22/K$21)</f>
        <v>5.2996001837882889E-2</v>
      </c>
      <c r="L123" s="125">
        <f t="shared" si="235"/>
        <v>4.9411988655304474E-2</v>
      </c>
      <c r="M123" s="125">
        <f t="shared" si="235"/>
        <v>4.0501440577716936E-2</v>
      </c>
      <c r="N123" s="125">
        <f t="shared" si="235"/>
        <v>4.3012128572209457E-2</v>
      </c>
      <c r="O123" s="125">
        <f t="shared" si="235"/>
        <v>3.7946656508758503E-2</v>
      </c>
      <c r="P123" s="125">
        <f t="shared" si="235"/>
        <v>4.1302402110296253E-2</v>
      </c>
      <c r="Q123" s="125">
        <f t="shared" si="235"/>
        <v>3.2870566961786321E-2</v>
      </c>
      <c r="R123" s="125">
        <f t="shared" si="235"/>
        <v>3.2923796813239425E-2</v>
      </c>
      <c r="S123" s="125">
        <f t="shared" si="235"/>
        <v>3.563488735209188E-2</v>
      </c>
      <c r="T123" s="125">
        <f t="shared" si="235"/>
        <v>3.3936863670758106E-2</v>
      </c>
      <c r="U123" s="125">
        <f t="shared" si="235"/>
        <v>3.4309708060636414E-2</v>
      </c>
      <c r="V123" s="125">
        <f t="shared" si="235"/>
        <v>3.758592169589027E-2</v>
      </c>
      <c r="W123" s="125">
        <f t="shared" ref="W123" si="236">IF(W22=0,0,W22/W$21)</f>
        <v>3.9154902665178015E-2</v>
      </c>
      <c r="DA123" s="171"/>
    </row>
    <row r="124" spans="1:105" ht="11.45" customHeight="1" x14ac:dyDescent="0.25">
      <c r="A124" s="85" t="s">
        <v>93</v>
      </c>
      <c r="B124" s="127">
        <f t="shared" si="232"/>
        <v>0.9448244830009257</v>
      </c>
      <c r="C124" s="127">
        <f t="shared" si="232"/>
        <v>0.94032080294791787</v>
      </c>
      <c r="D124" s="127">
        <f t="shared" si="232"/>
        <v>0.93390680262011794</v>
      </c>
      <c r="E124" s="127">
        <f t="shared" si="232"/>
        <v>0.92930665818452496</v>
      </c>
      <c r="F124" s="127">
        <f t="shared" si="232"/>
        <v>0.92805560372667661</v>
      </c>
      <c r="G124" s="127">
        <f t="shared" si="232"/>
        <v>0.92243643149772003</v>
      </c>
      <c r="H124" s="127">
        <f t="shared" si="232"/>
        <v>0.91484582143091597</v>
      </c>
      <c r="I124" s="127">
        <f t="shared" si="232"/>
        <v>0.91351001778602092</v>
      </c>
      <c r="J124" s="127">
        <f t="shared" si="232"/>
        <v>0.94455785755314647</v>
      </c>
      <c r="K124" s="127">
        <f t="shared" ref="K124:V124" si="237">IF(K23=0,0,K23/K$21)</f>
        <v>0.94700399816211711</v>
      </c>
      <c r="L124" s="127">
        <f t="shared" si="237"/>
        <v>0.9505880113446955</v>
      </c>
      <c r="M124" s="127">
        <f t="shared" si="237"/>
        <v>0.95949855942228301</v>
      </c>
      <c r="N124" s="127">
        <f t="shared" si="237"/>
        <v>0.95698787142779052</v>
      </c>
      <c r="O124" s="127">
        <f t="shared" si="237"/>
        <v>0.9620533434912415</v>
      </c>
      <c r="P124" s="127">
        <f t="shared" si="237"/>
        <v>0.95869759788970377</v>
      </c>
      <c r="Q124" s="127">
        <f t="shared" si="237"/>
        <v>0.96712943303821375</v>
      </c>
      <c r="R124" s="127">
        <f t="shared" si="237"/>
        <v>0.96707620318676046</v>
      </c>
      <c r="S124" s="127">
        <f t="shared" si="237"/>
        <v>0.96436511264790803</v>
      </c>
      <c r="T124" s="127">
        <f t="shared" si="237"/>
        <v>0.9660631363292419</v>
      </c>
      <c r="U124" s="127">
        <f t="shared" si="237"/>
        <v>0.96569029193936351</v>
      </c>
      <c r="V124" s="127">
        <f t="shared" si="237"/>
        <v>0.96241407830410974</v>
      </c>
      <c r="W124" s="127">
        <f t="shared" ref="W124" si="238">IF(W23=0,0,W23/W$21)</f>
        <v>0.96084509733482193</v>
      </c>
      <c r="DA124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W6 B17:W17 B28:W28 C39:W39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DA6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1100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>SUM(B5,B8)</f>
        <v>265.89484092863279</v>
      </c>
      <c r="C4" s="146">
        <f t="shared" ref="C4:V4" si="0">SUM(C5,C8)</f>
        <v>255.66276870163369</v>
      </c>
      <c r="D4" s="146">
        <f t="shared" si="0"/>
        <v>246.67523645743768</v>
      </c>
      <c r="E4" s="146">
        <f t="shared" si="0"/>
        <v>240.77815993121234</v>
      </c>
      <c r="F4" s="146">
        <f t="shared" si="0"/>
        <v>243.7756663800516</v>
      </c>
      <c r="G4" s="146">
        <f t="shared" si="0"/>
        <v>236.18521066208081</v>
      </c>
      <c r="H4" s="146">
        <f t="shared" si="0"/>
        <v>240.85356835769559</v>
      </c>
      <c r="I4" s="146">
        <f t="shared" si="0"/>
        <v>236.80859845227857</v>
      </c>
      <c r="J4" s="146">
        <f t="shared" si="0"/>
        <v>245.30963026655201</v>
      </c>
      <c r="K4" s="146">
        <f t="shared" si="0"/>
        <v>239.00266552020636</v>
      </c>
      <c r="L4" s="146">
        <f t="shared" si="0"/>
        <v>244.99621668099743</v>
      </c>
      <c r="M4" s="146">
        <f t="shared" si="0"/>
        <v>228.80997420464314</v>
      </c>
      <c r="N4" s="146">
        <f t="shared" si="0"/>
        <v>222.45382631126392</v>
      </c>
      <c r="O4" s="146">
        <f t="shared" si="0"/>
        <v>215.26999140154768</v>
      </c>
      <c r="P4" s="146">
        <f t="shared" si="0"/>
        <v>214.91470335339636</v>
      </c>
      <c r="Q4" s="146">
        <f t="shared" si="0"/>
        <v>205.95631986242478</v>
      </c>
      <c r="R4" s="146">
        <f t="shared" si="0"/>
        <v>206.21513327601033</v>
      </c>
      <c r="S4" s="146">
        <f t="shared" si="0"/>
        <v>210.503611349957</v>
      </c>
      <c r="T4" s="146">
        <f t="shared" si="0"/>
        <v>207.36018916595012</v>
      </c>
      <c r="U4" s="146">
        <f t="shared" si="0"/>
        <v>204.33680137575237</v>
      </c>
      <c r="V4" s="146">
        <f t="shared" si="0"/>
        <v>188.12106620808257</v>
      </c>
      <c r="W4" s="146">
        <f t="shared" ref="W4" si="1">SUM(W5,W8)</f>
        <v>190.67420464316422</v>
      </c>
      <c r="DA4" s="206" t="s">
        <v>1101</v>
      </c>
    </row>
    <row r="5" spans="1:105" ht="11.45" customHeight="1" x14ac:dyDescent="0.25">
      <c r="A5" s="92" t="s">
        <v>151</v>
      </c>
      <c r="B5" s="101">
        <f>SUM(B6:B7)</f>
        <v>44.656663800515915</v>
      </c>
      <c r="C5" s="101">
        <f t="shared" ref="C5:V5" si="2">SUM(C6:C7)</f>
        <v>44.656749785038699</v>
      </c>
      <c r="D5" s="101">
        <f t="shared" si="2"/>
        <v>45.72940670679278</v>
      </c>
      <c r="E5" s="101">
        <f t="shared" si="2"/>
        <v>47.742906276870151</v>
      </c>
      <c r="F5" s="101">
        <f t="shared" si="2"/>
        <v>49.192691315563188</v>
      </c>
      <c r="G5" s="101">
        <f t="shared" si="2"/>
        <v>53.245227858985388</v>
      </c>
      <c r="H5" s="101">
        <f t="shared" si="2"/>
        <v>54.192175408426486</v>
      </c>
      <c r="I5" s="101">
        <f t="shared" si="2"/>
        <v>54.117884780739466</v>
      </c>
      <c r="J5" s="101">
        <f t="shared" si="2"/>
        <v>54.076784178847809</v>
      </c>
      <c r="K5" s="101">
        <f t="shared" si="2"/>
        <v>53.959243336199471</v>
      </c>
      <c r="L5" s="101">
        <f t="shared" si="2"/>
        <v>52.508942390369725</v>
      </c>
      <c r="M5" s="101">
        <f t="shared" si="2"/>
        <v>44.216165090283752</v>
      </c>
      <c r="N5" s="101">
        <f t="shared" si="2"/>
        <v>45.652794496990538</v>
      </c>
      <c r="O5" s="101">
        <f t="shared" si="2"/>
        <v>38.975666380051592</v>
      </c>
      <c r="P5" s="101">
        <f t="shared" si="2"/>
        <v>42.352708512467757</v>
      </c>
      <c r="Q5" s="101">
        <f t="shared" si="2"/>
        <v>32.301461736887362</v>
      </c>
      <c r="R5" s="101">
        <f t="shared" si="2"/>
        <v>32.39183147033534</v>
      </c>
      <c r="S5" s="101">
        <f t="shared" si="2"/>
        <v>35.209630266552018</v>
      </c>
      <c r="T5" s="101">
        <f t="shared" si="2"/>
        <v>33.53525365434222</v>
      </c>
      <c r="U5" s="101">
        <f t="shared" si="2"/>
        <v>33.509286328460867</v>
      </c>
      <c r="V5" s="101">
        <f t="shared" si="2"/>
        <v>29.686844368013755</v>
      </c>
      <c r="W5" s="101">
        <f t="shared" ref="W5" si="3">SUM(W6:W7)</f>
        <v>29.67480653482373</v>
      </c>
      <c r="DA5" s="175"/>
    </row>
    <row r="6" spans="1:105" ht="11.45" customHeight="1" x14ac:dyDescent="0.25">
      <c r="A6" s="164" t="s">
        <v>182</v>
      </c>
      <c r="B6" s="165">
        <v>44.656663800515915</v>
      </c>
      <c r="C6" s="165">
        <v>44.656749785038699</v>
      </c>
      <c r="D6" s="165">
        <v>45.72940670679278</v>
      </c>
      <c r="E6" s="165">
        <v>47.742906276870151</v>
      </c>
      <c r="F6" s="165">
        <v>49.192691315563188</v>
      </c>
      <c r="G6" s="165">
        <v>52.728202923473781</v>
      </c>
      <c r="H6" s="165">
        <v>52.059673258813419</v>
      </c>
      <c r="I6" s="165">
        <v>51.746689595872745</v>
      </c>
      <c r="J6" s="165">
        <v>51.668013757523646</v>
      </c>
      <c r="K6" s="165">
        <v>50.786414445399814</v>
      </c>
      <c r="L6" s="165">
        <v>49.392089423903691</v>
      </c>
      <c r="M6" s="165">
        <v>41.543422184006879</v>
      </c>
      <c r="N6" s="165">
        <v>42.781513327601026</v>
      </c>
      <c r="O6" s="165">
        <v>36.612467755803955</v>
      </c>
      <c r="P6" s="165">
        <v>39.776010318142738</v>
      </c>
      <c r="Q6" s="165">
        <v>30.305846947549441</v>
      </c>
      <c r="R6" s="165">
        <v>30.443250214961306</v>
      </c>
      <c r="S6" s="165">
        <v>33.159157351676697</v>
      </c>
      <c r="T6" s="165">
        <v>31.67592433361995</v>
      </c>
      <c r="U6" s="165">
        <v>31.669819432502141</v>
      </c>
      <c r="V6" s="165">
        <v>27.841100601891657</v>
      </c>
      <c r="W6" s="165">
        <v>27.780223559759243</v>
      </c>
      <c r="DA6" s="207" t="s">
        <v>1102</v>
      </c>
    </row>
    <row r="7" spans="1:105" ht="11.45" customHeight="1" x14ac:dyDescent="0.25">
      <c r="A7" s="166" t="s">
        <v>183</v>
      </c>
      <c r="B7" s="167">
        <v>0</v>
      </c>
      <c r="C7" s="167">
        <v>0</v>
      </c>
      <c r="D7" s="167">
        <v>0</v>
      </c>
      <c r="E7" s="167">
        <v>0</v>
      </c>
      <c r="F7" s="167">
        <v>0</v>
      </c>
      <c r="G7" s="167">
        <v>0.51702493551160789</v>
      </c>
      <c r="H7" s="167">
        <v>2.1325021496130696</v>
      </c>
      <c r="I7" s="167">
        <v>2.3711951848667234</v>
      </c>
      <c r="J7" s="167">
        <v>2.4087704213241614</v>
      </c>
      <c r="K7" s="167">
        <v>3.1728288907996554</v>
      </c>
      <c r="L7" s="167">
        <v>3.1168529664660354</v>
      </c>
      <c r="M7" s="167">
        <v>2.6727429062768704</v>
      </c>
      <c r="N7" s="167">
        <v>2.8712811693895093</v>
      </c>
      <c r="O7" s="167">
        <v>2.3631986242476346</v>
      </c>
      <c r="P7" s="167">
        <v>2.5766981943250218</v>
      </c>
      <c r="Q7" s="167">
        <v>1.9956147893379186</v>
      </c>
      <c r="R7" s="167">
        <v>1.9485812553740327</v>
      </c>
      <c r="S7" s="167">
        <v>2.0504729148753218</v>
      </c>
      <c r="T7" s="167">
        <v>1.8593293207222701</v>
      </c>
      <c r="U7" s="167">
        <v>1.839466895958727</v>
      </c>
      <c r="V7" s="167">
        <v>1.8457437661220979</v>
      </c>
      <c r="W7" s="167">
        <v>1.894582975064488</v>
      </c>
      <c r="DA7" s="177" t="s">
        <v>1103</v>
      </c>
    </row>
    <row r="8" spans="1:105" ht="11.45" customHeight="1" x14ac:dyDescent="0.25">
      <c r="A8" s="85" t="s">
        <v>91</v>
      </c>
      <c r="B8" s="88">
        <v>221.23817712811689</v>
      </c>
      <c r="C8" s="88">
        <v>211.006018916595</v>
      </c>
      <c r="D8" s="88">
        <v>200.94582975064489</v>
      </c>
      <c r="E8" s="88">
        <v>193.0352536543422</v>
      </c>
      <c r="F8" s="88">
        <v>194.58297506448841</v>
      </c>
      <c r="G8" s="88">
        <v>182.9399828030954</v>
      </c>
      <c r="H8" s="88">
        <v>186.6613929492691</v>
      </c>
      <c r="I8" s="88">
        <v>182.6907136715391</v>
      </c>
      <c r="J8" s="88">
        <v>191.23284608770419</v>
      </c>
      <c r="K8" s="88">
        <v>185.04342218400689</v>
      </c>
      <c r="L8" s="88">
        <v>192.48727429062771</v>
      </c>
      <c r="M8" s="88">
        <v>184.5938091143594</v>
      </c>
      <c r="N8" s="88">
        <v>176.80103181427339</v>
      </c>
      <c r="O8" s="88">
        <v>176.29432502149609</v>
      </c>
      <c r="P8" s="88">
        <v>172.56199484092861</v>
      </c>
      <c r="Q8" s="88">
        <v>173.6548581255374</v>
      </c>
      <c r="R8" s="88">
        <v>173.82330180567499</v>
      </c>
      <c r="S8" s="88">
        <v>175.29398108340499</v>
      </c>
      <c r="T8" s="88">
        <v>173.82493551160789</v>
      </c>
      <c r="U8" s="88">
        <v>170.82751504729151</v>
      </c>
      <c r="V8" s="88">
        <v>158.4342218400688</v>
      </c>
      <c r="W8" s="88">
        <v>160.9993981083405</v>
      </c>
      <c r="DA8" s="178" t="s">
        <v>1104</v>
      </c>
    </row>
    <row r="9" spans="1:105" x14ac:dyDescent="0.25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DA9" s="171"/>
    </row>
    <row r="10" spans="1:105" ht="11.45" customHeight="1" x14ac:dyDescent="0.25">
      <c r="A10" s="53" t="s">
        <v>61</v>
      </c>
      <c r="B10" s="62">
        <f t="shared" ref="B10" si="4">SUM(B11,B17)</f>
        <v>265.89484092863279</v>
      </c>
      <c r="C10" s="62">
        <f t="shared" ref="C10:V10" si="5">SUM(C11,C17)</f>
        <v>255.66276870163369</v>
      </c>
      <c r="D10" s="62">
        <f t="shared" si="5"/>
        <v>246.67523645743765</v>
      </c>
      <c r="E10" s="62">
        <f t="shared" si="5"/>
        <v>240.77815993121231</v>
      </c>
      <c r="F10" s="62">
        <f t="shared" si="5"/>
        <v>243.7756663800516</v>
      </c>
      <c r="G10" s="62">
        <f t="shared" si="5"/>
        <v>236.18521066208081</v>
      </c>
      <c r="H10" s="62">
        <f t="shared" si="5"/>
        <v>240.85356835769559</v>
      </c>
      <c r="I10" s="62">
        <f t="shared" si="5"/>
        <v>236.80859845227857</v>
      </c>
      <c r="J10" s="62">
        <f t="shared" si="5"/>
        <v>245.30963026655201</v>
      </c>
      <c r="K10" s="62">
        <f t="shared" si="5"/>
        <v>239.00266552020636</v>
      </c>
      <c r="L10" s="62">
        <f t="shared" si="5"/>
        <v>244.99621668099741</v>
      </c>
      <c r="M10" s="62">
        <f t="shared" si="5"/>
        <v>228.80997420464314</v>
      </c>
      <c r="N10" s="62">
        <f t="shared" si="5"/>
        <v>222.45382631126392</v>
      </c>
      <c r="O10" s="62">
        <f t="shared" si="5"/>
        <v>215.26999140154768</v>
      </c>
      <c r="P10" s="62">
        <f t="shared" si="5"/>
        <v>214.91470335339636</v>
      </c>
      <c r="Q10" s="62">
        <f t="shared" si="5"/>
        <v>205.95631986242478</v>
      </c>
      <c r="R10" s="62">
        <f t="shared" si="5"/>
        <v>206.21513327601033</v>
      </c>
      <c r="S10" s="62">
        <f t="shared" si="5"/>
        <v>210.50361134995703</v>
      </c>
      <c r="T10" s="62">
        <f t="shared" si="5"/>
        <v>207.36018916595009</v>
      </c>
      <c r="U10" s="62">
        <f t="shared" si="5"/>
        <v>204.33680137575237</v>
      </c>
      <c r="V10" s="62">
        <f t="shared" si="5"/>
        <v>188.12106620808254</v>
      </c>
      <c r="W10" s="62">
        <f t="shared" ref="W10" si="6">SUM(W11,W17)</f>
        <v>190.67420464316422</v>
      </c>
      <c r="DA10" s="172" t="s">
        <v>1105</v>
      </c>
    </row>
    <row r="11" spans="1:105" ht="11.45" customHeight="1" x14ac:dyDescent="0.25">
      <c r="A11" s="27" t="s">
        <v>33</v>
      </c>
      <c r="B11" s="29">
        <f t="shared" ref="B11" si="7">SUM(B12,B13,B16)</f>
        <v>176.24553391769223</v>
      </c>
      <c r="C11" s="29">
        <f t="shared" ref="C11:V11" si="8">SUM(C12,C13,C16)</f>
        <v>168.42937331971126</v>
      </c>
      <c r="D11" s="29">
        <f t="shared" si="8"/>
        <v>163.43513120641578</v>
      </c>
      <c r="E11" s="29">
        <f t="shared" si="8"/>
        <v>159.26473613562854</v>
      </c>
      <c r="F11" s="29">
        <f t="shared" si="8"/>
        <v>153.64574061783912</v>
      </c>
      <c r="G11" s="29">
        <f t="shared" si="8"/>
        <v>147.19065204967347</v>
      </c>
      <c r="H11" s="29">
        <f t="shared" si="8"/>
        <v>146.68558398902854</v>
      </c>
      <c r="I11" s="29">
        <f t="shared" si="8"/>
        <v>147.27643079961609</v>
      </c>
      <c r="J11" s="29">
        <f t="shared" si="8"/>
        <v>156.10006394721103</v>
      </c>
      <c r="K11" s="29">
        <f t="shared" si="8"/>
        <v>165.06913154782038</v>
      </c>
      <c r="L11" s="29">
        <f t="shared" si="8"/>
        <v>166.70889862643455</v>
      </c>
      <c r="M11" s="29">
        <f t="shared" si="8"/>
        <v>149.70955369317983</v>
      </c>
      <c r="N11" s="29">
        <f t="shared" si="8"/>
        <v>150.13961237237234</v>
      </c>
      <c r="O11" s="29">
        <f t="shared" si="8"/>
        <v>143.83242074157511</v>
      </c>
      <c r="P11" s="29">
        <f t="shared" si="8"/>
        <v>146.8395379509783</v>
      </c>
      <c r="Q11" s="29">
        <f t="shared" si="8"/>
        <v>139.51256733593266</v>
      </c>
      <c r="R11" s="29">
        <f t="shared" si="8"/>
        <v>140.99490145404656</v>
      </c>
      <c r="S11" s="29">
        <f t="shared" si="8"/>
        <v>143.86010442066717</v>
      </c>
      <c r="T11" s="29">
        <f t="shared" si="8"/>
        <v>140.06978007683037</v>
      </c>
      <c r="U11" s="29">
        <f t="shared" si="8"/>
        <v>135.76757053998563</v>
      </c>
      <c r="V11" s="29">
        <f t="shared" si="8"/>
        <v>107.23137348252695</v>
      </c>
      <c r="W11" s="29">
        <f t="shared" ref="W11" si="9">SUM(W12,W13,W16)</f>
        <v>113.59153156644308</v>
      </c>
      <c r="DA11" s="173" t="s">
        <v>394</v>
      </c>
    </row>
    <row r="12" spans="1:105" ht="11.45" customHeight="1" x14ac:dyDescent="0.25">
      <c r="A12" s="107" t="s">
        <v>23</v>
      </c>
      <c r="B12" s="115">
        <v>34.967755972194809</v>
      </c>
      <c r="C12" s="115">
        <v>37.199444295029949</v>
      </c>
      <c r="D12" s="115">
        <v>37.223956094577559</v>
      </c>
      <c r="E12" s="115">
        <v>37.909825092672399</v>
      </c>
      <c r="F12" s="115">
        <v>37.839740458879774</v>
      </c>
      <c r="G12" s="115">
        <v>36.070952146202359</v>
      </c>
      <c r="H12" s="115">
        <v>36.228424722117317</v>
      </c>
      <c r="I12" s="115">
        <v>36.605958471771913</v>
      </c>
      <c r="J12" s="115">
        <v>34.392391811663337</v>
      </c>
      <c r="K12" s="115">
        <v>34.821424220050119</v>
      </c>
      <c r="L12" s="115">
        <v>35.260703197580561</v>
      </c>
      <c r="M12" s="115">
        <v>32.950507541509666</v>
      </c>
      <c r="N12" s="115">
        <v>33.66929861730447</v>
      </c>
      <c r="O12" s="115">
        <v>33.264382436671596</v>
      </c>
      <c r="P12" s="115">
        <v>31.667704313555316</v>
      </c>
      <c r="Q12" s="115">
        <v>32.183907089420941</v>
      </c>
      <c r="R12" s="115">
        <v>31.780705061718024</v>
      </c>
      <c r="S12" s="115">
        <v>31.78505550602215</v>
      </c>
      <c r="T12" s="115">
        <v>31.229985933421947</v>
      </c>
      <c r="U12" s="115">
        <v>32.317609653281735</v>
      </c>
      <c r="V12" s="115">
        <v>32.228168697629975</v>
      </c>
      <c r="W12" s="115">
        <v>32.190619914054459</v>
      </c>
      <c r="DA12" s="203" t="s">
        <v>395</v>
      </c>
    </row>
    <row r="13" spans="1:105" ht="11.45" customHeight="1" x14ac:dyDescent="0.25">
      <c r="A13" s="109" t="s">
        <v>24</v>
      </c>
      <c r="B13" s="116">
        <f t="shared" ref="B13" si="10">SUM(B14:B15)</f>
        <v>141.27777794549741</v>
      </c>
      <c r="C13" s="116">
        <f t="shared" ref="C13:V13" si="11">SUM(C14:C15)</f>
        <v>131.22992902468133</v>
      </c>
      <c r="D13" s="116">
        <f t="shared" si="11"/>
        <v>126.21117511183822</v>
      </c>
      <c r="E13" s="116">
        <f t="shared" si="11"/>
        <v>121.35491104295613</v>
      </c>
      <c r="F13" s="116">
        <f t="shared" si="11"/>
        <v>115.80600015895934</v>
      </c>
      <c r="G13" s="116">
        <f t="shared" si="11"/>
        <v>111.11969990347113</v>
      </c>
      <c r="H13" s="116">
        <f t="shared" si="11"/>
        <v>110.45715926691122</v>
      </c>
      <c r="I13" s="116">
        <f t="shared" si="11"/>
        <v>110.67047232784418</v>
      </c>
      <c r="J13" s="116">
        <f t="shared" si="11"/>
        <v>121.70767213554768</v>
      </c>
      <c r="K13" s="116">
        <f t="shared" si="11"/>
        <v>130.24770732777026</v>
      </c>
      <c r="L13" s="116">
        <f t="shared" si="11"/>
        <v>131.44819542885398</v>
      </c>
      <c r="M13" s="116">
        <f t="shared" si="11"/>
        <v>116.75904615167016</v>
      </c>
      <c r="N13" s="116">
        <f t="shared" si="11"/>
        <v>116.47031375506788</v>
      </c>
      <c r="O13" s="116">
        <f t="shared" si="11"/>
        <v>110.56803830490352</v>
      </c>
      <c r="P13" s="116">
        <f t="shared" si="11"/>
        <v>115.17183363742299</v>
      </c>
      <c r="Q13" s="116">
        <f t="shared" si="11"/>
        <v>107.3286602465117</v>
      </c>
      <c r="R13" s="116">
        <f t="shared" si="11"/>
        <v>109.21419639232852</v>
      </c>
      <c r="S13" s="116">
        <f t="shared" si="11"/>
        <v>112.07504891464501</v>
      </c>
      <c r="T13" s="116">
        <f t="shared" si="11"/>
        <v>108.83979414340841</v>
      </c>
      <c r="U13" s="116">
        <f t="shared" si="11"/>
        <v>103.44996088670391</v>
      </c>
      <c r="V13" s="116">
        <f t="shared" si="11"/>
        <v>75.00320478489698</v>
      </c>
      <c r="W13" s="116">
        <f t="shared" ref="W13" si="12">SUM(W14:W15)</f>
        <v>81.400911652388629</v>
      </c>
      <c r="DA13" s="176" t="s">
        <v>396</v>
      </c>
    </row>
    <row r="14" spans="1:105" ht="11.45" customHeight="1" x14ac:dyDescent="0.25">
      <c r="A14" s="111" t="s">
        <v>95</v>
      </c>
      <c r="B14" s="87">
        <v>31.446132732536498</v>
      </c>
      <c r="C14" s="87">
        <v>31.534790353255829</v>
      </c>
      <c r="D14" s="87">
        <v>32.155106928158119</v>
      </c>
      <c r="E14" s="87">
        <v>34.165104169844447</v>
      </c>
      <c r="F14" s="87">
        <v>34.06821347369948</v>
      </c>
      <c r="G14" s="87">
        <v>37.787157451218846</v>
      </c>
      <c r="H14" s="87">
        <v>36.48730582671449</v>
      </c>
      <c r="I14" s="87">
        <v>36.40925508427069</v>
      </c>
      <c r="J14" s="87">
        <v>42.750243049060217</v>
      </c>
      <c r="K14" s="87">
        <v>45.056773479352742</v>
      </c>
      <c r="L14" s="87">
        <v>43.575523183608453</v>
      </c>
      <c r="M14" s="87">
        <v>36.628018888448366</v>
      </c>
      <c r="N14" s="87">
        <v>38.291464090838595</v>
      </c>
      <c r="O14" s="87">
        <v>32.414466098618206</v>
      </c>
      <c r="P14" s="87">
        <v>35.517170627241107</v>
      </c>
      <c r="Q14" s="87">
        <v>26.964639937195276</v>
      </c>
      <c r="R14" s="87">
        <v>27.146442808888427</v>
      </c>
      <c r="S14" s="87">
        <v>29.432794014090177</v>
      </c>
      <c r="T14" s="87">
        <v>28.156524956779808</v>
      </c>
      <c r="U14" s="87">
        <v>27.888663065280799</v>
      </c>
      <c r="V14" s="87">
        <v>22.509402621724455</v>
      </c>
      <c r="W14" s="87">
        <v>22.603808974176317</v>
      </c>
      <c r="DA14" s="171" t="s">
        <v>1106</v>
      </c>
    </row>
    <row r="15" spans="1:105" ht="11.45" customHeight="1" x14ac:dyDescent="0.25">
      <c r="A15" s="111" t="s">
        <v>93</v>
      </c>
      <c r="B15" s="87">
        <v>109.83164521296092</v>
      </c>
      <c r="C15" s="87">
        <v>99.695138671425497</v>
      </c>
      <c r="D15" s="87">
        <v>94.056068183680097</v>
      </c>
      <c r="E15" s="87">
        <v>87.189806873111692</v>
      </c>
      <c r="F15" s="87">
        <v>81.737786685259863</v>
      </c>
      <c r="G15" s="87">
        <v>73.332542452252284</v>
      </c>
      <c r="H15" s="87">
        <v>73.969853440196729</v>
      </c>
      <c r="I15" s="87">
        <v>74.261217243573483</v>
      </c>
      <c r="J15" s="87">
        <v>78.957429086487465</v>
      </c>
      <c r="K15" s="87">
        <v>85.190933848417515</v>
      </c>
      <c r="L15" s="87">
        <v>87.872672245245511</v>
      </c>
      <c r="M15" s="87">
        <v>80.131027263221796</v>
      </c>
      <c r="N15" s="87">
        <v>78.17884966422929</v>
      </c>
      <c r="O15" s="87">
        <v>78.153572206285318</v>
      </c>
      <c r="P15" s="87">
        <v>79.654663010181878</v>
      </c>
      <c r="Q15" s="87">
        <v>80.36402030931643</v>
      </c>
      <c r="R15" s="87">
        <v>82.067753583440094</v>
      </c>
      <c r="S15" s="87">
        <v>82.642254900554832</v>
      </c>
      <c r="T15" s="87">
        <v>80.683269186628607</v>
      </c>
      <c r="U15" s="87">
        <v>75.561297821423111</v>
      </c>
      <c r="V15" s="87">
        <v>52.493802163172532</v>
      </c>
      <c r="W15" s="87">
        <v>58.797102678212319</v>
      </c>
      <c r="DA15" s="171" t="s">
        <v>1107</v>
      </c>
    </row>
    <row r="16" spans="1:105" ht="11.45" customHeight="1" x14ac:dyDescent="0.25">
      <c r="A16" s="112" t="s">
        <v>25</v>
      </c>
      <c r="B16" s="117">
        <v>0</v>
      </c>
      <c r="C16" s="117">
        <v>0</v>
      </c>
      <c r="D16" s="117">
        <v>0</v>
      </c>
      <c r="E16" s="117">
        <v>0</v>
      </c>
      <c r="F16" s="117">
        <v>0</v>
      </c>
      <c r="G16" s="117">
        <v>0</v>
      </c>
      <c r="H16" s="117">
        <v>0</v>
      </c>
      <c r="I16" s="117">
        <v>0</v>
      </c>
      <c r="J16" s="117">
        <v>0</v>
      </c>
      <c r="K16" s="117">
        <v>0</v>
      </c>
      <c r="L16" s="117">
        <v>0</v>
      </c>
      <c r="M16" s="117">
        <v>0</v>
      </c>
      <c r="N16" s="117">
        <v>0</v>
      </c>
      <c r="O16" s="117">
        <v>0</v>
      </c>
      <c r="P16" s="117">
        <v>0</v>
      </c>
      <c r="Q16" s="117">
        <v>0</v>
      </c>
      <c r="R16" s="117">
        <v>0</v>
      </c>
      <c r="S16" s="117">
        <v>0</v>
      </c>
      <c r="T16" s="117">
        <v>0</v>
      </c>
      <c r="U16" s="117">
        <v>0</v>
      </c>
      <c r="V16" s="117">
        <v>0</v>
      </c>
      <c r="W16" s="117">
        <v>0</v>
      </c>
      <c r="DA16" s="204" t="s">
        <v>397</v>
      </c>
    </row>
    <row r="17" spans="1:105" ht="11.45" customHeight="1" x14ac:dyDescent="0.25">
      <c r="A17" s="27" t="s">
        <v>34</v>
      </c>
      <c r="B17" s="29">
        <f t="shared" ref="B17:W17" si="13">SUM(B18:B19)</f>
        <v>89.649307010940575</v>
      </c>
      <c r="C17" s="29">
        <f t="shared" si="13"/>
        <v>87.233395381922421</v>
      </c>
      <c r="D17" s="29">
        <f t="shared" si="13"/>
        <v>83.240105251021873</v>
      </c>
      <c r="E17" s="29">
        <f t="shared" si="13"/>
        <v>81.51342379558379</v>
      </c>
      <c r="F17" s="29">
        <f t="shared" si="13"/>
        <v>90.12992576221248</v>
      </c>
      <c r="G17" s="29">
        <f t="shared" si="13"/>
        <v>88.994558612407317</v>
      </c>
      <c r="H17" s="29">
        <f t="shared" si="13"/>
        <v>94.167984368667049</v>
      </c>
      <c r="I17" s="29">
        <f t="shared" si="13"/>
        <v>89.53216765266248</v>
      </c>
      <c r="J17" s="29">
        <f t="shared" si="13"/>
        <v>89.209566319340993</v>
      </c>
      <c r="K17" s="29">
        <f t="shared" si="13"/>
        <v>73.933533972385987</v>
      </c>
      <c r="L17" s="29">
        <f t="shared" si="13"/>
        <v>78.287318054562874</v>
      </c>
      <c r="M17" s="29">
        <f t="shared" si="13"/>
        <v>79.100420511463327</v>
      </c>
      <c r="N17" s="29">
        <f t="shared" si="13"/>
        <v>72.314213938891569</v>
      </c>
      <c r="O17" s="29">
        <f t="shared" si="13"/>
        <v>71.437570659972579</v>
      </c>
      <c r="P17" s="29">
        <f t="shared" si="13"/>
        <v>68.075165402418065</v>
      </c>
      <c r="Q17" s="29">
        <f t="shared" si="13"/>
        <v>66.443752526492105</v>
      </c>
      <c r="R17" s="29">
        <f t="shared" si="13"/>
        <v>65.220231821963779</v>
      </c>
      <c r="S17" s="29">
        <f t="shared" si="13"/>
        <v>66.643506929289856</v>
      </c>
      <c r="T17" s="29">
        <f t="shared" si="13"/>
        <v>67.290409089119734</v>
      </c>
      <c r="U17" s="29">
        <f t="shared" si="13"/>
        <v>68.569230835766746</v>
      </c>
      <c r="V17" s="29">
        <f t="shared" si="13"/>
        <v>80.889692725555577</v>
      </c>
      <c r="W17" s="29">
        <f t="shared" si="13"/>
        <v>77.082673076721122</v>
      </c>
      <c r="DA17" s="173" t="s">
        <v>401</v>
      </c>
    </row>
    <row r="18" spans="1:105" ht="11.45" customHeight="1" x14ac:dyDescent="0.25">
      <c r="A18" s="83" t="s">
        <v>95</v>
      </c>
      <c r="B18" s="87">
        <v>13.210531067979415</v>
      </c>
      <c r="C18" s="87">
        <v>13.121959431782868</v>
      </c>
      <c r="D18" s="87">
        <v>13.574299778634659</v>
      </c>
      <c r="E18" s="87">
        <v>13.577802107025706</v>
      </c>
      <c r="F18" s="87">
        <v>15.12447784186371</v>
      </c>
      <c r="G18" s="87">
        <v>15.458070407766543</v>
      </c>
      <c r="H18" s="87">
        <v>17.704869581711996</v>
      </c>
      <c r="I18" s="87">
        <v>17.708629696468776</v>
      </c>
      <c r="J18" s="87">
        <v>11.326541129787596</v>
      </c>
      <c r="K18" s="87">
        <v>8.9024698568467269</v>
      </c>
      <c r="L18" s="87">
        <v>8.9334192067612737</v>
      </c>
      <c r="M18" s="87">
        <v>7.5881462018353805</v>
      </c>
      <c r="N18" s="87">
        <v>7.3613304061519447</v>
      </c>
      <c r="O18" s="87">
        <v>6.5612002814333881</v>
      </c>
      <c r="P18" s="87">
        <v>6.8355378852266471</v>
      </c>
      <c r="Q18" s="87">
        <v>5.3368217996920881</v>
      </c>
      <c r="R18" s="87">
        <v>5.2453886614469143</v>
      </c>
      <c r="S18" s="87">
        <v>5.7768362524618393</v>
      </c>
      <c r="T18" s="87">
        <v>5.3787286975624067</v>
      </c>
      <c r="U18" s="87">
        <v>5.6206232631800779</v>
      </c>
      <c r="V18" s="87">
        <v>7.1774417462893014</v>
      </c>
      <c r="W18" s="87">
        <v>7.0709975606474114</v>
      </c>
      <c r="DA18" s="171" t="s">
        <v>1108</v>
      </c>
    </row>
    <row r="19" spans="1:105" ht="11.45" customHeight="1" x14ac:dyDescent="0.25">
      <c r="A19" s="85" t="s">
        <v>93</v>
      </c>
      <c r="B19" s="88">
        <v>76.438775942961158</v>
      </c>
      <c r="C19" s="88">
        <v>74.111435950139551</v>
      </c>
      <c r="D19" s="88">
        <v>69.66580547238722</v>
      </c>
      <c r="E19" s="88">
        <v>67.935621688558086</v>
      </c>
      <c r="F19" s="88">
        <v>75.005447920348772</v>
      </c>
      <c r="G19" s="88">
        <v>73.536488204640776</v>
      </c>
      <c r="H19" s="88">
        <v>76.463114786955046</v>
      </c>
      <c r="I19" s="88">
        <v>71.823537956193704</v>
      </c>
      <c r="J19" s="88">
        <v>77.883025189553393</v>
      </c>
      <c r="K19" s="88">
        <v>65.031064115539266</v>
      </c>
      <c r="L19" s="88">
        <v>69.353898847801602</v>
      </c>
      <c r="M19" s="88">
        <v>71.512274309627941</v>
      </c>
      <c r="N19" s="88">
        <v>64.952883532739619</v>
      </c>
      <c r="O19" s="88">
        <v>64.876370378539193</v>
      </c>
      <c r="P19" s="88">
        <v>61.239627517191416</v>
      </c>
      <c r="Q19" s="88">
        <v>61.106930726800023</v>
      </c>
      <c r="R19" s="88">
        <v>59.974843160516862</v>
      </c>
      <c r="S19" s="88">
        <v>60.866670676828015</v>
      </c>
      <c r="T19" s="88">
        <v>61.911680391557333</v>
      </c>
      <c r="U19" s="88">
        <v>62.948607572586674</v>
      </c>
      <c r="V19" s="88">
        <v>73.712250979266273</v>
      </c>
      <c r="W19" s="88">
        <v>70.011675516073709</v>
      </c>
      <c r="DA19" s="178" t="s">
        <v>1109</v>
      </c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68" t="s">
        <v>36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DA21" s="179"/>
    </row>
    <row r="22" spans="1:105" x14ac:dyDescent="0.25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DA22" s="171"/>
    </row>
    <row r="23" spans="1:105" ht="11.45" customHeight="1" x14ac:dyDescent="0.25">
      <c r="A23" s="53" t="s">
        <v>62</v>
      </c>
      <c r="B23" s="62">
        <f>IF(B10=0,0,B10/TrRail_act!B14*100)</f>
        <v>131.52623676266728</v>
      </c>
      <c r="C23" s="62">
        <f>IF(C10=0,0,C10/TrRail_act!C14*100)</f>
        <v>130.69922609371821</v>
      </c>
      <c r="D23" s="62">
        <f>IF(D10=0,0,D10/TrRail_act!D14*100)</f>
        <v>126.27210613317983</v>
      </c>
      <c r="E23" s="62">
        <f>IF(E10=0,0,E10/TrRail_act!E14*100)</f>
        <v>122.75298609177521</v>
      </c>
      <c r="F23" s="62">
        <f>IF(F10=0,0,F10/TrRail_act!F14*100)</f>
        <v>122.04371460930126</v>
      </c>
      <c r="G23" s="62">
        <f>IF(G10=0,0,G10/TrRail_act!G14*100)</f>
        <v>119.73335715328012</v>
      </c>
      <c r="H23" s="62">
        <f>IF(H10=0,0,H10/TrRail_act!H14*100)</f>
        <v>117.86566969019205</v>
      </c>
      <c r="I23" s="62">
        <f>IF(I10=0,0,I10/TrRail_act!I14*100)</f>
        <v>113.21570598217426</v>
      </c>
      <c r="J23" s="62">
        <f>IF(J10=0,0,J10/TrRail_act!J14*100)</f>
        <v>112.75929138080309</v>
      </c>
      <c r="K23" s="62">
        <f>IF(K10=0,0,K10/TrRail_act!K14*100)</f>
        <v>109.42661801649551</v>
      </c>
      <c r="L23" s="62">
        <f>IF(L10=0,0,L10/TrRail_act!L14*100)</f>
        <v>109.12146518045047</v>
      </c>
      <c r="M23" s="62">
        <f>IF(M10=0,0,M10/TrRail_act!M14*100)</f>
        <v>104.22632796988137</v>
      </c>
      <c r="N23" s="62">
        <f>IF(N10=0,0,N10/TrRail_act!N14*100)</f>
        <v>102.19834535950565</v>
      </c>
      <c r="O23" s="62">
        <f>IF(O10=0,0,O10/TrRail_act!O14*100)</f>
        <v>92.380808791065576</v>
      </c>
      <c r="P23" s="62">
        <f>IF(P10=0,0,P10/TrRail_act!P14*100)</f>
        <v>89.857044653738086</v>
      </c>
      <c r="Q23" s="62">
        <f>IF(Q10=0,0,Q10/TrRail_act!Q14*100)</f>
        <v>84.48686610195702</v>
      </c>
      <c r="R23" s="62">
        <f>IF(R10=0,0,R10/TrRail_act!R14*100)</f>
        <v>80.319532896994218</v>
      </c>
      <c r="S23" s="62">
        <f>IF(S10=0,0,S10/TrRail_act!S14*100)</f>
        <v>77.882472695994991</v>
      </c>
      <c r="T23" s="62">
        <f>IF(T10=0,0,T10/TrRail_act!T14*100)</f>
        <v>77.398207328228892</v>
      </c>
      <c r="U23" s="62">
        <f>IF(U10=0,0,U10/TrRail_act!U14*100)</f>
        <v>74.334264832604603</v>
      </c>
      <c r="V23" s="62">
        <f>IF(V10=0,0,V10/TrRail_act!V14*100)</f>
        <v>76.14343270675063</v>
      </c>
      <c r="W23" s="62">
        <f>IF(W10=0,0,W10/TrRail_act!W14*100)</f>
        <v>74.126356424008549</v>
      </c>
      <c r="DA23" s="172" t="s">
        <v>1110</v>
      </c>
    </row>
    <row r="24" spans="1:105" ht="11.45" customHeight="1" x14ac:dyDescent="0.25">
      <c r="A24" s="27" t="s">
        <v>33</v>
      </c>
      <c r="B24" s="29">
        <f>IF(B11=0,0,B11/TrRail_act!B15*100)</f>
        <v>107.52591367304495</v>
      </c>
      <c r="C24" s="29">
        <f>IF(C11=0,0,C11/TrRail_act!C15*100)</f>
        <v>106.47801146483226</v>
      </c>
      <c r="D24" s="29">
        <f>IF(D11=0,0,D11/TrRail_act!D15*100)</f>
        <v>103.83573312473916</v>
      </c>
      <c r="E24" s="29">
        <f>IF(E11=0,0,E11/TrRail_act!E15*100)</f>
        <v>100.30585429973131</v>
      </c>
      <c r="F24" s="29">
        <f>IF(F11=0,0,F11/TrRail_act!F15*100)</f>
        <v>97.130218709207838</v>
      </c>
      <c r="G24" s="29">
        <f>IF(G11=0,0,G11/TrRail_act!G15*100)</f>
        <v>94.176309626266303</v>
      </c>
      <c r="H24" s="29">
        <f>IF(H11=0,0,H11/TrRail_act!H15*100)</f>
        <v>90.998853153364323</v>
      </c>
      <c r="I24" s="29">
        <f>IF(I11=0,0,I11/TrRail_act!I15*100)</f>
        <v>89.667826963806149</v>
      </c>
      <c r="J24" s="29">
        <f>IF(J11=0,0,J11/TrRail_act!J15*100)</f>
        <v>90.555388055844176</v>
      </c>
      <c r="K24" s="29">
        <f>IF(K11=0,0,K11/TrRail_act!K15*100)</f>
        <v>91.507916546998274</v>
      </c>
      <c r="L24" s="29">
        <f>IF(L11=0,0,L11/TrRail_act!L15*100)</f>
        <v>90.939402834268378</v>
      </c>
      <c r="M24" s="29">
        <f>IF(M11=0,0,M11/TrRail_act!M15*100)</f>
        <v>85.190604599464791</v>
      </c>
      <c r="N24" s="29">
        <f>IF(N11=0,0,N11/TrRail_act!N15*100)</f>
        <v>84.769673711306353</v>
      </c>
      <c r="O24" s="29">
        <f>IF(O11=0,0,O11/TrRail_act!O15*100)</f>
        <v>75.216105240764037</v>
      </c>
      <c r="P24" s="29">
        <f>IF(P11=0,0,P11/TrRail_act!P15*100)</f>
        <v>74.068967179313404</v>
      </c>
      <c r="Q24" s="29">
        <f>IF(Q11=0,0,Q11/TrRail_act!Q15*100)</f>
        <v>69.101477373621094</v>
      </c>
      <c r="R24" s="29">
        <f>IF(R11=0,0,R11/TrRail_act!R15*100)</f>
        <v>65.579594313550515</v>
      </c>
      <c r="S24" s="29">
        <f>IF(S11=0,0,S11/TrRail_act!S15*100)</f>
        <v>63.290117023483738</v>
      </c>
      <c r="T24" s="29">
        <f>IF(T11=0,0,T11/TrRail_act!T15*100)</f>
        <v>62.561925487945111</v>
      </c>
      <c r="U24" s="29">
        <f>IF(U11=0,0,U11/TrRail_act!U15*100)</f>
        <v>59.193476120769425</v>
      </c>
      <c r="V24" s="29">
        <f>IF(V11=0,0,V11/TrRail_act!V15*100)</f>
        <v>55.435180248694152</v>
      </c>
      <c r="W24" s="29">
        <f>IF(W11=0,0,W11/TrRail_act!W15*100)</f>
        <v>55.110302189214522</v>
      </c>
      <c r="DA24" s="173" t="s">
        <v>1111</v>
      </c>
    </row>
    <row r="25" spans="1:105" ht="11.45" customHeight="1" x14ac:dyDescent="0.25">
      <c r="A25" s="107" t="s">
        <v>23</v>
      </c>
      <c r="B25" s="115">
        <f>IF(B12=0,0,B12/TrRail_act!B16*100)</f>
        <v>42.793234781485246</v>
      </c>
      <c r="C25" s="115">
        <f>IF(C12=0,0,C12/TrRail_act!C16*100)</f>
        <v>44.810014750034604</v>
      </c>
      <c r="D25" s="115">
        <f>IF(D12=0,0,D12/TrRail_act!D16*100)</f>
        <v>44.145493652294995</v>
      </c>
      <c r="E25" s="115">
        <f>IF(E12=0,0,E12/TrRail_act!E16*100)</f>
        <v>44.272299338342322</v>
      </c>
      <c r="F25" s="115">
        <f>IF(F12=0,0,F12/TrRail_act!F16*100)</f>
        <v>43.524474545681066</v>
      </c>
      <c r="G25" s="115">
        <f>IF(G12=0,0,G12/TrRail_act!G16*100)</f>
        <v>41.277640626655113</v>
      </c>
      <c r="H25" s="115">
        <f>IF(H12=0,0,H12/TrRail_act!H16*100)</f>
        <v>40.494528980371527</v>
      </c>
      <c r="I25" s="115">
        <f>IF(I12=0,0,I12/TrRail_act!I16*100)</f>
        <v>40.48876283231963</v>
      </c>
      <c r="J25" s="115">
        <f>IF(J12=0,0,J12/TrRail_act!J16*100)</f>
        <v>38.375115956842016</v>
      </c>
      <c r="K25" s="115">
        <f>IF(K12=0,0,K12/TrRail_act!K16*100)</f>
        <v>37.827696254983238</v>
      </c>
      <c r="L25" s="115">
        <f>IF(L12=0,0,L12/TrRail_act!L16*100)</f>
        <v>38.014154796399751</v>
      </c>
      <c r="M25" s="115">
        <f>IF(M12=0,0,M12/TrRail_act!M16*100)</f>
        <v>35.435851383099283</v>
      </c>
      <c r="N25" s="115">
        <f>IF(N12=0,0,N12/TrRail_act!N16*100)</f>
        <v>36.216870749284183</v>
      </c>
      <c r="O25" s="115">
        <f>IF(O12=0,0,O12/TrRail_act!O16*100)</f>
        <v>35.763140620019009</v>
      </c>
      <c r="P25" s="115">
        <f>IF(P12=0,0,P12/TrRail_act!P16*100)</f>
        <v>34.735126805008044</v>
      </c>
      <c r="Q25" s="115">
        <f>IF(Q12=0,0,Q12/TrRail_act!Q16*100)</f>
        <v>34.435463715828639</v>
      </c>
      <c r="R25" s="115">
        <f>IF(R12=0,0,R12/TrRail_act!R16*100)</f>
        <v>34.212414172986854</v>
      </c>
      <c r="S25" s="115">
        <f>IF(S12=0,0,S12/TrRail_act!S16*100)</f>
        <v>34.046075654669664</v>
      </c>
      <c r="T25" s="115">
        <f>IF(T12=0,0,T12/TrRail_act!T16*100)</f>
        <v>33.92185270837529</v>
      </c>
      <c r="U25" s="115">
        <f>IF(U12=0,0,U12/TrRail_act!U16*100)</f>
        <v>33.828983033673424</v>
      </c>
      <c r="V25" s="115">
        <f>IF(V12=0,0,V12/TrRail_act!V16*100)</f>
        <v>33.759497670122926</v>
      </c>
      <c r="W25" s="115">
        <f>IF(W12=0,0,W12/TrRail_act!W16*100)</f>
        <v>33.707477318224775</v>
      </c>
      <c r="DA25" s="203" t="s">
        <v>1112</v>
      </c>
    </row>
    <row r="26" spans="1:105" ht="11.45" customHeight="1" x14ac:dyDescent="0.25">
      <c r="A26" s="109" t="s">
        <v>24</v>
      </c>
      <c r="B26" s="116">
        <f>IF(B13=0,0,B13/TrRail_act!B17*100)</f>
        <v>171.87800730861525</v>
      </c>
      <c r="C26" s="116">
        <f>IF(C13=0,0,C13/TrRail_act!C17*100)</f>
        <v>174.58591580425335</v>
      </c>
      <c r="D26" s="116">
        <f>IF(D13=0,0,D13/TrRail_act!D17*100)</f>
        <v>172.71056862315234</v>
      </c>
      <c r="E26" s="116">
        <f>IF(E13=0,0,E13/TrRail_act!E17*100)</f>
        <v>165.89795878336164</v>
      </c>
      <c r="F26" s="116">
        <f>IF(F13=0,0,F13/TrRail_act!F17*100)</f>
        <v>162.54313499997735</v>
      </c>
      <c r="G26" s="116">
        <f>IF(G13=0,0,G13/TrRail_act!G17*100)</f>
        <v>161.26162277143553</v>
      </c>
      <c r="H26" s="116">
        <f>IF(H13=0,0,H13/TrRail_act!H17*100)</f>
        <v>153.99019548231797</v>
      </c>
      <c r="I26" s="116">
        <f>IF(I13=0,0,I13/TrRail_act!I17*100)</f>
        <v>149.88583008361778</v>
      </c>
      <c r="J26" s="116">
        <f>IF(J13=0,0,J13/TrRail_act!J17*100)</f>
        <v>147.06247798913537</v>
      </c>
      <c r="K26" s="116">
        <f>IF(K13=0,0,K13/TrRail_act!K17*100)</f>
        <v>147.44729748574744</v>
      </c>
      <c r="L26" s="116">
        <f>IF(L13=0,0,L13/TrRail_act!L17*100)</f>
        <v>145.14736078420088</v>
      </c>
      <c r="M26" s="116">
        <f>IF(M13=0,0,M13/TrRail_act!M17*100)</f>
        <v>141.10117122205571</v>
      </c>
      <c r="N26" s="116">
        <f>IF(N13=0,0,N13/TrRail_act!N17*100)</f>
        <v>138.40965019477272</v>
      </c>
      <c r="O26" s="116">
        <f>IF(O13=0,0,O13/TrRail_act!O17*100)</f>
        <v>112.58038084201985</v>
      </c>
      <c r="P26" s="116">
        <f>IF(P13=0,0,P13/TrRail_act!P17*100)</f>
        <v>107.55888185792008</v>
      </c>
      <c r="Q26" s="116">
        <f>IF(Q13=0,0,Q13/TrRail_act!Q17*100)</f>
        <v>98.980921971020095</v>
      </c>
      <c r="R26" s="116">
        <f>IF(R13=0,0,R13/TrRail_act!R17*100)</f>
        <v>89.442259845363694</v>
      </c>
      <c r="S26" s="116">
        <f>IF(S13=0,0,S13/TrRail_act!S17*100)</f>
        <v>83.67325415984395</v>
      </c>
      <c r="T26" s="116">
        <f>IF(T13=0,0,T13/TrRail_act!T17*100)</f>
        <v>82.563654429925592</v>
      </c>
      <c r="U26" s="116">
        <f>IF(U13=0,0,U13/TrRail_act!U17*100)</f>
        <v>77.299485913793575</v>
      </c>
      <c r="V26" s="116">
        <f>IF(V13=0,0,V13/TrRail_act!V17*100)</f>
        <v>76.556072392851775</v>
      </c>
      <c r="W26" s="116">
        <f>IF(W13=0,0,W13/TrRail_act!W17*100)</f>
        <v>73.588230530209714</v>
      </c>
      <c r="DA26" s="176" t="s">
        <v>1113</v>
      </c>
    </row>
    <row r="27" spans="1:105" ht="11.45" customHeight="1" x14ac:dyDescent="0.25">
      <c r="A27" s="111" t="s">
        <v>92</v>
      </c>
      <c r="B27" s="87">
        <f>IF(B14=0,0,B14/TrRail_act!B18*100)</f>
        <v>252.39691567828069</v>
      </c>
      <c r="C27" s="87">
        <f>IF(C14=0,0,C14/TrRail_act!C18*100)</f>
        <v>240.73276947279871</v>
      </c>
      <c r="D27" s="87">
        <f>IF(D14=0,0,D14/TrRail_act!D18*100)</f>
        <v>229.20959072302614</v>
      </c>
      <c r="E27" s="87">
        <f>IF(E14=0,0,E14/TrRail_act!E18*100)</f>
        <v>228.19001224918179</v>
      </c>
      <c r="F27" s="87">
        <f>IF(F14=0,0,F14/TrRail_act!F18*100)</f>
        <v>226.33263196660681</v>
      </c>
      <c r="G27" s="87">
        <f>IF(G14=0,0,G14/TrRail_act!G18*100)</f>
        <v>223.9990866845493</v>
      </c>
      <c r="H27" s="87">
        <f>IF(H14=0,0,H14/TrRail_act!H18*100)</f>
        <v>207.77399849543579</v>
      </c>
      <c r="I27" s="87">
        <f>IF(I14=0,0,I14/TrRail_act!I18*100)</f>
        <v>201.19026478529486</v>
      </c>
      <c r="J27" s="87">
        <f>IF(J14=0,0,J14/TrRail_act!J18*100)</f>
        <v>196.59661878990772</v>
      </c>
      <c r="K27" s="87">
        <f>IF(K14=0,0,K14/TrRail_act!K18*100)</f>
        <v>199.56736399002543</v>
      </c>
      <c r="L27" s="87">
        <f>IF(L14=0,0,L14/TrRail_act!L18*100)</f>
        <v>204.55300222309077</v>
      </c>
      <c r="M27" s="87">
        <f>IF(M14=0,0,M14/TrRail_act!M18*100)</f>
        <v>190.91715304658143</v>
      </c>
      <c r="N27" s="87">
        <f>IF(N14=0,0,N14/TrRail_act!N18*100)</f>
        <v>190.65924631465458</v>
      </c>
      <c r="O27" s="87">
        <f>IF(O14=0,0,O14/TrRail_act!O18*100)</f>
        <v>182.58171890671412</v>
      </c>
      <c r="P27" s="87">
        <f>IF(P14=0,0,P14/TrRail_act!P18*100)</f>
        <v>181.06399106180302</v>
      </c>
      <c r="Q27" s="87">
        <f>IF(Q14=0,0,Q14/TrRail_act!Q18*100)</f>
        <v>169.67425958988511</v>
      </c>
      <c r="R27" s="87">
        <f>IF(R14=0,0,R14/TrRail_act!R18*100)</f>
        <v>169.68488838809122</v>
      </c>
      <c r="S27" s="87">
        <f>IF(S14=0,0,S14/TrRail_act!S18*100)</f>
        <v>169.18378184241234</v>
      </c>
      <c r="T27" s="87">
        <f>IF(T14=0,0,T14/TrRail_act!T18*100)</f>
        <v>168.47130547569535</v>
      </c>
      <c r="U27" s="87">
        <f>IF(U14=0,0,U14/TrRail_act!U18*100)</f>
        <v>155.84731582870305</v>
      </c>
      <c r="V27" s="87">
        <f>IF(V14=0,0,V14/TrRail_act!V18*100)</f>
        <v>154.35427600569923</v>
      </c>
      <c r="W27" s="87">
        <f>IF(W14=0,0,W14/TrRail_act!W18*100)</f>
        <v>153.24389035123329</v>
      </c>
      <c r="DA27" s="171" t="s">
        <v>1114</v>
      </c>
    </row>
    <row r="28" spans="1:105" ht="11.45" customHeight="1" x14ac:dyDescent="0.25">
      <c r="A28" s="111" t="s">
        <v>93</v>
      </c>
      <c r="B28" s="87">
        <f>IF(B15=0,0,B15/TrRail_act!B19*100)</f>
        <v>157.49285559730012</v>
      </c>
      <c r="C28" s="87">
        <f>IF(C15=0,0,C15/TrRail_act!C19*100)</f>
        <v>160.6253200539812</v>
      </c>
      <c r="D28" s="87">
        <f>IF(D15=0,0,D15/TrRail_act!D19*100)</f>
        <v>159.28746667462141</v>
      </c>
      <c r="E28" s="87">
        <f>IF(E15=0,0,E15/TrRail_act!E19*100)</f>
        <v>149.86701447763531</v>
      </c>
      <c r="F28" s="87">
        <f>IF(F15=0,0,F15/TrRail_act!F19*100)</f>
        <v>145.45632111047928</v>
      </c>
      <c r="G28" s="87">
        <f>IF(G15=0,0,G15/TrRail_act!G19*100)</f>
        <v>140.92346937117966</v>
      </c>
      <c r="H28" s="87">
        <f>IF(H15=0,0,H15/TrRail_act!H19*100)</f>
        <v>136.55399838199699</v>
      </c>
      <c r="I28" s="87">
        <f>IF(I15=0,0,I15/TrRail_act!I19*100)</f>
        <v>133.22886066585892</v>
      </c>
      <c r="J28" s="87">
        <f>IF(J15=0,0,J15/TrRail_act!J19*100)</f>
        <v>129.40870024849659</v>
      </c>
      <c r="K28" s="87">
        <f>IF(K15=0,0,K15/TrRail_act!K19*100)</f>
        <v>129.55245799829652</v>
      </c>
      <c r="L28" s="87">
        <f>IF(L15=0,0,L15/TrRail_act!L19*100)</f>
        <v>126.87529415788843</v>
      </c>
      <c r="M28" s="87">
        <f>IF(M15=0,0,M15/TrRail_act!M19*100)</f>
        <v>126.06519396310189</v>
      </c>
      <c r="N28" s="87">
        <f>IF(N15=0,0,N15/TrRail_act!N19*100)</f>
        <v>122.03000829008035</v>
      </c>
      <c r="O28" s="87">
        <f>IF(O15=0,0,O15/TrRail_act!O19*100)</f>
        <v>97.134502504629396</v>
      </c>
      <c r="P28" s="87">
        <f>IF(P15=0,0,P15/TrRail_act!P19*100)</f>
        <v>91.073319658388414</v>
      </c>
      <c r="Q28" s="87">
        <f>IF(Q15=0,0,Q15/TrRail_act!Q19*100)</f>
        <v>86.840891726703035</v>
      </c>
      <c r="R28" s="87">
        <f>IF(R15=0,0,R15/TrRail_act!R19*100)</f>
        <v>77.343853454626455</v>
      </c>
      <c r="S28" s="87">
        <f>IF(S15=0,0,S15/TrRail_act!S19*100)</f>
        <v>70.909096941985368</v>
      </c>
      <c r="T28" s="87">
        <f>IF(T15=0,0,T15/TrRail_act!T19*100)</f>
        <v>70.090882088603095</v>
      </c>
      <c r="U28" s="87">
        <f>IF(U15=0,0,U15/TrRail_act!U19*100)</f>
        <v>65.175450581592628</v>
      </c>
      <c r="V28" s="87">
        <f>IF(V15=0,0,V15/TrRail_act!V19*100)</f>
        <v>62.950777958522963</v>
      </c>
      <c r="W28" s="87">
        <f>IF(W15=0,0,W15/TrRail_act!W19*100)</f>
        <v>61.332249813675446</v>
      </c>
      <c r="DA28" s="171" t="s">
        <v>1115</v>
      </c>
    </row>
    <row r="29" spans="1:105" ht="11.45" customHeight="1" x14ac:dyDescent="0.25">
      <c r="A29" s="112" t="s">
        <v>25</v>
      </c>
      <c r="B29" s="117">
        <f>IF(B16=0,0,B16/TrRail_act!B20*100)</f>
        <v>0</v>
      </c>
      <c r="C29" s="117">
        <f>IF(C16=0,0,C16/TrRail_act!C20*100)</f>
        <v>0</v>
      </c>
      <c r="D29" s="117">
        <f>IF(D16=0,0,D16/TrRail_act!D20*100)</f>
        <v>0</v>
      </c>
      <c r="E29" s="117">
        <f>IF(E16=0,0,E16/TrRail_act!E20*100)</f>
        <v>0</v>
      </c>
      <c r="F29" s="117">
        <f>IF(F16=0,0,F16/TrRail_act!F20*100)</f>
        <v>0</v>
      </c>
      <c r="G29" s="117">
        <f>IF(G16=0,0,G16/TrRail_act!G20*100)</f>
        <v>0</v>
      </c>
      <c r="H29" s="117">
        <f>IF(H16=0,0,H16/TrRail_act!H20*100)</f>
        <v>0</v>
      </c>
      <c r="I29" s="117">
        <f>IF(I16=0,0,I16/TrRail_act!I20*100)</f>
        <v>0</v>
      </c>
      <c r="J29" s="117">
        <f>IF(J16=0,0,J16/TrRail_act!J20*100)</f>
        <v>0</v>
      </c>
      <c r="K29" s="117">
        <f>IF(K16=0,0,K16/TrRail_act!K20*100)</f>
        <v>0</v>
      </c>
      <c r="L29" s="117">
        <f>IF(L16=0,0,L16/TrRail_act!L20*100)</f>
        <v>0</v>
      </c>
      <c r="M29" s="117">
        <f>IF(M16=0,0,M16/TrRail_act!M20*100)</f>
        <v>0</v>
      </c>
      <c r="N29" s="117">
        <f>IF(N16=0,0,N16/TrRail_act!N20*100)</f>
        <v>0</v>
      </c>
      <c r="O29" s="117">
        <f>IF(O16=0,0,O16/TrRail_act!O20*100)</f>
        <v>0</v>
      </c>
      <c r="P29" s="117">
        <f>IF(P16=0,0,P16/TrRail_act!P20*100)</f>
        <v>0</v>
      </c>
      <c r="Q29" s="117">
        <f>IF(Q16=0,0,Q16/TrRail_act!Q20*100)</f>
        <v>0</v>
      </c>
      <c r="R29" s="117">
        <f>IF(R16=0,0,R16/TrRail_act!R20*100)</f>
        <v>0</v>
      </c>
      <c r="S29" s="117">
        <f>IF(S16=0,0,S16/TrRail_act!S20*100)</f>
        <v>0</v>
      </c>
      <c r="T29" s="117">
        <f>IF(T16=0,0,T16/TrRail_act!T20*100)</f>
        <v>0</v>
      </c>
      <c r="U29" s="117">
        <f>IF(U16=0,0,U16/TrRail_act!U20*100)</f>
        <v>0</v>
      </c>
      <c r="V29" s="117">
        <f>IF(V16=0,0,V16/TrRail_act!V20*100)</f>
        <v>0</v>
      </c>
      <c r="W29" s="117">
        <f>IF(W16=0,0,W16/TrRail_act!W20*100)</f>
        <v>0</v>
      </c>
      <c r="DA29" s="204" t="s">
        <v>1116</v>
      </c>
    </row>
    <row r="30" spans="1:105" ht="11.45" customHeight="1" x14ac:dyDescent="0.25">
      <c r="A30" s="27" t="s">
        <v>34</v>
      </c>
      <c r="B30" s="29">
        <f>IF(B17=0,0,B17/TrRail_act!B21*100)</f>
        <v>234.36965849691319</v>
      </c>
      <c r="C30" s="29">
        <f>IF(C17=0,0,C17/TrRail_act!C21*100)</f>
        <v>233.06219539401795</v>
      </c>
      <c r="D30" s="29">
        <f>IF(D17=0,0,D17/TrRail_act!D21*100)</f>
        <v>219.31639166965789</v>
      </c>
      <c r="E30" s="29">
        <f>IF(E17=0,0,E17/TrRail_act!E21*100)</f>
        <v>218.12872960845863</v>
      </c>
      <c r="F30" s="29">
        <f>IF(F17=0,0,F17/TrRail_act!F21*100)</f>
        <v>216.87099288945743</v>
      </c>
      <c r="G30" s="29">
        <f>IF(G17=0,0,G17/TrRail_act!G21*100)</f>
        <v>217.23648798940286</v>
      </c>
      <c r="H30" s="29">
        <f>IF(H17=0,0,H17/TrRail_act!H21*100)</f>
        <v>218.22979115177458</v>
      </c>
      <c r="I30" s="29">
        <f>IF(I17=0,0,I17/TrRail_act!I21*100)</f>
        <v>199.31838407750323</v>
      </c>
      <c r="J30" s="29">
        <f>IF(J17=0,0,J17/TrRail_act!J21*100)</f>
        <v>197.49374379915247</v>
      </c>
      <c r="K30" s="29">
        <f>IF(K17=0,0,K17/TrRail_act!K21*100)</f>
        <v>194.42976992552735</v>
      </c>
      <c r="L30" s="29">
        <f>IF(L17=0,0,L17/TrRail_act!L21*100)</f>
        <v>190.02553708835347</v>
      </c>
      <c r="M30" s="29">
        <f>IF(M17=0,0,M17/TrRail_act!M21*100)</f>
        <v>180.60685111982588</v>
      </c>
      <c r="N30" s="29">
        <f>IF(N17=0,0,N17/TrRail_act!N21*100)</f>
        <v>178.31609548454162</v>
      </c>
      <c r="O30" s="29">
        <f>IF(O17=0,0,O17/TrRail_act!O21*100)</f>
        <v>170.90729968693151</v>
      </c>
      <c r="P30" s="29">
        <f>IF(P17=0,0,P17/TrRail_act!P21*100)</f>
        <v>166.33325219119061</v>
      </c>
      <c r="Q30" s="29">
        <f>IF(Q17=0,0,Q17/TrRail_act!Q21*100)</f>
        <v>158.66036592864771</v>
      </c>
      <c r="R30" s="29">
        <f>IF(R17=0,0,R17/TrRail_act!R21*100)</f>
        <v>156.23366768760397</v>
      </c>
      <c r="S30" s="29">
        <f>IF(S17=0,0,S17/TrRail_act!S21*100)</f>
        <v>155.05326257146925</v>
      </c>
      <c r="T30" s="29">
        <f>IF(T17=0,0,T17/TrRail_act!T21*100)</f>
        <v>152.85072969269541</v>
      </c>
      <c r="U30" s="29">
        <f>IF(U17=0,0,U17/TrRail_act!U21*100)</f>
        <v>150.61314210139227</v>
      </c>
      <c r="V30" s="29">
        <f>IF(V17=0,0,V17/TrRail_act!V21*100)</f>
        <v>150.84086870786899</v>
      </c>
      <c r="W30" s="29">
        <f>IF(W17=0,0,W17/TrRail_act!W21*100)</f>
        <v>150.81151003559532</v>
      </c>
      <c r="DA30" s="173" t="s">
        <v>1117</v>
      </c>
    </row>
    <row r="31" spans="1:105" ht="11.45" customHeight="1" x14ac:dyDescent="0.25">
      <c r="A31" s="83" t="s">
        <v>92</v>
      </c>
      <c r="B31" s="87">
        <f>IF(B18=0,0,B18/TrRail_act!B22*100)</f>
        <v>625.93367335327889</v>
      </c>
      <c r="C31" s="87">
        <f>IF(C18=0,0,C18/TrRail_act!C22*100)</f>
        <v>587.44170496432253</v>
      </c>
      <c r="D31" s="87">
        <f>IF(D18=0,0,D18/TrRail_act!D22*100)</f>
        <v>541.12692674833988</v>
      </c>
      <c r="E31" s="87">
        <f>IF(E18=0,0,E18/TrRail_act!E22*100)</f>
        <v>513.96636336888753</v>
      </c>
      <c r="F31" s="87">
        <f>IF(F18=0,0,F18/TrRail_act!F22*100)</f>
        <v>505.84314839342312</v>
      </c>
      <c r="G31" s="87">
        <f>IF(G18=0,0,G18/TrRail_act!G22*100)</f>
        <v>486.48204837475532</v>
      </c>
      <c r="H31" s="87">
        <f>IF(H18=0,0,H18/TrRail_act!H22*100)</f>
        <v>481.83409798888954</v>
      </c>
      <c r="I31" s="87">
        <f>IF(I18=0,0,I18/TrRail_act!I22*100)</f>
        <v>455.81373442490474</v>
      </c>
      <c r="J31" s="87">
        <f>IF(J18=0,0,J18/TrRail_act!J22*100)</f>
        <v>452.27149489696546</v>
      </c>
      <c r="K31" s="87">
        <f>IF(K18=0,0,K18/TrRail_act!K22*100)</f>
        <v>441.76235242680627</v>
      </c>
      <c r="L31" s="87">
        <f>IF(L18=0,0,L18/TrRail_act!L22*100)</f>
        <v>438.83972507894873</v>
      </c>
      <c r="M31" s="87">
        <f>IF(M18=0,0,M18/TrRail_act!M22*100)</f>
        <v>427.78016895899168</v>
      </c>
      <c r="N31" s="87">
        <f>IF(N18=0,0,N18/TrRail_act!N22*100)</f>
        <v>422.01924090837633</v>
      </c>
      <c r="O31" s="87">
        <f>IF(O18=0,0,O18/TrRail_act!O22*100)</f>
        <v>413.66017741110159</v>
      </c>
      <c r="P31" s="87">
        <f>IF(P18=0,0,P18/TrRail_act!P22*100)</f>
        <v>404.37822157156376</v>
      </c>
      <c r="Q31" s="87">
        <f>IF(Q18=0,0,Q18/TrRail_act!Q22*100)</f>
        <v>387.69464842866716</v>
      </c>
      <c r="R31" s="87">
        <f>IF(R18=0,0,R18/TrRail_act!R22*100)</f>
        <v>381.64541602895247</v>
      </c>
      <c r="S31" s="87">
        <f>IF(S18=0,0,S18/TrRail_act!S22*100)</f>
        <v>377.1705139261955</v>
      </c>
      <c r="T31" s="87">
        <f>IF(T18=0,0,T18/TrRail_act!T22*100)</f>
        <v>360.01639847861475</v>
      </c>
      <c r="U31" s="87">
        <f>IF(U18=0,0,U18/TrRail_act!U22*100)</f>
        <v>359.833045789599</v>
      </c>
      <c r="V31" s="87">
        <f>IF(V18=0,0,V18/TrRail_act!V22*100)</f>
        <v>356.09863663028119</v>
      </c>
      <c r="W31" s="87">
        <f>IF(W18=0,0,W18/TrRail_act!W22*100)</f>
        <v>353.3232856768185</v>
      </c>
      <c r="DA31" s="171" t="s">
        <v>1118</v>
      </c>
    </row>
    <row r="32" spans="1:105" ht="11.45" customHeight="1" x14ac:dyDescent="0.25">
      <c r="A32" s="85" t="s">
        <v>93</v>
      </c>
      <c r="B32" s="88">
        <f>IF(B19=0,0,B19/TrRail_act!B23*100)</f>
        <v>211.50324537295097</v>
      </c>
      <c r="C32" s="88">
        <f>IF(C19=0,0,C19/TrRail_act!C23*100)</f>
        <v>210.57084508403463</v>
      </c>
      <c r="D32" s="88">
        <f>IF(D19=0,0,D19/TrRail_act!D23*100)</f>
        <v>196.54164888567956</v>
      </c>
      <c r="E32" s="88">
        <f>IF(E19=0,0,E19/TrRail_act!E23*100)</f>
        <v>195.6240474552456</v>
      </c>
      <c r="F32" s="88">
        <f>IF(F19=0,0,F19/TrRail_act!F23*100)</f>
        <v>194.46939627816579</v>
      </c>
      <c r="G32" s="88">
        <f>IF(G19=0,0,G19/TrRail_act!G23*100)</f>
        <v>194.59682876326391</v>
      </c>
      <c r="H32" s="88">
        <f>IF(H19=0,0,H19/TrRail_act!H23*100)</f>
        <v>193.69340732605207</v>
      </c>
      <c r="I32" s="88">
        <f>IF(I19=0,0,I19/TrRail_act!I23*100)</f>
        <v>175.0337261563117</v>
      </c>
      <c r="J32" s="88">
        <f>IF(J19=0,0,J19/TrRail_act!J23*100)</f>
        <v>182.53920792218088</v>
      </c>
      <c r="K32" s="88">
        <f>IF(K19=0,0,K19/TrRail_act!K23*100)</f>
        <v>180.58860555637526</v>
      </c>
      <c r="L32" s="88">
        <f>IF(L19=0,0,L19/TrRail_act!L23*100)</f>
        <v>177.09206466124127</v>
      </c>
      <c r="M32" s="88">
        <f>IF(M19=0,0,M19/TrRail_act!M23*100)</f>
        <v>170.17340612238087</v>
      </c>
      <c r="N32" s="88">
        <f>IF(N19=0,0,N19/TrRail_act!N23*100)</f>
        <v>167.36277900333815</v>
      </c>
      <c r="O32" s="88">
        <f>IF(O19=0,0,O19/TrRail_act!O23*100)</f>
        <v>161.33230041081745</v>
      </c>
      <c r="P32" s="88">
        <f>IF(P19=0,0,P19/TrRail_act!P23*100)</f>
        <v>156.07785041765612</v>
      </c>
      <c r="Q32" s="88">
        <f>IF(Q19=0,0,Q19/TrRail_act!Q23*100)</f>
        <v>150.87600277902152</v>
      </c>
      <c r="R32" s="88">
        <f>IF(R19=0,0,R19/TrRail_act!R23*100)</f>
        <v>148.55959756029426</v>
      </c>
      <c r="S32" s="88">
        <f>IF(S19=0,0,S19/TrRail_act!S23*100)</f>
        <v>146.84566243416339</v>
      </c>
      <c r="T32" s="88">
        <f>IF(T19=0,0,T19/TrRail_act!T23*100)</f>
        <v>145.57320010434654</v>
      </c>
      <c r="U32" s="88">
        <f>IF(U19=0,0,U19/TrRail_act!U23*100)</f>
        <v>143.17983364221647</v>
      </c>
      <c r="V32" s="88">
        <f>IF(V19=0,0,V19/TrRail_act!V23*100)</f>
        <v>142.82477400755099</v>
      </c>
      <c r="W32" s="88">
        <f>IF(W19=0,0,W19/TrRail_act!W23*100)</f>
        <v>142.55905718364372</v>
      </c>
      <c r="DA32" s="178" t="s">
        <v>1119</v>
      </c>
    </row>
    <row r="33" spans="1:105" x14ac:dyDescent="0.25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DA33" s="171"/>
    </row>
    <row r="34" spans="1:105" ht="11.45" customHeight="1" x14ac:dyDescent="0.25">
      <c r="A34" s="53" t="s">
        <v>74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DA34" s="172"/>
    </row>
    <row r="35" spans="1:105" ht="11.45" customHeight="1" x14ac:dyDescent="0.25">
      <c r="A35" s="27" t="s">
        <v>159</v>
      </c>
      <c r="B35" s="29">
        <f>IF(B11=0,0,B11/TrRail_act!B4*1000)</f>
        <v>11.989403171173862</v>
      </c>
      <c r="C35" s="29">
        <f>IF(C11=0,0,C11/TrRail_act!C4*1000)</f>
        <v>11.367864495443255</v>
      </c>
      <c r="D35" s="29">
        <f>IF(D11=0,0,D11/TrRail_act!D4*1000)</f>
        <v>10.924520232303724</v>
      </c>
      <c r="E35" s="29">
        <f>IF(E11=0,0,E11/TrRail_act!E4*1000)</f>
        <v>10.675252114634914</v>
      </c>
      <c r="F35" s="29">
        <f>IF(F11=0,0,F11/TrRail_act!F4*1000)</f>
        <v>10.512522007963797</v>
      </c>
      <c r="G35" s="29">
        <f>IF(G11=0,0,G11/TrRail_act!G4*1000)</f>
        <v>9.7333811031835804</v>
      </c>
      <c r="H35" s="29">
        <f>IF(H11=0,0,H11/TrRail_act!H4*1000)</f>
        <v>9.5002424112346606</v>
      </c>
      <c r="I35" s="29">
        <f>IF(I11=0,0,I11/TrRail_act!I4*1000)</f>
        <v>9.3234645242808725</v>
      </c>
      <c r="J35" s="29">
        <f>IF(J11=0,0,J11/TrRail_act!J4*1000)</f>
        <v>9.1336622187384418</v>
      </c>
      <c r="K35" s="29">
        <f>IF(K11=0,0,K11/TrRail_act!K4*1000)</f>
        <v>9.7064483662827143</v>
      </c>
      <c r="L35" s="29">
        <f>IF(L11=0,0,L11/TrRail_act!L4*1000)</f>
        <v>9.7026356521934733</v>
      </c>
      <c r="M35" s="29">
        <f>IF(M11=0,0,M11/TrRail_act!M4*1000)</f>
        <v>8.4136328807642649</v>
      </c>
      <c r="N35" s="29">
        <f>IF(N11=0,0,N11/TrRail_act!N4*1000)</f>
        <v>8.1937182379021642</v>
      </c>
      <c r="O35" s="29">
        <f>IF(O11=0,0,O11/TrRail_act!O4*1000)</f>
        <v>7.5645567136616094</v>
      </c>
      <c r="P35" s="29">
        <f>IF(P11=0,0,P11/TrRail_act!P4*1000)</f>
        <v>7.7320355266330028</v>
      </c>
      <c r="Q35" s="29">
        <f>IF(Q11=0,0,Q11/TrRail_act!Q4*1000)</f>
        <v>7.2338616802010272</v>
      </c>
      <c r="R35" s="29">
        <f>IF(R11=0,0,R11/TrRail_act!R4*1000)</f>
        <v>7.1635268464290904</v>
      </c>
      <c r="S35" s="29">
        <f>IF(S11=0,0,S11/TrRail_act!S4*1000)</f>
        <v>7.2836871257489326</v>
      </c>
      <c r="T35" s="29">
        <f>IF(T11=0,0,T11/TrRail_act!T4*1000)</f>
        <v>6.8952493467935492</v>
      </c>
      <c r="U35" s="29">
        <f>IF(U11=0,0,U11/TrRail_act!U4*1000)</f>
        <v>6.5839469734729468</v>
      </c>
      <c r="V35" s="29">
        <f>IF(V11=0,0,V11/TrRail_act!V4*1000)</f>
        <v>8.0807365096101691</v>
      </c>
      <c r="W35" s="29">
        <f>IF(W11=0,0,W11/TrRail_act!W4*1000)</f>
        <v>7.7962616037366557</v>
      </c>
      <c r="DA35" s="173" t="s">
        <v>419</v>
      </c>
    </row>
    <row r="36" spans="1:105" ht="11.45" customHeight="1" x14ac:dyDescent="0.25">
      <c r="A36" s="107" t="s">
        <v>23</v>
      </c>
      <c r="B36" s="115">
        <f>IF(B12=0,0,B12/TrRail_act!B5*1000)</f>
        <v>5.8667542058035362</v>
      </c>
      <c r="C36" s="115">
        <f>IF(C12=0,0,C12/TrRail_act!C5*1000)</f>
        <v>6.1432453947282513</v>
      </c>
      <c r="D36" s="115">
        <f>IF(D12=0,0,D12/TrRail_act!D5*1000)</f>
        <v>6.052142631291078</v>
      </c>
      <c r="E36" s="115">
        <f>IF(E12=0,0,E12/TrRail_act!E5*1000)</f>
        <v>6.0695271032931775</v>
      </c>
      <c r="F36" s="115">
        <f>IF(F12=0,0,F12/TrRail_act!F5*1000)</f>
        <v>5.9670037892704721</v>
      </c>
      <c r="G36" s="115">
        <f>IF(G12=0,0,G12/TrRail_act!G5*1000)</f>
        <v>5.6034696601611378</v>
      </c>
      <c r="H36" s="115">
        <f>IF(H12=0,0,H12/TrRail_act!H5*1000)</f>
        <v>5.5452854796333799</v>
      </c>
      <c r="I36" s="115">
        <f>IF(I12=0,0,I12/TrRail_act!I5*1000)</f>
        <v>5.5218268970907234</v>
      </c>
      <c r="J36" s="115">
        <f>IF(J12=0,0,J12/TrRail_act!J5*1000)</f>
        <v>5.1136293935986323</v>
      </c>
      <c r="K36" s="115">
        <f>IF(K12=0,0,K12/TrRail_act!K5*1000)</f>
        <v>5.104185876911389</v>
      </c>
      <c r="L36" s="115">
        <f>IF(L12=0,0,L12/TrRail_act!L5*1000)</f>
        <v>5.0963494587753333</v>
      </c>
      <c r="M36" s="115">
        <f>IF(M12=0,0,M12/TrRail_act!M5*1000)</f>
        <v>4.6966897877959664</v>
      </c>
      <c r="N36" s="115">
        <f>IF(N12=0,0,N12/TrRail_act!N5*1000)</f>
        <v>4.7336567732151664</v>
      </c>
      <c r="O36" s="115">
        <f>IF(O12=0,0,O12/TrRail_act!O5*1000)</f>
        <v>4.6136504027934455</v>
      </c>
      <c r="P36" s="115">
        <f>IF(P12=0,0,P12/TrRail_act!P5*1000)</f>
        <v>4.5174665707148929</v>
      </c>
      <c r="Q36" s="115">
        <f>IF(Q12=0,0,Q12/TrRail_act!Q5*1000)</f>
        <v>4.481163248639934</v>
      </c>
      <c r="R36" s="115">
        <f>IF(R12=0,0,R12/TrRail_act!R5*1000)</f>
        <v>4.4229984935790094</v>
      </c>
      <c r="S36" s="115">
        <f>IF(S12=0,0,S12/TrRail_act!S5*1000)</f>
        <v>4.4213458764810341</v>
      </c>
      <c r="T36" s="115">
        <f>IF(T12=0,0,T12/TrRail_act!T5*1000)</f>
        <v>4.3423504455897932</v>
      </c>
      <c r="U36" s="115">
        <f>IF(U12=0,0,U12/TrRail_act!U5*1000)</f>
        <v>4.3856167259169139</v>
      </c>
      <c r="V36" s="115">
        <f>IF(V12=0,0,V12/TrRail_act!V5*1000)</f>
        <v>5.4670345543053394</v>
      </c>
      <c r="W36" s="115">
        <f>IF(W12=0,0,W12/TrRail_act!W5*1000)</f>
        <v>5.2004232494433698</v>
      </c>
      <c r="DA36" s="203" t="s">
        <v>420</v>
      </c>
    </row>
    <row r="37" spans="1:105" ht="11.45" customHeight="1" x14ac:dyDescent="0.25">
      <c r="A37" s="109" t="s">
        <v>24</v>
      </c>
      <c r="B37" s="116">
        <f>IF(B13=0,0,B13/TrRail_act!B6*1000)</f>
        <v>16.164903088904055</v>
      </c>
      <c r="C37" s="116">
        <f>IF(C13=0,0,C13/TrRail_act!C6*1000)</f>
        <v>14.97899303048478</v>
      </c>
      <c r="D37" s="116">
        <f>IF(D13=0,0,D13/TrRail_act!D6*1000)</f>
        <v>14.326139226673638</v>
      </c>
      <c r="E37" s="116">
        <f>IF(E13=0,0,E13/TrRail_act!E6*1000)</f>
        <v>13.992049143082008</v>
      </c>
      <c r="F37" s="116">
        <f>IF(F13=0,0,F13/TrRail_act!F6*1000)</f>
        <v>13.996374203403352</v>
      </c>
      <c r="G37" s="116">
        <f>IF(G13=0,0,G13/TrRail_act!G6*1000)</f>
        <v>12.79443867627762</v>
      </c>
      <c r="H37" s="116">
        <f>IF(H13=0,0,H13/TrRail_act!H6*1000)</f>
        <v>12.401163047817583</v>
      </c>
      <c r="I37" s="116">
        <f>IF(I13=0,0,I13/TrRail_act!I6*1000)</f>
        <v>12.072703428367424</v>
      </c>
      <c r="J37" s="116">
        <f>IF(J13=0,0,J13/TrRail_act!J6*1000)</f>
        <v>11.742177726536196</v>
      </c>
      <c r="K37" s="116">
        <f>IF(K13=0,0,K13/TrRail_act!K6*1000)</f>
        <v>12.78944494577477</v>
      </c>
      <c r="L37" s="116">
        <f>IF(L13=0,0,L13/TrRail_act!L6*1000)</f>
        <v>12.807969933630906</v>
      </c>
      <c r="M37" s="116">
        <f>IF(M13=0,0,M13/TrRail_act!M6*1000)</f>
        <v>10.83309019777975</v>
      </c>
      <c r="N37" s="116">
        <f>IF(N13=0,0,N13/TrRail_act!N6*1000)</f>
        <v>10.388931741599134</v>
      </c>
      <c r="O37" s="116">
        <f>IF(O13=0,0,O13/TrRail_act!O6*1000)</f>
        <v>9.3669974843191728</v>
      </c>
      <c r="P37" s="116">
        <f>IF(P13=0,0,P13/TrRail_act!P6*1000)</f>
        <v>9.6128731856625489</v>
      </c>
      <c r="Q37" s="116">
        <f>IF(Q13=0,0,Q13/TrRail_act!Q6*1000)</f>
        <v>8.8672059027190766</v>
      </c>
      <c r="R37" s="116">
        <f>IF(R13=0,0,R13/TrRail_act!R6*1000)</f>
        <v>8.739233127336842</v>
      </c>
      <c r="S37" s="116">
        <f>IF(S13=0,0,S13/TrRail_act!S6*1000)</f>
        <v>8.9217520231368415</v>
      </c>
      <c r="T37" s="116">
        <f>IF(T13=0,0,T13/TrRail_act!T6*1000)</f>
        <v>8.2944516189154402</v>
      </c>
      <c r="U37" s="116">
        <f>IF(U13=0,0,U13/TrRail_act!U6*1000)</f>
        <v>7.8063658984835431</v>
      </c>
      <c r="V37" s="116">
        <f>IF(V13=0,0,V13/TrRail_act!V6*1000)</f>
        <v>10.169926072528405</v>
      </c>
      <c r="W37" s="116">
        <f>IF(W13=0,0,W13/TrRail_act!W6*1000)</f>
        <v>9.7137126076836076</v>
      </c>
      <c r="DA37" s="176" t="s">
        <v>421</v>
      </c>
    </row>
    <row r="38" spans="1:105" ht="11.45" customHeight="1" x14ac:dyDescent="0.25">
      <c r="A38" s="111" t="s">
        <v>92</v>
      </c>
      <c r="B38" s="87">
        <f>IF(B14=0,0,B14/TrRail_act!B7*1000)</f>
        <v>31.397972128318941</v>
      </c>
      <c r="C38" s="87">
        <f>IF(C14=0,0,C14/TrRail_act!C7*1000)</f>
        <v>29.987769966242031</v>
      </c>
      <c r="D38" s="87">
        <f>IF(D14=0,0,D14/TrRail_act!D7*1000)</f>
        <v>28.489350265939919</v>
      </c>
      <c r="E38" s="87">
        <f>IF(E14=0,0,E14/TrRail_act!E7*1000)</f>
        <v>28.32356500220348</v>
      </c>
      <c r="F38" s="87">
        <f>IF(F14=0,0,F14/TrRail_act!F7*1000)</f>
        <v>28.043370867539956</v>
      </c>
      <c r="G38" s="87">
        <f>IF(G14=0,0,G14/TrRail_act!G7*1000)</f>
        <v>26.667622540312138</v>
      </c>
      <c r="H38" s="87">
        <f>IF(H14=0,0,H14/TrRail_act!H7*1000)</f>
        <v>25.595605811357526</v>
      </c>
      <c r="I38" s="87">
        <f>IF(I14=0,0,I14/TrRail_act!I7*1000)</f>
        <v>24.412291616947446</v>
      </c>
      <c r="J38" s="87">
        <f>IF(J14=0,0,J14/TrRail_act!J7*1000)</f>
        <v>21.658718130031744</v>
      </c>
      <c r="K38" s="87">
        <f>IF(K14=0,0,K14/TrRail_act!K7*1000)</f>
        <v>23.130780278713058</v>
      </c>
      <c r="L38" s="87">
        <f>IF(L14=0,0,L14/TrRail_act!L7*1000)</f>
        <v>23.127623124641655</v>
      </c>
      <c r="M38" s="87">
        <f>IF(M14=0,0,M14/TrRail_act!M7*1000)</f>
        <v>20.637638740444373</v>
      </c>
      <c r="N38" s="87">
        <f>IF(N14=0,0,N14/TrRail_act!N7*1000)</f>
        <v>19.45452241694224</v>
      </c>
      <c r="O38" s="87">
        <f>IF(O14=0,0,O14/TrRail_act!O7*1000)</f>
        <v>17.720888211489665</v>
      </c>
      <c r="P38" s="87">
        <f>IF(P14=0,0,P14/TrRail_act!P7*1000)</f>
        <v>18.160981526270849</v>
      </c>
      <c r="Q38" s="87">
        <f>IF(Q14=0,0,Q14/TrRail_act!Q7*1000)</f>
        <v>17.109485918145896</v>
      </c>
      <c r="R38" s="87">
        <f>IF(R14=0,0,R14/TrRail_act!R7*1000)</f>
        <v>16.757337720943042</v>
      </c>
      <c r="S38" s="87">
        <f>IF(S14=0,0,S14/TrRail_act!S7*1000)</f>
        <v>17.115646280487365</v>
      </c>
      <c r="T38" s="87">
        <f>IF(T14=0,0,T14/TrRail_act!T7*1000)</f>
        <v>16.201336052175716</v>
      </c>
      <c r="U38" s="87">
        <f>IF(U14=0,0,U14/TrRail_act!U7*1000)</f>
        <v>15.862375906879226</v>
      </c>
      <c r="V38" s="87">
        <f>IF(V14=0,0,V14/TrRail_act!V7*1000)</f>
        <v>22.463200852071338</v>
      </c>
      <c r="W38" s="87">
        <f>IF(W14=0,0,W14/TrRail_act!W7*1000)</f>
        <v>20.828823182450257</v>
      </c>
      <c r="DA38" s="171" t="s">
        <v>1120</v>
      </c>
    </row>
    <row r="39" spans="1:105" ht="11.45" customHeight="1" x14ac:dyDescent="0.25">
      <c r="A39" s="111" t="s">
        <v>93</v>
      </c>
      <c r="B39" s="87">
        <f>IF(B15=0,0,B15/TrRail_act!B8*1000)</f>
        <v>14.193342023050976</v>
      </c>
      <c r="C39" s="87">
        <f>IF(C15=0,0,C15/TrRail_act!C8*1000)</f>
        <v>12.931729661925667</v>
      </c>
      <c r="D39" s="87">
        <f>IF(D15=0,0,D15/TrRail_act!D8*1000)</f>
        <v>12.24500010621634</v>
      </c>
      <c r="E39" s="87">
        <f>IF(E15=0,0,E15/TrRail_act!E8*1000)</f>
        <v>11.676856252289014</v>
      </c>
      <c r="F39" s="87">
        <f>IF(F15=0,0,F15/TrRail_act!F8*1000)</f>
        <v>11.578968130891298</v>
      </c>
      <c r="G39" s="87">
        <f>IF(G15=0,0,G15/TrRail_act!G8*1000)</f>
        <v>10.089737984913635</v>
      </c>
      <c r="H39" s="87">
        <f>IF(H15=0,0,H15/TrRail_act!H8*1000)</f>
        <v>9.8870748882585353</v>
      </c>
      <c r="I39" s="87">
        <f>IF(I15=0,0,I15/TrRail_act!I8*1000)</f>
        <v>9.6750116966710671</v>
      </c>
      <c r="J39" s="87">
        <f>IF(J15=0,0,J15/TrRail_act!J8*1000)</f>
        <v>9.4095652950201867</v>
      </c>
      <c r="K39" s="87">
        <f>IF(K15=0,0,K15/TrRail_act!K8*1000)</f>
        <v>10.343618932010427</v>
      </c>
      <c r="L39" s="87">
        <f>IF(L15=0,0,L15/TrRail_act!L8*1000)</f>
        <v>10.487417287168624</v>
      </c>
      <c r="M39" s="87">
        <f>IF(M15=0,0,M15/TrRail_act!M8*1000)</f>
        <v>8.9002991026301643</v>
      </c>
      <c r="N39" s="87">
        <f>IF(N15=0,0,N15/TrRail_act!N8*1000)</f>
        <v>8.4584018058994186</v>
      </c>
      <c r="O39" s="87">
        <f>IF(O15=0,0,O15/TrRail_act!O8*1000)</f>
        <v>7.835075852034362</v>
      </c>
      <c r="P39" s="87">
        <f>IF(P15=0,0,P15/TrRail_act!P8*1000)</f>
        <v>7.9453531413937597</v>
      </c>
      <c r="Q39" s="87">
        <f>IF(Q15=0,0,Q15/TrRail_act!Q8*1000)</f>
        <v>7.6333644111637113</v>
      </c>
      <c r="R39" s="87">
        <f>IF(R15=0,0,R15/TrRail_act!R8*1000)</f>
        <v>7.5450541083141118</v>
      </c>
      <c r="S39" s="87">
        <f>IF(S15=0,0,S15/TrRail_act!S8*1000)</f>
        <v>7.6221666237749393</v>
      </c>
      <c r="T39" s="87">
        <f>IF(T15=0,0,T15/TrRail_act!T8*1000)</f>
        <v>7.0873733323853898</v>
      </c>
      <c r="U39" s="87">
        <f>IF(U15=0,0,U15/TrRail_act!U8*1000)</f>
        <v>6.5740715116490334</v>
      </c>
      <c r="V39" s="87">
        <f>IF(V15=0,0,V15/TrRail_act!V8*1000)</f>
        <v>8.2369794170579365</v>
      </c>
      <c r="W39" s="87">
        <f>IF(W15=0,0,W15/TrRail_act!W8*1000)</f>
        <v>8.0601587266989032</v>
      </c>
      <c r="DA39" s="171" t="s">
        <v>1121</v>
      </c>
    </row>
    <row r="40" spans="1:105" ht="11.45" customHeight="1" x14ac:dyDescent="0.25">
      <c r="A40" s="112" t="s">
        <v>25</v>
      </c>
      <c r="B40" s="117">
        <f>IF(B16=0,0,B16/TrRail_act!B9*1000)</f>
        <v>0</v>
      </c>
      <c r="C40" s="117">
        <f>IF(C16=0,0,C16/TrRail_act!C9*1000)</f>
        <v>0</v>
      </c>
      <c r="D40" s="117">
        <f>IF(D16=0,0,D16/TrRail_act!D9*1000)</f>
        <v>0</v>
      </c>
      <c r="E40" s="117">
        <f>IF(E16=0,0,E16/TrRail_act!E9*1000)</f>
        <v>0</v>
      </c>
      <c r="F40" s="117">
        <f>IF(F16=0,0,F16/TrRail_act!F9*1000)</f>
        <v>0</v>
      </c>
      <c r="G40" s="117">
        <f>IF(G16=0,0,G16/TrRail_act!G9*1000)</f>
        <v>0</v>
      </c>
      <c r="H40" s="117">
        <f>IF(H16=0,0,H16/TrRail_act!H9*1000)</f>
        <v>0</v>
      </c>
      <c r="I40" s="117">
        <f>IF(I16=0,0,I16/TrRail_act!I9*1000)</f>
        <v>0</v>
      </c>
      <c r="J40" s="117">
        <f>IF(J16=0,0,J16/TrRail_act!J9*1000)</f>
        <v>0</v>
      </c>
      <c r="K40" s="117">
        <f>IF(K16=0,0,K16/TrRail_act!K9*1000)</f>
        <v>0</v>
      </c>
      <c r="L40" s="117">
        <f>IF(L16=0,0,L16/TrRail_act!L9*1000)</f>
        <v>0</v>
      </c>
      <c r="M40" s="117">
        <f>IF(M16=0,0,M16/TrRail_act!M9*1000)</f>
        <v>0</v>
      </c>
      <c r="N40" s="117">
        <f>IF(N16=0,0,N16/TrRail_act!N9*1000)</f>
        <v>0</v>
      </c>
      <c r="O40" s="117">
        <f>IF(O16=0,0,O16/TrRail_act!O9*1000)</f>
        <v>0</v>
      </c>
      <c r="P40" s="117">
        <f>IF(P16=0,0,P16/TrRail_act!P9*1000)</f>
        <v>0</v>
      </c>
      <c r="Q40" s="117">
        <f>IF(Q16=0,0,Q16/TrRail_act!Q9*1000)</f>
        <v>0</v>
      </c>
      <c r="R40" s="117">
        <f>IF(R16=0,0,R16/TrRail_act!R9*1000)</f>
        <v>0</v>
      </c>
      <c r="S40" s="117">
        <f>IF(S16=0,0,S16/TrRail_act!S9*1000)</f>
        <v>0</v>
      </c>
      <c r="T40" s="117">
        <f>IF(T16=0,0,T16/TrRail_act!T9*1000)</f>
        <v>0</v>
      </c>
      <c r="U40" s="117">
        <f>IF(U16=0,0,U16/TrRail_act!U9*1000)</f>
        <v>0</v>
      </c>
      <c r="V40" s="117">
        <f>IF(V16=0,0,V16/TrRail_act!V9*1000)</f>
        <v>0</v>
      </c>
      <c r="W40" s="117">
        <f>IF(W16=0,0,W16/TrRail_act!W9*1000)</f>
        <v>0</v>
      </c>
      <c r="DA40" s="204" t="s">
        <v>422</v>
      </c>
    </row>
    <row r="41" spans="1:105" ht="11.45" customHeight="1" x14ac:dyDescent="0.25">
      <c r="A41" s="27" t="s">
        <v>160</v>
      </c>
      <c r="B41" s="29">
        <f>IF(B17=0,0,B17/TrRail_act!B10*1000)</f>
        <v>5.4005606633096734</v>
      </c>
      <c r="C41" s="29">
        <f>IF(C17=0,0,C17/TrRail_act!C10*1000)</f>
        <v>5.1638782561962007</v>
      </c>
      <c r="D41" s="29">
        <f>IF(D17=0,0,D17/TrRail_act!D10*1000)</f>
        <v>4.85931729428032</v>
      </c>
      <c r="E41" s="29">
        <f>IF(E17=0,0,E17/TrRail_act!E10*1000)</f>
        <v>4.8330027152605117</v>
      </c>
      <c r="F41" s="29">
        <f>IF(F17=0,0,F17/TrRail_act!F10*1000)</f>
        <v>4.8051354567474798</v>
      </c>
      <c r="G41" s="29">
        <f>IF(G17=0,0,G17/TrRail_act!G10*1000)</f>
        <v>4.6945486423172076</v>
      </c>
      <c r="H41" s="29">
        <f>IF(H17=0,0,H17/TrRail_act!H10*1000)</f>
        <v>4.4884644598983341</v>
      </c>
      <c r="I41" s="29">
        <f>IF(I17=0,0,I17/TrRail_act!I10*1000)</f>
        <v>4.1894234080137789</v>
      </c>
      <c r="J41" s="29">
        <f>IF(J17=0,0,J17/TrRail_act!J10*1000)</f>
        <v>4.070708022785352</v>
      </c>
      <c r="K41" s="29">
        <f>IF(K17=0,0,K17/TrRail_act!K10*1000)</f>
        <v>4.1612840644107605</v>
      </c>
      <c r="L41" s="29">
        <f>IF(L17=0,0,L17/TrRail_act!L10*1000)</f>
        <v>3.9473260754582196</v>
      </c>
      <c r="M41" s="29">
        <f>IF(M17=0,0,M17/TrRail_act!M10*1000)</f>
        <v>3.8879538221412302</v>
      </c>
      <c r="N41" s="29">
        <f>IF(N17=0,0,N17/TrRail_act!N10*1000)</f>
        <v>3.7086114128361234</v>
      </c>
      <c r="O41" s="29">
        <f>IF(O17=0,0,O17/TrRail_act!O10*1000)</f>
        <v>3.7056525915537182</v>
      </c>
      <c r="P41" s="29">
        <f>IF(P17=0,0,P17/TrRail_act!P10*1000)</f>
        <v>3.281363414750702</v>
      </c>
      <c r="Q41" s="29">
        <f>IF(Q17=0,0,Q17/TrRail_act!Q10*1000)</f>
        <v>3.1922625409095855</v>
      </c>
      <c r="R41" s="29">
        <f>IF(R17=0,0,R17/TrRail_act!R10*1000)</f>
        <v>3.0532386977184482</v>
      </c>
      <c r="S41" s="29">
        <f>IF(S17=0,0,S17/TrRail_act!S10*1000)</f>
        <v>2.9944063142204285</v>
      </c>
      <c r="T41" s="29">
        <f>IF(T17=0,0,T17/TrRail_act!T10*1000)</f>
        <v>3.0592111788106808</v>
      </c>
      <c r="U41" s="29">
        <f>IF(U17=0,0,U17/TrRail_act!U10*1000)</f>
        <v>3.1546388864449182</v>
      </c>
      <c r="V41" s="29">
        <f>IF(V17=0,0,V17/TrRail_act!V10*1000)</f>
        <v>3.9462236669702198</v>
      </c>
      <c r="W41" s="29">
        <f>IF(W17=0,0,W17/TrRail_act!W10*1000)</f>
        <v>3.5393118635713816</v>
      </c>
      <c r="DA41" s="173" t="s">
        <v>427</v>
      </c>
    </row>
    <row r="42" spans="1:105" ht="11.45" customHeight="1" x14ac:dyDescent="0.25">
      <c r="A42" s="83" t="s">
        <v>92</v>
      </c>
      <c r="B42" s="87">
        <f>IF(B18=0,0,B18/TrRail_act!B11*1000)</f>
        <v>13.730820354546262</v>
      </c>
      <c r="C42" s="87">
        <f>IF(C18=0,0,C18/TrRail_act!C11*1000)</f>
        <v>12.889157223118424</v>
      </c>
      <c r="D42" s="87">
        <f>IF(D18=0,0,D18/TrRail_act!D11*1000)</f>
        <v>12.393335199949524</v>
      </c>
      <c r="E42" s="87">
        <f>IF(E18=0,0,E18/TrRail_act!E11*1000)</f>
        <v>11.776044039775799</v>
      </c>
      <c r="F42" s="87">
        <f>IF(F18=0,0,F18/TrRail_act!F11*1000)</f>
        <v>11.591198588177472</v>
      </c>
      <c r="G42" s="87">
        <f>IF(G18=0,0,G18/TrRail_act!G11*1000)</f>
        <v>10.500281081799127</v>
      </c>
      <c r="H42" s="87">
        <f>IF(H18=0,0,H18/TrRail_act!H11*1000)</f>
        <v>10.887822597275921</v>
      </c>
      <c r="I42" s="87">
        <f>IF(I18=0,0,I18/TrRail_act!I11*1000)</f>
        <v>10.526937753883983</v>
      </c>
      <c r="J42" s="87">
        <f>IF(J18=0,0,J18/TrRail_act!J11*1000)</f>
        <v>7.3109988901374807</v>
      </c>
      <c r="K42" s="87">
        <f>IF(K18=0,0,K18/TrRail_act!K11*1000)</f>
        <v>6.9217812426339123</v>
      </c>
      <c r="L42" s="87">
        <f>IF(L18=0,0,L18/TrRail_act!L11*1000)</f>
        <v>6.5523199190351384</v>
      </c>
      <c r="M42" s="87">
        <f>IF(M18=0,0,M18/TrRail_act!M11*1000)</f>
        <v>6.0137381385951141</v>
      </c>
      <c r="N42" s="87">
        <f>IF(N18=0,0,N18/TrRail_act!N11*1000)</f>
        <v>5.7337782672752624</v>
      </c>
      <c r="O42" s="87">
        <f>IF(O18=0,0,O18/TrRail_act!O11*1000)</f>
        <v>5.8550340023409602</v>
      </c>
      <c r="P42" s="87">
        <f>IF(P18=0,0,P18/TrRail_act!P11*1000)</f>
        <v>5.2100794327452791</v>
      </c>
      <c r="Q42" s="87">
        <f>IF(Q18=0,0,Q18/TrRail_act!Q11*1000)</f>
        <v>5.0885162163342335</v>
      </c>
      <c r="R42" s="87">
        <f>IF(R18=0,0,R18/TrRail_act!R11*1000)</f>
        <v>4.8658111405286499</v>
      </c>
      <c r="S42" s="87">
        <f>IF(S18=0,0,S18/TrRail_act!S11*1000)</f>
        <v>4.8315262420056522</v>
      </c>
      <c r="T42" s="87">
        <f>IF(T18=0,0,T18/TrRail_act!T11*1000)</f>
        <v>4.7068762241909399</v>
      </c>
      <c r="U42" s="87">
        <f>IF(U18=0,0,U18/TrRail_act!U11*1000)</f>
        <v>4.908943851682408</v>
      </c>
      <c r="V42" s="87">
        <f>IF(V18=0,0,V18/TrRail_act!V11*1000)</f>
        <v>5.0964545995630948</v>
      </c>
      <c r="W42" s="87">
        <f>IF(W18=0,0,W18/TrRail_act!W11*1000)</f>
        <v>5.0153524812923784</v>
      </c>
      <c r="DA42" s="171" t="s">
        <v>1122</v>
      </c>
    </row>
    <row r="43" spans="1:105" ht="11.45" customHeight="1" x14ac:dyDescent="0.25">
      <c r="A43" s="85" t="s">
        <v>93</v>
      </c>
      <c r="B43" s="88">
        <f>IF(B19=0,0,B19/TrRail_act!B12*1000)</f>
        <v>4.8880485664006397</v>
      </c>
      <c r="C43" s="88">
        <f>IF(C19=0,0,C19/TrRail_act!C12*1000)</f>
        <v>4.6684551030445212</v>
      </c>
      <c r="D43" s="88">
        <f>IF(D19=0,0,D19/TrRail_act!D12*1000)</f>
        <v>4.3446876655757034</v>
      </c>
      <c r="E43" s="88">
        <f>IF(E19=0,0,E19/TrRail_act!E12*1000)</f>
        <v>4.3235302140757881</v>
      </c>
      <c r="F43" s="88">
        <f>IF(F19=0,0,F19/TrRail_act!F12*1000)</f>
        <v>4.2977706221446477</v>
      </c>
      <c r="G43" s="88">
        <f>IF(G19=0,0,G19/TrRail_act!G12*1000)</f>
        <v>4.2057278668999158</v>
      </c>
      <c r="H43" s="88">
        <f>IF(H19=0,0,H19/TrRail_act!H12*1000)</f>
        <v>3.9507892754522285</v>
      </c>
      <c r="I43" s="88">
        <f>IF(I19=0,0,I19/TrRail_act!I12*1000)</f>
        <v>3.6479426101847356</v>
      </c>
      <c r="J43" s="88">
        <f>IF(J19=0,0,J19/TrRail_act!J12*1000)</f>
        <v>3.8242152971344971</v>
      </c>
      <c r="K43" s="88">
        <f>IF(K19=0,0,K19/TrRail_act!K12*1000)</f>
        <v>3.9458569210025165</v>
      </c>
      <c r="L43" s="88">
        <f>IF(L19=0,0,L19/TrRail_act!L12*1000)</f>
        <v>3.755029397277025</v>
      </c>
      <c r="M43" s="88">
        <f>IF(M19=0,0,M19/TrRail_act!M12*1000)</f>
        <v>3.7473946416206561</v>
      </c>
      <c r="N43" s="88">
        <f>IF(N19=0,0,N19/TrRail_act!N12*1000)</f>
        <v>3.565872115215976</v>
      </c>
      <c r="O43" s="88">
        <f>IF(O19=0,0,O19/TrRail_act!O12*1000)</f>
        <v>3.5730005611694899</v>
      </c>
      <c r="P43" s="88">
        <f>IF(P19=0,0,P19/TrRail_act!P12*1000)</f>
        <v>3.1511564939188665</v>
      </c>
      <c r="Q43" s="88">
        <f>IF(Q19=0,0,Q19/TrRail_act!Q12*1000)</f>
        <v>3.0916419877322951</v>
      </c>
      <c r="R43" s="88">
        <f>IF(R19=0,0,R19/TrRail_act!R12*1000)</f>
        <v>2.9569033206121103</v>
      </c>
      <c r="S43" s="88">
        <f>IF(S19=0,0,S19/TrRail_act!S12*1000)</f>
        <v>2.8901078936307742</v>
      </c>
      <c r="T43" s="88">
        <f>IF(T19=0,0,T19/TrRail_act!T12*1000)</f>
        <v>2.9689207323796278</v>
      </c>
      <c r="U43" s="88">
        <f>IF(U19=0,0,U19/TrRail_act!U12*1000)</f>
        <v>3.0570897203338658</v>
      </c>
      <c r="V43" s="88">
        <f>IF(V19=0,0,V19/TrRail_act!V12*1000)</f>
        <v>3.8613666182050697</v>
      </c>
      <c r="W43" s="88">
        <f>IF(W19=0,0,W19/TrRail_act!W12*1000)</f>
        <v>3.4371461750713244</v>
      </c>
      <c r="DA43" s="178" t="s">
        <v>1123</v>
      </c>
    </row>
    <row r="44" spans="1:105" x14ac:dyDescent="0.25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DA44" s="171"/>
    </row>
    <row r="45" spans="1:105" ht="11.45" customHeight="1" x14ac:dyDescent="0.25">
      <c r="A45" s="53" t="s">
        <v>96</v>
      </c>
      <c r="B45" s="54">
        <f>IF(B10=0,0,1000000*B10/TrRail_act!B25)</f>
        <v>179406.39636199194</v>
      </c>
      <c r="C45" s="54">
        <f>IF(C10=0,0,1000000*C10/TrRail_act!C25)</f>
        <v>176612.50139208545</v>
      </c>
      <c r="D45" s="54">
        <f>IF(D10=0,0,1000000*D10/TrRail_act!D25)</f>
        <v>170886.31049747849</v>
      </c>
      <c r="E45" s="54">
        <f>IF(E10=0,0,1000000*E10/TrRail_act!E25)</f>
        <v>165715.6930999216</v>
      </c>
      <c r="F45" s="54">
        <f>IF(F10=0,0,1000000*F10/TrRail_act!F25)</f>
        <v>165481.86975683586</v>
      </c>
      <c r="G45" s="54">
        <f>IF(G10=0,0,1000000*G10/TrRail_act!G25)</f>
        <v>161922.67196696257</v>
      </c>
      <c r="H45" s="54">
        <f>IF(H10=0,0,1000000*H10/TrRail_act!H25)</f>
        <v>159794.33981504789</v>
      </c>
      <c r="I45" s="54">
        <f>IF(I10=0,0,1000000*I10/TrRail_act!I25)</f>
        <v>153896.74255777671</v>
      </c>
      <c r="J45" s="54">
        <f>IF(J10=0,0,1000000*J10/TrRail_act!J25)</f>
        <v>153493.89759036904</v>
      </c>
      <c r="K45" s="54">
        <f>IF(K10=0,0,1000000*K10/TrRail_act!K25)</f>
        <v>145882.74885900493</v>
      </c>
      <c r="L45" s="54">
        <f>IF(L10=0,0,1000000*L10/TrRail_act!L25)</f>
        <v>147654.60732074158</v>
      </c>
      <c r="M45" s="54">
        <f>IF(M10=0,0,1000000*M10/TrRail_act!M25)</f>
        <v>140520.08948418271</v>
      </c>
      <c r="N45" s="54">
        <f>IF(N10=0,0,1000000*N10/TrRail_act!N25)</f>
        <v>137799.14438372379</v>
      </c>
      <c r="O45" s="54">
        <f>IF(O10=0,0,1000000*O10/TrRail_act!O25)</f>
        <v>125032.60900555238</v>
      </c>
      <c r="P45" s="54">
        <f>IF(P10=0,0,1000000*P10/TrRail_act!P25)</f>
        <v>122746.37228248626</v>
      </c>
      <c r="Q45" s="54">
        <f>IF(Q10=0,0,1000000*Q10/TrRail_act!Q25)</f>
        <v>114258.24450607604</v>
      </c>
      <c r="R45" s="54">
        <f>IF(R10=0,0,1000000*R10/TrRail_act!R25)</f>
        <v>109817.26426811531</v>
      </c>
      <c r="S45" s="54">
        <f>IF(S10=0,0,1000000*S10/TrRail_act!S25)</f>
        <v>107520.7444436784</v>
      </c>
      <c r="T45" s="54">
        <f>IF(T10=0,0,1000000*T10/TrRail_act!T25)</f>
        <v>107093.66460738334</v>
      </c>
      <c r="U45" s="54">
        <f>IF(U10=0,0,1000000*U10/TrRail_act!U25)</f>
        <v>102769.10150151777</v>
      </c>
      <c r="V45" s="54">
        <f>IF(V10=0,0,1000000*V10/TrRail_act!V25)</f>
        <v>95329.045975216141</v>
      </c>
      <c r="W45" s="54">
        <f>IF(W10=0,0,1000000*W10/TrRail_act!W25)</f>
        <v>100020.77384831761</v>
      </c>
      <c r="DA45" s="172" t="s">
        <v>1124</v>
      </c>
    </row>
    <row r="46" spans="1:105" ht="11.45" customHeight="1" x14ac:dyDescent="0.25">
      <c r="A46" s="27" t="s">
        <v>33</v>
      </c>
      <c r="B46" s="28">
        <f>IF(B11=0,0,1000000*B11/TrRail_act!B26)</f>
        <v>136537.12993205796</v>
      </c>
      <c r="C46" s="28">
        <f>IF(C11=0,0,1000000*C11/TrRail_act!C26)</f>
        <v>133626.86977136118</v>
      </c>
      <c r="D46" s="28">
        <f>IF(D11=0,0,1000000*D11/TrRail_act!D26)</f>
        <v>130358.77856567904</v>
      </c>
      <c r="E46" s="28">
        <f>IF(E11=0,0,1000000*E11/TrRail_act!E26)</f>
        <v>125790.3758203567</v>
      </c>
      <c r="F46" s="28">
        <f>IF(F11=0,0,1000000*F11/TrRail_act!F26)</f>
        <v>121427.41128790707</v>
      </c>
      <c r="G46" s="28">
        <f>IF(G11=0,0,1000000*G11/TrRail_act!G26)</f>
        <v>117395.98599185958</v>
      </c>
      <c r="H46" s="28">
        <f>IF(H11=0,0,1000000*H11/TrRail_act!H26)</f>
        <v>113576.10307433135</v>
      </c>
      <c r="I46" s="28">
        <f>IF(I11=0,0,1000000*I11/TrRail_act!I26)</f>
        <v>112069.38107732109</v>
      </c>
      <c r="J46" s="28">
        <f>IF(J11=0,0,1000000*J11/TrRail_act!J26)</f>
        <v>114236.03711618145</v>
      </c>
      <c r="K46" s="28">
        <f>IF(K11=0,0,1000000*K11/TrRail_act!K26)</f>
        <v>115777.57536849123</v>
      </c>
      <c r="L46" s="28">
        <f>IF(L11=0,0,1000000*L11/TrRail_act!L26)</f>
        <v>115195.73113408667</v>
      </c>
      <c r="M46" s="28">
        <f>IF(M11=0,0,1000000*M11/TrRail_act!M26)</f>
        <v>106707.66639596617</v>
      </c>
      <c r="N46" s="28">
        <f>IF(N11=0,0,1000000*N11/TrRail_act!N26)</f>
        <v>106774.54662499257</v>
      </c>
      <c r="O46" s="28">
        <f>IF(O11=0,0,1000000*O11/TrRail_act!O26)</f>
        <v>95407.890950553046</v>
      </c>
      <c r="P46" s="28">
        <f>IF(P11=0,0,1000000*P11/TrRail_act!P26)</f>
        <v>95185.753742591798</v>
      </c>
      <c r="Q46" s="28">
        <f>IF(Q11=0,0,1000000*Q11/TrRail_act!Q26)</f>
        <v>87795.614684104134</v>
      </c>
      <c r="R46" s="28">
        <f>IF(R11=0,0,1000000*R11/TrRail_act!R26)</f>
        <v>84629.771536663495</v>
      </c>
      <c r="S46" s="28">
        <f>IF(S11=0,0,1000000*S11/TrRail_act!S26)</f>
        <v>82598.678736088608</v>
      </c>
      <c r="T46" s="28">
        <f>IF(T11=0,0,1000000*T11/TrRail_act!T26)</f>
        <v>81635.952505238165</v>
      </c>
      <c r="U46" s="28">
        <f>IF(U11=0,0,1000000*U11/TrRail_act!U26)</f>
        <v>77111.044186305924</v>
      </c>
      <c r="V46" s="28">
        <f>IF(V11=0,0,1000000*V11/TrRail_act!V26)</f>
        <v>62882.807481624804</v>
      </c>
      <c r="W46" s="28">
        <f>IF(W11=0,0,1000000*W11/TrRail_act!W26)</f>
        <v>68810.557978129102</v>
      </c>
      <c r="DA46" s="173" t="s">
        <v>1125</v>
      </c>
    </row>
    <row r="47" spans="1:105" ht="11.45" customHeight="1" x14ac:dyDescent="0.25">
      <c r="A47" s="107" t="s">
        <v>23</v>
      </c>
      <c r="B47" s="108">
        <f>IF(B12=0,0,1000000*B12/TrRail_act!B27)</f>
        <v>47072.55823106748</v>
      </c>
      <c r="C47" s="108">
        <f>IF(C12=0,0,1000000*C12/TrRail_act!C27)</f>
        <v>49291.016178774793</v>
      </c>
      <c r="D47" s="108">
        <f>IF(D12=0,0,1000000*D12/TrRail_act!D27)</f>
        <v>48560.04299799315</v>
      </c>
      <c r="E47" s="108">
        <f>IF(E12=0,0,1000000*E12/TrRail_act!E27)</f>
        <v>48699.529263209923</v>
      </c>
      <c r="F47" s="108">
        <f>IF(F12=0,0,1000000*F12/TrRail_act!F27)</f>
        <v>47876.921996574078</v>
      </c>
      <c r="G47" s="108">
        <f>IF(G12=0,0,1000000*G12/TrRail_act!G27)</f>
        <v>45405.40468584191</v>
      </c>
      <c r="H47" s="108">
        <f>IF(H12=0,0,1000000*H12/TrRail_act!H27)</f>
        <v>44543.981846773757</v>
      </c>
      <c r="I47" s="108">
        <f>IF(I12=0,0,1000000*I12/TrRail_act!I27)</f>
        <v>44537.639093709717</v>
      </c>
      <c r="J47" s="108">
        <f>IF(J12=0,0,1000000*J12/TrRail_act!J27)</f>
        <v>42212.627545762785</v>
      </c>
      <c r="K47" s="108">
        <f>IF(K12=0,0,1000000*K12/TrRail_act!K27)</f>
        <v>41610.465871342967</v>
      </c>
      <c r="L47" s="108">
        <f>IF(L12=0,0,1000000*L12/TrRail_act!L27)</f>
        <v>41815.570232433798</v>
      </c>
      <c r="M47" s="108">
        <f>IF(M12=0,0,1000000*M12/TrRail_act!M27)</f>
        <v>38979.436478447562</v>
      </c>
      <c r="N47" s="108">
        <f>IF(N12=0,0,1000000*N12/TrRail_act!N27)</f>
        <v>39838.557805958786</v>
      </c>
      <c r="O47" s="108">
        <f>IF(O12=0,0,1000000*O12/TrRail_act!O27)</f>
        <v>39339.454672435844</v>
      </c>
      <c r="P47" s="108">
        <f>IF(P12=0,0,1000000*P12/TrRail_act!P27)</f>
        <v>38208.639470494585</v>
      </c>
      <c r="Q47" s="108">
        <f>IF(Q12=0,0,1000000*Q12/TrRail_act!Q27)</f>
        <v>37879.01008078891</v>
      </c>
      <c r="R47" s="108">
        <f>IF(R12=0,0,1000000*R12/TrRail_act!R27)</f>
        <v>37633.655557888284</v>
      </c>
      <c r="S47" s="108">
        <f>IF(S12=0,0,1000000*S12/TrRail_act!S27)</f>
        <v>37450.68320787049</v>
      </c>
      <c r="T47" s="108">
        <f>IF(T12=0,0,1000000*T12/TrRail_act!T27)</f>
        <v>37314.037956532702</v>
      </c>
      <c r="U47" s="108">
        <f>IF(U12=0,0,1000000*U12/TrRail_act!U27)</f>
        <v>37211.88131905788</v>
      </c>
      <c r="V47" s="108">
        <f>IF(V12=0,0,1000000*V12/TrRail_act!V27)</f>
        <v>37135.44739657054</v>
      </c>
      <c r="W47" s="108">
        <f>IF(W12=0,0,1000000*W12/TrRail_act!W27)</f>
        <v>37078.225043148028</v>
      </c>
      <c r="DA47" s="203" t="s">
        <v>1126</v>
      </c>
    </row>
    <row r="48" spans="1:105" ht="11.45" customHeight="1" x14ac:dyDescent="0.25">
      <c r="A48" s="109" t="s">
        <v>24</v>
      </c>
      <c r="B48" s="110">
        <f>IF(B13=0,0,1000000*B13/TrRail_act!B28)</f>
        <v>257817.0107968637</v>
      </c>
      <c r="C48" s="110">
        <f>IF(C13=0,0,1000000*C13/TrRail_act!C28)</f>
        <v>259473.19084821153</v>
      </c>
      <c r="D48" s="110">
        <f>IF(D13=0,0,1000000*D13/TrRail_act!D28)</f>
        <v>259065.85256328736</v>
      </c>
      <c r="E48" s="110">
        <f>IF(E13=0,0,1000000*E13/TrRail_act!E28)</f>
        <v>248846.93751680868</v>
      </c>
      <c r="F48" s="110">
        <f>IF(F13=0,0,1000000*F13/TrRail_act!F28)</f>
        <v>243814.70234856772</v>
      </c>
      <c r="G48" s="110">
        <f>IF(G13=0,0,1000000*G13/TrRail_act!G28)</f>
        <v>241892.43390025108</v>
      </c>
      <c r="H48" s="110">
        <f>IF(H13=0,0,1000000*H13/TrRail_act!H28)</f>
        <v>230985.29301633459</v>
      </c>
      <c r="I48" s="110">
        <f>IF(I13=0,0,1000000*I13/TrRail_act!I28)</f>
        <v>224828.74444427667</v>
      </c>
      <c r="J48" s="110">
        <f>IF(J13=0,0,1000000*J13/TrRail_act!J28)</f>
        <v>220593.7163441068</v>
      </c>
      <c r="K48" s="110">
        <f>IF(K13=0,0,1000000*K13/TrRail_act!K28)</f>
        <v>221170.9457982899</v>
      </c>
      <c r="L48" s="110">
        <f>IF(L13=0,0,1000000*L13/TrRail_act!L28)</f>
        <v>217652.49163350463</v>
      </c>
      <c r="M48" s="110">
        <f>IF(M13=0,0,1000000*M13/TrRail_act!M28)</f>
        <v>209374.20245892275</v>
      </c>
      <c r="N48" s="110">
        <f>IF(N13=0,0,1000000*N13/TrRail_act!N28)</f>
        <v>207614.47513502926</v>
      </c>
      <c r="O48" s="110">
        <f>IF(O13=0,0,1000000*O13/TrRail_act!O28)</f>
        <v>167026.34637414583</v>
      </c>
      <c r="P48" s="110">
        <f>IF(P13=0,0,1000000*P13/TrRail_act!P28)</f>
        <v>161338.32256285098</v>
      </c>
      <c r="Q48" s="110">
        <f>IF(Q13=0,0,1000000*Q13/TrRail_act!Q28)</f>
        <v>145154.34157282609</v>
      </c>
      <c r="R48" s="110">
        <f>IF(R13=0,0,1000000*R13/TrRail_act!R28)</f>
        <v>132937.65468709439</v>
      </c>
      <c r="S48" s="110">
        <f>IF(S13=0,0,1000000*S13/TrRail_act!S28)</f>
        <v>125509.88112422051</v>
      </c>
      <c r="T48" s="110">
        <f>IF(T13=0,0,1000000*T13/TrRail_act!T28)</f>
        <v>123845.4815048302</v>
      </c>
      <c r="U48" s="110">
        <f>IF(U13=0,0,1000000*U13/TrRail_act!U28)</f>
        <v>115949.22872511375</v>
      </c>
      <c r="V48" s="110">
        <f>IF(V13=0,0,1000000*V13/TrRail_act!V28)</f>
        <v>89566.458867106849</v>
      </c>
      <c r="W48" s="110">
        <f>IF(W13=0,0,1000000*W13/TrRail_act!W28)</f>
        <v>104012.75109007194</v>
      </c>
      <c r="DA48" s="176" t="s">
        <v>1127</v>
      </c>
    </row>
    <row r="49" spans="1:105" ht="11.45" customHeight="1" x14ac:dyDescent="0.25">
      <c r="A49" s="111" t="s">
        <v>92</v>
      </c>
      <c r="B49" s="84">
        <f>IF(B14=0,0,1000000*B14/TrRail_act!B29)</f>
        <v>378595.37198110262</v>
      </c>
      <c r="C49" s="84">
        <f>IF(C14=0,0,1000000*C14/TrRail_act!C29)</f>
        <v>361099.15159577719</v>
      </c>
      <c r="D49" s="84">
        <f>IF(D14=0,0,1000000*D14/TrRail_act!D29)</f>
        <v>343814.38469007629</v>
      </c>
      <c r="E49" s="84">
        <f>IF(E14=0,0,1000000*E14/TrRail_act!E29)</f>
        <v>342285.01515781949</v>
      </c>
      <c r="F49" s="84">
        <f>IF(F14=0,0,1000000*F14/TrRail_act!F29)</f>
        <v>339498.94695695513</v>
      </c>
      <c r="G49" s="84">
        <f>IF(G14=0,0,1000000*G14/TrRail_act!G29)</f>
        <v>335998.62904397718</v>
      </c>
      <c r="H49" s="84">
        <f>IF(H14=0,0,1000000*H14/TrRail_act!H29)</f>
        <v>311660.99763119721</v>
      </c>
      <c r="I49" s="84">
        <f>IF(I14=0,0,1000000*I14/TrRail_act!I29)</f>
        <v>301785.39498118125</v>
      </c>
      <c r="J49" s="84">
        <f>IF(J14=0,0,1000000*J14/TrRail_act!J29)</f>
        <v>294894.92635549972</v>
      </c>
      <c r="K49" s="84">
        <f>IF(K14=0,0,1000000*K14/TrRail_act!K29)</f>
        <v>299351.04523086839</v>
      </c>
      <c r="L49" s="84">
        <f>IF(L14=0,0,1000000*L14/TrRail_act!L29)</f>
        <v>306419.23813797656</v>
      </c>
      <c r="M49" s="84">
        <f>IF(M14=0,0,1000000*M14/TrRail_act!M29)</f>
        <v>273541.7709035555</v>
      </c>
      <c r="N49" s="84">
        <f>IF(N14=0,0,1000000*N14/TrRail_act!N29)</f>
        <v>285988.86916847539</v>
      </c>
      <c r="O49" s="84">
        <f>IF(O14=0,0,1000000*O14/TrRail_act!O29)</f>
        <v>258106.86155701213</v>
      </c>
      <c r="P49" s="84">
        <f>IF(P14=0,0,1000000*P14/TrRail_act!P29)</f>
        <v>271595.98581915215</v>
      </c>
      <c r="Q49" s="84">
        <f>IF(Q14=0,0,1000000*Q14/TrRail_act!Q29)</f>
        <v>220180.48620563102</v>
      </c>
      <c r="R49" s="84">
        <f>IF(R14=0,0,1000000*R14/TrRail_act!R29)</f>
        <v>237792.79059591042</v>
      </c>
      <c r="S49" s="84">
        <f>IF(S14=0,0,1000000*S14/TrRail_act!S29)</f>
        <v>253775.6714631996</v>
      </c>
      <c r="T49" s="84">
        <f>IF(T14=0,0,1000000*T14/TrRail_act!T29)</f>
        <v>252706.95663432387</v>
      </c>
      <c r="U49" s="84">
        <f>IF(U14=0,0,1000000*U14/TrRail_act!U29)</f>
        <v>233770.97205130116</v>
      </c>
      <c r="V49" s="84">
        <f>IF(V14=0,0,1000000*V14/TrRail_act!V29)</f>
        <v>202800.04490121576</v>
      </c>
      <c r="W49" s="84">
        <f>IF(W14=0,0,1000000*W14/TrRail_act!W29)</f>
        <v>220123.19245576323</v>
      </c>
      <c r="DA49" s="171" t="s">
        <v>1128</v>
      </c>
    </row>
    <row r="50" spans="1:105" ht="11.45" customHeight="1" x14ac:dyDescent="0.25">
      <c r="A50" s="111" t="s">
        <v>93</v>
      </c>
      <c r="B50" s="84">
        <f>IF(B15=0,0,1000000*B15/TrRail_act!B30)</f>
        <v>236239.28338787216</v>
      </c>
      <c r="C50" s="84">
        <f>IF(C15=0,0,1000000*C15/TrRail_act!C30)</f>
        <v>238262.72230930359</v>
      </c>
      <c r="D50" s="84">
        <f>IF(D15=0,0,1000000*D15/TrRail_act!D30)</f>
        <v>238931.19981820378</v>
      </c>
      <c r="E50" s="84">
        <f>IF(E15=0,0,1000000*E15/TrRail_act!E30)</f>
        <v>224800.52151235458</v>
      </c>
      <c r="F50" s="84">
        <f>IF(F15=0,0,1000000*F15/TrRail_act!F30)</f>
        <v>218184.48166487846</v>
      </c>
      <c r="G50" s="84">
        <f>IF(G15=0,0,1000000*G15/TrRail_act!G30)</f>
        <v>211385.20395993945</v>
      </c>
      <c r="H50" s="84">
        <f>IF(H15=0,0,1000000*H15/TrRail_act!H30)</f>
        <v>204830.99735361186</v>
      </c>
      <c r="I50" s="84">
        <f>IF(I15=0,0,1000000*I15/TrRail_act!I30)</f>
        <v>199843.29066906037</v>
      </c>
      <c r="J50" s="84">
        <f>IF(J15=0,0,1000000*J15/TrRail_act!J30)</f>
        <v>194113.05003850238</v>
      </c>
      <c r="K50" s="84">
        <f>IF(K15=0,0,1000000*K15/TrRail_act!K30)</f>
        <v>194328.68665761486</v>
      </c>
      <c r="L50" s="84">
        <f>IF(L15=0,0,1000000*L15/TrRail_act!L30)</f>
        <v>190312.94105568802</v>
      </c>
      <c r="M50" s="84">
        <f>IF(M15=0,0,1000000*M15/TrRail_act!M30)</f>
        <v>189097.79068700387</v>
      </c>
      <c r="N50" s="84">
        <f>IF(N15=0,0,1000000*N15/TrRail_act!N30)</f>
        <v>183045.01231405392</v>
      </c>
      <c r="O50" s="84">
        <f>IF(O15=0,0,1000000*O15/TrRail_act!O30)</f>
        <v>145701.75359358033</v>
      </c>
      <c r="P50" s="84">
        <f>IF(P15=0,0,1000000*P15/TrRail_act!P30)</f>
        <v>136609.97934261069</v>
      </c>
      <c r="Q50" s="84">
        <f>IF(Q15=0,0,1000000*Q15/TrRail_act!Q30)</f>
        <v>130261.33752739447</v>
      </c>
      <c r="R50" s="84">
        <f>IF(R15=0,0,1000000*R15/TrRail_act!R30)</f>
        <v>116015.7801095998</v>
      </c>
      <c r="S50" s="84">
        <f>IF(S15=0,0,1000000*S15/TrRail_act!S30)</f>
        <v>106363.64538180018</v>
      </c>
      <c r="T50" s="84">
        <f>IF(T15=0,0,1000000*T15/TrRail_act!T30)</f>
        <v>105136.32309213336</v>
      </c>
      <c r="U50" s="84">
        <f>IF(U15=0,0,1000000*U15/TrRail_act!U30)</f>
        <v>97763.1758399026</v>
      </c>
      <c r="V50" s="84">
        <f>IF(V15=0,0,1000000*V15/TrRail_act!V30)</f>
        <v>72264.728837225979</v>
      </c>
      <c r="W50" s="84">
        <f>IF(W15=0,0,1000000*W15/TrRail_act!W30)</f>
        <v>86476.750968571636</v>
      </c>
      <c r="DA50" s="171" t="s">
        <v>1129</v>
      </c>
    </row>
    <row r="51" spans="1:105" ht="11.45" customHeight="1" x14ac:dyDescent="0.25">
      <c r="A51" s="112" t="s">
        <v>25</v>
      </c>
      <c r="B51" s="113">
        <f>IF(B16=0,0,1000000*B16/TrRail_act!B31)</f>
        <v>0</v>
      </c>
      <c r="C51" s="113">
        <f>IF(C16=0,0,1000000*C16/TrRail_act!C31)</f>
        <v>0</v>
      </c>
      <c r="D51" s="113">
        <f>IF(D16=0,0,1000000*D16/TrRail_act!D31)</f>
        <v>0</v>
      </c>
      <c r="E51" s="113">
        <f>IF(E16=0,0,1000000*E16/TrRail_act!E31)</f>
        <v>0</v>
      </c>
      <c r="F51" s="113">
        <f>IF(F16=0,0,1000000*F16/TrRail_act!F31)</f>
        <v>0</v>
      </c>
      <c r="G51" s="113">
        <f>IF(G16=0,0,1000000*G16/TrRail_act!G31)</f>
        <v>0</v>
      </c>
      <c r="H51" s="113">
        <f>IF(H16=0,0,1000000*H16/TrRail_act!H31)</f>
        <v>0</v>
      </c>
      <c r="I51" s="113">
        <f>IF(I16=0,0,1000000*I16/TrRail_act!I31)</f>
        <v>0</v>
      </c>
      <c r="J51" s="113">
        <f>IF(J16=0,0,1000000*J16/TrRail_act!J31)</f>
        <v>0</v>
      </c>
      <c r="K51" s="113">
        <f>IF(K16=0,0,1000000*K16/TrRail_act!K31)</f>
        <v>0</v>
      </c>
      <c r="L51" s="113">
        <f>IF(L16=0,0,1000000*L16/TrRail_act!L31)</f>
        <v>0</v>
      </c>
      <c r="M51" s="113">
        <f>IF(M16=0,0,1000000*M16/TrRail_act!M31)</f>
        <v>0</v>
      </c>
      <c r="N51" s="113">
        <f>IF(N16=0,0,1000000*N16/TrRail_act!N31)</f>
        <v>0</v>
      </c>
      <c r="O51" s="113">
        <f>IF(O16=0,0,1000000*O16/TrRail_act!O31)</f>
        <v>0</v>
      </c>
      <c r="P51" s="113">
        <f>IF(P16=0,0,1000000*P16/TrRail_act!P31)</f>
        <v>0</v>
      </c>
      <c r="Q51" s="113">
        <f>IF(Q16=0,0,1000000*Q16/TrRail_act!Q31)</f>
        <v>0</v>
      </c>
      <c r="R51" s="113">
        <f>IF(R16=0,0,1000000*R16/TrRail_act!R31)</f>
        <v>0</v>
      </c>
      <c r="S51" s="113">
        <f>IF(S16=0,0,1000000*S16/TrRail_act!S31)</f>
        <v>0</v>
      </c>
      <c r="T51" s="113">
        <f>IF(T16=0,0,1000000*T16/TrRail_act!T31)</f>
        <v>0</v>
      </c>
      <c r="U51" s="113">
        <f>IF(U16=0,0,1000000*U16/TrRail_act!U31)</f>
        <v>0</v>
      </c>
      <c r="V51" s="113">
        <f>IF(V16=0,0,1000000*V16/TrRail_act!V31)</f>
        <v>0</v>
      </c>
      <c r="W51" s="113">
        <f>IF(W16=0,0,1000000*W16/TrRail_act!W31)</f>
        <v>0</v>
      </c>
      <c r="DA51" s="204" t="s">
        <v>1130</v>
      </c>
    </row>
    <row r="52" spans="1:105" ht="11.45" customHeight="1" x14ac:dyDescent="0.25">
      <c r="A52" s="27" t="s">
        <v>34</v>
      </c>
      <c r="B52" s="28">
        <f>IF(B17=0,0,1000000*B17/TrRail_act!B32)</f>
        <v>468739.31396655831</v>
      </c>
      <c r="C52" s="28">
        <f>IF(C17=0,0,1000000*C17/TrRail_act!C32)</f>
        <v>466124.38813762128</v>
      </c>
      <c r="D52" s="28">
        <f>IF(D17=0,0,1000000*D17/TrRail_act!D32)</f>
        <v>438632.78129972058</v>
      </c>
      <c r="E52" s="28">
        <f>IF(E17=0,0,1000000*E17/TrRail_act!E32)</f>
        <v>436257.45528492058</v>
      </c>
      <c r="F52" s="28">
        <f>IF(F17=0,0,1000000*F17/TrRail_act!F32)</f>
        <v>433741.98247262504</v>
      </c>
      <c r="G52" s="28">
        <f>IF(G17=0,0,1000000*G17/TrRail_act!G32)</f>
        <v>434472.97377185186</v>
      </c>
      <c r="H52" s="28">
        <f>IF(H17=0,0,1000000*H17/TrRail_act!H32)</f>
        <v>436459.58159954107</v>
      </c>
      <c r="I52" s="28">
        <f>IF(I17=0,0,1000000*I17/TrRail_act!I32)</f>
        <v>398636.76762636</v>
      </c>
      <c r="J52" s="28">
        <f>IF(J17=0,0,1000000*J17/TrRail_act!J32)</f>
        <v>385017.96748894802</v>
      </c>
      <c r="K52" s="28">
        <f>IF(K17=0,0,1000000*K17/TrRail_act!K32)</f>
        <v>347796.9376580902</v>
      </c>
      <c r="L52" s="28">
        <f>IF(L17=0,0,1000000*L17/TrRail_act!L32)</f>
        <v>369153.36189384758</v>
      </c>
      <c r="M52" s="28">
        <f>IF(M17=0,0,1000000*M17/TrRail_act!M32)</f>
        <v>351057.9532817814</v>
      </c>
      <c r="N52" s="28">
        <f>IF(N17=0,0,1000000*N17/TrRail_act!N32)</f>
        <v>347335.29471585184</v>
      </c>
      <c r="O52" s="28">
        <f>IF(O17=0,0,1000000*O17/TrRail_act!O32)</f>
        <v>333573.96080915537</v>
      </c>
      <c r="P52" s="28">
        <f>IF(P17=0,0,1000000*P17/TrRail_act!P32)</f>
        <v>326936.47389972967</v>
      </c>
      <c r="Q52" s="28">
        <f>IF(Q17=0,0,1000000*Q17/TrRail_act!Q32)</f>
        <v>311226.11313584488</v>
      </c>
      <c r="R52" s="28">
        <f>IF(R17=0,0,1000000*R17/TrRail_act!R32)</f>
        <v>307958.71529186127</v>
      </c>
      <c r="S52" s="28">
        <f>IF(S17=0,0,1000000*S17/TrRail_act!S32)</f>
        <v>308363.84506874887</v>
      </c>
      <c r="T52" s="28">
        <f>IF(T17=0,0,1000000*T17/TrRail_act!T32)</f>
        <v>305219.95565342816</v>
      </c>
      <c r="U52" s="28">
        <f>IF(U17=0,0,1000000*U17/TrRail_act!U32)</f>
        <v>301226.28207735333</v>
      </c>
      <c r="V52" s="28">
        <f>IF(V17=0,0,1000000*V17/TrRail_act!V32)</f>
        <v>301681.73577654565</v>
      </c>
      <c r="W52" s="28">
        <f>IF(W17=0,0,1000000*W17/TrRail_act!W32)</f>
        <v>301623.0186444578</v>
      </c>
      <c r="DA52" s="173" t="s">
        <v>1131</v>
      </c>
    </row>
    <row r="53" spans="1:105" ht="11.45" customHeight="1" x14ac:dyDescent="0.25">
      <c r="A53" s="83" t="s">
        <v>92</v>
      </c>
      <c r="B53" s="84">
        <f>IF(B18=0,0,1000000*B18/TrRail_act!B33)</f>
        <v>1251867.2842782894</v>
      </c>
      <c r="C53" s="84">
        <f>IF(C18=0,0,1000000*C18/TrRail_act!C33)</f>
        <v>1174883.3334004434</v>
      </c>
      <c r="D53" s="84">
        <f>IF(D18=0,0,1000000*D18/TrRail_act!D33)</f>
        <v>1082253.8430073475</v>
      </c>
      <c r="E53" s="84">
        <f>IF(E18=0,0,1000000*E18/TrRail_act!E33)</f>
        <v>1027932.6568642727</v>
      </c>
      <c r="F53" s="84">
        <f>IF(F18=0,0,1000000*F18/TrRail_act!F33)</f>
        <v>1011686.2553856986</v>
      </c>
      <c r="G53" s="84">
        <f>IF(G18=0,0,1000000*G18/TrRail_act!G33)</f>
        <v>972964.04724553821</v>
      </c>
      <c r="H53" s="84">
        <f>IF(H18=0,0,1000000*H18/TrRail_act!H33)</f>
        <v>963668.19403505384</v>
      </c>
      <c r="I53" s="84">
        <f>IF(I18=0,0,1000000*I18/TrRail_act!I33)</f>
        <v>911627.4646717679</v>
      </c>
      <c r="J53" s="84">
        <f>IF(J18=0,0,1000000*J18/TrRail_act!J33)</f>
        <v>616577.30532268144</v>
      </c>
      <c r="K53" s="84">
        <f>IF(K18=0,0,1000000*K18/TrRail_act!K33)</f>
        <v>514154.96702505421</v>
      </c>
      <c r="L53" s="84">
        <f>IF(L18=0,0,1000000*L18/TrRail_act!L33)</f>
        <v>549427.87314053404</v>
      </c>
      <c r="M53" s="84">
        <f>IF(M18=0,0,1000000*M18/TrRail_act!M33)</f>
        <v>499081.32144791447</v>
      </c>
      <c r="N53" s="84">
        <f>IF(N18=0,0,1000000*N18/TrRail_act!N33)</f>
        <v>520273.5300407157</v>
      </c>
      <c r="O53" s="84">
        <f>IF(O18=0,0,1000000*O18/TrRail_act!O33)</f>
        <v>501096.12147963326</v>
      </c>
      <c r="P53" s="84">
        <f>IF(P18=0,0,1000000*P18/TrRail_act!P33)</f>
        <v>567809.74638940848</v>
      </c>
      <c r="Q53" s="84">
        <f>IF(Q18=0,0,1000000*Q18/TrRail_act!Q33)</f>
        <v>485909.32446170232</v>
      </c>
      <c r="R53" s="84">
        <f>IF(R18=0,0,1000000*R18/TrRail_act!R33)</f>
        <v>528348.36351530952</v>
      </c>
      <c r="S53" s="84">
        <f>IF(S18=0,0,1000000*S18/TrRail_act!S33)</f>
        <v>651084.84747951222</v>
      </c>
      <c r="T53" s="84">
        <f>IF(T18=0,0,1000000*T18/TrRail_act!T33)</f>
        <v>688048.72351664316</v>
      </c>
      <c r="U53" s="84">
        <f>IF(U18=0,0,1000000*U18/TrRail_act!U33)</f>
        <v>719666.01765368774</v>
      </c>
      <c r="V53" s="84">
        <f>IF(V18=0,0,1000000*V18/TrRail_act!V33)</f>
        <v>712197.22653010057</v>
      </c>
      <c r="W53" s="84">
        <f>IF(W18=0,0,1000000*W18/TrRail_act!W33)</f>
        <v>706646.51299130858</v>
      </c>
      <c r="DA53" s="171" t="s">
        <v>1132</v>
      </c>
    </row>
    <row r="54" spans="1:105" ht="11.45" customHeight="1" x14ac:dyDescent="0.25">
      <c r="A54" s="85" t="s">
        <v>93</v>
      </c>
      <c r="B54" s="86">
        <f>IF(B19=0,0,1000000*B19/TrRail_act!B34)</f>
        <v>423006.48908632511</v>
      </c>
      <c r="C54" s="86">
        <f>IF(C19=0,0,1000000*C19/TrRail_act!C34)</f>
        <v>421141.68936246168</v>
      </c>
      <c r="D54" s="86">
        <f>IF(D19=0,0,1000000*D19/TrRail_act!D34)</f>
        <v>393083.29608383268</v>
      </c>
      <c r="E54" s="86">
        <f>IF(E19=0,0,1000000*E19/TrRail_act!E34)</f>
        <v>391248.09313902364</v>
      </c>
      <c r="F54" s="86">
        <f>IF(F19=0,0,1000000*F19/TrRail_act!F34)</f>
        <v>388938.7905956037</v>
      </c>
      <c r="G54" s="86">
        <f>IF(G19=0,0,1000000*G19/TrRail_act!G34)</f>
        <v>389193.65704840393</v>
      </c>
      <c r="H54" s="86">
        <f>IF(H19=0,0,1000000*H19/TrRail_act!H34)</f>
        <v>387386.81404178072</v>
      </c>
      <c r="I54" s="86">
        <f>IF(I19=0,0,1000000*I19/TrRail_act!I34)</f>
        <v>350067.45195633371</v>
      </c>
      <c r="J54" s="86">
        <f>IF(J19=0,0,1000000*J19/TrRail_act!J34)</f>
        <v>365078.41469850135</v>
      </c>
      <c r="K54" s="86">
        <f>IF(K19=0,0,1000000*K19/TrRail_act!K34)</f>
        <v>333045.22012538009</v>
      </c>
      <c r="L54" s="86">
        <f>IF(L19=0,0,1000000*L19/TrRail_act!L34)</f>
        <v>354184.12822381733</v>
      </c>
      <c r="M54" s="86">
        <f>IF(M19=0,0,1000000*M19/TrRail_act!M34)</f>
        <v>340346.81188837026</v>
      </c>
      <c r="N54" s="86">
        <f>IF(N19=0,0,1000000*N19/TrRail_act!N34)</f>
        <v>334725.55736604903</v>
      </c>
      <c r="O54" s="86">
        <f>IF(O19=0,0,1000000*O19/TrRail_act!O34)</f>
        <v>322664.60023709713</v>
      </c>
      <c r="P54" s="86">
        <f>IF(P19=0,0,1000000*P19/TrRail_act!P34)</f>
        <v>312155.69934294967</v>
      </c>
      <c r="Q54" s="86">
        <f>IF(Q19=0,0,1000000*Q19/TrRail_act!Q34)</f>
        <v>301752.00516303821</v>
      </c>
      <c r="R54" s="86">
        <f>IF(R19=0,0,1000000*R19/TrRail_act!R34)</f>
        <v>297119.19441393681</v>
      </c>
      <c r="S54" s="86">
        <f>IF(S19=0,0,1000000*S19/TrRail_act!S34)</f>
        <v>293691.32345976308</v>
      </c>
      <c r="T54" s="86">
        <f>IF(T19=0,0,1000000*T19/TrRail_act!T34)</f>
        <v>291146.39971793629</v>
      </c>
      <c r="U54" s="86">
        <f>IF(U19=0,0,1000000*U19/TrRail_act!U34)</f>
        <v>286359.66623720416</v>
      </c>
      <c r="V54" s="86">
        <f>IF(V19=0,0,1000000*V19/TrRail_act!V34)</f>
        <v>285649.54713438166</v>
      </c>
      <c r="W54" s="86">
        <f>IF(W19=0,0,1000000*W19/TrRail_act!W34)</f>
        <v>285118.11392326228</v>
      </c>
      <c r="DA54" s="178" t="s">
        <v>1133</v>
      </c>
    </row>
    <row r="55" spans="1:105" x14ac:dyDescent="0.25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DA55" s="171"/>
    </row>
    <row r="56" spans="1:105" ht="11.45" customHeight="1" x14ac:dyDescent="0.25">
      <c r="A56" s="53" t="s">
        <v>40</v>
      </c>
      <c r="B56" s="65">
        <f t="shared" ref="B56:B65" si="14">IF(B10=0,0,B10/B$10)</f>
        <v>1</v>
      </c>
      <c r="C56" s="65">
        <f t="shared" ref="C56:V56" si="15">IF(C10=0,0,C10/C$10)</f>
        <v>1</v>
      </c>
      <c r="D56" s="65">
        <f t="shared" si="15"/>
        <v>1</v>
      </c>
      <c r="E56" s="65">
        <f t="shared" si="15"/>
        <v>1</v>
      </c>
      <c r="F56" s="65">
        <f t="shared" si="15"/>
        <v>1</v>
      </c>
      <c r="G56" s="65">
        <f t="shared" si="15"/>
        <v>1</v>
      </c>
      <c r="H56" s="65">
        <f t="shared" si="15"/>
        <v>1</v>
      </c>
      <c r="I56" s="65">
        <f t="shared" si="15"/>
        <v>1</v>
      </c>
      <c r="J56" s="65">
        <f t="shared" si="15"/>
        <v>1</v>
      </c>
      <c r="K56" s="65">
        <f t="shared" si="15"/>
        <v>1</v>
      </c>
      <c r="L56" s="65">
        <f t="shared" si="15"/>
        <v>1</v>
      </c>
      <c r="M56" s="65">
        <f t="shared" si="15"/>
        <v>1</v>
      </c>
      <c r="N56" s="65">
        <f t="shared" si="15"/>
        <v>1</v>
      </c>
      <c r="O56" s="65">
        <f t="shared" si="15"/>
        <v>1</v>
      </c>
      <c r="P56" s="65">
        <f t="shared" si="15"/>
        <v>1</v>
      </c>
      <c r="Q56" s="65">
        <f t="shared" si="15"/>
        <v>1</v>
      </c>
      <c r="R56" s="65">
        <f t="shared" si="15"/>
        <v>1</v>
      </c>
      <c r="S56" s="65">
        <f t="shared" si="15"/>
        <v>1</v>
      </c>
      <c r="T56" s="65">
        <f t="shared" si="15"/>
        <v>1</v>
      </c>
      <c r="U56" s="65">
        <f t="shared" si="15"/>
        <v>1</v>
      </c>
      <c r="V56" s="65">
        <f t="shared" si="15"/>
        <v>1</v>
      </c>
      <c r="W56" s="65">
        <f t="shared" ref="W56" si="16">IF(W10=0,0,W10/W$10)</f>
        <v>1</v>
      </c>
      <c r="DA56" s="172"/>
    </row>
    <row r="57" spans="1:105" ht="11.45" customHeight="1" x14ac:dyDescent="0.25">
      <c r="A57" s="27" t="s">
        <v>33</v>
      </c>
      <c r="B57" s="31">
        <f t="shared" si="14"/>
        <v>0.66283923863343108</v>
      </c>
      <c r="C57" s="31">
        <f t="shared" ref="C57:V57" si="17">IF(C11=0,0,C11/C$10)</f>
        <v>0.65879507671401893</v>
      </c>
      <c r="D57" s="31">
        <f t="shared" si="17"/>
        <v>0.66255183760456449</v>
      </c>
      <c r="E57" s="31">
        <f t="shared" si="17"/>
        <v>0.66145839880630675</v>
      </c>
      <c r="F57" s="31">
        <f t="shared" si="17"/>
        <v>0.63027513327889773</v>
      </c>
      <c r="G57" s="31">
        <f t="shared" si="17"/>
        <v>0.6232001217902875</v>
      </c>
      <c r="H57" s="31">
        <f t="shared" si="17"/>
        <v>0.60902391851294213</v>
      </c>
      <c r="I57" s="31">
        <f t="shared" si="17"/>
        <v>0.62192180420042931</v>
      </c>
      <c r="J57" s="31">
        <f t="shared" si="17"/>
        <v>0.63633891493617112</v>
      </c>
      <c r="K57" s="31">
        <f t="shared" si="17"/>
        <v>0.69065811960103296</v>
      </c>
      <c r="L57" s="31">
        <f t="shared" si="17"/>
        <v>0.68045499185606384</v>
      </c>
      <c r="M57" s="31">
        <f t="shared" si="17"/>
        <v>0.65429644932909503</v>
      </c>
      <c r="N57" s="31">
        <f t="shared" si="17"/>
        <v>0.67492483659189839</v>
      </c>
      <c r="O57" s="31">
        <f t="shared" si="17"/>
        <v>0.66814895938413188</v>
      </c>
      <c r="P57" s="31">
        <f t="shared" si="17"/>
        <v>0.68324565820665029</v>
      </c>
      <c r="Q57" s="31">
        <f t="shared" si="17"/>
        <v>0.67738910575370848</v>
      </c>
      <c r="R57" s="31">
        <f t="shared" si="17"/>
        <v>0.68372722803680352</v>
      </c>
      <c r="S57" s="31">
        <f t="shared" si="17"/>
        <v>0.68340919900658292</v>
      </c>
      <c r="T57" s="31">
        <f t="shared" si="17"/>
        <v>0.67549022134008907</v>
      </c>
      <c r="U57" s="31">
        <f t="shared" si="17"/>
        <v>0.66443034062339246</v>
      </c>
      <c r="V57" s="31">
        <f t="shared" si="17"/>
        <v>0.57001257564592622</v>
      </c>
      <c r="W57" s="31">
        <f t="shared" ref="W57" si="18">IF(W11=0,0,W11/W$10)</f>
        <v>0.59573622860534847</v>
      </c>
      <c r="DA57" s="173"/>
    </row>
    <row r="58" spans="1:105" ht="11.45" customHeight="1" x14ac:dyDescent="0.25">
      <c r="A58" s="107" t="s">
        <v>23</v>
      </c>
      <c r="B58" s="123">
        <f t="shared" si="14"/>
        <v>0.13150971959467347</v>
      </c>
      <c r="C58" s="123">
        <f t="shared" ref="C58:V58" si="19">IF(C12=0,0,C12/C$10)</f>
        <v>0.14550200048268602</v>
      </c>
      <c r="D58" s="123">
        <f t="shared" si="19"/>
        <v>0.15090268739237769</v>
      </c>
      <c r="E58" s="123">
        <f t="shared" si="19"/>
        <v>0.15744710858951169</v>
      </c>
      <c r="F58" s="123">
        <f t="shared" si="19"/>
        <v>0.15522361612535515</v>
      </c>
      <c r="G58" s="123">
        <f t="shared" si="19"/>
        <v>0.15272316181477782</v>
      </c>
      <c r="H58" s="123">
        <f t="shared" si="19"/>
        <v>0.1504168070630944</v>
      </c>
      <c r="I58" s="123">
        <f t="shared" si="19"/>
        <v>0.15458036030371891</v>
      </c>
      <c r="J58" s="123">
        <f t="shared" si="19"/>
        <v>0.14019992518961757</v>
      </c>
      <c r="K58" s="123">
        <f t="shared" si="19"/>
        <v>0.14569471074416179</v>
      </c>
      <c r="L58" s="123">
        <f t="shared" si="19"/>
        <v>0.14392346002425221</v>
      </c>
      <c r="M58" s="123">
        <f t="shared" si="19"/>
        <v>0.14400817821009576</v>
      </c>
      <c r="N58" s="123">
        <f t="shared" si="19"/>
        <v>0.15135409975009106</v>
      </c>
      <c r="O58" s="123">
        <f t="shared" si="19"/>
        <v>0.15452401061615151</v>
      </c>
      <c r="P58" s="123">
        <f t="shared" si="19"/>
        <v>0.14735010596963355</v>
      </c>
      <c r="Q58" s="123">
        <f t="shared" si="19"/>
        <v>0.15626569318639616</v>
      </c>
      <c r="R58" s="123">
        <f t="shared" si="19"/>
        <v>0.15411432011238904</v>
      </c>
      <c r="S58" s="123">
        <f t="shared" si="19"/>
        <v>0.15099529790574606</v>
      </c>
      <c r="T58" s="123">
        <f t="shared" si="19"/>
        <v>0.15060743365945056</v>
      </c>
      <c r="U58" s="123">
        <f t="shared" si="19"/>
        <v>0.15815853745235686</v>
      </c>
      <c r="V58" s="123">
        <f t="shared" si="19"/>
        <v>0.17131610694775717</v>
      </c>
      <c r="W58" s="123">
        <f t="shared" ref="W58" si="20">IF(W12=0,0,W12/W$10)</f>
        <v>0.16882524814668742</v>
      </c>
      <c r="DA58" s="203"/>
    </row>
    <row r="59" spans="1:105" ht="11.45" customHeight="1" x14ac:dyDescent="0.25">
      <c r="A59" s="109" t="s">
        <v>24</v>
      </c>
      <c r="B59" s="124">
        <f t="shared" si="14"/>
        <v>0.53132951903875758</v>
      </c>
      <c r="C59" s="124">
        <f t="shared" ref="C59:V59" si="21">IF(C13=0,0,C13/C$10)</f>
        <v>0.51329307623133302</v>
      </c>
      <c r="D59" s="124">
        <f t="shared" si="21"/>
        <v>0.51164915021218682</v>
      </c>
      <c r="E59" s="124">
        <f t="shared" si="21"/>
        <v>0.50401129021679503</v>
      </c>
      <c r="F59" s="124">
        <f t="shared" si="21"/>
        <v>0.47505151715354249</v>
      </c>
      <c r="G59" s="124">
        <f t="shared" si="21"/>
        <v>0.47047695997550976</v>
      </c>
      <c r="H59" s="124">
        <f t="shared" si="21"/>
        <v>0.45860711144984773</v>
      </c>
      <c r="I59" s="124">
        <f t="shared" si="21"/>
        <v>0.46734144389671045</v>
      </c>
      <c r="J59" s="124">
        <f t="shared" si="21"/>
        <v>0.49613898974655352</v>
      </c>
      <c r="K59" s="124">
        <f t="shared" si="21"/>
        <v>0.54496340885687122</v>
      </c>
      <c r="L59" s="124">
        <f t="shared" si="21"/>
        <v>0.53653153183181157</v>
      </c>
      <c r="M59" s="124">
        <f t="shared" si="21"/>
        <v>0.51028827111899921</v>
      </c>
      <c r="N59" s="124">
        <f t="shared" si="21"/>
        <v>0.52357073684180733</v>
      </c>
      <c r="O59" s="124">
        <f t="shared" si="21"/>
        <v>0.51362494876798048</v>
      </c>
      <c r="P59" s="124">
        <f t="shared" si="21"/>
        <v>0.53589555223701679</v>
      </c>
      <c r="Q59" s="124">
        <f t="shared" si="21"/>
        <v>0.52112341256731221</v>
      </c>
      <c r="R59" s="124">
        <f t="shared" si="21"/>
        <v>0.52961290792441451</v>
      </c>
      <c r="S59" s="124">
        <f t="shared" si="21"/>
        <v>0.53241390110083686</v>
      </c>
      <c r="T59" s="124">
        <f t="shared" si="21"/>
        <v>0.52488278768063845</v>
      </c>
      <c r="U59" s="124">
        <f t="shared" si="21"/>
        <v>0.50627180317103559</v>
      </c>
      <c r="V59" s="124">
        <f t="shared" si="21"/>
        <v>0.3986964686981691</v>
      </c>
      <c r="W59" s="124">
        <f t="shared" ref="W59" si="22">IF(W13=0,0,W13/W$10)</f>
        <v>0.4269109804586611</v>
      </c>
      <c r="DA59" s="176"/>
    </row>
    <row r="60" spans="1:105" ht="11.45" customHeight="1" x14ac:dyDescent="0.25">
      <c r="A60" s="111" t="s">
        <v>92</v>
      </c>
      <c r="B60" s="125">
        <f t="shared" si="14"/>
        <v>0.11826529850188693</v>
      </c>
      <c r="C60" s="125">
        <f t="shared" ref="C60:V60" si="23">IF(C14=0,0,C14/C$10)</f>
        <v>0.12334525873048766</v>
      </c>
      <c r="D60" s="125">
        <f t="shared" si="23"/>
        <v>0.13035401279003656</v>
      </c>
      <c r="E60" s="125">
        <f t="shared" si="23"/>
        <v>0.14189453137944505</v>
      </c>
      <c r="F60" s="125">
        <f t="shared" si="23"/>
        <v>0.13975231400080101</v>
      </c>
      <c r="G60" s="125">
        <f t="shared" si="23"/>
        <v>0.15998951562332314</v>
      </c>
      <c r="H60" s="125">
        <f t="shared" si="23"/>
        <v>0.15149165559601174</v>
      </c>
      <c r="I60" s="125">
        <f t="shared" si="23"/>
        <v>0.1537497173761106</v>
      </c>
      <c r="J60" s="125">
        <f t="shared" si="23"/>
        <v>0.17427054536182723</v>
      </c>
      <c r="K60" s="125">
        <f t="shared" si="23"/>
        <v>0.18851996224093759</v>
      </c>
      <c r="L60" s="125">
        <f t="shared" si="23"/>
        <v>0.1778620248668856</v>
      </c>
      <c r="M60" s="125">
        <f t="shared" si="23"/>
        <v>0.16008051666353051</v>
      </c>
      <c r="N60" s="125">
        <f t="shared" si="23"/>
        <v>0.17213218907397013</v>
      </c>
      <c r="O60" s="125">
        <f t="shared" si="23"/>
        <v>0.15057586934239625</v>
      </c>
      <c r="P60" s="125">
        <f t="shared" si="23"/>
        <v>0.16526170649589397</v>
      </c>
      <c r="Q60" s="125">
        <f t="shared" si="23"/>
        <v>0.1309240714497481</v>
      </c>
      <c r="R60" s="125">
        <f t="shared" si="23"/>
        <v>0.13164137072594981</v>
      </c>
      <c r="S60" s="125">
        <f t="shared" si="23"/>
        <v>0.13982085069865566</v>
      </c>
      <c r="T60" s="125">
        <f t="shared" si="23"/>
        <v>0.13578558676104494</v>
      </c>
      <c r="U60" s="125">
        <f t="shared" si="23"/>
        <v>0.136483799675403</v>
      </c>
      <c r="V60" s="125">
        <f t="shared" si="23"/>
        <v>0.11965381164077916</v>
      </c>
      <c r="W60" s="125">
        <f t="shared" ref="W60" si="24">IF(W14=0,0,W14/W$10)</f>
        <v>0.11854675894139977</v>
      </c>
      <c r="DA60" s="171"/>
    </row>
    <row r="61" spans="1:105" ht="11.45" customHeight="1" x14ac:dyDescent="0.25">
      <c r="A61" s="111" t="s">
        <v>93</v>
      </c>
      <c r="B61" s="125">
        <f t="shared" si="14"/>
        <v>0.4130642205368707</v>
      </c>
      <c r="C61" s="125">
        <f t="shared" ref="C61:V61" si="25">IF(C15=0,0,C15/C$10)</f>
        <v>0.38994781750084534</v>
      </c>
      <c r="D61" s="125">
        <f t="shared" si="25"/>
        <v>0.38129513742215027</v>
      </c>
      <c r="E61" s="125">
        <f t="shared" si="25"/>
        <v>0.36211675883734995</v>
      </c>
      <c r="F61" s="125">
        <f t="shared" si="25"/>
        <v>0.33529920315274153</v>
      </c>
      <c r="G61" s="125">
        <f t="shared" si="25"/>
        <v>0.31048744435218661</v>
      </c>
      <c r="H61" s="125">
        <f t="shared" si="25"/>
        <v>0.30711545585383598</v>
      </c>
      <c r="I61" s="125">
        <f t="shared" si="25"/>
        <v>0.31359172652059986</v>
      </c>
      <c r="J61" s="125">
        <f t="shared" si="25"/>
        <v>0.32186844438472628</v>
      </c>
      <c r="K61" s="125">
        <f t="shared" si="25"/>
        <v>0.35644344661593363</v>
      </c>
      <c r="L61" s="125">
        <f t="shared" si="25"/>
        <v>0.35866950696492594</v>
      </c>
      <c r="M61" s="125">
        <f t="shared" si="25"/>
        <v>0.3502077544554687</v>
      </c>
      <c r="N61" s="125">
        <f t="shared" si="25"/>
        <v>0.35143854776783723</v>
      </c>
      <c r="O61" s="125">
        <f t="shared" si="25"/>
        <v>0.36304907942558423</v>
      </c>
      <c r="P61" s="125">
        <f t="shared" si="25"/>
        <v>0.37063384574112279</v>
      </c>
      <c r="Q61" s="125">
        <f t="shared" si="25"/>
        <v>0.3901993411175641</v>
      </c>
      <c r="R61" s="125">
        <f t="shared" si="25"/>
        <v>0.39797153719846468</v>
      </c>
      <c r="S61" s="125">
        <f t="shared" si="25"/>
        <v>0.39259305040218118</v>
      </c>
      <c r="T61" s="125">
        <f t="shared" si="25"/>
        <v>0.38909720091959354</v>
      </c>
      <c r="U61" s="125">
        <f t="shared" si="25"/>
        <v>0.36978800349563262</v>
      </c>
      <c r="V61" s="125">
        <f t="shared" si="25"/>
        <v>0.27904265705739001</v>
      </c>
      <c r="W61" s="125">
        <f t="shared" ref="W61" si="26">IF(W15=0,0,W15/W$10)</f>
        <v>0.30836422151726139</v>
      </c>
      <c r="DA61" s="171"/>
    </row>
    <row r="62" spans="1:105" ht="11.45" customHeight="1" x14ac:dyDescent="0.25">
      <c r="A62" s="112" t="s">
        <v>25</v>
      </c>
      <c r="B62" s="126">
        <f t="shared" si="14"/>
        <v>0</v>
      </c>
      <c r="C62" s="126">
        <f t="shared" ref="C62:V62" si="27">IF(C16=0,0,C16/C$10)</f>
        <v>0</v>
      </c>
      <c r="D62" s="126">
        <f t="shared" si="27"/>
        <v>0</v>
      </c>
      <c r="E62" s="126">
        <f t="shared" si="27"/>
        <v>0</v>
      </c>
      <c r="F62" s="126">
        <f t="shared" si="27"/>
        <v>0</v>
      </c>
      <c r="G62" s="126">
        <f t="shared" si="27"/>
        <v>0</v>
      </c>
      <c r="H62" s="126">
        <f t="shared" si="27"/>
        <v>0</v>
      </c>
      <c r="I62" s="126">
        <f t="shared" si="27"/>
        <v>0</v>
      </c>
      <c r="J62" s="126">
        <f t="shared" si="27"/>
        <v>0</v>
      </c>
      <c r="K62" s="126">
        <f t="shared" si="27"/>
        <v>0</v>
      </c>
      <c r="L62" s="126">
        <f t="shared" si="27"/>
        <v>0</v>
      </c>
      <c r="M62" s="126">
        <f t="shared" si="27"/>
        <v>0</v>
      </c>
      <c r="N62" s="126">
        <f t="shared" si="27"/>
        <v>0</v>
      </c>
      <c r="O62" s="126">
        <f t="shared" si="27"/>
        <v>0</v>
      </c>
      <c r="P62" s="126">
        <f t="shared" si="27"/>
        <v>0</v>
      </c>
      <c r="Q62" s="126">
        <f t="shared" si="27"/>
        <v>0</v>
      </c>
      <c r="R62" s="126">
        <f t="shared" si="27"/>
        <v>0</v>
      </c>
      <c r="S62" s="126">
        <f t="shared" si="27"/>
        <v>0</v>
      </c>
      <c r="T62" s="126">
        <f t="shared" si="27"/>
        <v>0</v>
      </c>
      <c r="U62" s="126">
        <f t="shared" si="27"/>
        <v>0</v>
      </c>
      <c r="V62" s="126">
        <f t="shared" si="27"/>
        <v>0</v>
      </c>
      <c r="W62" s="126">
        <f t="shared" ref="W62" si="28">IF(W16=0,0,W16/W$10)</f>
        <v>0</v>
      </c>
      <c r="DA62" s="204"/>
    </row>
    <row r="63" spans="1:105" ht="11.45" customHeight="1" x14ac:dyDescent="0.25">
      <c r="A63" s="27" t="s">
        <v>34</v>
      </c>
      <c r="B63" s="31">
        <f t="shared" si="14"/>
        <v>0.33716076136656897</v>
      </c>
      <c r="C63" s="31">
        <f t="shared" ref="C63:V63" si="29">IF(C17=0,0,C17/C$10)</f>
        <v>0.34120492328598095</v>
      </c>
      <c r="D63" s="31">
        <f t="shared" si="29"/>
        <v>0.33744816239543551</v>
      </c>
      <c r="E63" s="31">
        <f t="shared" si="29"/>
        <v>0.33854160119369331</v>
      </c>
      <c r="F63" s="31">
        <f t="shared" si="29"/>
        <v>0.36972486672110233</v>
      </c>
      <c r="G63" s="31">
        <f t="shared" si="29"/>
        <v>0.37679987820971239</v>
      </c>
      <c r="H63" s="31">
        <f t="shared" si="29"/>
        <v>0.39097608148705787</v>
      </c>
      <c r="I63" s="31">
        <f t="shared" si="29"/>
        <v>0.37807819579957064</v>
      </c>
      <c r="J63" s="31">
        <f t="shared" si="29"/>
        <v>0.36366108506382894</v>
      </c>
      <c r="K63" s="31">
        <f t="shared" si="29"/>
        <v>0.30934188039896698</v>
      </c>
      <c r="L63" s="31">
        <f t="shared" si="29"/>
        <v>0.31954500814393622</v>
      </c>
      <c r="M63" s="31">
        <f t="shared" si="29"/>
        <v>0.34570355067090502</v>
      </c>
      <c r="N63" s="31">
        <f t="shared" si="29"/>
        <v>0.32507516340810161</v>
      </c>
      <c r="O63" s="31">
        <f t="shared" si="29"/>
        <v>0.33185104061586812</v>
      </c>
      <c r="P63" s="31">
        <f t="shared" si="29"/>
        <v>0.31675434179334966</v>
      </c>
      <c r="Q63" s="31">
        <f t="shared" si="29"/>
        <v>0.32261089424629152</v>
      </c>
      <c r="R63" s="31">
        <f t="shared" si="29"/>
        <v>0.31627277196319642</v>
      </c>
      <c r="S63" s="31">
        <f t="shared" si="29"/>
        <v>0.31659080099341708</v>
      </c>
      <c r="T63" s="31">
        <f t="shared" si="29"/>
        <v>0.32450977865991099</v>
      </c>
      <c r="U63" s="31">
        <f t="shared" si="29"/>
        <v>0.3355696593766076</v>
      </c>
      <c r="V63" s="31">
        <f t="shared" si="29"/>
        <v>0.42998742435407367</v>
      </c>
      <c r="W63" s="31">
        <f t="shared" ref="W63" si="30">IF(W17=0,0,W17/W$10)</f>
        <v>0.40426377139465142</v>
      </c>
      <c r="DA63" s="173"/>
    </row>
    <row r="64" spans="1:105" ht="11.45" customHeight="1" x14ac:dyDescent="0.25">
      <c r="A64" s="83" t="s">
        <v>92</v>
      </c>
      <c r="B64" s="125">
        <f t="shared" si="14"/>
        <v>4.9683292168595225E-2</v>
      </c>
      <c r="C64" s="125">
        <f t="shared" ref="C64:V64" si="31">IF(C18=0,0,C18/C$10)</f>
        <v>5.1325265303281596E-2</v>
      </c>
      <c r="D64" s="125">
        <f t="shared" si="31"/>
        <v>5.5029033208109743E-2</v>
      </c>
      <c r="E64" s="125">
        <f t="shared" si="31"/>
        <v>5.6391335953828767E-2</v>
      </c>
      <c r="F64" s="125">
        <f t="shared" si="31"/>
        <v>6.204260690353039E-2</v>
      </c>
      <c r="G64" s="125">
        <f t="shared" si="31"/>
        <v>6.5448934607014814E-2</v>
      </c>
      <c r="H64" s="125">
        <f t="shared" si="31"/>
        <v>7.3508853127798396E-2</v>
      </c>
      <c r="I64" s="125">
        <f t="shared" si="31"/>
        <v>7.4780349244951097E-2</v>
      </c>
      <c r="J64" s="125">
        <f t="shared" si="31"/>
        <v>4.6172427545874341E-2</v>
      </c>
      <c r="K64" s="125">
        <f t="shared" si="31"/>
        <v>3.7248412428664196E-2</v>
      </c>
      <c r="L64" s="125">
        <f t="shared" si="31"/>
        <v>3.6463498611463148E-2</v>
      </c>
      <c r="M64" s="125">
        <f t="shared" si="31"/>
        <v>3.3163528942355858E-2</v>
      </c>
      <c r="N64" s="125">
        <f t="shared" si="31"/>
        <v>3.3091498259291592E-2</v>
      </c>
      <c r="O64" s="125">
        <f t="shared" si="31"/>
        <v>3.0478935957193597E-2</v>
      </c>
      <c r="P64" s="125">
        <f t="shared" si="31"/>
        <v>3.180581774336113E-2</v>
      </c>
      <c r="Q64" s="125">
        <f t="shared" si="31"/>
        <v>2.5912396391899951E-2</v>
      </c>
      <c r="R64" s="125">
        <f t="shared" si="31"/>
        <v>2.5436487507569005E-2</v>
      </c>
      <c r="S64" s="125">
        <f t="shared" si="31"/>
        <v>2.7442931812024795E-2</v>
      </c>
      <c r="T64" s="125">
        <f t="shared" si="31"/>
        <v>2.5939061491006922E-2</v>
      </c>
      <c r="U64" s="125">
        <f t="shared" si="31"/>
        <v>2.7506661674929444E-2</v>
      </c>
      <c r="V64" s="125">
        <f t="shared" si="31"/>
        <v>3.815331207165424E-2</v>
      </c>
      <c r="W64" s="125">
        <f t="shared" ref="W64" si="32">IF(W18=0,0,W18/W$10)</f>
        <v>3.7084185424454116E-2</v>
      </c>
      <c r="DA64" s="171"/>
    </row>
    <row r="65" spans="1:105" ht="11.45" customHeight="1" x14ac:dyDescent="0.25">
      <c r="A65" s="85" t="s">
        <v>93</v>
      </c>
      <c r="B65" s="127">
        <f t="shared" si="14"/>
        <v>0.28747746919797373</v>
      </c>
      <c r="C65" s="127">
        <f t="shared" ref="C65:V65" si="33">IF(C19=0,0,C19/C$10)</f>
        <v>0.28987965798269938</v>
      </c>
      <c r="D65" s="127">
        <f t="shared" si="33"/>
        <v>0.28241912918732581</v>
      </c>
      <c r="E65" s="127">
        <f t="shared" si="33"/>
        <v>0.28215026523986458</v>
      </c>
      <c r="F65" s="127">
        <f t="shared" si="33"/>
        <v>0.30768225981757191</v>
      </c>
      <c r="G65" s="127">
        <f t="shared" si="33"/>
        <v>0.31135094360269761</v>
      </c>
      <c r="H65" s="127">
        <f t="shared" si="33"/>
        <v>0.31746722835925945</v>
      </c>
      <c r="I65" s="127">
        <f t="shared" si="33"/>
        <v>0.30329784655461955</v>
      </c>
      <c r="J65" s="127">
        <f t="shared" si="33"/>
        <v>0.31748865751795458</v>
      </c>
      <c r="K65" s="127">
        <f t="shared" si="33"/>
        <v>0.27209346797030282</v>
      </c>
      <c r="L65" s="127">
        <f t="shared" si="33"/>
        <v>0.28308150953247307</v>
      </c>
      <c r="M65" s="127">
        <f t="shared" si="33"/>
        <v>0.31254002172854917</v>
      </c>
      <c r="N65" s="127">
        <f t="shared" si="33"/>
        <v>0.29198366514880997</v>
      </c>
      <c r="O65" s="127">
        <f t="shared" si="33"/>
        <v>0.30137210465867453</v>
      </c>
      <c r="P65" s="127">
        <f t="shared" si="33"/>
        <v>0.28494852404998855</v>
      </c>
      <c r="Q65" s="127">
        <f t="shared" si="33"/>
        <v>0.29669849785439156</v>
      </c>
      <c r="R65" s="127">
        <f t="shared" si="33"/>
        <v>0.29083628445562743</v>
      </c>
      <c r="S65" s="127">
        <f t="shared" si="33"/>
        <v>0.28914786918139229</v>
      </c>
      <c r="T65" s="127">
        <f t="shared" si="33"/>
        <v>0.2985707171689041</v>
      </c>
      <c r="U65" s="127">
        <f t="shared" si="33"/>
        <v>0.30806299770167817</v>
      </c>
      <c r="V65" s="127">
        <f t="shared" si="33"/>
        <v>0.39183411228241943</v>
      </c>
      <c r="W65" s="127">
        <f t="shared" ref="W65" si="34">IF(W19=0,0,W19/W$10)</f>
        <v>0.36717958597019729</v>
      </c>
      <c r="DA65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3:W13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DA6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1134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20" t="s">
        <v>45</v>
      </c>
      <c r="B4" s="26">
        <f>SUM(B5:B6)</f>
        <v>139.04282252241399</v>
      </c>
      <c r="C4" s="26">
        <f t="shared" ref="C4:W4" si="0">SUM(C5:C6)</f>
        <v>139.04315802813079</v>
      </c>
      <c r="D4" s="26">
        <f t="shared" si="0"/>
        <v>142.2910796106458</v>
      </c>
      <c r="E4" s="26">
        <f t="shared" si="0"/>
        <v>148.57307853064574</v>
      </c>
      <c r="F4" s="26">
        <f t="shared" si="0"/>
        <v>152.47521035999995</v>
      </c>
      <c r="G4" s="26">
        <f t="shared" si="0"/>
        <v>163.77528342008122</v>
      </c>
      <c r="H4" s="26">
        <f t="shared" si="0"/>
        <v>161.67855159373821</v>
      </c>
      <c r="I4" s="26">
        <f t="shared" si="0"/>
        <v>160.67862916220571</v>
      </c>
      <c r="J4" s="26">
        <f t="shared" si="0"/>
        <v>160.40596880002573</v>
      </c>
      <c r="K4" s="26">
        <f t="shared" si="0"/>
        <v>157.68026032633148</v>
      </c>
      <c r="L4" s="26">
        <f t="shared" si="0"/>
        <v>153.32004485091974</v>
      </c>
      <c r="M4" s="26">
        <f t="shared" si="0"/>
        <v>128.97099005407654</v>
      </c>
      <c r="N4" s="26">
        <f t="shared" si="0"/>
        <v>132.81458719525881</v>
      </c>
      <c r="O4" s="26">
        <f t="shared" si="0"/>
        <v>113.67331768848067</v>
      </c>
      <c r="P4" s="26">
        <f t="shared" si="0"/>
        <v>123.49140623078429</v>
      </c>
      <c r="Q4" s="26">
        <f t="shared" si="0"/>
        <v>94.111114812406981</v>
      </c>
      <c r="R4" s="26">
        <f t="shared" si="0"/>
        <v>94.533068695135128</v>
      </c>
      <c r="S4" s="26">
        <f t="shared" si="0"/>
        <v>102.9540067104154</v>
      </c>
      <c r="T4" s="26">
        <f t="shared" si="0"/>
        <v>98.350220717257955</v>
      </c>
      <c r="U4" s="26">
        <f t="shared" si="0"/>
        <v>98.331669489887389</v>
      </c>
      <c r="V4" s="26">
        <f t="shared" si="0"/>
        <v>86.44511275163751</v>
      </c>
      <c r="W4" s="26">
        <f t="shared" si="0"/>
        <v>86.255447949965102</v>
      </c>
      <c r="DA4" s="202" t="s">
        <v>1135</v>
      </c>
    </row>
    <row r="5" spans="1:105" ht="11.45" customHeight="1" x14ac:dyDescent="0.25">
      <c r="A5" s="107" t="s">
        <v>92</v>
      </c>
      <c r="B5" s="129">
        <v>139.04282252241399</v>
      </c>
      <c r="C5" s="129">
        <v>139.04315802813079</v>
      </c>
      <c r="D5" s="129">
        <v>142.2910796106458</v>
      </c>
      <c r="E5" s="129">
        <v>148.57307853064574</v>
      </c>
      <c r="F5" s="129">
        <v>152.47521035999995</v>
      </c>
      <c r="G5" s="129">
        <v>163.77528342008122</v>
      </c>
      <c r="H5" s="129">
        <v>161.67855159373821</v>
      </c>
      <c r="I5" s="129">
        <v>160.67862916220571</v>
      </c>
      <c r="J5" s="129">
        <v>160.40596880002573</v>
      </c>
      <c r="K5" s="129">
        <v>157.68026032633148</v>
      </c>
      <c r="L5" s="129">
        <v>153.32004485091974</v>
      </c>
      <c r="M5" s="129">
        <v>128.97099005407654</v>
      </c>
      <c r="N5" s="129">
        <v>132.81458719525881</v>
      </c>
      <c r="O5" s="129">
        <v>113.67331768848067</v>
      </c>
      <c r="P5" s="129">
        <v>123.49140623078429</v>
      </c>
      <c r="Q5" s="129">
        <v>94.111114812406981</v>
      </c>
      <c r="R5" s="129">
        <v>94.533068695135128</v>
      </c>
      <c r="S5" s="129">
        <v>102.9540067104154</v>
      </c>
      <c r="T5" s="129">
        <v>98.350220717257955</v>
      </c>
      <c r="U5" s="129">
        <v>98.331669489887389</v>
      </c>
      <c r="V5" s="129">
        <v>86.44511275163751</v>
      </c>
      <c r="W5" s="129">
        <v>86.255447949965102</v>
      </c>
      <c r="DA5" s="203" t="s">
        <v>1136</v>
      </c>
    </row>
    <row r="6" spans="1:105" ht="11.45" customHeight="1" x14ac:dyDescent="0.25">
      <c r="A6" s="85" t="s">
        <v>91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178" t="s">
        <v>1137</v>
      </c>
    </row>
    <row r="7" spans="1:105" x14ac:dyDescent="0.25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DA7" s="171"/>
    </row>
    <row r="8" spans="1:105" ht="11.45" customHeight="1" x14ac:dyDescent="0.25">
      <c r="A8" s="53" t="s">
        <v>47</v>
      </c>
      <c r="B8" s="79">
        <f t="shared" ref="B8:W8" si="1">SUM(B9,B15)</f>
        <v>139.04282252241399</v>
      </c>
      <c r="C8" s="79">
        <f t="shared" si="1"/>
        <v>139.04315802813082</v>
      </c>
      <c r="D8" s="79">
        <f t="shared" si="1"/>
        <v>142.2910796106458</v>
      </c>
      <c r="E8" s="79">
        <f t="shared" si="1"/>
        <v>148.57307853064577</v>
      </c>
      <c r="F8" s="79">
        <f t="shared" si="1"/>
        <v>152.47521035999995</v>
      </c>
      <c r="G8" s="79">
        <f t="shared" si="1"/>
        <v>163.77528342008122</v>
      </c>
      <c r="H8" s="79">
        <f t="shared" si="1"/>
        <v>161.67855159373823</v>
      </c>
      <c r="I8" s="79">
        <f t="shared" si="1"/>
        <v>160.67862916220571</v>
      </c>
      <c r="J8" s="79">
        <f t="shared" si="1"/>
        <v>160.40596880002579</v>
      </c>
      <c r="K8" s="79">
        <f t="shared" si="1"/>
        <v>157.68026032633151</v>
      </c>
      <c r="L8" s="79">
        <f t="shared" si="1"/>
        <v>153.32004485091977</v>
      </c>
      <c r="M8" s="79">
        <f t="shared" si="1"/>
        <v>128.97099005407648</v>
      </c>
      <c r="N8" s="79">
        <f t="shared" si="1"/>
        <v>132.81458719525881</v>
      </c>
      <c r="O8" s="79">
        <f t="shared" si="1"/>
        <v>113.67331768848065</v>
      </c>
      <c r="P8" s="79">
        <f t="shared" si="1"/>
        <v>123.49140623078428</v>
      </c>
      <c r="Q8" s="79">
        <f t="shared" si="1"/>
        <v>94.111114812406996</v>
      </c>
      <c r="R8" s="79">
        <f t="shared" si="1"/>
        <v>94.533068695135142</v>
      </c>
      <c r="S8" s="79">
        <f t="shared" si="1"/>
        <v>102.9540067104154</v>
      </c>
      <c r="T8" s="79">
        <f t="shared" si="1"/>
        <v>98.350220717257983</v>
      </c>
      <c r="U8" s="79">
        <f t="shared" si="1"/>
        <v>98.331669489887389</v>
      </c>
      <c r="V8" s="79">
        <f t="shared" si="1"/>
        <v>86.44511275163751</v>
      </c>
      <c r="W8" s="79">
        <f t="shared" si="1"/>
        <v>86.255447949965088</v>
      </c>
      <c r="DA8" s="172" t="s">
        <v>1138</v>
      </c>
    </row>
    <row r="9" spans="1:105" ht="11.45" customHeight="1" x14ac:dyDescent="0.25">
      <c r="A9" s="27" t="s">
        <v>33</v>
      </c>
      <c r="B9" s="32">
        <f t="shared" ref="B9:W9" si="2">SUM(B10,B11,B14)</f>
        <v>97.910562062538858</v>
      </c>
      <c r="C9" s="32">
        <f t="shared" si="2"/>
        <v>98.186653967833678</v>
      </c>
      <c r="D9" s="32">
        <f t="shared" si="2"/>
        <v>100.05344939504177</v>
      </c>
      <c r="E9" s="32">
        <f t="shared" si="2"/>
        <v>106.31976770323159</v>
      </c>
      <c r="F9" s="32">
        <f t="shared" si="2"/>
        <v>105.59613383763576</v>
      </c>
      <c r="G9" s="32">
        <f t="shared" si="2"/>
        <v>116.22830195416742</v>
      </c>
      <c r="H9" s="32">
        <f t="shared" si="2"/>
        <v>108.85731589774267</v>
      </c>
      <c r="I9" s="32">
        <f t="shared" si="2"/>
        <v>108.10084724227366</v>
      </c>
      <c r="J9" s="32">
        <f t="shared" si="2"/>
        <v>126.80846793776891</v>
      </c>
      <c r="K9" s="32">
        <f t="shared" si="2"/>
        <v>131.66537060987054</v>
      </c>
      <c r="L9" s="32">
        <f t="shared" si="2"/>
        <v>127.23549294221652</v>
      </c>
      <c r="M9" s="32">
        <f t="shared" si="2"/>
        <v>106.83766559394952</v>
      </c>
      <c r="N9" s="32">
        <f t="shared" si="2"/>
        <v>111.39876654565045</v>
      </c>
      <c r="O9" s="32">
        <f t="shared" si="2"/>
        <v>94.537444635368303</v>
      </c>
      <c r="P9" s="32">
        <f t="shared" si="2"/>
        <v>103.56044513199302</v>
      </c>
      <c r="Q9" s="32">
        <f t="shared" si="2"/>
        <v>78.562151325388754</v>
      </c>
      <c r="R9" s="32">
        <f t="shared" si="2"/>
        <v>79.22480534116707</v>
      </c>
      <c r="S9" s="32">
        <f t="shared" si="2"/>
        <v>86.062365594095056</v>
      </c>
      <c r="T9" s="32">
        <f t="shared" si="2"/>
        <v>82.575801354396944</v>
      </c>
      <c r="U9" s="32">
        <f t="shared" si="2"/>
        <v>81.838173817531739</v>
      </c>
      <c r="V9" s="32">
        <f t="shared" si="2"/>
        <v>65.545122394467683</v>
      </c>
      <c r="W9" s="32">
        <f t="shared" si="2"/>
        <v>65.702253733483374</v>
      </c>
      <c r="DA9" s="173" t="s">
        <v>406</v>
      </c>
    </row>
    <row r="10" spans="1:105" ht="11.45" customHeight="1" x14ac:dyDescent="0.25">
      <c r="A10" s="107" t="s">
        <v>23</v>
      </c>
      <c r="B10" s="129">
        <v>0</v>
      </c>
      <c r="C10" s="129">
        <v>0</v>
      </c>
      <c r="D10" s="129">
        <v>0</v>
      </c>
      <c r="E10" s="129">
        <v>0</v>
      </c>
      <c r="F10" s="129">
        <v>0</v>
      </c>
      <c r="G10" s="129">
        <v>0</v>
      </c>
      <c r="H10" s="129">
        <v>0</v>
      </c>
      <c r="I10" s="129">
        <v>0</v>
      </c>
      <c r="J10" s="129">
        <v>0</v>
      </c>
      <c r="K10" s="129">
        <v>0</v>
      </c>
      <c r="L10" s="129">
        <v>0</v>
      </c>
      <c r="M10" s="129">
        <v>0</v>
      </c>
      <c r="N10" s="129">
        <v>0</v>
      </c>
      <c r="O10" s="129">
        <v>0</v>
      </c>
      <c r="P10" s="129">
        <v>0</v>
      </c>
      <c r="Q10" s="129">
        <v>0</v>
      </c>
      <c r="R10" s="129">
        <v>0</v>
      </c>
      <c r="S10" s="129">
        <v>0</v>
      </c>
      <c r="T10" s="129">
        <v>0</v>
      </c>
      <c r="U10" s="129">
        <v>0</v>
      </c>
      <c r="V10" s="129">
        <v>0</v>
      </c>
      <c r="W10" s="129">
        <v>0</v>
      </c>
      <c r="DA10" s="203" t="s">
        <v>407</v>
      </c>
    </row>
    <row r="11" spans="1:105" ht="11.45" customHeight="1" x14ac:dyDescent="0.25">
      <c r="A11" s="109" t="s">
        <v>24</v>
      </c>
      <c r="B11" s="130">
        <f t="shared" ref="B11:W11" si="3">SUM(B12:B13)</f>
        <v>97.910562062538858</v>
      </c>
      <c r="C11" s="130">
        <f t="shared" si="3"/>
        <v>98.186653967833678</v>
      </c>
      <c r="D11" s="130">
        <f t="shared" si="3"/>
        <v>100.05344939504177</v>
      </c>
      <c r="E11" s="130">
        <f t="shared" si="3"/>
        <v>106.31976770323159</v>
      </c>
      <c r="F11" s="130">
        <f t="shared" si="3"/>
        <v>105.59613383763576</v>
      </c>
      <c r="G11" s="130">
        <f t="shared" si="3"/>
        <v>116.22830195416742</v>
      </c>
      <c r="H11" s="130">
        <f t="shared" si="3"/>
        <v>108.85731589774267</v>
      </c>
      <c r="I11" s="130">
        <f t="shared" si="3"/>
        <v>108.10084724227366</v>
      </c>
      <c r="J11" s="130">
        <f t="shared" si="3"/>
        <v>126.80846793776891</v>
      </c>
      <c r="K11" s="130">
        <f t="shared" si="3"/>
        <v>131.66537060987054</v>
      </c>
      <c r="L11" s="130">
        <f t="shared" si="3"/>
        <v>127.23549294221652</v>
      </c>
      <c r="M11" s="130">
        <f t="shared" si="3"/>
        <v>106.83766559394952</v>
      </c>
      <c r="N11" s="130">
        <f t="shared" si="3"/>
        <v>111.39876654565045</v>
      </c>
      <c r="O11" s="130">
        <f t="shared" si="3"/>
        <v>94.537444635368303</v>
      </c>
      <c r="P11" s="130">
        <f t="shared" si="3"/>
        <v>103.56044513199302</v>
      </c>
      <c r="Q11" s="130">
        <f t="shared" si="3"/>
        <v>78.562151325388754</v>
      </c>
      <c r="R11" s="130">
        <f t="shared" si="3"/>
        <v>79.22480534116707</v>
      </c>
      <c r="S11" s="130">
        <f t="shared" si="3"/>
        <v>86.062365594095056</v>
      </c>
      <c r="T11" s="130">
        <f t="shared" si="3"/>
        <v>82.575801354396944</v>
      </c>
      <c r="U11" s="130">
        <f t="shared" si="3"/>
        <v>81.838173817531739</v>
      </c>
      <c r="V11" s="130">
        <f t="shared" si="3"/>
        <v>65.545122394467683</v>
      </c>
      <c r="W11" s="130">
        <f t="shared" si="3"/>
        <v>65.702253733483374</v>
      </c>
      <c r="DA11" s="176" t="s">
        <v>408</v>
      </c>
    </row>
    <row r="12" spans="1:105" ht="11.45" customHeight="1" x14ac:dyDescent="0.25">
      <c r="A12" s="111" t="s">
        <v>92</v>
      </c>
      <c r="B12" s="96">
        <v>97.910562062538858</v>
      </c>
      <c r="C12" s="96">
        <v>98.186653967833678</v>
      </c>
      <c r="D12" s="96">
        <v>100.05344939504177</v>
      </c>
      <c r="E12" s="96">
        <v>106.31976770323159</v>
      </c>
      <c r="F12" s="96">
        <v>105.59613383763576</v>
      </c>
      <c r="G12" s="96">
        <v>116.22830195416742</v>
      </c>
      <c r="H12" s="96">
        <v>108.85731589774267</v>
      </c>
      <c r="I12" s="96">
        <v>108.10084724227366</v>
      </c>
      <c r="J12" s="96">
        <v>126.80846793776891</v>
      </c>
      <c r="K12" s="96">
        <v>131.66537060987054</v>
      </c>
      <c r="L12" s="96">
        <v>127.23549294221652</v>
      </c>
      <c r="M12" s="96">
        <v>106.83766559394952</v>
      </c>
      <c r="N12" s="96">
        <v>111.39876654565045</v>
      </c>
      <c r="O12" s="96">
        <v>94.537444635368303</v>
      </c>
      <c r="P12" s="96">
        <v>103.56044513199302</v>
      </c>
      <c r="Q12" s="96">
        <v>78.562151325388754</v>
      </c>
      <c r="R12" s="96">
        <v>79.22480534116707</v>
      </c>
      <c r="S12" s="96">
        <v>86.062365594095056</v>
      </c>
      <c r="T12" s="96">
        <v>82.575801354396944</v>
      </c>
      <c r="U12" s="96">
        <v>81.838173817531739</v>
      </c>
      <c r="V12" s="96">
        <v>65.545122394467683</v>
      </c>
      <c r="W12" s="96">
        <v>65.702253733483374</v>
      </c>
      <c r="DA12" s="171" t="s">
        <v>1139</v>
      </c>
    </row>
    <row r="13" spans="1:105" ht="11.45" customHeight="1" x14ac:dyDescent="0.25">
      <c r="A13" s="111" t="s">
        <v>93</v>
      </c>
      <c r="B13" s="96">
        <v>0</v>
      </c>
      <c r="C13" s="96">
        <v>0</v>
      </c>
      <c r="D13" s="96">
        <v>0</v>
      </c>
      <c r="E13" s="96">
        <v>0</v>
      </c>
      <c r="F13" s="96">
        <v>0</v>
      </c>
      <c r="G13" s="96">
        <v>0</v>
      </c>
      <c r="H13" s="96">
        <v>0</v>
      </c>
      <c r="I13" s="96">
        <v>0</v>
      </c>
      <c r="J13" s="96">
        <v>0</v>
      </c>
      <c r="K13" s="96">
        <v>0</v>
      </c>
      <c r="L13" s="96">
        <v>0</v>
      </c>
      <c r="M13" s="96">
        <v>0</v>
      </c>
      <c r="N13" s="96">
        <v>0</v>
      </c>
      <c r="O13" s="96">
        <v>0</v>
      </c>
      <c r="P13" s="96">
        <v>0</v>
      </c>
      <c r="Q13" s="96">
        <v>0</v>
      </c>
      <c r="R13" s="96">
        <v>0</v>
      </c>
      <c r="S13" s="96">
        <v>0</v>
      </c>
      <c r="T13" s="96">
        <v>0</v>
      </c>
      <c r="U13" s="96">
        <v>0</v>
      </c>
      <c r="V13" s="96">
        <v>0</v>
      </c>
      <c r="W13" s="96">
        <v>0</v>
      </c>
      <c r="DA13" s="171" t="s">
        <v>1140</v>
      </c>
    </row>
    <row r="14" spans="1:105" ht="11.45" customHeight="1" x14ac:dyDescent="0.25">
      <c r="A14" s="112" t="s">
        <v>25</v>
      </c>
      <c r="B14" s="131">
        <v>0</v>
      </c>
      <c r="C14" s="131">
        <v>0</v>
      </c>
      <c r="D14" s="131">
        <v>0</v>
      </c>
      <c r="E14" s="131">
        <v>0</v>
      </c>
      <c r="F14" s="131">
        <v>0</v>
      </c>
      <c r="G14" s="131">
        <v>0</v>
      </c>
      <c r="H14" s="131">
        <v>0</v>
      </c>
      <c r="I14" s="131">
        <v>0</v>
      </c>
      <c r="J14" s="131">
        <v>0</v>
      </c>
      <c r="K14" s="131">
        <v>0</v>
      </c>
      <c r="L14" s="131">
        <v>0</v>
      </c>
      <c r="M14" s="131">
        <v>0</v>
      </c>
      <c r="N14" s="131">
        <v>0</v>
      </c>
      <c r="O14" s="131">
        <v>0</v>
      </c>
      <c r="P14" s="131">
        <v>0</v>
      </c>
      <c r="Q14" s="131">
        <v>0</v>
      </c>
      <c r="R14" s="131">
        <v>0</v>
      </c>
      <c r="S14" s="131">
        <v>0</v>
      </c>
      <c r="T14" s="131">
        <v>0</v>
      </c>
      <c r="U14" s="131">
        <v>0</v>
      </c>
      <c r="V14" s="131">
        <v>0</v>
      </c>
      <c r="W14" s="131">
        <v>0</v>
      </c>
      <c r="DA14" s="204" t="s">
        <v>409</v>
      </c>
    </row>
    <row r="15" spans="1:105" ht="11.45" customHeight="1" x14ac:dyDescent="0.25">
      <c r="A15" s="27" t="s">
        <v>34</v>
      </c>
      <c r="B15" s="32">
        <f t="shared" ref="B15:W15" si="4">SUM(B16:B17)</f>
        <v>41.132260459875134</v>
      </c>
      <c r="C15" s="32">
        <f t="shared" si="4"/>
        <v>40.856504060297141</v>
      </c>
      <c r="D15" s="32">
        <f t="shared" si="4"/>
        <v>42.237630215604028</v>
      </c>
      <c r="E15" s="32">
        <f t="shared" si="4"/>
        <v>42.253310827414168</v>
      </c>
      <c r="F15" s="32">
        <f t="shared" si="4"/>
        <v>46.879076522364194</v>
      </c>
      <c r="G15" s="32">
        <f t="shared" si="4"/>
        <v>47.546981465913809</v>
      </c>
      <c r="H15" s="32">
        <f t="shared" si="4"/>
        <v>52.821235695995554</v>
      </c>
      <c r="I15" s="32">
        <f t="shared" si="4"/>
        <v>52.577781919932065</v>
      </c>
      <c r="J15" s="32">
        <f t="shared" si="4"/>
        <v>33.597500862256865</v>
      </c>
      <c r="K15" s="32">
        <f t="shared" si="4"/>
        <v>26.014889716460974</v>
      </c>
      <c r="L15" s="32">
        <f t="shared" si="4"/>
        <v>26.084551908703233</v>
      </c>
      <c r="M15" s="32">
        <f t="shared" si="4"/>
        <v>22.133324460126968</v>
      </c>
      <c r="N15" s="32">
        <f t="shared" si="4"/>
        <v>21.415820649608374</v>
      </c>
      <c r="O15" s="32">
        <f t="shared" si="4"/>
        <v>19.135873053112352</v>
      </c>
      <c r="P15" s="32">
        <f t="shared" si="4"/>
        <v>19.930961098791254</v>
      </c>
      <c r="Q15" s="32">
        <f t="shared" si="4"/>
        <v>15.548963487018247</v>
      </c>
      <c r="R15" s="32">
        <f t="shared" si="4"/>
        <v>15.308263353968066</v>
      </c>
      <c r="S15" s="32">
        <f t="shared" si="4"/>
        <v>16.891641116320336</v>
      </c>
      <c r="T15" s="32">
        <f t="shared" si="4"/>
        <v>15.774419362861037</v>
      </c>
      <c r="U15" s="32">
        <f t="shared" si="4"/>
        <v>16.493495672355646</v>
      </c>
      <c r="V15" s="32">
        <f t="shared" si="4"/>
        <v>20.89999035716982</v>
      </c>
      <c r="W15" s="32">
        <f t="shared" si="4"/>
        <v>20.553194216481717</v>
      </c>
      <c r="DA15" s="173" t="s">
        <v>413</v>
      </c>
    </row>
    <row r="16" spans="1:105" ht="11.45" customHeight="1" x14ac:dyDescent="0.25">
      <c r="A16" s="83" t="s">
        <v>92</v>
      </c>
      <c r="B16" s="96">
        <v>41.132260459875134</v>
      </c>
      <c r="C16" s="96">
        <v>40.856504060297141</v>
      </c>
      <c r="D16" s="96">
        <v>42.237630215604028</v>
      </c>
      <c r="E16" s="96">
        <v>42.253310827414168</v>
      </c>
      <c r="F16" s="96">
        <v>46.879076522364194</v>
      </c>
      <c r="G16" s="96">
        <v>47.546981465913809</v>
      </c>
      <c r="H16" s="96">
        <v>52.821235695995554</v>
      </c>
      <c r="I16" s="96">
        <v>52.577781919932065</v>
      </c>
      <c r="J16" s="96">
        <v>33.597500862256865</v>
      </c>
      <c r="K16" s="96">
        <v>26.014889716460974</v>
      </c>
      <c r="L16" s="96">
        <v>26.084551908703233</v>
      </c>
      <c r="M16" s="96">
        <v>22.133324460126968</v>
      </c>
      <c r="N16" s="96">
        <v>21.415820649608374</v>
      </c>
      <c r="O16" s="96">
        <v>19.135873053112352</v>
      </c>
      <c r="P16" s="96">
        <v>19.930961098791254</v>
      </c>
      <c r="Q16" s="96">
        <v>15.548963487018247</v>
      </c>
      <c r="R16" s="96">
        <v>15.308263353968066</v>
      </c>
      <c r="S16" s="96">
        <v>16.891641116320336</v>
      </c>
      <c r="T16" s="96">
        <v>15.774419362861037</v>
      </c>
      <c r="U16" s="96">
        <v>16.493495672355646</v>
      </c>
      <c r="V16" s="96">
        <v>20.89999035716982</v>
      </c>
      <c r="W16" s="96">
        <v>20.553194216481717</v>
      </c>
      <c r="DA16" s="171" t="s">
        <v>1141</v>
      </c>
    </row>
    <row r="17" spans="1:105" ht="11.45" customHeight="1" x14ac:dyDescent="0.25">
      <c r="A17" s="85" t="s">
        <v>93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178" t="s">
        <v>1142</v>
      </c>
    </row>
    <row r="18" spans="1:105" x14ac:dyDescent="0.25">
      <c r="A18" s="106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DA18" s="171"/>
    </row>
    <row r="19" spans="1:105" ht="11.45" customHeight="1" x14ac:dyDescent="0.25">
      <c r="A19" s="68" t="s">
        <v>36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DA19" s="179"/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53" t="s">
        <v>48</v>
      </c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DA21" s="172"/>
    </row>
    <row r="22" spans="1:105" ht="11.45" customHeight="1" x14ac:dyDescent="0.25">
      <c r="A22" s="133" t="s">
        <v>45</v>
      </c>
      <c r="B22" s="134">
        <f>IF(B4=0,0,B4/TrRail_ene!B4)</f>
        <v>0.52292410803011258</v>
      </c>
      <c r="C22" s="134">
        <f>IF(C4=0,0,C4/TrRail_ene!C4)</f>
        <v>0.5438537599129204</v>
      </c>
      <c r="D22" s="134">
        <f>IF(D4=0,0,D4/TrRail_ene!D4)</f>
        <v>0.57683568749795144</v>
      </c>
      <c r="E22" s="134">
        <f>IF(E4=0,0,E4/TrRail_ene!E4)</f>
        <v>0.61705379995050813</v>
      </c>
      <c r="F22" s="134">
        <f>IF(F4=0,0,F4/TrRail_ene!F4)</f>
        <v>0.62547346346820254</v>
      </c>
      <c r="G22" s="134">
        <f>IF(G4=0,0,G4/TrRail_ene!G4)</f>
        <v>0.69341887648672795</v>
      </c>
      <c r="H22" s="134">
        <f>IF(H4=0,0,H4/TrRail_ene!H4)</f>
        <v>0.67127322503948428</v>
      </c>
      <c r="I22" s="134">
        <f>IF(I4=0,0,I4/TrRail_ene!I4)</f>
        <v>0.67851687063882316</v>
      </c>
      <c r="J22" s="134">
        <f>IF(J4=0,0,J4/TrRail_ene!J4)</f>
        <v>0.65389185343326939</v>
      </c>
      <c r="K22" s="134">
        <f>IF(K4=0,0,K4/TrRail_ene!K4)</f>
        <v>0.65974268522541013</v>
      </c>
      <c r="L22" s="134">
        <f>IF(L4=0,0,L4/TrRail_ene!L4)</f>
        <v>0.62580576519903319</v>
      </c>
      <c r="M22" s="134">
        <f>IF(M4=0,0,M4/TrRail_ene!M4)</f>
        <v>0.56365982515573132</v>
      </c>
      <c r="N22" s="134">
        <f>IF(N4=0,0,N4/TrRail_ene!N4)</f>
        <v>0.5970433927687121</v>
      </c>
      <c r="O22" s="134">
        <f>IF(O4=0,0,O4/TrRail_ene!O4)</f>
        <v>0.5280499940952913</v>
      </c>
      <c r="P22" s="134">
        <f>IF(P4=0,0,P4/TrRail_ene!P4)</f>
        <v>0.57460659649572887</v>
      </c>
      <c r="Q22" s="134">
        <f>IF(Q4=0,0,Q4/TrRail_ene!Q4)</f>
        <v>0.45694696271166413</v>
      </c>
      <c r="R22" s="134">
        <f>IF(R4=0,0,R4/TrRail_ene!R4)</f>
        <v>0.45841964744947483</v>
      </c>
      <c r="S22" s="134">
        <f>IF(S4=0,0,S4/TrRail_ene!S4)</f>
        <v>0.48908427770038082</v>
      </c>
      <c r="T22" s="134">
        <f>IF(T4=0,0,T4/TrRail_ene!T4)</f>
        <v>0.47429654222850071</v>
      </c>
      <c r="U22" s="134">
        <f>IF(U4=0,0,U4/TrRail_ene!U4)</f>
        <v>0.48122349389754088</v>
      </c>
      <c r="V22" s="134">
        <f>IF(V4=0,0,V4/TrRail_ene!V4)</f>
        <v>0.45951851376400193</v>
      </c>
      <c r="W22" s="134">
        <f>IF(W4=0,0,W4/TrRail_ene!W4)</f>
        <v>0.45237082861516165</v>
      </c>
      <c r="DA22" s="205"/>
    </row>
    <row r="23" spans="1:105" ht="11.45" customHeight="1" x14ac:dyDescent="0.25">
      <c r="A23" s="107" t="s">
        <v>90</v>
      </c>
      <c r="B23" s="129">
        <f>IF(B5=0,0,B5/SUM(TrRail_ene!B5:B7))</f>
        <v>1.5567981426414532</v>
      </c>
      <c r="C23" s="129">
        <f>IF(C5=0,0,C5/SUM(TrRail_ene!C5:C7))</f>
        <v>1.556798901593083</v>
      </c>
      <c r="D23" s="129">
        <f>IF(D5=0,0,D5/SUM(TrRail_ene!D5:D7))</f>
        <v>1.5557940705746076</v>
      </c>
      <c r="E23" s="129">
        <f>IF(E5=0,0,E5/SUM(TrRail_ene!E5:E7))</f>
        <v>1.555970196588393</v>
      </c>
      <c r="F23" s="129">
        <f>IF(F5=0,0,F5/SUM(TrRail_ene!F5:F7))</f>
        <v>1.5497750405837327</v>
      </c>
      <c r="G23" s="129">
        <f>IF(G5=0,0,G5/SUM(TrRail_ene!G5:G7))</f>
        <v>1.5379339145080151</v>
      </c>
      <c r="H23" s="129">
        <f>IF(H5=0,0,H5/SUM(TrRail_ene!H5:H7))</f>
        <v>1.4917149051060088</v>
      </c>
      <c r="I23" s="129">
        <f>IF(I5=0,0,I5/SUM(TrRail_ene!I5:I7))</f>
        <v>1.4845242918602684</v>
      </c>
      <c r="J23" s="129">
        <f>IF(J5=0,0,J5/SUM(TrRail_ene!J5:J7))</f>
        <v>1.4831315437463521</v>
      </c>
      <c r="K23" s="129">
        <f>IF(K5=0,0,K5/SUM(TrRail_ene!K5:K7))</f>
        <v>1.4611051839986517</v>
      </c>
      <c r="L23" s="129">
        <f>IF(L5=0,0,L5/SUM(TrRail_ene!L5:L7))</f>
        <v>1.4599422295643021</v>
      </c>
      <c r="M23" s="129">
        <f>IF(M5=0,0,M5/SUM(TrRail_ene!M5:M7))</f>
        <v>1.4584144711638187</v>
      </c>
      <c r="N23" s="129">
        <f>IF(N5=0,0,N5/SUM(TrRail_ene!N5:N7))</f>
        <v>1.4546161813162832</v>
      </c>
      <c r="O23" s="129">
        <f>IF(O5=0,0,O5/SUM(TrRail_ene!O5:O7))</f>
        <v>1.4582600920796651</v>
      </c>
      <c r="P23" s="129">
        <f>IF(P5=0,0,P5/SUM(TrRail_ene!P5:P7))</f>
        <v>1.457892665759865</v>
      </c>
      <c r="Q23" s="129">
        <f>IF(Q5=0,0,Q5/SUM(TrRail_ene!Q5:Q7))</f>
        <v>1.4567624768654779</v>
      </c>
      <c r="R23" s="129">
        <f>IF(R5=0,0,R5/SUM(TrRail_ene!R5:R7))</f>
        <v>1.4592115419856571</v>
      </c>
      <c r="S23" s="129">
        <f>IF(S5=0,0,S5/SUM(TrRail_ene!S5:S7))</f>
        <v>1.4620148796083539</v>
      </c>
      <c r="T23" s="129">
        <f>IF(T5=0,0,T5/SUM(TrRail_ene!T5:T7))</f>
        <v>1.4663706100300116</v>
      </c>
      <c r="U23" s="129">
        <f>IF(U5=0,0,U5/SUM(TrRail_ene!U5:U7))</f>
        <v>1.4672301362379374</v>
      </c>
      <c r="V23" s="129">
        <f>IF(V5=0,0,V5/SUM(TrRail_ene!V5:V7))</f>
        <v>1.4559498422940877</v>
      </c>
      <c r="W23" s="129">
        <f>IF(W5=0,0,W5/SUM(TrRail_ene!W5:W7))</f>
        <v>1.4533447395645753</v>
      </c>
      <c r="DA23" s="203"/>
    </row>
    <row r="24" spans="1:105" ht="11.45" customHeight="1" x14ac:dyDescent="0.25">
      <c r="A24" s="85" t="s">
        <v>91</v>
      </c>
      <c r="B24" s="98">
        <f>IF(B6=0,0,B6/TrRail_ene!B8)</f>
        <v>0</v>
      </c>
      <c r="C24" s="98">
        <f>IF(C6=0,0,C6/TrRail_ene!C8)</f>
        <v>0</v>
      </c>
      <c r="D24" s="98">
        <f>IF(D6=0,0,D6/TrRail_ene!D8)</f>
        <v>0</v>
      </c>
      <c r="E24" s="98">
        <f>IF(E6=0,0,E6/TrRail_ene!E8)</f>
        <v>0</v>
      </c>
      <c r="F24" s="98">
        <f>IF(F6=0,0,F6/TrRail_ene!F8)</f>
        <v>0</v>
      </c>
      <c r="G24" s="98">
        <f>IF(G6=0,0,G6/TrRail_ene!G8)</f>
        <v>0</v>
      </c>
      <c r="H24" s="98">
        <f>IF(H6=0,0,H6/TrRail_ene!H8)</f>
        <v>0</v>
      </c>
      <c r="I24" s="98">
        <f>IF(I6=0,0,I6/TrRail_ene!I8)</f>
        <v>0</v>
      </c>
      <c r="J24" s="98">
        <f>IF(J6=0,0,J6/TrRail_ene!J8)</f>
        <v>0</v>
      </c>
      <c r="K24" s="98">
        <f>IF(K6=0,0,K6/TrRail_ene!K8)</f>
        <v>0</v>
      </c>
      <c r="L24" s="98">
        <f>IF(L6=0,0,L6/TrRail_ene!L8)</f>
        <v>0</v>
      </c>
      <c r="M24" s="98">
        <f>IF(M6=0,0,M6/TrRail_ene!M8)</f>
        <v>0</v>
      </c>
      <c r="N24" s="98">
        <f>IF(N6=0,0,N6/TrRail_ene!N8)</f>
        <v>0</v>
      </c>
      <c r="O24" s="98">
        <f>IF(O6=0,0,O6/TrRail_ene!O8)</f>
        <v>0</v>
      </c>
      <c r="P24" s="98">
        <f>IF(P6=0,0,P6/TrRail_ene!P8)</f>
        <v>0</v>
      </c>
      <c r="Q24" s="98">
        <f>IF(Q6=0,0,Q6/TrRail_ene!Q8)</f>
        <v>0</v>
      </c>
      <c r="R24" s="98">
        <f>IF(R6=0,0,R6/TrRail_ene!R8)</f>
        <v>0</v>
      </c>
      <c r="S24" s="98">
        <f>IF(S6=0,0,S6/TrRail_ene!S8)</f>
        <v>0</v>
      </c>
      <c r="T24" s="98">
        <f>IF(T6=0,0,T6/TrRail_ene!T8)</f>
        <v>0</v>
      </c>
      <c r="U24" s="98">
        <f>IF(U6=0,0,U6/TrRail_ene!U8)</f>
        <v>0</v>
      </c>
      <c r="V24" s="98">
        <f>IF(V6=0,0,V6/TrRail_ene!V8)</f>
        <v>0</v>
      </c>
      <c r="W24" s="98">
        <f>IF(W6=0,0,W6/TrRail_ene!W8)</f>
        <v>0</v>
      </c>
      <c r="DA24" s="178"/>
    </row>
    <row r="25" spans="1:105" x14ac:dyDescent="0.25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DA25" s="171"/>
    </row>
    <row r="26" spans="1:105" ht="11.45" customHeight="1" x14ac:dyDescent="0.25">
      <c r="A26" s="53" t="s">
        <v>129</v>
      </c>
      <c r="B26" s="54">
        <f>IF(B8=0,0,B8/TrRail_act!B14*1000)</f>
        <v>687.78240041675201</v>
      </c>
      <c r="C26" s="54">
        <f>IF(C8=0,0,C8/TrRail_act!C14*1000)</f>
        <v>710.81265528777533</v>
      </c>
      <c r="D26" s="54">
        <f>IF(D8=0,0,D8/TrRail_act!D14*1000)</f>
        <v>728.38257153147094</v>
      </c>
      <c r="E26" s="54">
        <f>IF(E8=0,0,E8/TrRail_act!E14*1000)</f>
        <v>757.45196523201787</v>
      </c>
      <c r="F26" s="54">
        <f>IF(F8=0,0,F8/TrRail_act!F14*1000)</f>
        <v>763.35104871204533</v>
      </c>
      <c r="G26" s="54">
        <f>IF(G8=0,0,G8/TrRail_act!G14*1000)</f>
        <v>830.25369995211645</v>
      </c>
      <c r="H26" s="54">
        <f>IF(H8=0,0,H8/TrRail_act!H14*1000)</f>
        <v>791.20068214373828</v>
      </c>
      <c r="I26" s="54">
        <f>IF(I8=0,0,I8/TrRail_act!I14*1000)</f>
        <v>768.18766530189964</v>
      </c>
      <c r="J26" s="54">
        <f>IF(J8=0,0,J8/TrRail_act!J14*1000)</f>
        <v>737.32382032815451</v>
      </c>
      <c r="K26" s="54">
        <f>IF(K8=0,0,K8/TrRail_act!K14*1000)</f>
        <v>721.93410805337999</v>
      </c>
      <c r="L26" s="54">
        <f>IF(L8=0,0,L8/TrRail_act!L14*1000)</f>
        <v>682.88842016891499</v>
      </c>
      <c r="M26" s="54">
        <f>IF(M8=0,0,M8/TrRail_act!M14*1000)</f>
        <v>587.48193800127217</v>
      </c>
      <c r="N26" s="54">
        <f>IF(N8=0,0,N8/TrRail_act!N14*1000)</f>
        <v>610.16846848787804</v>
      </c>
      <c r="O26" s="54">
        <f>IF(O8=0,0,O8/TrRail_act!O14*1000)</f>
        <v>487.81685536640407</v>
      </c>
      <c r="P26" s="54">
        <f>IF(P8=0,0,P8/TrRail_act!P14*1000)</f>
        <v>516.32450599649155</v>
      </c>
      <c r="Q26" s="54">
        <f>IF(Q8=0,0,Q8/TrRail_act!Q14*1000)</f>
        <v>386.06016854316317</v>
      </c>
      <c r="R26" s="54">
        <f>IF(R8=0,0,R8/TrRail_act!R14*1000)</f>
        <v>368.20051953946592</v>
      </c>
      <c r="S26" s="54">
        <f>IF(S8=0,0,S8/TrRail_act!S14*1000)</f>
        <v>380.91092904040329</v>
      </c>
      <c r="T26" s="54">
        <f>IF(T8=0,0,T8/TrRail_act!T14*1000)</f>
        <v>367.09702110463587</v>
      </c>
      <c r="U26" s="54">
        <f>IF(U8=0,0,U8/TrRail_act!U14*1000)</f>
        <v>357.71394639051084</v>
      </c>
      <c r="V26" s="54">
        <f>IF(V8=0,0,V8/TrRail_act!V14*1000)</f>
        <v>349.89317030295354</v>
      </c>
      <c r="W26" s="54">
        <f>IF(W8=0,0,W8/TrRail_act!W14*1000)</f>
        <v>335.32601277751553</v>
      </c>
      <c r="DA26" s="172" t="s">
        <v>1143</v>
      </c>
    </row>
    <row r="27" spans="1:105" ht="11.45" customHeight="1" x14ac:dyDescent="0.25">
      <c r="A27" s="27" t="s">
        <v>33</v>
      </c>
      <c r="B27" s="28">
        <f>IF(B9=0,0,B9/TrRail_act!B15*1000)</f>
        <v>597.34408072617998</v>
      </c>
      <c r="C27" s="28">
        <f>IF(C9=0,0,C9/TrRail_act!C15*1000)</f>
        <v>620.71831420018702</v>
      </c>
      <c r="D27" s="28">
        <f>IF(D9=0,0,D9/TrRail_act!D15*1000)</f>
        <v>635.67258721577241</v>
      </c>
      <c r="E27" s="28">
        <f>IF(E9=0,0,E9/TrRail_act!E15*1000)</f>
        <v>669.60806184614717</v>
      </c>
      <c r="F27" s="28">
        <f>IF(F9=0,0,F9/TrRail_act!F15*1000)</f>
        <v>667.54701648432797</v>
      </c>
      <c r="G27" s="28">
        <f>IF(G9=0,0,G9/TrRail_act!G15*1000)</f>
        <v>743.65813315894786</v>
      </c>
      <c r="H27" s="28">
        <f>IF(H9=0,0,H9/TrRail_act!H15*1000)</f>
        <v>675.31454930083623</v>
      </c>
      <c r="I27" s="28">
        <f>IF(I9=0,0,I9/TrRail_act!I15*1000)</f>
        <v>658.16152744423403</v>
      </c>
      <c r="J27" s="28">
        <f>IF(J9=0,0,J9/TrRail_act!J15*1000)</f>
        <v>735.63006526089919</v>
      </c>
      <c r="K27" s="28">
        <f>IF(K9=0,0,K9/TrRail_act!K15*1000)</f>
        <v>729.90168621606961</v>
      </c>
      <c r="L27" s="28">
        <f>IF(L9=0,0,L9/TrRail_act!L15*1000)</f>
        <v>694.06731391207234</v>
      </c>
      <c r="M27" s="28">
        <f>IF(M9=0,0,M9/TrRail_act!M15*1000)</f>
        <v>607.94819712021012</v>
      </c>
      <c r="N27" s="28">
        <f>IF(N9=0,0,N9/TrRail_act!N15*1000)</f>
        <v>628.96373200271148</v>
      </c>
      <c r="O27" s="28">
        <f>IF(O9=0,0,O9/TrRail_act!O15*1000)</f>
        <v>494.37660495631144</v>
      </c>
      <c r="P27" s="28">
        <f>IF(P9=0,0,P9/TrRail_act!P15*1000)</f>
        <v>522.38077826950644</v>
      </c>
      <c r="Q27" s="28">
        <f>IF(Q9=0,0,Q9/TrRail_act!Q15*1000)</f>
        <v>389.12341919437421</v>
      </c>
      <c r="R27" s="28">
        <f>IF(R9=0,0,R9/TrRail_act!R15*1000)</f>
        <v>368.49067166709489</v>
      </c>
      <c r="S27" s="28">
        <f>IF(S9=0,0,S9/TrRail_act!S15*1000)</f>
        <v>378.62458196475541</v>
      </c>
      <c r="T27" s="28">
        <f>IF(T9=0,0,T9/TrRail_act!T15*1000)</f>
        <v>368.82339135589808</v>
      </c>
      <c r="U27" s="28">
        <f>IF(U9=0,0,U9/TrRail_act!U15*1000)</f>
        <v>356.80729708636323</v>
      </c>
      <c r="V27" s="28">
        <f>IF(V9=0,0,V9/TrRail_act!V15*1000)</f>
        <v>338.84725676409477</v>
      </c>
      <c r="W27" s="28">
        <f>IF(W9=0,0,W9/TrRail_act!W15*1000)</f>
        <v>318.76241193620677</v>
      </c>
      <c r="DA27" s="173" t="s">
        <v>1144</v>
      </c>
    </row>
    <row r="28" spans="1:105" ht="11.45" customHeight="1" x14ac:dyDescent="0.25">
      <c r="A28" s="107" t="s">
        <v>23</v>
      </c>
      <c r="B28" s="108">
        <f>IF(B10=0,0,B10/TrRail_act!B16*1000)</f>
        <v>0</v>
      </c>
      <c r="C28" s="108">
        <f>IF(C10=0,0,C10/TrRail_act!C16*1000)</f>
        <v>0</v>
      </c>
      <c r="D28" s="108">
        <f>IF(D10=0,0,D10/TrRail_act!D16*1000)</f>
        <v>0</v>
      </c>
      <c r="E28" s="108">
        <f>IF(E10=0,0,E10/TrRail_act!E16*1000)</f>
        <v>0</v>
      </c>
      <c r="F28" s="108">
        <f>IF(F10=0,0,F10/TrRail_act!F16*1000)</f>
        <v>0</v>
      </c>
      <c r="G28" s="108">
        <f>IF(G10=0,0,G10/TrRail_act!G16*1000)</f>
        <v>0</v>
      </c>
      <c r="H28" s="108">
        <f>IF(H10=0,0,H10/TrRail_act!H16*1000)</f>
        <v>0</v>
      </c>
      <c r="I28" s="108">
        <f>IF(I10=0,0,I10/TrRail_act!I16*1000)</f>
        <v>0</v>
      </c>
      <c r="J28" s="108">
        <f>IF(J10=0,0,J10/TrRail_act!J16*1000)</f>
        <v>0</v>
      </c>
      <c r="K28" s="108">
        <f>IF(K10=0,0,K10/TrRail_act!K16*1000)</f>
        <v>0</v>
      </c>
      <c r="L28" s="108">
        <f>IF(L10=0,0,L10/TrRail_act!L16*1000)</f>
        <v>0</v>
      </c>
      <c r="M28" s="108">
        <f>IF(M10=0,0,M10/TrRail_act!M16*1000)</f>
        <v>0</v>
      </c>
      <c r="N28" s="108">
        <f>IF(N10=0,0,N10/TrRail_act!N16*1000)</f>
        <v>0</v>
      </c>
      <c r="O28" s="108">
        <f>IF(O10=0,0,O10/TrRail_act!O16*1000)</f>
        <v>0</v>
      </c>
      <c r="P28" s="108">
        <f>IF(P10=0,0,P10/TrRail_act!P16*1000)</f>
        <v>0</v>
      </c>
      <c r="Q28" s="108">
        <f>IF(Q10=0,0,Q10/TrRail_act!Q16*1000)</f>
        <v>0</v>
      </c>
      <c r="R28" s="108">
        <f>IF(R10=0,0,R10/TrRail_act!R16*1000)</f>
        <v>0</v>
      </c>
      <c r="S28" s="108">
        <f>IF(S10=0,0,S10/TrRail_act!S16*1000)</f>
        <v>0</v>
      </c>
      <c r="T28" s="108">
        <f>IF(T10=0,0,T10/TrRail_act!T16*1000)</f>
        <v>0</v>
      </c>
      <c r="U28" s="108">
        <f>IF(U10=0,0,U10/TrRail_act!U16*1000)</f>
        <v>0</v>
      </c>
      <c r="V28" s="108">
        <f>IF(V10=0,0,V10/TrRail_act!V16*1000)</f>
        <v>0</v>
      </c>
      <c r="W28" s="108">
        <f>IF(W10=0,0,W10/TrRail_act!W16*1000)</f>
        <v>0</v>
      </c>
      <c r="DA28" s="203" t="s">
        <v>1145</v>
      </c>
    </row>
    <row r="29" spans="1:105" ht="11.45" customHeight="1" x14ac:dyDescent="0.25">
      <c r="A29" s="109" t="s">
        <v>24</v>
      </c>
      <c r="B29" s="110">
        <f>IF(B11=0,0,B11/TrRail_act!B17*1000)</f>
        <v>1191.1761740949732</v>
      </c>
      <c r="C29" s="110">
        <f>IF(C11=0,0,C11/TrRail_act!C17*1000)</f>
        <v>1306.2574239071296</v>
      </c>
      <c r="D29" s="110">
        <f>IF(D11=0,0,D11/TrRail_act!D17*1000)</f>
        <v>1369.1567424527232</v>
      </c>
      <c r="E29" s="110">
        <f>IF(E11=0,0,E11/TrRail_act!E17*1000)</f>
        <v>1453.4419982429781</v>
      </c>
      <c r="F29" s="110">
        <f>IF(F11=0,0,F11/TrRail_act!F17*1000)</f>
        <v>1482.1275766615465</v>
      </c>
      <c r="G29" s="110">
        <f>IF(G11=0,0,G11/TrRail_act!G17*1000)</f>
        <v>1686.7544280068701</v>
      </c>
      <c r="H29" s="110">
        <f>IF(H11=0,0,H11/TrRail_act!H17*1000)</f>
        <v>1517.5982676023229</v>
      </c>
      <c r="I29" s="110">
        <f>IF(I11=0,0,I11/TrRail_act!I17*1000)</f>
        <v>1464.0567516195563</v>
      </c>
      <c r="J29" s="110">
        <f>IF(J11=0,0,J11/TrRail_act!J17*1000)</f>
        <v>1532.2589938426154</v>
      </c>
      <c r="K29" s="110">
        <f>IF(K11=0,0,K11/TrRail_act!K17*1000)</f>
        <v>1490.521673447188</v>
      </c>
      <c r="L29" s="110">
        <f>IF(L11=0,0,L11/TrRail_act!L17*1000)</f>
        <v>1404.9562216040654</v>
      </c>
      <c r="M29" s="110">
        <f>IF(M11=0,0,M11/TrRail_act!M17*1000)</f>
        <v>1291.113643250756</v>
      </c>
      <c r="N29" s="110">
        <f>IF(N11=0,0,N11/TrRail_act!N17*1000)</f>
        <v>1323.8278332569296</v>
      </c>
      <c r="O29" s="110">
        <f>IF(O11=0,0,O11/TrRail_act!O17*1000)</f>
        <v>962.58029752971811</v>
      </c>
      <c r="P29" s="110">
        <f>IF(P11=0,0,P11/TrRail_act!P17*1000)</f>
        <v>967.15015566846785</v>
      </c>
      <c r="Q29" s="110">
        <f>IF(Q11=0,0,Q11/TrRail_act!Q17*1000)</f>
        <v>724.51795749183498</v>
      </c>
      <c r="R29" s="110">
        <f>IF(R11=0,0,R11/TrRail_act!R17*1000)</f>
        <v>648.82092801085378</v>
      </c>
      <c r="S29" s="110">
        <f>IF(S11=0,0,S11/TrRail_act!S17*1000)</f>
        <v>642.52643739075313</v>
      </c>
      <c r="T29" s="110">
        <f>IF(T11=0,0,T11/TrRail_act!T17*1000)</f>
        <v>626.40323614683268</v>
      </c>
      <c r="U29" s="110">
        <f>IF(U11=0,0,U11/TrRail_act!U17*1000)</f>
        <v>611.50808661465146</v>
      </c>
      <c r="V29" s="110">
        <f>IF(V11=0,0,V11/TrRail_act!V17*1000)</f>
        <v>669.02169706215307</v>
      </c>
      <c r="W29" s="110">
        <f>IF(W11=0,0,W11/TrRail_act!W17*1000)</f>
        <v>593.96295397043389</v>
      </c>
      <c r="DA29" s="176" t="s">
        <v>1146</v>
      </c>
    </row>
    <row r="30" spans="1:105" ht="11.45" customHeight="1" x14ac:dyDescent="0.25">
      <c r="A30" s="111" t="s">
        <v>92</v>
      </c>
      <c r="B30" s="84">
        <f>IF(B12=0,0,B12/TrRail_act!B18*1000)</f>
        <v>7858.6209907275779</v>
      </c>
      <c r="C30" s="84">
        <f>IF(C12=0,0,C12/TrRail_act!C18*1000)</f>
        <v>7495.4502218542802</v>
      </c>
      <c r="D30" s="84">
        <f>IF(D12=0,0,D12/TrRail_act!D18*1000)</f>
        <v>7132.0584433143322</v>
      </c>
      <c r="E30" s="84">
        <f>IF(E12=0,0,E12/TrRail_act!E18*1000)</f>
        <v>7101.1371643773455</v>
      </c>
      <c r="F30" s="84">
        <f>IF(F12=0,0,F12/TrRail_act!F18*1000)</f>
        <v>7015.2932778294225</v>
      </c>
      <c r="G30" s="84">
        <f>IF(G12=0,0,G12/TrRail_act!G18*1000)</f>
        <v>6889.9158446197816</v>
      </c>
      <c r="H30" s="84">
        <f>IF(H12=0,0,H12/TrRail_act!H18*1000)</f>
        <v>6198.7914089823007</v>
      </c>
      <c r="I30" s="84">
        <f>IF(I12=0,0,I12/TrRail_act!I18*1000)</f>
        <v>5973.4367071913966</v>
      </c>
      <c r="J30" s="84">
        <f>IF(J12=0,0,J12/TrRail_act!J18*1000)</f>
        <v>5831.5729344237807</v>
      </c>
      <c r="K30" s="84">
        <f>IF(K12=0,0,K12/TrRail_act!K18*1000)</f>
        <v>5831.7782016554411</v>
      </c>
      <c r="L30" s="84">
        <f>IF(L12=0,0,L12/TrRail_act!L18*1000)</f>
        <v>5972.7113225930161</v>
      </c>
      <c r="M30" s="84">
        <f>IF(M12=0,0,M12/TrRail_act!M18*1000)</f>
        <v>5568.726775930636</v>
      </c>
      <c r="N30" s="84">
        <f>IF(N12=0,0,N12/TrRail_act!N18*1000)</f>
        <v>5546.7204961372709</v>
      </c>
      <c r="O30" s="84">
        <f>IF(O12=0,0,O12/TrRail_act!O18*1000)</f>
        <v>5325.0326844993679</v>
      </c>
      <c r="P30" s="84">
        <f>IF(P12=0,0,P12/TrRail_act!P18*1000)</f>
        <v>5279.4372920442474</v>
      </c>
      <c r="Q30" s="84">
        <f>IF(Q12=0,0,Q12/TrRail_act!Q18*1000)</f>
        <v>4943.5018932095427</v>
      </c>
      <c r="R30" s="84">
        <f>IF(R12=0,0,R12/TrRail_act!R18*1000)</f>
        <v>4952.1229527290143</v>
      </c>
      <c r="S30" s="84">
        <f>IF(S12=0,0,S12/TrRail_act!S18*1000)</f>
        <v>4946.9841288404095</v>
      </c>
      <c r="T30" s="84">
        <f>IF(T12=0,0,T12/TrRail_act!T18*1000)</f>
        <v>4940.8274196589591</v>
      </c>
      <c r="U30" s="84">
        <f>IF(U12=0,0,U12/TrRail_act!U18*1000)</f>
        <v>4573.2775687132962</v>
      </c>
      <c r="V30" s="84">
        <f>IF(V12=0,0,V12/TrRail_act!V18*1000)</f>
        <v>4494.6416761583168</v>
      </c>
      <c r="W30" s="84">
        <f>IF(W12=0,0,W12/TrRail_act!W18*1000)</f>
        <v>4454.3240382475087</v>
      </c>
      <c r="DA30" s="171" t="s">
        <v>1147</v>
      </c>
    </row>
    <row r="31" spans="1:105" ht="11.45" customHeight="1" x14ac:dyDescent="0.25">
      <c r="A31" s="111" t="s">
        <v>93</v>
      </c>
      <c r="B31" s="84">
        <f>IF(B13=0,0,B13/TrRail_act!B19*1000)</f>
        <v>0</v>
      </c>
      <c r="C31" s="84">
        <f>IF(C13=0,0,C13/TrRail_act!C19*1000)</f>
        <v>0</v>
      </c>
      <c r="D31" s="84">
        <f>IF(D13=0,0,D13/TrRail_act!D19*1000)</f>
        <v>0</v>
      </c>
      <c r="E31" s="84">
        <f>IF(E13=0,0,E13/TrRail_act!E19*1000)</f>
        <v>0</v>
      </c>
      <c r="F31" s="84">
        <f>IF(F13=0,0,F13/TrRail_act!F19*1000)</f>
        <v>0</v>
      </c>
      <c r="G31" s="84">
        <f>IF(G13=0,0,G13/TrRail_act!G19*1000)</f>
        <v>0</v>
      </c>
      <c r="H31" s="84">
        <f>IF(H13=0,0,H13/TrRail_act!H19*1000)</f>
        <v>0</v>
      </c>
      <c r="I31" s="84">
        <f>IF(I13=0,0,I13/TrRail_act!I19*1000)</f>
        <v>0</v>
      </c>
      <c r="J31" s="84">
        <f>IF(J13=0,0,J13/TrRail_act!J19*1000)</f>
        <v>0</v>
      </c>
      <c r="K31" s="84">
        <f>IF(K13=0,0,K13/TrRail_act!K19*1000)</f>
        <v>0</v>
      </c>
      <c r="L31" s="84">
        <f>IF(L13=0,0,L13/TrRail_act!L19*1000)</f>
        <v>0</v>
      </c>
      <c r="M31" s="84">
        <f>IF(M13=0,0,M13/TrRail_act!M19*1000)</f>
        <v>0</v>
      </c>
      <c r="N31" s="84">
        <f>IF(N13=0,0,N13/TrRail_act!N19*1000)</f>
        <v>0</v>
      </c>
      <c r="O31" s="84">
        <f>IF(O13=0,0,O13/TrRail_act!O19*1000)</f>
        <v>0</v>
      </c>
      <c r="P31" s="84">
        <f>IF(P13=0,0,P13/TrRail_act!P19*1000)</f>
        <v>0</v>
      </c>
      <c r="Q31" s="84">
        <f>IF(Q13=0,0,Q13/TrRail_act!Q19*1000)</f>
        <v>0</v>
      </c>
      <c r="R31" s="84">
        <f>IF(R13=0,0,R13/TrRail_act!R19*1000)</f>
        <v>0</v>
      </c>
      <c r="S31" s="84">
        <f>IF(S13=0,0,S13/TrRail_act!S19*1000)</f>
        <v>0</v>
      </c>
      <c r="T31" s="84">
        <f>IF(T13=0,0,T13/TrRail_act!T19*1000)</f>
        <v>0</v>
      </c>
      <c r="U31" s="84">
        <f>IF(U13=0,0,U13/TrRail_act!U19*1000)</f>
        <v>0</v>
      </c>
      <c r="V31" s="84">
        <f>IF(V13=0,0,V13/TrRail_act!V19*1000)</f>
        <v>0</v>
      </c>
      <c r="W31" s="84">
        <f>IF(W13=0,0,W13/TrRail_act!W19*1000)</f>
        <v>0</v>
      </c>
      <c r="DA31" s="171" t="s">
        <v>1148</v>
      </c>
    </row>
    <row r="32" spans="1:105" ht="11.45" customHeight="1" x14ac:dyDescent="0.25">
      <c r="A32" s="112" t="s">
        <v>25</v>
      </c>
      <c r="B32" s="113">
        <f>IF(B14=0,0,B14/TrRail_act!B20*1000)</f>
        <v>0</v>
      </c>
      <c r="C32" s="113">
        <f>IF(C14=0,0,C14/TrRail_act!C20*1000)</f>
        <v>0</v>
      </c>
      <c r="D32" s="113">
        <f>IF(D14=0,0,D14/TrRail_act!D20*1000)</f>
        <v>0</v>
      </c>
      <c r="E32" s="113">
        <f>IF(E14=0,0,E14/TrRail_act!E20*1000)</f>
        <v>0</v>
      </c>
      <c r="F32" s="113">
        <f>IF(F14=0,0,F14/TrRail_act!F20*1000)</f>
        <v>0</v>
      </c>
      <c r="G32" s="113">
        <f>IF(G14=0,0,G14/TrRail_act!G20*1000)</f>
        <v>0</v>
      </c>
      <c r="H32" s="113">
        <f>IF(H14=0,0,H14/TrRail_act!H20*1000)</f>
        <v>0</v>
      </c>
      <c r="I32" s="113">
        <f>IF(I14=0,0,I14/TrRail_act!I20*1000)</f>
        <v>0</v>
      </c>
      <c r="J32" s="113">
        <f>IF(J14=0,0,J14/TrRail_act!J20*1000)</f>
        <v>0</v>
      </c>
      <c r="K32" s="113">
        <f>IF(K14=0,0,K14/TrRail_act!K20*1000)</f>
        <v>0</v>
      </c>
      <c r="L32" s="113">
        <f>IF(L14=0,0,L14/TrRail_act!L20*1000)</f>
        <v>0</v>
      </c>
      <c r="M32" s="113">
        <f>IF(M14=0,0,M14/TrRail_act!M20*1000)</f>
        <v>0</v>
      </c>
      <c r="N32" s="113">
        <f>IF(N14=0,0,N14/TrRail_act!N20*1000)</f>
        <v>0</v>
      </c>
      <c r="O32" s="113">
        <f>IF(O14=0,0,O14/TrRail_act!O20*1000)</f>
        <v>0</v>
      </c>
      <c r="P32" s="113">
        <f>IF(P14=0,0,P14/TrRail_act!P20*1000)</f>
        <v>0</v>
      </c>
      <c r="Q32" s="113">
        <f>IF(Q14=0,0,Q14/TrRail_act!Q20*1000)</f>
        <v>0</v>
      </c>
      <c r="R32" s="113">
        <f>IF(R14=0,0,R14/TrRail_act!R20*1000)</f>
        <v>0</v>
      </c>
      <c r="S32" s="113">
        <f>IF(S14=0,0,S14/TrRail_act!S20*1000)</f>
        <v>0</v>
      </c>
      <c r="T32" s="113">
        <f>IF(T14=0,0,T14/TrRail_act!T20*1000)</f>
        <v>0</v>
      </c>
      <c r="U32" s="113">
        <f>IF(U14=0,0,U14/TrRail_act!U20*1000)</f>
        <v>0</v>
      </c>
      <c r="V32" s="113">
        <f>IF(V14=0,0,V14/TrRail_act!V20*1000)</f>
        <v>0</v>
      </c>
      <c r="W32" s="113">
        <f>IF(W14=0,0,W14/TrRail_act!W20*1000)</f>
        <v>0</v>
      </c>
      <c r="DA32" s="204" t="s">
        <v>1149</v>
      </c>
    </row>
    <row r="33" spans="1:105" ht="11.45" customHeight="1" x14ac:dyDescent="0.25">
      <c r="A33" s="27" t="s">
        <v>34</v>
      </c>
      <c r="B33" s="28">
        <f>IF(B15=0,0,B15/TrRail_act!B21*1000)</f>
        <v>1075.3182772523339</v>
      </c>
      <c r="C33" s="28">
        <f>IF(C15=0,0,C15/TrRail_act!C21*1000)</f>
        <v>1091.5666518227431</v>
      </c>
      <c r="D33" s="28">
        <f>IF(D15=0,0,D15/TrRail_act!D21*1000)</f>
        <v>1112.8535486144008</v>
      </c>
      <c r="E33" s="28">
        <f>IF(E15=0,0,E15/TrRail_act!E21*1000)</f>
        <v>1130.6924164599404</v>
      </c>
      <c r="F33" s="28">
        <f>IF(F15=0,0,F15/TrRail_act!F21*1000)</f>
        <v>1128.0062404543144</v>
      </c>
      <c r="G33" s="28">
        <f>IF(G15=0,0,G15/TrRail_act!G21*1000)</f>
        <v>1160.6259336750418</v>
      </c>
      <c r="H33" s="28">
        <f>IF(H15=0,0,H15/TrRail_act!H21*1000)</f>
        <v>1224.1068247980104</v>
      </c>
      <c r="I33" s="28">
        <f>IF(I15=0,0,I15/TrRail_act!I21*1000)</f>
        <v>1170.4975770625813</v>
      </c>
      <c r="J33" s="28">
        <f>IF(J15=0,0,J15/TrRail_act!J21*1000)</f>
        <v>743.78752205006549</v>
      </c>
      <c r="K33" s="28">
        <f>IF(K15=0,0,K15/TrRail_act!K21*1000)</f>
        <v>684.13732584440675</v>
      </c>
      <c r="L33" s="28">
        <f>IF(L15=0,0,L15/TrRail_act!L21*1000)</f>
        <v>633.14609688196765</v>
      </c>
      <c r="M33" s="28">
        <f>IF(M15=0,0,M15/TrRail_act!M21*1000)</f>
        <v>505.36141397347433</v>
      </c>
      <c r="N33" s="28">
        <f>IF(N15=0,0,N15/TrRail_act!N21*1000)</f>
        <v>528.08228311275184</v>
      </c>
      <c r="O33" s="28">
        <f>IF(O15=0,0,O15/TrRail_act!O21*1000)</f>
        <v>457.80677596471406</v>
      </c>
      <c r="P33" s="28">
        <f>IF(P15=0,0,P15/TrRail_act!P21*1000)</f>
        <v>486.98839867090476</v>
      </c>
      <c r="Q33" s="28">
        <f>IF(Q15=0,0,Q15/TrRail_act!Q21*1000)</f>
        <v>371.29212948619454</v>
      </c>
      <c r="R33" s="28">
        <f>IF(R15=0,0,R15/TrRail_act!R21*1000)</f>
        <v>366.70616814838536</v>
      </c>
      <c r="S33" s="28">
        <f>IF(S15=0,0,S15/TrRail_act!S21*1000)</f>
        <v>393.00213718506245</v>
      </c>
      <c r="T33" s="28">
        <f>IF(T15=0,0,T15/TrRail_act!T21*1000)</f>
        <v>358.31726136462908</v>
      </c>
      <c r="U33" s="28">
        <f>IF(U15=0,0,U15/TrRail_act!U21*1000)</f>
        <v>362.28162065855287</v>
      </c>
      <c r="V33" s="28">
        <f>IF(V15=0,0,V15/TrRail_act!V21*1000)</f>
        <v>389.73725764513682</v>
      </c>
      <c r="W33" s="28">
        <f>IF(W15=0,0,W15/TrRail_act!W21*1000)</f>
        <v>402.12127215118142</v>
      </c>
      <c r="DA33" s="173" t="s">
        <v>1150</v>
      </c>
    </row>
    <row r="34" spans="1:105" ht="11.45" customHeight="1" x14ac:dyDescent="0.25">
      <c r="A34" s="83" t="s">
        <v>92</v>
      </c>
      <c r="B34" s="84">
        <f>IF(B16=0,0,B16/TrRail_act!B22*1000)</f>
        <v>19489.047601862534</v>
      </c>
      <c r="C34" s="84">
        <f>IF(C16=0,0,C16/TrRail_act!C22*1000)</f>
        <v>18290.572020768512</v>
      </c>
      <c r="D34" s="84">
        <f>IF(D16=0,0,D16/TrRail_act!D22*1000)</f>
        <v>16837.641281266548</v>
      </c>
      <c r="E34" s="84">
        <f>IF(E16=0,0,E16/TrRail_act!E22*1000)</f>
        <v>15994.326869018189</v>
      </c>
      <c r="F34" s="84">
        <f>IF(F16=0,0,F16/TrRail_act!F22*1000)</f>
        <v>15678.86171660841</v>
      </c>
      <c r="G34" s="84">
        <f>IF(G16=0,0,G16/TrRail_act!G22*1000)</f>
        <v>14963.544819897297</v>
      </c>
      <c r="H34" s="84">
        <f>IF(H16=0,0,H16/TrRail_act!H22*1000)</f>
        <v>14375.182115166717</v>
      </c>
      <c r="I34" s="84">
        <f>IF(I16=0,0,I16/TrRail_act!I22*1000)</f>
        <v>13533.331226346325</v>
      </c>
      <c r="J34" s="84">
        <f>IF(J16=0,0,J16/TrRail_act!J22*1000)</f>
        <v>13415.562408380139</v>
      </c>
      <c r="K34" s="84">
        <f>IF(K16=0,0,K16/TrRail_act!K22*1000)</f>
        <v>12909.225264524919</v>
      </c>
      <c r="L34" s="84">
        <f>IF(L16=0,0,L16/TrRail_act!L22*1000)</f>
        <v>12813.612933062919</v>
      </c>
      <c r="M34" s="84">
        <f>IF(M16=0,0,M16/TrRail_act!M22*1000)</f>
        <v>12477.615777733936</v>
      </c>
      <c r="N34" s="84">
        <f>IF(N16=0,0,N16/TrRail_act!N22*1000)</f>
        <v>12277.520333042779</v>
      </c>
      <c r="O34" s="84">
        <f>IF(O16=0,0,O16/TrRail_act!O22*1000)</f>
        <v>12064.48256802407</v>
      </c>
      <c r="P34" s="84">
        <f>IF(P16=0,0,P16/TrRail_act!P22*1000)</f>
        <v>11790.800868444008</v>
      </c>
      <c r="Q34" s="84">
        <f>IF(Q16=0,0,Q16/TrRail_act!Q22*1000)</f>
        <v>11295.580326248717</v>
      </c>
      <c r="R34" s="84">
        <f>IF(R16=0,0,R16/TrRail_act!R22*1000)</f>
        <v>11138.027920307306</v>
      </c>
      <c r="S34" s="84">
        <f>IF(S16=0,0,S16/TrRail_act!S22*1000)</f>
        <v>11028.578070192552</v>
      </c>
      <c r="T34" s="84">
        <f>IF(T16=0,0,T16/TrRail_act!T22*1000)</f>
        <v>10558.349317157885</v>
      </c>
      <c r="U34" s="84">
        <f>IF(U16=0,0,U16/TrRail_act!U22*1000)</f>
        <v>10559.157775935702</v>
      </c>
      <c r="V34" s="84">
        <f>IF(V16=0,0,V16/TrRail_act!V22*1000)</f>
        <v>10369.235076859952</v>
      </c>
      <c r="W34" s="84">
        <f>IF(W16=0,0,W16/TrRail_act!W22*1000)</f>
        <v>10270.010772081514</v>
      </c>
      <c r="DA34" s="171" t="s">
        <v>1151</v>
      </c>
    </row>
    <row r="35" spans="1:105" ht="11.45" customHeight="1" x14ac:dyDescent="0.25">
      <c r="A35" s="85" t="s">
        <v>93</v>
      </c>
      <c r="B35" s="86">
        <f>IF(B17=0,0,B17/TrRail_act!B23*1000)</f>
        <v>0</v>
      </c>
      <c r="C35" s="86">
        <f>IF(C17=0,0,C17/TrRail_act!C23*1000)</f>
        <v>0</v>
      </c>
      <c r="D35" s="86">
        <f>IF(D17=0,0,D17/TrRail_act!D23*1000)</f>
        <v>0</v>
      </c>
      <c r="E35" s="86">
        <f>IF(E17=0,0,E17/TrRail_act!E23*1000)</f>
        <v>0</v>
      </c>
      <c r="F35" s="86">
        <f>IF(F17=0,0,F17/TrRail_act!F23*1000)</f>
        <v>0</v>
      </c>
      <c r="G35" s="86">
        <f>IF(G17=0,0,G17/TrRail_act!G23*1000)</f>
        <v>0</v>
      </c>
      <c r="H35" s="86">
        <f>IF(H17=0,0,H17/TrRail_act!H23*1000)</f>
        <v>0</v>
      </c>
      <c r="I35" s="86">
        <f>IF(I17=0,0,I17/TrRail_act!I23*1000)</f>
        <v>0</v>
      </c>
      <c r="J35" s="86">
        <f>IF(J17=0,0,J17/TrRail_act!J23*1000)</f>
        <v>0</v>
      </c>
      <c r="K35" s="86">
        <f>IF(K17=0,0,K17/TrRail_act!K23*1000)</f>
        <v>0</v>
      </c>
      <c r="L35" s="86">
        <f>IF(L17=0,0,L17/TrRail_act!L23*1000)</f>
        <v>0</v>
      </c>
      <c r="M35" s="86">
        <f>IF(M17=0,0,M17/TrRail_act!M23*1000)</f>
        <v>0</v>
      </c>
      <c r="N35" s="86">
        <f>IF(N17=0,0,N17/TrRail_act!N23*1000)</f>
        <v>0</v>
      </c>
      <c r="O35" s="86">
        <f>IF(O17=0,0,O17/TrRail_act!O23*1000)</f>
        <v>0</v>
      </c>
      <c r="P35" s="86">
        <f>IF(P17=0,0,P17/TrRail_act!P23*1000)</f>
        <v>0</v>
      </c>
      <c r="Q35" s="86">
        <f>IF(Q17=0,0,Q17/TrRail_act!Q23*1000)</f>
        <v>0</v>
      </c>
      <c r="R35" s="86">
        <f>IF(R17=0,0,R17/TrRail_act!R23*1000)</f>
        <v>0</v>
      </c>
      <c r="S35" s="86">
        <f>IF(S17=0,0,S17/TrRail_act!S23*1000)</f>
        <v>0</v>
      </c>
      <c r="T35" s="86">
        <f>IF(T17=0,0,T17/TrRail_act!T23*1000)</f>
        <v>0</v>
      </c>
      <c r="U35" s="86">
        <f>IF(U17=0,0,U17/TrRail_act!U23*1000)</f>
        <v>0</v>
      </c>
      <c r="V35" s="86">
        <f>IF(V17=0,0,V17/TrRail_act!V23*1000)</f>
        <v>0</v>
      </c>
      <c r="W35" s="86">
        <f>IF(W17=0,0,W17/TrRail_act!W23*1000)</f>
        <v>0</v>
      </c>
      <c r="DA35" s="178" t="s">
        <v>1152</v>
      </c>
    </row>
    <row r="36" spans="1:105" x14ac:dyDescent="0.25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DA36" s="171"/>
    </row>
    <row r="37" spans="1:105" ht="11.45" customHeight="1" x14ac:dyDescent="0.25">
      <c r="A37" s="53" t="s">
        <v>71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DA37" s="172"/>
    </row>
    <row r="38" spans="1:105" ht="11.45" customHeight="1" x14ac:dyDescent="0.25">
      <c r="A38" s="27" t="s">
        <v>164</v>
      </c>
      <c r="B38" s="29">
        <f>IF(B9=0,0,B9/TrRail_act!B4*1000)</f>
        <v>6.6605330483564611</v>
      </c>
      <c r="C38" s="29">
        <f>IF(C9=0,0,C9/TrRail_act!C4*1000)</f>
        <v>6.6269472810339298</v>
      </c>
      <c r="D38" s="29">
        <f>IF(D9=0,0,D9/TrRail_act!D4*1000)</f>
        <v>6.6878884861506602</v>
      </c>
      <c r="E38" s="29">
        <f>IF(E9=0,0,E9/TrRail_act!E4*1000)</f>
        <v>7.1264383600577306</v>
      </c>
      <c r="F38" s="29">
        <f>IF(F9=0,0,F9/TrRail_act!F4*1000)</f>
        <v>7.2249427576721894</v>
      </c>
      <c r="G38" s="29">
        <f>IF(G9=0,0,G9/TrRail_act!G4*1000)</f>
        <v>7.6859117215814932</v>
      </c>
      <c r="H38" s="29">
        <f>IF(H9=0,0,H9/TrRail_act!H4*1000)</f>
        <v>7.0502557997945834</v>
      </c>
      <c r="I38" s="29">
        <f>IF(I9=0,0,I9/TrRail_act!I4*1000)</f>
        <v>6.843419607848559</v>
      </c>
      <c r="J38" s="29">
        <f>IF(J9=0,0,J9/TrRail_act!J4*1000)</f>
        <v>7.4197644980529063</v>
      </c>
      <c r="K38" s="29">
        <f>IF(K9=0,0,K9/TrRail_act!K4*1000)</f>
        <v>7.7422296311164009</v>
      </c>
      <c r="L38" s="29">
        <f>IF(L9=0,0,L9/TrRail_act!L4*1000)</f>
        <v>7.4052413531439827</v>
      </c>
      <c r="M38" s="29">
        <f>IF(M9=0,0,M9/TrRail_act!M4*1000)</f>
        <v>6.0042453802752913</v>
      </c>
      <c r="N38" s="29">
        <f>IF(N9=0,0,N9/TrRail_act!N4*1000)</f>
        <v>6.079475567454331</v>
      </c>
      <c r="O38" s="29">
        <f>IF(O9=0,0,O9/TrRail_act!O4*1000)</f>
        <v>4.9719935034242022</v>
      </c>
      <c r="P38" s="29">
        <f>IF(P9=0,0,P9/TrRail_act!P4*1000)</f>
        <v>5.453116048225505</v>
      </c>
      <c r="Q38" s="29">
        <f>IF(Q9=0,0,Q9/TrRail_act!Q4*1000)</f>
        <v>4.0735236032066879</v>
      </c>
      <c r="R38" s="29">
        <f>IF(R9=0,0,R9/TrRail_act!R4*1000)</f>
        <v>4.025174060280043</v>
      </c>
      <c r="S38" s="29">
        <f>IF(S9=0,0,S9/TrRail_act!S4*1000)</f>
        <v>4.3573675051437935</v>
      </c>
      <c r="T38" s="29">
        <f>IF(T9=0,0,T9/TrRail_act!T4*1000)</f>
        <v>4.0649791842147938</v>
      </c>
      <c r="U38" s="29">
        <f>IF(U9=0,0,U9/TrRail_act!U4*1000)</f>
        <v>3.9686811414350296</v>
      </c>
      <c r="V38" s="29">
        <f>IF(V9=0,0,V9/TrRail_act!V4*1000)</f>
        <v>4.939346073433887</v>
      </c>
      <c r="W38" s="29">
        <f>IF(W9=0,0,W9/TrRail_act!W4*1000)</f>
        <v>4.509420297425077</v>
      </c>
      <c r="DA38" s="173" t="s">
        <v>439</v>
      </c>
    </row>
    <row r="39" spans="1:105" ht="11.45" customHeight="1" x14ac:dyDescent="0.25">
      <c r="A39" s="107" t="s">
        <v>23</v>
      </c>
      <c r="B39" s="115">
        <f>IF(B10=0,0,B10/TrRail_act!B5*1000)</f>
        <v>0</v>
      </c>
      <c r="C39" s="115">
        <f>IF(C10=0,0,C10/TrRail_act!C5*1000)</f>
        <v>0</v>
      </c>
      <c r="D39" s="115">
        <f>IF(D10=0,0,D10/TrRail_act!D5*1000)</f>
        <v>0</v>
      </c>
      <c r="E39" s="115">
        <f>IF(E10=0,0,E10/TrRail_act!E5*1000)</f>
        <v>0</v>
      </c>
      <c r="F39" s="115">
        <f>IF(F10=0,0,F10/TrRail_act!F5*1000)</f>
        <v>0</v>
      </c>
      <c r="G39" s="115">
        <f>IF(G10=0,0,G10/TrRail_act!G5*1000)</f>
        <v>0</v>
      </c>
      <c r="H39" s="115">
        <f>IF(H10=0,0,H10/TrRail_act!H5*1000)</f>
        <v>0</v>
      </c>
      <c r="I39" s="115">
        <f>IF(I10=0,0,I10/TrRail_act!I5*1000)</f>
        <v>0</v>
      </c>
      <c r="J39" s="115">
        <f>IF(J10=0,0,J10/TrRail_act!J5*1000)</f>
        <v>0</v>
      </c>
      <c r="K39" s="115">
        <f>IF(K10=0,0,K10/TrRail_act!K5*1000)</f>
        <v>0</v>
      </c>
      <c r="L39" s="115">
        <f>IF(L10=0,0,L10/TrRail_act!L5*1000)</f>
        <v>0</v>
      </c>
      <c r="M39" s="115">
        <f>IF(M10=0,0,M10/TrRail_act!M5*1000)</f>
        <v>0</v>
      </c>
      <c r="N39" s="115">
        <f>IF(N10=0,0,N10/TrRail_act!N5*1000)</f>
        <v>0</v>
      </c>
      <c r="O39" s="115">
        <f>IF(O10=0,0,O10/TrRail_act!O5*1000)</f>
        <v>0</v>
      </c>
      <c r="P39" s="115">
        <f>IF(P10=0,0,P10/TrRail_act!P5*1000)</f>
        <v>0</v>
      </c>
      <c r="Q39" s="115">
        <f>IF(Q10=0,0,Q10/TrRail_act!Q5*1000)</f>
        <v>0</v>
      </c>
      <c r="R39" s="115">
        <f>IF(R10=0,0,R10/TrRail_act!R5*1000)</f>
        <v>0</v>
      </c>
      <c r="S39" s="115">
        <f>IF(S10=0,0,S10/TrRail_act!S5*1000)</f>
        <v>0</v>
      </c>
      <c r="T39" s="115">
        <f>IF(T10=0,0,T10/TrRail_act!T5*1000)</f>
        <v>0</v>
      </c>
      <c r="U39" s="115">
        <f>IF(U10=0,0,U10/TrRail_act!U5*1000)</f>
        <v>0</v>
      </c>
      <c r="V39" s="115">
        <f>IF(V10=0,0,V10/TrRail_act!V5*1000)</f>
        <v>0</v>
      </c>
      <c r="W39" s="115">
        <f>IF(W10=0,0,W10/TrRail_act!W5*1000)</f>
        <v>0</v>
      </c>
      <c r="DA39" s="203" t="s">
        <v>440</v>
      </c>
    </row>
    <row r="40" spans="1:105" ht="11.45" customHeight="1" x14ac:dyDescent="0.25">
      <c r="A40" s="109" t="s">
        <v>24</v>
      </c>
      <c r="B40" s="116">
        <f>IF(B11=0,0,B11/TrRail_act!B6*1000)</f>
        <v>11.202857024914785</v>
      </c>
      <c r="C40" s="116">
        <f>IF(C11=0,0,C11/TrRail_act!C6*1000)</f>
        <v>11.207330647829503</v>
      </c>
      <c r="D40" s="116">
        <f>IF(D11=0,0,D11/TrRail_act!D6*1000)</f>
        <v>11.356994694583642</v>
      </c>
      <c r="E40" s="116">
        <f>IF(E11=0,0,E11/TrRail_act!E6*1000)</f>
        <v>12.258518438187483</v>
      </c>
      <c r="F40" s="116">
        <f>IF(F11=0,0,F11/TrRail_act!F6*1000)</f>
        <v>12.762404379699754</v>
      </c>
      <c r="G40" s="116">
        <f>IF(G11=0,0,G11/TrRail_act!G6*1000)</f>
        <v>13.382648469103906</v>
      </c>
      <c r="H40" s="116">
        <f>IF(H11=0,0,H11/TrRail_act!H6*1000)</f>
        <v>12.221546637222708</v>
      </c>
      <c r="I40" s="116">
        <f>IF(I11=0,0,I11/TrRail_act!I6*1000)</f>
        <v>11.79239088494313</v>
      </c>
      <c r="J40" s="116">
        <f>IF(J11=0,0,J11/TrRail_act!J6*1000)</f>
        <v>12.234295025351559</v>
      </c>
      <c r="K40" s="116">
        <f>IF(K11=0,0,K11/TrRail_act!K6*1000)</f>
        <v>12.928649902775977</v>
      </c>
      <c r="L40" s="116">
        <f>IF(L11=0,0,L11/TrRail_act!L6*1000)</f>
        <v>12.397495171218603</v>
      </c>
      <c r="M40" s="116">
        <f>IF(M11=0,0,M11/TrRail_act!M6*1000)</f>
        <v>9.9125687134857596</v>
      </c>
      <c r="N40" s="116">
        <f>IF(N11=0,0,N11/TrRail_act!N6*1000)</f>
        <v>9.9365593208144176</v>
      </c>
      <c r="O40" s="116">
        <f>IF(O11=0,0,O11/TrRail_act!O6*1000)</f>
        <v>8.0089329579268291</v>
      </c>
      <c r="P40" s="116">
        <f>IF(P11=0,0,P11/TrRail_act!P6*1000)</f>
        <v>8.6437229890654379</v>
      </c>
      <c r="Q40" s="116">
        <f>IF(Q11=0,0,Q11/TrRail_act!Q6*1000)</f>
        <v>6.4905941280063413</v>
      </c>
      <c r="R40" s="116">
        <f>IF(R11=0,0,R11/TrRail_act!R6*1000)</f>
        <v>6.3395059087114563</v>
      </c>
      <c r="S40" s="116">
        <f>IF(S11=0,0,S11/TrRail_act!S6*1000)</f>
        <v>6.8510082466243469</v>
      </c>
      <c r="T40" s="116">
        <f>IF(T11=0,0,T11/TrRail_act!T6*1000)</f>
        <v>6.2929280105469401</v>
      </c>
      <c r="U40" s="116">
        <f>IF(U11=0,0,U11/TrRail_act!U6*1000)</f>
        <v>6.1755337924488183</v>
      </c>
      <c r="V40" s="116">
        <f>IF(V11=0,0,V11/TrRail_act!V6*1000)</f>
        <v>8.8874742229786694</v>
      </c>
      <c r="W40" s="116">
        <f>IF(W11=0,0,W11/TrRail_act!W6*1000)</f>
        <v>7.8403644073369181</v>
      </c>
      <c r="DA40" s="176" t="s">
        <v>441</v>
      </c>
    </row>
    <row r="41" spans="1:105" ht="11.45" customHeight="1" x14ac:dyDescent="0.25">
      <c r="A41" s="111" t="s">
        <v>92</v>
      </c>
      <c r="B41" s="87">
        <f>IF(B12=0,0,B12/TrRail_act!B7*1000)</f>
        <v>97.760609384150115</v>
      </c>
      <c r="C41" s="87">
        <f>IF(C12=0,0,C12/TrRail_act!C7*1000)</f>
        <v>93.369854689343313</v>
      </c>
      <c r="D41" s="87">
        <f>IF(D12=0,0,D12/TrRail_act!D7*1000)</f>
        <v>88.647124436544885</v>
      </c>
      <c r="E41" s="87">
        <f>IF(E12=0,0,E12/TrRail_act!E7*1000)</f>
        <v>88.141246009125354</v>
      </c>
      <c r="F41" s="87">
        <f>IF(F12=0,0,F12/TrRail_act!F7*1000)</f>
        <v>86.921832448692797</v>
      </c>
      <c r="G41" s="87">
        <f>IF(G12=0,0,G12/TrRail_act!G7*1000)</f>
        <v>82.026082248088841</v>
      </c>
      <c r="H41" s="87">
        <f>IF(H12=0,0,H12/TrRail_act!H7*1000)</f>
        <v>76.362693388040014</v>
      </c>
      <c r="I41" s="87">
        <f>IF(I12=0,0,I12/TrRail_act!I7*1000)</f>
        <v>72.48127985067056</v>
      </c>
      <c r="J41" s="87">
        <f>IF(J12=0,0,J12/TrRail_act!J7*1000)</f>
        <v>64.245456111522188</v>
      </c>
      <c r="K41" s="87">
        <f>IF(K12=0,0,K12/TrRail_act!K7*1000)</f>
        <v>67.593005950322862</v>
      </c>
      <c r="L41" s="87">
        <f>IF(L12=0,0,L12/TrRail_act!L7*1000)</f>
        <v>67.529987338224487</v>
      </c>
      <c r="M41" s="87">
        <f>IF(M12=0,0,M12/TrRail_act!M7*1000)</f>
        <v>60.196461979430211</v>
      </c>
      <c r="N41" s="87">
        <f>IF(N12=0,0,N12/TrRail_act!N7*1000)</f>
        <v>56.597726214929096</v>
      </c>
      <c r="O41" s="87">
        <f>IF(O12=0,0,O12/TrRail_act!O7*1000)</f>
        <v>51.68332815004073</v>
      </c>
      <c r="P41" s="87">
        <f>IF(P12=0,0,P12/TrRail_act!P7*1000)</f>
        <v>52.95352354030134</v>
      </c>
      <c r="Q41" s="87">
        <f>IF(Q12=0,0,Q12/TrRail_act!Q7*1000)</f>
        <v>49.848914168026468</v>
      </c>
      <c r="R41" s="87">
        <f>IF(R12=0,0,R12/TrRail_act!R7*1000)</f>
        <v>48.905001230703434</v>
      </c>
      <c r="S41" s="87">
        <f>IF(S12=0,0,S12/TrRail_act!S7*1000)</f>
        <v>50.046659072371803</v>
      </c>
      <c r="T41" s="87">
        <f>IF(T12=0,0,T12/TrRail_act!T7*1000)</f>
        <v>47.514326060260274</v>
      </c>
      <c r="U41" s="87">
        <f>IF(U12=0,0,U12/TrRail_act!U7*1000)</f>
        <v>46.547511925815549</v>
      </c>
      <c r="V41" s="87">
        <f>IF(V12=0,0,V12/TrRail_act!V7*1000)</f>
        <v>65.410587475987356</v>
      </c>
      <c r="W41" s="87">
        <f>IF(W12=0,0,W12/TrRail_act!W7*1000)</f>
        <v>60.542921207069504</v>
      </c>
      <c r="DA41" s="171" t="s">
        <v>1153</v>
      </c>
    </row>
    <row r="42" spans="1:105" ht="11.45" customHeight="1" x14ac:dyDescent="0.25">
      <c r="A42" s="111" t="s">
        <v>93</v>
      </c>
      <c r="B42" s="87">
        <f>IF(B13=0,0,B13/TrRail_act!B8*1000)</f>
        <v>0</v>
      </c>
      <c r="C42" s="87">
        <f>IF(C13=0,0,C13/TrRail_act!C8*1000)</f>
        <v>0</v>
      </c>
      <c r="D42" s="87">
        <f>IF(D13=0,0,D13/TrRail_act!D8*1000)</f>
        <v>0</v>
      </c>
      <c r="E42" s="87">
        <f>IF(E13=0,0,E13/TrRail_act!E8*1000)</f>
        <v>0</v>
      </c>
      <c r="F42" s="87">
        <f>IF(F13=0,0,F13/TrRail_act!F8*1000)</f>
        <v>0</v>
      </c>
      <c r="G42" s="87">
        <f>IF(G13=0,0,G13/TrRail_act!G8*1000)</f>
        <v>0</v>
      </c>
      <c r="H42" s="87">
        <f>IF(H13=0,0,H13/TrRail_act!H8*1000)</f>
        <v>0</v>
      </c>
      <c r="I42" s="87">
        <f>IF(I13=0,0,I13/TrRail_act!I8*1000)</f>
        <v>0</v>
      </c>
      <c r="J42" s="87">
        <f>IF(J13=0,0,J13/TrRail_act!J8*1000)</f>
        <v>0</v>
      </c>
      <c r="K42" s="87">
        <f>IF(K13=0,0,K13/TrRail_act!K8*1000)</f>
        <v>0</v>
      </c>
      <c r="L42" s="87">
        <f>IF(L13=0,0,L13/TrRail_act!L8*1000)</f>
        <v>0</v>
      </c>
      <c r="M42" s="87">
        <f>IF(M13=0,0,M13/TrRail_act!M8*1000)</f>
        <v>0</v>
      </c>
      <c r="N42" s="87">
        <f>IF(N13=0,0,N13/TrRail_act!N8*1000)</f>
        <v>0</v>
      </c>
      <c r="O42" s="87">
        <f>IF(O13=0,0,O13/TrRail_act!O8*1000)</f>
        <v>0</v>
      </c>
      <c r="P42" s="87">
        <f>IF(P13=0,0,P13/TrRail_act!P8*1000)</f>
        <v>0</v>
      </c>
      <c r="Q42" s="87">
        <f>IF(Q13=0,0,Q13/TrRail_act!Q8*1000)</f>
        <v>0</v>
      </c>
      <c r="R42" s="87">
        <f>IF(R13=0,0,R13/TrRail_act!R8*1000)</f>
        <v>0</v>
      </c>
      <c r="S42" s="87">
        <f>IF(S13=0,0,S13/TrRail_act!S8*1000)</f>
        <v>0</v>
      </c>
      <c r="T42" s="87">
        <f>IF(T13=0,0,T13/TrRail_act!T8*1000)</f>
        <v>0</v>
      </c>
      <c r="U42" s="87">
        <f>IF(U13=0,0,U13/TrRail_act!U8*1000)</f>
        <v>0</v>
      </c>
      <c r="V42" s="87">
        <f>IF(V13=0,0,V13/TrRail_act!V8*1000)</f>
        <v>0</v>
      </c>
      <c r="W42" s="87">
        <f>IF(W13=0,0,W13/TrRail_act!W8*1000)</f>
        <v>0</v>
      </c>
      <c r="DA42" s="171" t="s">
        <v>1154</v>
      </c>
    </row>
    <row r="43" spans="1:105" ht="11.45" customHeight="1" x14ac:dyDescent="0.25">
      <c r="A43" s="112" t="s">
        <v>25</v>
      </c>
      <c r="B43" s="117">
        <f>IF(B14=0,0,B14/TrRail_act!B9*1000)</f>
        <v>0</v>
      </c>
      <c r="C43" s="117">
        <f>IF(C14=0,0,C14/TrRail_act!C9*1000)</f>
        <v>0</v>
      </c>
      <c r="D43" s="117">
        <f>IF(D14=0,0,D14/TrRail_act!D9*1000)</f>
        <v>0</v>
      </c>
      <c r="E43" s="117">
        <f>IF(E14=0,0,E14/TrRail_act!E9*1000)</f>
        <v>0</v>
      </c>
      <c r="F43" s="117">
        <f>IF(F14=0,0,F14/TrRail_act!F9*1000)</f>
        <v>0</v>
      </c>
      <c r="G43" s="117">
        <f>IF(G14=0,0,G14/TrRail_act!G9*1000)</f>
        <v>0</v>
      </c>
      <c r="H43" s="117">
        <f>IF(H14=0,0,H14/TrRail_act!H9*1000)</f>
        <v>0</v>
      </c>
      <c r="I43" s="117">
        <f>IF(I14=0,0,I14/TrRail_act!I9*1000)</f>
        <v>0</v>
      </c>
      <c r="J43" s="117">
        <f>IF(J14=0,0,J14/TrRail_act!J9*1000)</f>
        <v>0</v>
      </c>
      <c r="K43" s="117">
        <f>IF(K14=0,0,K14/TrRail_act!K9*1000)</f>
        <v>0</v>
      </c>
      <c r="L43" s="117">
        <f>IF(L14=0,0,L14/TrRail_act!L9*1000)</f>
        <v>0</v>
      </c>
      <c r="M43" s="117">
        <f>IF(M14=0,0,M14/TrRail_act!M9*1000)</f>
        <v>0</v>
      </c>
      <c r="N43" s="117">
        <f>IF(N14=0,0,N14/TrRail_act!N9*1000)</f>
        <v>0</v>
      </c>
      <c r="O43" s="117">
        <f>IF(O14=0,0,O14/TrRail_act!O9*1000)</f>
        <v>0</v>
      </c>
      <c r="P43" s="117">
        <f>IF(P14=0,0,P14/TrRail_act!P9*1000)</f>
        <v>0</v>
      </c>
      <c r="Q43" s="117">
        <f>IF(Q14=0,0,Q14/TrRail_act!Q9*1000)</f>
        <v>0</v>
      </c>
      <c r="R43" s="117">
        <f>IF(R14=0,0,R14/TrRail_act!R9*1000)</f>
        <v>0</v>
      </c>
      <c r="S43" s="117">
        <f>IF(S14=0,0,S14/TrRail_act!S9*1000)</f>
        <v>0</v>
      </c>
      <c r="T43" s="117">
        <f>IF(T14=0,0,T14/TrRail_act!T9*1000)</f>
        <v>0</v>
      </c>
      <c r="U43" s="117">
        <f>IF(U14=0,0,U14/TrRail_act!U9*1000)</f>
        <v>0</v>
      </c>
      <c r="V43" s="117">
        <f>IF(V14=0,0,V14/TrRail_act!V9*1000)</f>
        <v>0</v>
      </c>
      <c r="W43" s="117">
        <f>IF(W14=0,0,W14/TrRail_act!W9*1000)</f>
        <v>0</v>
      </c>
      <c r="DA43" s="204" t="s">
        <v>442</v>
      </c>
    </row>
    <row r="44" spans="1:105" ht="11.45" customHeight="1" x14ac:dyDescent="0.25">
      <c r="A44" s="27" t="s">
        <v>163</v>
      </c>
      <c r="B44" s="29">
        <f>IF(B15=0,0,B15/TrRail_act!B10*1000)</f>
        <v>2.4778470156551289</v>
      </c>
      <c r="C44" s="29">
        <f>IF(C15=0,0,C15/TrRail_act!C10*1000)</f>
        <v>2.4185463837268184</v>
      </c>
      <c r="D44" s="29">
        <f>IF(D15=0,0,D15/TrRail_act!D10*1000)</f>
        <v>2.4657110458612976</v>
      </c>
      <c r="E44" s="29">
        <f>IF(E15=0,0,E15/TrRail_act!E10*1000)</f>
        <v>2.5052360267647438</v>
      </c>
      <c r="F44" s="29">
        <f>IF(F15=0,0,F15/TrRail_act!F10*1000)</f>
        <v>2.4992843483693661</v>
      </c>
      <c r="G44" s="29">
        <f>IF(G15=0,0,G15/TrRail_act!G10*1000)</f>
        <v>2.5081490460470435</v>
      </c>
      <c r="H44" s="29">
        <f>IF(H15=0,0,H15/TrRail_act!H10*1000)</f>
        <v>2.517694742421142</v>
      </c>
      <c r="I44" s="29">
        <f>IF(I15=0,0,I15/TrRail_act!I10*1000)</f>
        <v>2.4602396668350597</v>
      </c>
      <c r="J44" s="29">
        <f>IF(J15=0,0,J15/TrRail_act!J10*1000)</f>
        <v>1.533082403023357</v>
      </c>
      <c r="K44" s="29">
        <f>IF(K15=0,0,K15/TrRail_act!K10*1000)</f>
        <v>1.4642252330984957</v>
      </c>
      <c r="L44" s="29">
        <f>IF(L15=0,0,L15/TrRail_act!L10*1000)</f>
        <v>1.3152095955580716</v>
      </c>
      <c r="M44" s="29">
        <f>IF(M15=0,0,M15/TrRail_act!M10*1000)</f>
        <v>1.0878999488880299</v>
      </c>
      <c r="N44" s="29">
        <f>IF(N15=0,0,N15/TrRail_act!N10*1000)</f>
        <v>1.0983035360586888</v>
      </c>
      <c r="O44" s="29">
        <f>IF(O15=0,0,O15/TrRail_act!O10*1000)</f>
        <v>0.99262750560806889</v>
      </c>
      <c r="P44" s="29">
        <f>IF(P15=0,0,P15/TrRail_act!P10*1000)</f>
        <v>0.96071344349712007</v>
      </c>
      <c r="Q44" s="29">
        <f>IF(Q15=0,0,Q15/TrRail_act!Q10*1000)</f>
        <v>0.74704350374835427</v>
      </c>
      <c r="R44" s="29">
        <f>IF(R15=0,0,R15/TrRail_act!R10*1000)</f>
        <v>0.71664544515556694</v>
      </c>
      <c r="S44" s="29">
        <f>IF(S15=0,0,S15/TrRail_act!S10*1000)</f>
        <v>0.75897021550684474</v>
      </c>
      <c r="T44" s="29">
        <f>IF(T15=0,0,T15/TrRail_act!T10*1000)</f>
        <v>0.71714945275782127</v>
      </c>
      <c r="U44" s="29">
        <f>IF(U15=0,0,U15/TrRail_act!U10*1000)</f>
        <v>0.75881006957837904</v>
      </c>
      <c r="V44" s="29">
        <f>IF(V15=0,0,V15/TrRail_act!V10*1000)</f>
        <v>1.0196111990033085</v>
      </c>
      <c r="W44" s="29">
        <f>IF(W15=0,0,W15/TrRail_act!W10*1000)</f>
        <v>0.94371615852342705</v>
      </c>
      <c r="DA44" s="173" t="s">
        <v>447</v>
      </c>
    </row>
    <row r="45" spans="1:105" ht="11.45" customHeight="1" x14ac:dyDescent="0.25">
      <c r="A45" s="83" t="s">
        <v>92</v>
      </c>
      <c r="B45" s="87">
        <f>IF(B16=0,0,B16/TrRail_act!B11*1000)</f>
        <v>42.752231249802158</v>
      </c>
      <c r="C45" s="87">
        <f>IF(C16=0,0,C16/TrRail_act!C11*1000)</f>
        <v>40.131651614822644</v>
      </c>
      <c r="D45" s="87">
        <f>IF(D16=0,0,D16/TrRail_act!D11*1000)</f>
        <v>38.562954837450086</v>
      </c>
      <c r="E45" s="87">
        <f>IF(E16=0,0,E16/TrRail_act!E11*1000)</f>
        <v>36.64634711920705</v>
      </c>
      <c r="F45" s="87">
        <f>IF(F16=0,0,F16/TrRail_act!F11*1000)</f>
        <v>35.927500524813688</v>
      </c>
      <c r="G45" s="87">
        <f>IF(G16=0,0,G16/TrRail_act!G11*1000)</f>
        <v>32.297476775131571</v>
      </c>
      <c r="H45" s="87">
        <f>IF(H16=0,0,H16/TrRail_act!H11*1000)</f>
        <v>32.48305450501303</v>
      </c>
      <c r="I45" s="87">
        <f>IF(I16=0,0,I16/TrRail_act!I11*1000)</f>
        <v>31.254989629083497</v>
      </c>
      <c r="J45" s="87">
        <f>IF(J16=0,0,J16/TrRail_act!J11*1000)</f>
        <v>21.686346140514946</v>
      </c>
      <c r="K45" s="87">
        <f>IF(K16=0,0,K16/TrRail_act!K11*1000)</f>
        <v>20.226900912234075</v>
      </c>
      <c r="L45" s="87">
        <f>IF(L16=0,0,L16/TrRail_act!L11*1000)</f>
        <v>19.132017102829504</v>
      </c>
      <c r="M45" s="87">
        <f>IF(M16=0,0,M16/TrRail_act!M11*1000)</f>
        <v>17.541045454233757</v>
      </c>
      <c r="N45" s="87">
        <f>IF(N16=0,0,N16/TrRail_act!N11*1000)</f>
        <v>16.68089329531648</v>
      </c>
      <c r="O45" s="87">
        <f>IF(O16=0,0,O16/TrRail_act!O11*1000)</f>
        <v>17.076324846766596</v>
      </c>
      <c r="P45" s="87">
        <f>IF(P16=0,0,P16/TrRail_act!P11*1000)</f>
        <v>15.191473186051322</v>
      </c>
      <c r="Q45" s="87">
        <f>IF(Q16=0,0,Q16/TrRail_act!Q11*1000)</f>
        <v>14.825518973754413</v>
      </c>
      <c r="R45" s="87">
        <f>IF(R16=0,0,R16/TrRail_act!R11*1000)</f>
        <v>14.2004955547636</v>
      </c>
      <c r="S45" s="87">
        <f>IF(S16=0,0,S16/TrRail_act!S11*1000)</f>
        <v>14.127526514060989</v>
      </c>
      <c r="T45" s="87">
        <f>IF(T16=0,0,T16/TrRail_act!T11*1000)</f>
        <v>13.804049920405255</v>
      </c>
      <c r="U45" s="87">
        <f>IF(U16=0,0,U16/TrRail_act!U11*1000)</f>
        <v>14.405100712576724</v>
      </c>
      <c r="V45" s="87">
        <f>IF(V16=0,0,V16/TrRail_act!V11*1000)</f>
        <v>14.84036454098573</v>
      </c>
      <c r="W45" s="87">
        <f>IF(W16=0,0,W16/TrRail_act!W11*1000)</f>
        <v>14.578072291496834</v>
      </c>
      <c r="DA45" s="171" t="s">
        <v>1155</v>
      </c>
    </row>
    <row r="46" spans="1:105" ht="11.45" customHeight="1" x14ac:dyDescent="0.25">
      <c r="A46" s="85" t="s">
        <v>93</v>
      </c>
      <c r="B46" s="88">
        <f>IF(B17=0,0,B17/TrRail_act!B12*1000)</f>
        <v>0</v>
      </c>
      <c r="C46" s="88">
        <f>IF(C17=0,0,C17/TrRail_act!C12*1000)</f>
        <v>0</v>
      </c>
      <c r="D46" s="88">
        <f>IF(D17=0,0,D17/TrRail_act!D12*1000)</f>
        <v>0</v>
      </c>
      <c r="E46" s="88">
        <f>IF(E17=0,0,E17/TrRail_act!E12*1000)</f>
        <v>0</v>
      </c>
      <c r="F46" s="88">
        <f>IF(F17=0,0,F17/TrRail_act!F12*1000)</f>
        <v>0</v>
      </c>
      <c r="G46" s="88">
        <f>IF(G17=0,0,G17/TrRail_act!G12*1000)</f>
        <v>0</v>
      </c>
      <c r="H46" s="88">
        <f>IF(H17=0,0,H17/TrRail_act!H12*1000)</f>
        <v>0</v>
      </c>
      <c r="I46" s="88">
        <f>IF(I17=0,0,I17/TrRail_act!I12*1000)</f>
        <v>0</v>
      </c>
      <c r="J46" s="88">
        <f>IF(J17=0,0,J17/TrRail_act!J12*1000)</f>
        <v>0</v>
      </c>
      <c r="K46" s="88">
        <f>IF(K17=0,0,K17/TrRail_act!K12*1000)</f>
        <v>0</v>
      </c>
      <c r="L46" s="88">
        <f>IF(L17=0,0,L17/TrRail_act!L12*1000)</f>
        <v>0</v>
      </c>
      <c r="M46" s="88">
        <f>IF(M17=0,0,M17/TrRail_act!M12*1000)</f>
        <v>0</v>
      </c>
      <c r="N46" s="88">
        <f>IF(N17=0,0,N17/TrRail_act!N12*1000)</f>
        <v>0</v>
      </c>
      <c r="O46" s="88">
        <f>IF(O17=0,0,O17/TrRail_act!O12*1000)</f>
        <v>0</v>
      </c>
      <c r="P46" s="88">
        <f>IF(P17=0,0,P17/TrRail_act!P12*1000)</f>
        <v>0</v>
      </c>
      <c r="Q46" s="88">
        <f>IF(Q17=0,0,Q17/TrRail_act!Q12*1000)</f>
        <v>0</v>
      </c>
      <c r="R46" s="88">
        <f>IF(R17=0,0,R17/TrRail_act!R12*1000)</f>
        <v>0</v>
      </c>
      <c r="S46" s="88">
        <f>IF(S17=0,0,S17/TrRail_act!S12*1000)</f>
        <v>0</v>
      </c>
      <c r="T46" s="88">
        <f>IF(T17=0,0,T17/TrRail_act!T12*1000)</f>
        <v>0</v>
      </c>
      <c r="U46" s="88">
        <f>IF(U17=0,0,U17/TrRail_act!U12*1000)</f>
        <v>0</v>
      </c>
      <c r="V46" s="88">
        <f>IF(V17=0,0,V17/TrRail_act!V12*1000)</f>
        <v>0</v>
      </c>
      <c r="W46" s="88">
        <f>IF(W17=0,0,W17/TrRail_act!W12*1000)</f>
        <v>0</v>
      </c>
      <c r="DA46" s="178" t="s">
        <v>1156</v>
      </c>
    </row>
    <row r="47" spans="1:105" x14ac:dyDescent="0.25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DA47" s="171"/>
    </row>
    <row r="48" spans="1:105" ht="11.45" customHeight="1" x14ac:dyDescent="0.25">
      <c r="A48" s="53" t="s">
        <v>94</v>
      </c>
      <c r="B48" s="62">
        <f>IF(B8=0,0,1000000*B8/TrRail_act!B25/1000)</f>
        <v>93.815929792491488</v>
      </c>
      <c r="C48" s="62">
        <f>IF(C8=0,0,1000000*C8/TrRail_act!C25/1000)</f>
        <v>96.05137292971159</v>
      </c>
      <c r="D48" s="62">
        <f>IF(D8=0,0,1000000*D8/TrRail_act!D25/1000)</f>
        <v>98.573322399801413</v>
      </c>
      <c r="E48" s="62">
        <f>IF(E8=0,0,1000000*E8/TrRail_act!E25/1000)</f>
        <v>102.25549813873886</v>
      </c>
      <c r="F48" s="62">
        <f>IF(F8=0,0,1000000*F8/TrRail_act!F25/1000)</f>
        <v>103.50451821800212</v>
      </c>
      <c r="G48" s="62">
        <f>IF(G8=0,0,1000000*G8/TrRail_act!G25/1000)</f>
        <v>112.28023727306019</v>
      </c>
      <c r="H48" s="62">
        <f>IF(H8=0,0,1000000*H8/TrRail_act!H25/1000)</f>
        <v>107.26566183070247</v>
      </c>
      <c r="I48" s="62">
        <f>IF(I8=0,0,1000000*I8/TrRail_act!I25/1000)</f>
        <v>104.42153616181123</v>
      </c>
      <c r="J48" s="62">
        <f>IF(J8=0,0,1000000*J8/TrRail_act!J25/1000)</f>
        <v>100.36840918606289</v>
      </c>
      <c r="K48" s="62">
        <f>IF(K8=0,0,1000000*K8/TrRail_act!K25/1000)</f>
        <v>96.245076460304062</v>
      </c>
      <c r="L48" s="62">
        <f>IF(L8=0,0,1000000*L8/TrRail_act!L25/1000)</f>
        <v>92.403104519519488</v>
      </c>
      <c r="M48" s="62">
        <f>IF(M8=0,0,1000000*M8/TrRail_act!M25/1000)</f>
        <v>79.2055290695221</v>
      </c>
      <c r="N48" s="62">
        <f>IF(N8=0,0,1000000*N8/TrRail_act!N25/1000)</f>
        <v>82.272068683484079</v>
      </c>
      <c r="O48" s="62">
        <f>IF(O8=0,0,1000000*O8/TrRail_act!O25/1000)</f>
        <v>66.023468447100797</v>
      </c>
      <c r="P48" s="62">
        <f>IF(P8=0,0,1000000*P8/TrRail_act!P25/1000)</f>
        <v>70.530875209437099</v>
      </c>
      <c r="Q48" s="62">
        <f>IF(Q8=0,0,1000000*Q8/TrRail_act!Q25/1000)</f>
        <v>52.209957791818134</v>
      </c>
      <c r="R48" s="62">
        <f>IF(R8=0,0,1000000*R8/TrRail_act!R25/1000)</f>
        <v>50.342391569655234</v>
      </c>
      <c r="S48" s="62">
        <f>IF(S8=0,0,1000000*S8/TrRail_act!S25/1000)</f>
        <v>52.586705634043675</v>
      </c>
      <c r="T48" s="62">
        <f>IF(T8=0,0,1000000*T8/TrRail_act!T25/1000)</f>
        <v>50.794154817860701</v>
      </c>
      <c r="U48" s="62">
        <f>IF(U8=0,0,1000000*U8/TrRail_act!U25/1000)</f>
        <v>49.454906089271397</v>
      </c>
      <c r="V48" s="62">
        <f>IF(V8=0,0,1000000*V8/TrRail_act!V25/1000)</f>
        <v>43.805461525071536</v>
      </c>
      <c r="W48" s="62">
        <f>IF(W8=0,0,1000000*W8/TrRail_act!W25/1000)</f>
        <v>45.246480344493115</v>
      </c>
      <c r="DA48" s="172" t="s">
        <v>1157</v>
      </c>
    </row>
    <row r="49" spans="1:105" ht="11.45" customHeight="1" x14ac:dyDescent="0.25">
      <c r="A49" s="27" t="s">
        <v>33</v>
      </c>
      <c r="B49" s="29">
        <f>IF(B9=0,0,1000000*B9/TrRail_act!B26/1000)</f>
        <v>75.851153994613185</v>
      </c>
      <c r="C49" s="29">
        <f>IF(C9=0,0,1000000*C9/TrRail_act!C26/1000)</f>
        <v>77.898379388614288</v>
      </c>
      <c r="D49" s="29">
        <f>IF(D9=0,0,1000000*D9/TrRail_act!D26/1000)</f>
        <v>79.804417557861115</v>
      </c>
      <c r="E49" s="29">
        <f>IF(E9=0,0,1000000*E9/TrRail_act!E26/1000)</f>
        <v>83.973413456280312</v>
      </c>
      <c r="F49" s="29">
        <f>IF(F9=0,0,1000000*F9/TrRail_act!F26/1000)</f>
        <v>83.453437253481155</v>
      </c>
      <c r="G49" s="29">
        <f>IF(G9=0,0,1000000*G9/TrRail_act!G26/1000)</f>
        <v>92.701105118172023</v>
      </c>
      <c r="H49" s="29">
        <f>IF(H9=0,0,1000000*H9/TrRail_act!H26/1000)</f>
        <v>84.286331312024586</v>
      </c>
      <c r="I49" s="29">
        <f>IF(I9=0,0,1000000*I9/TrRail_act!I26/1000)</f>
        <v>82.258885407529988</v>
      </c>
      <c r="J49" s="29">
        <f>IF(J9=0,0,1000000*J9/TrRail_act!J26/1000)</f>
        <v>92.80006992747866</v>
      </c>
      <c r="K49" s="29">
        <f>IF(K9=0,0,1000000*K9/TrRail_act!K26/1000)</f>
        <v>92.348564666607416</v>
      </c>
      <c r="L49" s="29">
        <f>IF(L9=0,0,1000000*L9/TrRail_act!L26/1000)</f>
        <v>87.919635703000452</v>
      </c>
      <c r="M49" s="29">
        <f>IF(M9=0,0,1000000*M9/TrRail_act!M26/1000)</f>
        <v>76.150103299936006</v>
      </c>
      <c r="N49" s="29">
        <f>IF(N9=0,0,1000000*N9/TrRail_act!N26/1000)</f>
        <v>79.223281614679124</v>
      </c>
      <c r="O49" s="29">
        <f>IF(O9=0,0,1000000*O9/TrRail_act!O26/1000)</f>
        <v>62.709215085246939</v>
      </c>
      <c r="P49" s="29">
        <f>IF(P9=0,0,1000000*P9/TrRail_act!P26/1000)</f>
        <v>67.1309591773433</v>
      </c>
      <c r="Q49" s="29">
        <f>IF(Q9=0,0,1000000*Q9/TrRail_act!Q26/1000)</f>
        <v>49.439362332927438</v>
      </c>
      <c r="R49" s="29">
        <f>IF(R9=0,0,1000000*R9/TrRail_act!R26/1000)</f>
        <v>47.553330701428564</v>
      </c>
      <c r="S49" s="29">
        <f>IF(S9=0,0,1000000*S9/TrRail_act!S26/1000)</f>
        <v>49.413544607112243</v>
      </c>
      <c r="T49" s="29">
        <f>IF(T9=0,0,1000000*T9/TrRail_act!T26/1000)</f>
        <v>48.127113455535564</v>
      </c>
      <c r="U49" s="29">
        <f>IF(U9=0,0,1000000*U9/TrRail_act!U26/1000)</f>
        <v>46.481107471181403</v>
      </c>
      <c r="V49" s="29">
        <f>IF(V9=0,0,1000000*V9/TrRail_act!V26/1000)</f>
        <v>38.437084027115063</v>
      </c>
      <c r="W49" s="29">
        <f>IF(W9=0,0,1000000*W9/TrRail_act!W26/1000)</f>
        <v>39.800579123076034</v>
      </c>
      <c r="DA49" s="173" t="s">
        <v>1158</v>
      </c>
    </row>
    <row r="50" spans="1:105" ht="11.45" customHeight="1" x14ac:dyDescent="0.25">
      <c r="A50" s="107" t="s">
        <v>23</v>
      </c>
      <c r="B50" s="115">
        <f>IF(B10=0,0,1000000*B10/TrRail_act!B27/1000)</f>
        <v>0</v>
      </c>
      <c r="C50" s="115">
        <f>IF(C10=0,0,1000000*C10/TrRail_act!C27/1000)</f>
        <v>0</v>
      </c>
      <c r="D50" s="115">
        <f>IF(D10=0,0,1000000*D10/TrRail_act!D27/1000)</f>
        <v>0</v>
      </c>
      <c r="E50" s="115">
        <f>IF(E10=0,0,1000000*E10/TrRail_act!E27/1000)</f>
        <v>0</v>
      </c>
      <c r="F50" s="115">
        <f>IF(F10=0,0,1000000*F10/TrRail_act!F27/1000)</f>
        <v>0</v>
      </c>
      <c r="G50" s="115">
        <f>IF(G10=0,0,1000000*G10/TrRail_act!G27/1000)</f>
        <v>0</v>
      </c>
      <c r="H50" s="115">
        <f>IF(H10=0,0,1000000*H10/TrRail_act!H27/1000)</f>
        <v>0</v>
      </c>
      <c r="I50" s="115">
        <f>IF(I10=0,0,1000000*I10/TrRail_act!I27/1000)</f>
        <v>0</v>
      </c>
      <c r="J50" s="115">
        <f>IF(J10=0,0,1000000*J10/TrRail_act!J27/1000)</f>
        <v>0</v>
      </c>
      <c r="K50" s="115">
        <f>IF(K10=0,0,1000000*K10/TrRail_act!K27/1000)</f>
        <v>0</v>
      </c>
      <c r="L50" s="115">
        <f>IF(L10=0,0,1000000*L10/TrRail_act!L27/1000)</f>
        <v>0</v>
      </c>
      <c r="M50" s="115">
        <f>IF(M10=0,0,1000000*M10/TrRail_act!M27/1000)</f>
        <v>0</v>
      </c>
      <c r="N50" s="115">
        <f>IF(N10=0,0,1000000*N10/TrRail_act!N27/1000)</f>
        <v>0</v>
      </c>
      <c r="O50" s="115">
        <f>IF(O10=0,0,1000000*O10/TrRail_act!O27/1000)</f>
        <v>0</v>
      </c>
      <c r="P50" s="115">
        <f>IF(P10=0,0,1000000*P10/TrRail_act!P27/1000)</f>
        <v>0</v>
      </c>
      <c r="Q50" s="115">
        <f>IF(Q10=0,0,1000000*Q10/TrRail_act!Q27/1000)</f>
        <v>0</v>
      </c>
      <c r="R50" s="115">
        <f>IF(R10=0,0,1000000*R10/TrRail_act!R27/1000)</f>
        <v>0</v>
      </c>
      <c r="S50" s="115">
        <f>IF(S10=0,0,1000000*S10/TrRail_act!S27/1000)</f>
        <v>0</v>
      </c>
      <c r="T50" s="115">
        <f>IF(T10=0,0,1000000*T10/TrRail_act!T27/1000)</f>
        <v>0</v>
      </c>
      <c r="U50" s="115">
        <f>IF(U10=0,0,1000000*U10/TrRail_act!U27/1000)</f>
        <v>0</v>
      </c>
      <c r="V50" s="115">
        <f>IF(V10=0,0,1000000*V10/TrRail_act!V27/1000)</f>
        <v>0</v>
      </c>
      <c r="W50" s="115">
        <f>IF(W10=0,0,1000000*W10/TrRail_act!W27/1000)</f>
        <v>0</v>
      </c>
      <c r="DA50" s="203" t="s">
        <v>1159</v>
      </c>
    </row>
    <row r="51" spans="1:105" ht="11.45" customHeight="1" x14ac:dyDescent="0.25">
      <c r="A51" s="109" t="s">
        <v>24</v>
      </c>
      <c r="B51" s="116">
        <f>IF(B11=0,0,1000000*B11/TrRail_act!B28/1000)</f>
        <v>178.6764259991611</v>
      </c>
      <c r="C51" s="116">
        <f>IF(C11=0,0,1000000*C11/TrRail_act!C28/1000)</f>
        <v>194.13867395258148</v>
      </c>
      <c r="D51" s="116">
        <f>IF(D11=0,0,1000000*D11/TrRail_act!D28/1000)</f>
        <v>205.37351107344983</v>
      </c>
      <c r="E51" s="116">
        <f>IF(E11=0,0,1000000*E11/TrRail_act!E28/1000)</f>
        <v>218.01629915976412</v>
      </c>
      <c r="F51" s="116">
        <f>IF(F11=0,0,1000000*F11/TrRail_act!F28/1000)</f>
        <v>222.31913636118148</v>
      </c>
      <c r="G51" s="116">
        <f>IF(G11=0,0,1000000*G11/TrRail_act!G28/1000)</f>
        <v>253.01316393231752</v>
      </c>
      <c r="H51" s="116">
        <f>IF(H11=0,0,1000000*H11/TrRail_act!H28/1000)</f>
        <v>227.63973993620627</v>
      </c>
      <c r="I51" s="116">
        <f>IF(I11=0,0,1000000*I11/TrRail_act!I28/1000)</f>
        <v>219.60851207759882</v>
      </c>
      <c r="J51" s="116">
        <f>IF(J11=0,0,1000000*J11/TrRail_act!J28/1000)</f>
        <v>229.83884840999039</v>
      </c>
      <c r="K51" s="116">
        <f>IF(K11=0,0,1000000*K11/TrRail_act!K28/1000)</f>
        <v>223.57825058206305</v>
      </c>
      <c r="L51" s="116">
        <f>IF(L11=0,0,1000000*L11/TrRail_act!L28/1000)</f>
        <v>210.67708060001064</v>
      </c>
      <c r="M51" s="116">
        <f>IF(M11=0,0,1000000*M11/TrRail_act!M28/1000)</f>
        <v>191.58302301689625</v>
      </c>
      <c r="N51" s="116">
        <f>IF(N11=0,0,1000000*N11/TrRail_act!N28/1000)</f>
        <v>198.57417483825165</v>
      </c>
      <c r="O51" s="116">
        <f>IF(O11=0,0,1000000*O11/TrRail_act!O28/1000)</f>
        <v>142.81020279522664</v>
      </c>
      <c r="P51" s="116">
        <f>IF(P11=0,0,1000000*P11/TrRail_act!P28/1000)</f>
        <v>145.0725231488272</v>
      </c>
      <c r="Q51" s="116">
        <f>IF(Q11=0,0,1000000*Q11/TrRail_act!Q28/1000)</f>
        <v>106.24969436858468</v>
      </c>
      <c r="R51" s="116">
        <f>IF(R11=0,0,1000000*R11/TrRail_act!R28/1000)</f>
        <v>96.433981689180186</v>
      </c>
      <c r="S51" s="116">
        <f>IF(S11=0,0,1000000*S11/TrRail_act!S28/1000)</f>
        <v>96.378965519885696</v>
      </c>
      <c r="T51" s="116">
        <f>IF(T11=0,0,1000000*T11/TrRail_act!T28/1000)</f>
        <v>93.960485315763961</v>
      </c>
      <c r="U51" s="116">
        <f>IF(U11=0,0,1000000*U11/TrRail_act!U28/1000)</f>
        <v>91.726212877033603</v>
      </c>
      <c r="V51" s="116">
        <f>IF(V11=0,0,1000000*V11/TrRail_act!V28/1000)</f>
        <v>78.271915523077979</v>
      </c>
      <c r="W51" s="116">
        <f>IF(W11=0,0,1000000*W11/TrRail_act!W28/1000)</f>
        <v>83.953263236420057</v>
      </c>
      <c r="DA51" s="176" t="s">
        <v>1160</v>
      </c>
    </row>
    <row r="52" spans="1:105" ht="11.45" customHeight="1" x14ac:dyDescent="0.25">
      <c r="A52" s="111" t="s">
        <v>92</v>
      </c>
      <c r="B52" s="87">
        <f>IF(B12=0,0,1000000*B12/TrRail_act!B29/1000)</f>
        <v>1178.7931438256614</v>
      </c>
      <c r="C52" s="87">
        <f>IF(C12=0,0,1000000*C12/TrRail_act!C29/1000)</f>
        <v>1124.3175251410005</v>
      </c>
      <c r="D52" s="87">
        <f>IF(D12=0,0,1000000*D12/TrRail_act!D29/1000)</f>
        <v>1069.8087621581553</v>
      </c>
      <c r="E52" s="87">
        <f>IF(E12=0,0,1000000*E12/TrRail_act!E29/1000)</f>
        <v>1065.1705646487469</v>
      </c>
      <c r="F52" s="87">
        <f>IF(F12=0,0,1000000*F12/TrRail_act!F29/1000)</f>
        <v>1052.2939885966991</v>
      </c>
      <c r="G52" s="87">
        <f>IF(G12=0,0,1000000*G12/TrRail_act!G29/1000)</f>
        <v>1033.4873736698607</v>
      </c>
      <c r="H52" s="87">
        <f>IF(H12=0,0,1000000*H12/TrRail_act!H29/1000)</f>
        <v>929.8187110133307</v>
      </c>
      <c r="I52" s="87">
        <f>IF(I12=0,0,1000000*I12/TrRail_act!I29/1000)</f>
        <v>896.01549955641906</v>
      </c>
      <c r="J52" s="87">
        <f>IF(J12=0,0,1000000*J12/TrRail_act!J29/1000)</f>
        <v>874.73593473719836</v>
      </c>
      <c r="K52" s="87">
        <f>IF(K12=0,0,1000000*K12/TrRail_act!K29/1000)</f>
        <v>874.76672804447355</v>
      </c>
      <c r="L52" s="87">
        <f>IF(L12=0,0,1000000*L12/TrRail_act!L29/1000)</f>
        <v>894.7087714171048</v>
      </c>
      <c r="M52" s="87">
        <f>IF(M12=0,0,1000000*M12/TrRail_act!M29/1000)</f>
        <v>797.87455430704631</v>
      </c>
      <c r="N52" s="87">
        <f>IF(N12=0,0,1000000*N12/TrRail_act!N29/1000)</f>
        <v>832.00807353761968</v>
      </c>
      <c r="O52" s="87">
        <f>IF(O12=0,0,1000000*O12/TrRail_act!O29/1000)</f>
        <v>752.77387140104349</v>
      </c>
      <c r="P52" s="87">
        <f>IF(P12=0,0,1000000*P12/TrRail_act!P29/1000)</f>
        <v>791.91559155112463</v>
      </c>
      <c r="Q52" s="87">
        <f>IF(Q12=0,0,1000000*Q12/TrRail_act!Q29/1000)</f>
        <v>641.50134088472055</v>
      </c>
      <c r="R52" s="87">
        <f>IF(R12=0,0,1000000*R12/TrRail_act!R29/1000)</f>
        <v>693.97996927706174</v>
      </c>
      <c r="S52" s="87">
        <f>IF(S12=0,0,1000000*S12/TrRail_act!S29/1000)</f>
        <v>742.04761552359776</v>
      </c>
      <c r="T52" s="87">
        <f>IF(T12=0,0,1000000*T12/TrRail_act!T29/1000)</f>
        <v>741.1241083174026</v>
      </c>
      <c r="U52" s="87">
        <f>IF(U12=0,0,1000000*U12/TrRail_act!U29/1000)</f>
        <v>685.99163034261107</v>
      </c>
      <c r="V52" s="87">
        <f>IF(V12=0,0,1000000*V12/TrRail_act!V29/1000)</f>
        <v>590.53338678231785</v>
      </c>
      <c r="W52" s="87">
        <f>IF(W12=0,0,1000000*W12/TrRail_act!W29/1000)</f>
        <v>639.82976762348824</v>
      </c>
      <c r="DA52" s="171" t="s">
        <v>1161</v>
      </c>
    </row>
    <row r="53" spans="1:105" ht="11.45" customHeight="1" x14ac:dyDescent="0.25">
      <c r="A53" s="111" t="s">
        <v>93</v>
      </c>
      <c r="B53" s="87">
        <f>IF(B13=0,0,1000000*B13/TrRail_act!B30/1000)</f>
        <v>0</v>
      </c>
      <c r="C53" s="87">
        <f>IF(C13=0,0,1000000*C13/TrRail_act!C30/1000)</f>
        <v>0</v>
      </c>
      <c r="D53" s="87">
        <f>IF(D13=0,0,1000000*D13/TrRail_act!D30/1000)</f>
        <v>0</v>
      </c>
      <c r="E53" s="87">
        <f>IF(E13=0,0,1000000*E13/TrRail_act!E30/1000)</f>
        <v>0</v>
      </c>
      <c r="F53" s="87">
        <f>IF(F13=0,0,1000000*F13/TrRail_act!F30/1000)</f>
        <v>0</v>
      </c>
      <c r="G53" s="87">
        <f>IF(G13=0,0,1000000*G13/TrRail_act!G30/1000)</f>
        <v>0</v>
      </c>
      <c r="H53" s="87">
        <f>IF(H13=0,0,1000000*H13/TrRail_act!H30/1000)</f>
        <v>0</v>
      </c>
      <c r="I53" s="87">
        <f>IF(I13=0,0,1000000*I13/TrRail_act!I30/1000)</f>
        <v>0</v>
      </c>
      <c r="J53" s="87">
        <f>IF(J13=0,0,1000000*J13/TrRail_act!J30/1000)</f>
        <v>0</v>
      </c>
      <c r="K53" s="87">
        <f>IF(K13=0,0,1000000*K13/TrRail_act!K30/1000)</f>
        <v>0</v>
      </c>
      <c r="L53" s="87">
        <f>IF(L13=0,0,1000000*L13/TrRail_act!L30/1000)</f>
        <v>0</v>
      </c>
      <c r="M53" s="87">
        <f>IF(M13=0,0,1000000*M13/TrRail_act!M30/1000)</f>
        <v>0</v>
      </c>
      <c r="N53" s="87">
        <f>IF(N13=0,0,1000000*N13/TrRail_act!N30/1000)</f>
        <v>0</v>
      </c>
      <c r="O53" s="87">
        <f>IF(O13=0,0,1000000*O13/TrRail_act!O30/1000)</f>
        <v>0</v>
      </c>
      <c r="P53" s="87">
        <f>IF(P13=0,0,1000000*P13/TrRail_act!P30/1000)</f>
        <v>0</v>
      </c>
      <c r="Q53" s="87">
        <f>IF(Q13=0,0,1000000*Q13/TrRail_act!Q30/1000)</f>
        <v>0</v>
      </c>
      <c r="R53" s="87">
        <f>IF(R13=0,0,1000000*R13/TrRail_act!R30/1000)</f>
        <v>0</v>
      </c>
      <c r="S53" s="87">
        <f>IF(S13=0,0,1000000*S13/TrRail_act!S30/1000)</f>
        <v>0</v>
      </c>
      <c r="T53" s="87">
        <f>IF(T13=0,0,1000000*T13/TrRail_act!T30/1000)</f>
        <v>0</v>
      </c>
      <c r="U53" s="87">
        <f>IF(U13=0,0,1000000*U13/TrRail_act!U30/1000)</f>
        <v>0</v>
      </c>
      <c r="V53" s="87">
        <f>IF(V13=0,0,1000000*V13/TrRail_act!V30/1000)</f>
        <v>0</v>
      </c>
      <c r="W53" s="87">
        <f>IF(W13=0,0,1000000*W13/TrRail_act!W30/1000)</f>
        <v>0</v>
      </c>
      <c r="DA53" s="171" t="s">
        <v>1162</v>
      </c>
    </row>
    <row r="54" spans="1:105" ht="11.45" customHeight="1" x14ac:dyDescent="0.25">
      <c r="A54" s="112" t="s">
        <v>25</v>
      </c>
      <c r="B54" s="117">
        <f>IF(B14=0,0,1000000*B14/TrRail_act!B31/1000)</f>
        <v>0</v>
      </c>
      <c r="C54" s="117">
        <f>IF(C14=0,0,1000000*C14/TrRail_act!C31/1000)</f>
        <v>0</v>
      </c>
      <c r="D54" s="117">
        <f>IF(D14=0,0,1000000*D14/TrRail_act!D31/1000)</f>
        <v>0</v>
      </c>
      <c r="E54" s="117">
        <f>IF(E14=0,0,1000000*E14/TrRail_act!E31/1000)</f>
        <v>0</v>
      </c>
      <c r="F54" s="117">
        <f>IF(F14=0,0,1000000*F14/TrRail_act!F31/1000)</f>
        <v>0</v>
      </c>
      <c r="G54" s="117">
        <f>IF(G14=0,0,1000000*G14/TrRail_act!G31/1000)</f>
        <v>0</v>
      </c>
      <c r="H54" s="117">
        <f>IF(H14=0,0,1000000*H14/TrRail_act!H31/1000)</f>
        <v>0</v>
      </c>
      <c r="I54" s="117">
        <f>IF(I14=0,0,1000000*I14/TrRail_act!I31/1000)</f>
        <v>0</v>
      </c>
      <c r="J54" s="117">
        <f>IF(J14=0,0,1000000*J14/TrRail_act!J31/1000)</f>
        <v>0</v>
      </c>
      <c r="K54" s="117">
        <f>IF(K14=0,0,1000000*K14/TrRail_act!K31/1000)</f>
        <v>0</v>
      </c>
      <c r="L54" s="117">
        <f>IF(L14=0,0,1000000*L14/TrRail_act!L31/1000)</f>
        <v>0</v>
      </c>
      <c r="M54" s="117">
        <f>IF(M14=0,0,1000000*M14/TrRail_act!M31/1000)</f>
        <v>0</v>
      </c>
      <c r="N54" s="117">
        <f>IF(N14=0,0,1000000*N14/TrRail_act!N31/1000)</f>
        <v>0</v>
      </c>
      <c r="O54" s="117">
        <f>IF(O14=0,0,1000000*O14/TrRail_act!O31/1000)</f>
        <v>0</v>
      </c>
      <c r="P54" s="117">
        <f>IF(P14=0,0,1000000*P14/TrRail_act!P31/1000)</f>
        <v>0</v>
      </c>
      <c r="Q54" s="117">
        <f>IF(Q14=0,0,1000000*Q14/TrRail_act!Q31/1000)</f>
        <v>0</v>
      </c>
      <c r="R54" s="117">
        <f>IF(R14=0,0,1000000*R14/TrRail_act!R31/1000)</f>
        <v>0</v>
      </c>
      <c r="S54" s="117">
        <f>IF(S14=0,0,1000000*S14/TrRail_act!S31/1000)</f>
        <v>0</v>
      </c>
      <c r="T54" s="117">
        <f>IF(T14=0,0,1000000*T14/TrRail_act!T31/1000)</f>
        <v>0</v>
      </c>
      <c r="U54" s="117">
        <f>IF(U14=0,0,1000000*U14/TrRail_act!U31/1000)</f>
        <v>0</v>
      </c>
      <c r="V54" s="117">
        <f>IF(V14=0,0,1000000*V14/TrRail_act!V31/1000)</f>
        <v>0</v>
      </c>
      <c r="W54" s="117">
        <f>IF(W14=0,0,1000000*W14/TrRail_act!W31/1000)</f>
        <v>0</v>
      </c>
      <c r="DA54" s="204" t="s">
        <v>1163</v>
      </c>
    </row>
    <row r="55" spans="1:105" ht="11.45" customHeight="1" x14ac:dyDescent="0.25">
      <c r="A55" s="27" t="s">
        <v>34</v>
      </c>
      <c r="B55" s="29">
        <f>IF(B15=0,0,1000000*B15/TrRail_act!B32/1000)</f>
        <v>215.0636540615171</v>
      </c>
      <c r="C55" s="29">
        <f>IF(C15=0,0,1000000*C15/TrRail_act!C32/1000)</f>
        <v>218.31332912320434</v>
      </c>
      <c r="D55" s="29">
        <f>IF(D15=0,0,1000000*D15/TrRail_act!D32/1000)</f>
        <v>222.57070868795032</v>
      </c>
      <c r="E55" s="29">
        <f>IF(E15=0,0,1000000*E15/TrRail_act!E32/1000)</f>
        <v>226.13848125379769</v>
      </c>
      <c r="F55" s="29">
        <f>IF(F15=0,0,1000000*F15/TrRail_act!F32/1000)</f>
        <v>225.60124637116971</v>
      </c>
      <c r="G55" s="29">
        <f>IF(G15=0,0,1000000*G15/TrRail_act!G32/1000)</f>
        <v>232.12518555590259</v>
      </c>
      <c r="H55" s="29">
        <f>IF(H15=0,0,1000000*H15/TrRail_act!H32/1000)</f>
        <v>244.82136456470593</v>
      </c>
      <c r="I55" s="29">
        <f>IF(I15=0,0,1000000*I15/TrRail_act!I32/1000)</f>
        <v>234.09951510206852</v>
      </c>
      <c r="J55" s="29">
        <f>IF(J15=0,0,1000000*J15/TrRail_act!J32/1000)</f>
        <v>145.00285146986323</v>
      </c>
      <c r="K55" s="29">
        <f>IF(K15=0,0,1000000*K15/TrRail_act!K32/1000)</f>
        <v>122.37882447601436</v>
      </c>
      <c r="L55" s="29">
        <f>IF(L15=0,0,1000000*L15/TrRail_act!L32/1000)</f>
        <v>122.9982105643374</v>
      </c>
      <c r="M55" s="29">
        <f>IF(M15=0,0,1000000*M15/TrRail_act!M32/1000)</f>
        <v>98.230572404703111</v>
      </c>
      <c r="N55" s="29">
        <f>IF(N15=0,0,1000000*N15/TrRail_act!N32/1000)</f>
        <v>102.86318514364764</v>
      </c>
      <c r="O55" s="29">
        <f>IF(O15=0,0,1000000*O15/TrRail_act!O32/1000)</f>
        <v>89.353947914195786</v>
      </c>
      <c r="P55" s="29">
        <f>IF(P15=0,0,1000000*P15/TrRail_act!P32/1000)</f>
        <v>95.720048633771469</v>
      </c>
      <c r="Q55" s="29">
        <f>IF(Q15=0,0,1000000*Q15/TrRail_act!Q32/1000)</f>
        <v>72.832181888378216</v>
      </c>
      <c r="R55" s="29">
        <f>IF(R15=0,0,1000000*R15/TrRail_act!R32/1000)</f>
        <v>72.282986186042294</v>
      </c>
      <c r="S55" s="29">
        <f>IF(S15=0,0,1000000*S15/TrRail_act!S32/1000)</f>
        <v>78.15872309475742</v>
      </c>
      <c r="T55" s="29">
        <f>IF(T15=0,0,1000000*T15/TrRail_act!T32/1000)</f>
        <v>71.550576725049424</v>
      </c>
      <c r="U55" s="29">
        <f>IF(U15=0,0,1000000*U15/TrRail_act!U32/1000)</f>
        <v>72.456323620463905</v>
      </c>
      <c r="V55" s="29">
        <f>IF(V15=0,0,1000000*V15/TrRail_act!V32/1000)</f>
        <v>77.9474511054987</v>
      </c>
      <c r="W55" s="29">
        <f>IF(W15=0,0,1000000*W15/TrRail_act!W32/1000)</f>
        <v>80.424254049814664</v>
      </c>
      <c r="DA55" s="173" t="s">
        <v>1164</v>
      </c>
    </row>
    <row r="56" spans="1:105" ht="11.45" customHeight="1" x14ac:dyDescent="0.25">
      <c r="A56" s="83" t="s">
        <v>92</v>
      </c>
      <c r="B56" s="87">
        <f>IF(B16=0,0,1000000*B16/TrRail_act!B33/1000)</f>
        <v>3897.8093259960824</v>
      </c>
      <c r="C56" s="87">
        <f>IF(C16=0,0,1000000*C16/TrRail_act!C33/1000)</f>
        <v>3658.1141658756615</v>
      </c>
      <c r="D56" s="87">
        <f>IF(D16=0,0,1000000*D16/TrRail_act!D33/1000)</f>
        <v>3367.5282236148278</v>
      </c>
      <c r="E56" s="87">
        <f>IF(E16=0,0,1000000*E16/TrRail_act!E33/1000)</f>
        <v>3198.8651563614631</v>
      </c>
      <c r="F56" s="87">
        <f>IF(F16=0,0,1000000*F16/TrRail_act!F33/1000)</f>
        <v>3135.7722149967512</v>
      </c>
      <c r="G56" s="87">
        <f>IF(G16=0,0,1000000*G16/TrRail_act!G33/1000)</f>
        <v>2992.7088117117837</v>
      </c>
      <c r="H56" s="87">
        <f>IF(H16=0,0,1000000*H16/TrRail_act!H33/1000)</f>
        <v>2875.0364172373588</v>
      </c>
      <c r="I56" s="87">
        <f>IF(I16=0,0,1000000*I16/TrRail_act!I33/1000)</f>
        <v>2706.6662328644561</v>
      </c>
      <c r="J56" s="87">
        <f>IF(J16=0,0,1000000*J16/TrRail_act!J33/1000)</f>
        <v>1828.9305013643891</v>
      </c>
      <c r="K56" s="87">
        <f>IF(K16=0,0,1000000*K16/TrRail_act!K33/1000)</f>
        <v>1502.4689753979249</v>
      </c>
      <c r="L56" s="87">
        <f>IF(L16=0,0,1000000*L16/TrRail_act!L33/1000)</f>
        <v>1604.2659081951281</v>
      </c>
      <c r="M56" s="87">
        <f>IF(M16=0,0,1000000*M16/TrRail_act!M33/1000)</f>
        <v>1455.7348429743995</v>
      </c>
      <c r="N56" s="87">
        <f>IF(N16=0,0,1000000*N16/TrRail_act!N33/1000)</f>
        <v>1513.5965910155371</v>
      </c>
      <c r="O56" s="87">
        <f>IF(O16=0,0,1000000*O16/TrRail_act!O33/1000)</f>
        <v>1461.4569524993058</v>
      </c>
      <c r="P56" s="87">
        <f>IF(P16=0,0,1000000*P16/TrRail_act!P33/1000)</f>
        <v>1655.6113296161752</v>
      </c>
      <c r="Q56" s="87">
        <f>IF(Q16=0,0,1000000*Q16/TrRail_act!Q33/1000)</f>
        <v>1415.7089420697212</v>
      </c>
      <c r="R56" s="87">
        <f>IF(R16=0,0,1000000*R16/TrRail_act!R33/1000)</f>
        <v>1541.9440604615465</v>
      </c>
      <c r="S56" s="87">
        <f>IF(S16=0,0,1000000*S16/TrRail_act!S33/1000)</f>
        <v>1903.7914698051648</v>
      </c>
      <c r="T56" s="87">
        <f>IF(T16=0,0,1000000*T16/TrRail_act!T33/1000)</f>
        <v>2017.8688528669422</v>
      </c>
      <c r="U56" s="87">
        <f>IF(U16=0,0,1000000*U16/TrRail_act!U33/1000)</f>
        <v>2111.8313382556676</v>
      </c>
      <c r="V56" s="87">
        <f>IF(V16=0,0,1000000*V16/TrRail_act!V33/1000)</f>
        <v>2073.8468792975727</v>
      </c>
      <c r="W56" s="87">
        <f>IF(W16=0,0,1000000*W16/TrRail_act!W33/1000)</f>
        <v>2054.0019847751373</v>
      </c>
      <c r="DA56" s="171" t="s">
        <v>1165</v>
      </c>
    </row>
    <row r="57" spans="1:105" ht="11.45" customHeight="1" x14ac:dyDescent="0.25">
      <c r="A57" s="85" t="s">
        <v>93</v>
      </c>
      <c r="B57" s="88">
        <f>IF(B17=0,0,1000000*B17/TrRail_act!B34/1000)</f>
        <v>0</v>
      </c>
      <c r="C57" s="88">
        <f>IF(C17=0,0,1000000*C17/TrRail_act!C34/1000)</f>
        <v>0</v>
      </c>
      <c r="D57" s="88">
        <f>IF(D17=0,0,1000000*D17/TrRail_act!D34/1000)</f>
        <v>0</v>
      </c>
      <c r="E57" s="88">
        <f>IF(E17=0,0,1000000*E17/TrRail_act!E34/1000)</f>
        <v>0</v>
      </c>
      <c r="F57" s="88">
        <f>IF(F17=0,0,1000000*F17/TrRail_act!F34/1000)</f>
        <v>0</v>
      </c>
      <c r="G57" s="88">
        <f>IF(G17=0,0,1000000*G17/TrRail_act!G34/1000)</f>
        <v>0</v>
      </c>
      <c r="H57" s="88">
        <f>IF(H17=0,0,1000000*H17/TrRail_act!H34/1000)</f>
        <v>0</v>
      </c>
      <c r="I57" s="88">
        <f>IF(I17=0,0,1000000*I17/TrRail_act!I34/1000)</f>
        <v>0</v>
      </c>
      <c r="J57" s="88">
        <f>IF(J17=0,0,1000000*J17/TrRail_act!J34/1000)</f>
        <v>0</v>
      </c>
      <c r="K57" s="88">
        <f>IF(K17=0,0,1000000*K17/TrRail_act!K34/1000)</f>
        <v>0</v>
      </c>
      <c r="L57" s="88">
        <f>IF(L17=0,0,1000000*L17/TrRail_act!L34/1000)</f>
        <v>0</v>
      </c>
      <c r="M57" s="88">
        <f>IF(M17=0,0,1000000*M17/TrRail_act!M34/1000)</f>
        <v>0</v>
      </c>
      <c r="N57" s="88">
        <f>IF(N17=0,0,1000000*N17/TrRail_act!N34/1000)</f>
        <v>0</v>
      </c>
      <c r="O57" s="88">
        <f>IF(O17=0,0,1000000*O17/TrRail_act!O34/1000)</f>
        <v>0</v>
      </c>
      <c r="P57" s="88">
        <f>IF(P17=0,0,1000000*P17/TrRail_act!P34/1000)</f>
        <v>0</v>
      </c>
      <c r="Q57" s="88">
        <f>IF(Q17=0,0,1000000*Q17/TrRail_act!Q34/1000)</f>
        <v>0</v>
      </c>
      <c r="R57" s="88">
        <f>IF(R17=0,0,1000000*R17/TrRail_act!R34/1000)</f>
        <v>0</v>
      </c>
      <c r="S57" s="88">
        <f>IF(S17=0,0,1000000*S17/TrRail_act!S34/1000)</f>
        <v>0</v>
      </c>
      <c r="T57" s="88">
        <f>IF(T17=0,0,1000000*T17/TrRail_act!T34/1000)</f>
        <v>0</v>
      </c>
      <c r="U57" s="88">
        <f>IF(U17=0,0,1000000*U17/TrRail_act!U34/1000)</f>
        <v>0</v>
      </c>
      <c r="V57" s="88">
        <f>IF(V17=0,0,1000000*V17/TrRail_act!V34/1000)</f>
        <v>0</v>
      </c>
      <c r="W57" s="88">
        <f>IF(W17=0,0,1000000*W17/TrRail_act!W34/1000)</f>
        <v>0</v>
      </c>
      <c r="DA57" s="178" t="s">
        <v>1166</v>
      </c>
    </row>
    <row r="58" spans="1:105" x14ac:dyDescent="0.25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DA58" s="171"/>
    </row>
    <row r="59" spans="1:105" ht="11.45" customHeight="1" x14ac:dyDescent="0.25">
      <c r="A59" s="53" t="s">
        <v>41</v>
      </c>
      <c r="B59" s="65">
        <f t="shared" ref="B59:B68" si="5">IF(B8=0,0,B8/B$8)</f>
        <v>1</v>
      </c>
      <c r="C59" s="65">
        <f t="shared" ref="C59:V59" si="6">IF(C8=0,0,C8/C$8)</f>
        <v>1</v>
      </c>
      <c r="D59" s="65">
        <f t="shared" si="6"/>
        <v>1</v>
      </c>
      <c r="E59" s="65">
        <f t="shared" si="6"/>
        <v>1</v>
      </c>
      <c r="F59" s="65">
        <f t="shared" si="6"/>
        <v>1</v>
      </c>
      <c r="G59" s="65">
        <f t="shared" si="6"/>
        <v>1</v>
      </c>
      <c r="H59" s="65">
        <f t="shared" si="6"/>
        <v>1</v>
      </c>
      <c r="I59" s="65">
        <f t="shared" si="6"/>
        <v>1</v>
      </c>
      <c r="J59" s="65">
        <f t="shared" si="6"/>
        <v>1</v>
      </c>
      <c r="K59" s="65">
        <f t="shared" si="6"/>
        <v>1</v>
      </c>
      <c r="L59" s="65">
        <f t="shared" si="6"/>
        <v>1</v>
      </c>
      <c r="M59" s="65">
        <f t="shared" si="6"/>
        <v>1</v>
      </c>
      <c r="N59" s="65">
        <f t="shared" si="6"/>
        <v>1</v>
      </c>
      <c r="O59" s="65">
        <f t="shared" si="6"/>
        <v>1</v>
      </c>
      <c r="P59" s="65">
        <f t="shared" si="6"/>
        <v>1</v>
      </c>
      <c r="Q59" s="65">
        <f t="shared" si="6"/>
        <v>1</v>
      </c>
      <c r="R59" s="65">
        <f t="shared" si="6"/>
        <v>1</v>
      </c>
      <c r="S59" s="65">
        <f t="shared" si="6"/>
        <v>1</v>
      </c>
      <c r="T59" s="65">
        <f t="shared" si="6"/>
        <v>1</v>
      </c>
      <c r="U59" s="65">
        <f t="shared" si="6"/>
        <v>1</v>
      </c>
      <c r="V59" s="65">
        <f t="shared" si="6"/>
        <v>1</v>
      </c>
      <c r="W59" s="65">
        <f t="shared" ref="W59" si="7">IF(W8=0,0,W8/W$8)</f>
        <v>1</v>
      </c>
      <c r="DA59" s="172"/>
    </row>
    <row r="60" spans="1:105" ht="11.45" customHeight="1" x14ac:dyDescent="0.25">
      <c r="A60" s="27" t="s">
        <v>33</v>
      </c>
      <c r="B60" s="31">
        <f t="shared" si="5"/>
        <v>0.70417559343457281</v>
      </c>
      <c r="C60" s="31">
        <f t="shared" ref="C60:V60" si="8">IF(C9=0,0,C9/C$8)</f>
        <v>0.70615955046107937</v>
      </c>
      <c r="D60" s="31">
        <f t="shared" si="8"/>
        <v>0.70316037849189295</v>
      </c>
      <c r="E60" s="31">
        <f t="shared" si="8"/>
        <v>0.715605873922181</v>
      </c>
      <c r="F60" s="31">
        <f t="shared" si="8"/>
        <v>0.69254624137470711</v>
      </c>
      <c r="G60" s="31">
        <f t="shared" si="8"/>
        <v>0.70968158031541007</v>
      </c>
      <c r="H60" s="31">
        <f t="shared" si="8"/>
        <v>0.67329472477757324</v>
      </c>
      <c r="I60" s="31">
        <f t="shared" si="8"/>
        <v>0.67277675821558958</v>
      </c>
      <c r="J60" s="31">
        <f t="shared" si="8"/>
        <v>0.79054706558867482</v>
      </c>
      <c r="K60" s="31">
        <f t="shared" si="8"/>
        <v>0.83501492410894584</v>
      </c>
      <c r="L60" s="31">
        <f t="shared" si="8"/>
        <v>0.82986861284793867</v>
      </c>
      <c r="M60" s="31">
        <f t="shared" si="8"/>
        <v>0.82838524810233194</v>
      </c>
      <c r="N60" s="31">
        <f t="shared" si="8"/>
        <v>0.83875400208771</v>
      </c>
      <c r="O60" s="31">
        <f t="shared" si="8"/>
        <v>0.83165906087518437</v>
      </c>
      <c r="P60" s="31">
        <f t="shared" si="8"/>
        <v>0.83860446886851614</v>
      </c>
      <c r="Q60" s="31">
        <f t="shared" si="8"/>
        <v>0.83478079589204524</v>
      </c>
      <c r="R60" s="31">
        <f t="shared" si="8"/>
        <v>0.83806446183042538</v>
      </c>
      <c r="S60" s="31">
        <f t="shared" si="8"/>
        <v>0.83593022111482829</v>
      </c>
      <c r="T60" s="31">
        <f t="shared" si="8"/>
        <v>0.83960972077317331</v>
      </c>
      <c r="U60" s="31">
        <f t="shared" si="8"/>
        <v>0.83226669741377801</v>
      </c>
      <c r="V60" s="31">
        <f t="shared" si="8"/>
        <v>0.75822820178143702</v>
      </c>
      <c r="W60" s="31">
        <f t="shared" ref="W60" si="9">IF(W9=0,0,W9/W$8)</f>
        <v>0.76171714709076488</v>
      </c>
      <c r="DA60" s="173"/>
    </row>
    <row r="61" spans="1:105" ht="11.45" customHeight="1" x14ac:dyDescent="0.25">
      <c r="A61" s="107" t="s">
        <v>23</v>
      </c>
      <c r="B61" s="123">
        <f t="shared" si="5"/>
        <v>0</v>
      </c>
      <c r="C61" s="123">
        <f t="shared" ref="C61:V61" si="10">IF(C10=0,0,C10/C$8)</f>
        <v>0</v>
      </c>
      <c r="D61" s="123">
        <f t="shared" si="10"/>
        <v>0</v>
      </c>
      <c r="E61" s="123">
        <f t="shared" si="10"/>
        <v>0</v>
      </c>
      <c r="F61" s="123">
        <f t="shared" si="10"/>
        <v>0</v>
      </c>
      <c r="G61" s="123">
        <f t="shared" si="10"/>
        <v>0</v>
      </c>
      <c r="H61" s="123">
        <f t="shared" si="10"/>
        <v>0</v>
      </c>
      <c r="I61" s="123">
        <f t="shared" si="10"/>
        <v>0</v>
      </c>
      <c r="J61" s="123">
        <f t="shared" si="10"/>
        <v>0</v>
      </c>
      <c r="K61" s="123">
        <f t="shared" si="10"/>
        <v>0</v>
      </c>
      <c r="L61" s="123">
        <f t="shared" si="10"/>
        <v>0</v>
      </c>
      <c r="M61" s="123">
        <f t="shared" si="10"/>
        <v>0</v>
      </c>
      <c r="N61" s="123">
        <f t="shared" si="10"/>
        <v>0</v>
      </c>
      <c r="O61" s="123">
        <f t="shared" si="10"/>
        <v>0</v>
      </c>
      <c r="P61" s="123">
        <f t="shared" si="10"/>
        <v>0</v>
      </c>
      <c r="Q61" s="123">
        <f t="shared" si="10"/>
        <v>0</v>
      </c>
      <c r="R61" s="123">
        <f t="shared" si="10"/>
        <v>0</v>
      </c>
      <c r="S61" s="123">
        <f t="shared" si="10"/>
        <v>0</v>
      </c>
      <c r="T61" s="123">
        <f t="shared" si="10"/>
        <v>0</v>
      </c>
      <c r="U61" s="123">
        <f t="shared" si="10"/>
        <v>0</v>
      </c>
      <c r="V61" s="123">
        <f t="shared" si="10"/>
        <v>0</v>
      </c>
      <c r="W61" s="123">
        <f t="shared" ref="W61" si="11">IF(W10=0,0,W10/W$8)</f>
        <v>0</v>
      </c>
      <c r="DA61" s="203"/>
    </row>
    <row r="62" spans="1:105" ht="11.45" customHeight="1" x14ac:dyDescent="0.25">
      <c r="A62" s="109" t="s">
        <v>24</v>
      </c>
      <c r="B62" s="124">
        <f t="shared" si="5"/>
        <v>0.70417559343457281</v>
      </c>
      <c r="C62" s="124">
        <f t="shared" ref="C62:V62" si="12">IF(C11=0,0,C11/C$8)</f>
        <v>0.70615955046107937</v>
      </c>
      <c r="D62" s="124">
        <f t="shared" si="12"/>
        <v>0.70316037849189295</v>
      </c>
      <c r="E62" s="124">
        <f t="shared" si="12"/>
        <v>0.715605873922181</v>
      </c>
      <c r="F62" s="124">
        <f t="shared" si="12"/>
        <v>0.69254624137470711</v>
      </c>
      <c r="G62" s="124">
        <f t="shared" si="12"/>
        <v>0.70968158031541007</v>
      </c>
      <c r="H62" s="124">
        <f t="shared" si="12"/>
        <v>0.67329472477757324</v>
      </c>
      <c r="I62" s="124">
        <f t="shared" si="12"/>
        <v>0.67277675821558958</v>
      </c>
      <c r="J62" s="124">
        <f t="shared" si="12"/>
        <v>0.79054706558867482</v>
      </c>
      <c r="K62" s="124">
        <f t="shared" si="12"/>
        <v>0.83501492410894584</v>
      </c>
      <c r="L62" s="124">
        <f t="shared" si="12"/>
        <v>0.82986861284793867</v>
      </c>
      <c r="M62" s="124">
        <f t="shared" si="12"/>
        <v>0.82838524810233194</v>
      </c>
      <c r="N62" s="124">
        <f t="shared" si="12"/>
        <v>0.83875400208771</v>
      </c>
      <c r="O62" s="124">
        <f t="shared" si="12"/>
        <v>0.83165906087518437</v>
      </c>
      <c r="P62" s="124">
        <f t="shared" si="12"/>
        <v>0.83860446886851614</v>
      </c>
      <c r="Q62" s="124">
        <f t="shared" si="12"/>
        <v>0.83478079589204524</v>
      </c>
      <c r="R62" s="124">
        <f t="shared" si="12"/>
        <v>0.83806446183042538</v>
      </c>
      <c r="S62" s="124">
        <f t="shared" si="12"/>
        <v>0.83593022111482829</v>
      </c>
      <c r="T62" s="124">
        <f t="shared" si="12"/>
        <v>0.83960972077317331</v>
      </c>
      <c r="U62" s="124">
        <f t="shared" si="12"/>
        <v>0.83226669741377801</v>
      </c>
      <c r="V62" s="124">
        <f t="shared" si="12"/>
        <v>0.75822820178143702</v>
      </c>
      <c r="W62" s="124">
        <f t="shared" ref="W62" si="13">IF(W11=0,0,W11/W$8)</f>
        <v>0.76171714709076488</v>
      </c>
      <c r="DA62" s="176"/>
    </row>
    <row r="63" spans="1:105" ht="11.45" customHeight="1" x14ac:dyDescent="0.25">
      <c r="A63" s="111" t="s">
        <v>92</v>
      </c>
      <c r="B63" s="125">
        <f t="shared" si="5"/>
        <v>0.70417559343457281</v>
      </c>
      <c r="C63" s="125">
        <f t="shared" ref="C63:V63" si="14">IF(C12=0,0,C12/C$8)</f>
        <v>0.70615955046107937</v>
      </c>
      <c r="D63" s="125">
        <f t="shared" si="14"/>
        <v>0.70316037849189295</v>
      </c>
      <c r="E63" s="125">
        <f t="shared" si="14"/>
        <v>0.715605873922181</v>
      </c>
      <c r="F63" s="125">
        <f t="shared" si="14"/>
        <v>0.69254624137470711</v>
      </c>
      <c r="G63" s="125">
        <f t="shared" si="14"/>
        <v>0.70968158031541007</v>
      </c>
      <c r="H63" s="125">
        <f t="shared" si="14"/>
        <v>0.67329472477757324</v>
      </c>
      <c r="I63" s="125">
        <f t="shared" si="14"/>
        <v>0.67277675821558958</v>
      </c>
      <c r="J63" s="125">
        <f t="shared" si="14"/>
        <v>0.79054706558867482</v>
      </c>
      <c r="K63" s="125">
        <f t="shared" si="14"/>
        <v>0.83501492410894584</v>
      </c>
      <c r="L63" s="125">
        <f t="shared" si="14"/>
        <v>0.82986861284793867</v>
      </c>
      <c r="M63" s="125">
        <f t="shared" si="14"/>
        <v>0.82838524810233194</v>
      </c>
      <c r="N63" s="125">
        <f t="shared" si="14"/>
        <v>0.83875400208771</v>
      </c>
      <c r="O63" s="125">
        <f t="shared" si="14"/>
        <v>0.83165906087518437</v>
      </c>
      <c r="P63" s="125">
        <f t="shared" si="14"/>
        <v>0.83860446886851614</v>
      </c>
      <c r="Q63" s="125">
        <f t="shared" si="14"/>
        <v>0.83478079589204524</v>
      </c>
      <c r="R63" s="125">
        <f t="shared" si="14"/>
        <v>0.83806446183042538</v>
      </c>
      <c r="S63" s="125">
        <f t="shared" si="14"/>
        <v>0.83593022111482829</v>
      </c>
      <c r="T63" s="125">
        <f t="shared" si="14"/>
        <v>0.83960972077317331</v>
      </c>
      <c r="U63" s="125">
        <f t="shared" si="14"/>
        <v>0.83226669741377801</v>
      </c>
      <c r="V63" s="125">
        <f t="shared" si="14"/>
        <v>0.75822820178143702</v>
      </c>
      <c r="W63" s="125">
        <f t="shared" ref="W63" si="15">IF(W12=0,0,W12/W$8)</f>
        <v>0.76171714709076488</v>
      </c>
      <c r="DA63" s="171"/>
    </row>
    <row r="64" spans="1:105" ht="11.45" customHeight="1" x14ac:dyDescent="0.25">
      <c r="A64" s="111" t="s">
        <v>93</v>
      </c>
      <c r="B64" s="125">
        <f t="shared" si="5"/>
        <v>0</v>
      </c>
      <c r="C64" s="125">
        <f t="shared" ref="C64:V64" si="16">IF(C13=0,0,C13/C$8)</f>
        <v>0</v>
      </c>
      <c r="D64" s="125">
        <f t="shared" si="16"/>
        <v>0</v>
      </c>
      <c r="E64" s="125">
        <f t="shared" si="16"/>
        <v>0</v>
      </c>
      <c r="F64" s="125">
        <f t="shared" si="16"/>
        <v>0</v>
      </c>
      <c r="G64" s="125">
        <f t="shared" si="16"/>
        <v>0</v>
      </c>
      <c r="H64" s="125">
        <f t="shared" si="16"/>
        <v>0</v>
      </c>
      <c r="I64" s="125">
        <f t="shared" si="16"/>
        <v>0</v>
      </c>
      <c r="J64" s="125">
        <f t="shared" si="16"/>
        <v>0</v>
      </c>
      <c r="K64" s="125">
        <f t="shared" si="16"/>
        <v>0</v>
      </c>
      <c r="L64" s="125">
        <f t="shared" si="16"/>
        <v>0</v>
      </c>
      <c r="M64" s="125">
        <f t="shared" si="16"/>
        <v>0</v>
      </c>
      <c r="N64" s="125">
        <f t="shared" si="16"/>
        <v>0</v>
      </c>
      <c r="O64" s="125">
        <f t="shared" si="16"/>
        <v>0</v>
      </c>
      <c r="P64" s="125">
        <f t="shared" si="16"/>
        <v>0</v>
      </c>
      <c r="Q64" s="125">
        <f t="shared" si="16"/>
        <v>0</v>
      </c>
      <c r="R64" s="125">
        <f t="shared" si="16"/>
        <v>0</v>
      </c>
      <c r="S64" s="125">
        <f t="shared" si="16"/>
        <v>0</v>
      </c>
      <c r="T64" s="125">
        <f t="shared" si="16"/>
        <v>0</v>
      </c>
      <c r="U64" s="125">
        <f t="shared" si="16"/>
        <v>0</v>
      </c>
      <c r="V64" s="125">
        <f t="shared" si="16"/>
        <v>0</v>
      </c>
      <c r="W64" s="125">
        <f t="shared" ref="W64" si="17">IF(W13=0,0,W13/W$8)</f>
        <v>0</v>
      </c>
      <c r="DA64" s="171"/>
    </row>
    <row r="65" spans="1:105" ht="11.45" customHeight="1" x14ac:dyDescent="0.25">
      <c r="A65" s="112" t="s">
        <v>25</v>
      </c>
      <c r="B65" s="126">
        <f t="shared" si="5"/>
        <v>0</v>
      </c>
      <c r="C65" s="126">
        <f t="shared" ref="C65:V65" si="18">IF(C14=0,0,C14/C$8)</f>
        <v>0</v>
      </c>
      <c r="D65" s="126">
        <f t="shared" si="18"/>
        <v>0</v>
      </c>
      <c r="E65" s="126">
        <f t="shared" si="18"/>
        <v>0</v>
      </c>
      <c r="F65" s="126">
        <f t="shared" si="18"/>
        <v>0</v>
      </c>
      <c r="G65" s="126">
        <f t="shared" si="18"/>
        <v>0</v>
      </c>
      <c r="H65" s="126">
        <f t="shared" si="18"/>
        <v>0</v>
      </c>
      <c r="I65" s="126">
        <f t="shared" si="18"/>
        <v>0</v>
      </c>
      <c r="J65" s="126">
        <f t="shared" si="18"/>
        <v>0</v>
      </c>
      <c r="K65" s="126">
        <f t="shared" si="18"/>
        <v>0</v>
      </c>
      <c r="L65" s="126">
        <f t="shared" si="18"/>
        <v>0</v>
      </c>
      <c r="M65" s="126">
        <f t="shared" si="18"/>
        <v>0</v>
      </c>
      <c r="N65" s="126">
        <f t="shared" si="18"/>
        <v>0</v>
      </c>
      <c r="O65" s="126">
        <f t="shared" si="18"/>
        <v>0</v>
      </c>
      <c r="P65" s="126">
        <f t="shared" si="18"/>
        <v>0</v>
      </c>
      <c r="Q65" s="126">
        <f t="shared" si="18"/>
        <v>0</v>
      </c>
      <c r="R65" s="126">
        <f t="shared" si="18"/>
        <v>0</v>
      </c>
      <c r="S65" s="126">
        <f t="shared" si="18"/>
        <v>0</v>
      </c>
      <c r="T65" s="126">
        <f t="shared" si="18"/>
        <v>0</v>
      </c>
      <c r="U65" s="126">
        <f t="shared" si="18"/>
        <v>0</v>
      </c>
      <c r="V65" s="126">
        <f t="shared" si="18"/>
        <v>0</v>
      </c>
      <c r="W65" s="126">
        <f t="shared" ref="W65" si="19">IF(W14=0,0,W14/W$8)</f>
        <v>0</v>
      </c>
      <c r="DA65" s="204"/>
    </row>
    <row r="66" spans="1:105" ht="11.45" customHeight="1" x14ac:dyDescent="0.25">
      <c r="A66" s="27" t="s">
        <v>34</v>
      </c>
      <c r="B66" s="31">
        <f t="shared" si="5"/>
        <v>0.29582440656542719</v>
      </c>
      <c r="C66" s="31">
        <f t="shared" ref="C66:V66" si="20">IF(C15=0,0,C15/C$8)</f>
        <v>0.29384044953892063</v>
      </c>
      <c r="D66" s="31">
        <f t="shared" si="20"/>
        <v>0.29683962150810705</v>
      </c>
      <c r="E66" s="31">
        <f t="shared" si="20"/>
        <v>0.28439412607781894</v>
      </c>
      <c r="F66" s="31">
        <f t="shared" si="20"/>
        <v>0.30745375862529295</v>
      </c>
      <c r="G66" s="31">
        <f t="shared" si="20"/>
        <v>0.29031841968458999</v>
      </c>
      <c r="H66" s="31">
        <f t="shared" si="20"/>
        <v>0.32670527522242665</v>
      </c>
      <c r="I66" s="31">
        <f t="shared" si="20"/>
        <v>0.32722324178441048</v>
      </c>
      <c r="J66" s="31">
        <f t="shared" si="20"/>
        <v>0.20945293441132512</v>
      </c>
      <c r="K66" s="31">
        <f t="shared" si="20"/>
        <v>0.16498507589105413</v>
      </c>
      <c r="L66" s="31">
        <f t="shared" si="20"/>
        <v>0.1701313871520613</v>
      </c>
      <c r="M66" s="31">
        <f t="shared" si="20"/>
        <v>0.1716147518976682</v>
      </c>
      <c r="N66" s="31">
        <f t="shared" si="20"/>
        <v>0.16124599791229011</v>
      </c>
      <c r="O66" s="31">
        <f t="shared" si="20"/>
        <v>0.16834093912481565</v>
      </c>
      <c r="P66" s="31">
        <f t="shared" si="20"/>
        <v>0.16139553113148378</v>
      </c>
      <c r="Q66" s="31">
        <f t="shared" si="20"/>
        <v>0.16521920410795488</v>
      </c>
      <c r="R66" s="31">
        <f t="shared" si="20"/>
        <v>0.16193553816957451</v>
      </c>
      <c r="S66" s="31">
        <f t="shared" si="20"/>
        <v>0.16406977888517169</v>
      </c>
      <c r="T66" s="31">
        <f t="shared" si="20"/>
        <v>0.16039027922682664</v>
      </c>
      <c r="U66" s="31">
        <f t="shared" si="20"/>
        <v>0.16773330258622191</v>
      </c>
      <c r="V66" s="31">
        <f t="shared" si="20"/>
        <v>0.24177179821856287</v>
      </c>
      <c r="W66" s="31">
        <f t="shared" ref="W66" si="21">IF(W15=0,0,W15/W$8)</f>
        <v>0.23828285290923512</v>
      </c>
      <c r="DA66" s="173"/>
    </row>
    <row r="67" spans="1:105" ht="11.45" customHeight="1" x14ac:dyDescent="0.25">
      <c r="A67" s="83" t="s">
        <v>92</v>
      </c>
      <c r="B67" s="125">
        <f t="shared" si="5"/>
        <v>0.29582440656542719</v>
      </c>
      <c r="C67" s="125">
        <f t="shared" ref="C67:V67" si="22">IF(C16=0,0,C16/C$8)</f>
        <v>0.29384044953892063</v>
      </c>
      <c r="D67" s="125">
        <f t="shared" si="22"/>
        <v>0.29683962150810705</v>
      </c>
      <c r="E67" s="125">
        <f t="shared" si="22"/>
        <v>0.28439412607781894</v>
      </c>
      <c r="F67" s="125">
        <f t="shared" si="22"/>
        <v>0.30745375862529295</v>
      </c>
      <c r="G67" s="125">
        <f t="shared" si="22"/>
        <v>0.29031841968458999</v>
      </c>
      <c r="H67" s="125">
        <f t="shared" si="22"/>
        <v>0.32670527522242665</v>
      </c>
      <c r="I67" s="125">
        <f t="shared" si="22"/>
        <v>0.32722324178441048</v>
      </c>
      <c r="J67" s="125">
        <f t="shared" si="22"/>
        <v>0.20945293441132512</v>
      </c>
      <c r="K67" s="125">
        <f t="shared" si="22"/>
        <v>0.16498507589105413</v>
      </c>
      <c r="L67" s="125">
        <f t="shared" si="22"/>
        <v>0.1701313871520613</v>
      </c>
      <c r="M67" s="125">
        <f t="shared" si="22"/>
        <v>0.1716147518976682</v>
      </c>
      <c r="N67" s="125">
        <f t="shared" si="22"/>
        <v>0.16124599791229011</v>
      </c>
      <c r="O67" s="125">
        <f t="shared" si="22"/>
        <v>0.16834093912481565</v>
      </c>
      <c r="P67" s="125">
        <f t="shared" si="22"/>
        <v>0.16139553113148378</v>
      </c>
      <c r="Q67" s="125">
        <f t="shared" si="22"/>
        <v>0.16521920410795488</v>
      </c>
      <c r="R67" s="125">
        <f t="shared" si="22"/>
        <v>0.16193553816957451</v>
      </c>
      <c r="S67" s="125">
        <f t="shared" si="22"/>
        <v>0.16406977888517169</v>
      </c>
      <c r="T67" s="125">
        <f t="shared" si="22"/>
        <v>0.16039027922682664</v>
      </c>
      <c r="U67" s="125">
        <f t="shared" si="22"/>
        <v>0.16773330258622191</v>
      </c>
      <c r="V67" s="125">
        <f t="shared" si="22"/>
        <v>0.24177179821856287</v>
      </c>
      <c r="W67" s="125">
        <f t="shared" ref="W67" si="23">IF(W16=0,0,W16/W$8)</f>
        <v>0.23828285290923512</v>
      </c>
      <c r="DA67" s="171"/>
    </row>
    <row r="68" spans="1:105" ht="11.45" customHeight="1" x14ac:dyDescent="0.25">
      <c r="A68" s="85" t="s">
        <v>93</v>
      </c>
      <c r="B68" s="127">
        <f t="shared" si="5"/>
        <v>0</v>
      </c>
      <c r="C68" s="127">
        <f t="shared" ref="C68:V68" si="24">IF(C17=0,0,C17/C$8)</f>
        <v>0</v>
      </c>
      <c r="D68" s="127">
        <f t="shared" si="24"/>
        <v>0</v>
      </c>
      <c r="E68" s="127">
        <f t="shared" si="24"/>
        <v>0</v>
      </c>
      <c r="F68" s="127">
        <f t="shared" si="24"/>
        <v>0</v>
      </c>
      <c r="G68" s="127">
        <f t="shared" si="24"/>
        <v>0</v>
      </c>
      <c r="H68" s="127">
        <f t="shared" si="24"/>
        <v>0</v>
      </c>
      <c r="I68" s="127">
        <f t="shared" si="24"/>
        <v>0</v>
      </c>
      <c r="J68" s="127">
        <f t="shared" si="24"/>
        <v>0</v>
      </c>
      <c r="K68" s="127">
        <f t="shared" si="24"/>
        <v>0</v>
      </c>
      <c r="L68" s="127">
        <f t="shared" si="24"/>
        <v>0</v>
      </c>
      <c r="M68" s="127">
        <f t="shared" si="24"/>
        <v>0</v>
      </c>
      <c r="N68" s="127">
        <f t="shared" si="24"/>
        <v>0</v>
      </c>
      <c r="O68" s="127">
        <f t="shared" si="24"/>
        <v>0</v>
      </c>
      <c r="P68" s="127">
        <f t="shared" si="24"/>
        <v>0</v>
      </c>
      <c r="Q68" s="127">
        <f t="shared" si="24"/>
        <v>0</v>
      </c>
      <c r="R68" s="127">
        <f t="shared" si="24"/>
        <v>0</v>
      </c>
      <c r="S68" s="127">
        <f t="shared" si="24"/>
        <v>0</v>
      </c>
      <c r="T68" s="127">
        <f t="shared" si="24"/>
        <v>0</v>
      </c>
      <c r="U68" s="127">
        <f t="shared" si="24"/>
        <v>0</v>
      </c>
      <c r="V68" s="127">
        <f t="shared" si="24"/>
        <v>0</v>
      </c>
      <c r="W68" s="127">
        <f t="shared" ref="W68" si="25">IF(W17=0,0,W17/W$8)</f>
        <v>0</v>
      </c>
      <c r="DA68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11:W11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DA1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188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10" t="s">
        <v>18</v>
      </c>
      <c r="B4" s="11">
        <f t="shared" ref="B4:C4" si="0">SUM(B5:B7)</f>
        <v>13223.443475101345</v>
      </c>
      <c r="C4" s="11">
        <f t="shared" si="0"/>
        <v>13089.979841681896</v>
      </c>
      <c r="D4" s="11">
        <f t="shared" ref="D4:V4" si="1">SUM(D5:D7)</f>
        <v>13475.962285863934</v>
      </c>
      <c r="E4" s="11">
        <f t="shared" si="1"/>
        <v>13785.006988272291</v>
      </c>
      <c r="F4" s="11">
        <f t="shared" si="1"/>
        <v>16144.600296438886</v>
      </c>
      <c r="G4" s="11">
        <f t="shared" si="1"/>
        <v>18064.682208957747</v>
      </c>
      <c r="H4" s="11">
        <f t="shared" si="1"/>
        <v>18422.328573576964</v>
      </c>
      <c r="I4" s="11">
        <f t="shared" si="1"/>
        <v>18904.201204048903</v>
      </c>
      <c r="J4" s="11">
        <f t="shared" si="1"/>
        <v>18831.212565722155</v>
      </c>
      <c r="K4" s="11">
        <f t="shared" si="1"/>
        <v>16860.672690029856</v>
      </c>
      <c r="L4" s="11">
        <f t="shared" si="1"/>
        <v>18136.46724071775</v>
      </c>
      <c r="M4" s="11">
        <f t="shared" si="1"/>
        <v>18838.012664226986</v>
      </c>
      <c r="N4" s="11">
        <f t="shared" si="1"/>
        <v>19273.732579023032</v>
      </c>
      <c r="O4" s="11">
        <f t="shared" si="1"/>
        <v>19260.726394624646</v>
      </c>
      <c r="P4" s="11">
        <f t="shared" si="1"/>
        <v>20647.417651510619</v>
      </c>
      <c r="Q4" s="11">
        <f t="shared" si="1"/>
        <v>21193.526241703326</v>
      </c>
      <c r="R4" s="11">
        <f t="shared" si="1"/>
        <v>21239.334078696695</v>
      </c>
      <c r="S4" s="11">
        <f t="shared" si="1"/>
        <v>22020.790589055254</v>
      </c>
      <c r="T4" s="11">
        <f t="shared" si="1"/>
        <v>25707.619131553562</v>
      </c>
      <c r="U4" s="11">
        <f t="shared" si="1"/>
        <v>30417.537279921697</v>
      </c>
      <c r="V4" s="11">
        <f t="shared" si="1"/>
        <v>7716.4878955314935</v>
      </c>
      <c r="W4" s="11">
        <f t="shared" ref="W4" si="2">SUM(W5:W7)</f>
        <v>8981.9287027144819</v>
      </c>
      <c r="DA4" s="189" t="s">
        <v>189</v>
      </c>
    </row>
    <row r="5" spans="1:105" ht="11.45" customHeight="1" x14ac:dyDescent="0.25">
      <c r="A5" s="83" t="s">
        <v>27</v>
      </c>
      <c r="B5" s="84">
        <v>157.73010977986456</v>
      </c>
      <c r="C5" s="84">
        <v>161.6706720296161</v>
      </c>
      <c r="D5" s="84">
        <v>164.77891671145522</v>
      </c>
      <c r="E5" s="84">
        <v>169.57291546636549</v>
      </c>
      <c r="F5" s="84">
        <v>176.9205698250168</v>
      </c>
      <c r="G5" s="84">
        <v>176.76307214720245</v>
      </c>
      <c r="H5" s="84">
        <v>222.22347415220128</v>
      </c>
      <c r="I5" s="84">
        <v>239.27197635652539</v>
      </c>
      <c r="J5" s="84">
        <v>254.91024629023923</v>
      </c>
      <c r="K5" s="84">
        <v>253.19715721549841</v>
      </c>
      <c r="L5" s="84">
        <v>273.91358864677414</v>
      </c>
      <c r="M5" s="84">
        <v>214.35635078544084</v>
      </c>
      <c r="N5" s="84">
        <v>199.03830850251686</v>
      </c>
      <c r="O5" s="84">
        <v>190.16316407123657</v>
      </c>
      <c r="P5" s="84">
        <v>178.54922045539277</v>
      </c>
      <c r="Q5" s="84">
        <v>162.94319937007089</v>
      </c>
      <c r="R5" s="84">
        <v>156.43057111485413</v>
      </c>
      <c r="S5" s="84">
        <v>167.92680319809793</v>
      </c>
      <c r="T5" s="84">
        <v>184.04799250286442</v>
      </c>
      <c r="U5" s="84">
        <v>174.94500495564228</v>
      </c>
      <c r="V5" s="84">
        <v>45.158139806212034</v>
      </c>
      <c r="W5" s="84">
        <v>32.323435765842916</v>
      </c>
      <c r="DA5" s="171" t="s">
        <v>190</v>
      </c>
    </row>
    <row r="6" spans="1:105" ht="11.45" customHeight="1" x14ac:dyDescent="0.25">
      <c r="A6" s="83" t="s">
        <v>173</v>
      </c>
      <c r="B6" s="84">
        <v>5815.1714293441055</v>
      </c>
      <c r="C6" s="84">
        <v>5847.5470253909452</v>
      </c>
      <c r="D6" s="84">
        <v>6016.456009478281</v>
      </c>
      <c r="E6" s="84">
        <v>6423.073755352626</v>
      </c>
      <c r="F6" s="84">
        <v>7102.8260583170486</v>
      </c>
      <c r="G6" s="84">
        <v>7433.5661100009611</v>
      </c>
      <c r="H6" s="84">
        <v>7689.8381239059572</v>
      </c>
      <c r="I6" s="84">
        <v>8072.9845525995943</v>
      </c>
      <c r="J6" s="84">
        <v>7995.9584783558576</v>
      </c>
      <c r="K6" s="84">
        <v>7222.9767562222596</v>
      </c>
      <c r="L6" s="84">
        <v>7688.092066783358</v>
      </c>
      <c r="M6" s="84">
        <v>8289.4247368870492</v>
      </c>
      <c r="N6" s="84">
        <v>8449.1323091236027</v>
      </c>
      <c r="O6" s="84">
        <v>8270.8299111600136</v>
      </c>
      <c r="P6" s="84">
        <v>8654.6134148853289</v>
      </c>
      <c r="Q6" s="84">
        <v>8854.7091798438742</v>
      </c>
      <c r="R6" s="84">
        <v>9351.5968272534683</v>
      </c>
      <c r="S6" s="84">
        <v>9582.0713323677501</v>
      </c>
      <c r="T6" s="84">
        <v>10609.966288471904</v>
      </c>
      <c r="U6" s="84">
        <v>12562.287873226576</v>
      </c>
      <c r="V6" s="84">
        <v>3599.5489262070805</v>
      </c>
      <c r="W6" s="84">
        <v>4314.8906974027932</v>
      </c>
      <c r="DA6" s="171" t="s">
        <v>191</v>
      </c>
    </row>
    <row r="7" spans="1:105" ht="11.45" customHeight="1" x14ac:dyDescent="0.25">
      <c r="A7" s="83" t="s">
        <v>174</v>
      </c>
      <c r="B7" s="84">
        <v>7250.541935977375</v>
      </c>
      <c r="C7" s="84">
        <v>7080.7621442613354</v>
      </c>
      <c r="D7" s="84">
        <v>7294.7273596741979</v>
      </c>
      <c r="E7" s="84">
        <v>7192.3603174532991</v>
      </c>
      <c r="F7" s="84">
        <v>8864.8536682968206</v>
      </c>
      <c r="G7" s="84">
        <v>10454.353026809584</v>
      </c>
      <c r="H7" s="84">
        <v>10510.266975518805</v>
      </c>
      <c r="I7" s="84">
        <v>10591.944675092784</v>
      </c>
      <c r="J7" s="84">
        <v>10580.343841076059</v>
      </c>
      <c r="K7" s="84">
        <v>9384.4987765920996</v>
      </c>
      <c r="L7" s="84">
        <v>10174.461585287616</v>
      </c>
      <c r="M7" s="84">
        <v>10334.231576554495</v>
      </c>
      <c r="N7" s="84">
        <v>10625.561961396912</v>
      </c>
      <c r="O7" s="84">
        <v>10799.733319393396</v>
      </c>
      <c r="P7" s="84">
        <v>11814.255016169898</v>
      </c>
      <c r="Q7" s="84">
        <v>12175.873862489381</v>
      </c>
      <c r="R7" s="84">
        <v>11731.306680328375</v>
      </c>
      <c r="S7" s="84">
        <v>12270.792453489406</v>
      </c>
      <c r="T7" s="84">
        <v>14913.604850578791</v>
      </c>
      <c r="U7" s="84">
        <v>17680.304401739479</v>
      </c>
      <c r="V7" s="84">
        <v>4071.7808295182008</v>
      </c>
      <c r="W7" s="84">
        <v>4634.7145695458466</v>
      </c>
      <c r="DA7" s="171" t="s">
        <v>192</v>
      </c>
    </row>
    <row r="8" spans="1:105" ht="11.45" customHeight="1" x14ac:dyDescent="0.25">
      <c r="A8" s="12" t="s">
        <v>28</v>
      </c>
      <c r="B8" s="13">
        <f t="shared" ref="B8:C8" si="3">SUM(B9:B11)</f>
        <v>139.2532762314847</v>
      </c>
      <c r="C8" s="13">
        <f t="shared" si="3"/>
        <v>124.41682638717992</v>
      </c>
      <c r="D8" s="13">
        <f t="shared" ref="D8:V8" si="4">SUM(D9:D11)</f>
        <v>138.9961542190818</v>
      </c>
      <c r="E8" s="13">
        <f t="shared" si="4"/>
        <v>140.26740611933369</v>
      </c>
      <c r="F8" s="13">
        <f t="shared" si="4"/>
        <v>174.39532357917057</v>
      </c>
      <c r="G8" s="13">
        <f t="shared" si="4"/>
        <v>222.7318651753711</v>
      </c>
      <c r="H8" s="13">
        <f t="shared" si="4"/>
        <v>212.15089885492145</v>
      </c>
      <c r="I8" s="13">
        <f t="shared" si="4"/>
        <v>181.63972529978196</v>
      </c>
      <c r="J8" s="13">
        <f t="shared" si="4"/>
        <v>157.41398603992297</v>
      </c>
      <c r="K8" s="13">
        <f t="shared" si="4"/>
        <v>132.27774881037698</v>
      </c>
      <c r="L8" s="13">
        <f t="shared" si="4"/>
        <v>138.66486537686347</v>
      </c>
      <c r="M8" s="13">
        <f t="shared" si="4"/>
        <v>174.37912938217261</v>
      </c>
      <c r="N8" s="13">
        <f t="shared" si="4"/>
        <v>192.04022892224631</v>
      </c>
      <c r="O8" s="13">
        <f t="shared" si="4"/>
        <v>224.87592108310122</v>
      </c>
      <c r="P8" s="13">
        <f t="shared" si="4"/>
        <v>296.23422278671097</v>
      </c>
      <c r="Q8" s="13">
        <f t="shared" si="4"/>
        <v>364.93233783362274</v>
      </c>
      <c r="R8" s="13">
        <f t="shared" si="4"/>
        <v>382.03272684271087</v>
      </c>
      <c r="S8" s="13">
        <f t="shared" si="4"/>
        <v>418.18520510499775</v>
      </c>
      <c r="T8" s="13">
        <f t="shared" si="4"/>
        <v>505.79024585555885</v>
      </c>
      <c r="U8" s="13">
        <f t="shared" si="4"/>
        <v>547.84616864362204</v>
      </c>
      <c r="V8" s="13">
        <f t="shared" si="4"/>
        <v>286.67569229418109</v>
      </c>
      <c r="W8" s="13">
        <f t="shared" ref="W8" si="5">SUM(W9:W11)</f>
        <v>282.93604073155336</v>
      </c>
      <c r="DA8" s="193" t="s">
        <v>193</v>
      </c>
    </row>
    <row r="9" spans="1:105" ht="11.45" customHeight="1" x14ac:dyDescent="0.25">
      <c r="A9" s="92" t="s">
        <v>27</v>
      </c>
      <c r="B9" s="102">
        <v>0.28801204497396837</v>
      </c>
      <c r="C9" s="102">
        <v>0.17715871093860264</v>
      </c>
      <c r="D9" s="102">
        <v>0.18217744828156904</v>
      </c>
      <c r="E9" s="102">
        <v>0.19377986309623521</v>
      </c>
      <c r="F9" s="102">
        <v>0.23600020610286512</v>
      </c>
      <c r="G9" s="102">
        <v>0.24124905848070594</v>
      </c>
      <c r="H9" s="102">
        <v>0.2387272519643622</v>
      </c>
      <c r="I9" s="102">
        <v>0.21276308244844544</v>
      </c>
      <c r="J9" s="102">
        <v>0.22503384529186968</v>
      </c>
      <c r="K9" s="102">
        <v>0.21629179337214144</v>
      </c>
      <c r="L9" s="102">
        <v>0.18957164858870607</v>
      </c>
      <c r="M9" s="102">
        <v>0.14504882517185019</v>
      </c>
      <c r="N9" s="102">
        <v>0.11128313078255732</v>
      </c>
      <c r="O9" s="102">
        <v>8.2765899310941249E-2</v>
      </c>
      <c r="P9" s="102">
        <v>5.6643063536230664E-2</v>
      </c>
      <c r="Q9" s="102">
        <v>5.1504044543796486E-2</v>
      </c>
      <c r="R9" s="102">
        <v>3.2377554553947543E-2</v>
      </c>
      <c r="S9" s="102">
        <v>2.2563581763753549E-2</v>
      </c>
      <c r="T9" s="102">
        <v>2.1363242944586577E-2</v>
      </c>
      <c r="U9" s="102">
        <v>7.0959804615836498E-3</v>
      </c>
      <c r="V9" s="102">
        <v>3.2187996606338723E-3</v>
      </c>
      <c r="W9" s="102">
        <v>2.8572198849703681E-3</v>
      </c>
      <c r="DA9" s="175" t="s">
        <v>194</v>
      </c>
    </row>
    <row r="10" spans="1:105" ht="11.45" customHeight="1" x14ac:dyDescent="0.25">
      <c r="A10" s="92" t="s">
        <v>173</v>
      </c>
      <c r="B10" s="102">
        <v>34.32699973324867</v>
      </c>
      <c r="C10" s="102">
        <v>32.916103885321533</v>
      </c>
      <c r="D10" s="102">
        <v>41.005659486925609</v>
      </c>
      <c r="E10" s="102">
        <v>45.049816992278508</v>
      </c>
      <c r="F10" s="102">
        <v>65.192656725663895</v>
      </c>
      <c r="G10" s="102">
        <v>67.767990398462658</v>
      </c>
      <c r="H10" s="102">
        <v>64.55804094867959</v>
      </c>
      <c r="I10" s="102">
        <v>53.991924638873748</v>
      </c>
      <c r="J10" s="102">
        <v>48.393236926037538</v>
      </c>
      <c r="K10" s="102">
        <v>44.044417947588315</v>
      </c>
      <c r="L10" s="102">
        <v>46.70519606452995</v>
      </c>
      <c r="M10" s="102">
        <v>48.024411834106481</v>
      </c>
      <c r="N10" s="102">
        <v>45.139785100755297</v>
      </c>
      <c r="O10" s="102">
        <v>48.607475639008911</v>
      </c>
      <c r="P10" s="102">
        <v>64.213393487112725</v>
      </c>
      <c r="Q10" s="102">
        <v>60.888145299482403</v>
      </c>
      <c r="R10" s="102">
        <v>54.820807654649435</v>
      </c>
      <c r="S10" s="102">
        <v>59.711553981687224</v>
      </c>
      <c r="T10" s="102">
        <v>61.85848742848944</v>
      </c>
      <c r="U10" s="102">
        <v>70.642509370345977</v>
      </c>
      <c r="V10" s="102">
        <v>54.927995934251165</v>
      </c>
      <c r="W10" s="102">
        <v>63.265406648666513</v>
      </c>
      <c r="DA10" s="175" t="s">
        <v>195</v>
      </c>
    </row>
    <row r="11" spans="1:105" ht="11.45" customHeight="1" x14ac:dyDescent="0.25">
      <c r="A11" s="85" t="s">
        <v>174</v>
      </c>
      <c r="B11" s="86">
        <v>104.63826445326207</v>
      </c>
      <c r="C11" s="86">
        <v>91.323563790919778</v>
      </c>
      <c r="D11" s="86">
        <v>97.808317283874615</v>
      </c>
      <c r="E11" s="86">
        <v>95.023809263958952</v>
      </c>
      <c r="F11" s="86">
        <v>108.9666666474038</v>
      </c>
      <c r="G11" s="86">
        <v>154.72262571842774</v>
      </c>
      <c r="H11" s="86">
        <v>147.3541306542775</v>
      </c>
      <c r="I11" s="86">
        <v>127.43503757845977</v>
      </c>
      <c r="J11" s="86">
        <v>108.79571526859358</v>
      </c>
      <c r="K11" s="86">
        <v>88.017039069416512</v>
      </c>
      <c r="L11" s="86">
        <v>91.770097663744835</v>
      </c>
      <c r="M11" s="86">
        <v>126.20966872289428</v>
      </c>
      <c r="N11" s="86">
        <v>146.78916069070846</v>
      </c>
      <c r="O11" s="86">
        <v>176.18567954478138</v>
      </c>
      <c r="P11" s="86">
        <v>231.96418623606203</v>
      </c>
      <c r="Q11" s="86">
        <v>303.99268848959656</v>
      </c>
      <c r="R11" s="86">
        <v>327.17954163350748</v>
      </c>
      <c r="S11" s="86">
        <v>358.45108754154677</v>
      </c>
      <c r="T11" s="86">
        <v>443.91039518412481</v>
      </c>
      <c r="U11" s="86">
        <v>477.19656329281446</v>
      </c>
      <c r="V11" s="86">
        <v>231.7444775602693</v>
      </c>
      <c r="W11" s="86">
        <v>219.66777686300185</v>
      </c>
      <c r="DA11" s="178" t="s">
        <v>196</v>
      </c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64</v>
      </c>
      <c r="B13" s="54">
        <f t="shared" ref="B13:C13" si="6">SUM(B14,B18)</f>
        <v>142.79540947139543</v>
      </c>
      <c r="C13" s="54">
        <f t="shared" si="6"/>
        <v>136.88864062445822</v>
      </c>
      <c r="D13" s="54">
        <f t="shared" ref="D13:V13" si="7">SUM(D14,D18)</f>
        <v>136.54310087353949</v>
      </c>
      <c r="E13" s="54">
        <f t="shared" si="7"/>
        <v>141.65668228524504</v>
      </c>
      <c r="F13" s="54">
        <f t="shared" si="7"/>
        <v>162.54382446123816</v>
      </c>
      <c r="G13" s="54">
        <f t="shared" si="7"/>
        <v>172.97899351225129</v>
      </c>
      <c r="H13" s="54">
        <f t="shared" si="7"/>
        <v>172.21315848771229</v>
      </c>
      <c r="I13" s="54">
        <f t="shared" si="7"/>
        <v>178.3445296766854</v>
      </c>
      <c r="J13" s="54">
        <f t="shared" si="7"/>
        <v>183.13790713894372</v>
      </c>
      <c r="K13" s="54">
        <f t="shared" si="7"/>
        <v>164.73134016113818</v>
      </c>
      <c r="L13" s="54">
        <f t="shared" si="7"/>
        <v>166.30939186350622</v>
      </c>
      <c r="M13" s="54">
        <f t="shared" si="7"/>
        <v>167.77081040414984</v>
      </c>
      <c r="N13" s="54">
        <f t="shared" si="7"/>
        <v>162.5991084490777</v>
      </c>
      <c r="O13" s="54">
        <f t="shared" si="7"/>
        <v>156.85683818224078</v>
      </c>
      <c r="P13" s="54">
        <f t="shared" si="7"/>
        <v>163.61833516218852</v>
      </c>
      <c r="Q13" s="54">
        <f t="shared" si="7"/>
        <v>166.84591356150116</v>
      </c>
      <c r="R13" s="54">
        <f t="shared" si="7"/>
        <v>166.7340549593645</v>
      </c>
      <c r="S13" s="54">
        <f t="shared" si="7"/>
        <v>167.60091112915677</v>
      </c>
      <c r="T13" s="54">
        <f t="shared" si="7"/>
        <v>185.21198850692107</v>
      </c>
      <c r="U13" s="54">
        <f t="shared" si="7"/>
        <v>209.42624821691331</v>
      </c>
      <c r="V13" s="54">
        <f t="shared" si="7"/>
        <v>71.393957674429259</v>
      </c>
      <c r="W13" s="54">
        <f t="shared" ref="W13" si="8">SUM(W14,W18)</f>
        <v>82.434495430810244</v>
      </c>
      <c r="DA13" s="172" t="s">
        <v>197</v>
      </c>
    </row>
    <row r="14" spans="1:105" ht="11.45" customHeight="1" x14ac:dyDescent="0.25">
      <c r="A14" s="10" t="s">
        <v>33</v>
      </c>
      <c r="B14" s="11">
        <f t="shared" ref="B14:C14" si="9">SUM(B15:B17)</f>
        <v>140.33635097600796</v>
      </c>
      <c r="C14" s="11">
        <f t="shared" si="9"/>
        <v>134.73468898159695</v>
      </c>
      <c r="D14" s="11">
        <f t="shared" ref="D14:V14" si="10">SUM(D15:D17)</f>
        <v>133.87165120267997</v>
      </c>
      <c r="E14" s="11">
        <f t="shared" si="10"/>
        <v>138.8086330973062</v>
      </c>
      <c r="F14" s="11">
        <f t="shared" si="10"/>
        <v>158.34948897908549</v>
      </c>
      <c r="G14" s="11">
        <f t="shared" si="10"/>
        <v>167.99138015468645</v>
      </c>
      <c r="H14" s="11">
        <f t="shared" si="10"/>
        <v>167.02928738827751</v>
      </c>
      <c r="I14" s="11">
        <f t="shared" si="10"/>
        <v>173.80101310660788</v>
      </c>
      <c r="J14" s="11">
        <f t="shared" si="10"/>
        <v>179.01917589803278</v>
      </c>
      <c r="K14" s="11">
        <f t="shared" si="10"/>
        <v>161.3277205724267</v>
      </c>
      <c r="L14" s="11">
        <f t="shared" si="10"/>
        <v>162.75239678328134</v>
      </c>
      <c r="M14" s="11">
        <f t="shared" si="10"/>
        <v>163.7850376679105</v>
      </c>
      <c r="N14" s="11">
        <f t="shared" si="10"/>
        <v>158.78217343570989</v>
      </c>
      <c r="O14" s="11">
        <f t="shared" si="10"/>
        <v>152.60127457589877</v>
      </c>
      <c r="P14" s="11">
        <f t="shared" si="10"/>
        <v>158.78334862439343</v>
      </c>
      <c r="Q14" s="11">
        <f t="shared" si="10"/>
        <v>161.3975167291066</v>
      </c>
      <c r="R14" s="11">
        <f t="shared" si="10"/>
        <v>161.68608248586168</v>
      </c>
      <c r="S14" s="11">
        <f t="shared" si="10"/>
        <v>161.85208581858254</v>
      </c>
      <c r="T14" s="11">
        <f t="shared" si="10"/>
        <v>178.78780205510441</v>
      </c>
      <c r="U14" s="11">
        <f t="shared" si="10"/>
        <v>202.62037968842367</v>
      </c>
      <c r="V14" s="11">
        <f t="shared" si="10"/>
        <v>65.972725923734714</v>
      </c>
      <c r="W14" s="11">
        <f t="shared" ref="W14" si="11">SUM(W15:W17)</f>
        <v>76.23261152118387</v>
      </c>
      <c r="DA14" s="189" t="s">
        <v>198</v>
      </c>
    </row>
    <row r="15" spans="1:105" ht="11.45" customHeight="1" x14ac:dyDescent="0.25">
      <c r="A15" s="83" t="s">
        <v>27</v>
      </c>
      <c r="B15" s="84">
        <v>5.6861641189378567</v>
      </c>
      <c r="C15" s="84">
        <v>5.0963220220770165</v>
      </c>
      <c r="D15" s="84">
        <v>5.475255788007277</v>
      </c>
      <c r="E15" s="84">
        <v>5.2314435998215432</v>
      </c>
      <c r="F15" s="84">
        <v>5.1114254319646282</v>
      </c>
      <c r="G15" s="84">
        <v>5.1718206653088927</v>
      </c>
      <c r="H15" s="84">
        <v>5.3994792257001363</v>
      </c>
      <c r="I15" s="84">
        <v>5.5863666585932554</v>
      </c>
      <c r="J15" s="84">
        <v>6.0046010158490617</v>
      </c>
      <c r="K15" s="84">
        <v>5.9842777695470231</v>
      </c>
      <c r="L15" s="84">
        <v>5.9186436943591243</v>
      </c>
      <c r="M15" s="84">
        <v>4.5415264237386497</v>
      </c>
      <c r="N15" s="84">
        <v>4.3741924004640937</v>
      </c>
      <c r="O15" s="84">
        <v>4.1366257754756806</v>
      </c>
      <c r="P15" s="84">
        <v>3.8758738968408508</v>
      </c>
      <c r="Q15" s="84">
        <v>3.5605271487955434</v>
      </c>
      <c r="R15" s="84">
        <v>3.274314542605012</v>
      </c>
      <c r="S15" s="84">
        <v>3.2518334128779216</v>
      </c>
      <c r="T15" s="84">
        <v>3.1972669505135389</v>
      </c>
      <c r="U15" s="84">
        <v>3.0205833984491499</v>
      </c>
      <c r="V15" s="84">
        <v>0.98094642016961209</v>
      </c>
      <c r="W15" s="84">
        <v>0.70748469347144027</v>
      </c>
      <c r="DA15" s="171" t="s">
        <v>199</v>
      </c>
    </row>
    <row r="16" spans="1:105" ht="11.45" customHeight="1" x14ac:dyDescent="0.25">
      <c r="A16" s="83" t="s">
        <v>173</v>
      </c>
      <c r="B16" s="84">
        <v>69.186207142866976</v>
      </c>
      <c r="C16" s="84">
        <v>68.987697941513048</v>
      </c>
      <c r="D16" s="84">
        <v>69.362120957510356</v>
      </c>
      <c r="E16" s="84">
        <v>75.144315105388472</v>
      </c>
      <c r="F16" s="84">
        <v>83.650800579797334</v>
      </c>
      <c r="G16" s="84">
        <v>85.800037188651345</v>
      </c>
      <c r="H16" s="84">
        <v>87.211644961867094</v>
      </c>
      <c r="I16" s="84">
        <v>94.56193822633179</v>
      </c>
      <c r="J16" s="84">
        <v>96.826837847196572</v>
      </c>
      <c r="K16" s="84">
        <v>85.952048888026596</v>
      </c>
      <c r="L16" s="84">
        <v>86.288307363237436</v>
      </c>
      <c r="M16" s="84">
        <v>86.128870452011796</v>
      </c>
      <c r="N16" s="84">
        <v>83.019740745898389</v>
      </c>
      <c r="O16" s="84">
        <v>77.572003713388654</v>
      </c>
      <c r="P16" s="84">
        <v>80.555099388580359</v>
      </c>
      <c r="Q16" s="84">
        <v>81.746235807276619</v>
      </c>
      <c r="R16" s="84">
        <v>85.024348892860218</v>
      </c>
      <c r="S16" s="84">
        <v>84.034672779105776</v>
      </c>
      <c r="T16" s="84">
        <v>91.058590215612369</v>
      </c>
      <c r="U16" s="84">
        <v>102.2766896944639</v>
      </c>
      <c r="V16" s="84">
        <v>36.234215034420387</v>
      </c>
      <c r="W16" s="84">
        <v>40.866934603449486</v>
      </c>
      <c r="DA16" s="171" t="s">
        <v>200</v>
      </c>
    </row>
    <row r="17" spans="1:105" ht="11.45" customHeight="1" x14ac:dyDescent="0.25">
      <c r="A17" s="83" t="s">
        <v>174</v>
      </c>
      <c r="B17" s="84">
        <v>65.463979714203148</v>
      </c>
      <c r="C17" s="84">
        <v>60.650669018006866</v>
      </c>
      <c r="D17" s="84">
        <v>59.03427445716234</v>
      </c>
      <c r="E17" s="84">
        <v>58.432874392096167</v>
      </c>
      <c r="F17" s="84">
        <v>69.587262967323511</v>
      </c>
      <c r="G17" s="84">
        <v>77.019522300726209</v>
      </c>
      <c r="H17" s="84">
        <v>74.418163200710296</v>
      </c>
      <c r="I17" s="84">
        <v>73.652708221682843</v>
      </c>
      <c r="J17" s="84">
        <v>76.187737034987151</v>
      </c>
      <c r="K17" s="84">
        <v>69.391393914853083</v>
      </c>
      <c r="L17" s="84">
        <v>70.545445725684786</v>
      </c>
      <c r="M17" s="84">
        <v>73.114640792160046</v>
      </c>
      <c r="N17" s="84">
        <v>71.388240289347408</v>
      </c>
      <c r="O17" s="84">
        <v>70.892645087034438</v>
      </c>
      <c r="P17" s="84">
        <v>74.352375338972223</v>
      </c>
      <c r="Q17" s="84">
        <v>76.090753773034422</v>
      </c>
      <c r="R17" s="84">
        <v>73.38741905039646</v>
      </c>
      <c r="S17" s="84">
        <v>74.565579626598833</v>
      </c>
      <c r="T17" s="84">
        <v>84.531944888978487</v>
      </c>
      <c r="U17" s="84">
        <v>97.323106595510609</v>
      </c>
      <c r="V17" s="84">
        <v>28.757564469144715</v>
      </c>
      <c r="W17" s="84">
        <v>34.65819222426294</v>
      </c>
      <c r="DA17" s="171" t="s">
        <v>201</v>
      </c>
    </row>
    <row r="18" spans="1:105" ht="11.45" customHeight="1" x14ac:dyDescent="0.25">
      <c r="A18" s="12" t="s">
        <v>34</v>
      </c>
      <c r="B18" s="13">
        <f t="shared" ref="B18:C18" si="12">SUM(B19:B21)</f>
        <v>2.459058495387469</v>
      </c>
      <c r="C18" s="13">
        <f t="shared" si="12"/>
        <v>2.1539516428612844</v>
      </c>
      <c r="D18" s="13">
        <f t="shared" ref="D18:V18" si="13">SUM(D19:D21)</f>
        <v>2.6714496708595119</v>
      </c>
      <c r="E18" s="13">
        <f t="shared" si="13"/>
        <v>2.848049187938833</v>
      </c>
      <c r="F18" s="13">
        <f t="shared" si="13"/>
        <v>4.1943354821526704</v>
      </c>
      <c r="G18" s="13">
        <f t="shared" si="13"/>
        <v>4.9876133575648502</v>
      </c>
      <c r="H18" s="13">
        <f t="shared" si="13"/>
        <v>5.1838710994347696</v>
      </c>
      <c r="I18" s="13">
        <f t="shared" si="13"/>
        <v>4.5435165700775073</v>
      </c>
      <c r="J18" s="13">
        <f t="shared" si="13"/>
        <v>4.1187312409109378</v>
      </c>
      <c r="K18" s="13">
        <f t="shared" si="13"/>
        <v>3.403619588711468</v>
      </c>
      <c r="L18" s="13">
        <f t="shared" si="13"/>
        <v>3.5569950802248664</v>
      </c>
      <c r="M18" s="13">
        <f t="shared" si="13"/>
        <v>3.9857727362393325</v>
      </c>
      <c r="N18" s="13">
        <f t="shared" si="13"/>
        <v>3.8169350133678055</v>
      </c>
      <c r="O18" s="13">
        <f t="shared" si="13"/>
        <v>4.2555636063420099</v>
      </c>
      <c r="P18" s="13">
        <f t="shared" si="13"/>
        <v>4.8349865377950785</v>
      </c>
      <c r="Q18" s="13">
        <f t="shared" si="13"/>
        <v>5.4483968323945753</v>
      </c>
      <c r="R18" s="13">
        <f t="shared" si="13"/>
        <v>5.0479724735028144</v>
      </c>
      <c r="S18" s="13">
        <f t="shared" si="13"/>
        <v>5.7488253105742277</v>
      </c>
      <c r="T18" s="13">
        <f t="shared" si="13"/>
        <v>6.4241864518166549</v>
      </c>
      <c r="U18" s="13">
        <f t="shared" si="13"/>
        <v>6.8058685284896381</v>
      </c>
      <c r="V18" s="13">
        <f t="shared" si="13"/>
        <v>5.42123175069454</v>
      </c>
      <c r="W18" s="13">
        <f t="shared" ref="W18" si="14">SUM(W19:W21)</f>
        <v>6.2018839096263765</v>
      </c>
      <c r="DA18" s="193" t="s">
        <v>202</v>
      </c>
    </row>
    <row r="19" spans="1:105" ht="11.45" customHeight="1" x14ac:dyDescent="0.25">
      <c r="A19" s="92" t="s">
        <v>27</v>
      </c>
      <c r="B19" s="102">
        <v>2.6787945451380257E-2</v>
      </c>
      <c r="C19" s="102">
        <v>1.6604098420277016E-2</v>
      </c>
      <c r="D19" s="102">
        <v>1.6604098420277016E-2</v>
      </c>
      <c r="E19" s="102">
        <v>1.6604098420277016E-2</v>
      </c>
      <c r="F19" s="102">
        <v>2.1474633956891608E-2</v>
      </c>
      <c r="G19" s="102">
        <v>2.243157894736842E-2</v>
      </c>
      <c r="H19" s="102">
        <v>2.3076458726689373E-2</v>
      </c>
      <c r="I19" s="102">
        <v>2.0643291268791004E-2</v>
      </c>
      <c r="J19" s="102">
        <v>2.2694143312103728E-2</v>
      </c>
      <c r="K19" s="102">
        <v>2.1625708597281881E-2</v>
      </c>
      <c r="L19" s="102">
        <v>1.7721435016111706E-2</v>
      </c>
      <c r="M19" s="102">
        <v>1.3276708412372515E-2</v>
      </c>
      <c r="N19" s="102">
        <v>9.6845714285714295E-3</v>
      </c>
      <c r="O19" s="102">
        <v>6.8577409412068089E-3</v>
      </c>
      <c r="P19" s="102">
        <v>4.1973938319532682E-3</v>
      </c>
      <c r="Q19" s="102">
        <v>3.853790249042656E-3</v>
      </c>
      <c r="R19" s="102">
        <v>2.1005779104582749E-3</v>
      </c>
      <c r="S19" s="102">
        <v>1.5880154362991454E-3</v>
      </c>
      <c r="T19" s="102">
        <v>1.48E-3</v>
      </c>
      <c r="U19" s="102">
        <v>4.4099999999999999E-4</v>
      </c>
      <c r="V19" s="102">
        <v>2.164788899805971E-4</v>
      </c>
      <c r="W19" s="102">
        <v>1.9690633116859312E-4</v>
      </c>
      <c r="DA19" s="175" t="s">
        <v>203</v>
      </c>
    </row>
    <row r="20" spans="1:105" ht="11.45" customHeight="1" x14ac:dyDescent="0.25">
      <c r="A20" s="92" t="s">
        <v>173</v>
      </c>
      <c r="B20" s="102">
        <v>1.3543703527578956</v>
      </c>
      <c r="C20" s="102">
        <v>1.2393227879462514</v>
      </c>
      <c r="D20" s="102">
        <v>1.6364530398480432</v>
      </c>
      <c r="E20" s="102">
        <v>1.7427253169609078</v>
      </c>
      <c r="F20" s="102">
        <v>2.8866838249630793</v>
      </c>
      <c r="G20" s="102">
        <v>3.0232740854090512</v>
      </c>
      <c r="H20" s="102">
        <v>3.2476348922623246</v>
      </c>
      <c r="I20" s="102">
        <v>2.8403060631579193</v>
      </c>
      <c r="J20" s="102">
        <v>2.6299945920785688</v>
      </c>
      <c r="K20" s="102">
        <v>2.3303223066868135</v>
      </c>
      <c r="L20" s="102">
        <v>2.460720635034336</v>
      </c>
      <c r="M20" s="102">
        <v>2.457888320883185</v>
      </c>
      <c r="N20" s="102">
        <v>2.1690942019392336</v>
      </c>
      <c r="O20" s="102">
        <v>2.3156237026814024</v>
      </c>
      <c r="P20" s="102">
        <v>2.635663535293328</v>
      </c>
      <c r="Q20" s="102">
        <v>2.4969227543929455</v>
      </c>
      <c r="R20" s="102">
        <v>2.0654445772037633</v>
      </c>
      <c r="S20" s="102">
        <v>2.4285789108042271</v>
      </c>
      <c r="T20" s="102">
        <v>2.4550969710770558</v>
      </c>
      <c r="U20" s="102">
        <v>2.6105926499182108</v>
      </c>
      <c r="V20" s="102">
        <v>2.4679556658545798</v>
      </c>
      <c r="W20" s="102">
        <v>3.0783747343718768</v>
      </c>
      <c r="DA20" s="175" t="s">
        <v>204</v>
      </c>
    </row>
    <row r="21" spans="1:105" ht="11.45" customHeight="1" x14ac:dyDescent="0.25">
      <c r="A21" s="85" t="s">
        <v>174</v>
      </c>
      <c r="B21" s="86">
        <v>1.0779001971781932</v>
      </c>
      <c r="C21" s="86">
        <v>0.89802475649475566</v>
      </c>
      <c r="D21" s="86">
        <v>1.0183925325911913</v>
      </c>
      <c r="E21" s="86">
        <v>1.0887197725576481</v>
      </c>
      <c r="F21" s="86">
        <v>1.2861770232326999</v>
      </c>
      <c r="G21" s="86">
        <v>1.9419076932084312</v>
      </c>
      <c r="H21" s="86">
        <v>1.9131597484457559</v>
      </c>
      <c r="I21" s="86">
        <v>1.6825672156507965</v>
      </c>
      <c r="J21" s="86">
        <v>1.4660425055202657</v>
      </c>
      <c r="K21" s="86">
        <v>1.0516715734273727</v>
      </c>
      <c r="L21" s="86">
        <v>1.0785530101744187</v>
      </c>
      <c r="M21" s="86">
        <v>1.5146077069437747</v>
      </c>
      <c r="N21" s="86">
        <v>1.63815624</v>
      </c>
      <c r="O21" s="86">
        <v>1.9330821627194008</v>
      </c>
      <c r="P21" s="86">
        <v>2.1951256086697968</v>
      </c>
      <c r="Q21" s="86">
        <v>2.9476202877525868</v>
      </c>
      <c r="R21" s="86">
        <v>2.980427318388593</v>
      </c>
      <c r="S21" s="86">
        <v>3.3186583843337014</v>
      </c>
      <c r="T21" s="86">
        <v>3.9676094807395992</v>
      </c>
      <c r="U21" s="86">
        <v>4.1948348785714273</v>
      </c>
      <c r="V21" s="86">
        <v>2.9530596059499801</v>
      </c>
      <c r="W21" s="86">
        <v>3.1233122689233315</v>
      </c>
      <c r="DA21" s="178" t="s">
        <v>205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139</v>
      </c>
      <c r="B23" s="54">
        <f t="shared" ref="B23:C23" si="15">SUM(B24,B28)</f>
        <v>132743</v>
      </c>
      <c r="C23" s="54">
        <f t="shared" si="15"/>
        <v>127629</v>
      </c>
      <c r="D23" s="54">
        <f t="shared" ref="D23:V23" si="16">SUM(D24,D28)</f>
        <v>129180</v>
      </c>
      <c r="E23" s="54">
        <f t="shared" si="16"/>
        <v>134805</v>
      </c>
      <c r="F23" s="54">
        <f t="shared" si="16"/>
        <v>150583</v>
      </c>
      <c r="G23" s="54">
        <f t="shared" si="16"/>
        <v>154645</v>
      </c>
      <c r="H23" s="54">
        <f t="shared" si="16"/>
        <v>155185</v>
      </c>
      <c r="I23" s="54">
        <f t="shared" si="16"/>
        <v>165428</v>
      </c>
      <c r="J23" s="54">
        <f t="shared" si="16"/>
        <v>172707</v>
      </c>
      <c r="K23" s="54">
        <f t="shared" si="16"/>
        <v>158100</v>
      </c>
      <c r="L23" s="54">
        <f t="shared" si="16"/>
        <v>159407</v>
      </c>
      <c r="M23" s="54">
        <f t="shared" si="16"/>
        <v>155694</v>
      </c>
      <c r="N23" s="54">
        <f t="shared" si="16"/>
        <v>151064</v>
      </c>
      <c r="O23" s="54">
        <f t="shared" si="16"/>
        <v>144527</v>
      </c>
      <c r="P23" s="54">
        <f t="shared" si="16"/>
        <v>145029</v>
      </c>
      <c r="Q23" s="54">
        <f t="shared" si="16"/>
        <v>142626</v>
      </c>
      <c r="R23" s="54">
        <f t="shared" si="16"/>
        <v>139567</v>
      </c>
      <c r="S23" s="54">
        <f t="shared" si="16"/>
        <v>139903</v>
      </c>
      <c r="T23" s="54">
        <f t="shared" si="16"/>
        <v>147966</v>
      </c>
      <c r="U23" s="54">
        <f t="shared" si="16"/>
        <v>159554</v>
      </c>
      <c r="V23" s="54">
        <f t="shared" si="16"/>
        <v>56777</v>
      </c>
      <c r="W23" s="54">
        <f t="shared" ref="W23" si="17">SUM(W24,W28)</f>
        <v>62483</v>
      </c>
      <c r="DA23" s="172" t="s">
        <v>206</v>
      </c>
    </row>
    <row r="24" spans="1:105" ht="11.45" customHeight="1" x14ac:dyDescent="0.25">
      <c r="A24" s="10" t="s">
        <v>33</v>
      </c>
      <c r="B24" s="11">
        <f t="shared" ref="B24:C24" si="18">SUM(B25:B27)</f>
        <v>130247</v>
      </c>
      <c r="C24" s="11">
        <f t="shared" si="18"/>
        <v>125442</v>
      </c>
      <c r="D24" s="11">
        <f t="shared" ref="D24:V24" si="19">SUM(D25:D27)</f>
        <v>126434</v>
      </c>
      <c r="E24" s="11">
        <f t="shared" si="19"/>
        <v>131869</v>
      </c>
      <c r="F24" s="11">
        <f t="shared" si="19"/>
        <v>146250</v>
      </c>
      <c r="G24" s="11">
        <f t="shared" si="19"/>
        <v>149765</v>
      </c>
      <c r="H24" s="11">
        <f t="shared" si="19"/>
        <v>149764</v>
      </c>
      <c r="I24" s="11">
        <f t="shared" si="19"/>
        <v>160414</v>
      </c>
      <c r="J24" s="11">
        <f t="shared" si="19"/>
        <v>167828</v>
      </c>
      <c r="K24" s="11">
        <f t="shared" si="19"/>
        <v>153661</v>
      </c>
      <c r="L24" s="11">
        <f t="shared" si="19"/>
        <v>154523</v>
      </c>
      <c r="M24" s="11">
        <f t="shared" si="19"/>
        <v>150933</v>
      </c>
      <c r="N24" s="11">
        <f t="shared" si="19"/>
        <v>146971</v>
      </c>
      <c r="O24" s="11">
        <f t="shared" si="19"/>
        <v>140262</v>
      </c>
      <c r="P24" s="11">
        <f t="shared" si="19"/>
        <v>140470</v>
      </c>
      <c r="Q24" s="11">
        <f t="shared" si="19"/>
        <v>138148</v>
      </c>
      <c r="R24" s="11">
        <f t="shared" si="19"/>
        <v>135880</v>
      </c>
      <c r="S24" s="11">
        <f t="shared" si="19"/>
        <v>135709</v>
      </c>
      <c r="T24" s="11">
        <f t="shared" si="19"/>
        <v>143766</v>
      </c>
      <c r="U24" s="11">
        <f t="shared" si="19"/>
        <v>155114</v>
      </c>
      <c r="V24" s="11">
        <f t="shared" si="19"/>
        <v>52844</v>
      </c>
      <c r="W24" s="11">
        <f t="shared" ref="W24" si="20">SUM(W25:W27)</f>
        <v>58098</v>
      </c>
      <c r="DA24" s="189" t="s">
        <v>207</v>
      </c>
    </row>
    <row r="25" spans="1:105" ht="11.45" customHeight="1" x14ac:dyDescent="0.25">
      <c r="A25" s="83" t="s">
        <v>27</v>
      </c>
      <c r="B25" s="84">
        <v>21083</v>
      </c>
      <c r="C25" s="84">
        <v>18896</v>
      </c>
      <c r="D25" s="84">
        <v>20301</v>
      </c>
      <c r="E25" s="84">
        <v>19397</v>
      </c>
      <c r="F25" s="84">
        <v>18952</v>
      </c>
      <c r="G25" s="84">
        <v>18970</v>
      </c>
      <c r="H25" s="84">
        <v>19618</v>
      </c>
      <c r="I25" s="84">
        <v>19837</v>
      </c>
      <c r="J25" s="84">
        <v>20580</v>
      </c>
      <c r="K25" s="84">
        <v>19975</v>
      </c>
      <c r="L25" s="84">
        <v>19873</v>
      </c>
      <c r="M25" s="84">
        <v>15427</v>
      </c>
      <c r="N25" s="84">
        <v>15550</v>
      </c>
      <c r="O25" s="84">
        <v>14879</v>
      </c>
      <c r="P25" s="84">
        <v>13964</v>
      </c>
      <c r="Q25" s="84">
        <v>12456</v>
      </c>
      <c r="R25" s="84">
        <v>11028</v>
      </c>
      <c r="S25" s="84">
        <v>10823</v>
      </c>
      <c r="T25" s="84">
        <v>10585</v>
      </c>
      <c r="U25" s="84">
        <v>9885</v>
      </c>
      <c r="V25" s="84">
        <v>3253</v>
      </c>
      <c r="W25" s="84">
        <v>2509</v>
      </c>
      <c r="DA25" s="171" t="s">
        <v>208</v>
      </c>
    </row>
    <row r="26" spans="1:105" ht="11.45" customHeight="1" x14ac:dyDescent="0.25">
      <c r="A26" s="83" t="s">
        <v>173</v>
      </c>
      <c r="B26" s="84">
        <v>78141</v>
      </c>
      <c r="C26" s="84">
        <v>77804</v>
      </c>
      <c r="D26" s="84">
        <v>78157</v>
      </c>
      <c r="E26" s="84">
        <v>84781</v>
      </c>
      <c r="F26" s="84">
        <v>94321</v>
      </c>
      <c r="G26" s="84">
        <v>96762</v>
      </c>
      <c r="H26" s="84">
        <v>98347</v>
      </c>
      <c r="I26" s="84">
        <v>107035</v>
      </c>
      <c r="J26" s="84">
        <v>110869</v>
      </c>
      <c r="K26" s="84">
        <v>99217</v>
      </c>
      <c r="L26" s="84">
        <v>99247</v>
      </c>
      <c r="M26" s="84">
        <v>99140</v>
      </c>
      <c r="N26" s="84">
        <v>95300</v>
      </c>
      <c r="O26" s="84">
        <v>89046</v>
      </c>
      <c r="P26" s="84">
        <v>91138</v>
      </c>
      <c r="Q26" s="84">
        <v>91080</v>
      </c>
      <c r="R26" s="84">
        <v>92580</v>
      </c>
      <c r="S26" s="84">
        <v>91914</v>
      </c>
      <c r="T26" s="84">
        <v>97786</v>
      </c>
      <c r="U26" s="84">
        <v>106620</v>
      </c>
      <c r="V26" s="84">
        <v>37464</v>
      </c>
      <c r="W26" s="84">
        <v>39458</v>
      </c>
      <c r="DA26" s="171" t="s">
        <v>209</v>
      </c>
    </row>
    <row r="27" spans="1:105" ht="11.45" customHeight="1" x14ac:dyDescent="0.25">
      <c r="A27" s="83" t="s">
        <v>174</v>
      </c>
      <c r="B27" s="84">
        <v>31023</v>
      </c>
      <c r="C27" s="84">
        <v>28742</v>
      </c>
      <c r="D27" s="84">
        <v>27976</v>
      </c>
      <c r="E27" s="84">
        <v>27691</v>
      </c>
      <c r="F27" s="84">
        <v>32977</v>
      </c>
      <c r="G27" s="84">
        <v>34033</v>
      </c>
      <c r="H27" s="84">
        <v>31799</v>
      </c>
      <c r="I27" s="84">
        <v>33542</v>
      </c>
      <c r="J27" s="84">
        <v>36379</v>
      </c>
      <c r="K27" s="84">
        <v>34469</v>
      </c>
      <c r="L27" s="84">
        <v>35403</v>
      </c>
      <c r="M27" s="84">
        <v>36366</v>
      </c>
      <c r="N27" s="84">
        <v>36121</v>
      </c>
      <c r="O27" s="84">
        <v>36337</v>
      </c>
      <c r="P27" s="84">
        <v>35368</v>
      </c>
      <c r="Q27" s="84">
        <v>34612</v>
      </c>
      <c r="R27" s="84">
        <v>32272</v>
      </c>
      <c r="S27" s="84">
        <v>32972</v>
      </c>
      <c r="T27" s="84">
        <v>35395</v>
      </c>
      <c r="U27" s="84">
        <v>38609</v>
      </c>
      <c r="V27" s="84">
        <v>12127</v>
      </c>
      <c r="W27" s="84">
        <v>16131</v>
      </c>
      <c r="DA27" s="171" t="s">
        <v>210</v>
      </c>
    </row>
    <row r="28" spans="1:105" ht="11.45" customHeight="1" x14ac:dyDescent="0.25">
      <c r="A28" s="12" t="s">
        <v>34</v>
      </c>
      <c r="B28" s="13">
        <f t="shared" ref="B28:C28" si="21">SUM(B29:B31)</f>
        <v>2496</v>
      </c>
      <c r="C28" s="13">
        <f t="shared" si="21"/>
        <v>2187</v>
      </c>
      <c r="D28" s="13">
        <f t="shared" ref="D28:V28" si="22">SUM(D29:D31)</f>
        <v>2746</v>
      </c>
      <c r="E28" s="13">
        <f t="shared" si="22"/>
        <v>2936</v>
      </c>
      <c r="F28" s="13">
        <f t="shared" si="22"/>
        <v>4333</v>
      </c>
      <c r="G28" s="13">
        <f t="shared" si="22"/>
        <v>4880</v>
      </c>
      <c r="H28" s="13">
        <f t="shared" si="22"/>
        <v>5421</v>
      </c>
      <c r="I28" s="13">
        <f t="shared" si="22"/>
        <v>5014</v>
      </c>
      <c r="J28" s="13">
        <f t="shared" si="22"/>
        <v>4879</v>
      </c>
      <c r="K28" s="13">
        <f t="shared" si="22"/>
        <v>4439</v>
      </c>
      <c r="L28" s="13">
        <f t="shared" si="22"/>
        <v>4884</v>
      </c>
      <c r="M28" s="13">
        <f t="shared" si="22"/>
        <v>4761</v>
      </c>
      <c r="N28" s="13">
        <f t="shared" si="22"/>
        <v>4093</v>
      </c>
      <c r="O28" s="13">
        <f t="shared" si="22"/>
        <v>4265</v>
      </c>
      <c r="P28" s="13">
        <f t="shared" si="22"/>
        <v>4559</v>
      </c>
      <c r="Q28" s="13">
        <f t="shared" si="22"/>
        <v>4478</v>
      </c>
      <c r="R28" s="13">
        <f t="shared" si="22"/>
        <v>3687</v>
      </c>
      <c r="S28" s="13">
        <f t="shared" si="22"/>
        <v>4194</v>
      </c>
      <c r="T28" s="13">
        <f t="shared" si="22"/>
        <v>4200</v>
      </c>
      <c r="U28" s="13">
        <f t="shared" si="22"/>
        <v>4440</v>
      </c>
      <c r="V28" s="13">
        <f t="shared" si="22"/>
        <v>3933</v>
      </c>
      <c r="W28" s="13">
        <f t="shared" ref="W28" si="23">SUM(W29:W31)</f>
        <v>4385</v>
      </c>
      <c r="DA28" s="193" t="s">
        <v>211</v>
      </c>
    </row>
    <row r="29" spans="1:105" ht="11.45" customHeight="1" x14ac:dyDescent="0.25">
      <c r="A29" s="92" t="s">
        <v>27</v>
      </c>
      <c r="B29" s="102">
        <v>121</v>
      </c>
      <c r="C29" s="102">
        <v>75</v>
      </c>
      <c r="D29" s="102">
        <v>75</v>
      </c>
      <c r="E29" s="102">
        <v>75</v>
      </c>
      <c r="F29" s="102">
        <v>97</v>
      </c>
      <c r="G29" s="102">
        <v>100</v>
      </c>
      <c r="H29" s="102">
        <v>102</v>
      </c>
      <c r="I29" s="102">
        <v>89</v>
      </c>
      <c r="J29" s="102">
        <v>94</v>
      </c>
      <c r="K29" s="102">
        <v>87</v>
      </c>
      <c r="L29" s="102">
        <v>72</v>
      </c>
      <c r="M29" s="102">
        <v>52</v>
      </c>
      <c r="N29" s="102">
        <v>38</v>
      </c>
      <c r="O29" s="102">
        <v>29</v>
      </c>
      <c r="P29" s="102">
        <v>19</v>
      </c>
      <c r="Q29" s="102">
        <v>18</v>
      </c>
      <c r="R29" s="102">
        <v>10</v>
      </c>
      <c r="S29" s="102">
        <v>8</v>
      </c>
      <c r="T29" s="102">
        <v>8</v>
      </c>
      <c r="U29" s="102">
        <v>2</v>
      </c>
      <c r="V29" s="102">
        <v>1</v>
      </c>
      <c r="W29" s="102">
        <v>1</v>
      </c>
      <c r="DA29" s="175" t="s">
        <v>212</v>
      </c>
    </row>
    <row r="30" spans="1:105" ht="11.45" customHeight="1" x14ac:dyDescent="0.25">
      <c r="A30" s="92" t="s">
        <v>173</v>
      </c>
      <c r="B30" s="102">
        <v>1578</v>
      </c>
      <c r="C30" s="102">
        <v>1448</v>
      </c>
      <c r="D30" s="102">
        <v>1918</v>
      </c>
      <c r="E30" s="102">
        <v>2056</v>
      </c>
      <c r="F30" s="102">
        <v>3285</v>
      </c>
      <c r="G30" s="102">
        <v>3490</v>
      </c>
      <c r="H30" s="102">
        <v>4093</v>
      </c>
      <c r="I30" s="102">
        <v>3718</v>
      </c>
      <c r="J30" s="102">
        <v>3631</v>
      </c>
      <c r="K30" s="102">
        <v>3451</v>
      </c>
      <c r="L30" s="102">
        <v>3853</v>
      </c>
      <c r="M30" s="102">
        <v>3595</v>
      </c>
      <c r="N30" s="102">
        <v>2993</v>
      </c>
      <c r="O30" s="102">
        <v>3190</v>
      </c>
      <c r="P30" s="102">
        <v>3598</v>
      </c>
      <c r="Q30" s="102">
        <v>3391</v>
      </c>
      <c r="R30" s="102">
        <v>2735</v>
      </c>
      <c r="S30" s="102">
        <v>3233</v>
      </c>
      <c r="T30" s="102">
        <v>3185</v>
      </c>
      <c r="U30" s="102">
        <v>3475</v>
      </c>
      <c r="V30" s="102">
        <v>3230</v>
      </c>
      <c r="W30" s="102">
        <v>3600</v>
      </c>
      <c r="DA30" s="175" t="s">
        <v>213</v>
      </c>
    </row>
    <row r="31" spans="1:105" ht="11.45" customHeight="1" x14ac:dyDescent="0.25">
      <c r="A31" s="85" t="s">
        <v>174</v>
      </c>
      <c r="B31" s="86">
        <v>797</v>
      </c>
      <c r="C31" s="86">
        <v>664</v>
      </c>
      <c r="D31" s="86">
        <v>753</v>
      </c>
      <c r="E31" s="86">
        <v>805</v>
      </c>
      <c r="F31" s="86">
        <v>951</v>
      </c>
      <c r="G31" s="86">
        <v>1290</v>
      </c>
      <c r="H31" s="86">
        <v>1226</v>
      </c>
      <c r="I31" s="86">
        <v>1207</v>
      </c>
      <c r="J31" s="86">
        <v>1154</v>
      </c>
      <c r="K31" s="86">
        <v>901</v>
      </c>
      <c r="L31" s="86">
        <v>959</v>
      </c>
      <c r="M31" s="86">
        <v>1114</v>
      </c>
      <c r="N31" s="86">
        <v>1062</v>
      </c>
      <c r="O31" s="86">
        <v>1046</v>
      </c>
      <c r="P31" s="86">
        <v>942</v>
      </c>
      <c r="Q31" s="86">
        <v>1069</v>
      </c>
      <c r="R31" s="86">
        <v>942</v>
      </c>
      <c r="S31" s="86">
        <v>953</v>
      </c>
      <c r="T31" s="86">
        <v>1007</v>
      </c>
      <c r="U31" s="86">
        <v>963</v>
      </c>
      <c r="V31" s="86">
        <v>702</v>
      </c>
      <c r="W31" s="86">
        <v>784</v>
      </c>
      <c r="DA31" s="178" t="s">
        <v>214</v>
      </c>
    </row>
    <row r="32" spans="1:105" x14ac:dyDescent="0.25">
      <c r="A32" s="50"/>
      <c r="B32" s="50"/>
      <c r="C32" s="50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DA32" s="181"/>
    </row>
    <row r="33" spans="1:105" ht="11.45" customHeight="1" x14ac:dyDescent="0.25">
      <c r="A33" s="53" t="s">
        <v>141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10" t="s">
        <v>79</v>
      </c>
      <c r="B34" s="11">
        <f t="shared" ref="B34:C34" si="24">SUM(B35:B37)</f>
        <v>7677070</v>
      </c>
      <c r="C34" s="11">
        <f t="shared" si="24"/>
        <v>7640394</v>
      </c>
      <c r="D34" s="11">
        <f t="shared" ref="D34:V34" si="25">SUM(D35:D37)</f>
        <v>7900826</v>
      </c>
      <c r="E34" s="11">
        <f t="shared" si="25"/>
        <v>8343009</v>
      </c>
      <c r="F34" s="11">
        <f t="shared" si="25"/>
        <v>9629359</v>
      </c>
      <c r="G34" s="11">
        <f t="shared" si="25"/>
        <v>10287663</v>
      </c>
      <c r="H34" s="11">
        <f t="shared" si="25"/>
        <v>10884123</v>
      </c>
      <c r="I34" s="11">
        <f t="shared" si="25"/>
        <v>11952363</v>
      </c>
      <c r="J34" s="11">
        <f t="shared" si="25"/>
        <v>12474266</v>
      </c>
      <c r="K34" s="11">
        <f t="shared" si="25"/>
        <v>11413000</v>
      </c>
      <c r="L34" s="11">
        <f t="shared" si="25"/>
        <v>12277981</v>
      </c>
      <c r="M34" s="11">
        <f t="shared" si="25"/>
        <v>13035580</v>
      </c>
      <c r="N34" s="11">
        <f t="shared" si="25"/>
        <v>13409537</v>
      </c>
      <c r="O34" s="11">
        <f t="shared" si="25"/>
        <v>13275496</v>
      </c>
      <c r="P34" s="11">
        <f t="shared" si="25"/>
        <v>13637631</v>
      </c>
      <c r="Q34" s="11">
        <f t="shared" si="25"/>
        <v>13829028</v>
      </c>
      <c r="R34" s="11">
        <f t="shared" si="25"/>
        <v>14000667</v>
      </c>
      <c r="S34" s="11">
        <f t="shared" si="25"/>
        <v>14594293</v>
      </c>
      <c r="T34" s="11">
        <f t="shared" si="25"/>
        <v>16030483</v>
      </c>
      <c r="U34" s="11">
        <f t="shared" si="25"/>
        <v>18230443</v>
      </c>
      <c r="V34" s="11">
        <f t="shared" si="25"/>
        <v>4679759</v>
      </c>
      <c r="W34" s="11">
        <f t="shared" ref="W34" si="26">SUM(W35:W37)</f>
        <v>5647656</v>
      </c>
      <c r="DA34" s="189" t="s">
        <v>215</v>
      </c>
    </row>
    <row r="35" spans="1:105" ht="11.45" customHeight="1" x14ac:dyDescent="0.25">
      <c r="A35" s="83" t="s">
        <v>27</v>
      </c>
      <c r="B35" s="84">
        <v>545212</v>
      </c>
      <c r="C35" s="84">
        <v>558833</v>
      </c>
      <c r="D35" s="84">
        <v>569577</v>
      </c>
      <c r="E35" s="84">
        <v>586148</v>
      </c>
      <c r="F35" s="84">
        <v>611546</v>
      </c>
      <c r="G35" s="84">
        <v>604440</v>
      </c>
      <c r="H35" s="84">
        <v>752715</v>
      </c>
      <c r="I35" s="84">
        <v>792093</v>
      </c>
      <c r="J35" s="84">
        <v>814491</v>
      </c>
      <c r="K35" s="84">
        <v>787901</v>
      </c>
      <c r="L35" s="84">
        <v>857418</v>
      </c>
      <c r="M35" s="84">
        <v>726166</v>
      </c>
      <c r="N35" s="84">
        <v>689130</v>
      </c>
      <c r="O35" s="84">
        <v>650192</v>
      </c>
      <c r="P35" s="84">
        <v>613351</v>
      </c>
      <c r="Q35" s="84">
        <v>564733</v>
      </c>
      <c r="R35" s="84">
        <v>521657</v>
      </c>
      <c r="S35" s="84">
        <v>552166</v>
      </c>
      <c r="T35" s="84">
        <v>603120</v>
      </c>
      <c r="U35" s="84">
        <v>562292</v>
      </c>
      <c r="V35" s="84">
        <v>146697</v>
      </c>
      <c r="W35" s="84">
        <v>116395</v>
      </c>
      <c r="DA35" s="171" t="s">
        <v>216</v>
      </c>
    </row>
    <row r="36" spans="1:105" ht="11.45" customHeight="1" x14ac:dyDescent="0.25">
      <c r="A36" s="83" t="s">
        <v>173</v>
      </c>
      <c r="B36" s="84">
        <v>4828149</v>
      </c>
      <c r="C36" s="84">
        <v>4831796</v>
      </c>
      <c r="D36" s="84">
        <v>5013501</v>
      </c>
      <c r="E36" s="84">
        <v>5471638</v>
      </c>
      <c r="F36" s="84">
        <v>6201190</v>
      </c>
      <c r="G36" s="84">
        <v>6586001</v>
      </c>
      <c r="H36" s="84">
        <v>7120316</v>
      </c>
      <c r="I36" s="84">
        <v>7926183</v>
      </c>
      <c r="J36" s="84">
        <v>8272572</v>
      </c>
      <c r="K36" s="84">
        <v>7499668</v>
      </c>
      <c r="L36" s="84">
        <v>7997158</v>
      </c>
      <c r="M36" s="84">
        <v>8640041</v>
      </c>
      <c r="N36" s="84">
        <v>8850736</v>
      </c>
      <c r="O36" s="84">
        <v>8679281</v>
      </c>
      <c r="P36" s="84">
        <v>9045421</v>
      </c>
      <c r="Q36" s="84">
        <v>9254260</v>
      </c>
      <c r="R36" s="84">
        <v>9663251</v>
      </c>
      <c r="S36" s="84">
        <v>9985317</v>
      </c>
      <c r="T36" s="84">
        <v>10840092</v>
      </c>
      <c r="U36" s="84">
        <v>12383632</v>
      </c>
      <c r="V36" s="84">
        <v>3324097</v>
      </c>
      <c r="W36" s="84">
        <v>3829081</v>
      </c>
      <c r="DA36" s="171" t="s">
        <v>217</v>
      </c>
    </row>
    <row r="37" spans="1:105" ht="11.45" customHeight="1" x14ac:dyDescent="0.25">
      <c r="A37" s="83" t="s">
        <v>174</v>
      </c>
      <c r="B37" s="84">
        <v>2303709</v>
      </c>
      <c r="C37" s="84">
        <v>2249765</v>
      </c>
      <c r="D37" s="84">
        <v>2317748</v>
      </c>
      <c r="E37" s="84">
        <v>2285223</v>
      </c>
      <c r="F37" s="84">
        <v>2816623</v>
      </c>
      <c r="G37" s="84">
        <v>3097222</v>
      </c>
      <c r="H37" s="84">
        <v>3011092</v>
      </c>
      <c r="I37" s="84">
        <v>3234087</v>
      </c>
      <c r="J37" s="84">
        <v>3387203</v>
      </c>
      <c r="K37" s="84">
        <v>3125431</v>
      </c>
      <c r="L37" s="84">
        <v>3423405</v>
      </c>
      <c r="M37" s="84">
        <v>3669373</v>
      </c>
      <c r="N37" s="84">
        <v>3869671</v>
      </c>
      <c r="O37" s="84">
        <v>3946023</v>
      </c>
      <c r="P37" s="84">
        <v>3978859</v>
      </c>
      <c r="Q37" s="84">
        <v>4010035</v>
      </c>
      <c r="R37" s="84">
        <v>3815759</v>
      </c>
      <c r="S37" s="84">
        <v>4056810</v>
      </c>
      <c r="T37" s="84">
        <v>4587271</v>
      </c>
      <c r="U37" s="84">
        <v>5284519</v>
      </c>
      <c r="V37" s="84">
        <v>1208965</v>
      </c>
      <c r="W37" s="84">
        <v>1702180</v>
      </c>
      <c r="DA37" s="171" t="s">
        <v>218</v>
      </c>
    </row>
    <row r="38" spans="1:105" ht="11.45" customHeight="1" x14ac:dyDescent="0.25">
      <c r="A38" s="12" t="s">
        <v>80</v>
      </c>
      <c r="B38" s="13">
        <f t="shared" ref="B38:C38" si="27">SUM(B39:B41)</f>
        <v>68127.773320200416</v>
      </c>
      <c r="C38" s="13">
        <f t="shared" si="27"/>
        <v>60026.7832916556</v>
      </c>
      <c r="D38" s="13">
        <f t="shared" ref="D38:V38" si="28">SUM(D39:D41)</f>
        <v>71847.275291697646</v>
      </c>
      <c r="E38" s="13">
        <f t="shared" si="28"/>
        <v>75332.80086783327</v>
      </c>
      <c r="F38" s="13">
        <f t="shared" si="28"/>
        <v>99353.848318439472</v>
      </c>
      <c r="G38" s="13">
        <f t="shared" si="28"/>
        <v>111022.98621382793</v>
      </c>
      <c r="H38" s="13">
        <f t="shared" si="28"/>
        <v>113596.29878472278</v>
      </c>
      <c r="I38" s="13">
        <f t="shared" si="28"/>
        <v>106539.33369958453</v>
      </c>
      <c r="J38" s="13">
        <f t="shared" si="28"/>
        <v>102285.66007185839</v>
      </c>
      <c r="K38" s="13">
        <f t="shared" si="28"/>
        <v>92795.950018165546</v>
      </c>
      <c r="L38" s="13">
        <f t="shared" si="28"/>
        <v>106658.44706816076</v>
      </c>
      <c r="M38" s="13">
        <f t="shared" si="28"/>
        <v>117594.98777598966</v>
      </c>
      <c r="N38" s="13">
        <f t="shared" si="28"/>
        <v>112084.79694857108</v>
      </c>
      <c r="O38" s="13">
        <f t="shared" si="28"/>
        <v>115177.95556346007</v>
      </c>
      <c r="P38" s="13">
        <f t="shared" si="28"/>
        <v>128014.36967200512</v>
      </c>
      <c r="Q38" s="13">
        <f t="shared" si="28"/>
        <v>132358.56702085177</v>
      </c>
      <c r="R38" s="13">
        <f t="shared" si="28"/>
        <v>125198.68700295943</v>
      </c>
      <c r="S38" s="13">
        <f t="shared" si="28"/>
        <v>131404.60567203391</v>
      </c>
      <c r="T38" s="13">
        <f t="shared" si="28"/>
        <v>134293.14608389081</v>
      </c>
      <c r="U38" s="13">
        <f t="shared" si="28"/>
        <v>139912.19091903634</v>
      </c>
      <c r="V38" s="13">
        <f t="shared" si="28"/>
        <v>91864.158435009493</v>
      </c>
      <c r="W38" s="13">
        <f t="shared" ref="W38" si="29">SUM(W39:W41)</f>
        <v>105312.67158847352</v>
      </c>
      <c r="DA38" s="193" t="s">
        <v>219</v>
      </c>
    </row>
    <row r="39" spans="1:105" ht="11.45" customHeight="1" x14ac:dyDescent="0.25">
      <c r="A39" s="92" t="s">
        <v>27</v>
      </c>
      <c r="B39" s="102">
        <v>1212.8145468667544</v>
      </c>
      <c r="C39" s="102">
        <v>746.01276397978268</v>
      </c>
      <c r="D39" s="102">
        <v>767.14659418817985</v>
      </c>
      <c r="E39" s="102">
        <v>816.00419480443645</v>
      </c>
      <c r="F39" s="102">
        <v>993.79344725314206</v>
      </c>
      <c r="G39" s="102">
        <v>1002.6366251647696</v>
      </c>
      <c r="H39" s="102">
        <v>983.71838751728546</v>
      </c>
      <c r="I39" s="102">
        <v>855.15555677291866</v>
      </c>
      <c r="J39" s="102">
        <v>868.95979699872225</v>
      </c>
      <c r="K39" s="102">
        <v>811.19773564977186</v>
      </c>
      <c r="L39" s="102">
        <v>718.03361928225831</v>
      </c>
      <c r="M39" s="102">
        <v>566.56150579333178</v>
      </c>
      <c r="N39" s="102">
        <v>425.26975600500089</v>
      </c>
      <c r="O39" s="102">
        <v>332.70251035899815</v>
      </c>
      <c r="P39" s="102">
        <v>244.47335517102957</v>
      </c>
      <c r="Q39" s="102">
        <v>238.32433808798029</v>
      </c>
      <c r="R39" s="102">
        <v>152.6132699410135</v>
      </c>
      <c r="S39" s="102">
        <v>112.29840290560539</v>
      </c>
      <c r="T39" s="102">
        <v>114.30260615268233</v>
      </c>
      <c r="U39" s="102">
        <v>31.606640181310411</v>
      </c>
      <c r="V39" s="102">
        <v>14.56548017853798</v>
      </c>
      <c r="W39" s="102">
        <v>14.733881684854405</v>
      </c>
      <c r="DA39" s="175" t="s">
        <v>220</v>
      </c>
    </row>
    <row r="40" spans="1:105" ht="11.45" customHeight="1" x14ac:dyDescent="0.25">
      <c r="A40" s="92" t="s">
        <v>173</v>
      </c>
      <c r="B40" s="102">
        <v>25368.047071782537</v>
      </c>
      <c r="C40" s="102">
        <v>23531.795449041547</v>
      </c>
      <c r="D40" s="102">
        <v>31255.525923183694</v>
      </c>
      <c r="E40" s="102">
        <v>35296.390836148508</v>
      </c>
      <c r="F40" s="102">
        <v>52655.53920114677</v>
      </c>
      <c r="G40" s="102">
        <v>52981.7666896062</v>
      </c>
      <c r="H40" s="102">
        <v>57241.724611108912</v>
      </c>
      <c r="I40" s="102">
        <v>51143.4514358007</v>
      </c>
      <c r="J40" s="102">
        <v>49587.205190512963</v>
      </c>
      <c r="K40" s="102">
        <v>47025.949778449249</v>
      </c>
      <c r="L40" s="102">
        <v>55563.291773788245</v>
      </c>
      <c r="M40" s="102">
        <v>55685.484216281198</v>
      </c>
      <c r="N40" s="102">
        <v>49270.233592895376</v>
      </c>
      <c r="O40" s="102">
        <v>52769.117727513447</v>
      </c>
      <c r="P40" s="102">
        <v>65475.515330060531</v>
      </c>
      <c r="Q40" s="102">
        <v>61634.02170239776</v>
      </c>
      <c r="R40" s="102">
        <v>56268.555165442202</v>
      </c>
      <c r="S40" s="102">
        <v>61841.128154360609</v>
      </c>
      <c r="T40" s="102">
        <v>60550.112847965218</v>
      </c>
      <c r="U40" s="102">
        <v>67736.926974415081</v>
      </c>
      <c r="V40" s="102">
        <v>56586.901057682648</v>
      </c>
      <c r="W40" s="102">
        <v>63541.183544597261</v>
      </c>
      <c r="DA40" s="175" t="s">
        <v>221</v>
      </c>
    </row>
    <row r="41" spans="1:105" ht="11.45" customHeight="1" x14ac:dyDescent="0.25">
      <c r="A41" s="85" t="s">
        <v>174</v>
      </c>
      <c r="B41" s="86">
        <v>41546.911701551129</v>
      </c>
      <c r="C41" s="86">
        <v>35748.97507863427</v>
      </c>
      <c r="D41" s="86">
        <v>39824.602774325765</v>
      </c>
      <c r="E41" s="86">
        <v>39220.405836880323</v>
      </c>
      <c r="F41" s="86">
        <v>45704.515670039553</v>
      </c>
      <c r="G41" s="86">
        <v>57038.582899056957</v>
      </c>
      <c r="H41" s="86">
        <v>55370.855786096588</v>
      </c>
      <c r="I41" s="86">
        <v>54540.726707010916</v>
      </c>
      <c r="J41" s="86">
        <v>51829.495084346709</v>
      </c>
      <c r="K41" s="86">
        <v>44958.802504066531</v>
      </c>
      <c r="L41" s="86">
        <v>50377.12167509026</v>
      </c>
      <c r="M41" s="86">
        <v>61342.94205391514</v>
      </c>
      <c r="N41" s="86">
        <v>62389.293599670695</v>
      </c>
      <c r="O41" s="86">
        <v>62076.135325587631</v>
      </c>
      <c r="P41" s="86">
        <v>62294.380986773562</v>
      </c>
      <c r="Q41" s="86">
        <v>70486.220980366037</v>
      </c>
      <c r="R41" s="86">
        <v>68777.518567576204</v>
      </c>
      <c r="S41" s="86">
        <v>69451.179114767685</v>
      </c>
      <c r="T41" s="86">
        <v>73628.730629772923</v>
      </c>
      <c r="U41" s="86">
        <v>72143.657304439956</v>
      </c>
      <c r="V41" s="86">
        <v>35262.69189714831</v>
      </c>
      <c r="W41" s="86">
        <v>41756.754162191392</v>
      </c>
      <c r="DA41" s="178" t="s">
        <v>222</v>
      </c>
    </row>
    <row r="42" spans="1:105" x14ac:dyDescent="0.25">
      <c r="A42" s="50"/>
      <c r="B42" s="50"/>
      <c r="C42" s="50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DA42" s="181"/>
    </row>
    <row r="43" spans="1:105" ht="11.45" customHeight="1" x14ac:dyDescent="0.25">
      <c r="A43" s="53" t="s">
        <v>81</v>
      </c>
      <c r="B43" s="54">
        <f t="shared" ref="B43:C43" si="30">SUM(B44,B48)</f>
        <v>107.26698132523728</v>
      </c>
      <c r="C43" s="54">
        <f t="shared" si="30"/>
        <v>102.80085824938153</v>
      </c>
      <c r="D43" s="54">
        <f t="shared" ref="D43:V43" si="31">SUM(D44,D48)</f>
        <v>102.94813320390737</v>
      </c>
      <c r="E43" s="54">
        <f t="shared" si="31"/>
        <v>106.90259057121817</v>
      </c>
      <c r="F43" s="54">
        <f t="shared" si="31"/>
        <v>121.99599426205708</v>
      </c>
      <c r="G43" s="54">
        <f t="shared" si="31"/>
        <v>128.1050118061174</v>
      </c>
      <c r="H43" s="54">
        <f t="shared" si="31"/>
        <v>127.89816763880437</v>
      </c>
      <c r="I43" s="54">
        <f t="shared" si="31"/>
        <v>134.05225607188339</v>
      </c>
      <c r="J43" s="54">
        <f t="shared" si="31"/>
        <v>138.82712309337137</v>
      </c>
      <c r="K43" s="54">
        <f t="shared" si="31"/>
        <v>129.19697695896537</v>
      </c>
      <c r="L43" s="54">
        <f t="shared" si="31"/>
        <v>127.24277924561326</v>
      </c>
      <c r="M43" s="54">
        <f t="shared" si="31"/>
        <v>128.03854340743251</v>
      </c>
      <c r="N43" s="54">
        <f t="shared" si="31"/>
        <v>123.75604147412696</v>
      </c>
      <c r="O43" s="54">
        <f t="shared" si="31"/>
        <v>118.98194864178895</v>
      </c>
      <c r="P43" s="54">
        <f t="shared" si="31"/>
        <v>121.59141598797703</v>
      </c>
      <c r="Q43" s="54">
        <f t="shared" si="31"/>
        <v>122.15418427016395</v>
      </c>
      <c r="R43" s="54">
        <f t="shared" si="31"/>
        <v>120.74755272234327</v>
      </c>
      <c r="S43" s="54">
        <f t="shared" si="31"/>
        <v>121.22401436533252</v>
      </c>
      <c r="T43" s="54">
        <f t="shared" si="31"/>
        <v>131.57834697090712</v>
      </c>
      <c r="U43" s="54">
        <f t="shared" si="31"/>
        <v>145.9363421966392</v>
      </c>
      <c r="V43" s="54">
        <f t="shared" si="31"/>
        <v>138.78987987093879</v>
      </c>
      <c r="W43" s="54">
        <f t="shared" ref="W43" si="32">SUM(W44,W48)</f>
        <v>131.98340266571606</v>
      </c>
      <c r="DA43" s="172" t="s">
        <v>223</v>
      </c>
    </row>
    <row r="44" spans="1:105" ht="11.45" customHeight="1" x14ac:dyDescent="0.25">
      <c r="A44" s="10" t="s">
        <v>33</v>
      </c>
      <c r="B44" s="11">
        <f t="shared" ref="B44:C44" si="33">SUM(B45:B47)</f>
        <v>104.82192148568308</v>
      </c>
      <c r="C44" s="11">
        <f t="shared" si="33"/>
        <v>100.56946601867472</v>
      </c>
      <c r="D44" s="11">
        <f t="shared" ref="D44:V44" si="34">SUM(D45:D47)</f>
        <v>100.27471694623102</v>
      </c>
      <c r="E44" s="11">
        <f t="shared" si="34"/>
        <v>104.05566777338927</v>
      </c>
      <c r="F44" s="11">
        <f t="shared" si="34"/>
        <v>117.8440839893014</v>
      </c>
      <c r="G44" s="11">
        <f t="shared" si="34"/>
        <v>123.25167667768815</v>
      </c>
      <c r="H44" s="11">
        <f t="shared" si="34"/>
        <v>122.40745403315449</v>
      </c>
      <c r="I44" s="11">
        <f t="shared" si="34"/>
        <v>128.80604845018894</v>
      </c>
      <c r="J44" s="11">
        <f t="shared" si="34"/>
        <v>133.80517066058468</v>
      </c>
      <c r="K44" s="11">
        <f t="shared" si="34"/>
        <v>124.41101353307748</v>
      </c>
      <c r="L44" s="11">
        <f t="shared" si="34"/>
        <v>122.52957716302964</v>
      </c>
      <c r="M44" s="11">
        <f t="shared" si="34"/>
        <v>123.15391658359503</v>
      </c>
      <c r="N44" s="11">
        <f t="shared" si="34"/>
        <v>118.99699657021156</v>
      </c>
      <c r="O44" s="11">
        <f t="shared" si="34"/>
        <v>114.20729005310845</v>
      </c>
      <c r="P44" s="11">
        <f t="shared" si="34"/>
        <v>116.73759228533247</v>
      </c>
      <c r="Q44" s="11">
        <f t="shared" si="34"/>
        <v>117.010527837387</v>
      </c>
      <c r="R44" s="11">
        <f t="shared" si="34"/>
        <v>115.81146443979698</v>
      </c>
      <c r="S44" s="11">
        <f t="shared" si="34"/>
        <v>116.12128354109149</v>
      </c>
      <c r="T44" s="11">
        <f t="shared" si="34"/>
        <v>126.18003237200841</v>
      </c>
      <c r="U44" s="11">
        <f t="shared" si="34"/>
        <v>140.18641847028107</v>
      </c>
      <c r="V44" s="11">
        <f t="shared" si="34"/>
        <v>133.19829037123554</v>
      </c>
      <c r="W44" s="11">
        <f t="shared" ref="W44" si="35">SUM(W45:W47)</f>
        <v>126.21016227219</v>
      </c>
      <c r="DA44" s="189" t="s">
        <v>224</v>
      </c>
    </row>
    <row r="45" spans="1:105" ht="11.45" customHeight="1" x14ac:dyDescent="0.25">
      <c r="A45" s="83" t="s">
        <v>27</v>
      </c>
      <c r="B45" s="84">
        <v>8.3962564715252892</v>
      </c>
      <c r="C45" s="84">
        <v>7.5566308243727605</v>
      </c>
      <c r="D45" s="84">
        <v>8.0848267622461165</v>
      </c>
      <c r="E45" s="84">
        <v>7.724810832337714</v>
      </c>
      <c r="F45" s="84">
        <v>7.5475906013540426</v>
      </c>
      <c r="G45" s="84">
        <v>7.5728542914171655</v>
      </c>
      <c r="H45" s="84">
        <v>7.8472</v>
      </c>
      <c r="I45" s="84">
        <v>7.9794851166532581</v>
      </c>
      <c r="J45" s="84">
        <v>8.3488843813387419</v>
      </c>
      <c r="K45" s="84">
        <v>8.1563903634136388</v>
      </c>
      <c r="L45" s="84">
        <v>8.104812398042414</v>
      </c>
      <c r="M45" s="84">
        <v>7.2651867508898853</v>
      </c>
      <c r="N45" s="84">
        <v>6.4255611037373566</v>
      </c>
      <c r="O45" s="84">
        <v>5.9659182036888536</v>
      </c>
      <c r="P45" s="84">
        <v>5.596793587174349</v>
      </c>
      <c r="Q45" s="84">
        <v>5.0286637060960837</v>
      </c>
      <c r="R45" s="84">
        <v>4.4938875305623469</v>
      </c>
      <c r="S45" s="84">
        <v>4.4229668982427466</v>
      </c>
      <c r="T45" s="84">
        <v>4.3310147299509003</v>
      </c>
      <c r="U45" s="84">
        <v>4.0562166598276566</v>
      </c>
      <c r="V45" s="84">
        <v>3.4964662283926371</v>
      </c>
      <c r="W45" s="84">
        <v>2.9367157969576176</v>
      </c>
      <c r="DA45" s="171" t="s">
        <v>225</v>
      </c>
    </row>
    <row r="46" spans="1:105" ht="11.45" customHeight="1" x14ac:dyDescent="0.25">
      <c r="A46" s="83" t="s">
        <v>173</v>
      </c>
      <c r="B46" s="84">
        <v>52.669670655906735</v>
      </c>
      <c r="C46" s="84">
        <v>52.474048170324515</v>
      </c>
      <c r="D46" s="84">
        <v>52.731498082433433</v>
      </c>
      <c r="E46" s="84">
        <v>57.274439451629839</v>
      </c>
      <c r="F46" s="84">
        <v>63.784504671445234</v>
      </c>
      <c r="G46" s="84">
        <v>65.259563127011731</v>
      </c>
      <c r="H46" s="84">
        <v>66.306839769118071</v>
      </c>
      <c r="I46" s="84">
        <v>72.144415292897094</v>
      </c>
      <c r="J46" s="84">
        <v>74.362185155650423</v>
      </c>
      <c r="K46" s="84">
        <v>69.165825355456192</v>
      </c>
      <c r="L46" s="84">
        <v>66.388129758202979</v>
      </c>
      <c r="M46" s="84">
        <v>66.276178673087145</v>
      </c>
      <c r="N46" s="84">
        <v>63.825146667553831</v>
      </c>
      <c r="O46" s="84">
        <v>59.662494844072008</v>
      </c>
      <c r="P46" s="84">
        <v>61.396776194641937</v>
      </c>
      <c r="Q46" s="84">
        <v>61.746740764092074</v>
      </c>
      <c r="R46" s="84">
        <v>63.365125200467915</v>
      </c>
      <c r="S46" s="84">
        <v>62.850909235441328</v>
      </c>
      <c r="T46" s="84">
        <v>67.311267256849504</v>
      </c>
      <c r="U46" s="84">
        <v>74.355801810453414</v>
      </c>
      <c r="V46" s="84">
        <v>70.844490433392963</v>
      </c>
      <c r="W46" s="84">
        <v>67.333179056332526</v>
      </c>
      <c r="DA46" s="171" t="s">
        <v>226</v>
      </c>
    </row>
    <row r="47" spans="1:105" ht="11.45" customHeight="1" x14ac:dyDescent="0.25">
      <c r="A47" s="83" t="s">
        <v>174</v>
      </c>
      <c r="B47" s="84">
        <v>43.755994358251058</v>
      </c>
      <c r="C47" s="84">
        <v>40.538787023977434</v>
      </c>
      <c r="D47" s="84">
        <v>39.458392101551482</v>
      </c>
      <c r="E47" s="84">
        <v>39.056417489421719</v>
      </c>
      <c r="F47" s="84">
        <v>46.511988716502117</v>
      </c>
      <c r="G47" s="84">
        <v>50.419259259259256</v>
      </c>
      <c r="H47" s="84">
        <v>48.253414264036422</v>
      </c>
      <c r="I47" s="84">
        <v>48.682148040638609</v>
      </c>
      <c r="J47" s="84">
        <v>51.094101123595507</v>
      </c>
      <c r="K47" s="84">
        <v>47.088797814207652</v>
      </c>
      <c r="L47" s="84">
        <v>48.036635006784259</v>
      </c>
      <c r="M47" s="84">
        <v>49.612551159618008</v>
      </c>
      <c r="N47" s="84">
        <v>48.746288798920375</v>
      </c>
      <c r="O47" s="84">
        <v>48.578877005347593</v>
      </c>
      <c r="P47" s="84">
        <v>49.744022503516177</v>
      </c>
      <c r="Q47" s="84">
        <v>50.235123367198838</v>
      </c>
      <c r="R47" s="84">
        <v>47.952451708766716</v>
      </c>
      <c r="S47" s="84">
        <v>48.84740740740741</v>
      </c>
      <c r="T47" s="84">
        <v>54.537750385208014</v>
      </c>
      <c r="U47" s="84">
        <v>61.7744</v>
      </c>
      <c r="V47" s="84">
        <v>58.857333709449932</v>
      </c>
      <c r="W47" s="84">
        <v>55.940267418899865</v>
      </c>
      <c r="DA47" s="171" t="s">
        <v>227</v>
      </c>
    </row>
    <row r="48" spans="1:105" ht="11.45" customHeight="1" x14ac:dyDescent="0.25">
      <c r="A48" s="12" t="s">
        <v>34</v>
      </c>
      <c r="B48" s="13">
        <f t="shared" ref="B48:C48" si="36">SUM(B49:B51)</f>
        <v>2.4450598395541983</v>
      </c>
      <c r="C48" s="13">
        <f t="shared" si="36"/>
        <v>2.2313922307068164</v>
      </c>
      <c r="D48" s="13">
        <f t="shared" ref="D48:V48" si="37">SUM(D49:D51)</f>
        <v>2.6734162576763465</v>
      </c>
      <c r="E48" s="13">
        <f t="shared" si="37"/>
        <v>2.8469227978288991</v>
      </c>
      <c r="F48" s="13">
        <f t="shared" si="37"/>
        <v>4.1519102727556811</v>
      </c>
      <c r="G48" s="13">
        <f t="shared" si="37"/>
        <v>4.8533351284292401</v>
      </c>
      <c r="H48" s="13">
        <f t="shared" si="37"/>
        <v>5.4907136056498747</v>
      </c>
      <c r="I48" s="13">
        <f t="shared" si="37"/>
        <v>5.2462076216944551</v>
      </c>
      <c r="J48" s="13">
        <f t="shared" si="37"/>
        <v>5.02195243278668</v>
      </c>
      <c r="K48" s="13">
        <f t="shared" si="37"/>
        <v>4.78596342588789</v>
      </c>
      <c r="L48" s="13">
        <f t="shared" si="37"/>
        <v>4.7132020825836278</v>
      </c>
      <c r="M48" s="13">
        <f t="shared" si="37"/>
        <v>4.8846268238374728</v>
      </c>
      <c r="N48" s="13">
        <f t="shared" si="37"/>
        <v>4.7590449039154006</v>
      </c>
      <c r="O48" s="13">
        <f t="shared" si="37"/>
        <v>4.7746585886804933</v>
      </c>
      <c r="P48" s="13">
        <f t="shared" si="37"/>
        <v>4.8538237026445605</v>
      </c>
      <c r="Q48" s="13">
        <f t="shared" si="37"/>
        <v>5.1436564327769458</v>
      </c>
      <c r="R48" s="13">
        <f t="shared" si="37"/>
        <v>4.9360882825462937</v>
      </c>
      <c r="S48" s="13">
        <f t="shared" si="37"/>
        <v>5.1027308242410356</v>
      </c>
      <c r="T48" s="13">
        <f t="shared" si="37"/>
        <v>5.398314598898704</v>
      </c>
      <c r="U48" s="13">
        <f t="shared" si="37"/>
        <v>5.7499237263581371</v>
      </c>
      <c r="V48" s="13">
        <f t="shared" si="37"/>
        <v>5.5915894997032378</v>
      </c>
      <c r="W48" s="13">
        <f t="shared" ref="W48" si="38">SUM(W49:W51)</f>
        <v>5.7732403935260566</v>
      </c>
      <c r="DA48" s="193" t="s">
        <v>228</v>
      </c>
    </row>
    <row r="49" spans="1:105" ht="11.45" customHeight="1" x14ac:dyDescent="0.25">
      <c r="A49" s="92" t="s">
        <v>27</v>
      </c>
      <c r="B49" s="102">
        <v>7.9973562458691347E-2</v>
      </c>
      <c r="C49" s="102">
        <v>7.1976206212822219E-2</v>
      </c>
      <c r="D49" s="102">
        <v>6.3978849966953077E-2</v>
      </c>
      <c r="E49" s="102">
        <v>5.5981493721083943E-2</v>
      </c>
      <c r="F49" s="102">
        <v>6.4111037673496366E-2</v>
      </c>
      <c r="G49" s="102">
        <v>6.6181336863004633E-2</v>
      </c>
      <c r="H49" s="102">
        <v>6.7594433399602388E-2</v>
      </c>
      <c r="I49" s="102">
        <v>5.9597077153733254E-2</v>
      </c>
      <c r="J49" s="102">
        <v>6.2792251169004679E-2</v>
      </c>
      <c r="K49" s="102">
        <v>5.8350100603621731E-2</v>
      </c>
      <c r="L49" s="102">
        <v>5.0352744357752596E-2</v>
      </c>
      <c r="M49" s="102">
        <v>4.2355388111883462E-2</v>
      </c>
      <c r="N49" s="102">
        <v>3.4358031866014327E-2</v>
      </c>
      <c r="O49" s="102">
        <v>2.6360675620145192E-2</v>
      </c>
      <c r="P49" s="102">
        <v>1.8363319374276058E-2</v>
      </c>
      <c r="Q49" s="102">
        <v>1.1849901250822911E-2</v>
      </c>
      <c r="R49" s="102">
        <v>6.5703022339027592E-3</v>
      </c>
      <c r="S49" s="102">
        <v>5.2219321148825066E-3</v>
      </c>
      <c r="T49" s="102">
        <v>5.1847051198963059E-3</v>
      </c>
      <c r="U49" s="102">
        <v>1.321003963011889E-3</v>
      </c>
      <c r="V49" s="102">
        <v>6.5919578114700061E-4</v>
      </c>
      <c r="W49" s="102">
        <v>6.5231572080887146E-4</v>
      </c>
      <c r="DA49" s="175" t="s">
        <v>229</v>
      </c>
    </row>
    <row r="50" spans="1:105" ht="11.45" customHeight="1" x14ac:dyDescent="0.25">
      <c r="A50" s="92" t="s">
        <v>173</v>
      </c>
      <c r="B50" s="102">
        <v>1.3978532673867692</v>
      </c>
      <c r="C50" s="102">
        <v>1.2889063157561302</v>
      </c>
      <c r="D50" s="102">
        <v>1.6956024562530827</v>
      </c>
      <c r="E50" s="102">
        <v>1.8139995565349998</v>
      </c>
      <c r="F50" s="102">
        <v>2.9336730214899518</v>
      </c>
      <c r="G50" s="102">
        <v>3.135425238429232</v>
      </c>
      <c r="H50" s="102">
        <v>3.8225969790387841</v>
      </c>
      <c r="I50" s="102">
        <v>3.6828116523001073</v>
      </c>
      <c r="J50" s="102">
        <v>3.5520845903479348</v>
      </c>
      <c r="K50" s="102">
        <v>3.4172610349854016</v>
      </c>
      <c r="L50" s="102">
        <v>3.4492203488978825</v>
      </c>
      <c r="M50" s="102">
        <v>3.4870402921732775</v>
      </c>
      <c r="N50" s="102">
        <v>3.3472549654346007</v>
      </c>
      <c r="O50" s="102">
        <v>3.2497305778167949</v>
      </c>
      <c r="P50" s="102">
        <v>3.2861182780071263</v>
      </c>
      <c r="Q50" s="102">
        <v>3.1739310736506652</v>
      </c>
      <c r="R50" s="102">
        <v>3.0341457469119884</v>
      </c>
      <c r="S50" s="102">
        <v>3.0480465265347561</v>
      </c>
      <c r="T50" s="102">
        <v>3.0237181290729249</v>
      </c>
      <c r="U50" s="102">
        <v>3.3044402858469022</v>
      </c>
      <c r="V50" s="102">
        <v>3.2112500680211173</v>
      </c>
      <c r="W50" s="102">
        <v>3.4573900425515229</v>
      </c>
      <c r="DA50" s="175" t="s">
        <v>230</v>
      </c>
    </row>
    <row r="51" spans="1:105" ht="11.45" customHeight="1" x14ac:dyDescent="0.25">
      <c r="A51" s="85" t="s">
        <v>174</v>
      </c>
      <c r="B51" s="86">
        <v>0.96723300970873782</v>
      </c>
      <c r="C51" s="86">
        <v>0.87050970873786404</v>
      </c>
      <c r="D51" s="86">
        <v>0.91383495145631066</v>
      </c>
      <c r="E51" s="86">
        <v>0.97694174757281549</v>
      </c>
      <c r="F51" s="86">
        <v>1.154126213592233</v>
      </c>
      <c r="G51" s="86">
        <v>1.6517285531370038</v>
      </c>
      <c r="H51" s="86">
        <v>1.6005221932114881</v>
      </c>
      <c r="I51" s="86">
        <v>1.5037988922406145</v>
      </c>
      <c r="J51" s="86">
        <v>1.4070755912697406</v>
      </c>
      <c r="K51" s="86">
        <v>1.3103522902988667</v>
      </c>
      <c r="L51" s="86">
        <v>1.2136289893279928</v>
      </c>
      <c r="M51" s="86">
        <v>1.3552311435523114</v>
      </c>
      <c r="N51" s="86">
        <v>1.377431906614786</v>
      </c>
      <c r="O51" s="86">
        <v>1.4985673352435529</v>
      </c>
      <c r="P51" s="86">
        <v>1.549342105263158</v>
      </c>
      <c r="Q51" s="86">
        <v>1.9578754578754578</v>
      </c>
      <c r="R51" s="86">
        <v>1.8953722334004024</v>
      </c>
      <c r="S51" s="86">
        <v>2.0494623655913977</v>
      </c>
      <c r="T51" s="86">
        <v>2.3694117647058826</v>
      </c>
      <c r="U51" s="86">
        <v>2.4441624365482233</v>
      </c>
      <c r="V51" s="86">
        <v>2.3796802359009739</v>
      </c>
      <c r="W51" s="86">
        <v>2.3151980352537249</v>
      </c>
      <c r="DA51" s="178" t="s">
        <v>231</v>
      </c>
    </row>
    <row r="52" spans="1:105" x14ac:dyDescent="0.25">
      <c r="A52" s="50"/>
      <c r="B52" s="50"/>
      <c r="C52" s="50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DA52" s="181"/>
    </row>
    <row r="53" spans="1:105" ht="11.45" customHeight="1" x14ac:dyDescent="0.25">
      <c r="A53" s="53" t="s">
        <v>82</v>
      </c>
      <c r="B53" s="54">
        <f t="shared" ref="B53:C53" si="39">SUM(B54,B58)</f>
        <v>14.980143213412902</v>
      </c>
      <c r="C53" s="54">
        <f t="shared" si="39"/>
        <v>1.554486236200773</v>
      </c>
      <c r="D53" s="54">
        <f t="shared" ref="D53:V53" si="40">SUM(D54,D58)</f>
        <v>3.5795683788777222</v>
      </c>
      <c r="E53" s="54">
        <f t="shared" si="40"/>
        <v>7.5075462557196495</v>
      </c>
      <c r="F53" s="54">
        <f t="shared" si="40"/>
        <v>18.530818628570891</v>
      </c>
      <c r="G53" s="54">
        <f t="shared" si="40"/>
        <v>9.546634285009155</v>
      </c>
      <c r="H53" s="54">
        <f t="shared" si="40"/>
        <v>4.1838591252875794</v>
      </c>
      <c r="I53" s="54">
        <f t="shared" si="40"/>
        <v>9.7616296137424499</v>
      </c>
      <c r="J53" s="54">
        <f t="shared" si="40"/>
        <v>8.3748624872368485</v>
      </c>
      <c r="K53" s="54">
        <f t="shared" si="40"/>
        <v>6.2407882054433303E-2</v>
      </c>
      <c r="L53" s="54">
        <f t="shared" si="40"/>
        <v>2.6888556510057646</v>
      </c>
      <c r="M53" s="54">
        <f t="shared" si="40"/>
        <v>4.916819931217681</v>
      </c>
      <c r="N53" s="54">
        <f t="shared" si="40"/>
        <v>0.53624829345484448</v>
      </c>
      <c r="O53" s="54">
        <f t="shared" si="40"/>
        <v>1.3743468997242514</v>
      </c>
      <c r="P53" s="54">
        <f t="shared" si="40"/>
        <v>6.1825863871718783</v>
      </c>
      <c r="Q53" s="54">
        <f t="shared" si="40"/>
        <v>4.3897632785980694</v>
      </c>
      <c r="R53" s="54">
        <f t="shared" si="40"/>
        <v>3.3675193753868435</v>
      </c>
      <c r="S53" s="54">
        <f t="shared" si="40"/>
        <v>3.9267456122326756</v>
      </c>
      <c r="T53" s="54">
        <f t="shared" si="40"/>
        <v>13.79389691206605</v>
      </c>
      <c r="U53" s="54">
        <f t="shared" si="40"/>
        <v>18.021242866646105</v>
      </c>
      <c r="V53" s="54">
        <f t="shared" si="40"/>
        <v>1.7373986921351118E-3</v>
      </c>
      <c r="W53" s="54">
        <f t="shared" ref="W53" si="41">SUM(W54,W58)</f>
        <v>0.2981903958626968</v>
      </c>
      <c r="DA53" s="172" t="s">
        <v>232</v>
      </c>
    </row>
    <row r="54" spans="1:105" ht="11.45" customHeight="1" x14ac:dyDescent="0.25">
      <c r="A54" s="10" t="s">
        <v>33</v>
      </c>
      <c r="B54" s="11">
        <f t="shared" ref="B54:C54" si="42">SUM(B55:B57)</f>
        <v>14.758236200693135</v>
      </c>
      <c r="C54" s="11">
        <f t="shared" si="42"/>
        <v>1.553512453428773</v>
      </c>
      <c r="D54" s="11">
        <f t="shared" ref="D54:V54" si="43">SUM(D55:D57)</f>
        <v>3.057566461512323</v>
      </c>
      <c r="E54" s="11">
        <f t="shared" si="43"/>
        <v>7.2521142596286206</v>
      </c>
      <c r="F54" s="11">
        <f t="shared" si="43"/>
        <v>17.151451412620109</v>
      </c>
      <c r="G54" s="11">
        <f t="shared" si="43"/>
        <v>8.7599082223427587</v>
      </c>
      <c r="H54" s="11">
        <f t="shared" si="43"/>
        <v>3.4389900714395911</v>
      </c>
      <c r="I54" s="11">
        <f t="shared" si="43"/>
        <v>9.7616296137424499</v>
      </c>
      <c r="J54" s="11">
        <f t="shared" si="43"/>
        <v>8.3621574071036804</v>
      </c>
      <c r="K54" s="11">
        <f t="shared" si="43"/>
        <v>5.9393676220896197E-2</v>
      </c>
      <c r="L54" s="11">
        <f t="shared" si="43"/>
        <v>2.6010637617228394</v>
      </c>
      <c r="M54" s="11">
        <f t="shared" si="43"/>
        <v>4.5705430822308974</v>
      </c>
      <c r="N54" s="11">
        <f t="shared" si="43"/>
        <v>0.48503054010136992</v>
      </c>
      <c r="O54" s="11">
        <f t="shared" si="43"/>
        <v>1.1838811072262203</v>
      </c>
      <c r="P54" s="11">
        <f t="shared" si="43"/>
        <v>6.0105743513004972</v>
      </c>
      <c r="Q54" s="11">
        <f t="shared" si="43"/>
        <v>3.9522129356947699</v>
      </c>
      <c r="R54" s="11">
        <f t="shared" si="43"/>
        <v>3.3675193753868435</v>
      </c>
      <c r="S54" s="11">
        <f t="shared" si="43"/>
        <v>3.6728542980024885</v>
      </c>
      <c r="T54" s="11">
        <f t="shared" si="43"/>
        <v>13.411064364872939</v>
      </c>
      <c r="U54" s="11">
        <f t="shared" si="43"/>
        <v>17.580920472368344</v>
      </c>
      <c r="V54" s="11">
        <f t="shared" si="43"/>
        <v>0</v>
      </c>
      <c r="W54" s="11">
        <f t="shared" ref="W54" si="44">SUM(W55:W57)</f>
        <v>0</v>
      </c>
      <c r="DA54" s="189" t="s">
        <v>233</v>
      </c>
    </row>
    <row r="55" spans="1:105" ht="11.45" customHeight="1" x14ac:dyDescent="0.25">
      <c r="A55" s="83" t="s">
        <v>27</v>
      </c>
      <c r="B55" s="84">
        <v>1.4227359617684607</v>
      </c>
      <c r="C55" s="84">
        <v>0</v>
      </c>
      <c r="D55" s="84">
        <v>0.78008363201935538</v>
      </c>
      <c r="E55" s="84">
        <v>0</v>
      </c>
      <c r="F55" s="84">
        <v>7.4667463162328751E-2</v>
      </c>
      <c r="G55" s="84">
        <v>0.27715138420912311</v>
      </c>
      <c r="H55" s="84">
        <v>0.52623340272883468</v>
      </c>
      <c r="I55" s="84">
        <v>0.38417281079925747</v>
      </c>
      <c r="J55" s="84">
        <v>0.6212869588314831</v>
      </c>
      <c r="K55" s="84">
        <v>5.9393676220896197E-2</v>
      </c>
      <c r="L55" s="84">
        <v>0.2003097287747746</v>
      </c>
      <c r="M55" s="84">
        <v>0</v>
      </c>
      <c r="N55" s="84">
        <v>0</v>
      </c>
      <c r="O55" s="84">
        <v>0</v>
      </c>
      <c r="P55" s="84">
        <v>0</v>
      </c>
      <c r="Q55" s="84">
        <v>0</v>
      </c>
      <c r="R55" s="84">
        <v>0</v>
      </c>
      <c r="S55" s="84">
        <v>0.18096706182639988</v>
      </c>
      <c r="T55" s="84">
        <v>0.15993552585415394</v>
      </c>
      <c r="U55" s="84">
        <v>0</v>
      </c>
      <c r="V55" s="84">
        <v>0</v>
      </c>
      <c r="W55" s="84">
        <v>0</v>
      </c>
      <c r="DA55" s="171" t="s">
        <v>234</v>
      </c>
    </row>
    <row r="56" spans="1:105" ht="11.45" customHeight="1" x14ac:dyDescent="0.25">
      <c r="A56" s="83" t="s">
        <v>173</v>
      </c>
      <c r="B56" s="84">
        <v>4.7599478176743313</v>
      </c>
      <c r="C56" s="84">
        <v>1.553512453428773</v>
      </c>
      <c r="D56" s="84">
        <v>2.0065848511199178</v>
      </c>
      <c r="E56" s="84">
        <v>6.302795970959381</v>
      </c>
      <c r="F56" s="84">
        <v>8.2699198215783785</v>
      </c>
      <c r="G56" s="84">
        <v>3.224193394577493</v>
      </c>
      <c r="H56" s="84">
        <v>2.9127566687107564</v>
      </c>
      <c r="I56" s="84">
        <v>7.5974301255420036</v>
      </c>
      <c r="J56" s="84">
        <v>3.9776244645162961</v>
      </c>
      <c r="K56" s="84">
        <v>0</v>
      </c>
      <c r="L56" s="84">
        <v>0.10162393957245541</v>
      </c>
      <c r="M56" s="84">
        <v>1.6433340285981464</v>
      </c>
      <c r="N56" s="84">
        <v>0</v>
      </c>
      <c r="O56" s="84">
        <v>0</v>
      </c>
      <c r="P56" s="84">
        <v>3.4941359523329103</v>
      </c>
      <c r="Q56" s="84">
        <v>2.1098191712131067</v>
      </c>
      <c r="R56" s="84">
        <v>3.3675193753868435</v>
      </c>
      <c r="S56" s="84">
        <v>1.245638636736393</v>
      </c>
      <c r="T56" s="84">
        <v>6.2094929604191789</v>
      </c>
      <c r="U56" s="84">
        <v>8.9929779567773558</v>
      </c>
      <c r="V56" s="84">
        <v>0</v>
      </c>
      <c r="W56" s="84">
        <v>0</v>
      </c>
      <c r="DA56" s="171" t="s">
        <v>235</v>
      </c>
    </row>
    <row r="57" spans="1:105" ht="11.45" customHeight="1" x14ac:dyDescent="0.25">
      <c r="A57" s="83" t="s">
        <v>174</v>
      </c>
      <c r="B57" s="84">
        <v>8.5755524212503431</v>
      </c>
      <c r="C57" s="84">
        <v>0</v>
      </c>
      <c r="D57" s="84">
        <v>0.27089797837304985</v>
      </c>
      <c r="E57" s="84">
        <v>0.94931828866923951</v>
      </c>
      <c r="F57" s="84">
        <v>8.8068641278794004</v>
      </c>
      <c r="G57" s="84">
        <v>5.2585634435561417</v>
      </c>
      <c r="H57" s="84">
        <v>0</v>
      </c>
      <c r="I57" s="84">
        <v>1.7800266774011888</v>
      </c>
      <c r="J57" s="84">
        <v>3.7632459837559011</v>
      </c>
      <c r="K57" s="84">
        <v>0</v>
      </c>
      <c r="L57" s="84">
        <v>2.2991300933756094</v>
      </c>
      <c r="M57" s="84">
        <v>2.9272090536327511</v>
      </c>
      <c r="N57" s="84">
        <v>0.48503054010136992</v>
      </c>
      <c r="O57" s="84">
        <v>1.1838811072262203</v>
      </c>
      <c r="P57" s="84">
        <v>2.5164383989675869</v>
      </c>
      <c r="Q57" s="84">
        <v>1.8423937644816633</v>
      </c>
      <c r="R57" s="84">
        <v>0</v>
      </c>
      <c r="S57" s="84">
        <v>2.2462485994396957</v>
      </c>
      <c r="T57" s="84">
        <v>7.0416358785996067</v>
      </c>
      <c r="U57" s="84">
        <v>8.5879425155909885</v>
      </c>
      <c r="V57" s="84">
        <v>0</v>
      </c>
      <c r="W57" s="84">
        <v>0</v>
      </c>
      <c r="DA57" s="171" t="s">
        <v>236</v>
      </c>
    </row>
    <row r="58" spans="1:105" ht="11.45" customHeight="1" x14ac:dyDescent="0.25">
      <c r="A58" s="12" t="s">
        <v>34</v>
      </c>
      <c r="B58" s="13">
        <f t="shared" ref="B58:C58" si="45">SUM(B59:B61)</f>
        <v>0.22190701271976729</v>
      </c>
      <c r="C58" s="13">
        <f t="shared" si="45"/>
        <v>9.7378277200000155E-4</v>
      </c>
      <c r="D58" s="13">
        <f t="shared" ref="D58:V58" si="46">SUM(D59:D61)</f>
        <v>0.52200191736539892</v>
      </c>
      <c r="E58" s="13">
        <f t="shared" si="46"/>
        <v>0.25543199609102851</v>
      </c>
      <c r="F58" s="13">
        <f t="shared" si="46"/>
        <v>1.3793672159507822</v>
      </c>
      <c r="G58" s="13">
        <f t="shared" si="46"/>
        <v>0.78672606266639666</v>
      </c>
      <c r="H58" s="13">
        <f t="shared" si="46"/>
        <v>0.74486905384798785</v>
      </c>
      <c r="I58" s="13">
        <f t="shared" si="46"/>
        <v>0</v>
      </c>
      <c r="J58" s="13">
        <f t="shared" si="46"/>
        <v>1.2705080133168747E-2</v>
      </c>
      <c r="K58" s="13">
        <f t="shared" si="46"/>
        <v>3.0142058335371064E-3</v>
      </c>
      <c r="L58" s="13">
        <f t="shared" si="46"/>
        <v>8.7791889282925251E-2</v>
      </c>
      <c r="M58" s="13">
        <f t="shared" si="46"/>
        <v>0.34627684898678401</v>
      </c>
      <c r="N58" s="13">
        <f t="shared" si="46"/>
        <v>5.121775335347456E-2</v>
      </c>
      <c r="O58" s="13">
        <f t="shared" si="46"/>
        <v>0.19046579249803108</v>
      </c>
      <c r="P58" s="13">
        <f t="shared" si="46"/>
        <v>0.17201203587138125</v>
      </c>
      <c r="Q58" s="13">
        <f t="shared" si="46"/>
        <v>0.43755034290329986</v>
      </c>
      <c r="R58" s="13">
        <f t="shared" si="46"/>
        <v>0</v>
      </c>
      <c r="S58" s="13">
        <f t="shared" si="46"/>
        <v>0.25389131423018685</v>
      </c>
      <c r="T58" s="13">
        <f t="shared" si="46"/>
        <v>0.38283254719311161</v>
      </c>
      <c r="U58" s="13">
        <f t="shared" si="46"/>
        <v>0.4403223942777621</v>
      </c>
      <c r="V58" s="13">
        <f t="shared" si="46"/>
        <v>1.7373986921351118E-3</v>
      </c>
      <c r="W58" s="13">
        <f t="shared" ref="W58" si="47">SUM(W59:W61)</f>
        <v>0.2981903958626968</v>
      </c>
      <c r="DA58" s="193" t="s">
        <v>237</v>
      </c>
    </row>
    <row r="59" spans="1:105" ht="11.45" customHeight="1" x14ac:dyDescent="0.25">
      <c r="A59" s="92" t="s">
        <v>27</v>
      </c>
      <c r="B59" s="102">
        <v>3.0158625248091216E-2</v>
      </c>
      <c r="C59" s="102">
        <v>0</v>
      </c>
      <c r="D59" s="102">
        <v>0</v>
      </c>
      <c r="E59" s="102">
        <v>0</v>
      </c>
      <c r="F59" s="102">
        <v>1.0528750826412421E-2</v>
      </c>
      <c r="G59" s="102">
        <v>4.4695060635082662E-3</v>
      </c>
      <c r="H59" s="102">
        <v>3.8123034105977532E-3</v>
      </c>
      <c r="I59" s="102">
        <v>0</v>
      </c>
      <c r="J59" s="102">
        <v>5.5943808892714234E-3</v>
      </c>
      <c r="K59" s="102">
        <v>0</v>
      </c>
      <c r="L59" s="102">
        <v>0</v>
      </c>
      <c r="M59" s="102">
        <v>0</v>
      </c>
      <c r="N59" s="102">
        <v>0</v>
      </c>
      <c r="O59" s="102">
        <v>0</v>
      </c>
      <c r="P59" s="102">
        <v>0</v>
      </c>
      <c r="Q59" s="102">
        <v>0</v>
      </c>
      <c r="R59" s="102">
        <v>0</v>
      </c>
      <c r="S59" s="102">
        <v>1.0508367549797474E-3</v>
      </c>
      <c r="T59" s="102">
        <v>2.3619798790137994E-3</v>
      </c>
      <c r="U59" s="102">
        <v>0</v>
      </c>
      <c r="V59" s="102">
        <v>1.7373986921351118E-3</v>
      </c>
      <c r="W59" s="102">
        <v>2.3923268136618707E-3</v>
      </c>
      <c r="DA59" s="175" t="s">
        <v>238</v>
      </c>
    </row>
    <row r="60" spans="1:105" ht="11.45" customHeight="1" x14ac:dyDescent="0.25">
      <c r="A60" s="92" t="s">
        <v>173</v>
      </c>
      <c r="B60" s="102">
        <v>1.9527513685530476E-2</v>
      </c>
      <c r="C60" s="102">
        <v>9.7378277200000155E-4</v>
      </c>
      <c r="D60" s="102">
        <v>0.44965968435595233</v>
      </c>
      <c r="E60" s="102">
        <v>0.16330820968352366</v>
      </c>
      <c r="F60" s="102">
        <v>1.1626370088139522</v>
      </c>
      <c r="G60" s="102">
        <v>0.25563722676711753</v>
      </c>
      <c r="H60" s="102">
        <v>0.74105675043739005</v>
      </c>
      <c r="I60" s="102">
        <v>0</v>
      </c>
      <c r="J60" s="102">
        <v>7.1106992438973241E-3</v>
      </c>
      <c r="K60" s="102">
        <v>3.0142058335371064E-3</v>
      </c>
      <c r="L60" s="102">
        <v>8.7791889282925251E-2</v>
      </c>
      <c r="M60" s="102">
        <v>0.17565770447146534</v>
      </c>
      <c r="N60" s="102">
        <v>0</v>
      </c>
      <c r="O60" s="102">
        <v>4.0313373578264144E-2</v>
      </c>
      <c r="P60" s="102">
        <v>9.2220275560776166E-2</v>
      </c>
      <c r="Q60" s="102">
        <v>0</v>
      </c>
      <c r="R60" s="102">
        <v>0</v>
      </c>
      <c r="S60" s="102">
        <v>6.9733354993211982E-2</v>
      </c>
      <c r="T60" s="102">
        <v>3.1504177908613151E-2</v>
      </c>
      <c r="U60" s="102">
        <v>0.33655473214442155</v>
      </c>
      <c r="V60" s="102">
        <v>0</v>
      </c>
      <c r="W60" s="102">
        <v>0.29579806904903494</v>
      </c>
      <c r="DA60" s="175" t="s">
        <v>239</v>
      </c>
    </row>
    <row r="61" spans="1:105" ht="11.45" customHeight="1" x14ac:dyDescent="0.25">
      <c r="A61" s="85" t="s">
        <v>174</v>
      </c>
      <c r="B61" s="86">
        <v>0.17222087378614559</v>
      </c>
      <c r="C61" s="86">
        <v>0</v>
      </c>
      <c r="D61" s="86">
        <v>7.2342233009446644E-2</v>
      </c>
      <c r="E61" s="86">
        <v>9.2123786407504848E-2</v>
      </c>
      <c r="F61" s="86">
        <v>0.20620145631041753</v>
      </c>
      <c r="G61" s="86">
        <v>0.52661932983577087</v>
      </c>
      <c r="H61" s="86">
        <v>0</v>
      </c>
      <c r="I61" s="86">
        <v>0</v>
      </c>
      <c r="J61" s="86">
        <v>0</v>
      </c>
      <c r="K61" s="86">
        <v>0</v>
      </c>
      <c r="L61" s="86">
        <v>0</v>
      </c>
      <c r="M61" s="86">
        <v>0.17061914451531868</v>
      </c>
      <c r="N61" s="86">
        <v>5.121775335347456E-2</v>
      </c>
      <c r="O61" s="86">
        <v>0.15015241891976694</v>
      </c>
      <c r="P61" s="86">
        <v>7.9791760310605087E-2</v>
      </c>
      <c r="Q61" s="86">
        <v>0.43755034290329986</v>
      </c>
      <c r="R61" s="86">
        <v>0</v>
      </c>
      <c r="S61" s="86">
        <v>0.18310712248199512</v>
      </c>
      <c r="T61" s="86">
        <v>0.34896638940548463</v>
      </c>
      <c r="U61" s="86">
        <v>0.10376766213334054</v>
      </c>
      <c r="V61" s="86">
        <v>0</v>
      </c>
      <c r="W61" s="86">
        <v>0</v>
      </c>
      <c r="DA61" s="178" t="s">
        <v>240</v>
      </c>
    </row>
    <row r="62" spans="1:105" x14ac:dyDescent="0.25">
      <c r="A62" s="50"/>
      <c r="B62" s="50"/>
      <c r="C62" s="50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DA62" s="181"/>
    </row>
    <row r="63" spans="1:105" ht="11.45" customHeight="1" x14ac:dyDescent="0.25">
      <c r="A63" s="68" t="s">
        <v>36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DA63" s="179"/>
    </row>
    <row r="64" spans="1:105" x14ac:dyDescent="0.25">
      <c r="A64" s="50"/>
      <c r="B64" s="50"/>
      <c r="C64" s="50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DA64" s="181"/>
    </row>
    <row r="65" spans="1:105" ht="11.45" customHeight="1" x14ac:dyDescent="0.25">
      <c r="A65" s="53" t="s">
        <v>83</v>
      </c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DA65" s="172"/>
    </row>
    <row r="66" spans="1:105" ht="11.45" customHeight="1" x14ac:dyDescent="0.25">
      <c r="A66" s="10" t="s">
        <v>84</v>
      </c>
      <c r="B66" s="14">
        <f t="shared" ref="B66:C73" si="48">IF(B34=0,0,B34/B24)</f>
        <v>58.942394066657968</v>
      </c>
      <c r="C66" s="14">
        <f t="shared" si="48"/>
        <v>60.907782082556082</v>
      </c>
      <c r="D66" s="14">
        <f t="shared" ref="D66:V66" si="49">IF(D34=0,0,D34/D24)</f>
        <v>62.489725864878118</v>
      </c>
      <c r="E66" s="14">
        <f t="shared" si="49"/>
        <v>63.267401739605212</v>
      </c>
      <c r="F66" s="14">
        <f t="shared" si="49"/>
        <v>65.841770940170946</v>
      </c>
      <c r="G66" s="14">
        <f t="shared" si="49"/>
        <v>68.692037525456556</v>
      </c>
      <c r="H66" s="14">
        <f t="shared" si="49"/>
        <v>72.675162255281649</v>
      </c>
      <c r="I66" s="14">
        <f t="shared" si="49"/>
        <v>74.509475482189828</v>
      </c>
      <c r="J66" s="14">
        <f t="shared" si="49"/>
        <v>74.327680720737902</v>
      </c>
      <c r="K66" s="14">
        <f t="shared" si="49"/>
        <v>74.273888624960136</v>
      </c>
      <c r="L66" s="14">
        <f t="shared" si="49"/>
        <v>79.457304090653167</v>
      </c>
      <c r="M66" s="14">
        <f t="shared" si="49"/>
        <v>86.366666004121029</v>
      </c>
      <c r="N66" s="14">
        <f t="shared" si="49"/>
        <v>91.239339733688965</v>
      </c>
      <c r="O66" s="14">
        <f t="shared" si="49"/>
        <v>94.647844747686477</v>
      </c>
      <c r="P66" s="14">
        <f t="shared" si="49"/>
        <v>97.085719370684131</v>
      </c>
      <c r="Q66" s="14">
        <f t="shared" si="49"/>
        <v>100.1029909951646</v>
      </c>
      <c r="R66" s="14">
        <f t="shared" si="49"/>
        <v>103.03699587871651</v>
      </c>
      <c r="S66" s="14">
        <f t="shared" si="49"/>
        <v>107.54108423170166</v>
      </c>
      <c r="T66" s="14">
        <f t="shared" si="49"/>
        <v>111.50399259908463</v>
      </c>
      <c r="U66" s="14">
        <f t="shared" si="49"/>
        <v>117.52932037082404</v>
      </c>
      <c r="V66" s="14">
        <f t="shared" si="49"/>
        <v>88.558000908333966</v>
      </c>
      <c r="W66" s="14">
        <f t="shared" ref="W66" si="50">IF(W34=0,0,W34/W24)</f>
        <v>97.209129402044823</v>
      </c>
      <c r="DA66" s="189" t="s">
        <v>241</v>
      </c>
    </row>
    <row r="67" spans="1:105" ht="11.45" customHeight="1" x14ac:dyDescent="0.25">
      <c r="A67" s="83" t="s">
        <v>27</v>
      </c>
      <c r="B67" s="87">
        <f t="shared" si="48"/>
        <v>25.860266565479296</v>
      </c>
      <c r="C67" s="87">
        <f t="shared" si="48"/>
        <v>29.57414267569856</v>
      </c>
      <c r="D67" s="87">
        <f t="shared" ref="D67:V67" si="51">IF(D35=0,0,D35/D25)</f>
        <v>28.056598197133145</v>
      </c>
      <c r="E67" s="87">
        <f t="shared" si="51"/>
        <v>30.218487394957982</v>
      </c>
      <c r="F67" s="87">
        <f t="shared" si="51"/>
        <v>32.268151118615449</v>
      </c>
      <c r="G67" s="87">
        <f t="shared" si="51"/>
        <v>31.862941486557723</v>
      </c>
      <c r="H67" s="87">
        <f t="shared" si="51"/>
        <v>38.368590070343565</v>
      </c>
      <c r="I67" s="87">
        <f t="shared" si="51"/>
        <v>39.93008015324898</v>
      </c>
      <c r="J67" s="87">
        <f t="shared" si="51"/>
        <v>39.5768221574344</v>
      </c>
      <c r="K67" s="87">
        <f t="shared" si="51"/>
        <v>39.44435544430538</v>
      </c>
      <c r="L67" s="87">
        <f t="shared" si="51"/>
        <v>43.144869924017513</v>
      </c>
      <c r="M67" s="87">
        <f t="shared" si="51"/>
        <v>47.071109094444807</v>
      </c>
      <c r="N67" s="87">
        <f t="shared" si="51"/>
        <v>44.317041800643089</v>
      </c>
      <c r="O67" s="87">
        <f t="shared" si="51"/>
        <v>43.698635660998725</v>
      </c>
      <c r="P67" s="87">
        <f t="shared" si="51"/>
        <v>43.923732454883989</v>
      </c>
      <c r="Q67" s="87">
        <f t="shared" si="51"/>
        <v>45.338230571612073</v>
      </c>
      <c r="R67" s="87">
        <f t="shared" si="51"/>
        <v>47.302956111715631</v>
      </c>
      <c r="S67" s="87">
        <f t="shared" si="51"/>
        <v>51.017832393975795</v>
      </c>
      <c r="T67" s="87">
        <f t="shared" si="51"/>
        <v>56.978743504959851</v>
      </c>
      <c r="U67" s="87">
        <f t="shared" si="51"/>
        <v>56.883358624178051</v>
      </c>
      <c r="V67" s="87">
        <f t="shared" si="51"/>
        <v>45.095911466338762</v>
      </c>
      <c r="W67" s="87">
        <f t="shared" ref="W67" si="52">IF(W35=0,0,W35/W25)</f>
        <v>46.390992427261857</v>
      </c>
      <c r="DA67" s="171" t="s">
        <v>242</v>
      </c>
    </row>
    <row r="68" spans="1:105" ht="11.45" customHeight="1" x14ac:dyDescent="0.25">
      <c r="A68" s="83" t="s">
        <v>173</v>
      </c>
      <c r="B68" s="87">
        <f t="shared" si="48"/>
        <v>61.787653088647446</v>
      </c>
      <c r="C68" s="87">
        <f t="shared" si="48"/>
        <v>62.102154130893013</v>
      </c>
      <c r="D68" s="87">
        <f t="shared" ref="D68:V68" si="53">IF(D36=0,0,D36/D26)</f>
        <v>64.146538377880418</v>
      </c>
      <c r="E68" s="87">
        <f t="shared" si="53"/>
        <v>64.538493294488148</v>
      </c>
      <c r="F68" s="87">
        <f t="shared" si="53"/>
        <v>65.745592179896306</v>
      </c>
      <c r="G68" s="87">
        <f t="shared" si="53"/>
        <v>68.063919720551453</v>
      </c>
      <c r="H68" s="87">
        <f t="shared" si="53"/>
        <v>72.399930857067318</v>
      </c>
      <c r="I68" s="87">
        <f t="shared" si="53"/>
        <v>74.052253935628528</v>
      </c>
      <c r="J68" s="87">
        <f t="shared" si="53"/>
        <v>74.615735688064291</v>
      </c>
      <c r="K68" s="87">
        <f t="shared" si="53"/>
        <v>75.588538254532992</v>
      </c>
      <c r="L68" s="87">
        <f t="shared" si="53"/>
        <v>80.578334861507145</v>
      </c>
      <c r="M68" s="87">
        <f t="shared" si="53"/>
        <v>87.149899132539844</v>
      </c>
      <c r="N68" s="87">
        <f t="shared" si="53"/>
        <v>92.872360965372508</v>
      </c>
      <c r="O68" s="87">
        <f t="shared" si="53"/>
        <v>97.46963367248388</v>
      </c>
      <c r="P68" s="87">
        <f t="shared" si="53"/>
        <v>99.249720204525005</v>
      </c>
      <c r="Q68" s="87">
        <f t="shared" si="53"/>
        <v>101.60584101888449</v>
      </c>
      <c r="R68" s="87">
        <f t="shared" si="53"/>
        <v>104.37730611363145</v>
      </c>
      <c r="S68" s="87">
        <f t="shared" si="53"/>
        <v>108.63760689340035</v>
      </c>
      <c r="T68" s="87">
        <f t="shared" si="53"/>
        <v>110.85525535352708</v>
      </c>
      <c r="U68" s="87">
        <f t="shared" si="53"/>
        <v>116.14736447195648</v>
      </c>
      <c r="V68" s="87">
        <f t="shared" si="53"/>
        <v>88.727765321375188</v>
      </c>
      <c r="W68" s="87">
        <f t="shared" ref="W68" si="54">IF(W36=0,0,W36/W26)</f>
        <v>97.041943332150638</v>
      </c>
      <c r="DA68" s="171" t="s">
        <v>243</v>
      </c>
    </row>
    <row r="69" spans="1:105" ht="11.45" customHeight="1" x14ac:dyDescent="0.25">
      <c r="A69" s="83" t="s">
        <v>174</v>
      </c>
      <c r="B69" s="87">
        <f t="shared" si="48"/>
        <v>74.258098829900391</v>
      </c>
      <c r="C69" s="87">
        <f t="shared" si="48"/>
        <v>78.274476376035068</v>
      </c>
      <c r="D69" s="87">
        <f t="shared" ref="D69:V69" si="55">IF(D37=0,0,D37/D27)</f>
        <v>82.847726622819565</v>
      </c>
      <c r="E69" s="87">
        <f t="shared" si="55"/>
        <v>82.525838720161786</v>
      </c>
      <c r="F69" s="87">
        <f t="shared" si="55"/>
        <v>85.411741516814743</v>
      </c>
      <c r="G69" s="87">
        <f t="shared" si="55"/>
        <v>91.006434930802456</v>
      </c>
      <c r="H69" s="87">
        <f t="shared" si="55"/>
        <v>94.69140539010661</v>
      </c>
      <c r="I69" s="87">
        <f t="shared" si="55"/>
        <v>96.41902689165822</v>
      </c>
      <c r="J69" s="87">
        <f t="shared" si="55"/>
        <v>93.108744055636492</v>
      </c>
      <c r="K69" s="87">
        <f t="shared" si="55"/>
        <v>90.673677797441172</v>
      </c>
      <c r="L69" s="87">
        <f t="shared" si="55"/>
        <v>96.698161172781965</v>
      </c>
      <c r="M69" s="87">
        <f t="shared" si="55"/>
        <v>100.90119892207007</v>
      </c>
      <c r="N69" s="87">
        <f t="shared" si="55"/>
        <v>107.13078264721354</v>
      </c>
      <c r="O69" s="87">
        <f t="shared" si="55"/>
        <v>108.59517846822797</v>
      </c>
      <c r="P69" s="87">
        <f t="shared" si="55"/>
        <v>112.49884076000905</v>
      </c>
      <c r="Q69" s="87">
        <f t="shared" si="55"/>
        <v>115.8567837744135</v>
      </c>
      <c r="R69" s="87">
        <f t="shared" si="55"/>
        <v>118.23745042141795</v>
      </c>
      <c r="S69" s="87">
        <f t="shared" si="55"/>
        <v>123.03803226980469</v>
      </c>
      <c r="T69" s="87">
        <f t="shared" si="55"/>
        <v>129.60223195366578</v>
      </c>
      <c r="U69" s="87">
        <f t="shared" si="55"/>
        <v>136.87272397627495</v>
      </c>
      <c r="V69" s="87">
        <f t="shared" si="55"/>
        <v>99.6920095654325</v>
      </c>
      <c r="W69" s="87">
        <f t="shared" ref="W69" si="56">IF(W37=0,0,W37/W27)</f>
        <v>105.5222862810737</v>
      </c>
      <c r="DA69" s="171" t="s">
        <v>244</v>
      </c>
    </row>
    <row r="70" spans="1:105" ht="11.45" customHeight="1" x14ac:dyDescent="0.25">
      <c r="A70" s="12" t="s">
        <v>85</v>
      </c>
      <c r="B70" s="15">
        <f t="shared" si="48"/>
        <v>27.294780977644397</v>
      </c>
      <c r="C70" s="15">
        <f t="shared" si="48"/>
        <v>27.447088839348698</v>
      </c>
      <c r="D70" s="15">
        <f t="shared" ref="D70:V70" si="57">IF(D38=0,0,D38/D28)</f>
        <v>26.164339144827984</v>
      </c>
      <c r="E70" s="15">
        <f t="shared" si="57"/>
        <v>25.658310922286535</v>
      </c>
      <c r="F70" s="15">
        <f t="shared" si="57"/>
        <v>22.929574963867868</v>
      </c>
      <c r="G70" s="15">
        <f t="shared" si="57"/>
        <v>22.750611929063101</v>
      </c>
      <c r="H70" s="15">
        <f t="shared" si="57"/>
        <v>20.954860502623646</v>
      </c>
      <c r="I70" s="15">
        <f t="shared" si="57"/>
        <v>21.248371300276133</v>
      </c>
      <c r="J70" s="15">
        <f t="shared" si="57"/>
        <v>20.964472242643655</v>
      </c>
      <c r="K70" s="15">
        <f t="shared" si="57"/>
        <v>20.904697007921953</v>
      </c>
      <c r="L70" s="15">
        <f t="shared" si="57"/>
        <v>21.838338875544792</v>
      </c>
      <c r="M70" s="15">
        <f t="shared" si="57"/>
        <v>24.699640364627108</v>
      </c>
      <c r="N70" s="15">
        <f t="shared" si="57"/>
        <v>27.384509393738352</v>
      </c>
      <c r="O70" s="15">
        <f t="shared" si="57"/>
        <v>27.005382312651832</v>
      </c>
      <c r="P70" s="15">
        <f t="shared" si="57"/>
        <v>28.079484464137995</v>
      </c>
      <c r="Q70" s="15">
        <f t="shared" si="57"/>
        <v>29.557518316402806</v>
      </c>
      <c r="R70" s="15">
        <f t="shared" si="57"/>
        <v>33.956790616479367</v>
      </c>
      <c r="S70" s="15">
        <f t="shared" si="57"/>
        <v>31.331570260380044</v>
      </c>
      <c r="T70" s="15">
        <f t="shared" si="57"/>
        <v>31.974558591402573</v>
      </c>
      <c r="U70" s="15">
        <f t="shared" si="57"/>
        <v>31.511754711494671</v>
      </c>
      <c r="V70" s="15">
        <f t="shared" si="57"/>
        <v>23.357273947370835</v>
      </c>
      <c r="W70" s="15">
        <f t="shared" ref="W70" si="58">IF(W38=0,0,W38/W28)</f>
        <v>24.016572768180961</v>
      </c>
      <c r="DA70" s="193" t="s">
        <v>245</v>
      </c>
    </row>
    <row r="71" spans="1:105" ht="11.45" customHeight="1" x14ac:dyDescent="0.25">
      <c r="A71" s="42" t="s">
        <v>27</v>
      </c>
      <c r="B71" s="41">
        <f t="shared" si="48"/>
        <v>10.023260717907061</v>
      </c>
      <c r="C71" s="41">
        <f t="shared" si="48"/>
        <v>9.9468368530637683</v>
      </c>
      <c r="D71" s="41">
        <f t="shared" ref="D71:V71" si="59">IF(D39=0,0,D39/D29)</f>
        <v>10.228621255842398</v>
      </c>
      <c r="E71" s="41">
        <f t="shared" si="59"/>
        <v>10.880055930725819</v>
      </c>
      <c r="F71" s="41">
        <f t="shared" si="59"/>
        <v>10.245293270650949</v>
      </c>
      <c r="G71" s="41">
        <f t="shared" si="59"/>
        <v>10.026366251647696</v>
      </c>
      <c r="H71" s="41">
        <f t="shared" si="59"/>
        <v>9.6442979168361322</v>
      </c>
      <c r="I71" s="41">
        <f t="shared" si="59"/>
        <v>9.6084894019429061</v>
      </c>
      <c r="J71" s="41">
        <f t="shared" si="59"/>
        <v>9.2442531595608752</v>
      </c>
      <c r="K71" s="41">
        <f t="shared" si="59"/>
        <v>9.3241119040203664</v>
      </c>
      <c r="L71" s="41">
        <f t="shared" si="59"/>
        <v>9.9726891566980314</v>
      </c>
      <c r="M71" s="41">
        <f t="shared" si="59"/>
        <v>10.895413572948687</v>
      </c>
      <c r="N71" s="41">
        <f t="shared" si="59"/>
        <v>11.191309368552655</v>
      </c>
      <c r="O71" s="41">
        <f t="shared" si="59"/>
        <v>11.472500357206833</v>
      </c>
      <c r="P71" s="41">
        <f t="shared" si="59"/>
        <v>12.867018693212083</v>
      </c>
      <c r="Q71" s="41">
        <f t="shared" si="59"/>
        <v>13.240241004887794</v>
      </c>
      <c r="R71" s="41">
        <f t="shared" si="59"/>
        <v>15.261326994101349</v>
      </c>
      <c r="S71" s="41">
        <f t="shared" si="59"/>
        <v>14.037300363200673</v>
      </c>
      <c r="T71" s="41">
        <f t="shared" si="59"/>
        <v>14.287825769085291</v>
      </c>
      <c r="U71" s="41">
        <f t="shared" si="59"/>
        <v>15.803320090655205</v>
      </c>
      <c r="V71" s="41">
        <f t="shared" si="59"/>
        <v>14.56548017853798</v>
      </c>
      <c r="W71" s="41">
        <f t="shared" ref="W71" si="60">IF(W39=0,0,W39/W29)</f>
        <v>14.733881684854405</v>
      </c>
      <c r="DA71" s="196" t="s">
        <v>246</v>
      </c>
    </row>
    <row r="72" spans="1:105" ht="11.45" customHeight="1" x14ac:dyDescent="0.25">
      <c r="A72" s="42" t="s">
        <v>173</v>
      </c>
      <c r="B72" s="41">
        <f t="shared" si="48"/>
        <v>16.076075457403384</v>
      </c>
      <c r="C72" s="41">
        <f t="shared" si="48"/>
        <v>16.251239950995544</v>
      </c>
      <c r="D72" s="41">
        <f t="shared" ref="D72:V72" si="61">IF(D40=0,0,D40/D30)</f>
        <v>16.295894641910163</v>
      </c>
      <c r="E72" s="41">
        <f t="shared" si="61"/>
        <v>17.167505270500246</v>
      </c>
      <c r="F72" s="41">
        <f t="shared" si="61"/>
        <v>16.029083470668727</v>
      </c>
      <c r="G72" s="41">
        <f t="shared" si="61"/>
        <v>15.181021974099197</v>
      </c>
      <c r="H72" s="41">
        <f t="shared" si="61"/>
        <v>13.985273542904693</v>
      </c>
      <c r="I72" s="41">
        <f t="shared" si="61"/>
        <v>13.75563513604107</v>
      </c>
      <c r="J72" s="41">
        <f t="shared" si="61"/>
        <v>13.656624949191121</v>
      </c>
      <c r="K72" s="41">
        <f t="shared" si="61"/>
        <v>13.626760295117139</v>
      </c>
      <c r="L72" s="41">
        <f t="shared" si="61"/>
        <v>14.420786860573124</v>
      </c>
      <c r="M72" s="41">
        <f t="shared" si="61"/>
        <v>15.48970353721313</v>
      </c>
      <c r="N72" s="41">
        <f t="shared" si="61"/>
        <v>16.46182211590223</v>
      </c>
      <c r="O72" s="41">
        <f t="shared" si="61"/>
        <v>16.542043174769105</v>
      </c>
      <c r="P72" s="41">
        <f t="shared" si="61"/>
        <v>18.197753010022382</v>
      </c>
      <c r="Q72" s="41">
        <f t="shared" si="61"/>
        <v>18.175765763019097</v>
      </c>
      <c r="R72" s="41">
        <f t="shared" si="61"/>
        <v>20.573511943488921</v>
      </c>
      <c r="S72" s="41">
        <f t="shared" si="61"/>
        <v>19.128094078057721</v>
      </c>
      <c r="T72" s="41">
        <f t="shared" si="61"/>
        <v>19.011024442061291</v>
      </c>
      <c r="U72" s="41">
        <f t="shared" si="61"/>
        <v>19.492640855946785</v>
      </c>
      <c r="V72" s="41">
        <f t="shared" si="61"/>
        <v>17.519164414143233</v>
      </c>
      <c r="W72" s="41">
        <f t="shared" ref="W72" si="62">IF(W40=0,0,W40/W30)</f>
        <v>17.650328762388128</v>
      </c>
      <c r="DA72" s="196" t="s">
        <v>247</v>
      </c>
    </row>
    <row r="73" spans="1:105" ht="11.45" customHeight="1" x14ac:dyDescent="0.25">
      <c r="A73" s="38" t="s">
        <v>174</v>
      </c>
      <c r="B73" s="40">
        <f t="shared" si="48"/>
        <v>52.129123841343954</v>
      </c>
      <c r="C73" s="40">
        <f t="shared" si="48"/>
        <v>53.838817889509443</v>
      </c>
      <c r="D73" s="40">
        <f t="shared" ref="D73:V73" si="63">IF(D41=0,0,D41/D31)</f>
        <v>52.887918691003669</v>
      </c>
      <c r="E73" s="40">
        <f t="shared" si="63"/>
        <v>48.721001039602889</v>
      </c>
      <c r="F73" s="40">
        <f t="shared" si="63"/>
        <v>48.059427623595745</v>
      </c>
      <c r="G73" s="40">
        <f t="shared" si="63"/>
        <v>44.215955735703069</v>
      </c>
      <c r="H73" s="40">
        <f t="shared" si="63"/>
        <v>45.163830168104887</v>
      </c>
      <c r="I73" s="40">
        <f t="shared" si="63"/>
        <v>45.187014670265881</v>
      </c>
      <c r="J73" s="40">
        <f t="shared" si="63"/>
        <v>44.9129073521202</v>
      </c>
      <c r="K73" s="40">
        <f t="shared" si="63"/>
        <v>49.898781913503363</v>
      </c>
      <c r="L73" s="40">
        <f t="shared" si="63"/>
        <v>52.530888086642605</v>
      </c>
      <c r="M73" s="40">
        <f t="shared" si="63"/>
        <v>55.065477606746086</v>
      </c>
      <c r="N73" s="40">
        <f t="shared" si="63"/>
        <v>58.746980790650369</v>
      </c>
      <c r="O73" s="40">
        <f t="shared" si="63"/>
        <v>59.346209680294102</v>
      </c>
      <c r="P73" s="40">
        <f t="shared" si="63"/>
        <v>66.129916121840296</v>
      </c>
      <c r="Q73" s="40">
        <f t="shared" si="63"/>
        <v>65.936595865637074</v>
      </c>
      <c r="R73" s="40">
        <f t="shared" si="63"/>
        <v>73.012227778743323</v>
      </c>
      <c r="S73" s="40">
        <f t="shared" si="63"/>
        <v>72.876368431025909</v>
      </c>
      <c r="T73" s="40">
        <f t="shared" si="63"/>
        <v>73.116912244064466</v>
      </c>
      <c r="U73" s="40">
        <f t="shared" si="63"/>
        <v>74.915531987995806</v>
      </c>
      <c r="V73" s="40">
        <f t="shared" si="63"/>
        <v>50.231754839242605</v>
      </c>
      <c r="W73" s="40">
        <f t="shared" ref="W73" si="64">IF(W41=0,0,W41/W31)</f>
        <v>53.261166023203309</v>
      </c>
      <c r="DA73" s="197" t="s">
        <v>248</v>
      </c>
    </row>
    <row r="74" spans="1:105" x14ac:dyDescent="0.25">
      <c r="A74" s="50"/>
      <c r="B74" s="50"/>
      <c r="C74" s="50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DA74" s="181"/>
    </row>
    <row r="75" spans="1:105" ht="11.45" customHeight="1" x14ac:dyDescent="0.25">
      <c r="A75" s="53" t="s">
        <v>140</v>
      </c>
      <c r="B75" s="62">
        <f t="shared" ref="B75:C83" si="65">IF(B13=0,0,B13*1000000/B23)</f>
        <v>1075.7283583420251</v>
      </c>
      <c r="C75" s="62">
        <f t="shared" si="65"/>
        <v>1072.5512275772608</v>
      </c>
      <c r="D75" s="62">
        <f t="shared" ref="D75:V75" si="66">IF(D13=0,0,D13*1000000/D23)</f>
        <v>1056.9987681803643</v>
      </c>
      <c r="E75" s="62">
        <f t="shared" si="66"/>
        <v>1050.8266183394164</v>
      </c>
      <c r="F75" s="62">
        <f t="shared" si="66"/>
        <v>1079.4301113753754</v>
      </c>
      <c r="G75" s="62">
        <f t="shared" si="66"/>
        <v>1118.5553591273645</v>
      </c>
      <c r="H75" s="62">
        <f t="shared" si="66"/>
        <v>1109.7281211954266</v>
      </c>
      <c r="I75" s="62">
        <f t="shared" si="66"/>
        <v>1078.0794646413267</v>
      </c>
      <c r="J75" s="62">
        <f t="shared" si="66"/>
        <v>1060.39655103119</v>
      </c>
      <c r="K75" s="62">
        <f t="shared" si="66"/>
        <v>1041.9439605385085</v>
      </c>
      <c r="L75" s="62">
        <f t="shared" si="66"/>
        <v>1043.3004313706815</v>
      </c>
      <c r="M75" s="62">
        <f t="shared" si="66"/>
        <v>1077.5676031455921</v>
      </c>
      <c r="N75" s="62">
        <f t="shared" si="66"/>
        <v>1076.3590825681679</v>
      </c>
      <c r="O75" s="62">
        <f t="shared" si="66"/>
        <v>1085.3116592902418</v>
      </c>
      <c r="P75" s="62">
        <f t="shared" si="66"/>
        <v>1128.1766761281435</v>
      </c>
      <c r="Q75" s="62">
        <f t="shared" si="66"/>
        <v>1169.8141542320557</v>
      </c>
      <c r="R75" s="62">
        <f t="shared" si="66"/>
        <v>1194.6524247090251</v>
      </c>
      <c r="S75" s="62">
        <f t="shared" si="66"/>
        <v>1197.9793937882446</v>
      </c>
      <c r="T75" s="62">
        <f t="shared" si="66"/>
        <v>1251.7199120535872</v>
      </c>
      <c r="U75" s="62">
        <f t="shared" si="66"/>
        <v>1312.5728481699821</v>
      </c>
      <c r="V75" s="62">
        <f t="shared" si="66"/>
        <v>1257.4450512430958</v>
      </c>
      <c r="W75" s="62">
        <f t="shared" ref="W75" si="67">IF(W13=0,0,W13*1000000/W23)</f>
        <v>1319.3107794249674</v>
      </c>
      <c r="DA75" s="172" t="s">
        <v>249</v>
      </c>
    </row>
    <row r="76" spans="1:105" ht="11.45" customHeight="1" x14ac:dyDescent="0.25">
      <c r="A76" s="10" t="s">
        <v>33</v>
      </c>
      <c r="B76" s="14">
        <f t="shared" si="65"/>
        <v>1077.4632120202996</v>
      </c>
      <c r="C76" s="14">
        <f t="shared" si="65"/>
        <v>1074.0795665056116</v>
      </c>
      <c r="D76" s="14">
        <f t="shared" ref="D76:V76" si="68">IF(D14=0,0,D14*1000000/D24)</f>
        <v>1058.8263536918864</v>
      </c>
      <c r="E76" s="14">
        <f t="shared" si="68"/>
        <v>1052.625204538642</v>
      </c>
      <c r="F76" s="14">
        <f t="shared" si="68"/>
        <v>1082.7315485749436</v>
      </c>
      <c r="G76" s="14">
        <f t="shared" si="68"/>
        <v>1121.6998641517473</v>
      </c>
      <c r="H76" s="14">
        <f t="shared" si="68"/>
        <v>1115.2832949726069</v>
      </c>
      <c r="I76" s="14">
        <f t="shared" si="68"/>
        <v>1083.4528975439043</v>
      </c>
      <c r="J76" s="14">
        <f t="shared" si="68"/>
        <v>1066.6824123390184</v>
      </c>
      <c r="K76" s="14">
        <f t="shared" si="68"/>
        <v>1049.8937308258226</v>
      </c>
      <c r="L76" s="14">
        <f t="shared" si="68"/>
        <v>1053.2567759057313</v>
      </c>
      <c r="M76" s="14">
        <f t="shared" si="68"/>
        <v>1085.1506142984667</v>
      </c>
      <c r="N76" s="14">
        <f t="shared" si="68"/>
        <v>1080.3639727273401</v>
      </c>
      <c r="O76" s="14">
        <f t="shared" si="68"/>
        <v>1087.9730402810367</v>
      </c>
      <c r="P76" s="14">
        <f t="shared" si="68"/>
        <v>1130.3719557513593</v>
      </c>
      <c r="Q76" s="14">
        <f t="shared" si="68"/>
        <v>1168.2942694002563</v>
      </c>
      <c r="R76" s="14">
        <f t="shared" si="68"/>
        <v>1189.9181813796122</v>
      </c>
      <c r="S76" s="14">
        <f t="shared" si="68"/>
        <v>1192.6407667773142</v>
      </c>
      <c r="T76" s="14">
        <f t="shared" si="68"/>
        <v>1243.6028132875952</v>
      </c>
      <c r="U76" s="14">
        <f t="shared" si="68"/>
        <v>1306.2675173641558</v>
      </c>
      <c r="V76" s="14">
        <f t="shared" si="68"/>
        <v>1248.4430762950328</v>
      </c>
      <c r="W76" s="14">
        <f t="shared" ref="W76" si="69">IF(W14=0,0,W14*1000000/W24)</f>
        <v>1312.1383097728642</v>
      </c>
      <c r="DA76" s="189" t="s">
        <v>250</v>
      </c>
    </row>
    <row r="77" spans="1:105" ht="11.45" customHeight="1" x14ac:dyDescent="0.25">
      <c r="A77" s="37" t="s">
        <v>27</v>
      </c>
      <c r="B77" s="39">
        <f t="shared" si="65"/>
        <v>269.70374799306819</v>
      </c>
      <c r="C77" s="39">
        <f t="shared" si="65"/>
        <v>269.70374799306819</v>
      </c>
      <c r="D77" s="39">
        <f t="shared" ref="D77:V77" si="70">IF(D15=0,0,D15*1000000/D25)</f>
        <v>269.70374799306819</v>
      </c>
      <c r="E77" s="39">
        <f t="shared" si="70"/>
        <v>269.70374799306819</v>
      </c>
      <c r="F77" s="39">
        <f t="shared" si="70"/>
        <v>269.70374799306819</v>
      </c>
      <c r="G77" s="39">
        <f t="shared" si="70"/>
        <v>272.63155852972551</v>
      </c>
      <c r="H77" s="39">
        <f t="shared" si="70"/>
        <v>275.23087091957063</v>
      </c>
      <c r="I77" s="39">
        <f t="shared" si="70"/>
        <v>281.61348281460175</v>
      </c>
      <c r="J77" s="39">
        <f t="shared" si="70"/>
        <v>291.76875684397771</v>
      </c>
      <c r="K77" s="39">
        <f t="shared" si="70"/>
        <v>299.58837394478212</v>
      </c>
      <c r="L77" s="39">
        <f t="shared" si="70"/>
        <v>297.82336307347276</v>
      </c>
      <c r="M77" s="39">
        <f t="shared" si="70"/>
        <v>294.38817811231286</v>
      </c>
      <c r="N77" s="39">
        <f t="shared" si="70"/>
        <v>281.29854665363945</v>
      </c>
      <c r="O77" s="39">
        <f t="shared" si="70"/>
        <v>278.0177280378843</v>
      </c>
      <c r="P77" s="39">
        <f t="shared" si="70"/>
        <v>277.56186600120674</v>
      </c>
      <c r="Q77" s="39">
        <f t="shared" si="70"/>
        <v>285.8483581242408</v>
      </c>
      <c r="R77" s="39">
        <f t="shared" si="70"/>
        <v>296.90918957245304</v>
      </c>
      <c r="S77" s="39">
        <f t="shared" si="70"/>
        <v>300.455826746551</v>
      </c>
      <c r="T77" s="39">
        <f t="shared" si="70"/>
        <v>302.05639589169004</v>
      </c>
      <c r="U77" s="39">
        <f t="shared" si="70"/>
        <v>305.57242270603439</v>
      </c>
      <c r="V77" s="39">
        <f t="shared" si="70"/>
        <v>301.55131268663143</v>
      </c>
      <c r="W77" s="39">
        <f t="shared" ref="W77" si="71">IF(W15=0,0,W15*1000000/W25)</f>
        <v>281.97875387462744</v>
      </c>
      <c r="DA77" s="198" t="s">
        <v>251</v>
      </c>
    </row>
    <row r="78" spans="1:105" ht="11.45" customHeight="1" x14ac:dyDescent="0.25">
      <c r="A78" s="37" t="s">
        <v>173</v>
      </c>
      <c r="B78" s="39">
        <f t="shared" si="65"/>
        <v>885.40212107430114</v>
      </c>
      <c r="C78" s="39">
        <f t="shared" si="65"/>
        <v>886.68574805296703</v>
      </c>
      <c r="D78" s="39">
        <f t="shared" ref="D78:V78" si="72">IF(D16=0,0,D16*1000000/D26)</f>
        <v>887.47163987244073</v>
      </c>
      <c r="E78" s="39">
        <f t="shared" si="72"/>
        <v>886.33438040821034</v>
      </c>
      <c r="F78" s="39">
        <f t="shared" si="72"/>
        <v>886.87355498560578</v>
      </c>
      <c r="G78" s="39">
        <f t="shared" si="72"/>
        <v>886.71211000859159</v>
      </c>
      <c r="H78" s="39">
        <f t="shared" si="72"/>
        <v>886.7748376856141</v>
      </c>
      <c r="I78" s="39">
        <f t="shared" si="72"/>
        <v>883.46744734275501</v>
      </c>
      <c r="J78" s="39">
        <f t="shared" si="72"/>
        <v>873.34455841756107</v>
      </c>
      <c r="K78" s="39">
        <f t="shared" si="72"/>
        <v>866.30364643182713</v>
      </c>
      <c r="L78" s="39">
        <f t="shared" si="72"/>
        <v>869.42988063354505</v>
      </c>
      <c r="M78" s="39">
        <f t="shared" si="72"/>
        <v>868.7600408716138</v>
      </c>
      <c r="N78" s="39">
        <f t="shared" si="72"/>
        <v>871.14103615843021</v>
      </c>
      <c r="O78" s="39">
        <f t="shared" si="72"/>
        <v>871.14529247117957</v>
      </c>
      <c r="P78" s="39">
        <f t="shared" si="72"/>
        <v>883.88048222015357</v>
      </c>
      <c r="Q78" s="39">
        <f t="shared" si="72"/>
        <v>897.52125392266817</v>
      </c>
      <c r="R78" s="39">
        <f t="shared" si="72"/>
        <v>918.38786879304621</v>
      </c>
      <c r="S78" s="39">
        <f t="shared" si="72"/>
        <v>914.27500466855736</v>
      </c>
      <c r="T78" s="39">
        <f t="shared" si="72"/>
        <v>931.20273061187049</v>
      </c>
      <c r="U78" s="39">
        <f t="shared" si="72"/>
        <v>959.2636437297308</v>
      </c>
      <c r="V78" s="39">
        <f t="shared" si="72"/>
        <v>967.17422150385403</v>
      </c>
      <c r="W78" s="39">
        <f t="shared" ref="W78" si="73">IF(W16=0,0,W16*1000000/W26)</f>
        <v>1035.7071976139055</v>
      </c>
      <c r="DA78" s="198" t="s">
        <v>252</v>
      </c>
    </row>
    <row r="79" spans="1:105" ht="11.45" customHeight="1" x14ac:dyDescent="0.25">
      <c r="A79" s="37" t="s">
        <v>174</v>
      </c>
      <c r="B79" s="39">
        <f t="shared" si="65"/>
        <v>2110.1756668988542</v>
      </c>
      <c r="C79" s="39">
        <f t="shared" si="65"/>
        <v>2110.1756668988542</v>
      </c>
      <c r="D79" s="39">
        <f t="shared" ref="D79:V79" si="74">IF(D17=0,0,D17*1000000/D27)</f>
        <v>2110.1756668988542</v>
      </c>
      <c r="E79" s="39">
        <f t="shared" si="74"/>
        <v>2110.1756668988542</v>
      </c>
      <c r="F79" s="39">
        <f t="shared" si="74"/>
        <v>2110.1756668988542</v>
      </c>
      <c r="G79" s="39">
        <f t="shared" si="74"/>
        <v>2263.083545403761</v>
      </c>
      <c r="H79" s="39">
        <f t="shared" si="74"/>
        <v>2340.2674046577031</v>
      </c>
      <c r="I79" s="39">
        <f t="shared" si="74"/>
        <v>2195.8353175625439</v>
      </c>
      <c r="J79" s="39">
        <f t="shared" si="74"/>
        <v>2094.2779360341724</v>
      </c>
      <c r="K79" s="39">
        <f t="shared" si="74"/>
        <v>2013.1536718458058</v>
      </c>
      <c r="L79" s="39">
        <f t="shared" si="74"/>
        <v>1992.6403334656609</v>
      </c>
      <c r="M79" s="39">
        <f t="shared" si="74"/>
        <v>2010.5219378584407</v>
      </c>
      <c r="N79" s="39">
        <f t="shared" si="74"/>
        <v>1976.3638960534706</v>
      </c>
      <c r="O79" s="39">
        <f t="shared" si="74"/>
        <v>1950.9768304217309</v>
      </c>
      <c r="P79" s="39">
        <f t="shared" si="74"/>
        <v>2102.249924761712</v>
      </c>
      <c r="Q79" s="39">
        <f t="shared" si="74"/>
        <v>2198.3922851333186</v>
      </c>
      <c r="R79" s="39">
        <f t="shared" si="74"/>
        <v>2274.0276106344959</v>
      </c>
      <c r="S79" s="39">
        <f t="shared" si="74"/>
        <v>2261.481852074452</v>
      </c>
      <c r="T79" s="39">
        <f t="shared" si="74"/>
        <v>2388.2453705037005</v>
      </c>
      <c r="U79" s="39">
        <f t="shared" si="74"/>
        <v>2520.7362686293509</v>
      </c>
      <c r="V79" s="39">
        <f t="shared" si="74"/>
        <v>2371.3667410855705</v>
      </c>
      <c r="W79" s="39">
        <f t="shared" ref="W79" si="75">IF(W17=0,0,W17*1000000/W27)</f>
        <v>2148.5457953172736</v>
      </c>
      <c r="DA79" s="198" t="s">
        <v>253</v>
      </c>
    </row>
    <row r="80" spans="1:105" ht="11.45" customHeight="1" x14ac:dyDescent="0.25">
      <c r="A80" s="12" t="s">
        <v>34</v>
      </c>
      <c r="B80" s="15">
        <f t="shared" si="65"/>
        <v>985.1997177033129</v>
      </c>
      <c r="C80" s="15">
        <f t="shared" si="65"/>
        <v>984.88872558815012</v>
      </c>
      <c r="D80" s="15">
        <f t="shared" ref="D80:V80" si="76">IF(D18=0,0,D18*1000000/D28)</f>
        <v>972.85130038583827</v>
      </c>
      <c r="E80" s="15">
        <f t="shared" si="76"/>
        <v>970.04400134156447</v>
      </c>
      <c r="F80" s="15">
        <f t="shared" si="76"/>
        <v>967.99803419170792</v>
      </c>
      <c r="G80" s="15">
        <f t="shared" si="76"/>
        <v>1022.0519175337809</v>
      </c>
      <c r="H80" s="15">
        <f t="shared" si="76"/>
        <v>956.2573509379763</v>
      </c>
      <c r="I80" s="15">
        <f t="shared" si="76"/>
        <v>906.16604907808289</v>
      </c>
      <c r="J80" s="15">
        <f t="shared" si="76"/>
        <v>844.17529020515224</v>
      </c>
      <c r="K80" s="15">
        <f t="shared" si="76"/>
        <v>766.75368071896105</v>
      </c>
      <c r="L80" s="15">
        <f t="shared" si="76"/>
        <v>728.29547097151237</v>
      </c>
      <c r="M80" s="15">
        <f t="shared" si="76"/>
        <v>837.17133716432113</v>
      </c>
      <c r="N80" s="15">
        <f t="shared" si="76"/>
        <v>932.55192117464105</v>
      </c>
      <c r="O80" s="15">
        <f t="shared" si="76"/>
        <v>997.78748097116295</v>
      </c>
      <c r="P80" s="15">
        <f t="shared" si="76"/>
        <v>1060.5366391303091</v>
      </c>
      <c r="Q80" s="15">
        <f t="shared" si="76"/>
        <v>1216.7031782926699</v>
      </c>
      <c r="R80" s="15">
        <f t="shared" si="76"/>
        <v>1369.1273321135923</v>
      </c>
      <c r="S80" s="15">
        <f t="shared" si="76"/>
        <v>1370.7261112480276</v>
      </c>
      <c r="T80" s="15">
        <f t="shared" si="76"/>
        <v>1529.5682028134893</v>
      </c>
      <c r="U80" s="15">
        <f t="shared" si="76"/>
        <v>1532.853272182351</v>
      </c>
      <c r="V80" s="15">
        <f t="shared" si="76"/>
        <v>1378.3960718775845</v>
      </c>
      <c r="W80" s="15">
        <f t="shared" ref="W80" si="77">IF(W18=0,0,W18*1000000/W28)</f>
        <v>1414.3406863458099</v>
      </c>
      <c r="DA80" s="193" t="s">
        <v>254</v>
      </c>
    </row>
    <row r="81" spans="1:105" ht="11.45" customHeight="1" x14ac:dyDescent="0.25">
      <c r="A81" s="42" t="s">
        <v>27</v>
      </c>
      <c r="B81" s="41">
        <f t="shared" si="65"/>
        <v>221.3879789370269</v>
      </c>
      <c r="C81" s="41">
        <f t="shared" si="65"/>
        <v>221.38797893702687</v>
      </c>
      <c r="D81" s="41">
        <f t="shared" ref="D81:V81" si="78">IF(D19=0,0,D19*1000000/D29)</f>
        <v>221.38797893702687</v>
      </c>
      <c r="E81" s="41">
        <f t="shared" si="78"/>
        <v>221.38797893702687</v>
      </c>
      <c r="F81" s="41">
        <f t="shared" si="78"/>
        <v>221.3879789370269</v>
      </c>
      <c r="G81" s="41">
        <f t="shared" si="78"/>
        <v>224.31578947368419</v>
      </c>
      <c r="H81" s="41">
        <f t="shared" si="78"/>
        <v>226.23979143813111</v>
      </c>
      <c r="I81" s="41">
        <f t="shared" si="78"/>
        <v>231.94709290776407</v>
      </c>
      <c r="J81" s="41">
        <f t="shared" si="78"/>
        <v>241.4270565117418</v>
      </c>
      <c r="K81" s="41">
        <f t="shared" si="78"/>
        <v>248.57136318714808</v>
      </c>
      <c r="L81" s="41">
        <f t="shared" si="78"/>
        <v>246.13104189044037</v>
      </c>
      <c r="M81" s="41">
        <f t="shared" si="78"/>
        <v>255.32131562254835</v>
      </c>
      <c r="N81" s="41">
        <f t="shared" si="78"/>
        <v>254.85714285714289</v>
      </c>
      <c r="O81" s="41">
        <f t="shared" si="78"/>
        <v>236.47382555885548</v>
      </c>
      <c r="P81" s="41">
        <f t="shared" si="78"/>
        <v>220.91546483964569</v>
      </c>
      <c r="Q81" s="41">
        <f t="shared" si="78"/>
        <v>214.09945828014756</v>
      </c>
      <c r="R81" s="41">
        <f t="shared" si="78"/>
        <v>210.05779104582749</v>
      </c>
      <c r="S81" s="41">
        <f t="shared" si="78"/>
        <v>198.50192953739318</v>
      </c>
      <c r="T81" s="41">
        <f t="shared" si="78"/>
        <v>185</v>
      </c>
      <c r="U81" s="41">
        <f t="shared" si="78"/>
        <v>220.5</v>
      </c>
      <c r="V81" s="41">
        <f t="shared" si="78"/>
        <v>216.4788899805971</v>
      </c>
      <c r="W81" s="41">
        <f t="shared" ref="W81" si="79">IF(W19=0,0,W19*1000000/W29)</f>
        <v>196.90633116859311</v>
      </c>
      <c r="DA81" s="196" t="s">
        <v>255</v>
      </c>
    </row>
    <row r="82" spans="1:105" ht="11.45" customHeight="1" x14ac:dyDescent="0.25">
      <c r="A82" s="42" t="s">
        <v>173</v>
      </c>
      <c r="B82" s="41">
        <f t="shared" si="65"/>
        <v>858.28285979587804</v>
      </c>
      <c r="C82" s="41">
        <f t="shared" si="65"/>
        <v>855.88590327779798</v>
      </c>
      <c r="D82" s="41">
        <f t="shared" ref="D82:V82" si="80">IF(D20=0,0,D20*1000000/D30)</f>
        <v>853.208049972911</v>
      </c>
      <c r="E82" s="41">
        <f t="shared" si="80"/>
        <v>847.62904521444932</v>
      </c>
      <c r="F82" s="41">
        <f t="shared" si="80"/>
        <v>878.74697867978057</v>
      </c>
      <c r="G82" s="41">
        <f t="shared" si="80"/>
        <v>866.26764624901182</v>
      </c>
      <c r="H82" s="41">
        <f t="shared" si="80"/>
        <v>793.46076038659294</v>
      </c>
      <c r="I82" s="41">
        <f t="shared" si="80"/>
        <v>763.93385238244196</v>
      </c>
      <c r="J82" s="41">
        <f t="shared" si="80"/>
        <v>724.31688021993079</v>
      </c>
      <c r="K82" s="41">
        <f t="shared" si="80"/>
        <v>675.26001352848846</v>
      </c>
      <c r="L82" s="41">
        <f t="shared" si="80"/>
        <v>638.65056709949033</v>
      </c>
      <c r="M82" s="41">
        <f t="shared" si="80"/>
        <v>683.6963340426106</v>
      </c>
      <c r="N82" s="41">
        <f t="shared" si="80"/>
        <v>724.72241962553744</v>
      </c>
      <c r="O82" s="41">
        <f t="shared" si="80"/>
        <v>725.90084723554924</v>
      </c>
      <c r="P82" s="41">
        <f t="shared" si="80"/>
        <v>732.53572409486605</v>
      </c>
      <c r="Q82" s="41">
        <f t="shared" si="80"/>
        <v>736.33817587524197</v>
      </c>
      <c r="R82" s="41">
        <f t="shared" si="80"/>
        <v>755.18997338346003</v>
      </c>
      <c r="S82" s="41">
        <f t="shared" si="80"/>
        <v>751.18432131278291</v>
      </c>
      <c r="T82" s="41">
        <f t="shared" si="80"/>
        <v>770.83107412152458</v>
      </c>
      <c r="U82" s="41">
        <f t="shared" si="80"/>
        <v>751.24968342970089</v>
      </c>
      <c r="V82" s="41">
        <f t="shared" si="80"/>
        <v>764.07296156488542</v>
      </c>
      <c r="W82" s="41">
        <f t="shared" ref="W82" si="81">IF(W20=0,0,W20*1000000/W30)</f>
        <v>855.10409288107689</v>
      </c>
      <c r="DA82" s="196" t="s">
        <v>256</v>
      </c>
    </row>
    <row r="83" spans="1:105" ht="11.45" customHeight="1" x14ac:dyDescent="0.25">
      <c r="A83" s="38" t="s">
        <v>174</v>
      </c>
      <c r="B83" s="40">
        <f t="shared" si="65"/>
        <v>1352.4469224318609</v>
      </c>
      <c r="C83" s="40">
        <f t="shared" si="65"/>
        <v>1352.4469224318609</v>
      </c>
      <c r="D83" s="40">
        <f t="shared" ref="D83:V83" si="82">IF(D21=0,0,D21*1000000/D31)</f>
        <v>1352.4469224318611</v>
      </c>
      <c r="E83" s="40">
        <f t="shared" si="82"/>
        <v>1352.4469224318611</v>
      </c>
      <c r="F83" s="40">
        <f t="shared" si="82"/>
        <v>1352.4469224318611</v>
      </c>
      <c r="G83" s="40">
        <f t="shared" si="82"/>
        <v>1505.3548009367682</v>
      </c>
      <c r="H83" s="40">
        <f t="shared" si="82"/>
        <v>1560.4891912281857</v>
      </c>
      <c r="I83" s="40">
        <f t="shared" si="82"/>
        <v>1394.0076351705025</v>
      </c>
      <c r="J83" s="40">
        <f t="shared" si="82"/>
        <v>1270.4007846796064</v>
      </c>
      <c r="K83" s="40">
        <f t="shared" si="82"/>
        <v>1167.2270515287155</v>
      </c>
      <c r="L83" s="40">
        <f t="shared" si="82"/>
        <v>1124.6642441860467</v>
      </c>
      <c r="M83" s="40">
        <f t="shared" si="82"/>
        <v>1359.6119451918983</v>
      </c>
      <c r="N83" s="40">
        <f t="shared" si="82"/>
        <v>1542.52</v>
      </c>
      <c r="O83" s="40">
        <f t="shared" si="82"/>
        <v>1848.0709012613775</v>
      </c>
      <c r="P83" s="40">
        <f t="shared" si="82"/>
        <v>2330.2819624944764</v>
      </c>
      <c r="Q83" s="40">
        <f t="shared" si="82"/>
        <v>2757.3622897592018</v>
      </c>
      <c r="R83" s="40">
        <f t="shared" si="82"/>
        <v>3163.9355821534955</v>
      </c>
      <c r="S83" s="40">
        <f t="shared" si="82"/>
        <v>3482.3277904865699</v>
      </c>
      <c r="T83" s="40">
        <f t="shared" si="82"/>
        <v>3940.0292758089367</v>
      </c>
      <c r="U83" s="40">
        <f t="shared" si="82"/>
        <v>4356.0071428571418</v>
      </c>
      <c r="V83" s="40">
        <f t="shared" si="82"/>
        <v>4206.6376153133624</v>
      </c>
      <c r="W83" s="40">
        <f t="shared" ref="W83" si="83">IF(W21=0,0,W21*1000000/W31)</f>
        <v>3983.8166695450659</v>
      </c>
      <c r="DA83" s="197" t="s">
        <v>257</v>
      </c>
    </row>
    <row r="84" spans="1:105" x14ac:dyDescent="0.25">
      <c r="A84" s="50"/>
      <c r="B84" s="50"/>
      <c r="C84" s="50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DA84" s="181"/>
    </row>
    <row r="85" spans="1:105" ht="11.45" customHeight="1" x14ac:dyDescent="0.25">
      <c r="A85" s="53" t="s">
        <v>86</v>
      </c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DA85" s="172"/>
    </row>
    <row r="86" spans="1:105" ht="11.45" customHeight="1" x14ac:dyDescent="0.25">
      <c r="A86" s="10" t="s">
        <v>87</v>
      </c>
      <c r="B86" s="11">
        <f t="shared" ref="B86:C93" si="84">IF(B4=0,0,B4*1000000/B24)</f>
        <v>101525.89675847693</v>
      </c>
      <c r="C86" s="11">
        <f t="shared" si="84"/>
        <v>104350.8541133105</v>
      </c>
      <c r="D86" s="11">
        <f t="shared" ref="D86:V86" si="85">IF(D4=0,0,D4*1000000/D24)</f>
        <v>106584.95567540324</v>
      </c>
      <c r="E86" s="11">
        <f t="shared" si="85"/>
        <v>104535.61480160076</v>
      </c>
      <c r="F86" s="11">
        <f t="shared" si="85"/>
        <v>110390.42937735991</v>
      </c>
      <c r="G86" s="11">
        <f t="shared" si="85"/>
        <v>120620.18635166927</v>
      </c>
      <c r="H86" s="11">
        <f t="shared" si="85"/>
        <v>123009.05807521811</v>
      </c>
      <c r="I86" s="11">
        <f t="shared" si="85"/>
        <v>117846.33014605274</v>
      </c>
      <c r="J86" s="11">
        <f t="shared" si="85"/>
        <v>112205.42797222249</v>
      </c>
      <c r="K86" s="11">
        <f t="shared" si="85"/>
        <v>109726.42824158281</v>
      </c>
      <c r="L86" s="11">
        <f t="shared" si="85"/>
        <v>117370.66482476881</v>
      </c>
      <c r="M86" s="11">
        <f t="shared" si="85"/>
        <v>124810.43021888511</v>
      </c>
      <c r="N86" s="11">
        <f t="shared" si="85"/>
        <v>131139.69816510082</v>
      </c>
      <c r="O86" s="11">
        <f t="shared" si="85"/>
        <v>137319.6332194368</v>
      </c>
      <c r="P86" s="11">
        <f t="shared" si="85"/>
        <v>146988.094621703</v>
      </c>
      <c r="Q86" s="11">
        <f t="shared" si="85"/>
        <v>153411.74857184562</v>
      </c>
      <c r="R86" s="11">
        <f t="shared" si="85"/>
        <v>156309.49425004926</v>
      </c>
      <c r="S86" s="11">
        <f t="shared" si="85"/>
        <v>162264.77675802822</v>
      </c>
      <c r="T86" s="11">
        <f t="shared" si="85"/>
        <v>178815.70838413507</v>
      </c>
      <c r="U86" s="11">
        <f t="shared" si="85"/>
        <v>196097.94912078662</v>
      </c>
      <c r="V86" s="11">
        <f t="shared" si="85"/>
        <v>146023.9174841324</v>
      </c>
      <c r="W86" s="11">
        <f t="shared" ref="W86" si="86">IF(W4=0,0,W4*1000000/W24)</f>
        <v>154599.61965497059</v>
      </c>
      <c r="DA86" s="189" t="s">
        <v>258</v>
      </c>
    </row>
    <row r="87" spans="1:105" ht="11.45" customHeight="1" x14ac:dyDescent="0.25">
      <c r="A87" s="37" t="s">
        <v>27</v>
      </c>
      <c r="B87" s="36">
        <f t="shared" si="84"/>
        <v>7481.3883119036454</v>
      </c>
      <c r="C87" s="36">
        <f t="shared" si="84"/>
        <v>8555.8145654961936</v>
      </c>
      <c r="D87" s="36">
        <f t="shared" ref="D87:V87" si="87">IF(D5=0,0,D5*1000000/D25)</f>
        <v>8116.7881735606734</v>
      </c>
      <c r="E87" s="36">
        <f t="shared" si="87"/>
        <v>8742.2238215376346</v>
      </c>
      <c r="F87" s="36">
        <f t="shared" si="87"/>
        <v>9335.1925825779235</v>
      </c>
      <c r="G87" s="36">
        <f t="shared" si="87"/>
        <v>9318.0322692252212</v>
      </c>
      <c r="H87" s="36">
        <f t="shared" si="87"/>
        <v>11327.529521470144</v>
      </c>
      <c r="I87" s="36">
        <f t="shared" si="87"/>
        <v>12061.903329965488</v>
      </c>
      <c r="J87" s="36">
        <f t="shared" si="87"/>
        <v>12386.309343549039</v>
      </c>
      <c r="K87" s="36">
        <f t="shared" si="87"/>
        <v>12675.702488886029</v>
      </c>
      <c r="L87" s="36">
        <f t="shared" si="87"/>
        <v>13783.20276992775</v>
      </c>
      <c r="M87" s="36">
        <f t="shared" si="87"/>
        <v>13894.882400041539</v>
      </c>
      <c r="N87" s="36">
        <f t="shared" si="87"/>
        <v>12799.891222026808</v>
      </c>
      <c r="O87" s="36">
        <f t="shared" si="87"/>
        <v>12780.641445744777</v>
      </c>
      <c r="P87" s="36">
        <f t="shared" si="87"/>
        <v>12786.395048366712</v>
      </c>
      <c r="Q87" s="36">
        <f t="shared" si="87"/>
        <v>13081.502839601066</v>
      </c>
      <c r="R87" s="36">
        <f t="shared" si="87"/>
        <v>14184.854109072736</v>
      </c>
      <c r="S87" s="36">
        <f t="shared" si="87"/>
        <v>15515.735304268494</v>
      </c>
      <c r="T87" s="36">
        <f t="shared" si="87"/>
        <v>17387.623287941846</v>
      </c>
      <c r="U87" s="36">
        <f t="shared" si="87"/>
        <v>17698.027815441808</v>
      </c>
      <c r="V87" s="36">
        <f t="shared" si="87"/>
        <v>13881.998095976649</v>
      </c>
      <c r="W87" s="36">
        <f t="shared" ref="W87" si="88">IF(W5=0,0,W5*1000000/W25)</f>
        <v>12882.995522456324</v>
      </c>
      <c r="DA87" s="198" t="s">
        <v>259</v>
      </c>
    </row>
    <row r="88" spans="1:105" ht="11.45" customHeight="1" x14ac:dyDescent="0.25">
      <c r="A88" s="37" t="s">
        <v>173</v>
      </c>
      <c r="B88" s="36">
        <f t="shared" si="84"/>
        <v>74418.953293969942</v>
      </c>
      <c r="C88" s="36">
        <f t="shared" si="84"/>
        <v>75157.408685812363</v>
      </c>
      <c r="D88" s="36">
        <f t="shared" ref="D88:V88" si="89">IF(D6=0,0,D6*1000000/D26)</f>
        <v>76979.106279389962</v>
      </c>
      <c r="E88" s="36">
        <f t="shared" si="89"/>
        <v>75760.768985416842</v>
      </c>
      <c r="F88" s="36">
        <f t="shared" si="89"/>
        <v>75304.821389903082</v>
      </c>
      <c r="G88" s="36">
        <f t="shared" si="89"/>
        <v>76823.196192730218</v>
      </c>
      <c r="H88" s="36">
        <f t="shared" si="89"/>
        <v>78190.876426387767</v>
      </c>
      <c r="I88" s="36">
        <f t="shared" si="89"/>
        <v>75423.782431911008</v>
      </c>
      <c r="J88" s="36">
        <f t="shared" si="89"/>
        <v>72120.77747933018</v>
      </c>
      <c r="K88" s="36">
        <f t="shared" si="89"/>
        <v>72799.789917274858</v>
      </c>
      <c r="L88" s="36">
        <f t="shared" si="89"/>
        <v>77464.226291810919</v>
      </c>
      <c r="M88" s="36">
        <f t="shared" si="89"/>
        <v>83613.321937533285</v>
      </c>
      <c r="N88" s="36">
        <f t="shared" si="89"/>
        <v>88658.261375903487</v>
      </c>
      <c r="O88" s="36">
        <f t="shared" si="89"/>
        <v>92882.666387709876</v>
      </c>
      <c r="P88" s="36">
        <f t="shared" si="89"/>
        <v>94961.634168901321</v>
      </c>
      <c r="Q88" s="36">
        <f t="shared" si="89"/>
        <v>97219.029203380254</v>
      </c>
      <c r="R88" s="36">
        <f t="shared" si="89"/>
        <v>101010.98322805646</v>
      </c>
      <c r="S88" s="36">
        <f t="shared" si="89"/>
        <v>104250.40072641545</v>
      </c>
      <c r="T88" s="36">
        <f t="shared" si="89"/>
        <v>108501.89483639685</v>
      </c>
      <c r="U88" s="36">
        <f t="shared" si="89"/>
        <v>117822.99637241208</v>
      </c>
      <c r="V88" s="36">
        <f t="shared" si="89"/>
        <v>96080.208365553073</v>
      </c>
      <c r="W88" s="36">
        <f t="shared" ref="W88" si="90">IF(W6=0,0,W6*1000000/W26)</f>
        <v>109354.01432923091</v>
      </c>
      <c r="DA88" s="198" t="s">
        <v>260</v>
      </c>
    </row>
    <row r="89" spans="1:105" ht="11.45" customHeight="1" x14ac:dyDescent="0.25">
      <c r="A89" s="37" t="s">
        <v>174</v>
      </c>
      <c r="B89" s="36">
        <f t="shared" si="84"/>
        <v>233715.04806038665</v>
      </c>
      <c r="C89" s="36">
        <f t="shared" si="84"/>
        <v>246355.93014617407</v>
      </c>
      <c r="D89" s="36">
        <f t="shared" ref="D89:V89" si="91">IF(D7=0,0,D7*1000000/D27)</f>
        <v>260749.47668266363</v>
      </c>
      <c r="E89" s="36">
        <f t="shared" si="91"/>
        <v>259736.38790413129</v>
      </c>
      <c r="F89" s="36">
        <f t="shared" si="91"/>
        <v>268819.28824019223</v>
      </c>
      <c r="G89" s="36">
        <f t="shared" si="91"/>
        <v>307182.82334233198</v>
      </c>
      <c r="H89" s="36">
        <f t="shared" si="91"/>
        <v>330521.93388215994</v>
      </c>
      <c r="I89" s="36">
        <f t="shared" si="91"/>
        <v>315781.5477637822</v>
      </c>
      <c r="J89" s="36">
        <f t="shared" si="91"/>
        <v>290836.57717573486</v>
      </c>
      <c r="K89" s="36">
        <f t="shared" si="91"/>
        <v>272259.09590043518</v>
      </c>
      <c r="L89" s="36">
        <f t="shared" si="91"/>
        <v>287389.81400693773</v>
      </c>
      <c r="M89" s="36">
        <f t="shared" si="91"/>
        <v>284172.89711693599</v>
      </c>
      <c r="N89" s="36">
        <f t="shared" si="91"/>
        <v>294165.7750725869</v>
      </c>
      <c r="O89" s="36">
        <f t="shared" si="91"/>
        <v>297210.37288145407</v>
      </c>
      <c r="P89" s="36">
        <f t="shared" si="91"/>
        <v>334037.97263543028</v>
      </c>
      <c r="Q89" s="36">
        <f t="shared" si="91"/>
        <v>351781.86358746624</v>
      </c>
      <c r="R89" s="36">
        <f t="shared" si="91"/>
        <v>363513.46927145438</v>
      </c>
      <c r="S89" s="36">
        <f t="shared" si="91"/>
        <v>372157.96595564135</v>
      </c>
      <c r="T89" s="36">
        <f t="shared" si="91"/>
        <v>421347.78501423338</v>
      </c>
      <c r="U89" s="36">
        <f t="shared" si="91"/>
        <v>457932.20238129655</v>
      </c>
      <c r="V89" s="36">
        <f t="shared" si="91"/>
        <v>335761.59227494028</v>
      </c>
      <c r="W89" s="36">
        <f t="shared" ref="W89" si="92">IF(W7=0,0,W7*1000000/W27)</f>
        <v>287317.25060726842</v>
      </c>
      <c r="DA89" s="198" t="s">
        <v>261</v>
      </c>
    </row>
    <row r="90" spans="1:105" ht="11.45" customHeight="1" x14ac:dyDescent="0.25">
      <c r="A90" s="12" t="s">
        <v>88</v>
      </c>
      <c r="B90" s="13">
        <f t="shared" si="84"/>
        <v>55790.575413255094</v>
      </c>
      <c r="C90" s="13">
        <f t="shared" si="84"/>
        <v>56889.266752254196</v>
      </c>
      <c r="D90" s="13">
        <f t="shared" ref="D90:V90" si="93">IF(D8=0,0,D8*1000000/D28)</f>
        <v>50617.681798645957</v>
      </c>
      <c r="E90" s="13">
        <f t="shared" si="93"/>
        <v>47775.002084241722</v>
      </c>
      <c r="F90" s="13">
        <f t="shared" si="93"/>
        <v>40248.170685245917</v>
      </c>
      <c r="G90" s="13">
        <f t="shared" si="93"/>
        <v>45641.775650690804</v>
      </c>
      <c r="H90" s="13">
        <f t="shared" si="93"/>
        <v>39135.011779177541</v>
      </c>
      <c r="I90" s="13">
        <f t="shared" si="93"/>
        <v>36226.510829633415</v>
      </c>
      <c r="J90" s="13">
        <f t="shared" si="93"/>
        <v>32263.575740914734</v>
      </c>
      <c r="K90" s="13">
        <f t="shared" si="93"/>
        <v>29798.997253970934</v>
      </c>
      <c r="L90" s="13">
        <f t="shared" si="93"/>
        <v>28391.659577572376</v>
      </c>
      <c r="M90" s="13">
        <f t="shared" si="93"/>
        <v>36626.576219738003</v>
      </c>
      <c r="N90" s="13">
        <f t="shared" si="93"/>
        <v>46919.186152515591</v>
      </c>
      <c r="O90" s="13">
        <f t="shared" si="93"/>
        <v>52725.890054654446</v>
      </c>
      <c r="P90" s="13">
        <f t="shared" si="93"/>
        <v>64977.894886315196</v>
      </c>
      <c r="Q90" s="13">
        <f t="shared" si="93"/>
        <v>81494.49259348432</v>
      </c>
      <c r="R90" s="13">
        <f t="shared" si="93"/>
        <v>103616.14506176047</v>
      </c>
      <c r="S90" s="13">
        <f t="shared" si="93"/>
        <v>99710.349333571226</v>
      </c>
      <c r="T90" s="13">
        <f t="shared" si="93"/>
        <v>120426.2490132283</v>
      </c>
      <c r="U90" s="13">
        <f t="shared" si="93"/>
        <v>123388.7767215365</v>
      </c>
      <c r="V90" s="13">
        <f t="shared" si="93"/>
        <v>72889.827687307683</v>
      </c>
      <c r="W90" s="13">
        <f t="shared" ref="W90" si="94">IF(W8=0,0,W8*1000000/W28)</f>
        <v>64523.612481540105</v>
      </c>
      <c r="DA90" s="193" t="s">
        <v>262</v>
      </c>
    </row>
    <row r="91" spans="1:105" ht="11.45" customHeight="1" x14ac:dyDescent="0.25">
      <c r="A91" s="42" t="s">
        <v>27</v>
      </c>
      <c r="B91" s="34">
        <f t="shared" si="84"/>
        <v>2380.264834495606</v>
      </c>
      <c r="C91" s="34">
        <f t="shared" si="84"/>
        <v>2362.1161458480351</v>
      </c>
      <c r="D91" s="34">
        <f t="shared" ref="D91:V91" si="95">IF(D9=0,0,D9*1000000/D29)</f>
        <v>2429.0326437542535</v>
      </c>
      <c r="E91" s="34">
        <f t="shared" si="95"/>
        <v>2583.7315079498026</v>
      </c>
      <c r="F91" s="34">
        <f t="shared" si="95"/>
        <v>2432.9918154934549</v>
      </c>
      <c r="G91" s="34">
        <f t="shared" si="95"/>
        <v>2412.4905848070593</v>
      </c>
      <c r="H91" s="34">
        <f t="shared" si="95"/>
        <v>2340.4632545525706</v>
      </c>
      <c r="I91" s="34">
        <f t="shared" si="95"/>
        <v>2390.5964320050048</v>
      </c>
      <c r="J91" s="34">
        <f t="shared" si="95"/>
        <v>2393.9770775730817</v>
      </c>
      <c r="K91" s="34">
        <f t="shared" si="95"/>
        <v>2486.1125674958785</v>
      </c>
      <c r="L91" s="34">
        <f t="shared" si="95"/>
        <v>2632.9395637320285</v>
      </c>
      <c r="M91" s="34">
        <f t="shared" si="95"/>
        <v>2789.4004840740422</v>
      </c>
      <c r="N91" s="34">
        <f t="shared" si="95"/>
        <v>2928.5034416462454</v>
      </c>
      <c r="O91" s="34">
        <f t="shared" si="95"/>
        <v>2853.9965279634916</v>
      </c>
      <c r="P91" s="34">
        <f t="shared" si="95"/>
        <v>2981.2138703279297</v>
      </c>
      <c r="Q91" s="34">
        <f t="shared" si="95"/>
        <v>2861.3358079886939</v>
      </c>
      <c r="R91" s="34">
        <f t="shared" si="95"/>
        <v>3237.7554553947543</v>
      </c>
      <c r="S91" s="34">
        <f t="shared" si="95"/>
        <v>2820.4477204691934</v>
      </c>
      <c r="T91" s="34">
        <f t="shared" si="95"/>
        <v>2670.4053680733223</v>
      </c>
      <c r="U91" s="34">
        <f t="shared" si="95"/>
        <v>3547.9902307918251</v>
      </c>
      <c r="V91" s="34">
        <f t="shared" si="95"/>
        <v>3218.7996606338725</v>
      </c>
      <c r="W91" s="34">
        <f t="shared" ref="W91" si="96">IF(W9=0,0,W9*1000000/W29)</f>
        <v>2857.2198849703682</v>
      </c>
      <c r="DA91" s="196" t="s">
        <v>263</v>
      </c>
    </row>
    <row r="92" spans="1:105" ht="11.45" customHeight="1" x14ac:dyDescent="0.25">
      <c r="A92" s="42" t="s">
        <v>173</v>
      </c>
      <c r="B92" s="34">
        <f t="shared" si="84"/>
        <v>21753.485255544147</v>
      </c>
      <c r="C92" s="34">
        <f t="shared" si="84"/>
        <v>22732.115942901612</v>
      </c>
      <c r="D92" s="34">
        <f t="shared" ref="D92:V92" si="97">IF(D10=0,0,D10*1000000/D30)</f>
        <v>21379.384508303236</v>
      </c>
      <c r="E92" s="34">
        <f t="shared" si="97"/>
        <v>21911.389587684098</v>
      </c>
      <c r="F92" s="34">
        <f t="shared" si="97"/>
        <v>19845.557602941823</v>
      </c>
      <c r="G92" s="34">
        <f t="shared" si="97"/>
        <v>19417.76229182311</v>
      </c>
      <c r="H92" s="34">
        <f t="shared" si="97"/>
        <v>15772.792804466062</v>
      </c>
      <c r="I92" s="34">
        <f t="shared" si="97"/>
        <v>14521.765637136565</v>
      </c>
      <c r="J92" s="34">
        <f t="shared" si="97"/>
        <v>13327.798657680401</v>
      </c>
      <c r="K92" s="34">
        <f t="shared" si="97"/>
        <v>12762.798593911422</v>
      </c>
      <c r="L92" s="34">
        <f t="shared" si="97"/>
        <v>12121.774218668557</v>
      </c>
      <c r="M92" s="34">
        <f t="shared" si="97"/>
        <v>13358.668104062999</v>
      </c>
      <c r="N92" s="34">
        <f t="shared" si="97"/>
        <v>15081.785867275408</v>
      </c>
      <c r="O92" s="34">
        <f t="shared" si="97"/>
        <v>15237.4531783727</v>
      </c>
      <c r="P92" s="34">
        <f t="shared" si="97"/>
        <v>17846.96872904745</v>
      </c>
      <c r="Q92" s="34">
        <f t="shared" si="97"/>
        <v>17955.808109549514</v>
      </c>
      <c r="R92" s="34">
        <f t="shared" si="97"/>
        <v>20044.170988902901</v>
      </c>
      <c r="S92" s="34">
        <f t="shared" si="97"/>
        <v>18469.394983509814</v>
      </c>
      <c r="T92" s="34">
        <f t="shared" si="97"/>
        <v>19421.817089007673</v>
      </c>
      <c r="U92" s="34">
        <f t="shared" si="97"/>
        <v>20328.779674919708</v>
      </c>
      <c r="V92" s="34">
        <f t="shared" si="97"/>
        <v>17005.571496672186</v>
      </c>
      <c r="W92" s="34">
        <f t="shared" ref="W92" si="98">IF(W10=0,0,W10*1000000/W30)</f>
        <v>17573.724069074033</v>
      </c>
      <c r="DA92" s="196" t="s">
        <v>264</v>
      </c>
    </row>
    <row r="93" spans="1:105" ht="11.45" customHeight="1" x14ac:dyDescent="0.25">
      <c r="A93" s="38" t="s">
        <v>174</v>
      </c>
      <c r="B93" s="35">
        <f t="shared" si="84"/>
        <v>131290.16869919957</v>
      </c>
      <c r="C93" s="35">
        <f t="shared" si="84"/>
        <v>137535.48763692737</v>
      </c>
      <c r="D93" s="35">
        <f t="shared" ref="D93:V93" si="99">IF(D11=0,0,D11*1000000/D31)</f>
        <v>129891.52361736337</v>
      </c>
      <c r="E93" s="35">
        <f t="shared" si="99"/>
        <v>118041.99908566329</v>
      </c>
      <c r="F93" s="35">
        <f t="shared" si="99"/>
        <v>114581.14263659704</v>
      </c>
      <c r="G93" s="35">
        <f t="shared" si="99"/>
        <v>119940.01993676569</v>
      </c>
      <c r="H93" s="35">
        <f t="shared" si="99"/>
        <v>120190.97116988378</v>
      </c>
      <c r="I93" s="35">
        <f t="shared" si="99"/>
        <v>105579.98142374463</v>
      </c>
      <c r="J93" s="35">
        <f t="shared" si="99"/>
        <v>94277.049626164284</v>
      </c>
      <c r="K93" s="35">
        <f t="shared" si="99"/>
        <v>97688.167668608774</v>
      </c>
      <c r="L93" s="35">
        <f t="shared" si="99"/>
        <v>95693.532496084299</v>
      </c>
      <c r="M93" s="35">
        <f t="shared" si="99"/>
        <v>113294.13709416003</v>
      </c>
      <c r="N93" s="35">
        <f t="shared" si="99"/>
        <v>138219.54867298348</v>
      </c>
      <c r="O93" s="35">
        <f t="shared" si="99"/>
        <v>168437.55214606252</v>
      </c>
      <c r="P93" s="35">
        <f t="shared" si="99"/>
        <v>246246.48220388748</v>
      </c>
      <c r="Q93" s="35">
        <f t="shared" si="99"/>
        <v>284371.08371337375</v>
      </c>
      <c r="R93" s="35">
        <f t="shared" si="99"/>
        <v>347324.35417569795</v>
      </c>
      <c r="S93" s="35">
        <f t="shared" si="99"/>
        <v>376129.15796594624</v>
      </c>
      <c r="T93" s="35">
        <f t="shared" si="99"/>
        <v>440824.62282435433</v>
      </c>
      <c r="U93" s="35">
        <f t="shared" si="99"/>
        <v>495531.21837260068</v>
      </c>
      <c r="V93" s="35">
        <f t="shared" si="99"/>
        <v>330120.33840494201</v>
      </c>
      <c r="W93" s="35">
        <f t="shared" ref="W93" si="100">IF(W11=0,0,W11*1000000/W31)</f>
        <v>280188.49089668604</v>
      </c>
      <c r="DA93" s="197" t="s">
        <v>265</v>
      </c>
    </row>
    <row r="94" spans="1:105" x14ac:dyDescent="0.25">
      <c r="A94" s="50"/>
      <c r="B94" s="50"/>
      <c r="C94" s="50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DA94" s="181"/>
    </row>
    <row r="95" spans="1:105" ht="11.45" customHeight="1" x14ac:dyDescent="0.25">
      <c r="A95" s="53" t="s">
        <v>89</v>
      </c>
      <c r="B95" s="62">
        <f t="shared" ref="B95:C95" si="101">IF(B23=0,0,B23/B43)</f>
        <v>1237.5010311655785</v>
      </c>
      <c r="C95" s="62">
        <f t="shared" si="101"/>
        <v>1241.5168722656831</v>
      </c>
      <c r="D95" s="62">
        <f t="shared" ref="D95:V95" si="102">IF(D23=0,0,D23/D43)</f>
        <v>1254.8066291220227</v>
      </c>
      <c r="E95" s="62">
        <f t="shared" si="102"/>
        <v>1261.0077948503347</v>
      </c>
      <c r="F95" s="62">
        <f t="shared" si="102"/>
        <v>1234.3274130504299</v>
      </c>
      <c r="G95" s="62">
        <f t="shared" si="102"/>
        <v>1207.1736914871838</v>
      </c>
      <c r="H95" s="62">
        <f t="shared" si="102"/>
        <v>1213.3481101797802</v>
      </c>
      <c r="I95" s="62">
        <f t="shared" si="102"/>
        <v>1234.0560677419101</v>
      </c>
      <c r="J95" s="62">
        <f t="shared" si="102"/>
        <v>1244.0436432860597</v>
      </c>
      <c r="K95" s="62">
        <f t="shared" si="102"/>
        <v>1223.712843143494</v>
      </c>
      <c r="L95" s="62">
        <f t="shared" si="102"/>
        <v>1252.7783576017389</v>
      </c>
      <c r="M95" s="62">
        <f t="shared" si="102"/>
        <v>1215.9932146725914</v>
      </c>
      <c r="N95" s="62">
        <f t="shared" si="102"/>
        <v>1220.6595993261644</v>
      </c>
      <c r="O95" s="62">
        <f t="shared" si="102"/>
        <v>1214.6968649430835</v>
      </c>
      <c r="P95" s="62">
        <f t="shared" si="102"/>
        <v>1192.7568967067584</v>
      </c>
      <c r="Q95" s="62">
        <f t="shared" si="102"/>
        <v>1167.5899671562563</v>
      </c>
      <c r="R95" s="62">
        <f t="shared" si="102"/>
        <v>1155.8577946580142</v>
      </c>
      <c r="S95" s="62">
        <f t="shared" si="102"/>
        <v>1154.0865127463496</v>
      </c>
      <c r="T95" s="62">
        <f t="shared" si="102"/>
        <v>1124.5467313304696</v>
      </c>
      <c r="U95" s="62">
        <f t="shared" si="102"/>
        <v>1093.3123141116689</v>
      </c>
      <c r="V95" s="62">
        <f t="shared" si="102"/>
        <v>409.08602307889549</v>
      </c>
      <c r="W95" s="62">
        <f t="shared" ref="W95" si="103">IF(W23=0,0,W23/W43)</f>
        <v>473.41558664202068</v>
      </c>
      <c r="DA95" s="172" t="s">
        <v>266</v>
      </c>
    </row>
    <row r="96" spans="1:105" ht="11.45" customHeight="1" x14ac:dyDescent="0.25">
      <c r="A96" s="10" t="s">
        <v>33</v>
      </c>
      <c r="B96" s="11">
        <f t="shared" ref="B96:C103" si="104">IF(B24=0,0,B24/B44)</f>
        <v>1242.5549747033549</v>
      </c>
      <c r="C96" s="11">
        <f t="shared" si="104"/>
        <v>1247.3169538029238</v>
      </c>
      <c r="D96" s="11">
        <f t="shared" ref="D96:V96" si="105">IF(D24=0,0,D24/D44)</f>
        <v>1260.8761595188148</v>
      </c>
      <c r="E96" s="11">
        <f t="shared" si="105"/>
        <v>1267.2928137579411</v>
      </c>
      <c r="F96" s="11">
        <f t="shared" si="105"/>
        <v>1241.0466019938469</v>
      </c>
      <c r="G96" s="11">
        <f t="shared" si="105"/>
        <v>1215.1153155639909</v>
      </c>
      <c r="H96" s="11">
        <f t="shared" si="105"/>
        <v>1223.4875823774253</v>
      </c>
      <c r="I96" s="11">
        <f t="shared" si="105"/>
        <v>1245.3918269376479</v>
      </c>
      <c r="J96" s="11">
        <f t="shared" si="105"/>
        <v>1254.2714094787782</v>
      </c>
      <c r="K96" s="11">
        <f t="shared" si="105"/>
        <v>1235.1076937344117</v>
      </c>
      <c r="L96" s="11">
        <f t="shared" si="105"/>
        <v>1261.107755186342</v>
      </c>
      <c r="M96" s="11">
        <f t="shared" si="105"/>
        <v>1225.5639462148079</v>
      </c>
      <c r="N96" s="11">
        <f t="shared" si="105"/>
        <v>1235.0815922760116</v>
      </c>
      <c r="O96" s="11">
        <f t="shared" si="105"/>
        <v>1228.1352611972111</v>
      </c>
      <c r="P96" s="11">
        <f t="shared" si="105"/>
        <v>1203.29704639325</v>
      </c>
      <c r="Q96" s="11">
        <f t="shared" si="105"/>
        <v>1180.6459004440042</v>
      </c>
      <c r="R96" s="11">
        <f t="shared" si="105"/>
        <v>1173.2862601926199</v>
      </c>
      <c r="S96" s="11">
        <f t="shared" si="105"/>
        <v>1168.6832582416046</v>
      </c>
      <c r="T96" s="11">
        <f t="shared" si="105"/>
        <v>1139.3720329389678</v>
      </c>
      <c r="U96" s="11">
        <f t="shared" si="105"/>
        <v>1106.4837927426152</v>
      </c>
      <c r="V96" s="11">
        <f t="shared" si="105"/>
        <v>396.73181879976875</v>
      </c>
      <c r="W96" s="11">
        <f t="shared" ref="W96" si="106">IF(W24=0,0,W24/W44)</f>
        <v>460.3274328631594</v>
      </c>
      <c r="DA96" s="189" t="s">
        <v>267</v>
      </c>
    </row>
    <row r="97" spans="1:105" ht="11.45" customHeight="1" x14ac:dyDescent="0.25">
      <c r="A97" s="37" t="s">
        <v>27</v>
      </c>
      <c r="B97" s="36">
        <f t="shared" si="104"/>
        <v>2511</v>
      </c>
      <c r="C97" s="36">
        <f t="shared" si="104"/>
        <v>2500.5853056965325</v>
      </c>
      <c r="D97" s="36">
        <f t="shared" ref="D97:V97" si="107">IF(D25=0,0,D25/D45)</f>
        <v>2511</v>
      </c>
      <c r="E97" s="36">
        <f t="shared" si="107"/>
        <v>2511</v>
      </c>
      <c r="F97" s="36">
        <f t="shared" si="107"/>
        <v>2511</v>
      </c>
      <c r="G97" s="36">
        <f t="shared" si="107"/>
        <v>2505</v>
      </c>
      <c r="H97" s="36">
        <f t="shared" si="107"/>
        <v>2500</v>
      </c>
      <c r="I97" s="36">
        <f t="shared" si="107"/>
        <v>2486</v>
      </c>
      <c r="J97" s="36">
        <f t="shared" si="107"/>
        <v>2465</v>
      </c>
      <c r="K97" s="36">
        <f t="shared" si="107"/>
        <v>2449</v>
      </c>
      <c r="L97" s="36">
        <f t="shared" si="107"/>
        <v>2452</v>
      </c>
      <c r="M97" s="36">
        <f t="shared" si="107"/>
        <v>2123.4141019307458</v>
      </c>
      <c r="N97" s="36">
        <f t="shared" si="107"/>
        <v>2420.0221193065172</v>
      </c>
      <c r="O97" s="36">
        <f t="shared" si="107"/>
        <v>2494</v>
      </c>
      <c r="P97" s="36">
        <f t="shared" si="107"/>
        <v>2495</v>
      </c>
      <c r="Q97" s="36">
        <f t="shared" si="107"/>
        <v>2477</v>
      </c>
      <c r="R97" s="36">
        <f t="shared" si="107"/>
        <v>2454</v>
      </c>
      <c r="S97" s="36">
        <f t="shared" si="107"/>
        <v>2447</v>
      </c>
      <c r="T97" s="36">
        <f t="shared" si="107"/>
        <v>2444</v>
      </c>
      <c r="U97" s="36">
        <f t="shared" si="107"/>
        <v>2437.0000000000005</v>
      </c>
      <c r="V97" s="36">
        <f t="shared" si="107"/>
        <v>930.36791649363045</v>
      </c>
      <c r="W97" s="36">
        <f t="shared" ref="W97" si="108">IF(W25=0,0,W25/W45)</f>
        <v>854.35574072209397</v>
      </c>
      <c r="DA97" s="198" t="s">
        <v>268</v>
      </c>
    </row>
    <row r="98" spans="1:105" ht="11.45" customHeight="1" x14ac:dyDescent="0.25">
      <c r="A98" s="37" t="s">
        <v>173</v>
      </c>
      <c r="B98" s="36">
        <f t="shared" si="104"/>
        <v>1483.6052518820286</v>
      </c>
      <c r="C98" s="36">
        <f t="shared" si="104"/>
        <v>1482.7138883483408</v>
      </c>
      <c r="D98" s="36">
        <f t="shared" ref="D98:V98" si="109">IF(D26=0,0,D26/D46)</f>
        <v>1482.1691558586049</v>
      </c>
      <c r="E98" s="36">
        <f t="shared" si="109"/>
        <v>1480.2589219856156</v>
      </c>
      <c r="F98" s="36">
        <f t="shared" si="109"/>
        <v>1478.7447278276852</v>
      </c>
      <c r="G98" s="36">
        <f t="shared" si="109"/>
        <v>1482.725218550368</v>
      </c>
      <c r="H98" s="36">
        <f t="shared" si="109"/>
        <v>1483.2104854106528</v>
      </c>
      <c r="I98" s="36">
        <f t="shared" si="109"/>
        <v>1483.6214219139706</v>
      </c>
      <c r="J98" s="36">
        <f t="shared" si="109"/>
        <v>1490.9325185635107</v>
      </c>
      <c r="K98" s="36">
        <f t="shared" si="109"/>
        <v>1434.4800989521223</v>
      </c>
      <c r="L98" s="36">
        <f t="shared" si="109"/>
        <v>1494.950985386615</v>
      </c>
      <c r="M98" s="36">
        <f t="shared" si="109"/>
        <v>1495.8617407472514</v>
      </c>
      <c r="N98" s="36">
        <f t="shared" si="109"/>
        <v>1493.1418880459344</v>
      </c>
      <c r="O98" s="36">
        <f t="shared" si="109"/>
        <v>1492.4954149624787</v>
      </c>
      <c r="P98" s="36">
        <f t="shared" si="109"/>
        <v>1484.4101864741485</v>
      </c>
      <c r="Q98" s="36">
        <f t="shared" si="109"/>
        <v>1475.0576123196167</v>
      </c>
      <c r="R98" s="36">
        <f t="shared" si="109"/>
        <v>1461.0560573675998</v>
      </c>
      <c r="S98" s="36">
        <f t="shared" si="109"/>
        <v>1462.4132111707006</v>
      </c>
      <c r="T98" s="36">
        <f t="shared" si="109"/>
        <v>1452.7434110973363</v>
      </c>
      <c r="U98" s="36">
        <f t="shared" si="109"/>
        <v>1433.9163508961137</v>
      </c>
      <c r="V98" s="36">
        <f t="shared" si="109"/>
        <v>528.82023387864081</v>
      </c>
      <c r="W98" s="36">
        <f t="shared" ref="W98" si="110">IF(W26=0,0,W26/W46)</f>
        <v>586.01124368401656</v>
      </c>
      <c r="DA98" s="198" t="s">
        <v>269</v>
      </c>
    </row>
    <row r="99" spans="1:105" ht="11.45" customHeight="1" x14ac:dyDescent="0.25">
      <c r="A99" s="37" t="s">
        <v>174</v>
      </c>
      <c r="B99" s="36">
        <f t="shared" si="104"/>
        <v>709</v>
      </c>
      <c r="C99" s="36">
        <f t="shared" si="104"/>
        <v>709</v>
      </c>
      <c r="D99" s="36">
        <f t="shared" ref="D99:V99" si="111">IF(D27=0,0,D27/D47)</f>
        <v>709</v>
      </c>
      <c r="E99" s="36">
        <f t="shared" si="111"/>
        <v>709</v>
      </c>
      <c r="F99" s="36">
        <f t="shared" si="111"/>
        <v>709</v>
      </c>
      <c r="G99" s="36">
        <f t="shared" si="111"/>
        <v>675</v>
      </c>
      <c r="H99" s="36">
        <f t="shared" si="111"/>
        <v>659</v>
      </c>
      <c r="I99" s="36">
        <f t="shared" si="111"/>
        <v>689</v>
      </c>
      <c r="J99" s="36">
        <f t="shared" si="111"/>
        <v>712</v>
      </c>
      <c r="K99" s="36">
        <f t="shared" si="111"/>
        <v>732</v>
      </c>
      <c r="L99" s="36">
        <f t="shared" si="111"/>
        <v>737</v>
      </c>
      <c r="M99" s="36">
        <f t="shared" si="111"/>
        <v>733</v>
      </c>
      <c r="N99" s="36">
        <f t="shared" si="111"/>
        <v>741</v>
      </c>
      <c r="O99" s="36">
        <f t="shared" si="111"/>
        <v>748</v>
      </c>
      <c r="P99" s="36">
        <f t="shared" si="111"/>
        <v>711</v>
      </c>
      <c r="Q99" s="36">
        <f t="shared" si="111"/>
        <v>689</v>
      </c>
      <c r="R99" s="36">
        <f t="shared" si="111"/>
        <v>673</v>
      </c>
      <c r="S99" s="36">
        <f t="shared" si="111"/>
        <v>675</v>
      </c>
      <c r="T99" s="36">
        <f t="shared" si="111"/>
        <v>649</v>
      </c>
      <c r="U99" s="36">
        <f t="shared" si="111"/>
        <v>625</v>
      </c>
      <c r="V99" s="36">
        <f t="shared" si="111"/>
        <v>206.04059402121592</v>
      </c>
      <c r="W99" s="36">
        <f t="shared" ref="W99" si="112">IF(W27=0,0,W27/W47)</f>
        <v>288.36115278472931</v>
      </c>
      <c r="DA99" s="198" t="s">
        <v>270</v>
      </c>
    </row>
    <row r="100" spans="1:105" ht="11.45" customHeight="1" x14ac:dyDescent="0.25">
      <c r="A100" s="12" t="s">
        <v>34</v>
      </c>
      <c r="B100" s="13">
        <f t="shared" si="104"/>
        <v>1020.8339115557554</v>
      </c>
      <c r="C100" s="13">
        <f t="shared" si="104"/>
        <v>980.10559053853353</v>
      </c>
      <c r="D100" s="13">
        <f t="shared" ref="D100:V100" si="113">IF(D28=0,0,D28/D48)</f>
        <v>1027.1501836331097</v>
      </c>
      <c r="E100" s="13">
        <f t="shared" si="113"/>
        <v>1031.2889419548126</v>
      </c>
      <c r="F100" s="13">
        <f t="shared" si="113"/>
        <v>1043.6160021165697</v>
      </c>
      <c r="G100" s="13">
        <f t="shared" si="113"/>
        <v>1005.4941335937356</v>
      </c>
      <c r="H100" s="13">
        <f t="shared" si="113"/>
        <v>987.30336151968663</v>
      </c>
      <c r="I100" s="13">
        <f t="shared" si="113"/>
        <v>955.73800382313971</v>
      </c>
      <c r="J100" s="13">
        <f t="shared" si="113"/>
        <v>971.53449087781269</v>
      </c>
      <c r="K100" s="13">
        <f t="shared" si="113"/>
        <v>927.50395374709296</v>
      </c>
      <c r="L100" s="13">
        <f t="shared" si="113"/>
        <v>1036.2381910267566</v>
      </c>
      <c r="M100" s="13">
        <f t="shared" si="113"/>
        <v>974.69063076954797</v>
      </c>
      <c r="N100" s="13">
        <f t="shared" si="113"/>
        <v>860.04651829037653</v>
      </c>
      <c r="O100" s="13">
        <f t="shared" si="113"/>
        <v>893.25758497397806</v>
      </c>
      <c r="P100" s="13">
        <f t="shared" si="113"/>
        <v>939.25949504842367</v>
      </c>
      <c r="Q100" s="13">
        <f t="shared" si="113"/>
        <v>870.58691779350181</v>
      </c>
      <c r="R100" s="13">
        <f t="shared" si="113"/>
        <v>746.94774261574833</v>
      </c>
      <c r="S100" s="13">
        <f t="shared" si="113"/>
        <v>821.91284323209481</v>
      </c>
      <c r="T100" s="13">
        <f t="shared" si="113"/>
        <v>778.02060681250975</v>
      </c>
      <c r="U100" s="13">
        <f t="shared" si="113"/>
        <v>772.1841560517862</v>
      </c>
      <c r="V100" s="13">
        <f t="shared" si="113"/>
        <v>703.3778141633494</v>
      </c>
      <c r="W100" s="13">
        <f t="shared" ref="W100" si="114">IF(W28=0,0,W28/W48)</f>
        <v>759.53878603725059</v>
      </c>
      <c r="DA100" s="193" t="s">
        <v>271</v>
      </c>
    </row>
    <row r="101" spans="1:105" ht="11.45" customHeight="1" x14ac:dyDescent="0.25">
      <c r="A101" s="42" t="s">
        <v>27</v>
      </c>
      <c r="B101" s="34">
        <f t="shared" si="104"/>
        <v>1513</v>
      </c>
      <c r="C101" s="34">
        <f t="shared" si="104"/>
        <v>1042.0110192837465</v>
      </c>
      <c r="D101" s="34">
        <f t="shared" ref="D101:V101" si="115">IF(D29=0,0,D29/D49)</f>
        <v>1172.2623966942149</v>
      </c>
      <c r="E101" s="34">
        <f t="shared" si="115"/>
        <v>1339.7284533648169</v>
      </c>
      <c r="F101" s="34">
        <f t="shared" si="115"/>
        <v>1513</v>
      </c>
      <c r="G101" s="34">
        <f t="shared" si="115"/>
        <v>1511</v>
      </c>
      <c r="H101" s="34">
        <f t="shared" si="115"/>
        <v>1509</v>
      </c>
      <c r="I101" s="34">
        <f t="shared" si="115"/>
        <v>1493.3618266281856</v>
      </c>
      <c r="J101" s="34">
        <f t="shared" si="115"/>
        <v>1497</v>
      </c>
      <c r="K101" s="34">
        <f t="shared" si="115"/>
        <v>1491</v>
      </c>
      <c r="L101" s="34">
        <f t="shared" si="115"/>
        <v>1429.9121312722345</v>
      </c>
      <c r="M101" s="34">
        <f t="shared" si="115"/>
        <v>1227.7068471817543</v>
      </c>
      <c r="N101" s="34">
        <f t="shared" si="115"/>
        <v>1106.0004876934809</v>
      </c>
      <c r="O101" s="34">
        <f t="shared" si="115"/>
        <v>1100.1235483447851</v>
      </c>
      <c r="P101" s="34">
        <f t="shared" si="115"/>
        <v>1034.6713256327625</v>
      </c>
      <c r="Q101" s="34">
        <f t="shared" si="115"/>
        <v>1519</v>
      </c>
      <c r="R101" s="34">
        <f t="shared" si="115"/>
        <v>1522</v>
      </c>
      <c r="S101" s="34">
        <f t="shared" si="115"/>
        <v>1532</v>
      </c>
      <c r="T101" s="34">
        <f t="shared" si="115"/>
        <v>1543</v>
      </c>
      <c r="U101" s="34">
        <f t="shared" si="115"/>
        <v>1514</v>
      </c>
      <c r="V101" s="34">
        <f t="shared" si="115"/>
        <v>1517.0000000000002</v>
      </c>
      <c r="W101" s="34">
        <f t="shared" ref="W101" si="116">IF(W29=0,0,W29/W49)</f>
        <v>1533</v>
      </c>
      <c r="DA101" s="196" t="s">
        <v>272</v>
      </c>
    </row>
    <row r="102" spans="1:105" ht="11.45" customHeight="1" x14ac:dyDescent="0.25">
      <c r="A102" s="42" t="s">
        <v>173</v>
      </c>
      <c r="B102" s="34">
        <f t="shared" si="104"/>
        <v>1128.8738502217818</v>
      </c>
      <c r="C102" s="34">
        <f t="shared" si="104"/>
        <v>1123.4330860971368</v>
      </c>
      <c r="D102" s="34">
        <f t="shared" ref="D102:V102" si="117">IF(D30=0,0,D30/D50)</f>
        <v>1131.1613715389208</v>
      </c>
      <c r="E102" s="34">
        <f t="shared" si="117"/>
        <v>1133.4071128039611</v>
      </c>
      <c r="F102" s="34">
        <f t="shared" si="117"/>
        <v>1119.7566926976806</v>
      </c>
      <c r="G102" s="34">
        <f t="shared" si="117"/>
        <v>1113.0866579834003</v>
      </c>
      <c r="H102" s="34">
        <f t="shared" si="117"/>
        <v>1070.7380407727969</v>
      </c>
      <c r="I102" s="34">
        <f t="shared" si="117"/>
        <v>1009.5547508322658</v>
      </c>
      <c r="J102" s="34">
        <f t="shared" si="117"/>
        <v>1022.2166470546624</v>
      </c>
      <c r="K102" s="34">
        <f t="shared" si="117"/>
        <v>1009.8731014895216</v>
      </c>
      <c r="L102" s="34">
        <f t="shared" si="117"/>
        <v>1117.0640348422901</v>
      </c>
      <c r="M102" s="34">
        <f t="shared" si="117"/>
        <v>1030.9602696788563</v>
      </c>
      <c r="N102" s="34">
        <f t="shared" si="117"/>
        <v>894.16552694885468</v>
      </c>
      <c r="O102" s="34">
        <f t="shared" si="117"/>
        <v>981.61983697217067</v>
      </c>
      <c r="P102" s="34">
        <f t="shared" si="117"/>
        <v>1094.908854644762</v>
      </c>
      <c r="Q102" s="34">
        <f t="shared" si="117"/>
        <v>1068.3911910221987</v>
      </c>
      <c r="R102" s="34">
        <f t="shared" si="117"/>
        <v>901.40692904536809</v>
      </c>
      <c r="S102" s="34">
        <f t="shared" si="117"/>
        <v>1060.6793471999631</v>
      </c>
      <c r="T102" s="34">
        <f t="shared" si="117"/>
        <v>1053.3389238158004</v>
      </c>
      <c r="U102" s="34">
        <f t="shared" si="117"/>
        <v>1051.6153113383875</v>
      </c>
      <c r="V102" s="34">
        <f t="shared" si="117"/>
        <v>1005.8388264948911</v>
      </c>
      <c r="W102" s="34">
        <f t="shared" ref="W102" si="118">IF(W30=0,0,W30/W50)</f>
        <v>1041.247864919294</v>
      </c>
      <c r="DA102" s="196" t="s">
        <v>273</v>
      </c>
    </row>
    <row r="103" spans="1:105" ht="11.45" customHeight="1" x14ac:dyDescent="0.25">
      <c r="A103" s="38" t="s">
        <v>174</v>
      </c>
      <c r="B103" s="35">
        <f t="shared" si="104"/>
        <v>824</v>
      </c>
      <c r="C103" s="35">
        <f t="shared" si="104"/>
        <v>762.77150425205639</v>
      </c>
      <c r="D103" s="35">
        <f t="shared" ref="D103:V103" si="119">IF(D31=0,0,D31/D51)</f>
        <v>824</v>
      </c>
      <c r="E103" s="35">
        <f t="shared" si="119"/>
        <v>824</v>
      </c>
      <c r="F103" s="35">
        <f t="shared" si="119"/>
        <v>824</v>
      </c>
      <c r="G103" s="35">
        <f t="shared" si="119"/>
        <v>781</v>
      </c>
      <c r="H103" s="35">
        <f t="shared" si="119"/>
        <v>766</v>
      </c>
      <c r="I103" s="35">
        <f t="shared" si="119"/>
        <v>802.63392015245256</v>
      </c>
      <c r="J103" s="35">
        <f t="shared" si="119"/>
        <v>820.14072815990937</v>
      </c>
      <c r="K103" s="35">
        <f t="shared" si="119"/>
        <v>687.60134711139312</v>
      </c>
      <c r="L103" s="35">
        <f t="shared" si="119"/>
        <v>790.19206728986819</v>
      </c>
      <c r="M103" s="35">
        <f t="shared" si="119"/>
        <v>822</v>
      </c>
      <c r="N103" s="35">
        <f t="shared" si="119"/>
        <v>771</v>
      </c>
      <c r="O103" s="35">
        <f t="shared" si="119"/>
        <v>698</v>
      </c>
      <c r="P103" s="35">
        <f t="shared" si="119"/>
        <v>608</v>
      </c>
      <c r="Q103" s="35">
        <f t="shared" si="119"/>
        <v>546</v>
      </c>
      <c r="R103" s="35">
        <f t="shared" si="119"/>
        <v>497</v>
      </c>
      <c r="S103" s="35">
        <f t="shared" si="119"/>
        <v>465.00000000000006</v>
      </c>
      <c r="T103" s="35">
        <f t="shared" si="119"/>
        <v>424.99999999999994</v>
      </c>
      <c r="U103" s="35">
        <f t="shared" si="119"/>
        <v>394</v>
      </c>
      <c r="V103" s="35">
        <f t="shared" si="119"/>
        <v>294.99761749889677</v>
      </c>
      <c r="W103" s="35">
        <f t="shared" ref="W103" si="120">IF(W31=0,0,W31/W51)</f>
        <v>338.63193906610269</v>
      </c>
      <c r="DA103" s="197" t="s">
        <v>274</v>
      </c>
    </row>
    <row r="104" spans="1:105" x14ac:dyDescent="0.25">
      <c r="A104" s="50"/>
      <c r="B104" s="50"/>
      <c r="C104" s="50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DA104" s="181"/>
    </row>
    <row r="105" spans="1:105" ht="11.45" customHeight="1" x14ac:dyDescent="0.25">
      <c r="A105" s="53" t="s">
        <v>37</v>
      </c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DA105" s="183"/>
    </row>
    <row r="106" spans="1:105" ht="11.45" customHeight="1" x14ac:dyDescent="0.25">
      <c r="A106" s="10" t="s">
        <v>38</v>
      </c>
      <c r="B106" s="16">
        <f t="shared" ref="B106:C106" si="121">IF(B4=0,0,B4/B$4)</f>
        <v>1</v>
      </c>
      <c r="C106" s="16">
        <f t="shared" si="121"/>
        <v>1</v>
      </c>
      <c r="D106" s="16">
        <f t="shared" ref="D106:V106" si="122">IF(D4=0,0,D4/D$4)</f>
        <v>1</v>
      </c>
      <c r="E106" s="16">
        <f t="shared" si="122"/>
        <v>1</v>
      </c>
      <c r="F106" s="16">
        <f t="shared" si="122"/>
        <v>1</v>
      </c>
      <c r="G106" s="16">
        <f t="shared" si="122"/>
        <v>1</v>
      </c>
      <c r="H106" s="16">
        <f t="shared" si="122"/>
        <v>1</v>
      </c>
      <c r="I106" s="16">
        <f t="shared" si="122"/>
        <v>1</v>
      </c>
      <c r="J106" s="16">
        <f t="shared" si="122"/>
        <v>1</v>
      </c>
      <c r="K106" s="16">
        <f t="shared" si="122"/>
        <v>1</v>
      </c>
      <c r="L106" s="16">
        <f t="shared" si="122"/>
        <v>1</v>
      </c>
      <c r="M106" s="16">
        <f t="shared" si="122"/>
        <v>1</v>
      </c>
      <c r="N106" s="16">
        <f t="shared" si="122"/>
        <v>1</v>
      </c>
      <c r="O106" s="16">
        <f t="shared" si="122"/>
        <v>1</v>
      </c>
      <c r="P106" s="16">
        <f t="shared" si="122"/>
        <v>1</v>
      </c>
      <c r="Q106" s="16">
        <f t="shared" si="122"/>
        <v>1</v>
      </c>
      <c r="R106" s="16">
        <f t="shared" si="122"/>
        <v>1</v>
      </c>
      <c r="S106" s="16">
        <f t="shared" si="122"/>
        <v>1</v>
      </c>
      <c r="T106" s="16">
        <f t="shared" si="122"/>
        <v>1</v>
      </c>
      <c r="U106" s="16">
        <f t="shared" si="122"/>
        <v>1</v>
      </c>
      <c r="V106" s="16">
        <f t="shared" si="122"/>
        <v>1</v>
      </c>
      <c r="W106" s="16">
        <f t="shared" ref="W106" si="123">IF(W4=0,0,W4/W$4)</f>
        <v>1</v>
      </c>
      <c r="DA106" s="190"/>
    </row>
    <row r="107" spans="1:105" ht="11.45" customHeight="1" x14ac:dyDescent="0.25">
      <c r="A107" s="37" t="s">
        <v>27</v>
      </c>
      <c r="B107" s="43">
        <f t="shared" ref="B107:C107" si="124">IF(B5=0,0,B5/B$4)</f>
        <v>1.1928066246651816E-2</v>
      </c>
      <c r="C107" s="43">
        <f t="shared" si="124"/>
        <v>1.2350719709652623E-2</v>
      </c>
      <c r="D107" s="43">
        <f t="shared" ref="D107:V107" si="125">IF(D5=0,0,D5/D$4)</f>
        <v>1.222761782914053E-2</v>
      </c>
      <c r="E107" s="43">
        <f t="shared" si="125"/>
        <v>1.2301257127445134E-2</v>
      </c>
      <c r="F107" s="43">
        <f t="shared" si="125"/>
        <v>1.0958497985486903E-2</v>
      </c>
      <c r="G107" s="43">
        <f t="shared" si="125"/>
        <v>9.7850086761864432E-3</v>
      </c>
      <c r="H107" s="43">
        <f t="shared" si="125"/>
        <v>1.2062724495693507E-2</v>
      </c>
      <c r="I107" s="43">
        <f t="shared" si="125"/>
        <v>1.2657079438261486E-2</v>
      </c>
      <c r="J107" s="43">
        <f t="shared" si="125"/>
        <v>1.3536581640751274E-2</v>
      </c>
      <c r="K107" s="43">
        <f t="shared" si="125"/>
        <v>1.5017025825145179E-2</v>
      </c>
      <c r="L107" s="43">
        <f t="shared" si="125"/>
        <v>1.5102918612055675E-2</v>
      </c>
      <c r="M107" s="43">
        <f t="shared" si="125"/>
        <v>1.1378925930573309E-2</v>
      </c>
      <c r="N107" s="43">
        <f t="shared" si="125"/>
        <v>1.0326920729363255E-2</v>
      </c>
      <c r="O107" s="43">
        <f t="shared" si="125"/>
        <v>9.8731044808521868E-3</v>
      </c>
      <c r="P107" s="43">
        <f t="shared" si="125"/>
        <v>8.6475327553772637E-3</v>
      </c>
      <c r="Q107" s="43">
        <f t="shared" si="125"/>
        <v>7.6883477299516684E-3</v>
      </c>
      <c r="R107" s="43">
        <f t="shared" si="125"/>
        <v>7.36513539149779E-3</v>
      </c>
      <c r="S107" s="43">
        <f t="shared" si="125"/>
        <v>7.6258298955697214E-3</v>
      </c>
      <c r="T107" s="43">
        <f t="shared" si="125"/>
        <v>7.1592780164135734E-3</v>
      </c>
      <c r="U107" s="43">
        <f t="shared" si="125"/>
        <v>5.7514519780377379E-3</v>
      </c>
      <c r="V107" s="43">
        <f t="shared" si="125"/>
        <v>5.8521623331208045E-3</v>
      </c>
      <c r="W107" s="43">
        <f t="shared" ref="W107" si="126">IF(W5=0,0,W5/W$4)</f>
        <v>3.5987188092546601E-3</v>
      </c>
      <c r="DA107" s="199"/>
    </row>
    <row r="108" spans="1:105" ht="11.45" customHeight="1" x14ac:dyDescent="0.25">
      <c r="A108" s="37" t="s">
        <v>173</v>
      </c>
      <c r="B108" s="43">
        <f t="shared" ref="B108:C108" si="127">IF(B6=0,0,B6/B$4)</f>
        <v>0.43976226315736855</v>
      </c>
      <c r="C108" s="43">
        <f t="shared" si="127"/>
        <v>0.44671933006121495</v>
      </c>
      <c r="D108" s="43">
        <f t="shared" ref="D108:V108" si="128">IF(D6=0,0,D6/D$4)</f>
        <v>0.44645835910281861</v>
      </c>
      <c r="E108" s="43">
        <f t="shared" si="128"/>
        <v>0.46594635467483692</v>
      </c>
      <c r="F108" s="43">
        <f t="shared" si="128"/>
        <v>0.43995056724221054</v>
      </c>
      <c r="G108" s="43">
        <f t="shared" si="128"/>
        <v>0.41149719790336931</v>
      </c>
      <c r="H108" s="43">
        <f t="shared" si="128"/>
        <v>0.41741944256359892</v>
      </c>
      <c r="I108" s="43">
        <f t="shared" si="128"/>
        <v>0.42704711325599531</v>
      </c>
      <c r="J108" s="43">
        <f t="shared" si="128"/>
        <v>0.42461198132884131</v>
      </c>
      <c r="K108" s="43">
        <f t="shared" si="128"/>
        <v>0.42839196804368246</v>
      </c>
      <c r="L108" s="43">
        <f t="shared" si="128"/>
        <v>0.42390240418613645</v>
      </c>
      <c r="M108" s="43">
        <f t="shared" si="128"/>
        <v>0.44003711456402739</v>
      </c>
      <c r="N108" s="43">
        <f t="shared" si="128"/>
        <v>0.43837550793453428</v>
      </c>
      <c r="O108" s="43">
        <f t="shared" si="128"/>
        <v>0.42941422569962195</v>
      </c>
      <c r="P108" s="43">
        <f t="shared" si="128"/>
        <v>0.41916202601985603</v>
      </c>
      <c r="Q108" s="43">
        <f t="shared" si="128"/>
        <v>0.41780254398723504</v>
      </c>
      <c r="R108" s="43">
        <f t="shared" si="128"/>
        <v>0.44029614076428281</v>
      </c>
      <c r="S108" s="43">
        <f t="shared" si="128"/>
        <v>0.4351374803559605</v>
      </c>
      <c r="T108" s="43">
        <f t="shared" si="128"/>
        <v>0.41271679941178291</v>
      </c>
      <c r="U108" s="43">
        <f t="shared" si="128"/>
        <v>0.41299490348677287</v>
      </c>
      <c r="V108" s="43">
        <f t="shared" si="128"/>
        <v>0.46647503047228611</v>
      </c>
      <c r="W108" s="43">
        <f t="shared" ref="W108" si="129">IF(W6=0,0,W6/W$4)</f>
        <v>0.48039689917587125</v>
      </c>
      <c r="DA108" s="199"/>
    </row>
    <row r="109" spans="1:105" ht="11.45" customHeight="1" x14ac:dyDescent="0.25">
      <c r="A109" s="37" t="s">
        <v>174</v>
      </c>
      <c r="B109" s="43">
        <f t="shared" ref="B109:C109" si="130">IF(B7=0,0,B7/B$4)</f>
        <v>0.54830967059597968</v>
      </c>
      <c r="C109" s="43">
        <f t="shared" si="130"/>
        <v>0.54092995022913248</v>
      </c>
      <c r="D109" s="43">
        <f t="shared" ref="D109:V109" si="131">IF(D7=0,0,D7/D$4)</f>
        <v>0.54131402306804088</v>
      </c>
      <c r="E109" s="43">
        <f t="shared" si="131"/>
        <v>0.52175238819771796</v>
      </c>
      <c r="F109" s="43">
        <f t="shared" si="131"/>
        <v>0.54909093477230253</v>
      </c>
      <c r="G109" s="43">
        <f t="shared" si="131"/>
        <v>0.57871779342044427</v>
      </c>
      <c r="H109" s="43">
        <f t="shared" si="131"/>
        <v>0.57051783294070757</v>
      </c>
      <c r="I109" s="43">
        <f t="shared" si="131"/>
        <v>0.56029580730574324</v>
      </c>
      <c r="J109" s="43">
        <f t="shared" si="131"/>
        <v>0.56185143703040741</v>
      </c>
      <c r="K109" s="43">
        <f t="shared" si="131"/>
        <v>0.55659100613117241</v>
      </c>
      <c r="L109" s="43">
        <f t="shared" si="131"/>
        <v>0.56099467720180785</v>
      </c>
      <c r="M109" s="43">
        <f t="shared" si="131"/>
        <v>0.54858395950539929</v>
      </c>
      <c r="N109" s="43">
        <f t="shared" si="131"/>
        <v>0.55129757133610247</v>
      </c>
      <c r="O109" s="43">
        <f t="shared" si="131"/>
        <v>0.56071266981952583</v>
      </c>
      <c r="P109" s="43">
        <f t="shared" si="131"/>
        <v>0.5721904412247667</v>
      </c>
      <c r="Q109" s="43">
        <f t="shared" si="131"/>
        <v>0.57450910828281332</v>
      </c>
      <c r="R109" s="43">
        <f t="shared" si="131"/>
        <v>0.55233872384421956</v>
      </c>
      <c r="S109" s="43">
        <f t="shared" si="131"/>
        <v>0.55723668974846985</v>
      </c>
      <c r="T109" s="43">
        <f t="shared" si="131"/>
        <v>0.58012392257180345</v>
      </c>
      <c r="U109" s="43">
        <f t="shared" si="131"/>
        <v>0.58125364453518946</v>
      </c>
      <c r="V109" s="43">
        <f t="shared" si="131"/>
        <v>0.52767280719459309</v>
      </c>
      <c r="W109" s="43">
        <f t="shared" ref="W109" si="132">IF(W7=0,0,W7/W$4)</f>
        <v>0.5160043820148742</v>
      </c>
      <c r="DA109" s="199"/>
    </row>
    <row r="110" spans="1:105" ht="11.45" customHeight="1" x14ac:dyDescent="0.25">
      <c r="A110" s="12" t="s">
        <v>39</v>
      </c>
      <c r="B110" s="17">
        <f t="shared" ref="B110:C110" si="133">IF(B8=0,0,B8/B$8)</f>
        <v>1</v>
      </c>
      <c r="C110" s="17">
        <f t="shared" si="133"/>
        <v>1</v>
      </c>
      <c r="D110" s="17">
        <f t="shared" ref="D110:V110" si="134">IF(D8=0,0,D8/D$8)</f>
        <v>1</v>
      </c>
      <c r="E110" s="17">
        <f t="shared" si="134"/>
        <v>1</v>
      </c>
      <c r="F110" s="17">
        <f t="shared" si="134"/>
        <v>1</v>
      </c>
      <c r="G110" s="17">
        <f t="shared" si="134"/>
        <v>1</v>
      </c>
      <c r="H110" s="17">
        <f t="shared" si="134"/>
        <v>1</v>
      </c>
      <c r="I110" s="17">
        <f t="shared" si="134"/>
        <v>1</v>
      </c>
      <c r="J110" s="17">
        <f t="shared" si="134"/>
        <v>1</v>
      </c>
      <c r="K110" s="17">
        <f t="shared" si="134"/>
        <v>1</v>
      </c>
      <c r="L110" s="17">
        <f t="shared" si="134"/>
        <v>1</v>
      </c>
      <c r="M110" s="17">
        <f t="shared" si="134"/>
        <v>1</v>
      </c>
      <c r="N110" s="17">
        <f t="shared" si="134"/>
        <v>1</v>
      </c>
      <c r="O110" s="17">
        <f t="shared" si="134"/>
        <v>1</v>
      </c>
      <c r="P110" s="17">
        <f t="shared" si="134"/>
        <v>1</v>
      </c>
      <c r="Q110" s="17">
        <f t="shared" si="134"/>
        <v>1</v>
      </c>
      <c r="R110" s="17">
        <f t="shared" si="134"/>
        <v>1</v>
      </c>
      <c r="S110" s="17">
        <f t="shared" si="134"/>
        <v>1</v>
      </c>
      <c r="T110" s="17">
        <f t="shared" si="134"/>
        <v>1</v>
      </c>
      <c r="U110" s="17">
        <f t="shared" si="134"/>
        <v>1</v>
      </c>
      <c r="V110" s="17">
        <f t="shared" si="134"/>
        <v>1</v>
      </c>
      <c r="W110" s="17">
        <f t="shared" ref="W110" si="135">IF(W8=0,0,W8/W$8)</f>
        <v>1</v>
      </c>
      <c r="DA110" s="194"/>
    </row>
    <row r="111" spans="1:105" ht="11.45" customHeight="1" x14ac:dyDescent="0.25">
      <c r="A111" s="42" t="s">
        <v>27</v>
      </c>
      <c r="B111" s="44">
        <f t="shared" ref="B111:C111" si="136">IF(B9=0,0,B9/B$8)</f>
        <v>2.0682604586997129E-3</v>
      </c>
      <c r="C111" s="44">
        <f t="shared" si="136"/>
        <v>1.4239127944583008E-3</v>
      </c>
      <c r="D111" s="44">
        <f t="shared" ref="D111:V111" si="137">IF(D9=0,0,D9/D$8)</f>
        <v>1.3106653871475186E-3</v>
      </c>
      <c r="E111" s="44">
        <f t="shared" si="137"/>
        <v>1.3815031478615592E-3</v>
      </c>
      <c r="F111" s="44">
        <f t="shared" si="137"/>
        <v>1.3532484774210569E-3</v>
      </c>
      <c r="G111" s="44">
        <f t="shared" si="137"/>
        <v>1.0831367047133334E-3</v>
      </c>
      <c r="H111" s="44">
        <f t="shared" si="137"/>
        <v>1.1252709899080601E-3</v>
      </c>
      <c r="I111" s="44">
        <f t="shared" si="137"/>
        <v>1.1713466429069789E-3</v>
      </c>
      <c r="J111" s="44">
        <f t="shared" si="137"/>
        <v>1.4295670350079129E-3</v>
      </c>
      <c r="K111" s="44">
        <f t="shared" si="137"/>
        <v>1.6351336133048379E-3</v>
      </c>
      <c r="L111" s="44">
        <f t="shared" si="137"/>
        <v>1.3671209940130697E-3</v>
      </c>
      <c r="M111" s="44">
        <f t="shared" si="137"/>
        <v>8.3180152169448239E-4</v>
      </c>
      <c r="N111" s="44">
        <f t="shared" si="137"/>
        <v>5.7947822394865966E-4</v>
      </c>
      <c r="O111" s="44">
        <f t="shared" si="137"/>
        <v>3.6805140769320395E-4</v>
      </c>
      <c r="P111" s="44">
        <f t="shared" si="137"/>
        <v>1.9121039764880151E-4</v>
      </c>
      <c r="Q111" s="44">
        <f t="shared" si="137"/>
        <v>1.4113313402025181E-4</v>
      </c>
      <c r="R111" s="44">
        <f t="shared" si="137"/>
        <v>8.4750735418743101E-5</v>
      </c>
      <c r="S111" s="44">
        <f t="shared" si="137"/>
        <v>5.3955954176064875E-5</v>
      </c>
      <c r="T111" s="44">
        <f t="shared" si="137"/>
        <v>4.2237356531955322E-5</v>
      </c>
      <c r="U111" s="44">
        <f t="shared" si="137"/>
        <v>1.2952505407041804E-5</v>
      </c>
      <c r="V111" s="44">
        <f t="shared" si="137"/>
        <v>1.1228017397899232E-5</v>
      </c>
      <c r="W111" s="44">
        <f t="shared" ref="W111" si="138">IF(W9=0,0,W9/W$8)</f>
        <v>1.0098465637614782E-5</v>
      </c>
      <c r="DA111" s="200"/>
    </row>
    <row r="112" spans="1:105" ht="11.45" customHeight="1" x14ac:dyDescent="0.25">
      <c r="A112" s="42" t="s">
        <v>173</v>
      </c>
      <c r="B112" s="44">
        <f t="shared" ref="B112:C112" si="139">IF(B10=0,0,B10/B$8)</f>
        <v>0.24650766331835464</v>
      </c>
      <c r="C112" s="44">
        <f t="shared" si="139"/>
        <v>0.26456312093099049</v>
      </c>
      <c r="D112" s="44">
        <f t="shared" ref="D112:V112" si="140">IF(D10=0,0,D10/D$8)</f>
        <v>0.29501290677649722</v>
      </c>
      <c r="E112" s="44">
        <f t="shared" si="140"/>
        <v>0.32117095652251526</v>
      </c>
      <c r="F112" s="44">
        <f t="shared" si="140"/>
        <v>0.37382112884505336</v>
      </c>
      <c r="G112" s="44">
        <f t="shared" si="140"/>
        <v>0.30425817314062614</v>
      </c>
      <c r="H112" s="44">
        <f t="shared" si="140"/>
        <v>0.30430246252610671</v>
      </c>
      <c r="I112" s="44">
        <f t="shared" si="140"/>
        <v>0.29724733700056172</v>
      </c>
      <c r="J112" s="44">
        <f t="shared" si="140"/>
        <v>0.30742653904821493</v>
      </c>
      <c r="K112" s="44">
        <f t="shared" si="140"/>
        <v>0.33296921321761336</v>
      </c>
      <c r="L112" s="44">
        <f t="shared" si="140"/>
        <v>0.33682069309766777</v>
      </c>
      <c r="M112" s="44">
        <f t="shared" si="140"/>
        <v>0.27540229157157486</v>
      </c>
      <c r="N112" s="44">
        <f t="shared" si="140"/>
        <v>0.23505379760316572</v>
      </c>
      <c r="O112" s="44">
        <f t="shared" si="140"/>
        <v>0.21615242487899086</v>
      </c>
      <c r="P112" s="44">
        <f t="shared" si="140"/>
        <v>0.21676561500237754</v>
      </c>
      <c r="Q112" s="44">
        <f t="shared" si="140"/>
        <v>0.16684776597474921</v>
      </c>
      <c r="R112" s="44">
        <f t="shared" si="140"/>
        <v>0.1434976738975037</v>
      </c>
      <c r="S112" s="44">
        <f t="shared" si="140"/>
        <v>0.14278734219374134</v>
      </c>
      <c r="T112" s="44">
        <f t="shared" si="140"/>
        <v>0.12230067292787353</v>
      </c>
      <c r="U112" s="44">
        <f t="shared" si="140"/>
        <v>0.12894588556719369</v>
      </c>
      <c r="V112" s="44">
        <f t="shared" si="140"/>
        <v>0.1916032555626834</v>
      </c>
      <c r="W112" s="44">
        <f t="shared" ref="W112" si="141">IF(W10=0,0,W10/W$8)</f>
        <v>0.22360320899765485</v>
      </c>
      <c r="DA112" s="200"/>
    </row>
    <row r="113" spans="1:105" ht="11.45" customHeight="1" x14ac:dyDescent="0.25">
      <c r="A113" s="38" t="s">
        <v>174</v>
      </c>
      <c r="B113" s="45">
        <f t="shared" ref="B113:C113" si="142">IF(B11=0,0,B11/B$8)</f>
        <v>0.7514240762229456</v>
      </c>
      <c r="C113" s="45">
        <f t="shared" si="142"/>
        <v>0.73401296627455115</v>
      </c>
      <c r="D113" s="45">
        <f t="shared" ref="D113:V113" si="143">IF(D11=0,0,D11/D$8)</f>
        <v>0.7036764278363552</v>
      </c>
      <c r="E113" s="45">
        <f t="shared" si="143"/>
        <v>0.67744754032962329</v>
      </c>
      <c r="F113" s="45">
        <f t="shared" si="143"/>
        <v>0.62482562267752551</v>
      </c>
      <c r="G113" s="45">
        <f t="shared" si="143"/>
        <v>0.69465869015466053</v>
      </c>
      <c r="H113" s="45">
        <f t="shared" si="143"/>
        <v>0.69457226648398518</v>
      </c>
      <c r="I113" s="45">
        <f t="shared" si="143"/>
        <v>0.70158131635653131</v>
      </c>
      <c r="J113" s="45">
        <f t="shared" si="143"/>
        <v>0.69114389391677722</v>
      </c>
      <c r="K113" s="45">
        <f t="shared" si="143"/>
        <v>0.66539565316908178</v>
      </c>
      <c r="L113" s="45">
        <f t="shared" si="143"/>
        <v>0.66181218590831925</v>
      </c>
      <c r="M113" s="45">
        <f t="shared" si="143"/>
        <v>0.72376590690673059</v>
      </c>
      <c r="N113" s="45">
        <f t="shared" si="143"/>
        <v>0.76436672417288565</v>
      </c>
      <c r="O113" s="45">
        <f t="shared" si="143"/>
        <v>0.78347952371331597</v>
      </c>
      <c r="P113" s="45">
        <f t="shared" si="143"/>
        <v>0.78304317459997375</v>
      </c>
      <c r="Q113" s="45">
        <f t="shared" si="143"/>
        <v>0.83301110089123065</v>
      </c>
      <c r="R113" s="45">
        <f t="shared" si="143"/>
        <v>0.85641757536707752</v>
      </c>
      <c r="S113" s="45">
        <f t="shared" si="143"/>
        <v>0.85715870185208254</v>
      </c>
      <c r="T113" s="45">
        <f t="shared" si="143"/>
        <v>0.87765708971559453</v>
      </c>
      <c r="U113" s="45">
        <f t="shared" si="143"/>
        <v>0.87104116192739922</v>
      </c>
      <c r="V113" s="45">
        <f t="shared" si="143"/>
        <v>0.80838551641991874</v>
      </c>
      <c r="W113" s="45">
        <f t="shared" ref="W113" si="144">IF(W11=0,0,W11/W$8)</f>
        <v>0.77638669253670745</v>
      </c>
      <c r="DA113" s="201"/>
    </row>
    <row r="114" spans="1:105" x14ac:dyDescent="0.25">
      <c r="A114" s="50"/>
      <c r="B114" s="50"/>
      <c r="C114" s="50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DA114" s="181"/>
    </row>
    <row r="115" spans="1:105" ht="11.45" customHeight="1" x14ac:dyDescent="0.25">
      <c r="A115" s="53" t="s">
        <v>66</v>
      </c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DA115" s="183"/>
    </row>
    <row r="116" spans="1:105" ht="11.45" customHeight="1" x14ac:dyDescent="0.25">
      <c r="A116" s="10" t="s">
        <v>33</v>
      </c>
      <c r="B116" s="16">
        <f t="shared" ref="B116:C116" si="145">IF(B14=0,0,B14/B$14)</f>
        <v>1</v>
      </c>
      <c r="C116" s="16">
        <f t="shared" si="145"/>
        <v>1</v>
      </c>
      <c r="D116" s="16">
        <f t="shared" ref="D116:V116" si="146">IF(D14=0,0,D14/D$14)</f>
        <v>1</v>
      </c>
      <c r="E116" s="16">
        <f t="shared" si="146"/>
        <v>1</v>
      </c>
      <c r="F116" s="16">
        <f t="shared" si="146"/>
        <v>1</v>
      </c>
      <c r="G116" s="16">
        <f t="shared" si="146"/>
        <v>1</v>
      </c>
      <c r="H116" s="16">
        <f t="shared" si="146"/>
        <v>1</v>
      </c>
      <c r="I116" s="16">
        <f t="shared" si="146"/>
        <v>1</v>
      </c>
      <c r="J116" s="16">
        <f t="shared" si="146"/>
        <v>1</v>
      </c>
      <c r="K116" s="16">
        <f t="shared" si="146"/>
        <v>1</v>
      </c>
      <c r="L116" s="16">
        <f t="shared" si="146"/>
        <v>1</v>
      </c>
      <c r="M116" s="16">
        <f t="shared" si="146"/>
        <v>1</v>
      </c>
      <c r="N116" s="16">
        <f t="shared" si="146"/>
        <v>1</v>
      </c>
      <c r="O116" s="16">
        <f t="shared" si="146"/>
        <v>1</v>
      </c>
      <c r="P116" s="16">
        <f t="shared" si="146"/>
        <v>1</v>
      </c>
      <c r="Q116" s="16">
        <f t="shared" si="146"/>
        <v>1</v>
      </c>
      <c r="R116" s="16">
        <f t="shared" si="146"/>
        <v>1</v>
      </c>
      <c r="S116" s="16">
        <f t="shared" si="146"/>
        <v>1</v>
      </c>
      <c r="T116" s="16">
        <f t="shared" si="146"/>
        <v>1</v>
      </c>
      <c r="U116" s="16">
        <f t="shared" si="146"/>
        <v>1</v>
      </c>
      <c r="V116" s="16">
        <f t="shared" si="146"/>
        <v>1</v>
      </c>
      <c r="W116" s="16">
        <f t="shared" ref="W116" si="147">IF(W14=0,0,W14/W$14)</f>
        <v>1</v>
      </c>
      <c r="DA116" s="190"/>
    </row>
    <row r="117" spans="1:105" ht="11.45" customHeight="1" x14ac:dyDescent="0.25">
      <c r="A117" s="37" t="s">
        <v>27</v>
      </c>
      <c r="B117" s="43">
        <f t="shared" ref="B117:C117" si="148">IF(B15=0,0,B15/B$14)</f>
        <v>4.0518112943594843E-2</v>
      </c>
      <c r="C117" s="43">
        <f t="shared" si="148"/>
        <v>3.7824869457138165E-2</v>
      </c>
      <c r="D117" s="43">
        <f t="shared" ref="D117:V117" si="149">IF(D15=0,0,D15/D$14)</f>
        <v>4.0899292261046438E-2</v>
      </c>
      <c r="E117" s="43">
        <f t="shared" si="149"/>
        <v>3.7688171715906535E-2</v>
      </c>
      <c r="F117" s="43">
        <f t="shared" si="149"/>
        <v>3.227939328960977E-2</v>
      </c>
      <c r="G117" s="43">
        <f t="shared" si="149"/>
        <v>3.0786226415585611E-2</v>
      </c>
      <c r="H117" s="43">
        <f t="shared" si="149"/>
        <v>3.2326541710906466E-2</v>
      </c>
      <c r="I117" s="43">
        <f t="shared" si="149"/>
        <v>3.2142313550074832E-2</v>
      </c>
      <c r="J117" s="43">
        <f t="shared" si="149"/>
        <v>3.3541663823037658E-2</v>
      </c>
      <c r="K117" s="43">
        <f t="shared" si="149"/>
        <v>3.7093921294576483E-2</v>
      </c>
      <c r="L117" s="43">
        <f t="shared" si="149"/>
        <v>3.6365938759355426E-2</v>
      </c>
      <c r="M117" s="43">
        <f t="shared" si="149"/>
        <v>2.7728579413627635E-2</v>
      </c>
      <c r="N117" s="43">
        <f t="shared" si="149"/>
        <v>2.7548384719870221E-2</v>
      </c>
      <c r="O117" s="43">
        <f t="shared" si="149"/>
        <v>2.7107413007997263E-2</v>
      </c>
      <c r="P117" s="43">
        <f t="shared" si="149"/>
        <v>2.4409825906930215E-2</v>
      </c>
      <c r="Q117" s="43">
        <f t="shared" si="149"/>
        <v>2.206060676120325E-2</v>
      </c>
      <c r="R117" s="43">
        <f t="shared" si="149"/>
        <v>2.0251059907344392E-2</v>
      </c>
      <c r="S117" s="43">
        <f t="shared" si="149"/>
        <v>2.0091390212436624E-2</v>
      </c>
      <c r="T117" s="43">
        <f t="shared" si="149"/>
        <v>1.78830262118671E-2</v>
      </c>
      <c r="U117" s="43">
        <f t="shared" si="149"/>
        <v>1.4907599142267944E-2</v>
      </c>
      <c r="V117" s="43">
        <f t="shared" si="149"/>
        <v>1.4868969054023904E-2</v>
      </c>
      <c r="W117" s="43">
        <f t="shared" ref="W117" si="150">IF(W15=0,0,W15/W$14)</f>
        <v>9.2806041844026438E-3</v>
      </c>
      <c r="DA117" s="199"/>
    </row>
    <row r="118" spans="1:105" ht="11.45" customHeight="1" x14ac:dyDescent="0.25">
      <c r="A118" s="37" t="s">
        <v>173</v>
      </c>
      <c r="B118" s="43">
        <f t="shared" ref="B118:C118" si="151">IF(B16=0,0,B16/B$14)</f>
        <v>0.49300275133058802</v>
      </c>
      <c r="C118" s="43">
        <f t="shared" si="151"/>
        <v>0.51202625294912651</v>
      </c>
      <c r="D118" s="43">
        <f t="shared" ref="D118:V118" si="152">IF(D16=0,0,D16/D$14)</f>
        <v>0.51812404145592406</v>
      </c>
      <c r="E118" s="43">
        <f t="shared" si="152"/>
        <v>0.54135188445167948</v>
      </c>
      <c r="F118" s="43">
        <f t="shared" si="152"/>
        <v>0.52826694370226723</v>
      </c>
      <c r="G118" s="43">
        <f t="shared" si="152"/>
        <v>0.51074071246778663</v>
      </c>
      <c r="H118" s="43">
        <f t="shared" si="152"/>
        <v>0.52213385044943805</v>
      </c>
      <c r="I118" s="43">
        <f t="shared" si="152"/>
        <v>0.54408162838687479</v>
      </c>
      <c r="J118" s="43">
        <f t="shared" si="152"/>
        <v>0.54087411229257365</v>
      </c>
      <c r="K118" s="43">
        <f t="shared" si="152"/>
        <v>0.53277916890568822</v>
      </c>
      <c r="L118" s="43">
        <f t="shared" si="152"/>
        <v>0.53018148468890236</v>
      </c>
      <c r="M118" s="43">
        <f t="shared" si="152"/>
        <v>0.52586531516173129</v>
      </c>
      <c r="N118" s="43">
        <f t="shared" si="152"/>
        <v>0.52285303160630103</v>
      </c>
      <c r="O118" s="43">
        <f t="shared" si="152"/>
        <v>0.50833129624226658</v>
      </c>
      <c r="P118" s="43">
        <f t="shared" si="152"/>
        <v>0.50732712268926738</v>
      </c>
      <c r="Q118" s="43">
        <f t="shared" si="152"/>
        <v>0.50649004683561172</v>
      </c>
      <c r="R118" s="43">
        <f t="shared" si="152"/>
        <v>0.52586065285053218</v>
      </c>
      <c r="S118" s="43">
        <f t="shared" si="152"/>
        <v>0.51920660987525935</v>
      </c>
      <c r="T118" s="43">
        <f t="shared" si="152"/>
        <v>0.5093109774208594</v>
      </c>
      <c r="U118" s="43">
        <f t="shared" si="152"/>
        <v>0.50477000315436327</v>
      </c>
      <c r="V118" s="43">
        <f t="shared" si="152"/>
        <v>0.54923022396115007</v>
      </c>
      <c r="W118" s="43">
        <f t="shared" ref="W118" si="153">IF(W16=0,0,W16/W$14)</f>
        <v>0.53608204924336345</v>
      </c>
      <c r="DA118" s="199"/>
    </row>
    <row r="119" spans="1:105" ht="11.45" customHeight="1" x14ac:dyDescent="0.25">
      <c r="A119" s="37" t="s">
        <v>174</v>
      </c>
      <c r="B119" s="43">
        <f t="shared" ref="B119:C119" si="154">IF(B17=0,0,B17/B$14)</f>
        <v>0.46647913572581728</v>
      </c>
      <c r="C119" s="43">
        <f t="shared" si="154"/>
        <v>0.45014887759373517</v>
      </c>
      <c r="D119" s="43">
        <f t="shared" ref="D119:V119" si="155">IF(D17=0,0,D17/D$14)</f>
        <v>0.44097666628302956</v>
      </c>
      <c r="E119" s="43">
        <f t="shared" si="155"/>
        <v>0.42095994383241392</v>
      </c>
      <c r="F119" s="43">
        <f t="shared" si="155"/>
        <v>0.43945366300812294</v>
      </c>
      <c r="G119" s="43">
        <f t="shared" si="155"/>
        <v>0.45847306111662778</v>
      </c>
      <c r="H119" s="43">
        <f t="shared" si="155"/>
        <v>0.44553960783965563</v>
      </c>
      <c r="I119" s="43">
        <f t="shared" si="155"/>
        <v>0.42377605806305041</v>
      </c>
      <c r="J119" s="43">
        <f t="shared" si="155"/>
        <v>0.42558422388438871</v>
      </c>
      <c r="K119" s="43">
        <f t="shared" si="155"/>
        <v>0.43012690979973534</v>
      </c>
      <c r="L119" s="43">
        <f t="shared" si="155"/>
        <v>0.43345257655174224</v>
      </c>
      <c r="M119" s="43">
        <f t="shared" si="155"/>
        <v>0.44640610542464093</v>
      </c>
      <c r="N119" s="43">
        <f t="shared" si="155"/>
        <v>0.44959858367382877</v>
      </c>
      <c r="O119" s="43">
        <f t="shared" si="155"/>
        <v>0.46456129074973623</v>
      </c>
      <c r="P119" s="43">
        <f t="shared" si="155"/>
        <v>0.46826305140380242</v>
      </c>
      <c r="Q119" s="43">
        <f t="shared" si="155"/>
        <v>0.47144934640318498</v>
      </c>
      <c r="R119" s="43">
        <f t="shared" si="155"/>
        <v>0.45388828724212349</v>
      </c>
      <c r="S119" s="43">
        <f t="shared" si="155"/>
        <v>0.46070199991230398</v>
      </c>
      <c r="T119" s="43">
        <f t="shared" si="155"/>
        <v>0.47280599636727338</v>
      </c>
      <c r="U119" s="43">
        <f t="shared" si="155"/>
        <v>0.48032239770336871</v>
      </c>
      <c r="V119" s="43">
        <f t="shared" si="155"/>
        <v>0.43590080698482603</v>
      </c>
      <c r="W119" s="43">
        <f t="shared" ref="W119" si="156">IF(W17=0,0,W17/W$14)</f>
        <v>0.45463734657223387</v>
      </c>
      <c r="DA119" s="199"/>
    </row>
    <row r="120" spans="1:105" ht="11.45" customHeight="1" x14ac:dyDescent="0.25">
      <c r="A120" s="12" t="s">
        <v>34</v>
      </c>
      <c r="B120" s="17">
        <f t="shared" ref="B120:C120" si="157">IF(B18=0,0,B18/B$18)</f>
        <v>1</v>
      </c>
      <c r="C120" s="17">
        <f t="shared" si="157"/>
        <v>1</v>
      </c>
      <c r="D120" s="17">
        <f t="shared" ref="D120:V120" si="158">IF(D18=0,0,D18/D$18)</f>
        <v>1</v>
      </c>
      <c r="E120" s="17">
        <f t="shared" si="158"/>
        <v>1</v>
      </c>
      <c r="F120" s="17">
        <f t="shared" si="158"/>
        <v>1</v>
      </c>
      <c r="G120" s="17">
        <f t="shared" si="158"/>
        <v>1</v>
      </c>
      <c r="H120" s="17">
        <f t="shared" si="158"/>
        <v>1</v>
      </c>
      <c r="I120" s="17">
        <f t="shared" si="158"/>
        <v>1</v>
      </c>
      <c r="J120" s="17">
        <f t="shared" si="158"/>
        <v>1</v>
      </c>
      <c r="K120" s="17">
        <f t="shared" si="158"/>
        <v>1</v>
      </c>
      <c r="L120" s="17">
        <f t="shared" si="158"/>
        <v>1</v>
      </c>
      <c r="M120" s="17">
        <f t="shared" si="158"/>
        <v>1</v>
      </c>
      <c r="N120" s="17">
        <f t="shared" si="158"/>
        <v>1</v>
      </c>
      <c r="O120" s="17">
        <f t="shared" si="158"/>
        <v>1</v>
      </c>
      <c r="P120" s="17">
        <f t="shared" si="158"/>
        <v>1</v>
      </c>
      <c r="Q120" s="17">
        <f t="shared" si="158"/>
        <v>1</v>
      </c>
      <c r="R120" s="17">
        <f t="shared" si="158"/>
        <v>1</v>
      </c>
      <c r="S120" s="17">
        <f t="shared" si="158"/>
        <v>1</v>
      </c>
      <c r="T120" s="17">
        <f t="shared" si="158"/>
        <v>1</v>
      </c>
      <c r="U120" s="17">
        <f t="shared" si="158"/>
        <v>1</v>
      </c>
      <c r="V120" s="17">
        <f t="shared" si="158"/>
        <v>1</v>
      </c>
      <c r="W120" s="17">
        <f t="shared" ref="W120" si="159">IF(W18=0,0,W18/W$18)</f>
        <v>1</v>
      </c>
      <c r="DA120" s="194"/>
    </row>
    <row r="121" spans="1:105" ht="11.45" customHeight="1" x14ac:dyDescent="0.25">
      <c r="A121" s="42" t="s">
        <v>27</v>
      </c>
      <c r="B121" s="44">
        <f t="shared" ref="B121:C121" si="160">IF(B19=0,0,B19/B$18)</f>
        <v>1.0893577969628305E-2</v>
      </c>
      <c r="C121" s="44">
        <f t="shared" si="160"/>
        <v>7.7086681473592994E-3</v>
      </c>
      <c r="D121" s="44">
        <f t="shared" ref="D121:V121" si="161">IF(D19=0,0,D19/D$18)</f>
        <v>6.2153888210571507E-3</v>
      </c>
      <c r="E121" s="44">
        <f t="shared" si="161"/>
        <v>5.8299900474308866E-3</v>
      </c>
      <c r="F121" s="44">
        <f t="shared" si="161"/>
        <v>5.119913285016992E-3</v>
      </c>
      <c r="G121" s="44">
        <f t="shared" si="161"/>
        <v>4.4974574689807959E-3</v>
      </c>
      <c r="H121" s="44">
        <f t="shared" si="161"/>
        <v>4.4515880669188605E-3</v>
      </c>
      <c r="I121" s="44">
        <f t="shared" si="161"/>
        <v>4.5434612046410675E-3</v>
      </c>
      <c r="J121" s="44">
        <f t="shared" si="161"/>
        <v>5.5099840180600074E-3</v>
      </c>
      <c r="K121" s="44">
        <f t="shared" si="161"/>
        <v>6.353738434520197E-3</v>
      </c>
      <c r="L121" s="44">
        <f t="shared" si="161"/>
        <v>4.9821364990449719E-3</v>
      </c>
      <c r="M121" s="44">
        <f t="shared" si="161"/>
        <v>3.3310249457171488E-3</v>
      </c>
      <c r="N121" s="44">
        <f t="shared" si="161"/>
        <v>2.5372639027528053E-3</v>
      </c>
      <c r="O121" s="44">
        <f t="shared" si="161"/>
        <v>1.6114765459002442E-3</v>
      </c>
      <c r="P121" s="44">
        <f t="shared" si="161"/>
        <v>8.6812937308971812E-4</v>
      </c>
      <c r="Q121" s="44">
        <f t="shared" si="161"/>
        <v>7.0732554320000068E-4</v>
      </c>
      <c r="R121" s="44">
        <f t="shared" si="161"/>
        <v>4.1612309129742005E-4</v>
      </c>
      <c r="S121" s="44">
        <f t="shared" si="161"/>
        <v>2.7623303031633166E-4</v>
      </c>
      <c r="T121" s="44">
        <f t="shared" si="161"/>
        <v>2.3037936571431239E-4</v>
      </c>
      <c r="U121" s="44">
        <f t="shared" si="161"/>
        <v>6.4797020123729448E-5</v>
      </c>
      <c r="V121" s="44">
        <f t="shared" si="161"/>
        <v>3.9931679724421105E-5</v>
      </c>
      <c r="W121" s="44">
        <f t="shared" ref="W121" si="162">IF(W19=0,0,W19/W$18)</f>
        <v>3.1749438402573301E-5</v>
      </c>
      <c r="DA121" s="200"/>
    </row>
    <row r="122" spans="1:105" ht="11.45" customHeight="1" x14ac:dyDescent="0.25">
      <c r="A122" s="42" t="s">
        <v>173</v>
      </c>
      <c r="B122" s="44">
        <f t="shared" ref="B122:C122" si="163">IF(B20=0,0,B20/B$18)</f>
        <v>0.55076784683988989</v>
      </c>
      <c r="C122" s="44">
        <f t="shared" si="163"/>
        <v>0.57537168582854037</v>
      </c>
      <c r="D122" s="44">
        <f t="shared" ref="D122:V122" si="164">IF(D20=0,0,D20/D$18)</f>
        <v>0.61257116602220363</v>
      </c>
      <c r="E122" s="44">
        <f t="shared" si="164"/>
        <v>0.61190141109260088</v>
      </c>
      <c r="F122" s="44">
        <f t="shared" si="164"/>
        <v>0.68823389002768531</v>
      </c>
      <c r="G122" s="44">
        <f t="shared" si="164"/>
        <v>0.60615646576203996</v>
      </c>
      <c r="H122" s="44">
        <f t="shared" si="164"/>
        <v>0.62648835782518486</v>
      </c>
      <c r="I122" s="44">
        <f t="shared" si="164"/>
        <v>0.62513386258201031</v>
      </c>
      <c r="J122" s="44">
        <f t="shared" si="164"/>
        <v>0.63854484263384326</v>
      </c>
      <c r="K122" s="44">
        <f t="shared" si="164"/>
        <v>0.68466003498617189</v>
      </c>
      <c r="L122" s="44">
        <f t="shared" si="164"/>
        <v>0.69179759306239297</v>
      </c>
      <c r="M122" s="44">
        <f t="shared" si="164"/>
        <v>0.61666544570783999</v>
      </c>
      <c r="N122" s="44">
        <f t="shared" si="164"/>
        <v>0.56828166954442627</v>
      </c>
      <c r="O122" s="44">
        <f t="shared" si="164"/>
        <v>0.54414031063487311</v>
      </c>
      <c r="P122" s="44">
        <f t="shared" si="164"/>
        <v>0.54512324174852445</v>
      </c>
      <c r="Q122" s="44">
        <f t="shared" si="164"/>
        <v>0.4582857730822712</v>
      </c>
      <c r="R122" s="44">
        <f t="shared" si="164"/>
        <v>0.40916320127445949</v>
      </c>
      <c r="S122" s="44">
        <f t="shared" si="164"/>
        <v>0.42244785318787947</v>
      </c>
      <c r="T122" s="44">
        <f t="shared" si="164"/>
        <v>0.38216465065125788</v>
      </c>
      <c r="U122" s="44">
        <f t="shared" si="164"/>
        <v>0.38357964732791494</v>
      </c>
      <c r="V122" s="44">
        <f t="shared" si="164"/>
        <v>0.45523891605231565</v>
      </c>
      <c r="W122" s="44">
        <f t="shared" ref="W122" si="165">IF(W20=0,0,W20/W$18)</f>
        <v>0.49636123139836863</v>
      </c>
      <c r="DA122" s="200"/>
    </row>
    <row r="123" spans="1:105" ht="11.45" customHeight="1" x14ac:dyDescent="0.25">
      <c r="A123" s="38" t="s">
        <v>174</v>
      </c>
      <c r="B123" s="45">
        <f t="shared" ref="B123:C123" si="166">IF(B21=0,0,B21/B$18)</f>
        <v>0.43833857519048181</v>
      </c>
      <c r="C123" s="45">
        <f t="shared" si="166"/>
        <v>0.41691964602410014</v>
      </c>
      <c r="D123" s="45">
        <f t="shared" ref="D123:V123" si="167">IF(D21=0,0,D21/D$18)</f>
        <v>0.38121344515673911</v>
      </c>
      <c r="E123" s="45">
        <f t="shared" si="167"/>
        <v>0.38226859885996822</v>
      </c>
      <c r="F123" s="45">
        <f t="shared" si="167"/>
        <v>0.30664619668729781</v>
      </c>
      <c r="G123" s="45">
        <f t="shared" si="167"/>
        <v>0.38934607676897937</v>
      </c>
      <c r="H123" s="45">
        <f t="shared" si="167"/>
        <v>0.36906005410789627</v>
      </c>
      <c r="I123" s="45">
        <f t="shared" si="167"/>
        <v>0.37032267621334852</v>
      </c>
      <c r="J123" s="45">
        <f t="shared" si="167"/>
        <v>0.35594517334809683</v>
      </c>
      <c r="K123" s="45">
        <f t="shared" si="167"/>
        <v>0.30898622657930797</v>
      </c>
      <c r="L123" s="45">
        <f t="shared" si="167"/>
        <v>0.30322027043856203</v>
      </c>
      <c r="M123" s="45">
        <f t="shared" si="167"/>
        <v>0.38000352934644277</v>
      </c>
      <c r="N123" s="45">
        <f t="shared" si="167"/>
        <v>0.42918106655282079</v>
      </c>
      <c r="O123" s="45">
        <f t="shared" si="167"/>
        <v>0.45424821281922662</v>
      </c>
      <c r="P123" s="45">
        <f t="shared" si="167"/>
        <v>0.45400862887838572</v>
      </c>
      <c r="Q123" s="45">
        <f t="shared" si="167"/>
        <v>0.54100690137452878</v>
      </c>
      <c r="R123" s="45">
        <f t="shared" si="167"/>
        <v>0.59042067563424305</v>
      </c>
      <c r="S123" s="45">
        <f t="shared" si="167"/>
        <v>0.57727591378180421</v>
      </c>
      <c r="T123" s="45">
        <f t="shared" si="167"/>
        <v>0.61760496998302783</v>
      </c>
      <c r="U123" s="45">
        <f t="shared" si="167"/>
        <v>0.61635555565196132</v>
      </c>
      <c r="V123" s="45">
        <f t="shared" si="167"/>
        <v>0.54472115226796003</v>
      </c>
      <c r="W123" s="45">
        <f t="shared" ref="W123" si="168">IF(W21=0,0,W21/W$18)</f>
        <v>0.50360701916322892</v>
      </c>
      <c r="DA123" s="201"/>
    </row>
    <row r="125" spans="1:105" x14ac:dyDescent="0.25">
      <c r="A125" s="18" t="s">
        <v>175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A7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275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32</v>
      </c>
      <c r="B3" s="79">
        <f t="shared" ref="B3:C3" si="0">SUM(B4:B5)</f>
        <v>590.49638865004306</v>
      </c>
      <c r="C3" s="79">
        <f t="shared" si="0"/>
        <v>573.94909716251072</v>
      </c>
      <c r="D3" s="79">
        <f t="shared" ref="D3" si="1">SUM(D4:D5)</f>
        <v>539.8036113499569</v>
      </c>
      <c r="E3" s="79">
        <f t="shared" ref="E3" si="2">SUM(E4:E5)</f>
        <v>510.86268271711089</v>
      </c>
      <c r="F3" s="79">
        <f t="shared" ref="F3" si="3">SUM(F4:F5)</f>
        <v>601.85580395528791</v>
      </c>
      <c r="G3" s="79">
        <f t="shared" ref="G3" si="4">SUM(G4:G5)</f>
        <v>677.83508168529659</v>
      </c>
      <c r="H3" s="79">
        <f t="shared" ref="H3" si="5">SUM(H4:H5)</f>
        <v>709.37996560619081</v>
      </c>
      <c r="I3" s="79">
        <f t="shared" ref="I3" si="6">SUM(I4:I5)</f>
        <v>751.8269991401545</v>
      </c>
      <c r="J3" s="79">
        <f t="shared" ref="J3" si="7">SUM(J4:J5)</f>
        <v>753.07592433361981</v>
      </c>
      <c r="K3" s="79">
        <f t="shared" ref="K3" si="8">SUM(K4:K5)</f>
        <v>657.54067067927758</v>
      </c>
      <c r="L3" s="79">
        <f t="shared" ref="L3" si="9">SUM(L4:L5)</f>
        <v>702.46010318142737</v>
      </c>
      <c r="M3" s="79">
        <f t="shared" ref="M3" si="10">SUM(M4:M5)</f>
        <v>735.68142734307844</v>
      </c>
      <c r="N3" s="79">
        <f t="shared" ref="N3" si="11">SUM(N4:N5)</f>
        <v>713.32803095442796</v>
      </c>
      <c r="O3" s="79">
        <f t="shared" ref="O3" si="12">SUM(O4:O5)</f>
        <v>680.94686156491821</v>
      </c>
      <c r="P3" s="79">
        <f t="shared" ref="P3" si="13">SUM(P4:P5)</f>
        <v>680.77858985382625</v>
      </c>
      <c r="Q3" s="79">
        <f t="shared" ref="Q3" si="14">SUM(Q4:Q5)</f>
        <v>730.30077386070502</v>
      </c>
      <c r="R3" s="79">
        <f t="shared" ref="R3" si="15">SUM(R4:R5)</f>
        <v>794.54075666380049</v>
      </c>
      <c r="S3" s="79">
        <f t="shared" ref="S3" si="16">SUM(S4:S5)</f>
        <v>767.19888220120379</v>
      </c>
      <c r="T3" s="79">
        <f t="shared" ref="T3" si="17">SUM(T4:T5)</f>
        <v>861.79991401547693</v>
      </c>
      <c r="U3" s="79">
        <f t="shared" ref="U3" si="18">SUM(U4:U5)</f>
        <v>985.70739466895952</v>
      </c>
      <c r="V3" s="79">
        <f t="shared" ref="V3:W3" si="19">SUM(V4:V5)</f>
        <v>334.813241616509</v>
      </c>
      <c r="W3" s="79">
        <f t="shared" si="19"/>
        <v>419.59183147033525</v>
      </c>
      <c r="DA3" s="172" t="s">
        <v>276</v>
      </c>
    </row>
    <row r="4" spans="1:105" ht="11.45" customHeight="1" x14ac:dyDescent="0.25">
      <c r="A4" s="95" t="s">
        <v>27</v>
      </c>
      <c r="B4" s="96">
        <f t="shared" ref="B4:C4" si="20">SUM(B7,B11)</f>
        <v>35.129492691315562</v>
      </c>
      <c r="C4" s="96">
        <f t="shared" si="20"/>
        <v>33.061049011177992</v>
      </c>
      <c r="D4" s="96">
        <f t="shared" ref="D4:V4" si="21">SUM(D7,D11)</f>
        <v>34.078503869303532</v>
      </c>
      <c r="E4" s="96">
        <f t="shared" si="21"/>
        <v>33.061049011177992</v>
      </c>
      <c r="F4" s="96">
        <f t="shared" si="21"/>
        <v>35.112725709372313</v>
      </c>
      <c r="G4" s="96">
        <f t="shared" si="21"/>
        <v>35.515563198624243</v>
      </c>
      <c r="H4" s="96">
        <f t="shared" si="21"/>
        <v>37.335339638865008</v>
      </c>
      <c r="I4" s="96">
        <f t="shared" si="21"/>
        <v>38.153654342218395</v>
      </c>
      <c r="J4" s="96">
        <f t="shared" si="21"/>
        <v>37.377644024075657</v>
      </c>
      <c r="K4" s="96">
        <f t="shared" si="21"/>
        <v>36.478245915735165</v>
      </c>
      <c r="L4" s="96">
        <f t="shared" si="21"/>
        <v>35.414359415305242</v>
      </c>
      <c r="M4" s="96">
        <f t="shared" si="21"/>
        <v>35.013757523645737</v>
      </c>
      <c r="N4" s="96">
        <f t="shared" si="21"/>
        <v>32.887876182287187</v>
      </c>
      <c r="O4" s="96">
        <f t="shared" si="21"/>
        <v>32.690627687016331</v>
      </c>
      <c r="P4" s="96">
        <f t="shared" si="21"/>
        <v>31.659243336199484</v>
      </c>
      <c r="Q4" s="96">
        <f t="shared" si="21"/>
        <v>31.84479793637145</v>
      </c>
      <c r="R4" s="96">
        <f t="shared" si="21"/>
        <v>31.268099742046431</v>
      </c>
      <c r="S4" s="96">
        <f t="shared" si="21"/>
        <v>29.808168529664663</v>
      </c>
      <c r="T4" s="96">
        <f t="shared" si="21"/>
        <v>31.166552020636281</v>
      </c>
      <c r="U4" s="96">
        <f t="shared" si="21"/>
        <v>25.80902837489252</v>
      </c>
      <c r="V4" s="96">
        <f t="shared" si="21"/>
        <v>16.685210662080824</v>
      </c>
      <c r="W4" s="96">
        <f t="shared" ref="W4" si="22">SUM(W7,W11)</f>
        <v>16.425451418744625</v>
      </c>
      <c r="DA4" s="171" t="s">
        <v>277</v>
      </c>
    </row>
    <row r="5" spans="1:105" ht="11.45" customHeight="1" x14ac:dyDescent="0.25">
      <c r="A5" s="95" t="s">
        <v>116</v>
      </c>
      <c r="B5" s="96">
        <f t="shared" ref="B5:C5" si="23">SUM(B8:B9,B12:B13)</f>
        <v>555.36689595872747</v>
      </c>
      <c r="C5" s="96">
        <f t="shared" si="23"/>
        <v>540.88804815133278</v>
      </c>
      <c r="D5" s="96">
        <f t="shared" ref="D5:V5" si="24">SUM(D8:D9,D12:D13)</f>
        <v>505.72510748065332</v>
      </c>
      <c r="E5" s="96">
        <f t="shared" si="24"/>
        <v>477.80163370593289</v>
      </c>
      <c r="F5" s="96">
        <f t="shared" si="24"/>
        <v>566.74307824591563</v>
      </c>
      <c r="G5" s="96">
        <f t="shared" si="24"/>
        <v>642.31951848667234</v>
      </c>
      <c r="H5" s="96">
        <f t="shared" si="24"/>
        <v>672.04462596732583</v>
      </c>
      <c r="I5" s="96">
        <f t="shared" si="24"/>
        <v>713.67334479793612</v>
      </c>
      <c r="J5" s="96">
        <f t="shared" si="24"/>
        <v>715.6982803095442</v>
      </c>
      <c r="K5" s="96">
        <f t="shared" si="24"/>
        <v>621.06242476354237</v>
      </c>
      <c r="L5" s="96">
        <f t="shared" si="24"/>
        <v>667.04574376612209</v>
      </c>
      <c r="M5" s="96">
        <f t="shared" si="24"/>
        <v>700.66766981943272</v>
      </c>
      <c r="N5" s="96">
        <f t="shared" si="24"/>
        <v>680.44015477214077</v>
      </c>
      <c r="O5" s="96">
        <f t="shared" si="24"/>
        <v>648.25623387790188</v>
      </c>
      <c r="P5" s="96">
        <f t="shared" si="24"/>
        <v>649.11934651762681</v>
      </c>
      <c r="Q5" s="96">
        <f t="shared" si="24"/>
        <v>698.45597592433353</v>
      </c>
      <c r="R5" s="96">
        <f t="shared" si="24"/>
        <v>763.27265692175411</v>
      </c>
      <c r="S5" s="96">
        <f t="shared" si="24"/>
        <v>737.39071367153917</v>
      </c>
      <c r="T5" s="96">
        <f t="shared" si="24"/>
        <v>830.6333619948407</v>
      </c>
      <c r="U5" s="96">
        <f t="shared" si="24"/>
        <v>959.89836629406705</v>
      </c>
      <c r="V5" s="96">
        <f t="shared" si="24"/>
        <v>318.1280309544282</v>
      </c>
      <c r="W5" s="96">
        <f t="shared" ref="W5" si="25">SUM(W8:W9,W12:W13)</f>
        <v>403.16638005159064</v>
      </c>
      <c r="DA5" s="171" t="s">
        <v>278</v>
      </c>
    </row>
    <row r="6" spans="1:105" ht="11.45" customHeight="1" x14ac:dyDescent="0.25">
      <c r="A6" s="10" t="s">
        <v>33</v>
      </c>
      <c r="B6" s="21">
        <f t="shared" ref="B6:C6" si="26">SUM(B7:B9)</f>
        <v>582.7196543269007</v>
      </c>
      <c r="C6" s="21">
        <f t="shared" si="26"/>
        <v>567.0186772628241</v>
      </c>
      <c r="D6" s="21">
        <f t="shared" ref="D6:V6" si="27">SUM(D7:D9)</f>
        <v>531.66569802030472</v>
      </c>
      <c r="E6" s="21">
        <f t="shared" si="27"/>
        <v>502.9183380552347</v>
      </c>
      <c r="F6" s="21">
        <f t="shared" si="27"/>
        <v>589.68013698766447</v>
      </c>
      <c r="G6" s="21">
        <f t="shared" si="27"/>
        <v>662.67180838264653</v>
      </c>
      <c r="H6" s="21">
        <f t="shared" si="27"/>
        <v>692.76430519864164</v>
      </c>
      <c r="I6" s="21">
        <f t="shared" si="27"/>
        <v>736.57528980105781</v>
      </c>
      <c r="J6" s="21">
        <f t="shared" si="27"/>
        <v>739.17961210637395</v>
      </c>
      <c r="K6" s="21">
        <f t="shared" si="27"/>
        <v>646.09355196668844</v>
      </c>
      <c r="L6" s="21">
        <f t="shared" si="27"/>
        <v>689.50648982769781</v>
      </c>
      <c r="M6" s="21">
        <f t="shared" si="27"/>
        <v>719.9133276069274</v>
      </c>
      <c r="N6" s="21">
        <f t="shared" si="27"/>
        <v>697.44462077163735</v>
      </c>
      <c r="O6" s="21">
        <f t="shared" si="27"/>
        <v>663.4764063009784</v>
      </c>
      <c r="P6" s="21">
        <f t="shared" si="27"/>
        <v>661.82066479991624</v>
      </c>
      <c r="Q6" s="21">
        <f t="shared" si="27"/>
        <v>707.92983701262347</v>
      </c>
      <c r="R6" s="21">
        <f t="shared" si="27"/>
        <v>770.99647540668275</v>
      </c>
      <c r="S6" s="21">
        <f t="shared" si="27"/>
        <v>740.66069769981016</v>
      </c>
      <c r="T6" s="21">
        <f t="shared" si="27"/>
        <v>830.14175540952306</v>
      </c>
      <c r="U6" s="21">
        <f t="shared" si="27"/>
        <v>951.43828509151149</v>
      </c>
      <c r="V6" s="21">
        <f t="shared" si="27"/>
        <v>307.52881435868665</v>
      </c>
      <c r="W6" s="21">
        <f t="shared" ref="W6" si="28">SUM(W7:W9)</f>
        <v>387.96099164007103</v>
      </c>
      <c r="DA6" s="189" t="s">
        <v>279</v>
      </c>
    </row>
    <row r="7" spans="1:105" ht="11.45" customHeight="1" x14ac:dyDescent="0.25">
      <c r="A7" s="83" t="s">
        <v>27</v>
      </c>
      <c r="B7" s="96">
        <v>34.935283356307032</v>
      </c>
      <c r="C7" s="96">
        <v>32.934431310873471</v>
      </c>
      <c r="D7" s="96">
        <v>33.956989989309442</v>
      </c>
      <c r="E7" s="96">
        <v>32.937689483442718</v>
      </c>
      <c r="F7" s="96">
        <v>34.939510361407848</v>
      </c>
      <c r="G7" s="96">
        <v>35.335140009482743</v>
      </c>
      <c r="H7" s="96">
        <v>37.147653020166636</v>
      </c>
      <c r="I7" s="96">
        <v>37.987501094214842</v>
      </c>
      <c r="J7" s="96">
        <v>37.211415933149404</v>
      </c>
      <c r="K7" s="96">
        <v>36.32302653355331</v>
      </c>
      <c r="L7" s="96">
        <v>35.288520832878618</v>
      </c>
      <c r="M7" s="96">
        <v>34.897880127790508</v>
      </c>
      <c r="N7" s="96">
        <v>32.808833115156737</v>
      </c>
      <c r="O7" s="96">
        <v>32.628585555585794</v>
      </c>
      <c r="P7" s="96">
        <v>31.617711359184199</v>
      </c>
      <c r="Q7" s="96">
        <v>31.800895798072474</v>
      </c>
      <c r="R7" s="96">
        <v>31.241318617613963</v>
      </c>
      <c r="S7" s="96">
        <v>29.787570901462303</v>
      </c>
      <c r="T7" s="96">
        <v>31.144761514736803</v>
      </c>
      <c r="U7" s="96">
        <v>25.80409350399486</v>
      </c>
      <c r="V7" s="96">
        <v>16.680363859581263</v>
      </c>
      <c r="W7" s="96">
        <v>16.419265746036665</v>
      </c>
      <c r="DA7" s="171" t="s">
        <v>280</v>
      </c>
    </row>
    <row r="8" spans="1:105" ht="11.45" customHeight="1" x14ac:dyDescent="0.25">
      <c r="A8" s="83" t="s">
        <v>173</v>
      </c>
      <c r="B8" s="96">
        <v>228.17183919665015</v>
      </c>
      <c r="C8" s="96">
        <v>231.89061863684415</v>
      </c>
      <c r="D8" s="96">
        <v>219.82706322333757</v>
      </c>
      <c r="E8" s="96">
        <v>218.28103201375947</v>
      </c>
      <c r="F8" s="96">
        <v>248.59700198787738</v>
      </c>
      <c r="G8" s="96">
        <v>281.83013812324793</v>
      </c>
      <c r="H8" s="96">
        <v>298.95472924720741</v>
      </c>
      <c r="I8" s="96">
        <v>324.07992289620239</v>
      </c>
      <c r="J8" s="96">
        <v>320.26839464484505</v>
      </c>
      <c r="K8" s="96">
        <v>270.92912391107637</v>
      </c>
      <c r="L8" s="96">
        <v>288.74156274921671</v>
      </c>
      <c r="M8" s="96">
        <v>301.55884754306618</v>
      </c>
      <c r="N8" s="96">
        <v>288.00307269647311</v>
      </c>
      <c r="O8" s="96">
        <v>271.29971781216381</v>
      </c>
      <c r="P8" s="96">
        <v>273.63953873335845</v>
      </c>
      <c r="Q8" s="96">
        <v>295.44525284642435</v>
      </c>
      <c r="R8" s="96">
        <v>336.96834158556391</v>
      </c>
      <c r="S8" s="96">
        <v>330.05985035808146</v>
      </c>
      <c r="T8" s="96">
        <v>370.3608666745173</v>
      </c>
      <c r="U8" s="96">
        <v>418.57228214171005</v>
      </c>
      <c r="V8" s="96">
        <v>115.11601485398504</v>
      </c>
      <c r="W8" s="96">
        <v>158.95291520032842</v>
      </c>
      <c r="DA8" s="171" t="s">
        <v>281</v>
      </c>
    </row>
    <row r="9" spans="1:105" ht="11.45" customHeight="1" x14ac:dyDescent="0.25">
      <c r="A9" s="83" t="s">
        <v>174</v>
      </c>
      <c r="B9" s="96">
        <v>319.61253177394349</v>
      </c>
      <c r="C9" s="96">
        <v>302.19362731510648</v>
      </c>
      <c r="D9" s="96">
        <v>277.88164480765766</v>
      </c>
      <c r="E9" s="96">
        <v>251.69961655803255</v>
      </c>
      <c r="F9" s="96">
        <v>306.14362463837926</v>
      </c>
      <c r="G9" s="96">
        <v>345.5065302499159</v>
      </c>
      <c r="H9" s="96">
        <v>356.66192293126761</v>
      </c>
      <c r="I9" s="96">
        <v>374.50786581064051</v>
      </c>
      <c r="J9" s="96">
        <v>381.69980152837945</v>
      </c>
      <c r="K9" s="96">
        <v>338.84140152205879</v>
      </c>
      <c r="L9" s="96">
        <v>365.47640624560239</v>
      </c>
      <c r="M9" s="96">
        <v>383.45659993607075</v>
      </c>
      <c r="N9" s="96">
        <v>376.63271496000743</v>
      </c>
      <c r="O9" s="96">
        <v>359.54810293322879</v>
      </c>
      <c r="P9" s="96">
        <v>356.56341470737357</v>
      </c>
      <c r="Q9" s="96">
        <v>380.6836883681267</v>
      </c>
      <c r="R9" s="96">
        <v>402.78681520350489</v>
      </c>
      <c r="S9" s="96">
        <v>380.81327644026641</v>
      </c>
      <c r="T9" s="96">
        <v>428.63612722026892</v>
      </c>
      <c r="U9" s="96">
        <v>507.06190944580663</v>
      </c>
      <c r="V9" s="96">
        <v>175.73243564512032</v>
      </c>
      <c r="W9" s="96">
        <v>212.58881069370591</v>
      </c>
      <c r="DA9" s="171" t="s">
        <v>282</v>
      </c>
    </row>
    <row r="10" spans="1:105" ht="11.45" customHeight="1" x14ac:dyDescent="0.25">
      <c r="A10" s="12" t="s">
        <v>34</v>
      </c>
      <c r="B10" s="22">
        <f t="shared" ref="B10:C10" si="29">SUM(B11:B13)</f>
        <v>7.776734323142378</v>
      </c>
      <c r="C10" s="22">
        <f t="shared" si="29"/>
        <v>6.9304198996866546</v>
      </c>
      <c r="D10" s="22">
        <f t="shared" ref="D10:V10" si="30">SUM(D11:D13)</f>
        <v>8.1379133296522141</v>
      </c>
      <c r="E10" s="22">
        <f t="shared" si="30"/>
        <v>7.9443446618761522</v>
      </c>
      <c r="F10" s="22">
        <f t="shared" si="30"/>
        <v>12.175666967623421</v>
      </c>
      <c r="G10" s="22">
        <f t="shared" si="30"/>
        <v>15.163273302650094</v>
      </c>
      <c r="H10" s="22">
        <f t="shared" si="30"/>
        <v>16.615660407549036</v>
      </c>
      <c r="I10" s="22">
        <f t="shared" si="30"/>
        <v>15.251709339096756</v>
      </c>
      <c r="J10" s="22">
        <f t="shared" si="30"/>
        <v>13.896312227246018</v>
      </c>
      <c r="K10" s="22">
        <f t="shared" si="30"/>
        <v>11.447118712589035</v>
      </c>
      <c r="L10" s="22">
        <f t="shared" si="30"/>
        <v>12.953613353729562</v>
      </c>
      <c r="M10" s="22">
        <f t="shared" si="30"/>
        <v>15.768099736150972</v>
      </c>
      <c r="N10" s="22">
        <f t="shared" si="30"/>
        <v>15.883410182790701</v>
      </c>
      <c r="O10" s="22">
        <f t="shared" si="30"/>
        <v>17.470455263939812</v>
      </c>
      <c r="P10" s="22">
        <f t="shared" si="30"/>
        <v>18.957925053910188</v>
      </c>
      <c r="Q10" s="22">
        <f t="shared" si="30"/>
        <v>22.370936848081438</v>
      </c>
      <c r="R10" s="22">
        <f t="shared" si="30"/>
        <v>23.544281257117873</v>
      </c>
      <c r="S10" s="22">
        <f t="shared" si="30"/>
        <v>26.538184501393712</v>
      </c>
      <c r="T10" s="22">
        <f t="shared" si="30"/>
        <v>31.658158605953982</v>
      </c>
      <c r="U10" s="22">
        <f t="shared" si="30"/>
        <v>34.269109577448084</v>
      </c>
      <c r="V10" s="22">
        <f t="shared" si="30"/>
        <v>27.284427257822379</v>
      </c>
      <c r="W10" s="22">
        <f t="shared" ref="W10" si="31">SUM(W11:W13)</f>
        <v>31.630839830264257</v>
      </c>
      <c r="DA10" s="193" t="s">
        <v>283</v>
      </c>
    </row>
    <row r="11" spans="1:105" ht="11.45" customHeight="1" x14ac:dyDescent="0.25">
      <c r="A11" s="92" t="s">
        <v>27</v>
      </c>
      <c r="B11" s="97">
        <v>0.19420933500853202</v>
      </c>
      <c r="C11" s="97">
        <v>0.12661770030451863</v>
      </c>
      <c r="D11" s="97">
        <v>0.12151387999409029</v>
      </c>
      <c r="E11" s="97">
        <v>0.12335952773527492</v>
      </c>
      <c r="F11" s="97">
        <v>0.17321534796446639</v>
      </c>
      <c r="G11" s="97">
        <v>0.18042318914150213</v>
      </c>
      <c r="H11" s="97">
        <v>0.18768661869836853</v>
      </c>
      <c r="I11" s="97">
        <v>0.16615324800355433</v>
      </c>
      <c r="J11" s="97">
        <v>0.16622809092625374</v>
      </c>
      <c r="K11" s="97">
        <v>0.15521938218185413</v>
      </c>
      <c r="L11" s="97">
        <v>0.12583858242662327</v>
      </c>
      <c r="M11" s="97">
        <v>0.11587739585522615</v>
      </c>
      <c r="N11" s="97">
        <v>7.9043067130446107E-2</v>
      </c>
      <c r="O11" s="97">
        <v>6.2042131430534428E-2</v>
      </c>
      <c r="P11" s="97">
        <v>4.1531977015285181E-2</v>
      </c>
      <c r="Q11" s="97">
        <v>4.3902138298973624E-2</v>
      </c>
      <c r="R11" s="97">
        <v>2.6781124432467187E-2</v>
      </c>
      <c r="S11" s="97">
        <v>2.0597628202358189E-2</v>
      </c>
      <c r="T11" s="97">
        <v>2.1790505899476821E-2</v>
      </c>
      <c r="U11" s="97">
        <v>4.9348708976614166E-3</v>
      </c>
      <c r="V11" s="97">
        <v>4.8468024995598135E-3</v>
      </c>
      <c r="W11" s="97">
        <v>6.1856727079591528E-3</v>
      </c>
      <c r="DA11" s="175" t="s">
        <v>284</v>
      </c>
    </row>
    <row r="12" spans="1:105" ht="11.45" customHeight="1" x14ac:dyDescent="0.25">
      <c r="A12" s="92" t="s">
        <v>173</v>
      </c>
      <c r="B12" s="97">
        <v>4.3918912323492121</v>
      </c>
      <c r="C12" s="97">
        <v>4.0910193965511237</v>
      </c>
      <c r="D12" s="97">
        <v>5.1100499049337857</v>
      </c>
      <c r="E12" s="97">
        <v>4.97771304155909</v>
      </c>
      <c r="F12" s="97">
        <v>8.5718268406255742</v>
      </c>
      <c r="G12" s="97">
        <v>9.8939448685304381</v>
      </c>
      <c r="H12" s="97">
        <v>11.143860944718501</v>
      </c>
      <c r="I12" s="97">
        <v>9.963575816600148</v>
      </c>
      <c r="J12" s="97">
        <v>9.1778908720514423</v>
      </c>
      <c r="K12" s="97">
        <v>7.9973909198173576</v>
      </c>
      <c r="L12" s="97">
        <v>9.1838911024500121</v>
      </c>
      <c r="M12" s="97">
        <v>9.8829023545096764</v>
      </c>
      <c r="N12" s="97">
        <v>8.6919305303450933</v>
      </c>
      <c r="O12" s="97">
        <v>9.5322781525235261</v>
      </c>
      <c r="P12" s="97">
        <v>10.368385988236753</v>
      </c>
      <c r="Q12" s="97">
        <v>9.8322406874165491</v>
      </c>
      <c r="R12" s="97">
        <v>8.7950835035610844</v>
      </c>
      <c r="S12" s="97">
        <v>10.312221568174232</v>
      </c>
      <c r="T12" s="97">
        <v>10.576540132155069</v>
      </c>
      <c r="U12" s="97">
        <v>11.030306008658588</v>
      </c>
      <c r="V12" s="97">
        <v>8.5917677758886626</v>
      </c>
      <c r="W12" s="97">
        <v>12.643702499130207</v>
      </c>
      <c r="DA12" s="175" t="s">
        <v>285</v>
      </c>
    </row>
    <row r="13" spans="1:105" ht="11.45" customHeight="1" x14ac:dyDescent="0.25">
      <c r="A13" s="85" t="s">
        <v>174</v>
      </c>
      <c r="B13" s="98">
        <v>3.190633755784634</v>
      </c>
      <c r="C13" s="98">
        <v>2.7127828028310121</v>
      </c>
      <c r="D13" s="98">
        <v>2.9063495447243382</v>
      </c>
      <c r="E13" s="98">
        <v>2.8432720925817874</v>
      </c>
      <c r="F13" s="98">
        <v>3.4306247790333799</v>
      </c>
      <c r="G13" s="98">
        <v>5.0889052449781547</v>
      </c>
      <c r="H13" s="98">
        <v>5.2841128441321672</v>
      </c>
      <c r="I13" s="98">
        <v>5.121980274493052</v>
      </c>
      <c r="J13" s="98">
        <v>4.5521932642683209</v>
      </c>
      <c r="K13" s="98">
        <v>3.294508410589823</v>
      </c>
      <c r="L13" s="98">
        <v>3.6438836688529266</v>
      </c>
      <c r="M13" s="98">
        <v>5.7693199857860717</v>
      </c>
      <c r="N13" s="98">
        <v>7.1124365853151632</v>
      </c>
      <c r="O13" s="98">
        <v>7.8761349799857525</v>
      </c>
      <c r="P13" s="98">
        <v>8.5480070886581512</v>
      </c>
      <c r="Q13" s="98">
        <v>12.494794022365916</v>
      </c>
      <c r="R13" s="98">
        <v>14.722416629124323</v>
      </c>
      <c r="S13" s="98">
        <v>16.205365305017121</v>
      </c>
      <c r="T13" s="98">
        <v>21.059827967899437</v>
      </c>
      <c r="U13" s="98">
        <v>23.233868697891836</v>
      </c>
      <c r="V13" s="98">
        <v>18.687812679434156</v>
      </c>
      <c r="W13" s="98">
        <v>18.980951658426093</v>
      </c>
      <c r="DA13" s="178" t="s">
        <v>286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73</v>
      </c>
      <c r="B17" s="62">
        <f>IF(B3=0,0,B3/TrAvia_act!B13*100)</f>
        <v>413.52617064929558</v>
      </c>
      <c r="C17" s="62">
        <f>IF(C3=0,0,C3/TrAvia_act!C13*100)</f>
        <v>419.28175672157408</v>
      </c>
      <c r="D17" s="62">
        <f>IF(D3=0,0,D3/TrAvia_act!D13*100)</f>
        <v>395.33569099906441</v>
      </c>
      <c r="E17" s="62">
        <f>IF(E3=0,0,E3/TrAvia_act!E13*100)</f>
        <v>360.63436929040824</v>
      </c>
      <c r="F17" s="62">
        <f>IF(F3=0,0,F3/TrAvia_act!F13*100)</f>
        <v>370.27294389693191</v>
      </c>
      <c r="G17" s="62">
        <f>IF(G3=0,0,G3/TrAvia_act!G13*100)</f>
        <v>391.85976743314137</v>
      </c>
      <c r="H17" s="62">
        <f>IF(H3=0,0,H3/TrAvia_act!H13*100)</f>
        <v>411.91972311268319</v>
      </c>
      <c r="I17" s="62">
        <f>IF(I3=0,0,I3/TrAvia_act!I13*100)</f>
        <v>421.55876634013703</v>
      </c>
      <c r="J17" s="62">
        <f>IF(J3=0,0,J3/TrAvia_act!J13*100)</f>
        <v>411.20701666764899</v>
      </c>
      <c r="K17" s="62">
        <f>IF(K3=0,0,K3/TrAvia_act!K13*100)</f>
        <v>399.15942530187596</v>
      </c>
      <c r="L17" s="62">
        <f>IF(L3=0,0,L3/TrAvia_act!L13*100)</f>
        <v>422.38149951143578</v>
      </c>
      <c r="M17" s="62">
        <f>IF(M3=0,0,M3/TrAvia_act!M13*100)</f>
        <v>438.50382886681291</v>
      </c>
      <c r="N17" s="62">
        <f>IF(N3=0,0,N3/TrAvia_act!N13*100)</f>
        <v>438.70353150049766</v>
      </c>
      <c r="O17" s="62">
        <f>IF(O3=0,0,O3/TrAvia_act!O13*100)</f>
        <v>434.11997172464652</v>
      </c>
      <c r="P17" s="62">
        <f>IF(P3=0,0,P3/TrAvia_act!P13*100)</f>
        <v>416.07720135949114</v>
      </c>
      <c r="Q17" s="62">
        <f>IF(Q3=0,0,Q3/TrAvia_act!Q13*100)</f>
        <v>437.70971567218425</v>
      </c>
      <c r="R17" s="62">
        <f>IF(R3=0,0,R3/TrAvia_act!R13*100)</f>
        <v>476.53177802065778</v>
      </c>
      <c r="S17" s="62">
        <f>IF(S3=0,0,S3/TrAvia_act!S13*100)</f>
        <v>457.75340780217135</v>
      </c>
      <c r="T17" s="62">
        <f>IF(T3=0,0,T3/TrAvia_act!T13*100)</f>
        <v>465.30460633938543</v>
      </c>
      <c r="U17" s="62">
        <f>IF(U3=0,0,U3/TrAvia_act!U13*100)</f>
        <v>470.6704164647083</v>
      </c>
      <c r="V17" s="62">
        <f>IF(V3=0,0,V3/TrAvia_act!V13*100)</f>
        <v>468.96579559761119</v>
      </c>
      <c r="W17" s="62">
        <f>IF(W3=0,0,W3/TrAvia_act!W13*100)</f>
        <v>509.0003029405467</v>
      </c>
      <c r="DA17" s="172" t="s">
        <v>287</v>
      </c>
    </row>
    <row r="18" spans="1:105" ht="11.45" customHeight="1" x14ac:dyDescent="0.25">
      <c r="A18" s="10" t="s">
        <v>33</v>
      </c>
      <c r="B18" s="14">
        <f>IF(B6=0,0,B6/TrAvia_act!B14*100)</f>
        <v>415.23072979610464</v>
      </c>
      <c r="C18" s="14">
        <f>IF(C6=0,0,C6/TrAvia_act!C14*100)</f>
        <v>420.8408996589377</v>
      </c>
      <c r="D18" s="14">
        <f>IF(D6=0,0,D6/TrAvia_act!D14*100)</f>
        <v>397.14584323410611</v>
      </c>
      <c r="E18" s="14">
        <f>IF(E6=0,0,E6/TrAvia_act!E14*100)</f>
        <v>362.31056155036413</v>
      </c>
      <c r="F18" s="14">
        <f>IF(F6=0,0,F6/TrAvia_act!F14*100)</f>
        <v>372.39156298480276</v>
      </c>
      <c r="G18" s="14">
        <f>IF(G6=0,0,G6/TrAvia_act!G14*100)</f>
        <v>394.4677445785959</v>
      </c>
      <c r="H18" s="14">
        <f>IF(H6=0,0,H6/TrAvia_act!H14*100)</f>
        <v>414.75618799009578</v>
      </c>
      <c r="I18" s="14">
        <f>IF(I6=0,0,I6/TrAvia_act!I14*100)</f>
        <v>423.80379529160138</v>
      </c>
      <c r="J18" s="14">
        <f>IF(J6=0,0,J6/TrAvia_act!J14*100)</f>
        <v>412.90527028646471</v>
      </c>
      <c r="K18" s="14">
        <f>IF(K6=0,0,K6/TrAvia_act!K14*100)</f>
        <v>400.48514271087726</v>
      </c>
      <c r="L18" s="14">
        <f>IF(L6=0,0,L6/TrAvia_act!L14*100)</f>
        <v>423.65366252998069</v>
      </c>
      <c r="M18" s="14">
        <f>IF(M6=0,0,M6/TrAvia_act!M14*100)</f>
        <v>439.54767655066212</v>
      </c>
      <c r="N18" s="14">
        <f>IF(N6=0,0,N6/TrAvia_act!N14*100)</f>
        <v>439.24617334579386</v>
      </c>
      <c r="O18" s="14">
        <f>IF(O6=0,0,O6/TrAvia_act!O14*100)</f>
        <v>434.7777619452238</v>
      </c>
      <c r="P18" s="14">
        <f>IF(P6=0,0,P6/TrAvia_act!P14*100)</f>
        <v>416.80734820971185</v>
      </c>
      <c r="Q18" s="14">
        <f>IF(Q6=0,0,Q6/TrAvia_act!Q14*100)</f>
        <v>438.62498714947992</v>
      </c>
      <c r="R18" s="14">
        <f>IF(R6=0,0,R6/TrAvia_act!R14*100)</f>
        <v>476.84776794199405</v>
      </c>
      <c r="S18" s="14">
        <f>IF(S6=0,0,S6/TrAvia_act!S14*100)</f>
        <v>457.61578786819291</v>
      </c>
      <c r="T18" s="14">
        <f>IF(T6=0,0,T6/TrAvia_act!T14*100)</f>
        <v>464.3167743365758</v>
      </c>
      <c r="U18" s="14">
        <f>IF(U6=0,0,U6/TrAvia_act!U14*100)</f>
        <v>469.56692439061209</v>
      </c>
      <c r="V18" s="14">
        <f>IF(V6=0,0,V6/TrAvia_act!V14*100)</f>
        <v>466.14538061409456</v>
      </c>
      <c r="W18" s="14">
        <f>IF(W6=0,0,W6/TrAvia_act!W14*100)</f>
        <v>508.91735688769188</v>
      </c>
      <c r="DA18" s="189" t="s">
        <v>288</v>
      </c>
    </row>
    <row r="19" spans="1:105" ht="11.45" customHeight="1" x14ac:dyDescent="0.25">
      <c r="A19" s="83" t="s">
        <v>27</v>
      </c>
      <c r="B19" s="87">
        <f>IF(B7=0,0,B7/TrAvia_act!B15*100)</f>
        <v>614.39104861490955</v>
      </c>
      <c r="C19" s="87">
        <f>IF(C7=0,0,C7/TrAvia_act!C15*100)</f>
        <v>646.23921267539868</v>
      </c>
      <c r="D19" s="87">
        <f>IF(D7=0,0,D7/TrAvia_act!D15*100)</f>
        <v>620.19002041305748</v>
      </c>
      <c r="E19" s="87">
        <f>IF(E7=0,0,E7/TrAvia_act!E15*100)</f>
        <v>629.60995096203089</v>
      </c>
      <c r="F19" s="87">
        <f>IF(F7=0,0,F7/TrAvia_act!F15*100)</f>
        <v>683.55707867538024</v>
      </c>
      <c r="G19" s="87">
        <f>IF(G7=0,0,G7/TrAvia_act!G15*100)</f>
        <v>683.22438646221531</v>
      </c>
      <c r="H19" s="87">
        <f>IF(H7=0,0,H7/TrAvia_act!H15*100)</f>
        <v>687.98584951217765</v>
      </c>
      <c r="I19" s="87">
        <f>IF(I7=0,0,I7/TrAvia_act!I15*100)</f>
        <v>680.00372005264603</v>
      </c>
      <c r="J19" s="87">
        <f>IF(J7=0,0,J7/TrAvia_act!J15*100)</f>
        <v>619.71504576124846</v>
      </c>
      <c r="K19" s="87">
        <f>IF(K7=0,0,K7/TrAvia_act!K15*100)</f>
        <v>606.97427379449266</v>
      </c>
      <c r="L19" s="87">
        <f>IF(L7=0,0,L7/TrAvia_act!L15*100)</f>
        <v>596.22647780793113</v>
      </c>
      <c r="M19" s="87">
        <f>IF(M7=0,0,M7/TrAvia_act!M15*100)</f>
        <v>768.41741898447594</v>
      </c>
      <c r="N19" s="87">
        <f>IF(N7=0,0,N7/TrAvia_act!N15*100)</f>
        <v>750.05464121047305</v>
      </c>
      <c r="O19" s="87">
        <f>IF(O7=0,0,O7/TrAvia_act!O15*100)</f>
        <v>788.77295957074466</v>
      </c>
      <c r="P19" s="87">
        <f>IF(P7=0,0,P7/TrAvia_act!P15*100)</f>
        <v>815.75696735012923</v>
      </c>
      <c r="Q19" s="87">
        <f>IF(Q7=0,0,Q7/TrAvia_act!Q15*100)</f>
        <v>893.15133599894307</v>
      </c>
      <c r="R19" s="87">
        <f>IF(R7=0,0,R7/TrAvia_act!R15*100)</f>
        <v>954.13309292999941</v>
      </c>
      <c r="S19" s="87">
        <f>IF(S7=0,0,S7/TrAvia_act!S15*100)</f>
        <v>916.02388927727554</v>
      </c>
      <c r="T19" s="87">
        <f>IF(T7=0,0,T7/TrAvia_act!T15*100)</f>
        <v>974.10575959991058</v>
      </c>
      <c r="U19" s="87">
        <f>IF(U7=0,0,U7/TrAvia_act!U15*100)</f>
        <v>854.27515483410866</v>
      </c>
      <c r="V19" s="87">
        <f>IF(V7=0,0,V7/TrAvia_act!V15*100)</f>
        <v>1700.4357747385548</v>
      </c>
      <c r="W19" s="87">
        <f>IF(W7=0,0,W7/TrAvia_act!W15*100)</f>
        <v>2320.7944846794735</v>
      </c>
      <c r="DA19" s="171" t="s">
        <v>289</v>
      </c>
    </row>
    <row r="20" spans="1:105" ht="11.45" customHeight="1" x14ac:dyDescent="0.25">
      <c r="A20" s="83" t="s">
        <v>173</v>
      </c>
      <c r="B20" s="87">
        <f>IF(B8=0,0,B8/TrAvia_act!B16*100)</f>
        <v>329.79382541592963</v>
      </c>
      <c r="C20" s="87">
        <f>IF(C8=0,0,C8/TrAvia_act!C16*100)</f>
        <v>336.13328978369196</v>
      </c>
      <c r="D20" s="87">
        <f>IF(D8=0,0,D8/TrAvia_act!D16*100)</f>
        <v>316.92667437029291</v>
      </c>
      <c r="E20" s="87">
        <f>IF(E8=0,0,E8/TrAvia_act!E16*100)</f>
        <v>290.48242931966905</v>
      </c>
      <c r="F20" s="87">
        <f>IF(F8=0,0,F8/TrAvia_act!F16*100)</f>
        <v>297.18424720960354</v>
      </c>
      <c r="G20" s="87">
        <f>IF(G8=0,0,G8/TrAvia_act!G16*100)</f>
        <v>328.47321208448761</v>
      </c>
      <c r="H20" s="87">
        <f>IF(H8=0,0,H8/TrAvia_act!H16*100)</f>
        <v>342.79221470701998</v>
      </c>
      <c r="I20" s="87">
        <f>IF(I8=0,0,I8/TrAvia_act!I16*100)</f>
        <v>342.71708995698106</v>
      </c>
      <c r="J20" s="87">
        <f>IF(J8=0,0,J8/TrAvia_act!J16*100)</f>
        <v>330.76407509069321</v>
      </c>
      <c r="K20" s="87">
        <f>IF(K8=0,0,K8/TrAvia_act!K16*100)</f>
        <v>315.20961677600883</v>
      </c>
      <c r="L20" s="87">
        <f>IF(L8=0,0,L8/TrAvia_act!L16*100)</f>
        <v>334.62420526310279</v>
      </c>
      <c r="M20" s="87">
        <f>IF(M8=0,0,M8/TrAvia_act!M16*100)</f>
        <v>350.12516239962179</v>
      </c>
      <c r="N20" s="87">
        <f>IF(N8=0,0,N8/TrAvia_act!N16*100)</f>
        <v>346.90914487191048</v>
      </c>
      <c r="O20" s="87">
        <f>IF(O8=0,0,O8/TrAvia_act!O16*100)</f>
        <v>349.73921624424719</v>
      </c>
      <c r="P20" s="87">
        <f>IF(P8=0,0,P8/TrAvia_act!P16*100)</f>
        <v>339.69238547317849</v>
      </c>
      <c r="Q20" s="87">
        <f>IF(Q8=0,0,Q8/TrAvia_act!Q16*100)</f>
        <v>361.41756244649662</v>
      </c>
      <c r="R20" s="87">
        <f>IF(R8=0,0,R8/TrAvia_act!R16*100)</f>
        <v>396.31981423366153</v>
      </c>
      <c r="S20" s="87">
        <f>IF(S8=0,0,S8/TrAvia_act!S16*100)</f>
        <v>392.76627068648133</v>
      </c>
      <c r="T20" s="87">
        <f>IF(T8=0,0,T8/TrAvia_act!T16*100)</f>
        <v>406.7280920971445</v>
      </c>
      <c r="U20" s="87">
        <f>IF(U8=0,0,U8/TrAvia_act!U16*100)</f>
        <v>409.25481983444251</v>
      </c>
      <c r="V20" s="87">
        <f>IF(V8=0,0,V8/TrAvia_act!V16*100)</f>
        <v>317.69976179870747</v>
      </c>
      <c r="W20" s="87">
        <f>IF(W8=0,0,W8/TrAvia_act!W16*100)</f>
        <v>388.95238104526578</v>
      </c>
      <c r="DA20" s="171" t="s">
        <v>290</v>
      </c>
    </row>
    <row r="21" spans="1:105" ht="11.45" customHeight="1" x14ac:dyDescent="0.25">
      <c r="A21" s="83" t="s">
        <v>174</v>
      </c>
      <c r="B21" s="87">
        <f>IF(B9=0,0,B9/TrAvia_act!B17*100)</f>
        <v>488.22655324237792</v>
      </c>
      <c r="C21" s="87">
        <f>IF(C9=0,0,C9/TrAvia_act!C17*100)</f>
        <v>498.25275171389586</v>
      </c>
      <c r="D21" s="87">
        <f>IF(D9=0,0,D9/TrAvia_act!D17*100)</f>
        <v>470.71239100143396</v>
      </c>
      <c r="E21" s="87">
        <f>IF(E9=0,0,E9/TrAvia_act!E17*100)</f>
        <v>430.75001730888374</v>
      </c>
      <c r="F21" s="87">
        <f>IF(F9=0,0,F9/TrAvia_act!F17*100)</f>
        <v>439.94204051700797</v>
      </c>
      <c r="G21" s="87">
        <f>IF(G9=0,0,G9/TrAvia_act!G17*100)</f>
        <v>448.59604413134377</v>
      </c>
      <c r="H21" s="87">
        <f>IF(H9=0,0,H9/TrAvia_act!H17*100)</f>
        <v>479.26730194795152</v>
      </c>
      <c r="I21" s="87">
        <f>IF(I9=0,0,I9/TrAvia_act!I17*100)</f>
        <v>508.47806530539498</v>
      </c>
      <c r="J21" s="87">
        <f>IF(J9=0,0,J9/TrAvia_act!J17*100)</f>
        <v>500.9990011293998</v>
      </c>
      <c r="K21" s="87">
        <f>IF(K9=0,0,K9/TrAvia_act!K17*100)</f>
        <v>488.30464760202847</v>
      </c>
      <c r="L21" s="87">
        <f>IF(L9=0,0,L9/TrAvia_act!L17*100)</f>
        <v>518.07229011884544</v>
      </c>
      <c r="M21" s="87">
        <f>IF(M9=0,0,M9/TrAvia_act!M17*100)</f>
        <v>524.45939114452733</v>
      </c>
      <c r="N21" s="87">
        <f>IF(N9=0,0,N9/TrAvia_act!N17*100)</f>
        <v>527.58369366363104</v>
      </c>
      <c r="O21" s="87">
        <f>IF(O9=0,0,O9/TrAvia_act!O17*100)</f>
        <v>507.17264462598894</v>
      </c>
      <c r="P21" s="87">
        <f>IF(P9=0,0,P9/TrAvia_act!P17*100)</f>
        <v>479.55887499464842</v>
      </c>
      <c r="Q21" s="87">
        <f>IF(Q9=0,0,Q9/TrAvia_act!Q17*100)</f>
        <v>500.30216483810949</v>
      </c>
      <c r="R21" s="87">
        <f>IF(R9=0,0,R9/TrAvia_act!R17*100)</f>
        <v>548.84995332361257</v>
      </c>
      <c r="S21" s="87">
        <f>IF(S9=0,0,S9/TrAvia_act!S17*100)</f>
        <v>510.70920168160774</v>
      </c>
      <c r="T21" s="87">
        <f>IF(T9=0,0,T9/TrAvia_act!T17*100)</f>
        <v>507.06999322353897</v>
      </c>
      <c r="U21" s="87">
        <f>IF(U9=0,0,U9/TrAvia_act!U17*100)</f>
        <v>521.00875853997536</v>
      </c>
      <c r="V21" s="87">
        <f>IF(V9=0,0,V9/TrAvia_act!V17*100)</f>
        <v>611.0824713047989</v>
      </c>
      <c r="W21" s="87">
        <f>IF(W9=0,0,W9/TrAvia_act!W17*100)</f>
        <v>613.38689946119064</v>
      </c>
      <c r="DA21" s="171" t="s">
        <v>291</v>
      </c>
    </row>
    <row r="22" spans="1:105" ht="11.45" customHeight="1" x14ac:dyDescent="0.25">
      <c r="A22" s="12" t="s">
        <v>34</v>
      </c>
      <c r="B22" s="15">
        <f>IF(B10=0,0,B10/TrAvia_act!B18*100)</f>
        <v>316.24844784007519</v>
      </c>
      <c r="C22" s="15">
        <f>IF(C10=0,0,C10/TrAvia_act!C18*100)</f>
        <v>321.75373679607611</v>
      </c>
      <c r="D22" s="15">
        <f>IF(D10=0,0,D10/TrAvia_act!D18*100)</f>
        <v>304.62536571141629</v>
      </c>
      <c r="E22" s="15">
        <f>IF(E10=0,0,E10/TrAvia_act!E18*100)</f>
        <v>278.93986857809745</v>
      </c>
      <c r="F22" s="15">
        <f>IF(F10=0,0,F10/TrAvia_act!F18*100)</f>
        <v>290.28834291944787</v>
      </c>
      <c r="G22" s="15">
        <f>IF(G10=0,0,G10/TrAvia_act!G18*100)</f>
        <v>304.01862004101702</v>
      </c>
      <c r="H22" s="15">
        <f>IF(H10=0,0,H10/TrAvia_act!H18*100)</f>
        <v>320.52611048451314</v>
      </c>
      <c r="I22" s="15">
        <f>IF(I10=0,0,I10/TrAvia_act!I18*100)</f>
        <v>335.68072447541618</v>
      </c>
      <c r="J22" s="15">
        <f>IF(J10=0,0,J10/TrAvia_act!J18*100)</f>
        <v>337.39303233032939</v>
      </c>
      <c r="K22" s="15">
        <f>IF(K10=0,0,K10/TrAvia_act!K18*100)</f>
        <v>336.32191889348746</v>
      </c>
      <c r="L22" s="15">
        <f>IF(L10=0,0,L10/TrAvia_act!L18*100)</f>
        <v>364.17293422038301</v>
      </c>
      <c r="M22" s="15">
        <f>IF(M10=0,0,M10/TrAvia_act!M18*100)</f>
        <v>395.60960394918385</v>
      </c>
      <c r="N22" s="15">
        <f>IF(N10=0,0,N10/TrAvia_act!N18*100)</f>
        <v>416.12996100701895</v>
      </c>
      <c r="O22" s="15">
        <f>IF(O10=0,0,O10/TrAvia_act!O18*100)</f>
        <v>410.53211466288093</v>
      </c>
      <c r="P22" s="15">
        <f>IF(P10=0,0,P10/TrAvia_act!P18*100)</f>
        <v>392.09881776745669</v>
      </c>
      <c r="Q22" s="15">
        <f>IF(Q10=0,0,Q10/TrAvia_act!Q18*100)</f>
        <v>410.59668625953208</v>
      </c>
      <c r="R22" s="15">
        <f>IF(R10=0,0,R10/TrAvia_act!R18*100)</f>
        <v>466.41065062663409</v>
      </c>
      <c r="S22" s="15">
        <f>IF(S10=0,0,S10/TrAvia_act!S18*100)</f>
        <v>461.627951236927</v>
      </c>
      <c r="T22" s="15">
        <f>IF(T10=0,0,T10/TrAvia_act!T18*100)</f>
        <v>492.79638508937688</v>
      </c>
      <c r="U22" s="15">
        <f>IF(U10=0,0,U10/TrAvia_act!U18*100)</f>
        <v>503.52294397101883</v>
      </c>
      <c r="V22" s="15">
        <f>IF(V10=0,0,V10/TrAvia_act!V18*100)</f>
        <v>503.28833948718091</v>
      </c>
      <c r="W22" s="15">
        <f>IF(W10=0,0,W10/TrAvia_act!W18*100)</f>
        <v>510.01986317686186</v>
      </c>
      <c r="DA22" s="193" t="s">
        <v>292</v>
      </c>
    </row>
    <row r="23" spans="1:105" ht="11.45" customHeight="1" x14ac:dyDescent="0.25">
      <c r="A23" s="92" t="s">
        <v>27</v>
      </c>
      <c r="B23" s="101">
        <f>IF(B11=0,0,B11/TrAvia_act!B19*100)</f>
        <v>724.98779483114606</v>
      </c>
      <c r="C23" s="101">
        <f>IF(C11=0,0,C11/TrAvia_act!C19*100)</f>
        <v>762.56895797420952</v>
      </c>
      <c r="D23" s="101">
        <f>IF(D11=0,0,D11/TrAvia_act!D19*100)</f>
        <v>731.83064155833279</v>
      </c>
      <c r="E23" s="101">
        <f>IF(E11=0,0,E11/TrAvia_act!E19*100)</f>
        <v>742.94625707968339</v>
      </c>
      <c r="F23" s="101">
        <f>IF(F11=0,0,F11/TrAvia_act!F19*100)</f>
        <v>806.60442600409658</v>
      </c>
      <c r="G23" s="101">
        <f>IF(G11=0,0,G11/TrAvia_act!G19*100)</f>
        <v>804.32674652476305</v>
      </c>
      <c r="H23" s="101">
        <f>IF(H11=0,0,H11/TrAvia_act!H19*100)</f>
        <v>813.32504662553436</v>
      </c>
      <c r="I23" s="101">
        <f>IF(I11=0,0,I11/TrAvia_act!I19*100)</f>
        <v>804.87770016958768</v>
      </c>
      <c r="J23" s="101">
        <f>IF(J11=0,0,J11/TrAvia_act!J19*100)</f>
        <v>732.47131931874867</v>
      </c>
      <c r="K23" s="101">
        <f>IF(K11=0,0,K11/TrAvia_act!K19*100)</f>
        <v>717.75397085191253</v>
      </c>
      <c r="L23" s="101">
        <f>IF(L11=0,0,L11/TrAvia_act!L19*100)</f>
        <v>710.09250837878119</v>
      </c>
      <c r="M23" s="101">
        <f>IF(M11=0,0,M11/TrAvia_act!M19*100)</f>
        <v>872.78708137658919</v>
      </c>
      <c r="N23" s="101">
        <f>IF(N11=0,0,N11/TrAvia_act!N19*100)</f>
        <v>816.17516803328215</v>
      </c>
      <c r="O23" s="101">
        <f>IF(O11=0,0,O11/TrAvia_act!O19*100)</f>
        <v>904.70217470210241</v>
      </c>
      <c r="P23" s="101">
        <f>IF(P11=0,0,P11/TrAvia_act!P19*100)</f>
        <v>989.47057812676496</v>
      </c>
      <c r="Q23" s="101">
        <f>IF(Q11=0,0,Q11/TrAvia_act!Q19*100)</f>
        <v>1139.1937667048596</v>
      </c>
      <c r="R23" s="101">
        <f>IF(R11=0,0,R11/TrAvia_act!R19*100)</f>
        <v>1274.9407817310835</v>
      </c>
      <c r="S23" s="101">
        <f>IF(S11=0,0,S11/TrAvia_act!S19*100)</f>
        <v>1297.0672533486679</v>
      </c>
      <c r="T23" s="101">
        <f>IF(T11=0,0,T11/TrAvia_act!T19*100)</f>
        <v>1472.3314796943798</v>
      </c>
      <c r="U23" s="101">
        <f>IF(U11=0,0,U11/TrAvia_act!U19*100)</f>
        <v>1119.0183441409108</v>
      </c>
      <c r="V23" s="101">
        <f>IF(V11=0,0,V11/TrAvia_act!V19*100)</f>
        <v>2238.9261604187964</v>
      </c>
      <c r="W23" s="101">
        <f>IF(W11=0,0,W11/TrAvia_act!W19*100)</f>
        <v>3141.429059821809</v>
      </c>
      <c r="DA23" s="175" t="s">
        <v>293</v>
      </c>
    </row>
    <row r="24" spans="1:105" ht="11.45" customHeight="1" x14ac:dyDescent="0.25">
      <c r="A24" s="92" t="s">
        <v>173</v>
      </c>
      <c r="B24" s="101">
        <f>IF(B12=0,0,B12/TrAvia_act!B20*100)</f>
        <v>324.27549993294173</v>
      </c>
      <c r="C24" s="101">
        <f>IF(C12=0,0,C12/TrAvia_act!C20*100)</f>
        <v>330.10120013451638</v>
      </c>
      <c r="D24" s="101">
        <f>IF(D12=0,0,D12/TrAvia_act!D20*100)</f>
        <v>312.2637668483473</v>
      </c>
      <c r="E24" s="101">
        <f>IF(E12=0,0,E12/TrAvia_act!E20*100)</f>
        <v>285.62809027412254</v>
      </c>
      <c r="F24" s="101">
        <f>IF(F12=0,0,F12/TrAvia_act!F20*100)</f>
        <v>296.94373753368046</v>
      </c>
      <c r="G24" s="101">
        <f>IF(G12=0,0,G12/TrAvia_act!G20*100)</f>
        <v>327.25927550798889</v>
      </c>
      <c r="H24" s="101">
        <f>IF(H12=0,0,H12/TrAvia_act!H20*100)</f>
        <v>343.13773913654472</v>
      </c>
      <c r="I24" s="101">
        <f>IF(I12=0,0,I12/TrAvia_act!I20*100)</f>
        <v>350.79232994779477</v>
      </c>
      <c r="J24" s="101">
        <f>IF(J12=0,0,J12/TrAvia_act!J20*100)</f>
        <v>348.96995224609424</v>
      </c>
      <c r="K24" s="101">
        <f>IF(K12=0,0,K12/TrAvia_act!K20*100)</f>
        <v>343.18818889854862</v>
      </c>
      <c r="L24" s="101">
        <f>IF(L12=0,0,L12/TrAvia_act!L20*100)</f>
        <v>373.21957526161287</v>
      </c>
      <c r="M24" s="101">
        <f>IF(M12=0,0,M12/TrAvia_act!M20*100)</f>
        <v>402.08915395140838</v>
      </c>
      <c r="N24" s="101">
        <f>IF(N12=0,0,N12/TrAvia_act!N20*100)</f>
        <v>400.71706072397654</v>
      </c>
      <c r="O24" s="101">
        <f>IF(O12=0,0,O12/TrAvia_act!O20*100)</f>
        <v>411.65056919591552</v>
      </c>
      <c r="P24" s="101">
        <f>IF(P12=0,0,P12/TrAvia_act!P20*100)</f>
        <v>393.38807284757746</v>
      </c>
      <c r="Q24" s="101">
        <f>IF(Q12=0,0,Q12/TrAvia_act!Q20*100)</f>
        <v>393.77432361967374</v>
      </c>
      <c r="R24" s="101">
        <f>IF(R12=0,0,R12/TrAvia_act!R20*100)</f>
        <v>425.82035851419596</v>
      </c>
      <c r="S24" s="101">
        <f>IF(S12=0,0,S12/TrAvia_act!S20*100)</f>
        <v>424.61957988259593</v>
      </c>
      <c r="T24" s="101">
        <f>IF(T12=0,0,T12/TrAvia_act!T20*100)</f>
        <v>430.79928234016432</v>
      </c>
      <c r="U24" s="101">
        <f>IF(U12=0,0,U12/TrAvia_act!U20*100)</f>
        <v>422.52114702782774</v>
      </c>
      <c r="V24" s="101">
        <f>IF(V12=0,0,V12/TrAvia_act!V20*100)</f>
        <v>348.13298693976287</v>
      </c>
      <c r="W24" s="101">
        <f>IF(W12=0,0,W12/TrAvia_act!W20*100)</f>
        <v>410.72655508622074</v>
      </c>
      <c r="DA24" s="175" t="s">
        <v>294</v>
      </c>
    </row>
    <row r="25" spans="1:105" ht="11.45" customHeight="1" x14ac:dyDescent="0.25">
      <c r="A25" s="85" t="s">
        <v>174</v>
      </c>
      <c r="B25" s="88">
        <f>IF(B13=0,0,B13/TrAvia_act!B21*100)</f>
        <v>296.00456184508647</v>
      </c>
      <c r="C25" s="88">
        <f>IF(C13=0,0,C13/TrAvia_act!C21*100)</f>
        <v>302.08329817317843</v>
      </c>
      <c r="D25" s="88">
        <f>IF(D13=0,0,D13/TrAvia_act!D21*100)</f>
        <v>285.38598347038555</v>
      </c>
      <c r="E25" s="88">
        <f>IF(E13=0,0,E13/TrAvia_act!E21*100)</f>
        <v>261.15738542180605</v>
      </c>
      <c r="F25" s="88">
        <f>IF(F13=0,0,F13/TrAvia_act!F21*100)</f>
        <v>266.73037358502853</v>
      </c>
      <c r="G25" s="88">
        <f>IF(G13=0,0,G13/TrAvia_act!G21*100)</f>
        <v>262.05701037057202</v>
      </c>
      <c r="H25" s="88">
        <f>IF(H13=0,0,H13/TrAvia_act!H21*100)</f>
        <v>276.19820291666508</v>
      </c>
      <c r="I25" s="88">
        <f>IF(I13=0,0,I13/TrAvia_act!I21*100)</f>
        <v>304.41460090567216</v>
      </c>
      <c r="J25" s="88">
        <f>IF(J13=0,0,J13/TrAvia_act!J21*100)</f>
        <v>310.50895503557376</v>
      </c>
      <c r="K25" s="88">
        <f>IF(K13=0,0,K13/TrAvia_act!K21*100)</f>
        <v>313.26399741443026</v>
      </c>
      <c r="L25" s="88">
        <f>IF(L13=0,0,L13/TrAvia_act!L21*100)</f>
        <v>337.84928830374821</v>
      </c>
      <c r="M25" s="88">
        <f>IF(M13=0,0,M13/TrAvia_act!M21*100)</f>
        <v>380.9118334296341</v>
      </c>
      <c r="N25" s="88">
        <f>IF(N13=0,0,N13/TrAvia_act!N21*100)</f>
        <v>434.1732742973993</v>
      </c>
      <c r="O25" s="88">
        <f>IF(O13=0,0,O13/TrAvia_act!O21*100)</f>
        <v>407.43922487525549</v>
      </c>
      <c r="P25" s="88">
        <f>IF(P13=0,0,P13/TrAvia_act!P21*100)</f>
        <v>389.4085629950842</v>
      </c>
      <c r="Q25" s="88">
        <f>IF(Q13=0,0,Q13/TrAvia_act!Q21*100)</f>
        <v>423.89428768291498</v>
      </c>
      <c r="R25" s="88">
        <f>IF(R13=0,0,R13/TrAvia_act!R21*100)</f>
        <v>493.96999343987329</v>
      </c>
      <c r="S25" s="88">
        <f>IF(S13=0,0,S13/TrAvia_act!S21*100)</f>
        <v>488.31073971088256</v>
      </c>
      <c r="T25" s="88">
        <f>IF(T13=0,0,T13/TrAvia_act!T21*100)</f>
        <v>530.79387147682917</v>
      </c>
      <c r="U25" s="88">
        <f>IF(U13=0,0,U13/TrAvia_act!U21*100)</f>
        <v>553.86849233513215</v>
      </c>
      <c r="V25" s="88">
        <f>IF(V13=0,0,V13/TrAvia_act!V21*100)</f>
        <v>632.82883426331682</v>
      </c>
      <c r="W25" s="88">
        <f>IF(W13=0,0,W13/TrAvia_act!W21*100)</f>
        <v>607.71866608679534</v>
      </c>
      <c r="DA25" s="178" t="s">
        <v>295</v>
      </c>
    </row>
    <row r="26" spans="1:105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74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DA27" s="172"/>
    </row>
    <row r="28" spans="1:105" ht="11.45" customHeight="1" x14ac:dyDescent="0.25">
      <c r="A28" s="10" t="s">
        <v>159</v>
      </c>
      <c r="B28" s="14">
        <f>IF(B6=0,0,B6/TrAvia_act!B4*1000)</f>
        <v>44.067164156152955</v>
      </c>
      <c r="C28" s="14">
        <f>IF(C6=0,0,C6/TrAvia_act!C4*1000)</f>
        <v>43.317001563080282</v>
      </c>
      <c r="D28" s="14">
        <f>IF(D6=0,0,D6/TrAvia_act!D4*1000)</f>
        <v>39.452892991397981</v>
      </c>
      <c r="E28" s="14">
        <f>IF(E6=0,0,E6/TrAvia_act!E4*1000)</f>
        <v>36.482994784340448</v>
      </c>
      <c r="F28" s="14">
        <f>IF(F6=0,0,F6/TrAvia_act!F4*1000)</f>
        <v>36.524913974967461</v>
      </c>
      <c r="G28" s="14">
        <f>IF(G6=0,0,G6/TrAvia_act!G4*1000)</f>
        <v>36.683280708588768</v>
      </c>
      <c r="H28" s="14">
        <f>IF(H6=0,0,H6/TrAvia_act!H4*1000)</f>
        <v>37.604600440807978</v>
      </c>
      <c r="I28" s="14">
        <f>IF(I6=0,0,I6/TrAvia_act!I4*1000)</f>
        <v>38.963576500830833</v>
      </c>
      <c r="J28" s="14">
        <f>IF(J6=0,0,J6/TrAvia_act!J4*1000)</f>
        <v>39.252895134956873</v>
      </c>
      <c r="K28" s="14">
        <f>IF(K6=0,0,K6/TrAvia_act!K4*1000)</f>
        <v>38.319559595551603</v>
      </c>
      <c r="L28" s="14">
        <f>IF(L6=0,0,L6/TrAvia_act!L4*1000)</f>
        <v>38.017684517947536</v>
      </c>
      <c r="M28" s="14">
        <f>IF(M6=0,0,M6/TrAvia_act!M4*1000)</f>
        <v>38.215991274601308</v>
      </c>
      <c r="N28" s="14">
        <f>IF(N6=0,0,N6/TrAvia_act!N4*1000)</f>
        <v>36.186276732443396</v>
      </c>
      <c r="O28" s="14">
        <f>IF(O6=0,0,O6/TrAvia_act!O4*1000)</f>
        <v>34.447112362602468</v>
      </c>
      <c r="P28" s="14">
        <f>IF(P6=0,0,P6/TrAvia_act!P4*1000)</f>
        <v>32.053435251332544</v>
      </c>
      <c r="Q28" s="14">
        <f>IF(Q6=0,0,Q6/TrAvia_act!Q4*1000)</f>
        <v>33.403117015025202</v>
      </c>
      <c r="R28" s="14">
        <f>IF(R6=0,0,R6/TrAvia_act!R4*1000)</f>
        <v>36.300407185553027</v>
      </c>
      <c r="S28" s="14">
        <f>IF(S6=0,0,S6/TrAvia_act!S4*1000)</f>
        <v>33.634609743209332</v>
      </c>
      <c r="T28" s="14">
        <f>IF(T6=0,0,T6/TrAvia_act!T4*1000)</f>
        <v>32.291662295191159</v>
      </c>
      <c r="U28" s="14">
        <f>IF(U6=0,0,U6/TrAvia_act!U4*1000)</f>
        <v>31.279267494135567</v>
      </c>
      <c r="V28" s="14">
        <f>IF(V6=0,0,V6/TrAvia_act!V4*1000)</f>
        <v>39.853469417968263</v>
      </c>
      <c r="W28" s="14">
        <f>IF(W6=0,0,W6/TrAvia_act!W4*1000)</f>
        <v>43.193506036495599</v>
      </c>
      <c r="DA28" s="189" t="s">
        <v>296</v>
      </c>
    </row>
    <row r="29" spans="1:105" ht="11.45" customHeight="1" x14ac:dyDescent="0.25">
      <c r="A29" s="83" t="s">
        <v>27</v>
      </c>
      <c r="B29" s="87">
        <f>IF(B7=0,0,B7/TrAvia_act!B5*1000)</f>
        <v>221.48772612321343</v>
      </c>
      <c r="C29" s="87">
        <f>IF(C7=0,0,C7/TrAvia_act!C5*1000)</f>
        <v>203.71308473833946</v>
      </c>
      <c r="D29" s="87">
        <f>IF(D7=0,0,D7/TrAvia_act!D5*1000)</f>
        <v>206.07606037835296</v>
      </c>
      <c r="E29" s="87">
        <f>IF(E7=0,0,E7/TrAvia_act!E5*1000)</f>
        <v>194.23909409622587</v>
      </c>
      <c r="F29" s="87">
        <f>IF(F7=0,0,F7/TrAvia_act!F5*1000)</f>
        <v>197.48698749933234</v>
      </c>
      <c r="G29" s="87">
        <f>IF(G7=0,0,G7/TrAvia_act!G5*1000)</f>
        <v>199.90114213480521</v>
      </c>
      <c r="H29" s="87">
        <f>IF(H7=0,0,H7/TrAvia_act!H5*1000)</f>
        <v>167.1634968442809</v>
      </c>
      <c r="I29" s="87">
        <f>IF(I7=0,0,I7/TrAvia_act!I5*1000)</f>
        <v>158.76285084723776</v>
      </c>
      <c r="J29" s="87">
        <f>IF(J7=0,0,J7/TrAvia_act!J5*1000)</f>
        <v>145.97850213828093</v>
      </c>
      <c r="K29" s="87">
        <f>IF(K7=0,0,K7/TrAvia_act!K5*1000)</f>
        <v>143.45748164399197</v>
      </c>
      <c r="L29" s="87">
        <f>IF(L7=0,0,L7/TrAvia_act!L5*1000)</f>
        <v>128.83085139081948</v>
      </c>
      <c r="M29" s="87">
        <f>IF(M7=0,0,M7/TrAvia_act!M5*1000)</f>
        <v>162.80310800178441</v>
      </c>
      <c r="N29" s="87">
        <f>IF(N7=0,0,N7/TrAvia_act!N5*1000)</f>
        <v>164.83677620653546</v>
      </c>
      <c r="O29" s="87">
        <f>IF(O7=0,0,O7/TrAvia_act!O5*1000)</f>
        <v>171.58205015647971</v>
      </c>
      <c r="P29" s="87">
        <f>IF(P7=0,0,P7/TrAvia_act!P5*1000)</f>
        <v>177.08120639531609</v>
      </c>
      <c r="Q29" s="87">
        <f>IF(Q7=0,0,Q7/TrAvia_act!Q5*1000)</f>
        <v>195.16552958953133</v>
      </c>
      <c r="R29" s="87">
        <f>IF(R7=0,0,R7/TrAvia_act!R5*1000)</f>
        <v>199.71363906020665</v>
      </c>
      <c r="S29" s="87">
        <f>IF(S7=0,0,S7/TrAvia_act!S5*1000)</f>
        <v>177.38425512884234</v>
      </c>
      <c r="T29" s="87">
        <f>IF(T7=0,0,T7/TrAvia_act!T5*1000)</f>
        <v>169.22087055229403</v>
      </c>
      <c r="U29" s="87">
        <f>IF(U7=0,0,U7/TrAvia_act!U5*1000)</f>
        <v>147.49831531650503</v>
      </c>
      <c r="V29" s="87">
        <f>IF(V7=0,0,V7/TrAvia_act!V5*1000)</f>
        <v>369.37668228058152</v>
      </c>
      <c r="W29" s="87">
        <f>IF(W7=0,0,W7/TrAvia_act!W5*1000)</f>
        <v>507.96783686551549</v>
      </c>
      <c r="DA29" s="171" t="s">
        <v>297</v>
      </c>
    </row>
    <row r="30" spans="1:105" ht="11.45" customHeight="1" x14ac:dyDescent="0.25">
      <c r="A30" s="83" t="s">
        <v>173</v>
      </c>
      <c r="B30" s="87">
        <f>IF(B8=0,0,B8/TrAvia_act!B6*1000)</f>
        <v>39.237336675109113</v>
      </c>
      <c r="C30" s="87">
        <f>IF(C8=0,0,C8/TrAvia_act!C6*1000)</f>
        <v>39.656050242937688</v>
      </c>
      <c r="D30" s="87">
        <f>IF(D8=0,0,D8/TrAvia_act!D6*1000)</f>
        <v>36.537633264005194</v>
      </c>
      <c r="E30" s="87">
        <f>IF(E8=0,0,E8/TrAvia_act!E6*1000)</f>
        <v>33.9838900077796</v>
      </c>
      <c r="F30" s="87">
        <f>IF(F8=0,0,F8/TrAvia_act!F6*1000)</f>
        <v>34.999731085457583</v>
      </c>
      <c r="G30" s="87">
        <f>IF(G8=0,0,G8/TrAvia_act!G6*1000)</f>
        <v>37.913181096765882</v>
      </c>
      <c r="H30" s="87">
        <f>IF(H8=0,0,H8/TrAvia_act!H6*1000)</f>
        <v>38.876595895799831</v>
      </c>
      <c r="I30" s="87">
        <f>IF(I8=0,0,I8/TrAvia_act!I6*1000)</f>
        <v>40.143756102177221</v>
      </c>
      <c r="J30" s="87">
        <f>IF(J8=0,0,J8/TrAvia_act!J6*1000)</f>
        <v>40.053784110031941</v>
      </c>
      <c r="K30" s="87">
        <f>IF(K8=0,0,K8/TrAvia_act!K6*1000)</f>
        <v>37.509344561808746</v>
      </c>
      <c r="L30" s="87">
        <f>IF(L8=0,0,L8/TrAvia_act!L6*1000)</f>
        <v>37.556985561701801</v>
      </c>
      <c r="M30" s="87">
        <f>IF(M8=0,0,M8/TrAvia_act!M6*1000)</f>
        <v>36.378742447731234</v>
      </c>
      <c r="N30" s="87">
        <f>IF(N8=0,0,N8/TrAvia_act!N6*1000)</f>
        <v>34.086704073207564</v>
      </c>
      <c r="O30" s="87">
        <f>IF(O8=0,0,O8/TrAvia_act!O6*1000)</f>
        <v>32.801994567206982</v>
      </c>
      <c r="P30" s="87">
        <f>IF(P8=0,0,P8/TrAvia_act!P6*1000)</f>
        <v>31.617765648863948</v>
      </c>
      <c r="Q30" s="87">
        <f>IF(Q8=0,0,Q8/TrAvia_act!Q6*1000)</f>
        <v>33.365890041758959</v>
      </c>
      <c r="R30" s="87">
        <f>IF(R8=0,0,R8/TrAvia_act!R6*1000)</f>
        <v>36.033240933092102</v>
      </c>
      <c r="S30" s="87">
        <f>IF(S8=0,0,S8/TrAvia_act!S6*1000)</f>
        <v>34.445563898398049</v>
      </c>
      <c r="T30" s="87">
        <f>IF(T8=0,0,T8/TrAvia_act!T6*1000)</f>
        <v>34.90688439575225</v>
      </c>
      <c r="U30" s="87">
        <f>IF(U8=0,0,U8/TrAvia_act!U6*1000)</f>
        <v>33.319749265879651</v>
      </c>
      <c r="V30" s="87">
        <f>IF(V8=0,0,V8/TrAvia_act!V6*1000)</f>
        <v>31.980677916575836</v>
      </c>
      <c r="W30" s="87">
        <f>IF(W8=0,0,W8/TrAvia_act!W6*1000)</f>
        <v>36.83822519444233</v>
      </c>
      <c r="DA30" s="171" t="s">
        <v>298</v>
      </c>
    </row>
    <row r="31" spans="1:105" ht="11.45" customHeight="1" x14ac:dyDescent="0.25">
      <c r="A31" s="83" t="s">
        <v>174</v>
      </c>
      <c r="B31" s="87">
        <f>IF(B9=0,0,B9/TrAvia_act!B7*1000)</f>
        <v>44.081192081383307</v>
      </c>
      <c r="C31" s="87">
        <f>IF(C9=0,0,C9/TrAvia_act!C7*1000)</f>
        <v>42.678121529618373</v>
      </c>
      <c r="D31" s="87">
        <f>IF(D9=0,0,D9/TrAvia_act!D7*1000)</f>
        <v>38.093492889646335</v>
      </c>
      <c r="E31" s="87">
        <f>IF(E9=0,0,E9/TrAvia_act!E7*1000)</f>
        <v>34.995412555631724</v>
      </c>
      <c r="F31" s="87">
        <f>IF(F9=0,0,F9/TrAvia_act!F7*1000)</f>
        <v>34.534537860814773</v>
      </c>
      <c r="G31" s="87">
        <f>IF(G9=0,0,G9/TrAvia_act!G7*1000)</f>
        <v>33.049059024875511</v>
      </c>
      <c r="H31" s="87">
        <f>IF(H9=0,0,H9/TrAvia_act!H7*1000)</f>
        <v>33.934620667774439</v>
      </c>
      <c r="I31" s="87">
        <f>IF(I9=0,0,I9/TrAvia_act!I7*1000)</f>
        <v>35.357800413299444</v>
      </c>
      <c r="J31" s="87">
        <f>IF(J9=0,0,J9/TrAvia_act!J7*1000)</f>
        <v>36.076313517005623</v>
      </c>
      <c r="K31" s="87">
        <f>IF(K9=0,0,K9/TrAvia_act!K7*1000)</f>
        <v>36.106499621187673</v>
      </c>
      <c r="L31" s="87">
        <f>IF(L9=0,0,L9/TrAvia_act!L7*1000)</f>
        <v>35.920957898557042</v>
      </c>
      <c r="M31" s="87">
        <f>IF(M9=0,0,M9/TrAvia_act!M7*1000)</f>
        <v>37.105477760535905</v>
      </c>
      <c r="N31" s="87">
        <f>IF(N9=0,0,N9/TrAvia_act!N7*1000)</f>
        <v>35.445910186052181</v>
      </c>
      <c r="O31" s="87">
        <f>IF(O9=0,0,O9/TrAvia_act!O7*1000)</f>
        <v>33.292313087729475</v>
      </c>
      <c r="P31" s="87">
        <f>IF(P9=0,0,P9/TrAvia_act!P7*1000)</f>
        <v>30.180778578027429</v>
      </c>
      <c r="Q31" s="87">
        <f>IF(Q9=0,0,Q9/TrAvia_act!Q7*1000)</f>
        <v>31.265409995820637</v>
      </c>
      <c r="R31" s="87">
        <f>IF(R9=0,0,R9/TrAvia_act!R7*1000)</f>
        <v>34.334352189336023</v>
      </c>
      <c r="S31" s="87">
        <f>IF(S9=0,0,S9/TrAvia_act!S7*1000)</f>
        <v>31.034122521726438</v>
      </c>
      <c r="T31" s="87">
        <f>IF(T9=0,0,T9/TrAvia_act!T7*1000)</f>
        <v>28.741282306647257</v>
      </c>
      <c r="U31" s="87">
        <f>IF(U9=0,0,U9/TrAvia_act!U7*1000)</f>
        <v>28.679478470739411</v>
      </c>
      <c r="V31" s="87">
        <f>IF(V9=0,0,V9/TrAvia_act!V7*1000)</f>
        <v>43.15861855116453</v>
      </c>
      <c r="W31" s="87">
        <f>IF(W9=0,0,W9/TrAvia_act!W7*1000)</f>
        <v>45.868803246396546</v>
      </c>
      <c r="DA31" s="171" t="s">
        <v>299</v>
      </c>
    </row>
    <row r="32" spans="1:105" ht="11.45" customHeight="1" x14ac:dyDescent="0.25">
      <c r="A32" s="12" t="s">
        <v>160</v>
      </c>
      <c r="B32" s="15">
        <f>IF(B10=0,0,B10/TrAvia_act!B8*1000)</f>
        <v>55.845970260799398</v>
      </c>
      <c r="C32" s="15">
        <f>IF(C10=0,0,C10/TrAvia_act!C8*1000)</f>
        <v>55.703236458704382</v>
      </c>
      <c r="D32" s="15">
        <f>IF(D10=0,0,D10/TrAvia_act!D8*1000)</f>
        <v>58.547758931700123</v>
      </c>
      <c r="E32" s="15">
        <f>IF(E10=0,0,E10/TrAvia_act!E8*1000)</f>
        <v>56.637139601180287</v>
      </c>
      <c r="F32" s="15">
        <f>IF(F10=0,0,F10/TrAvia_act!F8*1000)</f>
        <v>69.816476254857903</v>
      </c>
      <c r="G32" s="15">
        <f>IF(G10=0,0,G10/TrAvia_act!G8*1000)</f>
        <v>68.078598860163424</v>
      </c>
      <c r="H32" s="15">
        <f>IF(H10=0,0,H10/TrAvia_act!H8*1000)</f>
        <v>78.320009470766323</v>
      </c>
      <c r="I32" s="15">
        <f>IF(I10=0,0,I10/TrAvia_act!I8*1000)</f>
        <v>83.966815705788036</v>
      </c>
      <c r="J32" s="15">
        <f>IF(J10=0,0,J10/TrAvia_act!J8*1000)</f>
        <v>88.278764656411568</v>
      </c>
      <c r="K32" s="15">
        <f>IF(K10=0,0,K10/TrAvia_act!K8*1000)</f>
        <v>86.538505648434693</v>
      </c>
      <c r="L32" s="15">
        <f>IF(L10=0,0,L10/TrAvia_act!L8*1000)</f>
        <v>93.416694405783488</v>
      </c>
      <c r="M32" s="15">
        <f>IF(M10=0,0,M10/TrAvia_act!M8*1000)</f>
        <v>90.424237074800999</v>
      </c>
      <c r="N32" s="15">
        <f>IF(N10=0,0,N10/TrAvia_act!N8*1000)</f>
        <v>82.708765095367667</v>
      </c>
      <c r="O32" s="15">
        <f>IF(O10=0,0,O10/TrAvia_act!O8*1000)</f>
        <v>77.68931053086709</v>
      </c>
      <c r="P32" s="15">
        <f>IF(P10=0,0,P10/TrAvia_act!P8*1000)</f>
        <v>63.996404181700228</v>
      </c>
      <c r="Q32" s="15">
        <f>IF(Q10=0,0,Q10/TrAvia_act!Q8*1000)</f>
        <v>61.301601773314566</v>
      </c>
      <c r="R32" s="15">
        <f>IF(R10=0,0,R10/TrAvia_act!R8*1000)</f>
        <v>61.628964229578791</v>
      </c>
      <c r="S32" s="15">
        <f>IF(S10=0,0,S10/TrAvia_act!S8*1000)</f>
        <v>63.460362005706344</v>
      </c>
      <c r="T32" s="15">
        <f>IF(T10=0,0,T10/TrAvia_act!T8*1000)</f>
        <v>62.591477129819481</v>
      </c>
      <c r="U32" s="15">
        <f>IF(U10=0,0,U10/TrAvia_act!U8*1000)</f>
        <v>62.552430844397115</v>
      </c>
      <c r="V32" s="15">
        <f>IF(V10=0,0,V10/TrAvia_act!V8*1000)</f>
        <v>95.17523805200625</v>
      </c>
      <c r="W32" s="15">
        <f>IF(W10=0,0,W10/TrAvia_act!W8*1000)</f>
        <v>111.79501822560404</v>
      </c>
      <c r="DA32" s="193" t="s">
        <v>300</v>
      </c>
    </row>
    <row r="33" spans="1:105" ht="11.45" customHeight="1" x14ac:dyDescent="0.25">
      <c r="A33" s="92" t="s">
        <v>27</v>
      </c>
      <c r="B33" s="101">
        <f>IF(B11=0,0,B11/TrAvia_act!B9*1000)</f>
        <v>674.30976723937158</v>
      </c>
      <c r="C33" s="101">
        <f>IF(C11=0,0,C11/TrAvia_act!C9*1000)</f>
        <v>714.71337555848527</v>
      </c>
      <c r="D33" s="101">
        <f>IF(D11=0,0,D11/TrAvia_act!D9*1000)</f>
        <v>667.00835443847791</v>
      </c>
      <c r="E33" s="101">
        <f>IF(E11=0,0,E11/TrAvia_act!E9*1000)</f>
        <v>636.5962167803367</v>
      </c>
      <c r="F33" s="101">
        <f>IF(F11=0,0,F11/TrAvia_act!F9*1000)</f>
        <v>733.96269785021809</v>
      </c>
      <c r="G33" s="101">
        <f>IF(G11=0,0,G11/TrAvia_act!G9*1000)</f>
        <v>747.87106021361569</v>
      </c>
      <c r="H33" s="101">
        <f>IF(H11=0,0,H11/TrAvia_act!H9*1000)</f>
        <v>786.19687176052628</v>
      </c>
      <c r="I33" s="101">
        <f>IF(I11=0,0,I11/TrAvia_act!I9*1000)</f>
        <v>780.93081793837462</v>
      </c>
      <c r="J33" s="101">
        <f>IF(J11=0,0,J11/TrAvia_act!J9*1000)</f>
        <v>738.68040032225076</v>
      </c>
      <c r="K33" s="101">
        <f>IF(K11=0,0,K11/TrAvia_act!K9*1000)</f>
        <v>717.63879600735015</v>
      </c>
      <c r="L33" s="101">
        <f>IF(L11=0,0,L11/TrAvia_act!L9*1000)</f>
        <v>663.80486408936702</v>
      </c>
      <c r="M33" s="101">
        <f>IF(M11=0,0,M11/TrAvia_act!M9*1000)</f>
        <v>798.88544921296341</v>
      </c>
      <c r="N33" s="101">
        <f>IF(N11=0,0,N11/TrAvia_act!N9*1000)</f>
        <v>710.28795267175781</v>
      </c>
      <c r="O33" s="101">
        <f>IF(O11=0,0,O11/TrAvia_act!O9*1000)</f>
        <v>749.609826595973</v>
      </c>
      <c r="P33" s="101">
        <f>IF(P11=0,0,P11/TrAvia_act!P9*1000)</f>
        <v>733.22264761898043</v>
      </c>
      <c r="Q33" s="101">
        <f>IF(Q11=0,0,Q11/TrAvia_act!Q9*1000)</f>
        <v>852.40176160614772</v>
      </c>
      <c r="R33" s="101">
        <f>IF(R11=0,0,R11/TrAvia_act!R9*1000)</f>
        <v>827.15093222511371</v>
      </c>
      <c r="S33" s="101">
        <f>IF(S11=0,0,S11/TrAvia_act!S9*1000)</f>
        <v>912.87050159059868</v>
      </c>
      <c r="T33" s="101">
        <f>IF(T11=0,0,T11/TrAvia_act!T9*1000)</f>
        <v>1019.9999108748849</v>
      </c>
      <c r="U33" s="101">
        <f>IF(U11=0,0,U11/TrAvia_act!U9*1000)</f>
        <v>695.44595343489345</v>
      </c>
      <c r="V33" s="101">
        <f>IF(V11=0,0,V11/TrAvia_act!V9*1000)</f>
        <v>1505.7794863211031</v>
      </c>
      <c r="W33" s="101">
        <f>IF(W11=0,0,W11/TrAvia_act!W9*1000)</f>
        <v>2164.9270819152594</v>
      </c>
      <c r="DA33" s="175" t="s">
        <v>301</v>
      </c>
    </row>
    <row r="34" spans="1:105" ht="11.45" customHeight="1" x14ac:dyDescent="0.25">
      <c r="A34" s="92" t="s">
        <v>173</v>
      </c>
      <c r="B34" s="101">
        <f>IF(B12=0,0,B12/TrAvia_act!B10*1000)</f>
        <v>127.94276419372841</v>
      </c>
      <c r="C34" s="101">
        <f>IF(C12=0,0,C12/TrAvia_act!C10*1000)</f>
        <v>124.28625850750991</v>
      </c>
      <c r="D34" s="101">
        <f>IF(D12=0,0,D12/TrAvia_act!D10*1000)</f>
        <v>124.61816170919266</v>
      </c>
      <c r="E34" s="101">
        <f>IF(E12=0,0,E12/TrAvia_act!E10*1000)</f>
        <v>110.49352414488753</v>
      </c>
      <c r="F34" s="101">
        <f>IF(F12=0,0,F12/TrAvia_act!F10*1000)</f>
        <v>131.48454551708994</v>
      </c>
      <c r="G34" s="101">
        <f>IF(G12=0,0,G12/TrAvia_act!G10*1000)</f>
        <v>145.99731835570097</v>
      </c>
      <c r="H34" s="101">
        <f>IF(H12=0,0,H12/TrAvia_act!H10*1000)</f>
        <v>172.61770619057836</v>
      </c>
      <c r="I34" s="101">
        <f>IF(I12=0,0,I12/TrAvia_act!I10*1000)</f>
        <v>184.53825980906882</v>
      </c>
      <c r="J34" s="101">
        <f>IF(J12=0,0,J12/TrAvia_act!J10*1000)</f>
        <v>189.65234514233046</v>
      </c>
      <c r="K34" s="101">
        <f>IF(K12=0,0,K12/TrAvia_act!K10*1000)</f>
        <v>181.57558420533653</v>
      </c>
      <c r="L34" s="101">
        <f>IF(L12=0,0,L12/TrAvia_act!L10*1000)</f>
        <v>196.63531847208486</v>
      </c>
      <c r="M34" s="101">
        <f>IF(M12=0,0,M12/TrAvia_act!M10*1000)</f>
        <v>205.78913883732216</v>
      </c>
      <c r="N34" s="101">
        <f>IF(N12=0,0,N12/TrAvia_act!N10*1000)</f>
        <v>192.55586864102409</v>
      </c>
      <c r="O34" s="101">
        <f>IF(O12=0,0,O12/TrAvia_act!O10*1000)</f>
        <v>196.10724538168768</v>
      </c>
      <c r="P34" s="101">
        <f>IF(P12=0,0,P12/TrAvia_act!P10*1000)</f>
        <v>161.46765378966666</v>
      </c>
      <c r="Q34" s="101">
        <f>IF(Q12=0,0,Q12/TrAvia_act!Q10*1000)</f>
        <v>161.48037748655369</v>
      </c>
      <c r="R34" s="101">
        <f>IF(R12=0,0,R12/TrAvia_act!R10*1000)</f>
        <v>160.4333077135021</v>
      </c>
      <c r="S34" s="101">
        <f>IF(S12=0,0,S12/TrAvia_act!S10*1000)</f>
        <v>172.70060617308437</v>
      </c>
      <c r="T34" s="101">
        <f>IF(T12=0,0,T12/TrAvia_act!T10*1000)</f>
        <v>170.97961123575672</v>
      </c>
      <c r="U34" s="101">
        <f>IF(U12=0,0,U12/TrAvia_act!U10*1000)</f>
        <v>156.14261309478402</v>
      </c>
      <c r="V34" s="101">
        <f>IF(V12=0,0,V12/TrAvia_act!V10*1000)</f>
        <v>156.41873747174415</v>
      </c>
      <c r="W34" s="101">
        <f>IF(W12=0,0,W12/TrAvia_act!W10*1000)</f>
        <v>199.85175420344362</v>
      </c>
      <c r="DA34" s="175" t="s">
        <v>302</v>
      </c>
    </row>
    <row r="35" spans="1:105" ht="11.45" customHeight="1" x14ac:dyDescent="0.25">
      <c r="A35" s="85" t="s">
        <v>174</v>
      </c>
      <c r="B35" s="88">
        <f>IF(B13=0,0,B13/TrAvia_act!B11*1000)</f>
        <v>30.492036278084189</v>
      </c>
      <c r="C35" s="88">
        <f>IF(C13=0,0,C13/TrAvia_act!C11*1000)</f>
        <v>29.705178928866349</v>
      </c>
      <c r="D35" s="88">
        <f>IF(D13=0,0,D13/TrAvia_act!D11*1000)</f>
        <v>29.714748453233025</v>
      </c>
      <c r="E35" s="88">
        <f>IF(E13=0,0,E13/TrAvia_act!E11*1000)</f>
        <v>29.921680835628173</v>
      </c>
      <c r="F35" s="88">
        <f>IF(F13=0,0,F13/TrAvia_act!F11*1000)</f>
        <v>31.483249736676392</v>
      </c>
      <c r="G35" s="88">
        <f>IF(G13=0,0,G13/TrAvia_act!G11*1000)</f>
        <v>32.890504677959697</v>
      </c>
      <c r="H35" s="88">
        <f>IF(H13=0,0,H13/TrAvia_act!H11*1000)</f>
        <v>35.859957373911435</v>
      </c>
      <c r="I35" s="88">
        <f>IF(I13=0,0,I13/TrAvia_act!I11*1000)</f>
        <v>40.192872947830601</v>
      </c>
      <c r="J35" s="88">
        <f>IF(J13=0,0,J13/TrAvia_act!J11*1000)</f>
        <v>41.841659416732725</v>
      </c>
      <c r="K35" s="88">
        <f>IF(K13=0,0,K13/TrAvia_act!K11*1000)</f>
        <v>37.430348094208654</v>
      </c>
      <c r="L35" s="88">
        <f>IF(L13=0,0,L13/TrAvia_act!L11*1000)</f>
        <v>39.706655671267725</v>
      </c>
      <c r="M35" s="88">
        <f>IF(M13=0,0,M13/TrAvia_act!M11*1000)</f>
        <v>45.712187062729569</v>
      </c>
      <c r="N35" s="88">
        <f>IF(N13=0,0,N13/TrAvia_act!N11*1000)</f>
        <v>48.453418166899908</v>
      </c>
      <c r="O35" s="88">
        <f>IF(O13=0,0,O13/TrAvia_act!O11*1000)</f>
        <v>44.70360474435644</v>
      </c>
      <c r="P35" s="88">
        <f>IF(P13=0,0,P13/TrAvia_act!P11*1000)</f>
        <v>36.850546747587735</v>
      </c>
      <c r="Q35" s="88">
        <f>IF(Q13=0,0,Q13/TrAvia_act!Q11*1000)</f>
        <v>41.102284678118238</v>
      </c>
      <c r="R35" s="88">
        <f>IF(R13=0,0,R13/TrAvia_act!R11*1000)</f>
        <v>44.997974370951788</v>
      </c>
      <c r="S35" s="88">
        <f>IF(S13=0,0,S13/TrAvia_act!S11*1000)</f>
        <v>45.209418713616863</v>
      </c>
      <c r="T35" s="88">
        <f>IF(T13=0,0,T13/TrAvia_act!T11*1000)</f>
        <v>47.441619291578554</v>
      </c>
      <c r="U35" s="88">
        <f>IF(U13=0,0,U13/TrAvia_act!U11*1000)</f>
        <v>48.688256548979396</v>
      </c>
      <c r="V35" s="88">
        <f>IF(V13=0,0,V13/TrAvia_act!V11*1000)</f>
        <v>80.639732502683074</v>
      </c>
      <c r="W35" s="88">
        <f>IF(W13=0,0,W13/TrAvia_act!W11*1000)</f>
        <v>86.407537461735984</v>
      </c>
      <c r="DA35" s="178" t="s">
        <v>303</v>
      </c>
    </row>
    <row r="36" spans="1:105" x14ac:dyDescent="0.25">
      <c r="A36" s="50"/>
      <c r="B36" s="50"/>
      <c r="C36" s="50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DA36" s="181"/>
    </row>
    <row r="37" spans="1:105" ht="11.45" customHeight="1" x14ac:dyDescent="0.25">
      <c r="A37" s="53" t="s">
        <v>75</v>
      </c>
      <c r="B37" s="62">
        <f>IF(B3=0,0,B3/TrAvia_act!B23*1000000)</f>
        <v>4448.4182868403086</v>
      </c>
      <c r="C37" s="62">
        <f>IF(C3=0,0,C3/TrAvia_act!C23*1000000)</f>
        <v>4497.0116287247474</v>
      </c>
      <c r="D37" s="62">
        <f>IF(D3=0,0,D3/TrAvia_act!D23*1000000)</f>
        <v>4178.6933840374431</v>
      </c>
      <c r="E37" s="62">
        <f>IF(E3=0,0,E3/TrAvia_act!E23*1000000)</f>
        <v>3789.6419473840797</v>
      </c>
      <c r="F37" s="62">
        <f>IF(F3=0,0,F3/TrAvia_act!F23*1000000)</f>
        <v>3996.8376506995337</v>
      </c>
      <c r="G37" s="62">
        <f>IF(G3=0,0,G3/TrAvia_act!G23*1000000)</f>
        <v>4383.1684288874294</v>
      </c>
      <c r="H37" s="62">
        <f>IF(H3=0,0,H3/TrAvia_act!H23*1000000)</f>
        <v>4571.1890041317829</v>
      </c>
      <c r="I37" s="62">
        <f>IF(I3=0,0,I3/TrAvia_act!I23*1000000)</f>
        <v>4544.7384913083306</v>
      </c>
      <c r="J37" s="62">
        <f>IF(J3=0,0,J3/TrAvia_act!J23*1000000)</f>
        <v>4360.4250223420004</v>
      </c>
      <c r="K37" s="62">
        <f>IF(K3=0,0,K3/TrAvia_act!K23*1000000)</f>
        <v>4159.0175248531159</v>
      </c>
      <c r="L37" s="62">
        <f>IF(L3=0,0,L3/TrAvia_act!L23*1000000)</f>
        <v>4406.7080064327629</v>
      </c>
      <c r="M37" s="62">
        <f>IF(M3=0,0,M3/TrAvia_act!M23*1000000)</f>
        <v>4725.1751984217663</v>
      </c>
      <c r="N37" s="62">
        <f>IF(N3=0,0,N3/TrAvia_act!N23*1000000)</f>
        <v>4722.02530685291</v>
      </c>
      <c r="O37" s="62">
        <f>IF(O3=0,0,O3/TrAvia_act!O23*1000000)</f>
        <v>4711.5546684350902</v>
      </c>
      <c r="P37" s="62">
        <f>IF(P3=0,0,P3/TrAvia_act!P23*1000000)</f>
        <v>4694.0859404245093</v>
      </c>
      <c r="Q37" s="62">
        <f>IF(Q3=0,0,Q3/TrAvia_act!Q23*1000000)</f>
        <v>5120.3902083820967</v>
      </c>
      <c r="R37" s="62">
        <f>IF(R3=0,0,R3/TrAvia_act!R23*1000000)</f>
        <v>5692.8984406328173</v>
      </c>
      <c r="S37" s="62">
        <f>IF(S3=0,0,S3/TrAvia_act!S23*1000000)</f>
        <v>5483.7914998334827</v>
      </c>
      <c r="T37" s="62">
        <f>IF(T3=0,0,T3/TrAvia_act!T23*1000000)</f>
        <v>5824.3104092526455</v>
      </c>
      <c r="U37" s="62">
        <f>IF(U3=0,0,U3/TrAvia_act!U23*1000000)</f>
        <v>6177.8920908843374</v>
      </c>
      <c r="V37" s="62">
        <f>IF(V3=0,0,V3/TrAvia_act!V23*1000000)</f>
        <v>5896.9871887649751</v>
      </c>
      <c r="W37" s="62">
        <f>IF(W3=0,0,W3/TrAvia_act!W23*1000000)</f>
        <v>6715.2958640003717</v>
      </c>
      <c r="DA37" s="172" t="s">
        <v>304</v>
      </c>
    </row>
    <row r="38" spans="1:105" ht="11.45" customHeight="1" x14ac:dyDescent="0.25">
      <c r="A38" s="10" t="s">
        <v>33</v>
      </c>
      <c r="B38" s="14">
        <f>IF(B6=0,0,B6/TrAvia_act!B24*1000000)</f>
        <v>4473.9583585564405</v>
      </c>
      <c r="C38" s="14">
        <f>IF(C6=0,0,C6/TrAvia_act!C24*1000000)</f>
        <v>4520.1661107350337</v>
      </c>
      <c r="D38" s="14">
        <f>IF(D6=0,0,D6/TrAvia_act!D24*1000000)</f>
        <v>4205.0848507545807</v>
      </c>
      <c r="E38" s="14">
        <f>IF(E6=0,0,E6/TrAvia_act!E24*1000000)</f>
        <v>3813.7722895846232</v>
      </c>
      <c r="F38" s="14">
        <f>IF(F6=0,0,F6/TrAvia_act!F24*1000000)</f>
        <v>4032.0009366677909</v>
      </c>
      <c r="G38" s="14">
        <f>IF(G6=0,0,G6/TrAvia_act!G24*1000000)</f>
        <v>4424.7441550605718</v>
      </c>
      <c r="H38" s="14">
        <f>IF(H6=0,0,H6/TrAvia_act!H24*1000000)</f>
        <v>4625.7064795187198</v>
      </c>
      <c r="I38" s="14">
        <f>IF(I6=0,0,I6/TrAvia_act!I24*1000000)</f>
        <v>4591.7144999878929</v>
      </c>
      <c r="J38" s="14">
        <f>IF(J6=0,0,J6/TrAvia_act!J24*1000000)</f>
        <v>4404.3878977666063</v>
      </c>
      <c r="K38" s="14">
        <f>IF(K6=0,0,K6/TrAvia_act!K24*1000000)</f>
        <v>4204.6684062103495</v>
      </c>
      <c r="L38" s="14">
        <f>IF(L6=0,0,L6/TrAvia_act!L24*1000000)</f>
        <v>4462.1609069698216</v>
      </c>
      <c r="M38" s="14">
        <f>IF(M6=0,0,M6/TrAvia_act!M24*1000000)</f>
        <v>4769.7543122241486</v>
      </c>
      <c r="N38" s="14">
        <f>IF(N6=0,0,N6/TrAvia_act!N24*1000000)</f>
        <v>4745.4574084114374</v>
      </c>
      <c r="O38" s="14">
        <f>IF(O6=0,0,O6/TrAvia_act!O24*1000000)</f>
        <v>4730.2648351012995</v>
      </c>
      <c r="P38" s="14">
        <f>IF(P6=0,0,P6/TrAvia_act!P24*1000000)</f>
        <v>4711.4733736734979</v>
      </c>
      <c r="Q38" s="14">
        <f>IF(Q6=0,0,Q6/TrAvia_act!Q24*1000000)</f>
        <v>5124.4305890249834</v>
      </c>
      <c r="R38" s="14">
        <f>IF(R6=0,0,R6/TrAvia_act!R24*1000000)</f>
        <v>5674.0982882446478</v>
      </c>
      <c r="S38" s="14">
        <f>IF(S6=0,0,S6/TrAvia_act!S24*1000000)</f>
        <v>5457.7124413252641</v>
      </c>
      <c r="T38" s="14">
        <f>IF(T6=0,0,T6/TrAvia_act!T24*1000000)</f>
        <v>5774.2564682158718</v>
      </c>
      <c r="U38" s="14">
        <f>IF(U6=0,0,U6/TrAvia_act!U24*1000000)</f>
        <v>6133.8002056004716</v>
      </c>
      <c r="V38" s="14">
        <f>IF(V6=0,0,V6/TrAvia_act!V24*1000000)</f>
        <v>5819.5597297457925</v>
      </c>
      <c r="W38" s="14">
        <f>IF(W6=0,0,W6/TrAvia_act!W24*1000000)</f>
        <v>6677.6996048068959</v>
      </c>
      <c r="DA38" s="189" t="s">
        <v>305</v>
      </c>
    </row>
    <row r="39" spans="1:105" ht="11.45" customHeight="1" x14ac:dyDescent="0.25">
      <c r="A39" s="83" t="s">
        <v>27</v>
      </c>
      <c r="B39" s="87">
        <f>IF(B7=0,0,B7/TrAvia_act!B25*1000000)</f>
        <v>1657.0356854483248</v>
      </c>
      <c r="C39" s="87">
        <f>IF(C7=0,0,C7/TrAvia_act!C25*1000000)</f>
        <v>1742.9313775864453</v>
      </c>
      <c r="D39" s="87">
        <f>IF(D7=0,0,D7/TrAvia_act!D25*1000000)</f>
        <v>1672.6757297329907</v>
      </c>
      <c r="E39" s="87">
        <f>IF(E7=0,0,E7/TrAvia_act!E25*1000000)</f>
        <v>1698.0816354819158</v>
      </c>
      <c r="F39" s="87">
        <f>IF(F7=0,0,F7/TrAvia_act!F25*1000000)</f>
        <v>1843.5790608594264</v>
      </c>
      <c r="G39" s="87">
        <f>IF(G7=0,0,G7/TrAvia_act!G25*1000000)</f>
        <v>1862.6852930670923</v>
      </c>
      <c r="H39" s="87">
        <f>IF(H7=0,0,H7/TrAvia_act!H25*1000000)</f>
        <v>1893.5494454157731</v>
      </c>
      <c r="I39" s="87">
        <f>IF(I7=0,0,I7/TrAvia_act!I25*1000000)</f>
        <v>1914.9821593091115</v>
      </c>
      <c r="J39" s="87">
        <f>IF(J7=0,0,J7/TrAvia_act!J25*1000000)</f>
        <v>1808.1348849926824</v>
      </c>
      <c r="K39" s="87">
        <f>IF(K7=0,0,K7/TrAvia_act!K25*1000000)</f>
        <v>1818.4243571240706</v>
      </c>
      <c r="L39" s="87">
        <f>IF(L7=0,0,L7/TrAvia_act!L25*1000000)</f>
        <v>1775.7017477420932</v>
      </c>
      <c r="M39" s="87">
        <f>IF(M7=0,0,M7/TrAvia_act!M25*1000000)</f>
        <v>2262.1300400460559</v>
      </c>
      <c r="N39" s="87">
        <f>IF(N7=0,0,N7/TrAvia_act!N25*1000000)</f>
        <v>2109.8928048332309</v>
      </c>
      <c r="O39" s="87">
        <f>IF(O7=0,0,O7/TrAvia_act!O25*1000000)</f>
        <v>2192.9286615757642</v>
      </c>
      <c r="P39" s="87">
        <f>IF(P7=0,0,P7/TrAvia_act!P25*1000000)</f>
        <v>2264.2302606118733</v>
      </c>
      <c r="Q39" s="87">
        <f>IF(Q7=0,0,Q7/TrAvia_act!Q25*1000000)</f>
        <v>2553.0584295177005</v>
      </c>
      <c r="R39" s="87">
        <f>IF(R7=0,0,R7/TrAvia_act!R25*1000000)</f>
        <v>2832.9088336610412</v>
      </c>
      <c r="S39" s="87">
        <f>IF(S7=0,0,S7/TrAvia_act!S25*1000000)</f>
        <v>2752.247149723949</v>
      </c>
      <c r="T39" s="87">
        <f>IF(T7=0,0,T7/TrAvia_act!T25*1000000)</f>
        <v>2942.34874962086</v>
      </c>
      <c r="U39" s="87">
        <f>IF(U7=0,0,U7/TrAvia_act!U25*1000000)</f>
        <v>2610.4292872023129</v>
      </c>
      <c r="V39" s="87">
        <f>IF(V7=0,0,V7/TrAvia_act!V25*1000000)</f>
        <v>5127.6864001172034</v>
      </c>
      <c r="W39" s="87">
        <f>IF(W7=0,0,W7/TrAvia_act!W25*1000000)</f>
        <v>6544.1473678902612</v>
      </c>
      <c r="DA39" s="171" t="s">
        <v>306</v>
      </c>
    </row>
    <row r="40" spans="1:105" ht="11.45" customHeight="1" x14ac:dyDescent="0.25">
      <c r="A40" s="83" t="s">
        <v>173</v>
      </c>
      <c r="B40" s="87">
        <f>IF(B8=0,0,B8/TrAvia_act!B26*1000000)</f>
        <v>2920.0015254047189</v>
      </c>
      <c r="C40" s="87">
        <f>IF(C8=0,0,C8/TrAvia_act!C26*1000000)</f>
        <v>2980.4459749735765</v>
      </c>
      <c r="D40" s="87">
        <f>IF(D8=0,0,D8/TrAvia_act!D26*1000000)</f>
        <v>2812.6343542272298</v>
      </c>
      <c r="E40" s="87">
        <f>IF(E8=0,0,E8/TrAvia_act!E26*1000000)</f>
        <v>2574.6456401052064</v>
      </c>
      <c r="F40" s="87">
        <f>IF(F8=0,0,F8/TrAvia_act!F26*1000000)</f>
        <v>2635.6484980850219</v>
      </c>
      <c r="G40" s="87">
        <f>IF(G8=0,0,G8/TrAvia_act!G26*1000000)</f>
        <v>2912.6117496873558</v>
      </c>
      <c r="H40" s="87">
        <f>IF(H8=0,0,H8/TrAvia_act!H26*1000000)</f>
        <v>3039.7951055670983</v>
      </c>
      <c r="I40" s="87">
        <f>IF(I8=0,0,I8/TrAvia_act!I26*1000000)</f>
        <v>3027.7939262503141</v>
      </c>
      <c r="J40" s="87">
        <f>IF(J8=0,0,J8/TrAvia_act!J26*1000000)</f>
        <v>2888.7100510047449</v>
      </c>
      <c r="K40" s="87">
        <f>IF(K8=0,0,K8/TrAvia_act!K26*1000000)</f>
        <v>2730.6724040343529</v>
      </c>
      <c r="L40" s="87">
        <f>IF(L8=0,0,L8/TrAvia_act!L26*1000000)</f>
        <v>2909.3228283899434</v>
      </c>
      <c r="M40" s="87">
        <f>IF(M8=0,0,M8/TrAvia_act!M26*1000000)</f>
        <v>3041.7475039647588</v>
      </c>
      <c r="N40" s="87">
        <f>IF(N8=0,0,N8/TrAvia_act!N26*1000000)</f>
        <v>3022.0679191655099</v>
      </c>
      <c r="O40" s="87">
        <f>IF(O8=0,0,O8/TrAvia_act!O26*1000000)</f>
        <v>3046.7367182373587</v>
      </c>
      <c r="P40" s="87">
        <f>IF(P8=0,0,P8/TrAvia_act!P26*1000000)</f>
        <v>3002.4746947854733</v>
      </c>
      <c r="Q40" s="87">
        <f>IF(Q8=0,0,Q8/TrAvia_act!Q26*1000000)</f>
        <v>3243.7994383665387</v>
      </c>
      <c r="R40" s="87">
        <f>IF(R8=0,0,R8/TrAvia_act!R26*1000000)</f>
        <v>3639.7530955450843</v>
      </c>
      <c r="S40" s="87">
        <f>IF(S8=0,0,S8/TrAvia_act!S26*1000000)</f>
        <v>3590.963839655346</v>
      </c>
      <c r="T40" s="87">
        <f>IF(T8=0,0,T8/TrAvia_act!T26*1000000)</f>
        <v>3787.4630997741733</v>
      </c>
      <c r="U40" s="87">
        <f>IF(U8=0,0,U8/TrAvia_act!U26*1000000)</f>
        <v>3925.8326968834181</v>
      </c>
      <c r="V40" s="87">
        <f>IF(V8=0,0,V8/TrAvia_act!V26*1000000)</f>
        <v>3072.7101978962482</v>
      </c>
      <c r="W40" s="87">
        <f>IF(W8=0,0,W8/TrAvia_act!W26*1000000)</f>
        <v>4028.4078057764814</v>
      </c>
      <c r="DA40" s="171" t="s">
        <v>307</v>
      </c>
    </row>
    <row r="41" spans="1:105" ht="11.45" customHeight="1" x14ac:dyDescent="0.25">
      <c r="A41" s="83" t="s">
        <v>174</v>
      </c>
      <c r="B41" s="87">
        <f>IF(B9=0,0,B9/TrAvia_act!B27*1000000)</f>
        <v>10302.437925859636</v>
      </c>
      <c r="C41" s="87">
        <f>IF(C9=0,0,C9/TrAvia_act!C27*1000000)</f>
        <v>10514.008326320592</v>
      </c>
      <c r="D41" s="87">
        <f>IF(D9=0,0,D9/TrAvia_act!D27*1000000)</f>
        <v>9932.8583359900513</v>
      </c>
      <c r="E41" s="87">
        <f>IF(E9=0,0,E9/TrAvia_act!E27*1000000)</f>
        <v>9089.5820504146686</v>
      </c>
      <c r="F41" s="87">
        <f>IF(F9=0,0,F9/TrAvia_act!F27*1000000)</f>
        <v>9283.5498874481982</v>
      </c>
      <c r="G41" s="87">
        <f>IF(G9=0,0,G9/TrAvia_act!G27*1000000)</f>
        <v>10152.103260068636</v>
      </c>
      <c r="H41" s="87">
        <f>IF(H9=0,0,H9/TrAvia_act!H27*1000000)</f>
        <v>11216.136448670322</v>
      </c>
      <c r="I41" s="87">
        <f>IF(I9=0,0,I9/TrAvia_act!I27*1000000)</f>
        <v>11165.340940034597</v>
      </c>
      <c r="J41" s="87">
        <f>IF(J9=0,0,J9/TrAvia_act!J27*1000000)</f>
        <v>10492.311540404615</v>
      </c>
      <c r="K41" s="87">
        <f>IF(K9=0,0,K9/TrAvia_act!K27*1000000)</f>
        <v>9830.3229429939602</v>
      </c>
      <c r="L41" s="87">
        <f>IF(L9=0,0,L9/TrAvia_act!L27*1000000)</f>
        <v>10323.31740941735</v>
      </c>
      <c r="M41" s="87">
        <f>IF(M9=0,0,M9/TrAvia_act!M27*1000000)</f>
        <v>10544.371114119529</v>
      </c>
      <c r="N41" s="87">
        <f>IF(N9=0,0,N9/TrAvia_act!N27*1000000)</f>
        <v>10426.973643033345</v>
      </c>
      <c r="O41" s="87">
        <f>IF(O9=0,0,O9/TrAvia_act!O27*1000000)</f>
        <v>9894.8207868901882</v>
      </c>
      <c r="P41" s="87">
        <f>IF(P9=0,0,P9/TrAvia_act!P27*1000000)</f>
        <v>10081.526088763107</v>
      </c>
      <c r="Q41" s="87">
        <f>IF(Q9=0,0,Q9/TrAvia_act!Q27*1000000)</f>
        <v>10998.604194155978</v>
      </c>
      <c r="R41" s="87">
        <f>IF(R9=0,0,R9/TrAvia_act!R27*1000000)</f>
        <v>12480.999479533491</v>
      </c>
      <c r="S41" s="87">
        <f>IF(S9=0,0,S9/TrAvia_act!S27*1000000)</f>
        <v>11549.595912903869</v>
      </c>
      <c r="T41" s="87">
        <f>IF(T9=0,0,T9/TrAvia_act!T27*1000000)</f>
        <v>12110.075638374599</v>
      </c>
      <c r="U41" s="87">
        <f>IF(U9=0,0,U9/TrAvia_act!U27*1000000)</f>
        <v>13133.256739252678</v>
      </c>
      <c r="V41" s="87">
        <f>IF(V9=0,0,V9/TrAvia_act!V27*1000000)</f>
        <v>14491.006485125779</v>
      </c>
      <c r="W41" s="87">
        <f>IF(W9=0,0,W9/TrAvia_act!W27*1000000)</f>
        <v>13178.898437400403</v>
      </c>
      <c r="DA41" s="171" t="s">
        <v>308</v>
      </c>
    </row>
    <row r="42" spans="1:105" ht="11.45" customHeight="1" x14ac:dyDescent="0.25">
      <c r="A42" s="12" t="s">
        <v>34</v>
      </c>
      <c r="B42" s="15">
        <f>IF(B10=0,0,B10/TrAvia_act!B28*1000000)</f>
        <v>3115.6788153615298</v>
      </c>
      <c r="C42" s="15">
        <f>IF(C10=0,0,C10/TrAvia_act!C28*1000000)</f>
        <v>3168.9162778631253</v>
      </c>
      <c r="D42" s="15">
        <f>IF(D10=0,0,D10/TrAvia_act!D28*1000000)</f>
        <v>2963.5518316286284</v>
      </c>
      <c r="E42" s="15">
        <f>IF(E10=0,0,E10/TrAvia_act!E28*1000000)</f>
        <v>2705.8394624918774</v>
      </c>
      <c r="F42" s="15">
        <f>IF(F10=0,0,F10/TrAvia_act!F28*1000000)</f>
        <v>2809.9854529479394</v>
      </c>
      <c r="G42" s="15">
        <f>IF(G10=0,0,G10/TrAvia_act!G28*1000000)</f>
        <v>3107.2281357889533</v>
      </c>
      <c r="H42" s="15">
        <f>IF(H10=0,0,H10/TrAvia_act!H28*1000000)</f>
        <v>3065.0544931837367</v>
      </c>
      <c r="I42" s="15">
        <f>IF(I10=0,0,I10/TrAvia_act!I28*1000000)</f>
        <v>3041.8247584955634</v>
      </c>
      <c r="J42" s="15">
        <f>IF(J10=0,0,J10/TrAvia_act!J28*1000000)</f>
        <v>2848.1886098065215</v>
      </c>
      <c r="K42" s="15">
        <f>IF(K10=0,0,K10/TrAvia_act!K28*1000000)</f>
        <v>2578.760692180454</v>
      </c>
      <c r="L42" s="15">
        <f>IF(L10=0,0,L10/TrAvia_act!L28*1000000)</f>
        <v>2652.254986431114</v>
      </c>
      <c r="M42" s="15">
        <f>IF(M10=0,0,M10/TrAvia_act!M28*1000000)</f>
        <v>3311.9302113318572</v>
      </c>
      <c r="N42" s="15">
        <f>IF(N10=0,0,N10/TrAvia_act!N28*1000000)</f>
        <v>3880.6279459542393</v>
      </c>
      <c r="O42" s="15">
        <f>IF(O10=0,0,O10/TrAvia_act!O28*1000000)</f>
        <v>4096.2380454724052</v>
      </c>
      <c r="P42" s="15">
        <f>IF(P10=0,0,P10/TrAvia_act!P28*1000000)</f>
        <v>4158.35162402066</v>
      </c>
      <c r="Q42" s="15">
        <f>IF(Q10=0,0,Q10/TrAvia_act!Q28*1000000)</f>
        <v>4995.742931684108</v>
      </c>
      <c r="R42" s="15">
        <f>IF(R10=0,0,R10/TrAvia_act!R28*1000000)</f>
        <v>6385.7556976180831</v>
      </c>
      <c r="S42" s="15">
        <f>IF(S10=0,0,S10/TrAvia_act!S28*1000000)</f>
        <v>6327.6548644238701</v>
      </c>
      <c r="T42" s="15">
        <f>IF(T10=0,0,T10/TrAvia_act!T28*1000000)</f>
        <v>7537.6568109414247</v>
      </c>
      <c r="U42" s="15">
        <f>IF(U10=0,0,U10/TrAvia_act!U28*1000000)</f>
        <v>7718.2679228486677</v>
      </c>
      <c r="V42" s="15">
        <f>IF(V10=0,0,V10/TrAvia_act!V28*1000000)</f>
        <v>6937.3067017092244</v>
      </c>
      <c r="W42" s="15">
        <f>IF(W10=0,0,W10/TrAvia_act!W28*1000000)</f>
        <v>7213.4184333555886</v>
      </c>
      <c r="DA42" s="193" t="s">
        <v>309</v>
      </c>
    </row>
    <row r="43" spans="1:105" ht="11.45" customHeight="1" x14ac:dyDescent="0.25">
      <c r="A43" s="92" t="s">
        <v>27</v>
      </c>
      <c r="B43" s="101">
        <f>IF(B11=0,0,B11/TrAvia_act!B29*1000000)</f>
        <v>1605.0358265167936</v>
      </c>
      <c r="C43" s="101">
        <f>IF(C11=0,0,C11/TrAvia_act!C29*1000000)</f>
        <v>1688.2360040602484</v>
      </c>
      <c r="D43" s="101">
        <f>IF(D11=0,0,D11/TrAvia_act!D29*1000000)</f>
        <v>1620.1850665878706</v>
      </c>
      <c r="E43" s="101">
        <f>IF(E11=0,0,E11/TrAvia_act!E29*1000000)</f>
        <v>1644.7937031369991</v>
      </c>
      <c r="F43" s="101">
        <f>IF(F11=0,0,F11/TrAvia_act!F29*1000000)</f>
        <v>1785.725236747076</v>
      </c>
      <c r="G43" s="101">
        <f>IF(G11=0,0,G11/TrAvia_act!G29*1000000)</f>
        <v>1804.2318914150214</v>
      </c>
      <c r="H43" s="101">
        <f>IF(H11=0,0,H11/TrAvia_act!H29*1000000)</f>
        <v>1840.0648891996916</v>
      </c>
      <c r="I43" s="101">
        <f>IF(I11=0,0,I11/TrAvia_act!I29*1000000)</f>
        <v>1866.8904270062283</v>
      </c>
      <c r="J43" s="101">
        <f>IF(J11=0,0,J11/TrAvia_act!J29*1000000)</f>
        <v>1768.3839460239758</v>
      </c>
      <c r="K43" s="101">
        <f>IF(K11=0,0,K11/TrAvia_act!K29*1000000)</f>
        <v>1784.1308296764844</v>
      </c>
      <c r="L43" s="101">
        <f>IF(L11=0,0,L11/TrAvia_act!L29*1000000)</f>
        <v>1747.7580892586566</v>
      </c>
      <c r="M43" s="101">
        <f>IF(M11=0,0,M11/TrAvia_act!M29*1000000)</f>
        <v>2228.411458754349</v>
      </c>
      <c r="N43" s="101">
        <f>IF(N11=0,0,N11/TrAvia_act!N29*1000000)</f>
        <v>2080.0807139591084</v>
      </c>
      <c r="O43" s="101">
        <f>IF(O11=0,0,O11/TrAvia_act!O29*1000000)</f>
        <v>2139.3838424322216</v>
      </c>
      <c r="P43" s="101">
        <f>IF(P11=0,0,P11/TrAvia_act!P29*1000000)</f>
        <v>2185.8935271202727</v>
      </c>
      <c r="Q43" s="101">
        <f>IF(Q11=0,0,Q11/TrAvia_act!Q29*1000000)</f>
        <v>2439.007683276312</v>
      </c>
      <c r="R43" s="101">
        <f>IF(R11=0,0,R11/TrAvia_act!R29*1000000)</f>
        <v>2678.1124432467186</v>
      </c>
      <c r="S43" s="101">
        <f>IF(S11=0,0,S11/TrAvia_act!S29*1000000)</f>
        <v>2574.7035252947735</v>
      </c>
      <c r="T43" s="101">
        <f>IF(T11=0,0,T11/TrAvia_act!T29*1000000)</f>
        <v>2723.8132374346028</v>
      </c>
      <c r="U43" s="101">
        <f>IF(U11=0,0,U11/TrAvia_act!U29*1000000)</f>
        <v>2467.4354488307081</v>
      </c>
      <c r="V43" s="101">
        <f>IF(V11=0,0,V11/TrAvia_act!V29*1000000)</f>
        <v>4846.8024995598134</v>
      </c>
      <c r="W43" s="101">
        <f>IF(W11=0,0,W11/TrAvia_act!W29*1000000)</f>
        <v>6185.6727079591528</v>
      </c>
      <c r="DA43" s="175" t="s">
        <v>310</v>
      </c>
    </row>
    <row r="44" spans="1:105" ht="11.45" customHeight="1" x14ac:dyDescent="0.25">
      <c r="A44" s="92" t="s">
        <v>173</v>
      </c>
      <c r="B44" s="101">
        <f>IF(B12=0,0,B12/TrAvia_act!B30*1000000)</f>
        <v>2783.2010344418327</v>
      </c>
      <c r="C44" s="101">
        <f>IF(C12=0,0,C12/TrAvia_act!C30*1000000)</f>
        <v>2825.2896385021572</v>
      </c>
      <c r="D44" s="101">
        <f>IF(D12=0,0,D12/TrAvia_act!D30*1000000)</f>
        <v>2664.2595958987413</v>
      </c>
      <c r="E44" s="101">
        <f>IF(E12=0,0,E12/TrAvia_act!E30*1000000)</f>
        <v>2421.0666544548103</v>
      </c>
      <c r="F44" s="101">
        <f>IF(F12=0,0,F12/TrAvia_act!F30*1000000)</f>
        <v>2609.384121956035</v>
      </c>
      <c r="G44" s="101">
        <f>IF(G12=0,0,G12/TrAvia_act!G30*1000000)</f>
        <v>2834.9412230746238</v>
      </c>
      <c r="H44" s="101">
        <f>IF(H12=0,0,H12/TrAvia_act!H30*1000000)</f>
        <v>2722.6633141261914</v>
      </c>
      <c r="I44" s="101">
        <f>IF(I12=0,0,I12/TrAvia_act!I30*1000000)</f>
        <v>2679.8213600323152</v>
      </c>
      <c r="J44" s="101">
        <f>IF(J12=0,0,J12/TrAvia_act!J30*1000000)</f>
        <v>2527.6482710138921</v>
      </c>
      <c r="K44" s="101">
        <f>IF(K12=0,0,K12/TrAvia_act!K30*1000000)</f>
        <v>2317.4126107845141</v>
      </c>
      <c r="L44" s="101">
        <f>IF(L12=0,0,L12/TrAvia_act!L30*1000000)</f>
        <v>2383.5689339345995</v>
      </c>
      <c r="M44" s="101">
        <f>IF(M12=0,0,M12/TrAvia_act!M30*1000000)</f>
        <v>2749.0688051487282</v>
      </c>
      <c r="N44" s="101">
        <f>IF(N12=0,0,N12/TrAvia_act!N30*1000000)</f>
        <v>2904.086378331137</v>
      </c>
      <c r="O44" s="101">
        <f>IF(O12=0,0,O12/TrAvia_act!O30*1000000)</f>
        <v>2988.1749694431114</v>
      </c>
      <c r="P44" s="101">
        <f>IF(P12=0,0,P12/TrAvia_act!P30*1000000)</f>
        <v>2881.7081679368407</v>
      </c>
      <c r="Q44" s="101">
        <f>IF(Q12=0,0,Q12/TrAvia_act!Q30*1000000)</f>
        <v>2899.5106716061778</v>
      </c>
      <c r="R44" s="101">
        <f>IF(R12=0,0,R12/TrAvia_act!R30*1000000)</f>
        <v>3215.7526521247109</v>
      </c>
      <c r="S44" s="101">
        <f>IF(S12=0,0,S12/TrAvia_act!S30*1000000)</f>
        <v>3189.6757093022679</v>
      </c>
      <c r="T44" s="101">
        <f>IF(T12=0,0,T12/TrAvia_act!T30*1000000)</f>
        <v>3320.7347353705081</v>
      </c>
      <c r="U44" s="101">
        <f>IF(U12=0,0,U12/TrAvia_act!U30*1000000)</f>
        <v>3174.188779470097</v>
      </c>
      <c r="V44" s="101">
        <f>IF(V12=0,0,V12/TrAvia_act!V30*1000000)</f>
        <v>2659.9900234949419</v>
      </c>
      <c r="W44" s="101">
        <f>IF(W12=0,0,W12/TrAvia_act!W30*1000000)</f>
        <v>3512.1395830917245</v>
      </c>
      <c r="DA44" s="175" t="s">
        <v>311</v>
      </c>
    </row>
    <row r="45" spans="1:105" ht="11.45" customHeight="1" x14ac:dyDescent="0.25">
      <c r="A45" s="85" t="s">
        <v>174</v>
      </c>
      <c r="B45" s="88">
        <f>IF(B13=0,0,B13/TrAvia_act!B31*1000000)</f>
        <v>4003.3045869317871</v>
      </c>
      <c r="C45" s="88">
        <f>IF(C13=0,0,C13/TrAvia_act!C31*1000000)</f>
        <v>4085.516269323813</v>
      </c>
      <c r="D45" s="88">
        <f>IF(D13=0,0,D13/TrAvia_act!D31*1000000)</f>
        <v>3859.6939504971288</v>
      </c>
      <c r="E45" s="88">
        <f>IF(E13=0,0,E13/TrAvia_act!E31*1000000)</f>
        <v>3532.0150218407298</v>
      </c>
      <c r="F45" s="88">
        <f>IF(F13=0,0,F13/TrAvia_act!F31*1000000)</f>
        <v>3607.3867287417243</v>
      </c>
      <c r="G45" s="88">
        <f>IF(G13=0,0,G13/TrAvia_act!G31*1000000)</f>
        <v>3944.8877868047707</v>
      </c>
      <c r="H45" s="88">
        <f>IF(H13=0,0,H13/TrAvia_act!H31*1000000)</f>
        <v>4310.0431028810499</v>
      </c>
      <c r="I45" s="88">
        <f>IF(I13=0,0,I13/TrAvia_act!I31*1000000)</f>
        <v>4243.5627791988836</v>
      </c>
      <c r="J45" s="88">
        <f>IF(J13=0,0,J13/TrAvia_act!J31*1000000)</f>
        <v>3944.7082012723754</v>
      </c>
      <c r="K45" s="88">
        <f>IF(K13=0,0,K13/TrAvia_act!K31*1000000)</f>
        <v>3656.5021205214466</v>
      </c>
      <c r="L45" s="88">
        <f>IF(L13=0,0,L13/TrAvia_act!L31*1000000)</f>
        <v>3799.6701447892874</v>
      </c>
      <c r="M45" s="88">
        <f>IF(M13=0,0,M13/TrAvia_act!M31*1000000)</f>
        <v>5178.9227879587716</v>
      </c>
      <c r="N45" s="88">
        <f>IF(N13=0,0,N13/TrAvia_act!N31*1000000)</f>
        <v>6697.2095906922441</v>
      </c>
      <c r="O45" s="88">
        <f>IF(O13=0,0,O13/TrAvia_act!O31*1000000)</f>
        <v>7529.7657552445053</v>
      </c>
      <c r="P45" s="88">
        <f>IF(P13=0,0,P13/TrAvia_act!P31*1000000)</f>
        <v>9074.3175038833888</v>
      </c>
      <c r="Q45" s="88">
        <f>IF(Q13=0,0,Q13/TrAvia_act!Q31*1000000)</f>
        <v>11688.301237012081</v>
      </c>
      <c r="R45" s="88">
        <f>IF(R13=0,0,R13/TrAvia_act!R31*1000000)</f>
        <v>15628.89238760544</v>
      </c>
      <c r="S45" s="88">
        <f>IF(S13=0,0,S13/TrAvia_act!S31*1000000)</f>
        <v>17004.580592882601</v>
      </c>
      <c r="T45" s="88">
        <f>IF(T13=0,0,T13/TrAvia_act!T31*1000000)</f>
        <v>20913.433930386731</v>
      </c>
      <c r="U45" s="88">
        <f>IF(U13=0,0,U13/TrAvia_act!U31*1000000)</f>
        <v>24126.551088153516</v>
      </c>
      <c r="V45" s="88">
        <f>IF(V13=0,0,V13/TrAvia_act!V31*1000000)</f>
        <v>26620.815782669739</v>
      </c>
      <c r="W45" s="88">
        <f>IF(W13=0,0,W13/TrAvia_act!W31*1000000)</f>
        <v>24210.39752350267</v>
      </c>
      <c r="DA45" s="178" t="s">
        <v>312</v>
      </c>
    </row>
    <row r="46" spans="1:105" x14ac:dyDescent="0.25">
      <c r="A46" s="50"/>
      <c r="B46" s="50"/>
      <c r="C46" s="50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DA46" s="181"/>
    </row>
    <row r="47" spans="1:105" ht="11.45" customHeight="1" x14ac:dyDescent="0.25">
      <c r="A47" s="53" t="s">
        <v>40</v>
      </c>
      <c r="B47" s="76">
        <f t="shared" ref="B47:C47" si="32">IF(B3=0,0,B3/B$3)</f>
        <v>1</v>
      </c>
      <c r="C47" s="76">
        <f t="shared" si="32"/>
        <v>1</v>
      </c>
      <c r="D47" s="76">
        <f t="shared" ref="D47:V47" si="33">IF(D3=0,0,D3/D$3)</f>
        <v>1</v>
      </c>
      <c r="E47" s="76">
        <f t="shared" si="33"/>
        <v>1</v>
      </c>
      <c r="F47" s="76">
        <f t="shared" si="33"/>
        <v>1</v>
      </c>
      <c r="G47" s="76">
        <f t="shared" si="33"/>
        <v>1</v>
      </c>
      <c r="H47" s="76">
        <f t="shared" si="33"/>
        <v>1</v>
      </c>
      <c r="I47" s="76">
        <f t="shared" si="33"/>
        <v>1</v>
      </c>
      <c r="J47" s="76">
        <f t="shared" si="33"/>
        <v>1</v>
      </c>
      <c r="K47" s="76">
        <f t="shared" si="33"/>
        <v>1</v>
      </c>
      <c r="L47" s="76">
        <f t="shared" si="33"/>
        <v>1</v>
      </c>
      <c r="M47" s="76">
        <f t="shared" si="33"/>
        <v>1</v>
      </c>
      <c r="N47" s="76">
        <f t="shared" si="33"/>
        <v>1</v>
      </c>
      <c r="O47" s="76">
        <f t="shared" si="33"/>
        <v>1</v>
      </c>
      <c r="P47" s="76">
        <f t="shared" si="33"/>
        <v>1</v>
      </c>
      <c r="Q47" s="76">
        <f t="shared" si="33"/>
        <v>1</v>
      </c>
      <c r="R47" s="76">
        <f t="shared" si="33"/>
        <v>1</v>
      </c>
      <c r="S47" s="76">
        <f t="shared" si="33"/>
        <v>1</v>
      </c>
      <c r="T47" s="76">
        <f t="shared" si="33"/>
        <v>1</v>
      </c>
      <c r="U47" s="76">
        <f t="shared" si="33"/>
        <v>1</v>
      </c>
      <c r="V47" s="76">
        <f t="shared" si="33"/>
        <v>1</v>
      </c>
      <c r="W47" s="76">
        <f t="shared" ref="W47" si="34">IF(W3=0,0,W3/W$3)</f>
        <v>1</v>
      </c>
      <c r="DA47" s="183"/>
    </row>
    <row r="48" spans="1:105" ht="11.45" customHeight="1" x14ac:dyDescent="0.25">
      <c r="A48" s="10" t="s">
        <v>33</v>
      </c>
      <c r="B48" s="16">
        <f t="shared" ref="B48:C48" si="35">IF(B6=0,0,B6/B$3)</f>
        <v>0.98683017462490996</v>
      </c>
      <c r="C48" s="16">
        <f t="shared" si="35"/>
        <v>0.98792502691623829</v>
      </c>
      <c r="D48" s="16">
        <f t="shared" ref="D48:V48" si="36">IF(D6=0,0,D6/D$3)</f>
        <v>0.98492430736189285</v>
      </c>
      <c r="E48" s="16">
        <f t="shared" si="36"/>
        <v>0.98444915839297009</v>
      </c>
      <c r="F48" s="16">
        <f t="shared" si="36"/>
        <v>0.97976979388151253</v>
      </c>
      <c r="G48" s="16">
        <f t="shared" si="36"/>
        <v>0.97762984874587822</v>
      </c>
      <c r="H48" s="16">
        <f t="shared" si="36"/>
        <v>0.9765772065562206</v>
      </c>
      <c r="I48" s="16">
        <f t="shared" si="36"/>
        <v>0.97971380469637337</v>
      </c>
      <c r="J48" s="16">
        <f t="shared" si="36"/>
        <v>0.98154726266207171</v>
      </c>
      <c r="K48" s="16">
        <f t="shared" si="36"/>
        <v>0.98259101037694963</v>
      </c>
      <c r="L48" s="16">
        <f t="shared" si="36"/>
        <v>0.98155964545877705</v>
      </c>
      <c r="M48" s="16">
        <f t="shared" si="36"/>
        <v>0.97856667417431253</v>
      </c>
      <c r="N48" s="16">
        <f t="shared" si="36"/>
        <v>0.97773337161370388</v>
      </c>
      <c r="O48" s="16">
        <f t="shared" si="36"/>
        <v>0.97434387872235717</v>
      </c>
      <c r="P48" s="16">
        <f t="shared" si="36"/>
        <v>0.97215258332671628</v>
      </c>
      <c r="Q48" s="16">
        <f t="shared" si="36"/>
        <v>0.96936750220074597</v>
      </c>
      <c r="R48" s="16">
        <f t="shared" si="36"/>
        <v>0.97036743419434157</v>
      </c>
      <c r="S48" s="16">
        <f t="shared" si="36"/>
        <v>0.96540898961524579</v>
      </c>
      <c r="T48" s="16">
        <f t="shared" si="36"/>
        <v>0.96326507105524573</v>
      </c>
      <c r="U48" s="16">
        <f t="shared" si="36"/>
        <v>0.96523399361434536</v>
      </c>
      <c r="V48" s="16">
        <f t="shared" si="36"/>
        <v>0.91850851798426303</v>
      </c>
      <c r="W48" s="16">
        <f t="shared" ref="W48" si="37">IF(W6=0,0,W6/W$3)</f>
        <v>0.92461521541202718</v>
      </c>
      <c r="DA48" s="190"/>
    </row>
    <row r="49" spans="1:105" ht="11.45" customHeight="1" x14ac:dyDescent="0.25">
      <c r="A49" s="83" t="s">
        <v>27</v>
      </c>
      <c r="B49" s="103">
        <f t="shared" ref="B49:C49" si="38">IF(B7=0,0,B7/B$3)</f>
        <v>5.9162569031410935E-2</v>
      </c>
      <c r="C49" s="103">
        <f t="shared" si="38"/>
        <v>5.7382146733385757E-2</v>
      </c>
      <c r="D49" s="103">
        <f t="shared" ref="D49:V49" si="39">IF(D7=0,0,D7/D$3)</f>
        <v>6.2906192688094095E-2</v>
      </c>
      <c r="E49" s="103">
        <f t="shared" si="39"/>
        <v>6.4474643769746418E-2</v>
      </c>
      <c r="F49" s="103">
        <f t="shared" si="39"/>
        <v>5.8052959083873049E-2</v>
      </c>
      <c r="G49" s="103">
        <f t="shared" si="39"/>
        <v>5.2129405756971496E-2</v>
      </c>
      <c r="H49" s="103">
        <f t="shared" si="39"/>
        <v>5.2366368971842367E-2</v>
      </c>
      <c r="I49" s="103">
        <f t="shared" si="39"/>
        <v>5.0526917944766797E-2</v>
      </c>
      <c r="J49" s="103">
        <f t="shared" si="39"/>
        <v>4.9412568813797839E-2</v>
      </c>
      <c r="K49" s="103">
        <f t="shared" si="39"/>
        <v>5.5240729818323668E-2</v>
      </c>
      <c r="L49" s="103">
        <f t="shared" si="39"/>
        <v>5.0235622881723292E-2</v>
      </c>
      <c r="M49" s="103">
        <f t="shared" si="39"/>
        <v>4.7436130410175754E-2</v>
      </c>
      <c r="N49" s="103">
        <f t="shared" si="39"/>
        <v>4.5994033167684086E-2</v>
      </c>
      <c r="O49" s="103">
        <f t="shared" si="39"/>
        <v>4.7916493044112725E-2</v>
      </c>
      <c r="P49" s="103">
        <f t="shared" si="39"/>
        <v>4.6443457286124423E-2</v>
      </c>
      <c r="Q49" s="103">
        <f t="shared" si="39"/>
        <v>4.3544929618461646E-2</v>
      </c>
      <c r="R49" s="103">
        <f t="shared" si="39"/>
        <v>3.9319969876426761E-2</v>
      </c>
      <c r="S49" s="103">
        <f t="shared" si="39"/>
        <v>3.8826400288797976E-2</v>
      </c>
      <c r="T49" s="103">
        <f t="shared" si="39"/>
        <v>3.613920239283927E-2</v>
      </c>
      <c r="U49" s="103">
        <f t="shared" si="39"/>
        <v>2.617824888354512E-2</v>
      </c>
      <c r="V49" s="103">
        <f t="shared" si="39"/>
        <v>4.9819904908918591E-2</v>
      </c>
      <c r="W49" s="103">
        <f t="shared" ref="W49" si="40">IF(W7=0,0,W7/W$3)</f>
        <v>3.9131519049120218E-2</v>
      </c>
      <c r="DA49" s="191"/>
    </row>
    <row r="50" spans="1:105" ht="11.45" customHeight="1" x14ac:dyDescent="0.25">
      <c r="A50" s="83" t="s">
        <v>173</v>
      </c>
      <c r="B50" s="103">
        <f t="shared" ref="B50:C50" si="41">IF(B8=0,0,B8/B$3)</f>
        <v>0.38640683259432412</v>
      </c>
      <c r="C50" s="103">
        <f t="shared" si="41"/>
        <v>0.40402645423307554</v>
      </c>
      <c r="D50" s="103">
        <f t="shared" ref="D50:V50" si="42">IF(D8=0,0,D8/D$3)</f>
        <v>0.40723525852964848</v>
      </c>
      <c r="E50" s="103">
        <f t="shared" si="42"/>
        <v>0.42727926583479209</v>
      </c>
      <c r="F50" s="103">
        <f t="shared" si="42"/>
        <v>0.41305076789846118</v>
      </c>
      <c r="G50" s="103">
        <f t="shared" si="42"/>
        <v>0.4157798050560258</v>
      </c>
      <c r="H50" s="103">
        <f t="shared" si="42"/>
        <v>0.42143102954950212</v>
      </c>
      <c r="I50" s="103">
        <f t="shared" si="42"/>
        <v>0.43105651069573769</v>
      </c>
      <c r="J50" s="103">
        <f t="shared" si="42"/>
        <v>0.42528035261284369</v>
      </c>
      <c r="K50" s="103">
        <f t="shared" si="42"/>
        <v>0.41203401704595838</v>
      </c>
      <c r="L50" s="103">
        <f t="shared" si="42"/>
        <v>0.41104336237960293</v>
      </c>
      <c r="M50" s="103">
        <f t="shared" si="42"/>
        <v>0.40990411927639558</v>
      </c>
      <c r="N50" s="103">
        <f t="shared" si="42"/>
        <v>0.40374562641415757</v>
      </c>
      <c r="O50" s="103">
        <f t="shared" si="42"/>
        <v>0.39841540232475159</v>
      </c>
      <c r="P50" s="103">
        <f t="shared" si="42"/>
        <v>0.40195085863689267</v>
      </c>
      <c r="Q50" s="103">
        <f t="shared" si="42"/>
        <v>0.40455284099531369</v>
      </c>
      <c r="R50" s="103">
        <f t="shared" si="42"/>
        <v>0.42410453933220654</v>
      </c>
      <c r="S50" s="103">
        <f t="shared" si="42"/>
        <v>0.43021419610400413</v>
      </c>
      <c r="T50" s="103">
        <f t="shared" si="42"/>
        <v>0.42975273105894746</v>
      </c>
      <c r="U50" s="103">
        <f t="shared" si="42"/>
        <v>0.42464151573326037</v>
      </c>
      <c r="V50" s="103">
        <f t="shared" si="42"/>
        <v>0.3438215713876619</v>
      </c>
      <c r="W50" s="103">
        <f t="shared" ref="W50" si="43">IF(W8=0,0,W8/W$3)</f>
        <v>0.37882747774980513</v>
      </c>
      <c r="DA50" s="191"/>
    </row>
    <row r="51" spans="1:105" ht="11.45" customHeight="1" x14ac:dyDescent="0.25">
      <c r="A51" s="83" t="s">
        <v>174</v>
      </c>
      <c r="B51" s="103">
        <f t="shared" ref="B51:C51" si="44">IF(B9=0,0,B9/B$3)</f>
        <v>0.54126077299917486</v>
      </c>
      <c r="C51" s="103">
        <f t="shared" si="44"/>
        <v>0.5265164259497771</v>
      </c>
      <c r="D51" s="103">
        <f t="shared" ref="D51:V51" si="45">IF(D9=0,0,D9/D$3)</f>
        <v>0.51478285614415031</v>
      </c>
      <c r="E51" s="103">
        <f t="shared" si="45"/>
        <v>0.49269524878843163</v>
      </c>
      <c r="F51" s="103">
        <f t="shared" si="45"/>
        <v>0.50866606689917837</v>
      </c>
      <c r="G51" s="103">
        <f t="shared" si="45"/>
        <v>0.50972063793288103</v>
      </c>
      <c r="H51" s="103">
        <f t="shared" si="45"/>
        <v>0.5027798080348761</v>
      </c>
      <c r="I51" s="103">
        <f t="shared" si="45"/>
        <v>0.4981303760558688</v>
      </c>
      <c r="J51" s="103">
        <f t="shared" si="45"/>
        <v>0.50685434123543005</v>
      </c>
      <c r="K51" s="103">
        <f t="shared" si="45"/>
        <v>0.51531626351266757</v>
      </c>
      <c r="L51" s="103">
        <f t="shared" si="45"/>
        <v>0.52028066019745067</v>
      </c>
      <c r="M51" s="103">
        <f t="shared" si="45"/>
        <v>0.52122642448774126</v>
      </c>
      <c r="N51" s="103">
        <f t="shared" si="45"/>
        <v>0.52799371203186207</v>
      </c>
      <c r="O51" s="103">
        <f t="shared" si="45"/>
        <v>0.52801198335349286</v>
      </c>
      <c r="P51" s="103">
        <f t="shared" si="45"/>
        <v>0.52375826740369913</v>
      </c>
      <c r="Q51" s="103">
        <f t="shared" si="45"/>
        <v>0.52126973158697065</v>
      </c>
      <c r="R51" s="103">
        <f t="shared" si="45"/>
        <v>0.50694292498570825</v>
      </c>
      <c r="S51" s="103">
        <f t="shared" si="45"/>
        <v>0.49636839322244375</v>
      </c>
      <c r="T51" s="103">
        <f t="shared" si="45"/>
        <v>0.49737313760345897</v>
      </c>
      <c r="U51" s="103">
        <f t="shared" si="45"/>
        <v>0.51441422899753997</v>
      </c>
      <c r="V51" s="103">
        <f t="shared" si="45"/>
        <v>0.52486704168768239</v>
      </c>
      <c r="W51" s="103">
        <f t="shared" ref="W51" si="46">IF(W9=0,0,W9/W$3)</f>
        <v>0.50665621861310173</v>
      </c>
      <c r="DA51" s="191"/>
    </row>
    <row r="52" spans="1:105" ht="11.45" customHeight="1" x14ac:dyDescent="0.25">
      <c r="A52" s="12" t="s">
        <v>34</v>
      </c>
      <c r="B52" s="17">
        <f t="shared" ref="B52:C52" si="47">IF(B10=0,0,B10/B$3)</f>
        <v>1.3169825375090058E-2</v>
      </c>
      <c r="C52" s="17">
        <f t="shared" si="47"/>
        <v>1.2074973083761716E-2</v>
      </c>
      <c r="D52" s="17">
        <f t="shared" ref="D52:V52" si="48">IF(D10=0,0,D10/D$3)</f>
        <v>1.507569263810718E-2</v>
      </c>
      <c r="E52" s="17">
        <f t="shared" si="48"/>
        <v>1.555084160702988E-2</v>
      </c>
      <c r="F52" s="17">
        <f t="shared" si="48"/>
        <v>2.0230206118487404E-2</v>
      </c>
      <c r="G52" s="17">
        <f t="shared" si="48"/>
        <v>2.2370151254121805E-2</v>
      </c>
      <c r="H52" s="17">
        <f t="shared" si="48"/>
        <v>2.342279344377925E-2</v>
      </c>
      <c r="I52" s="17">
        <f t="shared" si="48"/>
        <v>2.0286195303626697E-2</v>
      </c>
      <c r="J52" s="17">
        <f t="shared" si="48"/>
        <v>1.8452737337928519E-2</v>
      </c>
      <c r="K52" s="17">
        <f t="shared" si="48"/>
        <v>1.7408989623050233E-2</v>
      </c>
      <c r="L52" s="17">
        <f t="shared" si="48"/>
        <v>1.844035454122293E-2</v>
      </c>
      <c r="M52" s="17">
        <f t="shared" si="48"/>
        <v>2.14333258256874E-2</v>
      </c>
      <c r="N52" s="17">
        <f t="shared" si="48"/>
        <v>2.2266628386296287E-2</v>
      </c>
      <c r="O52" s="17">
        <f t="shared" si="48"/>
        <v>2.565612127764284E-2</v>
      </c>
      <c r="P52" s="17">
        <f t="shared" si="48"/>
        <v>2.7847416673283967E-2</v>
      </c>
      <c r="Q52" s="17">
        <f t="shared" si="48"/>
        <v>3.0632497799253863E-2</v>
      </c>
      <c r="R52" s="17">
        <f t="shared" si="48"/>
        <v>2.9632565805658637E-2</v>
      </c>
      <c r="S52" s="17">
        <f t="shared" si="48"/>
        <v>3.4591010384754275E-2</v>
      </c>
      <c r="T52" s="17">
        <f t="shared" si="48"/>
        <v>3.6734928944754386E-2</v>
      </c>
      <c r="U52" s="17">
        <f t="shared" si="48"/>
        <v>3.4766006385654677E-2</v>
      </c>
      <c r="V52" s="17">
        <f t="shared" si="48"/>
        <v>8.1491482015737082E-2</v>
      </c>
      <c r="W52" s="17">
        <f t="shared" ref="W52" si="49">IF(W10=0,0,W10/W$3)</f>
        <v>7.5384784587972917E-2</v>
      </c>
      <c r="DA52" s="194"/>
    </row>
    <row r="53" spans="1:105" ht="11.45" customHeight="1" x14ac:dyDescent="0.25">
      <c r="A53" s="92" t="s">
        <v>27</v>
      </c>
      <c r="B53" s="104">
        <f t="shared" ref="B53:C53" si="50">IF(B11=0,0,B11/B$3)</f>
        <v>3.2889165580253857E-4</v>
      </c>
      <c r="C53" s="104">
        <f t="shared" si="50"/>
        <v>2.2060789176338313E-4</v>
      </c>
      <c r="D53" s="104">
        <f t="shared" ref="D53:V53" si="51">IF(D11=0,0,D11/D$3)</f>
        <v>2.2510757141880686E-4</v>
      </c>
      <c r="E53" s="104">
        <f t="shared" si="51"/>
        <v>2.4147296701956404E-4</v>
      </c>
      <c r="F53" s="104">
        <f t="shared" si="51"/>
        <v>2.8780207289873477E-4</v>
      </c>
      <c r="G53" s="104">
        <f t="shared" si="51"/>
        <v>2.6617564362841359E-4</v>
      </c>
      <c r="H53" s="104">
        <f t="shared" si="51"/>
        <v>2.6457840339201506E-4</v>
      </c>
      <c r="I53" s="104">
        <f t="shared" si="51"/>
        <v>2.2099930993909448E-4</v>
      </c>
      <c r="J53" s="104">
        <f t="shared" si="51"/>
        <v>2.2073218058769477E-4</v>
      </c>
      <c r="K53" s="104">
        <f t="shared" si="51"/>
        <v>2.3606050409247464E-4</v>
      </c>
      <c r="L53" s="104">
        <f t="shared" si="51"/>
        <v>1.7913982852079842E-4</v>
      </c>
      <c r="M53" s="104">
        <f t="shared" si="51"/>
        <v>1.575102912054184E-4</v>
      </c>
      <c r="N53" s="104">
        <f t="shared" si="51"/>
        <v>1.1080886170236018E-4</v>
      </c>
      <c r="O53" s="104">
        <f t="shared" si="51"/>
        <v>9.1111560875619998E-5</v>
      </c>
      <c r="P53" s="104">
        <f t="shared" si="51"/>
        <v>6.1006585157448536E-5</v>
      </c>
      <c r="Q53" s="104">
        <f t="shared" si="51"/>
        <v>6.011514689610251E-5</v>
      </c>
      <c r="R53" s="104">
        <f t="shared" si="51"/>
        <v>3.3706419976388029E-5</v>
      </c>
      <c r="S53" s="104">
        <f t="shared" si="51"/>
        <v>2.6847833958335073E-5</v>
      </c>
      <c r="T53" s="104">
        <f t="shared" si="51"/>
        <v>2.52848782473718E-5</v>
      </c>
      <c r="U53" s="104">
        <f t="shared" si="51"/>
        <v>5.0064257652431902E-6</v>
      </c>
      <c r="V53" s="104">
        <f t="shared" si="51"/>
        <v>1.4476137431599202E-5</v>
      </c>
      <c r="W53" s="104">
        <f t="shared" ref="W53" si="52">IF(W11=0,0,W11/W$3)</f>
        <v>1.474211899283953E-5</v>
      </c>
      <c r="DA53" s="195"/>
    </row>
    <row r="54" spans="1:105" ht="11.45" customHeight="1" x14ac:dyDescent="0.25">
      <c r="A54" s="92" t="s">
        <v>173</v>
      </c>
      <c r="B54" s="104">
        <f t="shared" ref="B54:C54" si="53">IF(B12=0,0,B12/B$3)</f>
        <v>7.4376258970688825E-3</v>
      </c>
      <c r="C54" s="104">
        <f t="shared" si="53"/>
        <v>7.1278435958455257E-3</v>
      </c>
      <c r="D54" s="104">
        <f t="shared" ref="D54:V54" si="54">IF(D12=0,0,D12/D$3)</f>
        <v>9.4664981809855272E-3</v>
      </c>
      <c r="E54" s="104">
        <f t="shared" si="54"/>
        <v>9.7437397757931133E-3</v>
      </c>
      <c r="F54" s="104">
        <f t="shared" si="54"/>
        <v>1.4242326458086924E-2</v>
      </c>
      <c r="G54" s="104">
        <f t="shared" si="54"/>
        <v>1.4596389499243965E-2</v>
      </c>
      <c r="H54" s="104">
        <f t="shared" si="54"/>
        <v>1.5709297534496437E-2</v>
      </c>
      <c r="I54" s="104">
        <f t="shared" si="54"/>
        <v>1.3252484717887543E-2</v>
      </c>
      <c r="J54" s="104">
        <f t="shared" si="54"/>
        <v>1.2187205267746084E-2</v>
      </c>
      <c r="K54" s="104">
        <f t="shared" si="54"/>
        <v>1.2162579862254892E-2</v>
      </c>
      <c r="L54" s="104">
        <f t="shared" si="54"/>
        <v>1.307389709516079E-2</v>
      </c>
      <c r="M54" s="104">
        <f t="shared" si="54"/>
        <v>1.3433671134259684E-2</v>
      </c>
      <c r="N54" s="104">
        <f t="shared" si="54"/>
        <v>1.2185039915949119E-2</v>
      </c>
      <c r="O54" s="104">
        <f t="shared" si="54"/>
        <v>1.3998563897654097E-2</v>
      </c>
      <c r="P54" s="104">
        <f t="shared" si="54"/>
        <v>1.5230188115144759E-2</v>
      </c>
      <c r="Q54" s="104">
        <f t="shared" si="54"/>
        <v>1.3463275734241404E-2</v>
      </c>
      <c r="R54" s="104">
        <f t="shared" si="54"/>
        <v>1.1069392513595887E-2</v>
      </c>
      <c r="S54" s="104">
        <f t="shared" si="54"/>
        <v>1.3441392847949657E-2</v>
      </c>
      <c r="T54" s="104">
        <f t="shared" si="54"/>
        <v>1.2272616833847963E-2</v>
      </c>
      <c r="U54" s="104">
        <f t="shared" si="54"/>
        <v>1.1190243746079446E-2</v>
      </c>
      <c r="V54" s="104">
        <f t="shared" si="54"/>
        <v>2.5661373888340916E-2</v>
      </c>
      <c r="W54" s="104">
        <f t="shared" ref="W54" si="55">IF(W12=0,0,W12/W$3)</f>
        <v>3.0133338046224822E-2</v>
      </c>
      <c r="DA54" s="195"/>
    </row>
    <row r="55" spans="1:105" ht="11.45" customHeight="1" x14ac:dyDescent="0.25">
      <c r="A55" s="85" t="s">
        <v>174</v>
      </c>
      <c r="B55" s="105">
        <f t="shared" ref="B55:C55" si="56">IF(B13=0,0,B13/B$3)</f>
        <v>5.4033078222186373E-3</v>
      </c>
      <c r="C55" s="105">
        <f t="shared" si="56"/>
        <v>4.726521596152806E-3</v>
      </c>
      <c r="D55" s="105">
        <f t="shared" ref="D55:V55" si="57">IF(D13=0,0,D13/D$3)</f>
        <v>5.384086885702845E-3</v>
      </c>
      <c r="E55" s="105">
        <f t="shared" si="57"/>
        <v>5.5656288642172034E-3</v>
      </c>
      <c r="F55" s="105">
        <f t="shared" si="57"/>
        <v>5.7000775875017439E-3</v>
      </c>
      <c r="G55" s="105">
        <f t="shared" si="57"/>
        <v>7.5075861112494291E-3</v>
      </c>
      <c r="H55" s="105">
        <f t="shared" si="57"/>
        <v>7.4489175058907982E-3</v>
      </c>
      <c r="I55" s="105">
        <f t="shared" si="57"/>
        <v>6.8127112758000589E-3</v>
      </c>
      <c r="J55" s="105">
        <f t="shared" si="57"/>
        <v>6.044799889594739E-3</v>
      </c>
      <c r="K55" s="105">
        <f t="shared" si="57"/>
        <v>5.0103492567028672E-3</v>
      </c>
      <c r="L55" s="105">
        <f t="shared" si="57"/>
        <v>5.1873176175413413E-3</v>
      </c>
      <c r="M55" s="105">
        <f t="shared" si="57"/>
        <v>7.8421444002223003E-3</v>
      </c>
      <c r="N55" s="105">
        <f t="shared" si="57"/>
        <v>9.970779608644809E-3</v>
      </c>
      <c r="O55" s="105">
        <f t="shared" si="57"/>
        <v>1.1566445819113126E-2</v>
      </c>
      <c r="P55" s="105">
        <f t="shared" si="57"/>
        <v>1.255622197298176E-2</v>
      </c>
      <c r="Q55" s="105">
        <f t="shared" si="57"/>
        <v>1.7109106918116356E-2</v>
      </c>
      <c r="R55" s="105">
        <f t="shared" si="57"/>
        <v>1.8529466872086363E-2</v>
      </c>
      <c r="S55" s="105">
        <f t="shared" si="57"/>
        <v>2.1122769702846281E-2</v>
      </c>
      <c r="T55" s="105">
        <f t="shared" si="57"/>
        <v>2.4437027232659048E-2</v>
      </c>
      <c r="U55" s="105">
        <f t="shared" si="57"/>
        <v>2.3570756213809992E-2</v>
      </c>
      <c r="V55" s="105">
        <f t="shared" si="57"/>
        <v>5.5815631989964566E-2</v>
      </c>
      <c r="W55" s="105">
        <f t="shared" ref="W55" si="58">IF(W13=0,0,W13/W$3)</f>
        <v>4.5236704422755257E-2</v>
      </c>
      <c r="DA55" s="192"/>
    </row>
    <row r="56" spans="1:105" x14ac:dyDescent="0.25">
      <c r="A56" s="50"/>
      <c r="B56" s="50"/>
      <c r="C56" s="50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DA56" s="181"/>
    </row>
    <row r="57" spans="1:105" ht="11.45" customHeight="1" x14ac:dyDescent="0.25">
      <c r="A57" s="53" t="s">
        <v>76</v>
      </c>
      <c r="B57" s="62">
        <v>487.45452900920452</v>
      </c>
      <c r="C57" s="62">
        <v>482.55164691820715</v>
      </c>
      <c r="D57" s="62">
        <v>481.03895565154158</v>
      </c>
      <c r="E57" s="62">
        <v>475.02021858452736</v>
      </c>
      <c r="F57" s="62">
        <v>476.5231632801387</v>
      </c>
      <c r="G57" s="62">
        <v>488.11444469669931</v>
      </c>
      <c r="H57" s="62">
        <v>483.10562719839896</v>
      </c>
      <c r="I57" s="62">
        <v>464.25922856801662</v>
      </c>
      <c r="J57" s="62">
        <v>455.26321426005052</v>
      </c>
      <c r="K57" s="62">
        <v>448.68709849517074</v>
      </c>
      <c r="L57" s="62">
        <v>442.2442425701941</v>
      </c>
      <c r="M57" s="62">
        <v>444.15850895763134</v>
      </c>
      <c r="N57" s="62">
        <v>446.11974059920635</v>
      </c>
      <c r="O57" s="62">
        <v>448.76374542604697</v>
      </c>
      <c r="P57" s="62">
        <v>454.28030711480784</v>
      </c>
      <c r="Q57" s="62">
        <v>458.86004096281351</v>
      </c>
      <c r="R57" s="62">
        <v>458.51328128756194</v>
      </c>
      <c r="S57" s="62">
        <v>461.28359646690006</v>
      </c>
      <c r="T57" s="62">
        <v>472.18820273020111</v>
      </c>
      <c r="U57" s="62">
        <v>477.94084882999687</v>
      </c>
      <c r="V57" s="62">
        <v>459.52937539841798</v>
      </c>
      <c r="W57" s="62">
        <v>443.54062320927318</v>
      </c>
      <c r="DA57" s="172" t="s">
        <v>313</v>
      </c>
    </row>
    <row r="58" spans="1:105" ht="11.45" customHeight="1" x14ac:dyDescent="0.25">
      <c r="A58" s="10" t="s">
        <v>33</v>
      </c>
      <c r="B58" s="14">
        <v>489.38553998512685</v>
      </c>
      <c r="C58" s="14">
        <v>484.25773828903988</v>
      </c>
      <c r="D58" s="14">
        <v>483.17749329134307</v>
      </c>
      <c r="E58" s="14">
        <v>477.08496372347395</v>
      </c>
      <c r="F58" s="14">
        <v>479.43458931539351</v>
      </c>
      <c r="G58" s="14">
        <v>491.57749124283362</v>
      </c>
      <c r="H58" s="14">
        <v>486.4216611829147</v>
      </c>
      <c r="I58" s="14">
        <v>466.49884304478542</v>
      </c>
      <c r="J58" s="14">
        <v>456.897070029747</v>
      </c>
      <c r="K58" s="14">
        <v>449.83922068215577</v>
      </c>
      <c r="L58" s="14">
        <v>443.13311554712635</v>
      </c>
      <c r="M58" s="14">
        <v>445.01224788864607</v>
      </c>
      <c r="N58" s="14">
        <v>446.53709707617912</v>
      </c>
      <c r="O58" s="14">
        <v>449.4145847417775</v>
      </c>
      <c r="P58" s="14">
        <v>454.95901183276067</v>
      </c>
      <c r="Q58" s="14">
        <v>458.88634712262211</v>
      </c>
      <c r="R58" s="14">
        <v>457.56855962140816</v>
      </c>
      <c r="S58" s="14">
        <v>459.64814132307032</v>
      </c>
      <c r="T58" s="14">
        <v>468.91931822215923</v>
      </c>
      <c r="U58" s="14">
        <v>474.5348042306839</v>
      </c>
      <c r="V58" s="14">
        <v>453.68412929856913</v>
      </c>
      <c r="W58" s="14">
        <v>440.55959950649901</v>
      </c>
      <c r="DA58" s="189" t="s">
        <v>314</v>
      </c>
    </row>
    <row r="59" spans="1:105" ht="11.45" customHeight="1" x14ac:dyDescent="0.25">
      <c r="A59" s="83" t="s">
        <v>27</v>
      </c>
      <c r="B59" s="87">
        <v>745.93281155275918</v>
      </c>
      <c r="C59" s="87">
        <v>745.93281155275918</v>
      </c>
      <c r="D59" s="87">
        <v>745.93281155275906</v>
      </c>
      <c r="E59" s="87">
        <v>745.93281155275918</v>
      </c>
      <c r="F59" s="87">
        <v>745.93281155275906</v>
      </c>
      <c r="G59" s="87">
        <v>739.3234020645998</v>
      </c>
      <c r="H59" s="87">
        <v>733.61823984778664</v>
      </c>
      <c r="I59" s="87">
        <v>720.00436097395038</v>
      </c>
      <c r="J59" s="87">
        <v>699.57248218663199</v>
      </c>
      <c r="K59" s="87">
        <v>684.81335885290514</v>
      </c>
      <c r="L59" s="87">
        <v>688.12442533719945</v>
      </c>
      <c r="M59" s="87">
        <v>694.49989652283716</v>
      </c>
      <c r="N59" s="87">
        <v>720.56821747288052</v>
      </c>
      <c r="O59" s="87">
        <v>727.53517698436008</v>
      </c>
      <c r="P59" s="87">
        <v>728.52679136586733</v>
      </c>
      <c r="Q59" s="87">
        <v>711.22753899943825</v>
      </c>
      <c r="R59" s="87">
        <v>689.66830404090103</v>
      </c>
      <c r="S59" s="87">
        <v>683.10650243005375</v>
      </c>
      <c r="T59" s="87">
        <v>680.20298455762349</v>
      </c>
      <c r="U59" s="87">
        <v>673.88873614737997</v>
      </c>
      <c r="V59" s="87">
        <v>681.09797621563348</v>
      </c>
      <c r="W59" s="87">
        <v>719.19507060382523</v>
      </c>
      <c r="DA59" s="171" t="s">
        <v>315</v>
      </c>
    </row>
    <row r="60" spans="1:105" ht="11.45" customHeight="1" x14ac:dyDescent="0.25">
      <c r="A60" s="83" t="s">
        <v>173</v>
      </c>
      <c r="B60" s="87">
        <v>359.30294567696217</v>
      </c>
      <c r="C60" s="87">
        <v>359.1446337865583</v>
      </c>
      <c r="D60" s="87">
        <v>359.10950429485757</v>
      </c>
      <c r="E60" s="87">
        <v>359.22613996561097</v>
      </c>
      <c r="F60" s="87">
        <v>359.04387024604938</v>
      </c>
      <c r="G60" s="87">
        <v>359.16924081059983</v>
      </c>
      <c r="H60" s="87">
        <v>358.53725658824061</v>
      </c>
      <c r="I60" s="87">
        <v>358.33028324573627</v>
      </c>
      <c r="J60" s="87">
        <v>359.39635603819028</v>
      </c>
      <c r="K60" s="87">
        <v>360.02152746668423</v>
      </c>
      <c r="L60" s="87">
        <v>358.86381503216239</v>
      </c>
      <c r="M60" s="87">
        <v>360.09364892332962</v>
      </c>
      <c r="N60" s="87">
        <v>360.84828528188564</v>
      </c>
      <c r="O60" s="87">
        <v>360.95238587079376</v>
      </c>
      <c r="P60" s="87">
        <v>358.68608378208165</v>
      </c>
      <c r="Q60" s="87">
        <v>356.36834198747118</v>
      </c>
      <c r="R60" s="87">
        <v>353.0297140373508</v>
      </c>
      <c r="S60" s="87">
        <v>353.58418738255591</v>
      </c>
      <c r="T60" s="87">
        <v>350.93310284473233</v>
      </c>
      <c r="U60" s="87">
        <v>349.67815835185655</v>
      </c>
      <c r="V60" s="87">
        <v>348.4402634652447</v>
      </c>
      <c r="W60" s="87">
        <v>340.64237139677982</v>
      </c>
      <c r="DA60" s="171" t="s">
        <v>316</v>
      </c>
    </row>
    <row r="61" spans="1:105" ht="11.45" customHeight="1" x14ac:dyDescent="0.25">
      <c r="A61" s="83" t="s">
        <v>174</v>
      </c>
      <c r="B61" s="87">
        <v>604.58097200758311</v>
      </c>
      <c r="C61" s="87">
        <v>604.58097200758311</v>
      </c>
      <c r="D61" s="87">
        <v>604.580972007583</v>
      </c>
      <c r="E61" s="87">
        <v>604.580972007583</v>
      </c>
      <c r="F61" s="87">
        <v>604.58097200758311</v>
      </c>
      <c r="G61" s="87">
        <v>622.44477123557249</v>
      </c>
      <c r="H61" s="87">
        <v>618.35553426205615</v>
      </c>
      <c r="I61" s="87">
        <v>586.14758522132547</v>
      </c>
      <c r="J61" s="87">
        <v>561.6844952504398</v>
      </c>
      <c r="K61" s="87">
        <v>540.8283749645982</v>
      </c>
      <c r="L61" s="87">
        <v>525.6535245313579</v>
      </c>
      <c r="M61" s="87">
        <v>529.54919142847177</v>
      </c>
      <c r="N61" s="87">
        <v>529.39665590101106</v>
      </c>
      <c r="O61" s="87">
        <v>529.98301608950089</v>
      </c>
      <c r="P61" s="87">
        <v>545.00268617834411</v>
      </c>
      <c r="Q61" s="87">
        <v>557.21620964639624</v>
      </c>
      <c r="R61" s="87">
        <v>568.32841214771338</v>
      </c>
      <c r="S61" s="87">
        <v>569.43606678424919</v>
      </c>
      <c r="T61" s="87">
        <v>588.02373687488932</v>
      </c>
      <c r="U61" s="87">
        <v>599.55916561125809</v>
      </c>
      <c r="V61" s="87">
        <v>578.53295196157023</v>
      </c>
      <c r="W61" s="87">
        <v>552.68837041618599</v>
      </c>
      <c r="DA61" s="171" t="s">
        <v>317</v>
      </c>
    </row>
    <row r="62" spans="1:105" ht="11.45" customHeight="1" x14ac:dyDescent="0.25">
      <c r="A62" s="12" t="s">
        <v>34</v>
      </c>
      <c r="B62" s="15">
        <v>376.03968905125186</v>
      </c>
      <c r="C62" s="15">
        <v>375.00260052133211</v>
      </c>
      <c r="D62" s="15">
        <v>373.20233872309655</v>
      </c>
      <c r="E62" s="15">
        <v>373.79824839961685</v>
      </c>
      <c r="F62" s="15">
        <v>366.04192710799509</v>
      </c>
      <c r="G62" s="15">
        <v>370.94613248497171</v>
      </c>
      <c r="H62" s="15">
        <v>375.78207880141002</v>
      </c>
      <c r="I62" s="15">
        <v>378.19728496804976</v>
      </c>
      <c r="J62" s="15">
        <v>383.85480011292992</v>
      </c>
      <c r="K62" s="15">
        <v>393.72861754104736</v>
      </c>
      <c r="L62" s="15">
        <v>401.36969543608734</v>
      </c>
      <c r="M62" s="15">
        <v>408.95906206194923</v>
      </c>
      <c r="N62" s="15">
        <v>428.71380171449067</v>
      </c>
      <c r="O62" s="15">
        <v>425.38747220991274</v>
      </c>
      <c r="P62" s="15">
        <v>431.97194203569512</v>
      </c>
      <c r="Q62" s="15">
        <v>458.08022366044088</v>
      </c>
      <c r="R62" s="15">
        <v>488.7852240559385</v>
      </c>
      <c r="S62" s="15">
        <v>507.34082582743196</v>
      </c>
      <c r="T62" s="15">
        <v>563.18359240732013</v>
      </c>
      <c r="U62" s="15">
        <v>579.35020879443539</v>
      </c>
      <c r="V62" s="15">
        <v>530.66490990019463</v>
      </c>
      <c r="W62" s="15">
        <v>480.18407550673265</v>
      </c>
      <c r="DA62" s="193" t="s">
        <v>318</v>
      </c>
    </row>
    <row r="63" spans="1:105" ht="11.45" customHeight="1" x14ac:dyDescent="0.25">
      <c r="A63" s="92" t="s">
        <v>27</v>
      </c>
      <c r="B63" s="101">
        <v>880.20843623780024</v>
      </c>
      <c r="C63" s="101">
        <v>880.20843623780024</v>
      </c>
      <c r="D63" s="101">
        <v>880.20843623780024</v>
      </c>
      <c r="E63" s="101">
        <v>880.20843623780024</v>
      </c>
      <c r="F63" s="101">
        <v>880.20843623780024</v>
      </c>
      <c r="G63" s="101">
        <v>870.36938141423559</v>
      </c>
      <c r="H63" s="101">
        <v>867.27087417948724</v>
      </c>
      <c r="I63" s="101">
        <v>852.22394684535038</v>
      </c>
      <c r="J63" s="101">
        <v>826.85870303001798</v>
      </c>
      <c r="K63" s="101">
        <v>809.79957278309314</v>
      </c>
      <c r="L63" s="101">
        <v>819.54092522171993</v>
      </c>
      <c r="M63" s="101">
        <v>788.82977236979582</v>
      </c>
      <c r="N63" s="101">
        <v>784.08938984265444</v>
      </c>
      <c r="O63" s="101">
        <v>834.46402263615585</v>
      </c>
      <c r="P63" s="101">
        <v>883.66493243106424</v>
      </c>
      <c r="Q63" s="101">
        <v>907.1541926663549</v>
      </c>
      <c r="R63" s="101">
        <v>921.55513020610249</v>
      </c>
      <c r="S63" s="101">
        <v>967.26197343022238</v>
      </c>
      <c r="T63" s="101">
        <v>1028.106298393712</v>
      </c>
      <c r="U63" s="101">
        <v>882.72947350937477</v>
      </c>
      <c r="V63" s="101">
        <v>896.7866351741169</v>
      </c>
      <c r="W63" s="101">
        <v>973.50295745273081</v>
      </c>
      <c r="DA63" s="175" t="s">
        <v>319</v>
      </c>
    </row>
    <row r="64" spans="1:105" ht="11.45" customHeight="1" x14ac:dyDescent="0.25">
      <c r="A64" s="92" t="s">
        <v>173</v>
      </c>
      <c r="B64" s="101">
        <v>351.17958919274287</v>
      </c>
      <c r="C64" s="101">
        <v>351.61689151901044</v>
      </c>
      <c r="D64" s="101">
        <v>351.99763000085545</v>
      </c>
      <c r="E64" s="101">
        <v>352.88385196071391</v>
      </c>
      <c r="F64" s="101">
        <v>347.66980634085098</v>
      </c>
      <c r="G64" s="101">
        <v>349.70465917319984</v>
      </c>
      <c r="H64" s="101">
        <v>363.90212874160522</v>
      </c>
      <c r="I64" s="101">
        <v>371.26233185799651</v>
      </c>
      <c r="J64" s="101">
        <v>382.21268943699801</v>
      </c>
      <c r="K64" s="101">
        <v>397.43729317903984</v>
      </c>
      <c r="L64" s="101">
        <v>410.34989370358761</v>
      </c>
      <c r="M64" s="101">
        <v>397.63057284671254</v>
      </c>
      <c r="N64" s="101">
        <v>386.90547959817121</v>
      </c>
      <c r="O64" s="101">
        <v>385.58115266369776</v>
      </c>
      <c r="P64" s="101">
        <v>382.20875100498034</v>
      </c>
      <c r="Q64" s="101">
        <v>379.58473632332266</v>
      </c>
      <c r="R64" s="101">
        <v>373.99639819337608</v>
      </c>
      <c r="S64" s="101">
        <v>373.94706680127734</v>
      </c>
      <c r="T64" s="101">
        <v>368.0522524109615</v>
      </c>
      <c r="U64" s="101">
        <v>372.32016451848199</v>
      </c>
      <c r="V64" s="101">
        <v>369.0991640322182</v>
      </c>
      <c r="W64" s="101">
        <v>350.07275472245584</v>
      </c>
      <c r="DA64" s="175" t="s">
        <v>320</v>
      </c>
    </row>
    <row r="65" spans="1:105" ht="11.45" customHeight="1" x14ac:dyDescent="0.25">
      <c r="A65" s="85" t="s">
        <v>174</v>
      </c>
      <c r="B65" s="88">
        <v>407.27614517502712</v>
      </c>
      <c r="C65" s="88">
        <v>407.27614517502707</v>
      </c>
      <c r="D65" s="88">
        <v>407.27614517502712</v>
      </c>
      <c r="E65" s="88">
        <v>407.27614517502707</v>
      </c>
      <c r="F65" s="88">
        <v>407.27614517502707</v>
      </c>
      <c r="G65" s="88">
        <v>404.01608530712934</v>
      </c>
      <c r="H65" s="88">
        <v>395.94858103098068</v>
      </c>
      <c r="I65" s="88">
        <v>389.90403236154435</v>
      </c>
      <c r="J65" s="88">
        <v>386.80065071482829</v>
      </c>
      <c r="K65" s="88">
        <v>385.51083379006661</v>
      </c>
      <c r="L65" s="88">
        <v>380.88135691671874</v>
      </c>
      <c r="M65" s="88">
        <v>427.34280671591404</v>
      </c>
      <c r="N65" s="88">
        <v>484.07249515347326</v>
      </c>
      <c r="O65" s="88">
        <v>473.07114486253005</v>
      </c>
      <c r="P65" s="88">
        <v>491.72206634815802</v>
      </c>
      <c r="Q65" s="88">
        <v>524.57358078095785</v>
      </c>
      <c r="R65" s="88">
        <v>568.33420565284655</v>
      </c>
      <c r="S65" s="88">
        <v>604.95776390491415</v>
      </c>
      <c r="T65" s="88">
        <v>683.92792576796251</v>
      </c>
      <c r="U65" s="88">
        <v>708.19225563159364</v>
      </c>
      <c r="V65" s="88">
        <v>665.68998596689414</v>
      </c>
      <c r="W65" s="88">
        <v>608.42338303397628</v>
      </c>
      <c r="DA65" s="178" t="s">
        <v>321</v>
      </c>
    </row>
    <row r="66" spans="1:105" x14ac:dyDescent="0.25">
      <c r="A66" s="50"/>
      <c r="B66" s="50"/>
      <c r="C66" s="50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DA66" s="181"/>
    </row>
    <row r="67" spans="1:105" ht="11.45" customHeight="1" x14ac:dyDescent="0.25">
      <c r="A67" s="53" t="s">
        <v>77</v>
      </c>
      <c r="B67" s="59">
        <f t="shared" ref="B67" si="59">IF(B3=0,0,B17/B57)</f>
        <v>0.84833793931471924</v>
      </c>
      <c r="C67" s="59">
        <f t="shared" ref="C67:W67" si="60">IF(C3=0,0,C17/C57)</f>
        <v>0.86888472850377119</v>
      </c>
      <c r="D67" s="59">
        <f t="shared" si="60"/>
        <v>0.82183716381889138</v>
      </c>
      <c r="E67" s="59">
        <f t="shared" si="60"/>
        <v>0.75919793554268522</v>
      </c>
      <c r="F67" s="59">
        <f t="shared" si="60"/>
        <v>0.77703031547966039</v>
      </c>
      <c r="G67" s="59">
        <f t="shared" si="60"/>
        <v>0.80280305508400207</v>
      </c>
      <c r="H67" s="59">
        <f t="shared" si="60"/>
        <v>0.85264939988686661</v>
      </c>
      <c r="I67" s="59">
        <f t="shared" si="60"/>
        <v>0.90802452681535928</v>
      </c>
      <c r="J67" s="59">
        <f t="shared" si="60"/>
        <v>0.90322917333875297</v>
      </c>
      <c r="K67" s="59">
        <f t="shared" si="60"/>
        <v>0.88961645351648577</v>
      </c>
      <c r="L67" s="59">
        <f t="shared" si="60"/>
        <v>0.95508648582212874</v>
      </c>
      <c r="M67" s="59">
        <f t="shared" si="60"/>
        <v>0.98726877910300748</v>
      </c>
      <c r="N67" s="59">
        <f t="shared" si="60"/>
        <v>0.98337619158312162</v>
      </c>
      <c r="O67" s="59">
        <f t="shared" si="60"/>
        <v>0.96736863472003976</v>
      </c>
      <c r="P67" s="59">
        <f t="shared" si="60"/>
        <v>0.9159041121594077</v>
      </c>
      <c r="Q67" s="59">
        <f t="shared" si="60"/>
        <v>0.9539068051202495</v>
      </c>
      <c r="R67" s="59">
        <f t="shared" si="60"/>
        <v>1.0392976549828561</v>
      </c>
      <c r="S67" s="59">
        <f t="shared" si="60"/>
        <v>0.99234703186550011</v>
      </c>
      <c r="T67" s="59">
        <f t="shared" si="60"/>
        <v>0.98542192212551138</v>
      </c>
      <c r="U67" s="59">
        <f t="shared" si="60"/>
        <v>0.98478800800750421</v>
      </c>
      <c r="V67" s="59">
        <f t="shared" si="60"/>
        <v>1.0205349662162766</v>
      </c>
      <c r="W67" s="59">
        <f t="shared" si="60"/>
        <v>1.1475844067171004</v>
      </c>
      <c r="DA67" s="172"/>
    </row>
    <row r="68" spans="1:105" ht="11.45" customHeight="1" x14ac:dyDescent="0.25">
      <c r="A68" s="10" t="s">
        <v>33</v>
      </c>
      <c r="B68" s="23">
        <f t="shared" ref="B68:B75" si="61">IF(B6=0,0,B18/B58)</f>
        <v>0.84847363861368708</v>
      </c>
      <c r="C68" s="23">
        <f t="shared" ref="C68:W68" si="62">IF(C6=0,0,C18/C58)</f>
        <v>0.86904321063786405</v>
      </c>
      <c r="D68" s="23">
        <f t="shared" si="62"/>
        <v>0.8219460731268744</v>
      </c>
      <c r="E68" s="23">
        <f t="shared" si="62"/>
        <v>0.75942565601452305</v>
      </c>
      <c r="F68" s="23">
        <f t="shared" si="62"/>
        <v>0.77673069754219781</v>
      </c>
      <c r="G68" s="23">
        <f t="shared" si="62"/>
        <v>0.8024528209810432</v>
      </c>
      <c r="H68" s="23">
        <f t="shared" si="62"/>
        <v>0.85266800615223892</v>
      </c>
      <c r="I68" s="23">
        <f t="shared" si="62"/>
        <v>0.90847769852006865</v>
      </c>
      <c r="J68" s="23">
        <f t="shared" si="62"/>
        <v>0.90371617016406314</v>
      </c>
      <c r="K68" s="23">
        <f t="shared" si="62"/>
        <v>0.89028507141632551</v>
      </c>
      <c r="L68" s="23">
        <f t="shared" si="62"/>
        <v>0.95604153168942285</v>
      </c>
      <c r="M68" s="23">
        <f t="shared" si="62"/>
        <v>0.98772040238462977</v>
      </c>
      <c r="N68" s="23">
        <f t="shared" si="62"/>
        <v>0.98367230006616579</v>
      </c>
      <c r="O68" s="23">
        <f t="shared" si="62"/>
        <v>0.96743135782973388</v>
      </c>
      <c r="P68" s="23">
        <f t="shared" si="62"/>
        <v>0.9161426356423662</v>
      </c>
      <c r="Q68" s="23">
        <f t="shared" si="62"/>
        <v>0.95584667074933038</v>
      </c>
      <c r="R68" s="23">
        <f t="shared" si="62"/>
        <v>1.0421340319722525</v>
      </c>
      <c r="S68" s="23">
        <f t="shared" si="62"/>
        <v>0.99557845823323166</v>
      </c>
      <c r="T68" s="23">
        <f t="shared" si="62"/>
        <v>0.99018478508619923</v>
      </c>
      <c r="U68" s="23">
        <f t="shared" si="62"/>
        <v>0.98953105273674136</v>
      </c>
      <c r="V68" s="23">
        <f t="shared" si="62"/>
        <v>1.027466800160701</v>
      </c>
      <c r="W68" s="23">
        <f t="shared" si="62"/>
        <v>1.1551612028378568</v>
      </c>
      <c r="DA68" s="189"/>
    </row>
    <row r="69" spans="1:105" ht="11.45" customHeight="1" x14ac:dyDescent="0.25">
      <c r="A69" s="83" t="s">
        <v>27</v>
      </c>
      <c r="B69" s="91">
        <f t="shared" si="61"/>
        <v>0.82365467653309443</v>
      </c>
      <c r="C69" s="91">
        <f t="shared" ref="C69:W69" si="63">IF(C7=0,0,C19/C59)</f>
        <v>0.86635043085202956</v>
      </c>
      <c r="D69" s="91">
        <f t="shared" si="63"/>
        <v>0.83142879734978925</v>
      </c>
      <c r="E69" s="91">
        <f t="shared" si="63"/>
        <v>0.84405718747163483</v>
      </c>
      <c r="F69" s="91">
        <f t="shared" si="63"/>
        <v>0.91637888572358761</v>
      </c>
      <c r="G69" s="91">
        <f t="shared" si="63"/>
        <v>0.92412114178216864</v>
      </c>
      <c r="H69" s="91">
        <f t="shared" si="63"/>
        <v>0.93779817913867991</v>
      </c>
      <c r="I69" s="91">
        <f t="shared" si="63"/>
        <v>0.9444438907742233</v>
      </c>
      <c r="J69" s="91">
        <f t="shared" si="63"/>
        <v>0.88584823094273857</v>
      </c>
      <c r="K69" s="91">
        <f t="shared" si="63"/>
        <v>0.88633532910514967</v>
      </c>
      <c r="L69" s="91">
        <f t="shared" si="63"/>
        <v>0.86645155418769526</v>
      </c>
      <c r="M69" s="91">
        <f t="shared" si="63"/>
        <v>1.1064327335853075</v>
      </c>
      <c r="N69" s="91">
        <f t="shared" si="63"/>
        <v>1.0409210717633439</v>
      </c>
      <c r="O69" s="91">
        <f t="shared" si="63"/>
        <v>1.0841715761981652</v>
      </c>
      <c r="P69" s="91">
        <f t="shared" si="63"/>
        <v>1.1197350283037906</v>
      </c>
      <c r="Q69" s="91">
        <f t="shared" si="63"/>
        <v>1.2557884601254852</v>
      </c>
      <c r="R69" s="91">
        <f t="shared" si="63"/>
        <v>1.3834666423548068</v>
      </c>
      <c r="S69" s="91">
        <f t="shared" si="63"/>
        <v>1.3409678959556841</v>
      </c>
      <c r="T69" s="91">
        <f t="shared" si="63"/>
        <v>1.4320809842277149</v>
      </c>
      <c r="U69" s="91">
        <f t="shared" si="63"/>
        <v>1.2676798245924057</v>
      </c>
      <c r="V69" s="91">
        <f t="shared" si="63"/>
        <v>2.4966096422524124</v>
      </c>
      <c r="W69" s="91">
        <f t="shared" si="63"/>
        <v>3.226933247374693</v>
      </c>
      <c r="DA69" s="171"/>
    </row>
    <row r="70" spans="1:105" ht="11.45" customHeight="1" x14ac:dyDescent="0.25">
      <c r="A70" s="83" t="s">
        <v>173</v>
      </c>
      <c r="B70" s="91">
        <f t="shared" si="61"/>
        <v>0.91787119861921962</v>
      </c>
      <c r="C70" s="91">
        <f t="shared" ref="C70:W70" si="64">IF(C8=0,0,C20/C60)</f>
        <v>0.93592736229899476</v>
      </c>
      <c r="D70" s="91">
        <f t="shared" si="64"/>
        <v>0.88253491088353597</v>
      </c>
      <c r="E70" s="91">
        <f t="shared" si="64"/>
        <v>0.80863388546133419</v>
      </c>
      <c r="F70" s="91">
        <f t="shared" si="64"/>
        <v>0.82771012635850316</v>
      </c>
      <c r="G70" s="91">
        <f t="shared" si="64"/>
        <v>0.91453603137942674</v>
      </c>
      <c r="H70" s="91">
        <f t="shared" si="64"/>
        <v>0.95608533955146846</v>
      </c>
      <c r="I70" s="91">
        <f t="shared" si="64"/>
        <v>0.956427926918898</v>
      </c>
      <c r="J70" s="91">
        <f t="shared" si="64"/>
        <v>0.92033230035183067</v>
      </c>
      <c r="K70" s="91">
        <f t="shared" si="64"/>
        <v>0.87552991343046227</v>
      </c>
      <c r="L70" s="91">
        <f t="shared" si="64"/>
        <v>0.9324545725879686</v>
      </c>
      <c r="M70" s="91">
        <f t="shared" si="64"/>
        <v>0.97231696100857834</v>
      </c>
      <c r="N70" s="91">
        <f t="shared" si="64"/>
        <v>0.96137118845088532</v>
      </c>
      <c r="O70" s="91">
        <f t="shared" si="64"/>
        <v>0.96893449090384898</v>
      </c>
      <c r="P70" s="91">
        <f t="shared" si="64"/>
        <v>0.94704645881817173</v>
      </c>
      <c r="Q70" s="91">
        <f t="shared" si="64"/>
        <v>1.0141685437905787</v>
      </c>
      <c r="R70" s="91">
        <f t="shared" si="64"/>
        <v>1.1226245227384191</v>
      </c>
      <c r="S70" s="91">
        <f t="shared" si="64"/>
        <v>1.1108140146027878</v>
      </c>
      <c r="T70" s="91">
        <f t="shared" si="64"/>
        <v>1.1589903853473129</v>
      </c>
      <c r="U70" s="91">
        <f t="shared" si="64"/>
        <v>1.1703757013689089</v>
      </c>
      <c r="V70" s="91">
        <f t="shared" si="64"/>
        <v>0.91177683841464707</v>
      </c>
      <c r="W70" s="91">
        <f t="shared" si="64"/>
        <v>1.1418203186244689</v>
      </c>
      <c r="DA70" s="171"/>
    </row>
    <row r="71" spans="1:105" ht="11.45" customHeight="1" x14ac:dyDescent="0.25">
      <c r="A71" s="83" t="s">
        <v>174</v>
      </c>
      <c r="B71" s="91">
        <f t="shared" si="61"/>
        <v>0.80754535099105673</v>
      </c>
      <c r="C71" s="91">
        <f t="shared" ref="C71:W71" si="65">IF(C9=0,0,C21/C61)</f>
        <v>0.82412906588738355</v>
      </c>
      <c r="D71" s="91">
        <f t="shared" si="65"/>
        <v>0.778576258260953</v>
      </c>
      <c r="E71" s="91">
        <f t="shared" si="65"/>
        <v>0.71247696711083564</v>
      </c>
      <c r="F71" s="91">
        <f t="shared" si="65"/>
        <v>0.72768092428732589</v>
      </c>
      <c r="G71" s="91">
        <f t="shared" si="65"/>
        <v>0.72070015664340226</v>
      </c>
      <c r="H71" s="91">
        <f t="shared" si="65"/>
        <v>0.77506753864491218</v>
      </c>
      <c r="I71" s="91">
        <f t="shared" si="65"/>
        <v>0.86749152965186571</v>
      </c>
      <c r="J71" s="91">
        <f t="shared" si="65"/>
        <v>0.89195803937229567</v>
      </c>
      <c r="K71" s="91">
        <f t="shared" si="65"/>
        <v>0.902882818664964</v>
      </c>
      <c r="L71" s="91">
        <f t="shared" si="65"/>
        <v>0.98557750674406408</v>
      </c>
      <c r="M71" s="91">
        <f t="shared" si="65"/>
        <v>0.99038842780551783</v>
      </c>
      <c r="N71" s="91">
        <f t="shared" si="65"/>
        <v>0.99657541804019434</v>
      </c>
      <c r="O71" s="91">
        <f t="shared" si="65"/>
        <v>0.95696018406057781</v>
      </c>
      <c r="P71" s="91">
        <f t="shared" si="65"/>
        <v>0.87992020435238705</v>
      </c>
      <c r="Q71" s="91">
        <f t="shared" si="65"/>
        <v>0.89786003381989943</v>
      </c>
      <c r="R71" s="91">
        <f t="shared" si="65"/>
        <v>0.96572675515114281</v>
      </c>
      <c r="S71" s="91">
        <f t="shared" si="65"/>
        <v>0.89686837815825915</v>
      </c>
      <c r="T71" s="91">
        <f t="shared" si="65"/>
        <v>0.86232912283169538</v>
      </c>
      <c r="U71" s="91">
        <f t="shared" si="65"/>
        <v>0.86898639604450112</v>
      </c>
      <c r="V71" s="91">
        <f t="shared" si="65"/>
        <v>1.0562621700853279</v>
      </c>
      <c r="W71" s="91">
        <f t="shared" si="65"/>
        <v>1.1098241473749437</v>
      </c>
      <c r="DA71" s="171"/>
    </row>
    <row r="72" spans="1:105" ht="11.45" customHeight="1" x14ac:dyDescent="0.25">
      <c r="A72" s="12" t="s">
        <v>34</v>
      </c>
      <c r="B72" s="24">
        <f t="shared" si="61"/>
        <v>0.84099752512286674</v>
      </c>
      <c r="C72" s="24">
        <f t="shared" ref="C72:W72" si="66">IF(C10=0,0,C22/C62)</f>
        <v>0.8580040147688871</v>
      </c>
      <c r="D72" s="24">
        <f t="shared" si="66"/>
        <v>0.81624720454240762</v>
      </c>
      <c r="E72" s="24">
        <f t="shared" si="66"/>
        <v>0.74623107457660132</v>
      </c>
      <c r="F72" s="24">
        <f t="shared" si="66"/>
        <v>0.79304670154302492</v>
      </c>
      <c r="G72" s="24">
        <f t="shared" si="66"/>
        <v>0.81957619561738881</v>
      </c>
      <c r="H72" s="24">
        <f t="shared" si="66"/>
        <v>0.85295741485825871</v>
      </c>
      <c r="I72" s="24">
        <f t="shared" si="66"/>
        <v>0.88758100022789588</v>
      </c>
      <c r="J72" s="24">
        <f t="shared" si="66"/>
        <v>0.87896004486870682</v>
      </c>
      <c r="K72" s="24">
        <f t="shared" si="66"/>
        <v>0.85419729201783234</v>
      </c>
      <c r="L72" s="24">
        <f t="shared" si="66"/>
        <v>0.90732543677646083</v>
      </c>
      <c r="M72" s="24">
        <f t="shared" si="66"/>
        <v>0.96735747082982304</v>
      </c>
      <c r="N72" s="24">
        <f t="shared" si="66"/>
        <v>0.97064745604842428</v>
      </c>
      <c r="O72" s="24">
        <f t="shared" si="66"/>
        <v>0.96507805584904194</v>
      </c>
      <c r="P72" s="24">
        <f t="shared" si="66"/>
        <v>0.90769510612116655</v>
      </c>
      <c r="Q72" s="24">
        <f t="shared" si="66"/>
        <v>0.89634231091341177</v>
      </c>
      <c r="R72" s="24">
        <f t="shared" si="66"/>
        <v>0.95422412068098084</v>
      </c>
      <c r="S72" s="24">
        <f t="shared" si="66"/>
        <v>0.90989711006215412</v>
      </c>
      <c r="T72" s="24">
        <f t="shared" si="66"/>
        <v>0.87501907323493899</v>
      </c>
      <c r="U72" s="24">
        <f t="shared" si="66"/>
        <v>0.86911670407230057</v>
      </c>
      <c r="V72" s="24">
        <f t="shared" si="66"/>
        <v>0.94841081461715149</v>
      </c>
      <c r="W72" s="24">
        <f t="shared" si="66"/>
        <v>1.062134063147854</v>
      </c>
      <c r="DA72" s="193"/>
    </row>
    <row r="73" spans="1:105" ht="11.45" customHeight="1" x14ac:dyDescent="0.25">
      <c r="A73" s="92" t="s">
        <v>27</v>
      </c>
      <c r="B73" s="93">
        <f t="shared" si="61"/>
        <v>0.82365467653309421</v>
      </c>
      <c r="C73" s="93">
        <f t="shared" ref="C73:W73" si="67">IF(C11=0,0,C23/C63)</f>
        <v>0.86635043085202967</v>
      </c>
      <c r="D73" s="93">
        <f t="shared" si="67"/>
        <v>0.83142879734978914</v>
      </c>
      <c r="E73" s="93">
        <f t="shared" si="67"/>
        <v>0.84405718747163472</v>
      </c>
      <c r="F73" s="93">
        <f t="shared" si="67"/>
        <v>0.91637888572358728</v>
      </c>
      <c r="G73" s="93">
        <f t="shared" si="67"/>
        <v>0.92412114178216842</v>
      </c>
      <c r="H73" s="93">
        <f t="shared" si="67"/>
        <v>0.93779817913868002</v>
      </c>
      <c r="I73" s="93">
        <f t="shared" si="67"/>
        <v>0.94444389077422342</v>
      </c>
      <c r="J73" s="93">
        <f t="shared" si="67"/>
        <v>0.88584823094273857</v>
      </c>
      <c r="K73" s="93">
        <f t="shared" si="67"/>
        <v>0.88633532910514978</v>
      </c>
      <c r="L73" s="93">
        <f t="shared" si="67"/>
        <v>0.86645155418769548</v>
      </c>
      <c r="M73" s="93">
        <f t="shared" si="67"/>
        <v>1.1064327335853077</v>
      </c>
      <c r="N73" s="93">
        <f t="shared" si="67"/>
        <v>1.0409210717633437</v>
      </c>
      <c r="O73" s="93">
        <f t="shared" si="67"/>
        <v>1.0841715761981652</v>
      </c>
      <c r="P73" s="93">
        <f t="shared" si="67"/>
        <v>1.1197350283037906</v>
      </c>
      <c r="Q73" s="93">
        <f t="shared" si="67"/>
        <v>1.2557884601254854</v>
      </c>
      <c r="R73" s="93">
        <f t="shared" si="67"/>
        <v>1.3834666423548068</v>
      </c>
      <c r="S73" s="93">
        <f t="shared" si="67"/>
        <v>1.3409678959556839</v>
      </c>
      <c r="T73" s="93">
        <f t="shared" si="67"/>
        <v>1.4320809842277149</v>
      </c>
      <c r="U73" s="93">
        <f t="shared" si="67"/>
        <v>1.2676798245924057</v>
      </c>
      <c r="V73" s="93">
        <f t="shared" si="67"/>
        <v>2.496609642252412</v>
      </c>
      <c r="W73" s="93">
        <f t="shared" si="67"/>
        <v>3.2269332473746939</v>
      </c>
      <c r="DA73" s="175"/>
    </row>
    <row r="74" spans="1:105" ht="11.45" customHeight="1" x14ac:dyDescent="0.25">
      <c r="A74" s="92" t="s">
        <v>173</v>
      </c>
      <c r="B74" s="93">
        <f t="shared" si="61"/>
        <v>0.92338937088671469</v>
      </c>
      <c r="C74" s="93">
        <f t="shared" ref="C74:W74" si="68">IF(C12=0,0,C24/C64)</f>
        <v>0.93880927821315774</v>
      </c>
      <c r="D74" s="93">
        <f t="shared" si="68"/>
        <v>0.88711894693037685</v>
      </c>
      <c r="E74" s="93">
        <f t="shared" si="68"/>
        <v>0.80941105320376383</v>
      </c>
      <c r="F74" s="93">
        <f t="shared" si="68"/>
        <v>0.85409699697235331</v>
      </c>
      <c r="G74" s="93">
        <f t="shared" si="68"/>
        <v>0.93581617208567325</v>
      </c>
      <c r="H74" s="93">
        <f t="shared" si="68"/>
        <v>0.9429396313869749</v>
      </c>
      <c r="I74" s="93">
        <f t="shared" si="68"/>
        <v>0.94486377918341768</v>
      </c>
      <c r="J74" s="93">
        <f t="shared" si="68"/>
        <v>0.91302555328586665</v>
      </c>
      <c r="K74" s="93">
        <f t="shared" si="68"/>
        <v>0.86350273310649595</v>
      </c>
      <c r="L74" s="93">
        <f t="shared" si="68"/>
        <v>0.90951546713742915</v>
      </c>
      <c r="M74" s="93">
        <f t="shared" si="68"/>
        <v>1.0112128729759786</v>
      </c>
      <c r="N74" s="93">
        <f t="shared" si="68"/>
        <v>1.0356975588460253</v>
      </c>
      <c r="O74" s="93">
        <f t="shared" si="68"/>
        <v>1.0676107126920578</v>
      </c>
      <c r="P74" s="93">
        <f t="shared" si="68"/>
        <v>1.0292492566253446</v>
      </c>
      <c r="Q74" s="93">
        <f t="shared" si="68"/>
        <v>1.0373818700767374</v>
      </c>
      <c r="R74" s="93">
        <f t="shared" si="68"/>
        <v>1.1385680733054122</v>
      </c>
      <c r="S74" s="93">
        <f t="shared" si="68"/>
        <v>1.1355071815772442</v>
      </c>
      <c r="T74" s="93">
        <f t="shared" si="68"/>
        <v>1.1704840264342153</v>
      </c>
      <c r="U74" s="93">
        <f t="shared" si="68"/>
        <v>1.1348328328503781</v>
      </c>
      <c r="V74" s="93">
        <f t="shared" si="68"/>
        <v>0.94319635714313022</v>
      </c>
      <c r="W74" s="93">
        <f t="shared" si="68"/>
        <v>1.1732605566858592</v>
      </c>
      <c r="DA74" s="175"/>
    </row>
    <row r="75" spans="1:105" ht="11.45" customHeight="1" x14ac:dyDescent="0.25">
      <c r="A75" s="85" t="s">
        <v>174</v>
      </c>
      <c r="B75" s="94">
        <f t="shared" si="61"/>
        <v>0.7267908158919506</v>
      </c>
      <c r="C75" s="94">
        <f t="shared" ref="C75:W75" si="69">IF(C13=0,0,C25/C65)</f>
        <v>0.74171615929864498</v>
      </c>
      <c r="D75" s="94">
        <f t="shared" si="69"/>
        <v>0.70071863243485766</v>
      </c>
      <c r="E75" s="94">
        <f t="shared" si="69"/>
        <v>0.64122927039975197</v>
      </c>
      <c r="F75" s="94">
        <f t="shared" si="69"/>
        <v>0.65491283185859328</v>
      </c>
      <c r="G75" s="94">
        <f t="shared" si="69"/>
        <v>0.64863014097906191</v>
      </c>
      <c r="H75" s="94">
        <f t="shared" si="69"/>
        <v>0.69756078478042116</v>
      </c>
      <c r="I75" s="94">
        <f t="shared" si="69"/>
        <v>0.78074237668667956</v>
      </c>
      <c r="J75" s="94">
        <f t="shared" si="69"/>
        <v>0.80276223543506608</v>
      </c>
      <c r="K75" s="94">
        <f t="shared" si="69"/>
        <v>0.81259453679846771</v>
      </c>
      <c r="L75" s="94">
        <f t="shared" si="69"/>
        <v>0.88701975606965799</v>
      </c>
      <c r="M75" s="94">
        <f t="shared" si="69"/>
        <v>0.89134958502496575</v>
      </c>
      <c r="N75" s="94">
        <f t="shared" si="69"/>
        <v>0.89691787623617492</v>
      </c>
      <c r="O75" s="94">
        <f t="shared" si="69"/>
        <v>0.86126416565452002</v>
      </c>
      <c r="P75" s="94">
        <f t="shared" si="69"/>
        <v>0.79192818391714814</v>
      </c>
      <c r="Q75" s="94">
        <f t="shared" si="69"/>
        <v>0.8080740304379096</v>
      </c>
      <c r="R75" s="94">
        <f t="shared" si="69"/>
        <v>0.86915407963602864</v>
      </c>
      <c r="S75" s="94">
        <f t="shared" si="69"/>
        <v>0.80718154034243306</v>
      </c>
      <c r="T75" s="94">
        <f t="shared" si="69"/>
        <v>0.77609621054852584</v>
      </c>
      <c r="U75" s="94">
        <f t="shared" si="69"/>
        <v>0.78208775644005102</v>
      </c>
      <c r="V75" s="94">
        <f t="shared" si="69"/>
        <v>0.95063595307679516</v>
      </c>
      <c r="W75" s="94">
        <f t="shared" si="69"/>
        <v>0.99884173263744924</v>
      </c>
      <c r="DA75" s="178"/>
    </row>
    <row r="76" spans="1:105" x14ac:dyDescent="0.25">
      <c r="A76" s="50"/>
      <c r="B76" s="50"/>
      <c r="C76" s="50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DA76" s="181"/>
    </row>
    <row r="77" spans="1:105" ht="11.45" customHeight="1" x14ac:dyDescent="0.25">
      <c r="A77" s="52" t="s">
        <v>78</v>
      </c>
      <c r="B77" s="50"/>
      <c r="C77" s="50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DA77" s="181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A5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322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79">
        <f t="shared" ref="B3:C3" si="0">SUM(B4:B5)</f>
        <v>1777.4148290400003</v>
      </c>
      <c r="C3" s="79">
        <f t="shared" si="0"/>
        <v>1727.6023652400004</v>
      </c>
      <c r="D3" s="79">
        <f t="shared" ref="D3" si="1">SUM(D4:D5)</f>
        <v>1624.7329574400001</v>
      </c>
      <c r="E3" s="79">
        <f t="shared" ref="E3" si="2">SUM(E4:E5)</f>
        <v>1537.6927514399999</v>
      </c>
      <c r="F3" s="79">
        <f t="shared" ref="F3" si="3">SUM(F4:F5)</f>
        <v>1811.5292437199996</v>
      </c>
      <c r="G3" s="79">
        <f t="shared" ref="G3" si="4">SUM(G4:G5)</f>
        <v>2040.2675992800005</v>
      </c>
      <c r="H3" s="79">
        <f t="shared" ref="H3" si="5">SUM(H4:H5)</f>
        <v>2135.2209008399996</v>
      </c>
      <c r="I3" s="79">
        <f t="shared" ref="I3" si="6">SUM(I4:I5)</f>
        <v>2263.0005676800006</v>
      </c>
      <c r="J3" s="79">
        <f t="shared" ref="J3" si="7">SUM(J4:J5)</f>
        <v>2266.7535838800004</v>
      </c>
      <c r="K3" s="79">
        <f t="shared" ref="K3" si="8">SUM(K4:K5)</f>
        <v>1979.1362206799997</v>
      </c>
      <c r="L3" s="79">
        <f t="shared" ref="L3" si="9">SUM(L4:L5)</f>
        <v>2114.3857687200002</v>
      </c>
      <c r="M3" s="79">
        <f t="shared" ref="M3" si="10">SUM(M4:M5)</f>
        <v>2214.2725948800007</v>
      </c>
      <c r="N3" s="79">
        <f t="shared" ref="N3" si="11">SUM(N4:N5)</f>
        <v>2147.1303196800004</v>
      </c>
      <c r="O3" s="79">
        <f t="shared" ref="O3" si="12">SUM(O4:O5)</f>
        <v>2049.6750876000001</v>
      </c>
      <c r="P3" s="79">
        <f t="shared" ref="P3" si="13">SUM(P4:P5)</f>
        <v>2049.1616566800008</v>
      </c>
      <c r="Q3" s="79">
        <f t="shared" ref="Q3" si="14">SUM(Q4:Q5)</f>
        <v>2198.2164033599993</v>
      </c>
      <c r="R3" s="79">
        <f t="shared" ref="R3" si="15">SUM(R4:R5)</f>
        <v>2391.5482721999997</v>
      </c>
      <c r="S3" s="79">
        <f t="shared" ref="S3" si="16">SUM(S4:S5)</f>
        <v>2309.3124865199998</v>
      </c>
      <c r="T3" s="79">
        <f t="shared" ref="T3" si="17">SUM(T4:T5)</f>
        <v>2594.0980454400001</v>
      </c>
      <c r="U3" s="79">
        <f t="shared" ref="U3" si="18">SUM(U4:U5)</f>
        <v>2967.1060482000007</v>
      </c>
      <c r="V3" s="79">
        <f t="shared" ref="V3:W3" si="19">SUM(V4:V5)</f>
        <v>1007.7431792400001</v>
      </c>
      <c r="W3" s="79">
        <f t="shared" si="19"/>
        <v>1262.93675796</v>
      </c>
      <c r="DA3" s="172" t="s">
        <v>323</v>
      </c>
    </row>
    <row r="4" spans="1:105" ht="11.45" customHeight="1" x14ac:dyDescent="0.25">
      <c r="A4" s="95" t="s">
        <v>27</v>
      </c>
      <c r="B4" s="96">
        <f t="shared" ref="B4:C4" si="20">SUM(B7,B11)</f>
        <v>105.58875276000002</v>
      </c>
      <c r="C4" s="96">
        <f t="shared" si="20"/>
        <v>99.362097720000008</v>
      </c>
      <c r="D4" s="96">
        <f t="shared" ref="D4:V4" si="21">SUM(D7,D11)</f>
        <v>102.34401372000002</v>
      </c>
      <c r="E4" s="96">
        <f t="shared" si="21"/>
        <v>99.362097720000037</v>
      </c>
      <c r="F4" s="96">
        <f t="shared" si="21"/>
        <v>105.45734124000001</v>
      </c>
      <c r="G4" s="96">
        <f t="shared" si="21"/>
        <v>106.68724344</v>
      </c>
      <c r="H4" s="96">
        <f t="shared" si="21"/>
        <v>112.15878048</v>
      </c>
      <c r="I4" s="96">
        <f t="shared" si="21"/>
        <v>114.62313203999999</v>
      </c>
      <c r="J4" s="96">
        <f t="shared" si="21"/>
        <v>112.28046624</v>
      </c>
      <c r="K4" s="96">
        <f t="shared" si="21"/>
        <v>109.54628964</v>
      </c>
      <c r="L4" s="96">
        <f t="shared" si="21"/>
        <v>106.37182944</v>
      </c>
      <c r="M4" s="96">
        <f t="shared" si="21"/>
        <v>105.04626227999998</v>
      </c>
      <c r="N4" s="96">
        <f t="shared" si="21"/>
        <v>98.795061720000007</v>
      </c>
      <c r="O4" s="96">
        <f t="shared" si="21"/>
        <v>98.223382799999982</v>
      </c>
      <c r="P4" s="96">
        <f t="shared" si="21"/>
        <v>95.111715960000012</v>
      </c>
      <c r="Q4" s="96">
        <f t="shared" si="21"/>
        <v>95.647953239999978</v>
      </c>
      <c r="R4" s="96">
        <f t="shared" si="21"/>
        <v>93.861570960000009</v>
      </c>
      <c r="S4" s="96">
        <f t="shared" si="21"/>
        <v>89.538437160000015</v>
      </c>
      <c r="T4" s="96">
        <f t="shared" si="21"/>
        <v>93.634793999999999</v>
      </c>
      <c r="U4" s="96">
        <f t="shared" si="21"/>
        <v>77.515165080000003</v>
      </c>
      <c r="V4" s="96">
        <f t="shared" si="21"/>
        <v>50.079440880000007</v>
      </c>
      <c r="W4" s="96">
        <f t="shared" ref="W4" si="22">SUM(W7,W11)</f>
        <v>49.281294959999997</v>
      </c>
      <c r="DA4" s="171" t="s">
        <v>324</v>
      </c>
    </row>
    <row r="5" spans="1:105" ht="11.45" customHeight="1" x14ac:dyDescent="0.25">
      <c r="A5" s="95" t="s">
        <v>116</v>
      </c>
      <c r="B5" s="96">
        <f t="shared" ref="B5:C5" si="23">SUM(B8:B9,B12:B13)</f>
        <v>1671.8260762800003</v>
      </c>
      <c r="C5" s="96">
        <f t="shared" si="23"/>
        <v>1628.2402675200003</v>
      </c>
      <c r="D5" s="96">
        <f t="shared" ref="D5:V5" si="24">SUM(D8:D9,D12:D13)</f>
        <v>1522.38894372</v>
      </c>
      <c r="E5" s="96">
        <f t="shared" si="24"/>
        <v>1438.3306537199999</v>
      </c>
      <c r="F5" s="96">
        <f t="shared" si="24"/>
        <v>1706.0719024799996</v>
      </c>
      <c r="G5" s="96">
        <f t="shared" si="24"/>
        <v>1933.5803558400005</v>
      </c>
      <c r="H5" s="96">
        <f t="shared" si="24"/>
        <v>2023.0621203599997</v>
      </c>
      <c r="I5" s="96">
        <f t="shared" si="24"/>
        <v>2148.3774356400004</v>
      </c>
      <c r="J5" s="96">
        <f t="shared" si="24"/>
        <v>2154.4731176400005</v>
      </c>
      <c r="K5" s="96">
        <f t="shared" si="24"/>
        <v>1869.5899310399998</v>
      </c>
      <c r="L5" s="96">
        <f t="shared" si="24"/>
        <v>2008.0139392800002</v>
      </c>
      <c r="M5" s="96">
        <f t="shared" si="24"/>
        <v>2109.2263326000007</v>
      </c>
      <c r="N5" s="96">
        <f t="shared" si="24"/>
        <v>2048.3352579600005</v>
      </c>
      <c r="O5" s="96">
        <f t="shared" si="24"/>
        <v>1951.4517048000002</v>
      </c>
      <c r="P5" s="96">
        <f t="shared" si="24"/>
        <v>1954.0499407200007</v>
      </c>
      <c r="Q5" s="96">
        <f t="shared" si="24"/>
        <v>2102.5684501199994</v>
      </c>
      <c r="R5" s="96">
        <f t="shared" si="24"/>
        <v>2297.6867012399998</v>
      </c>
      <c r="S5" s="96">
        <f t="shared" si="24"/>
        <v>2219.7740493599999</v>
      </c>
      <c r="T5" s="96">
        <f t="shared" si="24"/>
        <v>2500.46325144</v>
      </c>
      <c r="U5" s="96">
        <f t="shared" si="24"/>
        <v>2889.5908831200009</v>
      </c>
      <c r="V5" s="96">
        <f t="shared" si="24"/>
        <v>957.66373836000014</v>
      </c>
      <c r="W5" s="96">
        <f t="shared" ref="W5" si="25">SUM(W8:W9,W12:W13)</f>
        <v>1213.6554630000001</v>
      </c>
      <c r="DA5" s="171" t="s">
        <v>325</v>
      </c>
    </row>
    <row r="6" spans="1:105" ht="11.45" customHeight="1" x14ac:dyDescent="0.25">
      <c r="A6" s="10" t="s">
        <v>33</v>
      </c>
      <c r="B6" s="21">
        <f t="shared" ref="B6:C6" si="26">SUM(B7:B9)</f>
        <v>1754.00534910854</v>
      </c>
      <c r="C6" s="21">
        <f t="shared" si="26"/>
        <v>1706.7402784352894</v>
      </c>
      <c r="D6" s="21">
        <f t="shared" ref="D6:V6" si="27">SUM(D7:D9)</f>
        <v>1600.2361878993504</v>
      </c>
      <c r="E6" s="21">
        <f t="shared" si="27"/>
        <v>1513.778421642033</v>
      </c>
      <c r="F6" s="21">
        <f t="shared" si="27"/>
        <v>1774.8779192918298</v>
      </c>
      <c r="G6" s="21">
        <f t="shared" si="27"/>
        <v>1994.6226041437949</v>
      </c>
      <c r="H6" s="21">
        <f t="shared" si="27"/>
        <v>2085.2037924099532</v>
      </c>
      <c r="I6" s="21">
        <f t="shared" si="27"/>
        <v>2217.0892134269516</v>
      </c>
      <c r="J6" s="21">
        <f t="shared" si="27"/>
        <v>2224.9224448921213</v>
      </c>
      <c r="K6" s="21">
        <f t="shared" si="27"/>
        <v>1944.6779794267563</v>
      </c>
      <c r="L6" s="21">
        <f t="shared" si="27"/>
        <v>2075.392227068834</v>
      </c>
      <c r="M6" s="21">
        <f t="shared" si="27"/>
        <v>2166.8069172676451</v>
      </c>
      <c r="N6" s="21">
        <f t="shared" si="27"/>
        <v>2099.3168428622903</v>
      </c>
      <c r="O6" s="21">
        <f t="shared" si="27"/>
        <v>1997.083967470699</v>
      </c>
      <c r="P6" s="21">
        <f t="shared" si="27"/>
        <v>1992.0926928701435</v>
      </c>
      <c r="Q6" s="21">
        <f t="shared" si="27"/>
        <v>2130.8732623932847</v>
      </c>
      <c r="R6" s="21">
        <f t="shared" si="27"/>
        <v>2320.6729327630442</v>
      </c>
      <c r="S6" s="21">
        <f t="shared" si="27"/>
        <v>2229.4244791818078</v>
      </c>
      <c r="T6" s="21">
        <f t="shared" si="27"/>
        <v>2498.7973294926492</v>
      </c>
      <c r="U6" s="21">
        <f t="shared" si="27"/>
        <v>2863.9454663962542</v>
      </c>
      <c r="V6" s="21">
        <f t="shared" si="27"/>
        <v>925.6086598995779</v>
      </c>
      <c r="W6" s="21">
        <f t="shared" ref="W6" si="28">SUM(W7:W9)</f>
        <v>1167.7182117239431</v>
      </c>
      <c r="DA6" s="189" t="s">
        <v>326</v>
      </c>
    </row>
    <row r="7" spans="1:105" ht="11.45" customHeight="1" x14ac:dyDescent="0.25">
      <c r="A7" s="83" t="s">
        <v>27</v>
      </c>
      <c r="B7" s="96">
        <v>105.00501755954922</v>
      </c>
      <c r="C7" s="96">
        <v>98.981559271069202</v>
      </c>
      <c r="D7" s="96">
        <v>101.97908519353123</v>
      </c>
      <c r="E7" s="96">
        <v>98.991351424400605</v>
      </c>
      <c r="F7" s="96">
        <v>104.93710734504441</v>
      </c>
      <c r="G7" s="96">
        <v>106.14525984271029</v>
      </c>
      <c r="H7" s="96">
        <v>111.59495268388936</v>
      </c>
      <c r="I7" s="96">
        <v>114.12396607508448</v>
      </c>
      <c r="J7" s="96">
        <v>111.78112584445867</v>
      </c>
      <c r="K7" s="96">
        <v>109.08015682655514</v>
      </c>
      <c r="L7" s="96">
        <v>105.99385619841509</v>
      </c>
      <c r="M7" s="96">
        <v>104.6986135790826</v>
      </c>
      <c r="N7" s="96">
        <v>98.557616630739531</v>
      </c>
      <c r="O7" s="96">
        <v>98.036968880892218</v>
      </c>
      <c r="P7" s="96">
        <v>94.986944260335974</v>
      </c>
      <c r="Q7" s="96">
        <v>95.516090268862698</v>
      </c>
      <c r="R7" s="96">
        <v>93.781178533468051</v>
      </c>
      <c r="S7" s="96">
        <v>89.476565547975056</v>
      </c>
      <c r="T7" s="96">
        <v>93.56932799882982</v>
      </c>
      <c r="U7" s="96">
        <v>77.500343625789313</v>
      </c>
      <c r="V7" s="96">
        <v>50.064893556376134</v>
      </c>
      <c r="W7" s="96">
        <v>49.262736081252889</v>
      </c>
      <c r="DA7" s="171" t="s">
        <v>327</v>
      </c>
    </row>
    <row r="8" spans="1:105" ht="11.45" customHeight="1" x14ac:dyDescent="0.25">
      <c r="A8" s="83" t="s">
        <v>173</v>
      </c>
      <c r="B8" s="96">
        <v>686.86778671459649</v>
      </c>
      <c r="C8" s="96">
        <v>698.0624626761836</v>
      </c>
      <c r="D8" s="96">
        <v>661.74743083019496</v>
      </c>
      <c r="E8" s="96">
        <v>657.09339885651468</v>
      </c>
      <c r="F8" s="96">
        <v>748.35384217652563</v>
      </c>
      <c r="G8" s="96">
        <v>848.3958576296842</v>
      </c>
      <c r="H8" s="96">
        <v>899.94617183637763</v>
      </c>
      <c r="I8" s="96">
        <v>975.58077342972945</v>
      </c>
      <c r="J8" s="96">
        <v>964.10689486860804</v>
      </c>
      <c r="K8" s="96">
        <v>815.58043425745348</v>
      </c>
      <c r="L8" s="96">
        <v>869.20138276634452</v>
      </c>
      <c r="M8" s="96">
        <v>907.78537310028946</v>
      </c>
      <c r="N8" s="96">
        <v>866.97829936646235</v>
      </c>
      <c r="O8" s="96">
        <v>816.69603648736074</v>
      </c>
      <c r="P8" s="96">
        <v>823.73962093278533</v>
      </c>
      <c r="Q8" s="96">
        <v>889.3815627399174</v>
      </c>
      <c r="R8" s="96">
        <v>1014.3788987837654</v>
      </c>
      <c r="S8" s="96">
        <v>993.58220408355578</v>
      </c>
      <c r="T8" s="96">
        <v>1114.900724270273</v>
      </c>
      <c r="U8" s="96">
        <v>1260.0319917961858</v>
      </c>
      <c r="V8" s="96">
        <v>346.53479858228792</v>
      </c>
      <c r="W8" s="96">
        <v>478.49742299436866</v>
      </c>
      <c r="DA8" s="171" t="s">
        <v>328</v>
      </c>
    </row>
    <row r="9" spans="1:105" ht="11.45" customHeight="1" x14ac:dyDescent="0.25">
      <c r="A9" s="83" t="s">
        <v>174</v>
      </c>
      <c r="B9" s="96">
        <v>962.13254483439448</v>
      </c>
      <c r="C9" s="96">
        <v>909.69625648803651</v>
      </c>
      <c r="D9" s="96">
        <v>836.50967187562424</v>
      </c>
      <c r="E9" s="96">
        <v>757.69367136111771</v>
      </c>
      <c r="F9" s="96">
        <v>921.58696977025977</v>
      </c>
      <c r="G9" s="96">
        <v>1040.0814866714004</v>
      </c>
      <c r="H9" s="96">
        <v>1073.662667889686</v>
      </c>
      <c r="I9" s="96">
        <v>1127.3844739221374</v>
      </c>
      <c r="J9" s="96">
        <v>1149.0344241790549</v>
      </c>
      <c r="K9" s="96">
        <v>1020.0173883427478</v>
      </c>
      <c r="L9" s="96">
        <v>1100.1969881040745</v>
      </c>
      <c r="M9" s="96">
        <v>1154.322930588273</v>
      </c>
      <c r="N9" s="96">
        <v>1133.7809268650885</v>
      </c>
      <c r="O9" s="96">
        <v>1082.3509621024459</v>
      </c>
      <c r="P9" s="96">
        <v>1073.3661276770222</v>
      </c>
      <c r="Q9" s="96">
        <v>1145.9756093845047</v>
      </c>
      <c r="R9" s="96">
        <v>1212.5128554458106</v>
      </c>
      <c r="S9" s="96">
        <v>1146.365709550277</v>
      </c>
      <c r="T9" s="96">
        <v>1290.3272772235464</v>
      </c>
      <c r="U9" s="96">
        <v>1526.4131309742793</v>
      </c>
      <c r="V9" s="96">
        <v>529.00896776091383</v>
      </c>
      <c r="W9" s="96">
        <v>639.95805264832154</v>
      </c>
      <c r="DA9" s="171" t="s">
        <v>329</v>
      </c>
    </row>
    <row r="10" spans="1:105" ht="11.45" customHeight="1" x14ac:dyDescent="0.25">
      <c r="A10" s="12" t="s">
        <v>34</v>
      </c>
      <c r="B10" s="22">
        <f t="shared" ref="B10:C10" si="29">SUM(B11:B13)</f>
        <v>23.409479931460005</v>
      </c>
      <c r="C10" s="22">
        <f t="shared" si="29"/>
        <v>20.86208680471109</v>
      </c>
      <c r="D10" s="22">
        <f t="shared" ref="D10:V10" si="30">SUM(D11:D13)</f>
        <v>24.496769540649574</v>
      </c>
      <c r="E10" s="22">
        <f t="shared" si="30"/>
        <v>23.91432979796695</v>
      </c>
      <c r="F10" s="22">
        <f t="shared" si="30"/>
        <v>36.651324428169843</v>
      </c>
      <c r="G10" s="22">
        <f t="shared" si="30"/>
        <v>45.644995136205679</v>
      </c>
      <c r="H10" s="22">
        <f t="shared" si="30"/>
        <v>50.017108430046683</v>
      </c>
      <c r="I10" s="22">
        <f t="shared" si="30"/>
        <v>45.911354253049439</v>
      </c>
      <c r="J10" s="22">
        <f t="shared" si="30"/>
        <v>41.831138987878766</v>
      </c>
      <c r="K10" s="22">
        <f t="shared" si="30"/>
        <v>34.45824125324345</v>
      </c>
      <c r="L10" s="22">
        <f t="shared" si="30"/>
        <v>38.993541651166055</v>
      </c>
      <c r="M10" s="22">
        <f t="shared" si="30"/>
        <v>47.465677612355194</v>
      </c>
      <c r="N10" s="22">
        <f t="shared" si="30"/>
        <v>47.813476817710033</v>
      </c>
      <c r="O10" s="22">
        <f t="shared" si="30"/>
        <v>52.591120129301274</v>
      </c>
      <c r="P10" s="22">
        <f t="shared" si="30"/>
        <v>57.068963809857088</v>
      </c>
      <c r="Q10" s="22">
        <f t="shared" si="30"/>
        <v>67.343140966714756</v>
      </c>
      <c r="R10" s="22">
        <f t="shared" si="30"/>
        <v>70.875339436956054</v>
      </c>
      <c r="S10" s="22">
        <f t="shared" si="30"/>
        <v>79.888007338192111</v>
      </c>
      <c r="T10" s="22">
        <f t="shared" si="30"/>
        <v>95.300715947350795</v>
      </c>
      <c r="U10" s="22">
        <f t="shared" si="30"/>
        <v>103.16058180374677</v>
      </c>
      <c r="V10" s="22">
        <f t="shared" si="30"/>
        <v>82.134519340422372</v>
      </c>
      <c r="W10" s="22">
        <f t="shared" ref="W10" si="31">SUM(W11:W13)</f>
        <v>95.218546236057122</v>
      </c>
      <c r="DA10" s="193" t="s">
        <v>330</v>
      </c>
    </row>
    <row r="11" spans="1:105" ht="11.45" customHeight="1" x14ac:dyDescent="0.25">
      <c r="A11" s="92" t="s">
        <v>27</v>
      </c>
      <c r="B11" s="97">
        <v>0.58373520045079708</v>
      </c>
      <c r="C11" s="97">
        <v>0.38053844893081284</v>
      </c>
      <c r="D11" s="97">
        <v>0.36492852646878166</v>
      </c>
      <c r="E11" s="97">
        <v>0.37074629559943006</v>
      </c>
      <c r="F11" s="97">
        <v>0.52023389495559091</v>
      </c>
      <c r="G11" s="97">
        <v>0.54198359728971546</v>
      </c>
      <c r="H11" s="97">
        <v>0.56382779611064826</v>
      </c>
      <c r="I11" s="97">
        <v>0.4991659649155098</v>
      </c>
      <c r="J11" s="97">
        <v>0.4993403955413277</v>
      </c>
      <c r="K11" s="97">
        <v>0.46613281344486396</v>
      </c>
      <c r="L11" s="97">
        <v>0.3779732415849143</v>
      </c>
      <c r="M11" s="97">
        <v>0.34764870091737682</v>
      </c>
      <c r="N11" s="97">
        <v>0.23744508926047186</v>
      </c>
      <c r="O11" s="97">
        <v>0.18641391910775795</v>
      </c>
      <c r="P11" s="97">
        <v>0.12477169966404036</v>
      </c>
      <c r="Q11" s="97">
        <v>0.13186297113727938</v>
      </c>
      <c r="R11" s="97">
        <v>8.0392426531964586E-2</v>
      </c>
      <c r="S11" s="97">
        <v>6.1871612024955253E-2</v>
      </c>
      <c r="T11" s="97">
        <v>6.5466001170175064E-2</v>
      </c>
      <c r="U11" s="97">
        <v>1.4821454210683958E-2</v>
      </c>
      <c r="V11" s="97">
        <v>1.4547323623870357E-2</v>
      </c>
      <c r="W11" s="97">
        <v>1.8558878747105708E-2</v>
      </c>
      <c r="DA11" s="175" t="s">
        <v>331</v>
      </c>
    </row>
    <row r="12" spans="1:105" ht="11.45" customHeight="1" x14ac:dyDescent="0.25">
      <c r="A12" s="92" t="s">
        <v>173</v>
      </c>
      <c r="B12" s="97">
        <v>13.220950582140171</v>
      </c>
      <c r="C12" s="97">
        <v>12.315233326816298</v>
      </c>
      <c r="D12" s="97">
        <v>15.382830241281303</v>
      </c>
      <c r="E12" s="97">
        <v>14.984455363965315</v>
      </c>
      <c r="F12" s="97">
        <v>25.803849199142103</v>
      </c>
      <c r="G12" s="97">
        <v>29.783833262029969</v>
      </c>
      <c r="H12" s="97">
        <v>33.546467125406799</v>
      </c>
      <c r="I12" s="97">
        <v>29.993443945608956</v>
      </c>
      <c r="J12" s="97">
        <v>27.628289328732478</v>
      </c>
      <c r="K12" s="97">
        <v>24.074619461922659</v>
      </c>
      <c r="L12" s="97">
        <v>27.64635187750342</v>
      </c>
      <c r="M12" s="97">
        <v>29.750591880482137</v>
      </c>
      <c r="N12" s="97">
        <v>26.165398441258727</v>
      </c>
      <c r="O12" s="97">
        <v>28.695104619500583</v>
      </c>
      <c r="P12" s="97">
        <v>31.212047729540195</v>
      </c>
      <c r="Q12" s="97">
        <v>29.598084597944357</v>
      </c>
      <c r="R12" s="97">
        <v>26.475920785538158</v>
      </c>
      <c r="S12" s="97">
        <v>31.042975459113315</v>
      </c>
      <c r="T12" s="97">
        <v>31.838656063995625</v>
      </c>
      <c r="U12" s="97">
        <v>33.204631656680235</v>
      </c>
      <c r="V12" s="97">
        <v>25.863877580021185</v>
      </c>
      <c r="W12" s="97">
        <v>38.061453955194665</v>
      </c>
      <c r="DA12" s="175" t="s">
        <v>332</v>
      </c>
    </row>
    <row r="13" spans="1:105" ht="11.45" customHeight="1" x14ac:dyDescent="0.25">
      <c r="A13" s="85" t="s">
        <v>174</v>
      </c>
      <c r="B13" s="98">
        <v>9.604794148869038</v>
      </c>
      <c r="C13" s="98">
        <v>8.1663150289639823</v>
      </c>
      <c r="D13" s="98">
        <v>8.7490107728994868</v>
      </c>
      <c r="E13" s="98">
        <v>8.5591281384022064</v>
      </c>
      <c r="F13" s="98">
        <v>10.327241334072152</v>
      </c>
      <c r="G13" s="98">
        <v>15.319178276885994</v>
      </c>
      <c r="H13" s="98">
        <v>15.906813508529231</v>
      </c>
      <c r="I13" s="98">
        <v>15.41874434252497</v>
      </c>
      <c r="J13" s="98">
        <v>13.703509263604959</v>
      </c>
      <c r="K13" s="98">
        <v>9.9174889778759248</v>
      </c>
      <c r="L13" s="98">
        <v>10.96921653207772</v>
      </c>
      <c r="M13" s="98">
        <v>17.367437030955681</v>
      </c>
      <c r="N13" s="98">
        <v>21.410633287190834</v>
      </c>
      <c r="O13" s="98">
        <v>23.709601590692934</v>
      </c>
      <c r="P13" s="98">
        <v>25.732144380652851</v>
      </c>
      <c r="Q13" s="98">
        <v>37.613193397633118</v>
      </c>
      <c r="R13" s="98">
        <v>44.319026224885931</v>
      </c>
      <c r="S13" s="98">
        <v>48.783160267053844</v>
      </c>
      <c r="T13" s="98">
        <v>63.396593882185002</v>
      </c>
      <c r="U13" s="98">
        <v>69.941128692855841</v>
      </c>
      <c r="V13" s="98">
        <v>56.25609443677731</v>
      </c>
      <c r="W13" s="98">
        <v>57.13853340211535</v>
      </c>
      <c r="DA13" s="178" t="s">
        <v>333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48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DA17" s="172"/>
    </row>
    <row r="18" spans="1:105" ht="11.45" customHeight="1" x14ac:dyDescent="0.25">
      <c r="A18" s="99" t="s">
        <v>27</v>
      </c>
      <c r="B18" s="97">
        <f>IF(B4=0,0,B4/TrAvia_ene!B4)</f>
        <v>3.0057010412251937</v>
      </c>
      <c r="C18" s="97">
        <f>IF(C4=0,0,C4/TrAvia_ene!C4)</f>
        <v>3.0054127346777633</v>
      </c>
      <c r="D18" s="97">
        <f>IF(D4=0,0,D4/TrAvia_ene!D4)</f>
        <v>3.0031838871948588</v>
      </c>
      <c r="E18" s="97">
        <f>IF(E4=0,0,E4/TrAvia_ene!E4)</f>
        <v>3.0054127346777642</v>
      </c>
      <c r="F18" s="97">
        <f>IF(F4=0,0,F4/TrAvia_ene!F4)</f>
        <v>3.0033937585156272</v>
      </c>
      <c r="G18" s="97">
        <f>IF(G4=0,0,G4/TrAvia_ene!G4)</f>
        <v>3.0039575282346282</v>
      </c>
      <c r="H18" s="97">
        <f>IF(H4=0,0,H4/TrAvia_ene!H4)</f>
        <v>3.0040916077068696</v>
      </c>
      <c r="I18" s="97">
        <f>IF(I4=0,0,I4/TrAvia_ene!I4)</f>
        <v>3.0042504188954018</v>
      </c>
      <c r="J18" s="97">
        <f>IF(J4=0,0,J4/TrAvia_ene!J4)</f>
        <v>3.0039471232504114</v>
      </c>
      <c r="K18" s="97">
        <f>IF(K4=0,0,K4/TrAvia_ene!K4)</f>
        <v>3.0030580388391535</v>
      </c>
      <c r="L18" s="97">
        <f>IF(L4=0,0,L4/TrAvia_ene!L4)</f>
        <v>3.003635564675176</v>
      </c>
      <c r="M18" s="97">
        <f>IF(M4=0,0,M4/TrAvia_ene!M4)</f>
        <v>3.0001425071005134</v>
      </c>
      <c r="N18" s="97">
        <f>IF(N4=0,0,N4/TrAvia_ene!N4)</f>
        <v>3.0039964019692227</v>
      </c>
      <c r="O18" s="97">
        <f>IF(O4=0,0,O4/TrAvia_ene!O4)</f>
        <v>3.0046343478137363</v>
      </c>
      <c r="P18" s="97">
        <f>IF(P4=0,0,P4/TrAvia_ene!P4)</f>
        <v>3.0042321274067962</v>
      </c>
      <c r="Q18" s="97">
        <f>IF(Q4=0,0,Q4/TrAvia_ene!Q4)</f>
        <v>3.0035660276793883</v>
      </c>
      <c r="R18" s="97">
        <f>IF(R4=0,0,R4/TrAvia_ene!R4)</f>
        <v>3.0018316346158929</v>
      </c>
      <c r="S18" s="97">
        <f>IF(S4=0,0,S4/TrAvia_ene!S4)</f>
        <v>3.0038221593820045</v>
      </c>
      <c r="T18" s="97">
        <f>IF(T4=0,0,T4/TrAvia_ene!T4)</f>
        <v>3.0043359925731172</v>
      </c>
      <c r="U18" s="97">
        <f>IF(U4=0,0,U4/TrAvia_ene!U4)</f>
        <v>3.0034127575065215</v>
      </c>
      <c r="V18" s="97">
        <f>IF(V4=0,0,V4/TrAvia_ene!V4)</f>
        <v>3.0014269459487046</v>
      </c>
      <c r="W18" s="97">
        <f>IF(W4=0,0,W4/TrAvia_ene!W4)</f>
        <v>3.0003007956153023</v>
      </c>
      <c r="DA18" s="175"/>
    </row>
    <row r="19" spans="1:105" ht="11.45" customHeight="1" x14ac:dyDescent="0.25">
      <c r="A19" s="100" t="s">
        <v>116</v>
      </c>
      <c r="B19" s="98">
        <f>IF(B5=0,0,B5/TrAvia_ene!B5)</f>
        <v>3.0103092000000005</v>
      </c>
      <c r="C19" s="98">
        <f>IF(C5=0,0,C5/TrAvia_ene!C5)</f>
        <v>3.0103092000000005</v>
      </c>
      <c r="D19" s="98">
        <f>IF(D5=0,0,D5/TrAvia_ene!D5)</f>
        <v>3.0103092000000009</v>
      </c>
      <c r="E19" s="98">
        <f>IF(E5=0,0,E5/TrAvia_ene!E5)</f>
        <v>3.0103092</v>
      </c>
      <c r="F19" s="98">
        <f>IF(F5=0,0,F5/TrAvia_ene!F5)</f>
        <v>3.0103092</v>
      </c>
      <c r="G19" s="98">
        <f>IF(G5=0,0,G5/TrAvia_ene!G5)</f>
        <v>3.0103092000000009</v>
      </c>
      <c r="H19" s="98">
        <f>IF(H5=0,0,H5/TrAvia_ene!H5)</f>
        <v>3.0103091999999996</v>
      </c>
      <c r="I19" s="98">
        <f>IF(I5=0,0,I5/TrAvia_ene!I5)</f>
        <v>3.0103092000000018</v>
      </c>
      <c r="J19" s="98">
        <f>IF(J5=0,0,J5/TrAvia_ene!J5)</f>
        <v>3.0103092000000009</v>
      </c>
      <c r="K19" s="98">
        <f>IF(K5=0,0,K5/TrAvia_ene!K5)</f>
        <v>3.0103092000000005</v>
      </c>
      <c r="L19" s="98">
        <f>IF(L5=0,0,L5/TrAvia_ene!L5)</f>
        <v>3.0103092000000005</v>
      </c>
      <c r="M19" s="98">
        <f>IF(M5=0,0,M5/TrAvia_ene!M5)</f>
        <v>3.0103092</v>
      </c>
      <c r="N19" s="98">
        <f>IF(N5=0,0,N5/TrAvia_ene!N5)</f>
        <v>3.0103092000000018</v>
      </c>
      <c r="O19" s="98">
        <f>IF(O5=0,0,O5/TrAvia_ene!O5)</f>
        <v>3.0103092000000009</v>
      </c>
      <c r="P19" s="98">
        <f>IF(P5=0,0,P5/TrAvia_ene!P5)</f>
        <v>3.0103092000000009</v>
      </c>
      <c r="Q19" s="98">
        <f>IF(Q5=0,0,Q5/TrAvia_ene!Q5)</f>
        <v>3.0103091999999996</v>
      </c>
      <c r="R19" s="98">
        <f>IF(R5=0,0,R5/TrAvia_ene!R5)</f>
        <v>3.0103091999999996</v>
      </c>
      <c r="S19" s="98">
        <f>IF(S5=0,0,S5/TrAvia_ene!S5)</f>
        <v>3.0103091999999996</v>
      </c>
      <c r="T19" s="98">
        <f>IF(T5=0,0,T5/TrAvia_ene!T5)</f>
        <v>3.0103092000000009</v>
      </c>
      <c r="U19" s="98">
        <f>IF(U5=0,0,U5/TrAvia_ene!U5)</f>
        <v>3.0103092000000009</v>
      </c>
      <c r="V19" s="98">
        <f>IF(V5=0,0,V5/TrAvia_ene!V5)</f>
        <v>3.0103092000000005</v>
      </c>
      <c r="W19" s="98">
        <f>IF(W5=0,0,W5/TrAvia_ene!W5)</f>
        <v>3.0103092000000009</v>
      </c>
      <c r="DA19" s="178"/>
    </row>
    <row r="20" spans="1:105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129</v>
      </c>
      <c r="B21" s="54">
        <f>IF(B3=0,0,B3/TrAvia_act!B13*1000)</f>
        <v>12447.282693608224</v>
      </c>
      <c r="C21" s="54">
        <f>IF(C3=0,0,C3/TrAvia_act!C13*1000)</f>
        <v>12620.4947127755</v>
      </c>
      <c r="D21" s="54">
        <f>IF(D3=0,0,D3/TrAvia_act!D13*1000)</f>
        <v>11899.04833745324</v>
      </c>
      <c r="E21" s="54">
        <f>IF(E3=0,0,E3/TrAvia_act!E13*1000)</f>
        <v>10855.066818123312</v>
      </c>
      <c r="F21" s="54">
        <f>IF(F3=0,0,F3/TrAvia_act!F13*1000)</f>
        <v>11144.866621198489</v>
      </c>
      <c r="G21" s="54">
        <f>IF(G3=0,0,G3/TrAvia_act!G13*1000)</f>
        <v>11794.886522654544</v>
      </c>
      <c r="H21" s="54">
        <f>IF(H3=0,0,H3/TrAvia_act!H13*1000)</f>
        <v>12398.709364548073</v>
      </c>
      <c r="I21" s="54">
        <f>IF(I3=0,0,I3/TrAvia_act!I13*1000)</f>
        <v>12688.926157603577</v>
      </c>
      <c r="J21" s="54">
        <f>IF(J3=0,0,J3/TrAvia_act!J13*1000)</f>
        <v>12377.304181816668</v>
      </c>
      <c r="K21" s="54">
        <f>IF(K3=0,0,K3/TrAvia_act!K13*1000)</f>
        <v>12014.327199329726</v>
      </c>
      <c r="L21" s="54">
        <f>IF(L3=0,0,L3/TrAvia_act!L13*1000)</f>
        <v>12713.568037428235</v>
      </c>
      <c r="M21" s="54">
        <f>IF(M3=0,0,M3/TrAvia_act!M13*1000)</f>
        <v>13198.199314564617</v>
      </c>
      <c r="N21" s="54">
        <f>IF(N3=0,0,N3/TrAvia_act!N13*1000)</f>
        <v>13205.055920416884</v>
      </c>
      <c r="O21" s="54">
        <f>IF(O3=0,0,O3/TrAvia_act!O13*1000)</f>
        <v>13067.170748518012</v>
      </c>
      <c r="P21" s="54">
        <f>IF(P3=0,0,P3/TrAvia_act!P13*1000)</f>
        <v>12524.034391675885</v>
      </c>
      <c r="Q21" s="54">
        <f>IF(Q3=0,0,Q3/TrAvia_act!Q13*1000)</f>
        <v>13175.128814585643</v>
      </c>
      <c r="R21" s="54">
        <f>IF(R3=0,0,R3/TrAvia_act!R13*1000)</f>
        <v>14343.490133331517</v>
      </c>
      <c r="S21" s="54">
        <f>IF(S3=0,0,S3/TrAvia_act!S13*1000)</f>
        <v>13778.639214797558</v>
      </c>
      <c r="T21" s="54">
        <f>IF(T3=0,0,T3/TrAvia_act!T13*1000)</f>
        <v>14006.102231028433</v>
      </c>
      <c r="U21" s="54">
        <f>IF(U3=0,0,U3/TrAvia_act!U13*1000)</f>
        <v>14167.784952757305</v>
      </c>
      <c r="V21" s="54">
        <f>IF(V3=0,0,V3/TrAvia_act!V13*1000)</f>
        <v>14115.244651872512</v>
      </c>
      <c r="W21" s="54">
        <f>IF(W3=0,0,W3/TrAvia_act!W13*1000)</f>
        <v>15320.488726955584</v>
      </c>
      <c r="DA21" s="172" t="s">
        <v>334</v>
      </c>
    </row>
    <row r="22" spans="1:105" ht="11.45" customHeight="1" x14ac:dyDescent="0.25">
      <c r="A22" s="10" t="s">
        <v>33</v>
      </c>
      <c r="B22" s="11">
        <f>IF(B6=0,0,B6/TrAvia_act!B14*1000)</f>
        <v>12498.581706805291</v>
      </c>
      <c r="C22" s="11">
        <f>IF(C6=0,0,C6/TrAvia_act!C14*1000)</f>
        <v>12667.415432030341</v>
      </c>
      <c r="D22" s="11">
        <f>IF(D6=0,0,D6/TrAvia_act!D14*1000)</f>
        <v>11953.510496980523</v>
      </c>
      <c r="E22" s="11">
        <f>IF(E6=0,0,E6/TrAvia_act!E14*1000)</f>
        <v>10905.506292111237</v>
      </c>
      <c r="F22" s="11">
        <f>IF(F6=0,0,F6/TrAvia_act!F14*1000)</f>
        <v>11208.611601684755</v>
      </c>
      <c r="G22" s="11">
        <f>IF(G6=0,0,G6/TrAvia_act!G14*1000)</f>
        <v>11873.362801752963</v>
      </c>
      <c r="H22" s="11">
        <f>IF(H6=0,0,H6/TrAvia_act!H14*1000)</f>
        <v>12484.060879471233</v>
      </c>
      <c r="I22" s="11">
        <f>IF(I6=0,0,I6/TrAvia_act!I14*1000)</f>
        <v>12756.480378322134</v>
      </c>
      <c r="J22" s="11">
        <f>IF(J6=0,0,J6/TrAvia_act!J14*1000)</f>
        <v>12428.402900030167</v>
      </c>
      <c r="K22" s="11">
        <f>IF(K6=0,0,K6/TrAvia_act!K14*1000)</f>
        <v>12054.20849266701</v>
      </c>
      <c r="L22" s="11">
        <f>IF(L6=0,0,L6/TrAvia_act!L14*1000)</f>
        <v>12751.838179270535</v>
      </c>
      <c r="M22" s="11">
        <f>IF(M6=0,0,M6/TrAvia_act!M14*1000)</f>
        <v>13229.577915786476</v>
      </c>
      <c r="N22" s="11">
        <f>IF(N6=0,0,N6/TrAvia_act!N14*1000)</f>
        <v>13221.363566435202</v>
      </c>
      <c r="O22" s="11">
        <f>IF(O6=0,0,O6/TrAvia_act!O14*1000)</f>
        <v>13086.941593514781</v>
      </c>
      <c r="P22" s="11">
        <f>IF(P6=0,0,P6/TrAvia_act!P14*1000)</f>
        <v>12545.979853230681</v>
      </c>
      <c r="Q22" s="11">
        <f>IF(Q6=0,0,Q6/TrAvia_act!Q14*1000)</f>
        <v>13202.639703371598</v>
      </c>
      <c r="R22" s="11">
        <f>IF(R6=0,0,R6/TrAvia_act!R14*1000)</f>
        <v>14352.954175669207</v>
      </c>
      <c r="S22" s="11">
        <f>IF(S6=0,0,S6/TrAvia_act!S14*1000)</f>
        <v>13774.4562753472</v>
      </c>
      <c r="T22" s="11">
        <f>IF(T6=0,0,T6/TrAvia_act!T14*1000)</f>
        <v>13976.330044722468</v>
      </c>
      <c r="U22" s="11">
        <f>IF(U6=0,0,U6/TrAvia_act!U14*1000)</f>
        <v>14134.538049924897</v>
      </c>
      <c r="V22" s="11">
        <f>IF(V6=0,0,V6/TrAvia_act!V14*1000)</f>
        <v>14030.171513143066</v>
      </c>
      <c r="W22" s="11">
        <f>IF(W6=0,0,W6/TrAvia_act!W14*1000)</f>
        <v>15317.830367118569</v>
      </c>
      <c r="DA22" s="189" t="s">
        <v>335</v>
      </c>
    </row>
    <row r="23" spans="1:105" ht="11.25" customHeight="1" x14ac:dyDescent="0.25">
      <c r="A23" s="83" t="s">
        <v>27</v>
      </c>
      <c r="B23" s="84">
        <f>IF(B7=0,0,B7/TrAvia_act!B15*1000)</f>
        <v>18466.758145412721</v>
      </c>
      <c r="C23" s="84">
        <f>IF(C7=0,0,C7/TrAvia_act!C15*1000)</f>
        <v>19422.155594227748</v>
      </c>
      <c r="D23" s="84">
        <f>IF(D7=0,0,D7/TrAvia_act!D15*1000)</f>
        <v>18625.446763035448</v>
      </c>
      <c r="E23" s="84">
        <f>IF(E7=0,0,E7/TrAvia_act!E15*1000)</f>
        <v>18922.3776450113</v>
      </c>
      <c r="F23" s="84">
        <f>IF(F7=0,0,F7/TrAvia_act!F15*1000)</f>
        <v>20529.910636828125</v>
      </c>
      <c r="G23" s="84">
        <f>IF(G7=0,0,G7/TrAvia_act!G15*1000)</f>
        <v>20523.770391866565</v>
      </c>
      <c r="H23" s="84">
        <f>IF(H7=0,0,H7/TrAvia_act!H15*1000)</f>
        <v>20667.725167406148</v>
      </c>
      <c r="I23" s="84">
        <f>IF(I7=0,0,I7/TrAvia_act!I15*1000)</f>
        <v>20429.014608185938</v>
      </c>
      <c r="J23" s="84">
        <f>IF(J7=0,0,J7/TrAvia_act!J15*1000)</f>
        <v>18615.912289494994</v>
      </c>
      <c r="K23" s="84">
        <f>IF(K7=0,0,K7/TrAvia_act!K15*1000)</f>
        <v>18227.789722871086</v>
      </c>
      <c r="L23" s="84">
        <f>IF(L7=0,0,L7/TrAvia_act!L15*1000)</f>
        <v>17908.470533449166</v>
      </c>
      <c r="M23" s="84">
        <f>IF(M7=0,0,M7/TrAvia_act!M15*1000)</f>
        <v>23053.617618917917</v>
      </c>
      <c r="N23" s="84">
        <f>IF(N7=0,0,N7/TrAvia_act!N15*1000)</f>
        <v>22531.614434765776</v>
      </c>
      <c r="O23" s="84">
        <f>IF(O7=0,0,O7/TrAvia_act!O15*1000)</f>
        <v>23699.743269529554</v>
      </c>
      <c r="P23" s="84">
        <f>IF(P7=0,0,P7/TrAvia_act!P15*1000)</f>
        <v>24507.232894691948</v>
      </c>
      <c r="Q23" s="84">
        <f>IF(Q7=0,0,Q7/TrAvia_act!Q15*1000)</f>
        <v>26826.390103828846</v>
      </c>
      <c r="R23" s="84">
        <f>IF(R7=0,0,R7/TrAvia_act!R15*1000)</f>
        <v>28641.469019911779</v>
      </c>
      <c r="S23" s="84">
        <f>IF(S7=0,0,S7/TrAvia_act!S15*1000)</f>
        <v>27515.72857134368</v>
      </c>
      <c r="T23" s="84">
        <f>IF(T7=0,0,T7/TrAvia_act!T15*1000)</f>
        <v>29265.409941387876</v>
      </c>
      <c r="U23" s="84">
        <f>IF(U7=0,0,U7/TrAvia_act!U15*1000)</f>
        <v>25657.408984496211</v>
      </c>
      <c r="V23" s="84">
        <f>IF(V7=0,0,V7/TrAvia_act!V15*1000)</f>
        <v>51037.337541554596</v>
      </c>
      <c r="W23" s="84">
        <f>IF(W7=0,0,W7/TrAvia_act!W15*1000)</f>
        <v>69630.815388434305</v>
      </c>
      <c r="DA23" s="171" t="s">
        <v>336</v>
      </c>
    </row>
    <row r="24" spans="1:105" ht="11.45" customHeight="1" x14ac:dyDescent="0.25">
      <c r="A24" s="83" t="s">
        <v>173</v>
      </c>
      <c r="B24" s="84">
        <f>IF(B8=0,0,B8/TrAvia_act!B16*1000)</f>
        <v>9927.8138675276659</v>
      </c>
      <c r="C24" s="84">
        <f>IF(C8=0,0,C8/TrAvia_act!C16*1000)</f>
        <v>10118.651346621142</v>
      </c>
      <c r="D24" s="84">
        <f>IF(D8=0,0,D8/TrAvia_act!D16*1000)</f>
        <v>9540.472835822975</v>
      </c>
      <c r="E24" s="84">
        <f>IF(E8=0,0,E8/TrAvia_act!E16*1000)</f>
        <v>8744.4192941934944</v>
      </c>
      <c r="F24" s="84">
        <f>IF(F8=0,0,F8/TrAvia_act!F16*1000)</f>
        <v>8946.1647347014386</v>
      </c>
      <c r="G24" s="84">
        <f>IF(G8=0,0,G8/TrAvia_act!G16*1000)</f>
        <v>9888.0593229148435</v>
      </c>
      <c r="H24" s="84">
        <f>IF(H8=0,0,H8/TrAvia_act!H16*1000)</f>
        <v>10319.105576209176</v>
      </c>
      <c r="I24" s="84">
        <f>IF(I8=0,0,I8/TrAvia_act!I16*1000)</f>
        <v>10316.844088947284</v>
      </c>
      <c r="J24" s="84">
        <f>IF(J8=0,0,J8/TrAvia_act!J16*1000)</f>
        <v>9957.0213827500502</v>
      </c>
      <c r="K24" s="84">
        <f>IF(K8=0,0,K8/TrAvia_act!K16*1000)</f>
        <v>9488.7840930929397</v>
      </c>
      <c r="L24" s="84">
        <f>IF(L8=0,0,L8/TrAvia_act!L16*1000)</f>
        <v>10073.22323646207</v>
      </c>
      <c r="M24" s="84">
        <f>IF(M8=0,0,M8/TrAvia_act!M16*1000)</f>
        <v>10539.849975230754</v>
      </c>
      <c r="N24" s="84">
        <f>IF(N8=0,0,N8/TrAvia_act!N16*1000)</f>
        <v>10443.037903720455</v>
      </c>
      <c r="O24" s="84">
        <f>IF(O8=0,0,O8/TrAvia_act!O16*1000)</f>
        <v>10528.23180260847</v>
      </c>
      <c r="P24" s="84">
        <f>IF(P8=0,0,P8/TrAvia_act!P16*1000)</f>
        <v>10225.791131598557</v>
      </c>
      <c r="Q24" s="84">
        <f>IF(Q8=0,0,Q8/TrAvia_act!Q16*1000)</f>
        <v>10879.786132742633</v>
      </c>
      <c r="R24" s="84">
        <f>IF(R8=0,0,R8/TrAvia_act!R16*1000)</f>
        <v>11930.451829298821</v>
      </c>
      <c r="S24" s="84">
        <f>IF(S8=0,0,S8/TrAvia_act!S16*1000)</f>
        <v>11823.47918097205</v>
      </c>
      <c r="T24" s="84">
        <f>IF(T8=0,0,T8/TrAvia_act!T16*1000)</f>
        <v>12243.773175384817</v>
      </c>
      <c r="U24" s="84">
        <f>IF(U8=0,0,U8/TrAvia_act!U16*1000)</f>
        <v>12319.83549291965</v>
      </c>
      <c r="V24" s="84">
        <f>IF(V8=0,0,V8/TrAvia_act!V16*1000)</f>
        <v>9563.7451578045802</v>
      </c>
      <c r="W24" s="84">
        <f>IF(W8=0,0,W8/TrAvia_act!W16*1000)</f>
        <v>11708.669310224695</v>
      </c>
      <c r="DA24" s="171" t="s">
        <v>337</v>
      </c>
    </row>
    <row r="25" spans="1:105" ht="11.45" customHeight="1" x14ac:dyDescent="0.25">
      <c r="A25" s="83" t="s">
        <v>174</v>
      </c>
      <c r="B25" s="84">
        <f>IF(B9=0,0,B9/TrAvia_act!B17*1000)</f>
        <v>14697.128849098201</v>
      </c>
      <c r="C25" s="84">
        <f>IF(C9=0,0,C9/TrAvia_act!C17*1000)</f>
        <v>14998.948424096567</v>
      </c>
      <c r="D25" s="84">
        <f>IF(D9=0,0,D9/TrAvia_act!D17*1000)</f>
        <v>14169.898411856142</v>
      </c>
      <c r="E25" s="84">
        <f>IF(E9=0,0,E9/TrAvia_act!E17*1000)</f>
        <v>12966.907400050919</v>
      </c>
      <c r="F25" s="84">
        <f>IF(F9=0,0,F9/TrAvia_act!F17*1000)</f>
        <v>13243.615720351218</v>
      </c>
      <c r="G25" s="84">
        <f>IF(G9=0,0,G9/TrAvia_act!G17*1000)</f>
        <v>13504.127987321905</v>
      </c>
      <c r="H25" s="84">
        <f>IF(H9=0,0,H9/TrAvia_act!H17*1000)</f>
        <v>14427.427683130967</v>
      </c>
      <c r="I25" s="84">
        <f>IF(I9=0,0,I9/TrAvia_act!I17*1000)</f>
        <v>15306.761979870325</v>
      </c>
      <c r="J25" s="84">
        <f>IF(J9=0,0,J9/TrAvia_act!J17*1000)</f>
        <v>15081.619022906429</v>
      </c>
      <c r="K25" s="84">
        <f>IF(K9=0,0,K9/TrAvia_act!K17*1000)</f>
        <v>14699.479730791447</v>
      </c>
      <c r="L25" s="84">
        <f>IF(L9=0,0,L9/TrAvia_act!L17*1000)</f>
        <v>15595.5778120983</v>
      </c>
      <c r="M25" s="84">
        <f>IF(M9=0,0,M9/TrAvia_act!M17*1000)</f>
        <v>15787.849301887687</v>
      </c>
      <c r="N25" s="84">
        <f>IF(N9=0,0,N9/TrAvia_act!N17*1000)</f>
        <v>15881.900468056108</v>
      </c>
      <c r="O25" s="84">
        <f>IF(O9=0,0,O9/TrAvia_act!O17*1000)</f>
        <v>15267.464781059456</v>
      </c>
      <c r="P25" s="84">
        <f>IF(P9=0,0,P9/TrAvia_act!P17*1000)</f>
        <v>14436.204933380403</v>
      </c>
      <c r="Q25" s="84">
        <f>IF(Q9=0,0,Q9/TrAvia_act!Q17*1000)</f>
        <v>15060.642095920773</v>
      </c>
      <c r="R25" s="84">
        <f>IF(R9=0,0,R9/TrAvia_act!R17*1000)</f>
        <v>16522.080639096414</v>
      </c>
      <c r="S25" s="84">
        <f>IF(S9=0,0,S9/TrAvia_act!S17*1000)</f>
        <v>15373.926083467988</v>
      </c>
      <c r="T25" s="84">
        <f>IF(T9=0,0,T9/TrAvia_act!T17*1000)</f>
        <v>15264.374656447575</v>
      </c>
      <c r="U25" s="84">
        <f>IF(U9=0,0,U9/TrAvia_act!U17*1000)</f>
        <v>15683.974591134669</v>
      </c>
      <c r="V25" s="84">
        <f>IF(V9=0,0,V9/TrAvia_act!V17*1000)</f>
        <v>18395.471853275729</v>
      </c>
      <c r="W25" s="84">
        <f>IF(W9=0,0,W9/TrAvia_act!W17*1000)</f>
        <v>18464.842266074978</v>
      </c>
      <c r="DA25" s="171" t="s">
        <v>338</v>
      </c>
    </row>
    <row r="26" spans="1:105" ht="11.45" customHeight="1" x14ac:dyDescent="0.25">
      <c r="A26" s="12" t="s">
        <v>34</v>
      </c>
      <c r="B26" s="13">
        <f>IF(B10=0,0,B10/TrAvia_act!B18*1000)</f>
        <v>9519.6921811213033</v>
      </c>
      <c r="C26" s="13">
        <f>IF(C10=0,0,C10/TrAvia_act!C18*1000)</f>
        <v>9685.4945067374574</v>
      </c>
      <c r="D26" s="13">
        <f>IF(D10=0,0,D10/TrAvia_act!D18*1000)</f>
        <v>9169.8413067119418</v>
      </c>
      <c r="E26" s="13">
        <f>IF(E10=0,0,E10/TrAvia_act!E18*1000)</f>
        <v>8396.7404422793825</v>
      </c>
      <c r="F26" s="13">
        <f>IF(F10=0,0,F10/TrAvia_act!F18*1000)</f>
        <v>8738.2911033523669</v>
      </c>
      <c r="G26" s="13">
        <f>IF(G10=0,0,G10/TrAvia_act!G18*1000)</f>
        <v>9151.6707218242282</v>
      </c>
      <c r="H26" s="13">
        <f>IF(H10=0,0,H10/TrAvia_act!H18*1000)</f>
        <v>9648.6018789125301</v>
      </c>
      <c r="I26" s="13">
        <f>IF(I10=0,0,I10/TrAvia_act!I18*1000)</f>
        <v>10104.806166089593</v>
      </c>
      <c r="J26" s="13">
        <f>IF(J10=0,0,J10/TrAvia_act!J18*1000)</f>
        <v>10156.316725008499</v>
      </c>
      <c r="K26" s="13">
        <f>IF(K10=0,0,K10/TrAvia_act!K18*1000)</f>
        <v>10123.998982591515</v>
      </c>
      <c r="L26" s="13">
        <f>IF(L10=0,0,L10/TrAvia_act!L18*1000)</f>
        <v>10962.49524435692</v>
      </c>
      <c r="M26" s="13">
        <f>IF(M10=0,0,M10/TrAvia_act!M18*1000)</f>
        <v>11908.776729989915</v>
      </c>
      <c r="N26" s="13">
        <f>IF(N10=0,0,N10/TrAvia_act!N18*1000)</f>
        <v>12526.667771459553</v>
      </c>
      <c r="O26" s="13">
        <f>IF(O10=0,0,O10/TrAvia_act!O18*1000)</f>
        <v>12358.203282621702</v>
      </c>
      <c r="P26" s="13">
        <f>IF(P10=0,0,P10/TrAvia_act!P18*1000)</f>
        <v>11803.334582991933</v>
      </c>
      <c r="Q26" s="13">
        <f>IF(Q10=0,0,Q10/TrAvia_act!Q18*1000)</f>
        <v>12360.175486174598</v>
      </c>
      <c r="R26" s="13">
        <f>IF(R10=0,0,R10/TrAvia_act!R18*1000)</f>
        <v>14040.357749370864</v>
      </c>
      <c r="S26" s="13">
        <f>IF(S10=0,0,S10/TrAvia_act!S18*1000)</f>
        <v>13896.405443256095</v>
      </c>
      <c r="T26" s="13">
        <f>IF(T10=0,0,T10/TrAvia_act!T18*1000)</f>
        <v>14834.674656804413</v>
      </c>
      <c r="U26" s="13">
        <f>IF(U10=0,0,U10/TrAvia_act!U18*1000)</f>
        <v>15157.592505925208</v>
      </c>
      <c r="V26" s="13">
        <f>IF(V10=0,0,V10/TrAvia_act!V18*1000)</f>
        <v>15150.527245012117</v>
      </c>
      <c r="W26" s="13">
        <f>IF(W10=0,0,W10/TrAvia_act!W18*1000)</f>
        <v>15353.164880797232</v>
      </c>
      <c r="DA26" s="193" t="s">
        <v>339</v>
      </c>
    </row>
    <row r="27" spans="1:105" ht="11.45" customHeight="1" x14ac:dyDescent="0.25">
      <c r="A27" s="92" t="s">
        <v>27</v>
      </c>
      <c r="B27" s="102">
        <f>IF(B11=0,0,B11/TrAvia_act!B19*1000)</f>
        <v>21790.965697995325</v>
      </c>
      <c r="C27" s="102">
        <f>IF(C11=0,0,C11/TrAvia_act!C19*1000)</f>
        <v>22918.344573656421</v>
      </c>
      <c r="D27" s="102">
        <f>IF(D11=0,0,D11/TrAvia_act!D19*1000)</f>
        <v>21978.219908834613</v>
      </c>
      <c r="E27" s="102">
        <f>IF(E11=0,0,E11/TrAvia_act!E19*1000)</f>
        <v>22328.601422084605</v>
      </c>
      <c r="F27" s="102">
        <f>IF(F11=0,0,F11/TrAvia_act!F19*1000)</f>
        <v>24225.506986517841</v>
      </c>
      <c r="G27" s="102">
        <f>IF(G11=0,0,G11/TrAvia_act!G19*1000)</f>
        <v>24161.633853835272</v>
      </c>
      <c r="H27" s="102">
        <f>IF(H11=0,0,H11/TrAvia_act!H19*1000)</f>
        <v>24433.029469055669</v>
      </c>
      <c r="I27" s="102">
        <f>IF(I11=0,0,I11/TrAvia_act!I19*1000)</f>
        <v>24180.541678940517</v>
      </c>
      <c r="J27" s="102">
        <f>IF(J11=0,0,J11/TrAvia_act!J19*1000)</f>
        <v>22003.051125309885</v>
      </c>
      <c r="K27" s="102">
        <f>IF(K11=0,0,K11/TrAvia_act!K19*1000)</f>
        <v>21554.568320755596</v>
      </c>
      <c r="L27" s="102">
        <f>IF(L11=0,0,L11/TrAvia_act!L19*1000)</f>
        <v>21328.591123759124</v>
      </c>
      <c r="M27" s="102">
        <f>IF(M11=0,0,M11/TrAvia_act!M19*1000)</f>
        <v>26184.856224860996</v>
      </c>
      <c r="N27" s="102">
        <f>IF(N11=0,0,N11/TrAvia_act!N19*1000)</f>
        <v>24517.872681486057</v>
      </c>
      <c r="O27" s="102">
        <f>IF(O11=0,0,O11/TrAvia_act!O19*1000)</f>
        <v>27182.992286517208</v>
      </c>
      <c r="P27" s="102">
        <f>IF(P11=0,0,P11/TrAvia_act!P19*1000)</f>
        <v>29725.992999322043</v>
      </c>
      <c r="Q27" s="102">
        <f>IF(Q11=0,0,Q11/TrAvia_act!Q19*1000)</f>
        <v>34216.436966188361</v>
      </c>
      <c r="R27" s="102">
        <f>IF(R11=0,0,R11/TrAvia_act!R19*1000)</f>
        <v>38271.575708622811</v>
      </c>
      <c r="S27" s="102">
        <f>IF(S11=0,0,S11/TrAvia_act!S19*1000)</f>
        <v>38961.593578174812</v>
      </c>
      <c r="T27" s="102">
        <f>IF(T11=0,0,T11/TrAvia_act!T19*1000)</f>
        <v>44233.784574442609</v>
      </c>
      <c r="U27" s="102">
        <f>IF(U11=0,0,U11/TrAvia_act!U19*1000)</f>
        <v>33608.739706766341</v>
      </c>
      <c r="V27" s="102">
        <f>IF(V11=0,0,V11/TrAvia_act!V19*1000)</f>
        <v>67199.733078704463</v>
      </c>
      <c r="W27" s="102">
        <f>IF(W11=0,0,W11/TrAvia_act!W19*1000)</f>
        <v>94252.321075524058</v>
      </c>
      <c r="DA27" s="175" t="s">
        <v>340</v>
      </c>
    </row>
    <row r="28" spans="1:105" ht="11.45" customHeight="1" x14ac:dyDescent="0.25">
      <c r="A28" s="92" t="s">
        <v>173</v>
      </c>
      <c r="B28" s="102">
        <f>IF(B12=0,0,B12/TrAvia_act!B20*1000)</f>
        <v>9761.6952078273371</v>
      </c>
      <c r="C28" s="102">
        <f>IF(C12=0,0,C12/TrAvia_act!C20*1000)</f>
        <v>9937.0667969597616</v>
      </c>
      <c r="D28" s="102">
        <f>IF(D12=0,0,D12/TrAvia_act!D20*1000)</f>
        <v>9400.1049017023506</v>
      </c>
      <c r="E28" s="102">
        <f>IF(E12=0,0,E12/TrAvia_act!E20*1000)</f>
        <v>8598.2886793062189</v>
      </c>
      <c r="F28" s="102">
        <f>IF(F12=0,0,F12/TrAvia_act!F20*1000)</f>
        <v>8938.9246498002376</v>
      </c>
      <c r="G28" s="102">
        <f>IF(G12=0,0,G12/TrAvia_act!G20*1000)</f>
        <v>9851.5160784703367</v>
      </c>
      <c r="H28" s="102">
        <f>IF(H12=0,0,H12/TrAvia_act!H20*1000)</f>
        <v>10329.506929899408</v>
      </c>
      <c r="I28" s="102">
        <f>IF(I12=0,0,I12/TrAvia_act!I20*1000)</f>
        <v>10559.933781312828</v>
      </c>
      <c r="J28" s="102">
        <f>IF(J12=0,0,J12/TrAvia_act!J20*1000)</f>
        <v>10505.074577699779</v>
      </c>
      <c r="K28" s="102">
        <f>IF(K12=0,0,K12/TrAvia_act!K20*1000)</f>
        <v>10331.025623726389</v>
      </c>
      <c r="L28" s="102">
        <f>IF(L12=0,0,L12/TrAvia_act!L20*1000)</f>
        <v>11235.063210301259</v>
      </c>
      <c r="M28" s="102">
        <f>IF(M12=0,0,M12/TrAvia_act!M20*1000)</f>
        <v>12104.12679360141</v>
      </c>
      <c r="N28" s="102">
        <f>IF(N12=0,0,N12/TrAvia_act!N20*1000)</f>
        <v>12062.822544943458</v>
      </c>
      <c r="O28" s="102">
        <f>IF(O12=0,0,O12/TrAvia_act!O20*1000)</f>
        <v>12391.954956357013</v>
      </c>
      <c r="P28" s="102">
        <f>IF(P12=0,0,P12/TrAvia_act!P20*1000)</f>
        <v>11842.197348633328</v>
      </c>
      <c r="Q28" s="102">
        <f>IF(Q12=0,0,Q12/TrAvia_act!Q20*1000)</f>
        <v>11853.824691160809</v>
      </c>
      <c r="R28" s="102">
        <f>IF(R12=0,0,R12/TrAvia_act!R20*1000)</f>
        <v>12818.509427825822</v>
      </c>
      <c r="S28" s="102">
        <f>IF(S12=0,0,S12/TrAvia_act!S20*1000)</f>
        <v>12782.362278207131</v>
      </c>
      <c r="T28" s="102">
        <f>IF(T12=0,0,T12/TrAvia_act!T20*1000)</f>
        <v>12968.390429819945</v>
      </c>
      <c r="U28" s="102">
        <f>IF(U12=0,0,U12/TrAvia_act!U20*1000)</f>
        <v>12719.192960924229</v>
      </c>
      <c r="V28" s="102">
        <f>IF(V12=0,0,V12/TrAvia_act!V20*1000)</f>
        <v>10479.879334082483</v>
      </c>
      <c r="W28" s="102">
        <f>IF(W12=0,0,W12/TrAvia_act!W20*1000)</f>
        <v>12364.139274603573</v>
      </c>
      <c r="DA28" s="175" t="s">
        <v>341</v>
      </c>
    </row>
    <row r="29" spans="1:105" ht="11.45" customHeight="1" x14ac:dyDescent="0.25">
      <c r="A29" s="85" t="s">
        <v>174</v>
      </c>
      <c r="B29" s="86">
        <f>IF(B13=0,0,B13/TrAvia_act!B21*1000)</f>
        <v>8910.6525576423301</v>
      </c>
      <c r="C29" s="86">
        <f>IF(C13=0,0,C13/TrAvia_act!C21*1000)</f>
        <v>9093.6413165706217</v>
      </c>
      <c r="D29" s="86">
        <f>IF(D13=0,0,D13/TrAvia_act!D21*1000)</f>
        <v>8591.000515919497</v>
      </c>
      <c r="E29" s="86">
        <f>IF(E13=0,0,E13/TrAvia_act!E21*1000)</f>
        <v>7861.6447998320873</v>
      </c>
      <c r="F29" s="86">
        <f>IF(F13=0,0,F13/TrAvia_act!F21*1000)</f>
        <v>8029.4089752244863</v>
      </c>
      <c r="G29" s="86">
        <f>IF(G13=0,0,G13/TrAvia_act!G21*1000)</f>
        <v>7888.726292430285</v>
      </c>
      <c r="H29" s="86">
        <f>IF(H13=0,0,H13/TrAvia_act!H21*1000)</f>
        <v>8314.4199126350377</v>
      </c>
      <c r="I29" s="86">
        <f>IF(I13=0,0,I13/TrAvia_act!I21*1000)</f>
        <v>9163.8207372067372</v>
      </c>
      <c r="J29" s="86">
        <f>IF(J13=0,0,J13/TrAvia_act!J21*1000)</f>
        <v>9347.2796402597414</v>
      </c>
      <c r="K29" s="86">
        <f>IF(K13=0,0,K13/TrAvia_act!K21*1000)</f>
        <v>9430.2149344543595</v>
      </c>
      <c r="L29" s="86">
        <f>IF(L13=0,0,L13/TrAvia_act!L21*1000)</f>
        <v>10170.308207942258</v>
      </c>
      <c r="M29" s="86">
        <f>IF(M13=0,0,M13/TrAvia_act!M21*1000)</f>
        <v>11466.623965620953</v>
      </c>
      <c r="N29" s="86">
        <f>IF(N13=0,0,N13/TrAvia_act!N21*1000)</f>
        <v>13069.958020115855</v>
      </c>
      <c r="O29" s="86">
        <f>IF(O13=0,0,O13/TrAvia_act!O21*1000)</f>
        <v>12265.180470828509</v>
      </c>
      <c r="P29" s="86">
        <f>IF(P13=0,0,P13/TrAvia_act!P21*1000)</f>
        <v>11722.401797428818</v>
      </c>
      <c r="Q29" s="86">
        <f>IF(Q13=0,0,Q13/TrAvia_act!Q21*1000)</f>
        <v>12760.528740393254</v>
      </c>
      <c r="R29" s="86">
        <f>IF(R13=0,0,R13/TrAvia_act!R21*1000)</f>
        <v>14870.024157759899</v>
      </c>
      <c r="S29" s="86">
        <f>IF(S13=0,0,S13/TrAvia_act!S21*1000)</f>
        <v>14699.66312210475</v>
      </c>
      <c r="T29" s="86">
        <f>IF(T13=0,0,T13/TrAvia_act!T21*1000)</f>
        <v>15978.536746103171</v>
      </c>
      <c r="U29" s="86">
        <f>IF(U13=0,0,U13/TrAvia_act!U21*1000)</f>
        <v>16673.154180665784</v>
      </c>
      <c r="V29" s="86">
        <f>IF(V13=0,0,V13/TrAvia_act!V21*1000)</f>
        <v>19050.104618081383</v>
      </c>
      <c r="W29" s="86">
        <f>IF(W13=0,0,W13/TrAvia_act!W21*1000)</f>
        <v>18294.210915328091</v>
      </c>
      <c r="DA29" s="178" t="s">
        <v>342</v>
      </c>
    </row>
    <row r="30" spans="1:105" x14ac:dyDescent="0.25">
      <c r="A30" s="50"/>
      <c r="B30" s="50"/>
      <c r="C30" s="50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DA30" s="181"/>
    </row>
    <row r="31" spans="1:105" ht="11.45" customHeight="1" x14ac:dyDescent="0.25">
      <c r="A31" s="53" t="s">
        <v>71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DA31" s="172"/>
    </row>
    <row r="32" spans="1:105" ht="11.45" customHeight="1" x14ac:dyDescent="0.25">
      <c r="A32" s="10" t="s">
        <v>164</v>
      </c>
      <c r="B32" s="14">
        <f>IF(B6=0,0,B6/TrAvia_act!B4*1000)</f>
        <v>132.64361528910285</v>
      </c>
      <c r="C32" s="14">
        <f>IF(C6=0,0,C6/TrAvia_act!C4*1000)</f>
        <v>130.38524879928269</v>
      </c>
      <c r="D32" s="14">
        <f>IF(D6=0,0,D6/TrAvia_act!D4*1000)</f>
        <v>118.7474522378244</v>
      </c>
      <c r="E32" s="14">
        <f>IF(E6=0,0,E6/TrAvia_act!E4*1000)</f>
        <v>109.81339530185893</v>
      </c>
      <c r="F32" s="14">
        <f>IF(F6=0,0,F6/TrAvia_act!F4*1000)</f>
        <v>109.93631844099141</v>
      </c>
      <c r="G32" s="14">
        <f>IF(G6=0,0,G6/TrAvia_act!G4*1000)</f>
        <v>110.41559331471217</v>
      </c>
      <c r="H32" s="14">
        <f>IF(H6=0,0,H6/TrAvia_act!H4*1000)</f>
        <v>113.18893722266731</v>
      </c>
      <c r="I32" s="14">
        <f>IF(I6=0,0,I6/TrAvia_act!I4*1000)</f>
        <v>117.28023784216259</v>
      </c>
      <c r="J32" s="14">
        <f>IF(J6=0,0,J6/TrAvia_act!J4*1000)</f>
        <v>118.15077957019483</v>
      </c>
      <c r="K32" s="14">
        <f>IF(K6=0,0,K6/TrAvia_act!K4*1000)</f>
        <v>115.33810157981976</v>
      </c>
      <c r="L32" s="14">
        <f>IF(L6=0,0,L6/TrAvia_act!L4*1000)</f>
        <v>114.43200042891598</v>
      </c>
      <c r="M32" s="14">
        <f>IF(M6=0,0,M6/TrAvia_act!M4*1000)</f>
        <v>115.02311607329837</v>
      </c>
      <c r="N32" s="14">
        <f>IF(N6=0,0,N6/TrAvia_act!N4*1000)</f>
        <v>108.92113576106817</v>
      </c>
      <c r="O32" s="14">
        <f>IF(O6=0,0,O6/TrAvia_act!O4*1000)</f>
        <v>103.68684578937025</v>
      </c>
      <c r="P32" s="14">
        <f>IF(P6=0,0,P6/TrAvia_act!P4*1000)</f>
        <v>96.481445113035562</v>
      </c>
      <c r="Q32" s="14">
        <f>IF(Q6=0,0,Q6/TrAvia_act!Q4*1000)</f>
        <v>100.54359232586233</v>
      </c>
      <c r="R32" s="14">
        <f>IF(R6=0,0,R6/TrAvia_act!R4*1000)</f>
        <v>109.26297991097125</v>
      </c>
      <c r="S32" s="14">
        <f>IF(S6=0,0,S6/TrAvia_act!S4*1000)</f>
        <v>101.24180011456417</v>
      </c>
      <c r="T32" s="14">
        <f>IF(T6=0,0,T6/TrAvia_act!T4*1000)</f>
        <v>97.200651554138759</v>
      </c>
      <c r="U32" s="14">
        <f>IF(U6=0,0,U6/TrAvia_act!U4*1000)</f>
        <v>94.154416251400974</v>
      </c>
      <c r="V32" s="14">
        <f>IF(V6=0,0,V6/TrAvia_act!V4*1000)</f>
        <v>119.95206529586919</v>
      </c>
      <c r="W32" s="14">
        <f>IF(W6=0,0,W6/TrAvia_act!W4*1000)</f>
        <v>130.00751290433203</v>
      </c>
      <c r="DA32" s="189" t="s">
        <v>343</v>
      </c>
    </row>
    <row r="33" spans="1:105" ht="11.45" customHeight="1" x14ac:dyDescent="0.25">
      <c r="A33" s="83" t="s">
        <v>27</v>
      </c>
      <c r="B33" s="87">
        <f>IF(B7=0,0,B7/TrAvia_act!B5*1000)</f>
        <v>665.72588902714313</v>
      </c>
      <c r="C33" s="87">
        <f>IF(C7=0,0,C7/TrAvia_act!C5*1000)</f>
        <v>612.24189909309575</v>
      </c>
      <c r="D33" s="87">
        <f>IF(D7=0,0,D7/TrAvia_act!D5*1000)</f>
        <v>618.88430406486452</v>
      </c>
      <c r="E33" s="87">
        <f>IF(E7=0,0,E7/TrAvia_act!E5*1000)</f>
        <v>583.76864696906955</v>
      </c>
      <c r="F33" s="87">
        <f>IF(F7=0,0,F7/TrAvia_act!F5*1000)</f>
        <v>593.13118564354841</v>
      </c>
      <c r="G33" s="87">
        <f>IF(G7=0,0,G7/TrAvia_act!G5*1000)</f>
        <v>600.49454081854844</v>
      </c>
      <c r="H33" s="87">
        <f>IF(H7=0,0,H7/TrAvia_act!H5*1000)</f>
        <v>502.17445798483817</v>
      </c>
      <c r="I33" s="87">
        <f>IF(I7=0,0,I7/TrAvia_act!I5*1000)</f>
        <v>476.96336116284232</v>
      </c>
      <c r="J33" s="87">
        <f>IF(J7=0,0,J7/TrAvia_act!J5*1000)</f>
        <v>438.51170155469299</v>
      </c>
      <c r="K33" s="87">
        <f>IF(K7=0,0,K7/TrAvia_act!K5*1000)</f>
        <v>430.81114348261036</v>
      </c>
      <c r="L33" s="87">
        <f>IF(L7=0,0,L7/TrAvia_act!L5*1000)</f>
        <v>386.96092706484779</v>
      </c>
      <c r="M33" s="87">
        <f>IF(M7=0,0,M7/TrAvia_act!M5*1000)</f>
        <v>488.43252460422917</v>
      </c>
      <c r="N33" s="87">
        <f>IF(N7=0,0,N7/TrAvia_act!N5*1000)</f>
        <v>495.16908263663856</v>
      </c>
      <c r="O33" s="87">
        <f>IF(O7=0,0,O7/TrAvia_act!O5*1000)</f>
        <v>515.54132136845817</v>
      </c>
      <c r="P33" s="87">
        <f>IF(P7=0,0,P7/TrAvia_act!P5*1000)</f>
        <v>531.99304941276239</v>
      </c>
      <c r="Q33" s="87">
        <f>IF(Q7=0,0,Q7/TrAvia_act!Q5*1000)</f>
        <v>586.1925544491728</v>
      </c>
      <c r="R33" s="87">
        <f>IF(R7=0,0,R7/TrAvia_act!R5*1000)</f>
        <v>599.50671959518854</v>
      </c>
      <c r="S33" s="87">
        <f>IF(S7=0,0,S7/TrAvia_act!S5*1000)</f>
        <v>532.83075628148765</v>
      </c>
      <c r="T33" s="87">
        <f>IF(T7=0,0,T7/TrAvia_act!T5*1000)</f>
        <v>508.39635209481327</v>
      </c>
      <c r="U33" s="87">
        <f>IF(U7=0,0,U7/TrAvia_act!U5*1000)</f>
        <v>442.99832193231077</v>
      </c>
      <c r="V33" s="87">
        <f>IF(V7=0,0,V7/TrAvia_act!V5*1000)</f>
        <v>1108.6571274020707</v>
      </c>
      <c r="W33" s="87">
        <f>IF(W7=0,0,W7/TrAvia_act!W5*1000)</f>
        <v>1524.0563050945905</v>
      </c>
      <c r="DA33" s="171" t="s">
        <v>344</v>
      </c>
    </row>
    <row r="34" spans="1:105" ht="11.45" customHeight="1" x14ac:dyDescent="0.25">
      <c r="A34" s="83" t="s">
        <v>173</v>
      </c>
      <c r="B34" s="87">
        <f>IF(B8=0,0,B8/TrAvia_act!B6*1000)</f>
        <v>118.11651557657837</v>
      </c>
      <c r="C34" s="87">
        <f>IF(C8=0,0,C8/TrAvia_act!C6*1000)</f>
        <v>119.37697288197758</v>
      </c>
      <c r="D34" s="87">
        <f>IF(D8=0,0,D8/TrAvia_act!D6*1000)</f>
        <v>109.98957356086089</v>
      </c>
      <c r="E34" s="87">
        <f>IF(E8=0,0,E8/TrAvia_act!E6*1000)</f>
        <v>102.30201674220699</v>
      </c>
      <c r="F34" s="87">
        <f>IF(F8=0,0,F8/TrAvia_act!F6*1000)</f>
        <v>105.36001248407896</v>
      </c>
      <c r="G34" s="87">
        <f>IF(G8=0,0,G8/TrAvia_act!G6*1000)</f>
        <v>114.13039785686045</v>
      </c>
      <c r="H34" s="87">
        <f>IF(H8=0,0,H8/TrAvia_act!H6*1000)</f>
        <v>117.03057428980848</v>
      </c>
      <c r="I34" s="87">
        <f>IF(I8=0,0,I8/TrAvia_act!I6*1000)</f>
        <v>120.84511831694032</v>
      </c>
      <c r="J34" s="87">
        <f>IF(J8=0,0,J8/TrAvia_act!J6*1000)</f>
        <v>120.57427480124301</v>
      </c>
      <c r="K34" s="87">
        <f>IF(K8=0,0,K8/TrAvia_act!K6*1000)</f>
        <v>112.91472502038287</v>
      </c>
      <c r="L34" s="87">
        <f>IF(L8=0,0,L8/TrAvia_act!L6*1000)</f>
        <v>113.05813916065811</v>
      </c>
      <c r="M34" s="87">
        <f>IF(M8=0,0,M8/TrAvia_act!M6*1000)</f>
        <v>109.51126307483582</v>
      </c>
      <c r="N34" s="87">
        <f>IF(N8=0,0,N8/TrAvia_act!N6*1000)</f>
        <v>102.61151886925425</v>
      </c>
      <c r="O34" s="87">
        <f>IF(O8=0,0,O8/TrAvia_act!O6*1000)</f>
        <v>98.744146024013233</v>
      </c>
      <c r="P34" s="87">
        <f>IF(P8=0,0,P8/TrAvia_act!P6*1000)</f>
        <v>95.17925081621911</v>
      </c>
      <c r="Q34" s="87">
        <f>IF(Q8=0,0,Q8/TrAvia_act!Q6*1000)</f>
        <v>100.44164575889538</v>
      </c>
      <c r="R34" s="87">
        <f>IF(R8=0,0,R8/TrAvia_act!R6*1000)</f>
        <v>108.47119668670372</v>
      </c>
      <c r="S34" s="87">
        <f>IF(S8=0,0,S8/TrAvia_act!S6*1000)</f>
        <v>103.6917979025355</v>
      </c>
      <c r="T34" s="87">
        <f>IF(T8=0,0,T8/TrAvia_act!T6*1000)</f>
        <v>105.08051523986946</v>
      </c>
      <c r="U34" s="87">
        <f>IF(U8=0,0,U8/TrAvia_act!U6*1000)</f>
        <v>100.30274775677078</v>
      </c>
      <c r="V34" s="87">
        <f>IF(V8=0,0,V8/TrAvia_act!V6*1000)</f>
        <v>96.271728954505107</v>
      </c>
      <c r="W34" s="87">
        <f>IF(W8=0,0,W8/TrAvia_act!W6*1000)</f>
        <v>110.89444821450158</v>
      </c>
      <c r="DA34" s="171" t="s">
        <v>345</v>
      </c>
    </row>
    <row r="35" spans="1:105" ht="11.45" customHeight="1" x14ac:dyDescent="0.25">
      <c r="A35" s="83" t="s">
        <v>174</v>
      </c>
      <c r="B35" s="87">
        <f>IF(B9=0,0,B9/TrAvia_act!B7*1000)</f>
        <v>132.69801806955533</v>
      </c>
      <c r="C35" s="87">
        <f>IF(C9=0,0,C9/TrAvia_act!C7*1000)</f>
        <v>128.47434187932831</v>
      </c>
      <c r="D35" s="87">
        <f>IF(D9=0,0,D9/TrAvia_act!D7*1000)</f>
        <v>114.67319210583697</v>
      </c>
      <c r="E35" s="87">
        <f>IF(E9=0,0,E9/TrAvia_act!E7*1000)</f>
        <v>105.34701237401369</v>
      </c>
      <c r="F35" s="87">
        <f>IF(F9=0,0,F9/TrAvia_act!F7*1000)</f>
        <v>103.95963704015902</v>
      </c>
      <c r="G35" s="87">
        <f>IF(G9=0,0,G9/TrAvia_act!G7*1000)</f>
        <v>99.487886433925809</v>
      </c>
      <c r="H35" s="87">
        <f>IF(H9=0,0,H9/TrAvia_act!H7*1000)</f>
        <v>102.15370079471154</v>
      </c>
      <c r="I35" s="87">
        <f>IF(I9=0,0,I9/TrAvia_act!I7*1000)</f>
        <v>106.43791187591921</v>
      </c>
      <c r="J35" s="87">
        <f>IF(J9=0,0,J9/TrAvia_act!J7*1000)</f>
        <v>108.60085848232642</v>
      </c>
      <c r="K35" s="87">
        <f>IF(K9=0,0,K9/TrAvia_act!K7*1000)</f>
        <v>108.69172798945777</v>
      </c>
      <c r="L35" s="87">
        <f>IF(L9=0,0,L9/TrAvia_act!L7*1000)</f>
        <v>108.13319003483896</v>
      </c>
      <c r="M35" s="87">
        <f>IF(M9=0,0,M9/TrAvia_act!M7*1000)</f>
        <v>111.69896107293663</v>
      </c>
      <c r="N35" s="87">
        <f>IF(N9=0,0,N9/TrAvia_act!N7*1000)</f>
        <v>106.70314953544666</v>
      </c>
      <c r="O35" s="87">
        <f>IF(O9=0,0,O9/TrAvia_act!O7*1000)</f>
        <v>100.22015637727247</v>
      </c>
      <c r="P35" s="87">
        <f>IF(P9=0,0,P9/TrAvia_act!P7*1000)</f>
        <v>90.853475416598911</v>
      </c>
      <c r="Q35" s="87">
        <f>IF(Q9=0,0,Q9/TrAvia_act!Q7*1000)</f>
        <v>94.118551352190806</v>
      </c>
      <c r="R35" s="87">
        <f>IF(R9=0,0,R9/TrAvia_act!R7*1000)</f>
        <v>103.35701627159838</v>
      </c>
      <c r="S35" s="87">
        <f>IF(S9=0,0,S9/TrAvia_act!S7*1000)</f>
        <v>93.42230454108028</v>
      </c>
      <c r="T35" s="87">
        <f>IF(T9=0,0,T9/TrAvia_act!T7*1000)</f>
        <v>86.52014654749749</v>
      </c>
      <c r="U35" s="87">
        <f>IF(U9=0,0,U9/TrAvia_act!U7*1000)</f>
        <v>86.334097891668819</v>
      </c>
      <c r="V35" s="87">
        <f>IF(V9=0,0,V9/TrAvia_act!V7*1000)</f>
        <v>129.92078648386129</v>
      </c>
      <c r="W35" s="87">
        <f>IF(W9=0,0,W9/TrAvia_act!W7*1000)</f>
        <v>138.07928040561745</v>
      </c>
      <c r="DA35" s="171" t="s">
        <v>346</v>
      </c>
    </row>
    <row r="36" spans="1:105" ht="11.45" customHeight="1" x14ac:dyDescent="0.25">
      <c r="A36" s="12" t="s">
        <v>163</v>
      </c>
      <c r="B36" s="15">
        <f>IF(B10=0,0,B10/TrAvia_act!B8*1000)</f>
        <v>168.10721129853891</v>
      </c>
      <c r="C36" s="15">
        <f>IF(C10=0,0,C10/TrAvia_act!C8*1000)</f>
        <v>167.6789820999706</v>
      </c>
      <c r="D36" s="15">
        <f>IF(D10=0,0,D10/TrAvia_act!D8*1000)</f>
        <v>176.24062822657999</v>
      </c>
      <c r="E36" s="15">
        <f>IF(E10=0,0,E10/TrAvia_act!E8*1000)</f>
        <v>170.4909961593047</v>
      </c>
      <c r="F36" s="15">
        <f>IF(F10=0,0,F10/TrAvia_act!F8*1000)</f>
        <v>210.16231213064134</v>
      </c>
      <c r="G36" s="15">
        <f>IF(G10=0,0,G10/TrAvia_act!G8*1000)</f>
        <v>204.93248732176892</v>
      </c>
      <c r="H36" s="15">
        <f>IF(H10=0,0,H10/TrAvia_act!H8*1000)</f>
        <v>235.76194444620609</v>
      </c>
      <c r="I36" s="15">
        <f>IF(I10=0,0,I10/TrAvia_act!I8*1000)</f>
        <v>252.76053560021845</v>
      </c>
      <c r="J36" s="15">
        <f>IF(J10=0,0,J10/TrAvia_act!J8*1000)</f>
        <v>265.73965910036515</v>
      </c>
      <c r="K36" s="15">
        <f>IF(K10=0,0,K10/TrAvia_act!K8*1000)</f>
        <v>260.49915093913557</v>
      </c>
      <c r="L36" s="15">
        <f>IF(L10=0,0,L10/TrAvia_act!L8*1000)</f>
        <v>281.20707826881289</v>
      </c>
      <c r="M36" s="15">
        <f>IF(M10=0,0,M10/TrAvia_act!M8*1000)</f>
        <v>272.19815685814393</v>
      </c>
      <c r="N36" s="15">
        <f>IF(N10=0,0,N10/TrAvia_act!N8*1000)</f>
        <v>248.97635816227267</v>
      </c>
      <c r="O36" s="15">
        <f>IF(O10=0,0,O10/TrAvia_act!O8*1000)</f>
        <v>233.86728056965521</v>
      </c>
      <c r="P36" s="15">
        <f>IF(P10=0,0,P10/TrAvia_act!P8*1000)</f>
        <v>192.64811227076495</v>
      </c>
      <c r="Q36" s="15">
        <f>IF(Q10=0,0,Q10/TrAvia_act!Q8*1000)</f>
        <v>184.53596457493813</v>
      </c>
      <c r="R36" s="15">
        <f>IF(R10=0,0,R10/TrAvia_act!R8*1000)</f>
        <v>185.52164371545211</v>
      </c>
      <c r="S36" s="15">
        <f>IF(S10=0,0,S10/TrAvia_act!S8*1000)</f>
        <v>191.03499206322681</v>
      </c>
      <c r="T36" s="15">
        <f>IF(T10=0,0,T10/TrAvia_act!T8*1000)</f>
        <v>188.41944210716613</v>
      </c>
      <c r="U36" s="15">
        <f>IF(U10=0,0,U10/TrAvia_act!U8*1000)</f>
        <v>188.3020959317021</v>
      </c>
      <c r="V36" s="15">
        <f>IF(V10=0,0,V10/TrAvia_act!V8*1000)</f>
        <v>286.50674454860132</v>
      </c>
      <c r="W36" s="15">
        <f>IF(W10=0,0,W10/TrAvia_act!W8*1000)</f>
        <v>336.53735307054586</v>
      </c>
      <c r="DA36" s="193" t="s">
        <v>347</v>
      </c>
    </row>
    <row r="37" spans="1:105" ht="11.45" customHeight="1" x14ac:dyDescent="0.25">
      <c r="A37" s="92" t="s">
        <v>27</v>
      </c>
      <c r="B37" s="101">
        <f>IF(B11=0,0,B11/TrAvia_act!B9*1000)</f>
        <v>2026.7735694996966</v>
      </c>
      <c r="C37" s="101">
        <f>IF(C11=0,0,C11/TrAvia_act!C9*1000)</f>
        <v>2148.0086805480028</v>
      </c>
      <c r="D37" s="101">
        <f>IF(D11=0,0,D11/TrAvia_act!D9*1000)</f>
        <v>2003.1487426739943</v>
      </c>
      <c r="E37" s="101">
        <f>IF(E11=0,0,E11/TrAvia_act!E9*1000)</f>
        <v>1913.2343767593104</v>
      </c>
      <c r="F37" s="101">
        <f>IF(F11=0,0,F11/TrAvia_act!F9*1000)</f>
        <v>2204.3789857066358</v>
      </c>
      <c r="G37" s="101">
        <f>IF(G11=0,0,G11/TrAvia_act!G9*1000)</f>
        <v>2246.5729014775034</v>
      </c>
      <c r="H37" s="101">
        <f>IF(H11=0,0,H11/TrAvia_act!H9*1000)</f>
        <v>2361.8074244611917</v>
      </c>
      <c r="I37" s="101">
        <f>IF(I11=0,0,I11/TrAvia_act!I9*1000)</f>
        <v>2346.1117369196909</v>
      </c>
      <c r="J37" s="101">
        <f>IF(J11=0,0,J11/TrAvia_act!J9*1000)</f>
        <v>2218.9568635494875</v>
      </c>
      <c r="K37" s="101">
        <f>IF(K11=0,0,K11/TrAvia_act!K9*1000)</f>
        <v>2155.1109553327246</v>
      </c>
      <c r="L37" s="101">
        <f>IF(L11=0,0,L11/TrAvia_act!L9*1000)</f>
        <v>1993.8278977831944</v>
      </c>
      <c r="M37" s="101">
        <f>IF(M11=0,0,M11/TrAvia_act!M9*1000)</f>
        <v>2396.7701944879</v>
      </c>
      <c r="N37" s="101">
        <f>IF(N11=0,0,N11/TrAvia_act!N9*1000)</f>
        <v>2133.7024541880464</v>
      </c>
      <c r="O37" s="101">
        <f>IF(O11=0,0,O11/TrAvia_act!O9*1000)</f>
        <v>2252.3034324489595</v>
      </c>
      <c r="P37" s="101">
        <f>IF(P11=0,0,P11/TrAvia_act!P9*1000)</f>
        <v>2202.7710345192136</v>
      </c>
      <c r="Q37" s="101">
        <f>IF(Q11=0,0,Q11/TrAvia_act!Q9*1000)</f>
        <v>2560.2449730942903</v>
      </c>
      <c r="R37" s="101">
        <f>IF(R11=0,0,R11/TrAvia_act!R9*1000)</f>
        <v>2482.9678349553724</v>
      </c>
      <c r="S37" s="101">
        <f>IF(S11=0,0,S11/TrAvia_act!S9*1000)</f>
        <v>2742.1006413240061</v>
      </c>
      <c r="T37" s="101">
        <f>IF(T11=0,0,T11/TrAvia_act!T9*1000)</f>
        <v>3064.4224446627882</v>
      </c>
      <c r="U37" s="101">
        <f>IF(U11=0,0,U11/TrAvia_act!U9*1000)</f>
        <v>2088.7112487026452</v>
      </c>
      <c r="V37" s="101">
        <f>IF(V11=0,0,V11/TrAvia_act!V9*1000)</f>
        <v>4519.4871249009575</v>
      </c>
      <c r="W37" s="101">
        <f>IF(W11=0,0,W11/TrAvia_act!W9*1000)</f>
        <v>6495.4324463194689</v>
      </c>
      <c r="DA37" s="175" t="s">
        <v>348</v>
      </c>
    </row>
    <row r="38" spans="1:105" ht="11.45" customHeight="1" x14ac:dyDescent="0.25">
      <c r="A38" s="92" t="s">
        <v>173</v>
      </c>
      <c r="B38" s="101">
        <f>IF(B12=0,0,B12/TrAvia_act!B10*1000)</f>
        <v>385.14728012581116</v>
      </c>
      <c r="C38" s="101">
        <f>IF(C12=0,0,C12/TrAvia_act!C10*1000)</f>
        <v>374.14006741873544</v>
      </c>
      <c r="D38" s="101">
        <f>IF(D12=0,0,D12/TrAvia_act!D10*1000)</f>
        <v>375.13919868027045</v>
      </c>
      <c r="E38" s="101">
        <f>IF(E12=0,0,E12/TrAvia_act!E10*1000)</f>
        <v>332.61967227377716</v>
      </c>
      <c r="F38" s="101">
        <f>IF(F12=0,0,F12/TrAvia_act!F10*1000)</f>
        <v>395.80913702791463</v>
      </c>
      <c r="G38" s="101">
        <f>IF(G12=0,0,G12/TrAvia_act!G10*1000)</f>
        <v>439.49707062149548</v>
      </c>
      <c r="H38" s="101">
        <f>IF(H12=0,0,H12/TrAvia_act!H10*1000)</f>
        <v>519.63266902839507</v>
      </c>
      <c r="I38" s="101">
        <f>IF(I12=0,0,I12/TrAvia_act!I10*1000)</f>
        <v>555.51722125523042</v>
      </c>
      <c r="J38" s="101">
        <f>IF(J12=0,0,J12/TrAvia_act!J10*1000)</f>
        <v>570.91219938353265</v>
      </c>
      <c r="K38" s="101">
        <f>IF(K12=0,0,K12/TrAvia_act!K10*1000)</f>
        <v>546.59865162869937</v>
      </c>
      <c r="L38" s="101">
        <f>IF(L12=0,0,L12/TrAvia_act!L10*1000)</f>
        <v>591.93310824144714</v>
      </c>
      <c r="M38" s="101">
        <f>IF(M12=0,0,M12/TrAvia_act!M10*1000)</f>
        <v>619.48893790206819</v>
      </c>
      <c r="N38" s="101">
        <f>IF(N12=0,0,N12/TrAvia_act!N10*1000)</f>
        <v>579.65270288406657</v>
      </c>
      <c r="O38" s="101">
        <f>IF(O12=0,0,O12/TrAvia_act!O10*1000)</f>
        <v>590.34344495915218</v>
      </c>
      <c r="P38" s="101">
        <f>IF(P12=0,0,P12/TrAvia_act!P10*1000)</f>
        <v>486.06756370544849</v>
      </c>
      <c r="Q38" s="101">
        <f>IF(Q12=0,0,Q12/TrAvia_act!Q10*1000)</f>
        <v>486.10586596724539</v>
      </c>
      <c r="R38" s="101">
        <f>IF(R12=0,0,R12/TrAvia_act!R10*1000)</f>
        <v>482.95386219638618</v>
      </c>
      <c r="S38" s="101">
        <f>IF(S12=0,0,S12/TrAvia_act!S10*1000)</f>
        <v>519.88222360841257</v>
      </c>
      <c r="T38" s="101">
        <f>IF(T12=0,0,T12/TrAvia_act!T10*1000)</f>
        <v>514.70149671542185</v>
      </c>
      <c r="U38" s="101">
        <f>IF(U12=0,0,U12/TrAvia_act!U10*1000)</f>
        <v>470.03754471126894</v>
      </c>
      <c r="V38" s="101">
        <f>IF(V12=0,0,V12/TrAvia_act!V10*1000)</f>
        <v>470.86876446357621</v>
      </c>
      <c r="W38" s="101">
        <f>IF(W12=0,0,W12/TrAvia_act!W10*1000)</f>
        <v>601.61557431476513</v>
      </c>
      <c r="DA38" s="175" t="s">
        <v>349</v>
      </c>
    </row>
    <row r="39" spans="1:105" ht="11.45" customHeight="1" x14ac:dyDescent="0.25">
      <c r="A39" s="85" t="s">
        <v>174</v>
      </c>
      <c r="B39" s="88">
        <f>IF(B13=0,0,B13/TrAvia_act!B11*1000)</f>
        <v>91.790457334650597</v>
      </c>
      <c r="C39" s="88">
        <f>IF(C13=0,0,C13/TrAvia_act!C11*1000)</f>
        <v>89.42177341721252</v>
      </c>
      <c r="D39" s="88">
        <f>IF(D13=0,0,D13/TrAvia_act!D11*1000)</f>
        <v>89.45058064445314</v>
      </c>
      <c r="E39" s="88">
        <f>IF(E13=0,0,E13/TrAvia_act!E11*1000)</f>
        <v>90.073511098955166</v>
      </c>
      <c r="F39" s="88">
        <f>IF(F13=0,0,F13/TrAvia_act!F11*1000)</f>
        <v>94.774316328214539</v>
      </c>
      <c r="G39" s="88">
        <f>IF(G13=0,0,G13/TrAvia_act!G11*1000)</f>
        <v>99.010588824705124</v>
      </c>
      <c r="H39" s="88">
        <f>IF(H13=0,0,H13/TrAvia_act!H11*1000)</f>
        <v>107.94955959429345</v>
      </c>
      <c r="I39" s="88">
        <f>IF(I13=0,0,I13/TrAvia_act!I11*1000)</f>
        <v>120.99297520928566</v>
      </c>
      <c r="J39" s="88">
        <f>IF(J13=0,0,J13/TrAvia_act!J11*1000)</f>
        <v>125.95633228545717</v>
      </c>
      <c r="K39" s="88">
        <f>IF(K13=0,0,K13/TrAvia_act!K11*1000)</f>
        <v>112.67692122719882</v>
      </c>
      <c r="L39" s="88">
        <f>IF(L13=0,0,L13/TrAvia_act!L11*1000)</f>
        <v>119.52931086844943</v>
      </c>
      <c r="M39" s="88">
        <f>IF(M13=0,0,M13/TrAvia_act!M11*1000)</f>
        <v>137.60781726705579</v>
      </c>
      <c r="N39" s="88">
        <f>IF(N13=0,0,N13/TrAvia_act!N11*1000)</f>
        <v>145.85977047926602</v>
      </c>
      <c r="O39" s="88">
        <f>IF(O13=0,0,O13/TrAvia_act!O11*1000)</f>
        <v>134.5716726350999</v>
      </c>
      <c r="P39" s="88">
        <f>IF(P13=0,0,P13/TrAvia_act!P11*1000)</f>
        <v>110.93153989929344</v>
      </c>
      <c r="Q39" s="88">
        <f>IF(Q13=0,0,Q13/TrAvia_act!Q11*1000)</f>
        <v>123.73058570755836</v>
      </c>
      <c r="R39" s="88">
        <f>IF(R13=0,0,R13/TrAvia_act!R11*1000)</f>
        <v>135.45781623024035</v>
      </c>
      <c r="S39" s="88">
        <f>IF(S13=0,0,S13/TrAvia_act!S11*1000)</f>
        <v>136.094329080253</v>
      </c>
      <c r="T39" s="88">
        <f>IF(T13=0,0,T13/TrAvia_act!T11*1000)</f>
        <v>142.81394301633645</v>
      </c>
      <c r="U39" s="88">
        <f>IF(U13=0,0,U13/TrAvia_act!U11*1000)</f>
        <v>146.56670662135298</v>
      </c>
      <c r="V39" s="88">
        <f>IF(V13=0,0,V13/TrAvia_act!V11*1000)</f>
        <v>242.75052863836598</v>
      </c>
      <c r="W39" s="88">
        <f>IF(W13=0,0,W13/TrAvia_act!W11*1000)</f>
        <v>260.11340497040857</v>
      </c>
      <c r="DA39" s="178" t="s">
        <v>350</v>
      </c>
    </row>
    <row r="40" spans="1:105" x14ac:dyDescent="0.25">
      <c r="A40" s="50"/>
      <c r="B40" s="50"/>
      <c r="C40" s="50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DA40" s="181"/>
    </row>
    <row r="41" spans="1:105" ht="11.45" customHeight="1" x14ac:dyDescent="0.25">
      <c r="A41" s="53" t="s">
        <v>72</v>
      </c>
      <c r="B41" s="54">
        <f>IF(B3=0,0,B3/TrAvia_act!B23*1000000)</f>
        <v>13389.894977814276</v>
      </c>
      <c r="C41" s="54">
        <f>IF(C3=0,0,C3/TrAvia_act!C23*1000000)</f>
        <v>13536.127096819691</v>
      </c>
      <c r="D41" s="54">
        <f>IF(D3=0,0,D3/TrAvia_act!D23*1000000)</f>
        <v>12577.279435206689</v>
      </c>
      <c r="E41" s="54">
        <f>IF(E3=0,0,E3/TrAvia_act!E23*1000000)</f>
        <v>11406.793156336931</v>
      </c>
      <c r="F41" s="54">
        <f>IF(F3=0,0,F3/TrAvia_act!F23*1000000)</f>
        <v>12030.104618183988</v>
      </c>
      <c r="G41" s="54">
        <f>IF(G3=0,0,G3/TrAvia_act!G23*1000000)</f>
        <v>13193.233530214364</v>
      </c>
      <c r="H41" s="54">
        <f>IF(H3=0,0,H3/TrAvia_act!H23*1000000)</f>
        <v>13759.196448368073</v>
      </c>
      <c r="I41" s="54">
        <f>IF(I3=0,0,I3/TrAvia_act!I23*1000000)</f>
        <v>13679.670718862591</v>
      </c>
      <c r="J41" s="54">
        <f>IF(J3=0,0,J3/TrAvia_act!J23*1000000)</f>
        <v>13124.850665462318</v>
      </c>
      <c r="K41" s="54">
        <f>IF(K3=0,0,K3/TrAvia_act!K23*1000000)</f>
        <v>12518.255665275141</v>
      </c>
      <c r="L41" s="54">
        <f>IF(L3=0,0,L3/TrAvia_act!L23*1000000)</f>
        <v>13264.071017709386</v>
      </c>
      <c r="M41" s="54">
        <f>IF(M3=0,0,M3/TrAvia_act!M23*1000000)</f>
        <v>14221.952001233194</v>
      </c>
      <c r="N41" s="54">
        <f>IF(N3=0,0,N3/TrAvia_act!N23*1000000)</f>
        <v>14213.38187576127</v>
      </c>
      <c r="O41" s="54">
        <f>IF(O3=0,0,O3/TrAvia_act!O23*1000000)</f>
        <v>14181.952767302997</v>
      </c>
      <c r="P41" s="54">
        <f>IF(P3=0,0,P3/TrAvia_act!P23*1000000)</f>
        <v>14129.323491715455</v>
      </c>
      <c r="Q41" s="54">
        <f>IF(Q3=0,0,Q3/TrAvia_act!Q23*1000000)</f>
        <v>15412.452171132887</v>
      </c>
      <c r="R41" s="54">
        <f>IF(R3=0,0,R3/TrAvia_act!R23*1000000)</f>
        <v>17135.485266574473</v>
      </c>
      <c r="S41" s="54">
        <f>IF(S3=0,0,S3/TrAvia_act!S23*1000000)</f>
        <v>16506.525853770112</v>
      </c>
      <c r="T41" s="54">
        <f>IF(T3=0,0,T3/TrAvia_act!T23*1000000)</f>
        <v>17531.717052836462</v>
      </c>
      <c r="U41" s="54">
        <f>IF(U3=0,0,U3/TrAvia_act!U23*1000000)</f>
        <v>18596.24984770047</v>
      </c>
      <c r="V41" s="54">
        <f>IF(V3=0,0,V3/TrAvia_act!V23*1000000)</f>
        <v>17749.144534582669</v>
      </c>
      <c r="W41" s="54">
        <f>IF(W3=0,0,W3/TrAvia_act!W23*1000000)</f>
        <v>20212.485923531203</v>
      </c>
      <c r="DA41" s="172" t="s">
        <v>351</v>
      </c>
    </row>
    <row r="42" spans="1:105" ht="11.45" customHeight="1" x14ac:dyDescent="0.25">
      <c r="A42" s="10" t="s">
        <v>33</v>
      </c>
      <c r="B42" s="11">
        <f>IF(B6=0,0,B6/TrAvia_act!B24*1000000)</f>
        <v>13466.761991512589</v>
      </c>
      <c r="C42" s="11">
        <f>IF(C6=0,0,C6/TrAvia_act!C24*1000000)</f>
        <v>13605.812075981645</v>
      </c>
      <c r="D42" s="11">
        <f>IF(D6=0,0,D6/TrAvia_act!D24*1000000)</f>
        <v>12656.691933335576</v>
      </c>
      <c r="E42" s="11">
        <f>IF(E6=0,0,E6/TrAvia_act!E24*1000000)</f>
        <v>11479.410791331042</v>
      </c>
      <c r="F42" s="11">
        <f>IF(F6=0,0,F6/TrAvia_act!F24*1000000)</f>
        <v>12135.917396867213</v>
      </c>
      <c r="G42" s="11">
        <f>IF(G6=0,0,G6/TrAvia_act!G24*1000000)</f>
        <v>13318.34944175071</v>
      </c>
      <c r="H42" s="11">
        <f>IF(H6=0,0,H6/TrAvia_act!H24*1000000)</f>
        <v>13923.264552295299</v>
      </c>
      <c r="I42" s="11">
        <f>IF(I6=0,0,I6/TrAvia_act!I24*1000000)</f>
        <v>13821.045628355079</v>
      </c>
      <c r="J42" s="11">
        <f>IF(J6=0,0,J6/TrAvia_act!J24*1000000)</f>
        <v>13257.158786925431</v>
      </c>
      <c r="K42" s="11">
        <f>IF(K6=0,0,K6/TrAvia_act!K24*1000000)</f>
        <v>12655.637926518481</v>
      </c>
      <c r="L42" s="11">
        <f>IF(L6=0,0,L6/TrAvia_act!L24*1000000)</f>
        <v>13430.959967570096</v>
      </c>
      <c r="M42" s="11">
        <f>IF(M6=0,0,M6/TrAvia_act!M24*1000000)</f>
        <v>14356.084602225128</v>
      </c>
      <c r="N42" s="11">
        <f>IF(N6=0,0,N6/TrAvia_act!N24*1000000)</f>
        <v>14283.884867506449</v>
      </c>
      <c r="O42" s="11">
        <f>IF(O6=0,0,O6/TrAvia_act!O24*1000000)</f>
        <v>14238.239633476631</v>
      </c>
      <c r="P42" s="11">
        <f>IF(P6=0,0,P6/TrAvia_act!P24*1000000)</f>
        <v>14181.623783513516</v>
      </c>
      <c r="Q42" s="11">
        <f>IF(Q6=0,0,Q6/TrAvia_act!Q24*1000000)</f>
        <v>15424.568306405337</v>
      </c>
      <c r="R42" s="11">
        <f>IF(R6=0,0,R6/TrAvia_act!R24*1000000)</f>
        <v>17078.841130137211</v>
      </c>
      <c r="S42" s="11">
        <f>IF(S6=0,0,S6/TrAvia_act!S24*1000000)</f>
        <v>16427.978094170674</v>
      </c>
      <c r="T42" s="11">
        <f>IF(T6=0,0,T6/TrAvia_act!T24*1000000)</f>
        <v>17381.003363052801</v>
      </c>
      <c r="U42" s="11">
        <f>IF(U6=0,0,U6/TrAvia_act!U24*1000000)</f>
        <v>18463.487927564591</v>
      </c>
      <c r="V42" s="11">
        <f>IF(V6=0,0,V6/TrAvia_act!V24*1000000)</f>
        <v>17515.870484815267</v>
      </c>
      <c r="W42" s="11">
        <f>IF(W6=0,0,W6/TrAvia_act!W24*1000000)</f>
        <v>20099.112047298411</v>
      </c>
      <c r="DA42" s="189" t="s">
        <v>352</v>
      </c>
    </row>
    <row r="43" spans="1:105" ht="11.45" customHeight="1" x14ac:dyDescent="0.25">
      <c r="A43" s="83" t="s">
        <v>27</v>
      </c>
      <c r="B43" s="84">
        <f>IF(B7=0,0,B7/TrAvia_act!B25*1000000)</f>
        <v>4980.5538850993316</v>
      </c>
      <c r="C43" s="84">
        <f>IF(C7=0,0,C7/TrAvia_act!C25*1000000)</f>
        <v>5238.2281578677603</v>
      </c>
      <c r="D43" s="84">
        <f>IF(D7=0,0,D7/TrAvia_act!D25*1000000)</f>
        <v>5023.3528000360193</v>
      </c>
      <c r="E43" s="84">
        <f>IF(E7=0,0,E7/TrAvia_act!E25*1000000)</f>
        <v>5103.4361717997945</v>
      </c>
      <c r="F43" s="84">
        <f>IF(F7=0,0,F7/TrAvia_act!F25*1000000)</f>
        <v>5536.9938447153027</v>
      </c>
      <c r="G43" s="84">
        <f>IF(G7=0,0,G7/TrAvia_act!G25*1000000)</f>
        <v>5595.4275088408167</v>
      </c>
      <c r="H43" s="84">
        <f>IF(H7=0,0,H7/TrAvia_act!H25*1000000)</f>
        <v>5688.3959977515215</v>
      </c>
      <c r="I43" s="84">
        <f>IF(I7=0,0,I7/TrAvia_act!I25*1000000)</f>
        <v>5753.0859542816197</v>
      </c>
      <c r="J43" s="84">
        <f>IF(J7=0,0,J7/TrAvia_act!J25*1000000)</f>
        <v>5431.5415862224818</v>
      </c>
      <c r="K43" s="84">
        <f>IF(K7=0,0,K7/TrAvia_act!K25*1000000)</f>
        <v>5460.8338836823596</v>
      </c>
      <c r="L43" s="84">
        <f>IF(L7=0,0,L7/TrAvia_act!L25*1000000)</f>
        <v>5333.5609217740193</v>
      </c>
      <c r="M43" s="84">
        <f>IF(M7=0,0,M7/TrAvia_act!M25*1000000)</f>
        <v>6786.7124897311596</v>
      </c>
      <c r="N43" s="84">
        <f>IF(N7=0,0,N7/TrAvia_act!N25*1000000)</f>
        <v>6338.1103942597765</v>
      </c>
      <c r="O43" s="84">
        <f>IF(O7=0,0,O7/TrAvia_act!O25*1000000)</f>
        <v>6588.948778875746</v>
      </c>
      <c r="P43" s="84">
        <f>IF(P7=0,0,P7/TrAvia_act!P25*1000000)</f>
        <v>6802.2732927768529</v>
      </c>
      <c r="Q43" s="84">
        <f>IF(Q7=0,0,Q7/TrAvia_act!Q25*1000000)</f>
        <v>7668.2795655798573</v>
      </c>
      <c r="R43" s="84">
        <f>IF(R7=0,0,R7/TrAvia_act!R25*1000000)</f>
        <v>8503.9153548665254</v>
      </c>
      <c r="S43" s="84">
        <f>IF(S7=0,0,S7/TrAvia_act!S25*1000000)</f>
        <v>8267.2609764367589</v>
      </c>
      <c r="T43" s="84">
        <f>IF(T7=0,0,T7/TrAvia_act!T25*1000000)</f>
        <v>8839.8042511884578</v>
      </c>
      <c r="U43" s="84">
        <f>IF(U7=0,0,U7/TrAvia_act!U25*1000000)</f>
        <v>7840.1966237520801</v>
      </c>
      <c r="V43" s="84">
        <f>IF(V7=0,0,V7/TrAvia_act!V25*1000000)</f>
        <v>15390.376131686486</v>
      </c>
      <c r="W43" s="84">
        <f>IF(W7=0,0,W7/TrAvia_act!W25*1000000)</f>
        <v>19634.410554504935</v>
      </c>
      <c r="DA43" s="171" t="s">
        <v>353</v>
      </c>
    </row>
    <row r="44" spans="1:105" ht="11.45" customHeight="1" x14ac:dyDescent="0.25">
      <c r="A44" s="83" t="s">
        <v>173</v>
      </c>
      <c r="B44" s="84">
        <f>IF(B8=0,0,B8/TrAvia_act!B26*1000000)</f>
        <v>8790.1074559398585</v>
      </c>
      <c r="C44" s="84">
        <f>IF(C8=0,0,C8/TrAvia_act!C26*1000000)</f>
        <v>8972.0639385659306</v>
      </c>
      <c r="D44" s="84">
        <f>IF(D8=0,0,D8/TrAvia_act!D26*1000000)</f>
        <v>8466.8990727662913</v>
      </c>
      <c r="E44" s="84">
        <f>IF(E8=0,0,E8/TrAvia_act!E26*1000000)</f>
        <v>7750.4794571485909</v>
      </c>
      <c r="F44" s="84">
        <f>IF(F8=0,0,F8/TrAvia_act!F26*1000000)</f>
        <v>7934.1169217515253</v>
      </c>
      <c r="G44" s="84">
        <f>IF(G8=0,0,G8/TrAvia_act!G26*1000000)</f>
        <v>8767.861946111947</v>
      </c>
      <c r="H44" s="84">
        <f>IF(H8=0,0,H8/TrAvia_act!H26*1000000)</f>
        <v>9150.7231724036083</v>
      </c>
      <c r="I44" s="84">
        <f>IF(I8=0,0,I8/TrAvia_act!I26*1000000)</f>
        <v>9114.5959118954488</v>
      </c>
      <c r="J44" s="84">
        <f>IF(J8=0,0,J8/TrAvia_act!J26*1000000)</f>
        <v>8695.9104426720551</v>
      </c>
      <c r="K44" s="84">
        <f>IF(K8=0,0,K8/TrAvia_act!K26*1000000)</f>
        <v>8220.168260050732</v>
      </c>
      <c r="L44" s="84">
        <f>IF(L8=0,0,L8/TrAvia_act!L26*1000000)</f>
        <v>8757.9612760722684</v>
      </c>
      <c r="M44" s="84">
        <f>IF(M8=0,0,M8/TrAvia_act!M26*1000000)</f>
        <v>9156.6004952621497</v>
      </c>
      <c r="N44" s="84">
        <f>IF(N8=0,0,N8/TrAvia_act!N26*1000000)</f>
        <v>9097.3588600887961</v>
      </c>
      <c r="O44" s="84">
        <f>IF(O8=0,0,O8/TrAvia_act!O26*1000000)</f>
        <v>9171.6195728877301</v>
      </c>
      <c r="P44" s="84">
        <f>IF(P8=0,0,P8/TrAvia_act!P26*1000000)</f>
        <v>9038.3771964799016</v>
      </c>
      <c r="Q44" s="84">
        <f>IF(Q8=0,0,Q8/TrAvia_act!Q26*1000000)</f>
        <v>9764.8392922696239</v>
      </c>
      <c r="R44" s="84">
        <f>IF(R8=0,0,R8/TrAvia_act!R26*1000000)</f>
        <v>10956.782229247845</v>
      </c>
      <c r="S44" s="84">
        <f>IF(S8=0,0,S8/TrAvia_act!S26*1000000)</f>
        <v>10809.911483381811</v>
      </c>
      <c r="T44" s="84">
        <f>IF(T8=0,0,T8/TrAvia_act!T26*1000000)</f>
        <v>11401.435013910714</v>
      </c>
      <c r="U44" s="84">
        <f>IF(U8=0,0,U8/TrAvia_act!U26*1000000)</f>
        <v>11817.970285088968</v>
      </c>
      <c r="V44" s="84">
        <f>IF(V8=0,0,V8/TrAvia_act!V26*1000000)</f>
        <v>9249.8077776608989</v>
      </c>
      <c r="W44" s="84">
        <f>IF(W8=0,0,W8/TrAvia_act!W26*1000000)</f>
        <v>12126.753079080761</v>
      </c>
      <c r="DA44" s="171" t="s">
        <v>354</v>
      </c>
    </row>
    <row r="45" spans="1:105" ht="11.45" customHeight="1" x14ac:dyDescent="0.25">
      <c r="A45" s="83" t="s">
        <v>174</v>
      </c>
      <c r="B45" s="84">
        <f>IF(B9=0,0,B9/TrAvia_act!B27*1000000)</f>
        <v>31013.523670644183</v>
      </c>
      <c r="C45" s="84">
        <f>IF(C9=0,0,C9/TrAvia_act!C27*1000000)</f>
        <v>31650.41599359949</v>
      </c>
      <c r="D45" s="84">
        <f>IF(D9=0,0,D9/TrAvia_act!D27*1000000)</f>
        <v>29900.974831127547</v>
      </c>
      <c r="E45" s="84">
        <f>IF(E9=0,0,E9/TrAvia_act!E27*1000000)</f>
        <v>27362.452470518136</v>
      </c>
      <c r="F45" s="84">
        <f>IF(F9=0,0,F9/TrAvia_act!F27*1000000)</f>
        <v>27946.355634844276</v>
      </c>
      <c r="G45" s="84">
        <f>IF(G9=0,0,G9/TrAvia_act!G27*1000000)</f>
        <v>30560.969843134619</v>
      </c>
      <c r="H45" s="84">
        <f>IF(H9=0,0,H9/TrAvia_act!H27*1000000)</f>
        <v>33764.038739887605</v>
      </c>
      <c r="I45" s="84">
        <f>IF(I9=0,0,I9/TrAvia_act!I27*1000000)</f>
        <v>33611.128552922826</v>
      </c>
      <c r="J45" s="84">
        <f>IF(J9=0,0,J9/TrAvia_act!J27*1000000)</f>
        <v>31585.101959346182</v>
      </c>
      <c r="K45" s="84">
        <f>IF(K9=0,0,K9/TrAvia_act!K27*1000000)</f>
        <v>29592.311594265801</v>
      </c>
      <c r="L45" s="84">
        <f>IF(L9=0,0,L9/TrAvia_act!L27*1000000)</f>
        <v>31076.377372089217</v>
      </c>
      <c r="M45" s="84">
        <f>IF(M9=0,0,M9/TrAvia_act!M27*1000000)</f>
        <v>31741.817373048256</v>
      </c>
      <c r="N45" s="84">
        <f>IF(N9=0,0,N9/TrAvia_act!N27*1000000)</f>
        <v>31388.414685780812</v>
      </c>
      <c r="O45" s="84">
        <f>IF(O9=0,0,O9/TrAvia_act!O27*1000000)</f>
        <v>29786.470047126782</v>
      </c>
      <c r="P45" s="84">
        <f>IF(P9=0,0,P9/TrAvia_act!P27*1000000)</f>
        <v>30348.510735043605</v>
      </c>
      <c r="Q45" s="84">
        <f>IF(Q9=0,0,Q9/TrAvia_act!Q27*1000000)</f>
        <v>33109.199392826318</v>
      </c>
      <c r="R45" s="84">
        <f>IF(R9=0,0,R9/TrAvia_act!R27*1000000)</f>
        <v>37571.667558434885</v>
      </c>
      <c r="S45" s="84">
        <f>IF(S9=0,0,S9/TrAvia_act!S27*1000000)</f>
        <v>34767.854832896912</v>
      </c>
      <c r="T45" s="84">
        <f>IF(T9=0,0,T9/TrAvia_act!T27*1000000)</f>
        <v>36455.072106894942</v>
      </c>
      <c r="U45" s="84">
        <f>IF(U9=0,0,U9/TrAvia_act!U27*1000000)</f>
        <v>39535.163588134354</v>
      </c>
      <c r="V45" s="84">
        <f>IF(V9=0,0,V9/TrAvia_act!V27*1000000)</f>
        <v>43622.410139433814</v>
      </c>
      <c r="W45" s="84">
        <f>IF(W9=0,0,W9/TrAvia_act!W27*1000000)</f>
        <v>39672.559211972075</v>
      </c>
      <c r="DA45" s="171" t="s">
        <v>355</v>
      </c>
    </row>
    <row r="46" spans="1:105" ht="11.45" customHeight="1" x14ac:dyDescent="0.25">
      <c r="A46" s="12" t="s">
        <v>34</v>
      </c>
      <c r="B46" s="13">
        <f>IF(B10=0,0,B10/TrAvia_act!B28*1000000)</f>
        <v>9378.7980494631429</v>
      </c>
      <c r="C46" s="13">
        <f>IF(C10=0,0,C10/TrAvia_act!C28*1000000)</f>
        <v>9539.1343414316834</v>
      </c>
      <c r="D46" s="13">
        <f>IF(D10=0,0,D10/TrAvia_act!D28*1000000)</f>
        <v>8920.8920395664863</v>
      </c>
      <c r="E46" s="13">
        <f>IF(E10=0,0,E10/TrAvia_act!E28*1000000)</f>
        <v>8145.2076968552283</v>
      </c>
      <c r="F46" s="13">
        <f>IF(F10=0,0,F10/TrAvia_act!F28*1000000)</f>
        <v>8458.6486102399831</v>
      </c>
      <c r="G46" s="13">
        <f>IF(G10=0,0,G10/TrAvia_act!G28*1000000)</f>
        <v>9353.4826098782141</v>
      </c>
      <c r="H46" s="13">
        <f>IF(H10=0,0,H10/TrAvia_act!H28*1000000)</f>
        <v>9226.5464729840769</v>
      </c>
      <c r="I46" s="13">
        <f>IF(I10=0,0,I10/TrAvia_act!I28*1000000)</f>
        <v>9156.632280225258</v>
      </c>
      <c r="J46" s="13">
        <f>IF(J10=0,0,J10/TrAvia_act!J28*1000000)</f>
        <v>8573.7116187494903</v>
      </c>
      <c r="K46" s="13">
        <f>IF(K10=0,0,K10/TrAvia_act!K28*1000000)</f>
        <v>7762.6134834970599</v>
      </c>
      <c r="L46" s="13">
        <f>IF(L10=0,0,L10/TrAvia_act!L28*1000000)</f>
        <v>7983.9356370118867</v>
      </c>
      <c r="M46" s="13">
        <f>IF(M10=0,0,M10/TrAvia_act!M28*1000000)</f>
        <v>9969.6865390370076</v>
      </c>
      <c r="N46" s="13">
        <f>IF(N10=0,0,N10/TrAvia_act!N28*1000000)</f>
        <v>11681.768096191066</v>
      </c>
      <c r="O46" s="13">
        <f>IF(O10=0,0,O10/TrAvia_act!O28*1000000)</f>
        <v>12330.860522696665</v>
      </c>
      <c r="P46" s="13">
        <f>IF(P10=0,0,P10/TrAvia_act!P28*1000000)</f>
        <v>12517.868789176811</v>
      </c>
      <c r="Q46" s="13">
        <f>IF(Q10=0,0,Q10/TrAvia_act!Q28*1000000)</f>
        <v>15038.664798283779</v>
      </c>
      <c r="R46" s="13">
        <f>IF(R10=0,0,R10/TrAvia_act!R28*1000000)</f>
        <v>19223.03754731653</v>
      </c>
      <c r="S46" s="13">
        <f>IF(S10=0,0,S10/TrAvia_act!S28*1000000)</f>
        <v>19048.165793560351</v>
      </c>
      <c r="T46" s="13">
        <f>IF(T10=0,0,T10/TrAvia_act!T28*1000000)</f>
        <v>22690.646654131142</v>
      </c>
      <c r="U46" s="13">
        <f>IF(U10=0,0,U10/TrAvia_act!U28*1000000)</f>
        <v>23234.365271114137</v>
      </c>
      <c r="V46" s="13">
        <f>IF(V10=0,0,V10/TrAvia_act!V28*1000000)</f>
        <v>20883.427241399026</v>
      </c>
      <c r="W46" s="13">
        <f>IF(W10=0,0,W10/TrAvia_act!W28*1000000)</f>
        <v>21714.605755087145</v>
      </c>
      <c r="DA46" s="193" t="s">
        <v>356</v>
      </c>
    </row>
    <row r="47" spans="1:105" ht="11.45" customHeight="1" x14ac:dyDescent="0.25">
      <c r="A47" s="92" t="s">
        <v>27</v>
      </c>
      <c r="B47" s="102">
        <f>IF(B11=0,0,B11/TrAvia_act!B29*1000000)</f>
        <v>4824.2578549652653</v>
      </c>
      <c r="C47" s="102">
        <f>IF(C11=0,0,C11/TrAvia_act!C29*1000000)</f>
        <v>5073.8459857441712</v>
      </c>
      <c r="D47" s="102">
        <f>IF(D11=0,0,D11/TrAvia_act!D29*1000000)</f>
        <v>4865.7136862504221</v>
      </c>
      <c r="E47" s="102">
        <f>IF(E11=0,0,E11/TrAvia_act!E29*1000000)</f>
        <v>4943.2839413257343</v>
      </c>
      <c r="F47" s="102">
        <f>IF(F11=0,0,F11/TrAvia_act!F29*1000000)</f>
        <v>5363.2360304700096</v>
      </c>
      <c r="G47" s="102">
        <f>IF(G11=0,0,G11/TrAvia_act!G29*1000000)</f>
        <v>5419.8359728971545</v>
      </c>
      <c r="H47" s="102">
        <f>IF(H11=0,0,H11/TrAvia_act!H29*1000000)</f>
        <v>5527.7234912808653</v>
      </c>
      <c r="I47" s="102">
        <f>IF(I11=0,0,I11/TrAvia_act!I29*1000000)</f>
        <v>5608.6063473652785</v>
      </c>
      <c r="J47" s="102">
        <f>IF(J11=0,0,J11/TrAvia_act!J29*1000000)</f>
        <v>5312.1318674609329</v>
      </c>
      <c r="K47" s="102">
        <f>IF(K11=0,0,K11/TrAvia_act!K29*1000000)</f>
        <v>5357.8484304007352</v>
      </c>
      <c r="L47" s="102">
        <f>IF(L11=0,0,L11/TrAvia_act!L29*1000000)</f>
        <v>5249.6283553460325</v>
      </c>
      <c r="M47" s="102">
        <f>IF(M11=0,0,M11/TrAvia_act!M29*1000000)</f>
        <v>6685.5519407187849</v>
      </c>
      <c r="N47" s="102">
        <f>IF(N11=0,0,N11/TrAvia_act!N29*1000000)</f>
        <v>6248.5549805387336</v>
      </c>
      <c r="O47" s="102">
        <f>IF(O11=0,0,O11/TrAvia_act!O29*1000000)</f>
        <v>6428.0661761295842</v>
      </c>
      <c r="P47" s="102">
        <f>IF(P11=0,0,P11/TrAvia_act!P29*1000000)</f>
        <v>6566.9315612652827</v>
      </c>
      <c r="Q47" s="102">
        <f>IF(Q11=0,0,Q11/TrAvia_act!Q29*1000000)</f>
        <v>7325.7206187377433</v>
      </c>
      <c r="R47" s="102">
        <f>IF(R11=0,0,R11/TrAvia_act!R29*1000000)</f>
        <v>8039.2426531964593</v>
      </c>
      <c r="S47" s="102">
        <f>IF(S11=0,0,S11/TrAvia_act!S29*1000000)</f>
        <v>7733.9515031194069</v>
      </c>
      <c r="T47" s="102">
        <f>IF(T11=0,0,T11/TrAvia_act!T29*1000000)</f>
        <v>8183.2501462718828</v>
      </c>
      <c r="U47" s="102">
        <f>IF(U11=0,0,U11/TrAvia_act!U29*1000000)</f>
        <v>7410.727105341979</v>
      </c>
      <c r="V47" s="102">
        <f>IF(V11=0,0,V11/TrAvia_act!V29*1000000)</f>
        <v>14547.323623870358</v>
      </c>
      <c r="W47" s="102">
        <f>IF(W11=0,0,W11/TrAvia_act!W29*1000000)</f>
        <v>18558.878747105708</v>
      </c>
      <c r="DA47" s="175" t="s">
        <v>357</v>
      </c>
    </row>
    <row r="48" spans="1:105" ht="11.45" customHeight="1" x14ac:dyDescent="0.25">
      <c r="A48" s="92" t="s">
        <v>173</v>
      </c>
      <c r="B48" s="102">
        <f>IF(B12=0,0,B12/TrAvia_act!B30*1000000)</f>
        <v>8378.2956794297661</v>
      </c>
      <c r="C48" s="102">
        <f>IF(C12=0,0,C12/TrAvia_act!C30*1000000)</f>
        <v>8504.9953914477192</v>
      </c>
      <c r="D48" s="102">
        <f>IF(D12=0,0,D12/TrAvia_act!D30*1000000)</f>
        <v>8020.2451727222642</v>
      </c>
      <c r="E48" s="102">
        <f>IF(E12=0,0,E12/TrAvia_act!E30*1000000)</f>
        <v>7288.1592237185387</v>
      </c>
      <c r="F48" s="102">
        <f>IF(F12=0,0,F12/TrAvia_act!F30*1000000)</f>
        <v>7855.0530286581734</v>
      </c>
      <c r="G48" s="102">
        <f>IF(G12=0,0,G12/TrAvia_act!G30*1000000)</f>
        <v>8534.0496452807947</v>
      </c>
      <c r="H48" s="102">
        <f>IF(H12=0,0,H12/TrAvia_act!H30*1000000)</f>
        <v>8196.0584230165659</v>
      </c>
      <c r="I48" s="102">
        <f>IF(I12=0,0,I12/TrAvia_act!I30*1000000)</f>
        <v>8067.090894461795</v>
      </c>
      <c r="J48" s="102">
        <f>IF(J12=0,0,J12/TrAvia_act!J30*1000000)</f>
        <v>7609.002844597213</v>
      </c>
      <c r="K48" s="102">
        <f>IF(K12=0,0,K12/TrAvia_act!K30*1000000)</f>
        <v>6976.1285024406425</v>
      </c>
      <c r="L48" s="102">
        <f>IF(L12=0,0,L12/TrAvia_act!L30*1000000)</f>
        <v>7175.2794906575191</v>
      </c>
      <c r="M48" s="102">
        <f>IF(M12=0,0,M12/TrAvia_act!M30*1000000)</f>
        <v>8275.5471155722207</v>
      </c>
      <c r="N48" s="102">
        <f>IF(N12=0,0,N12/TrAvia_act!N30*1000000)</f>
        <v>8742.1979422849072</v>
      </c>
      <c r="O48" s="102">
        <f>IF(O12=0,0,O12/TrAvia_act!O30*1000000)</f>
        <v>8995.3306017243212</v>
      </c>
      <c r="P48" s="102">
        <f>IF(P12=0,0,P12/TrAvia_act!P30*1000000)</f>
        <v>8674.8326096554192</v>
      </c>
      <c r="Q48" s="102">
        <f>IF(Q12=0,0,Q12/TrAvia_act!Q30*1000000)</f>
        <v>8728.4236502342537</v>
      </c>
      <c r="R48" s="102">
        <f>IF(R12=0,0,R12/TrAvia_act!R30*1000000)</f>
        <v>9680.4097936154139</v>
      </c>
      <c r="S48" s="102">
        <f>IF(S12=0,0,S12/TrAvia_act!S30*1000000)</f>
        <v>9601.910132729141</v>
      </c>
      <c r="T48" s="102">
        <f>IF(T12=0,0,T12/TrAvia_act!T30*1000000)</f>
        <v>9996.4383246454072</v>
      </c>
      <c r="U48" s="102">
        <f>IF(U12=0,0,U12/TrAvia_act!U30*1000000)</f>
        <v>9555.2896853756065</v>
      </c>
      <c r="V48" s="102">
        <f>IF(V12=0,0,V12/TrAvia_act!V30*1000000)</f>
        <v>8007.3924396350421</v>
      </c>
      <c r="W48" s="102">
        <f>IF(W12=0,0,W12/TrAvia_act!W30*1000000)</f>
        <v>10572.626098665185</v>
      </c>
      <c r="DA48" s="175" t="s">
        <v>358</v>
      </c>
    </row>
    <row r="49" spans="1:105" ht="11.45" customHeight="1" x14ac:dyDescent="0.25">
      <c r="A49" s="85" t="s">
        <v>174</v>
      </c>
      <c r="B49" s="86">
        <f>IF(B13=0,0,B13/TrAvia_act!B31*1000000)</f>
        <v>12051.184628442959</v>
      </c>
      <c r="C49" s="86">
        <f>IF(C13=0,0,C13/TrAvia_act!C31*1000000)</f>
        <v>12298.667212295155</v>
      </c>
      <c r="D49" s="86">
        <f>IF(D13=0,0,D13/TrAvia_act!D31*1000000)</f>
        <v>11618.872208365852</v>
      </c>
      <c r="E49" s="86">
        <f>IF(E13=0,0,E13/TrAvia_act!E31*1000000)</f>
        <v>10632.45731478535</v>
      </c>
      <c r="F49" s="86">
        <f>IF(F13=0,0,F13/TrAvia_act!F31*1000000)</f>
        <v>10859.349457489119</v>
      </c>
      <c r="G49" s="86">
        <f>IF(G13=0,0,G13/TrAvia_act!G31*1000000)</f>
        <v>11875.331997586043</v>
      </c>
      <c r="H49" s="86">
        <f>IF(H13=0,0,H13/TrAvia_act!H31*1000000)</f>
        <v>12974.562404999373</v>
      </c>
      <c r="I49" s="86">
        <f>IF(I13=0,0,I13/TrAvia_act!I31*1000000)</f>
        <v>12774.436074999976</v>
      </c>
      <c r="J49" s="86">
        <f>IF(J13=0,0,J13/TrAvia_act!J31*1000000)</f>
        <v>11874.791389605683</v>
      </c>
      <c r="K49" s="86">
        <f>IF(K13=0,0,K13/TrAvia_act!K31*1000000)</f>
        <v>11007.201973225223</v>
      </c>
      <c r="L49" s="86">
        <f>IF(L13=0,0,L13/TrAvia_act!L31*1000000)</f>
        <v>11438.181993824524</v>
      </c>
      <c r="M49" s="86">
        <f>IF(M13=0,0,M13/TrAvia_act!M31*1000000)</f>
        <v>15590.158914681939</v>
      </c>
      <c r="N49" s="86">
        <f>IF(N13=0,0,N13/TrAvia_act!N31*1000000)</f>
        <v>20160.671645189108</v>
      </c>
      <c r="O49" s="86">
        <f>IF(O13=0,0,O13/TrAvia_act!O31*1000000)</f>
        <v>22666.923126857488</v>
      </c>
      <c r="P49" s="86">
        <f>IF(P13=0,0,P13/TrAvia_act!P31*1000000)</f>
        <v>27316.5014656612</v>
      </c>
      <c r="Q49" s="86">
        <f>IF(Q13=0,0,Q13/TrAvia_act!Q31*1000000)</f>
        <v>35185.400746148851</v>
      </c>
      <c r="R49" s="86">
        <f>IF(R13=0,0,R13/TrAvia_act!R31*1000000)</f>
        <v>47047.79854021861</v>
      </c>
      <c r="S49" s="86">
        <f>IF(S13=0,0,S13/TrAvia_act!S31*1000000)</f>
        <v>51189.04540089595</v>
      </c>
      <c r="T49" s="86">
        <f>IF(T13=0,0,T13/TrAvia_act!T31*1000000)</f>
        <v>62955.902564235359</v>
      </c>
      <c r="U49" s="86">
        <f>IF(U13=0,0,U13/TrAvia_act!U31*1000000)</f>
        <v>72628.378704938572</v>
      </c>
      <c r="V49" s="86">
        <f>IF(V13=0,0,V13/TrAvia_act!V31*1000000)</f>
        <v>80136.886662075936</v>
      </c>
      <c r="W49" s="86">
        <f>IF(W13=0,0,W13/TrAvia_act!W31*1000000)</f>
        <v>72880.782400657336</v>
      </c>
      <c r="DA49" s="178" t="s">
        <v>359</v>
      </c>
    </row>
    <row r="50" spans="1:105" x14ac:dyDescent="0.25">
      <c r="A50" s="50"/>
      <c r="B50" s="50"/>
      <c r="C50" s="50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DA50" s="181"/>
    </row>
    <row r="51" spans="1:105" ht="11.45" customHeight="1" x14ac:dyDescent="0.25">
      <c r="A51" s="53" t="s">
        <v>41</v>
      </c>
      <c r="B51" s="76">
        <f t="shared" ref="B51:C51" si="32">IF(B3=0,0,B3/B$3)</f>
        <v>1</v>
      </c>
      <c r="C51" s="76">
        <f t="shared" si="32"/>
        <v>1</v>
      </c>
      <c r="D51" s="76">
        <f t="shared" ref="D51:V51" si="33">IF(D3=0,0,D3/D$3)</f>
        <v>1</v>
      </c>
      <c r="E51" s="76">
        <f t="shared" si="33"/>
        <v>1</v>
      </c>
      <c r="F51" s="76">
        <f t="shared" si="33"/>
        <v>1</v>
      </c>
      <c r="G51" s="76">
        <f t="shared" si="33"/>
        <v>1</v>
      </c>
      <c r="H51" s="76">
        <f t="shared" si="33"/>
        <v>1</v>
      </c>
      <c r="I51" s="76">
        <f t="shared" si="33"/>
        <v>1</v>
      </c>
      <c r="J51" s="76">
        <f t="shared" si="33"/>
        <v>1</v>
      </c>
      <c r="K51" s="76">
        <f t="shared" si="33"/>
        <v>1</v>
      </c>
      <c r="L51" s="76">
        <f t="shared" si="33"/>
        <v>1</v>
      </c>
      <c r="M51" s="76">
        <f t="shared" si="33"/>
        <v>1</v>
      </c>
      <c r="N51" s="76">
        <f t="shared" si="33"/>
        <v>1</v>
      </c>
      <c r="O51" s="76">
        <f t="shared" si="33"/>
        <v>1</v>
      </c>
      <c r="P51" s="76">
        <f t="shared" si="33"/>
        <v>1</v>
      </c>
      <c r="Q51" s="76">
        <f t="shared" si="33"/>
        <v>1</v>
      </c>
      <c r="R51" s="76">
        <f t="shared" si="33"/>
        <v>1</v>
      </c>
      <c r="S51" s="76">
        <f t="shared" si="33"/>
        <v>1</v>
      </c>
      <c r="T51" s="76">
        <f t="shared" si="33"/>
        <v>1</v>
      </c>
      <c r="U51" s="76">
        <f t="shared" si="33"/>
        <v>1</v>
      </c>
      <c r="V51" s="76">
        <f t="shared" si="33"/>
        <v>1</v>
      </c>
      <c r="W51" s="76">
        <f t="shared" ref="W51" si="34">IF(W3=0,0,W3/W$3)</f>
        <v>1</v>
      </c>
      <c r="DA51" s="183"/>
    </row>
    <row r="52" spans="1:105" ht="11.45" customHeight="1" x14ac:dyDescent="0.25">
      <c r="A52" s="10" t="s">
        <v>33</v>
      </c>
      <c r="B52" s="16">
        <f t="shared" ref="B52:C52" si="35">IF(B6=0,0,B6/B$3)</f>
        <v>0.98682947866249993</v>
      </c>
      <c r="C52" s="16">
        <f t="shared" si="35"/>
        <v>0.98792425431658126</v>
      </c>
      <c r="D52" s="16">
        <f t="shared" ref="D52:V52" si="36">IF(D6=0,0,D6/D$3)</f>
        <v>0.98492258716826431</v>
      </c>
      <c r="E52" s="16">
        <f t="shared" si="36"/>
        <v>0.98444791407414001</v>
      </c>
      <c r="F52" s="16">
        <f t="shared" si="36"/>
        <v>0.97976774343818718</v>
      </c>
      <c r="G52" s="16">
        <f t="shared" si="36"/>
        <v>0.97762793706457263</v>
      </c>
      <c r="H52" s="16">
        <f t="shared" si="36"/>
        <v>0.97657520661662245</v>
      </c>
      <c r="I52" s="16">
        <f t="shared" si="36"/>
        <v>0.9797121773150429</v>
      </c>
      <c r="J52" s="16">
        <f t="shared" si="36"/>
        <v>0.98154579338250048</v>
      </c>
      <c r="K52" s="16">
        <f t="shared" si="36"/>
        <v>0.98258925237525885</v>
      </c>
      <c r="L52" s="16">
        <f t="shared" si="36"/>
        <v>0.98155798141094563</v>
      </c>
      <c r="M52" s="16">
        <f t="shared" si="36"/>
        <v>0.97856376052248073</v>
      </c>
      <c r="N52" s="16">
        <f t="shared" si="36"/>
        <v>0.97773145096063097</v>
      </c>
      <c r="O52" s="16">
        <f t="shared" si="36"/>
        <v>0.97434172838053035</v>
      </c>
      <c r="P52" s="16">
        <f t="shared" si="36"/>
        <v>0.9721500919052336</v>
      </c>
      <c r="Q52" s="16">
        <f t="shared" si="36"/>
        <v>0.96936464450734705</v>
      </c>
      <c r="R52" s="16">
        <f t="shared" si="36"/>
        <v>0.97036424467746296</v>
      </c>
      <c r="S52" s="16">
        <f t="shared" si="36"/>
        <v>0.96540615104949323</v>
      </c>
      <c r="T52" s="16">
        <f t="shared" si="36"/>
        <v>0.96326248496471678</v>
      </c>
      <c r="U52" s="16">
        <f t="shared" si="36"/>
        <v>0.96523191954452425</v>
      </c>
      <c r="V52" s="16">
        <f t="shared" si="36"/>
        <v>0.91849657627812986</v>
      </c>
      <c r="W52" s="16">
        <f t="shared" ref="W52" si="37">IF(W6=0,0,W6/W$3)</f>
        <v>0.92460545182811704</v>
      </c>
      <c r="DA52" s="190"/>
    </row>
    <row r="53" spans="1:105" ht="11.45" customHeight="1" x14ac:dyDescent="0.25">
      <c r="A53" s="83" t="s">
        <v>27</v>
      </c>
      <c r="B53" s="103">
        <f t="shared" ref="B53:C53" si="38">IF(B7=0,0,B7/B$3)</f>
        <v>5.9077383537001031E-2</v>
      </c>
      <c r="C53" s="103">
        <f t="shared" si="38"/>
        <v>5.7294179067252309E-2</v>
      </c>
      <c r="D53" s="103">
        <f t="shared" ref="D53:V53" si="39">IF(D7=0,0,D7/D$3)</f>
        <v>6.2766674810495582E-2</v>
      </c>
      <c r="E53" s="103">
        <f t="shared" si="39"/>
        <v>6.4376548131412067E-2</v>
      </c>
      <c r="F53" s="103">
        <f t="shared" si="39"/>
        <v>5.7927360382852365E-2</v>
      </c>
      <c r="G53" s="103">
        <f t="shared" si="39"/>
        <v>5.2025165659724433E-2</v>
      </c>
      <c r="H53" s="103">
        <f t="shared" si="39"/>
        <v>5.2263891122453755E-2</v>
      </c>
      <c r="I53" s="103">
        <f t="shared" si="39"/>
        <v>5.0430374479350185E-2</v>
      </c>
      <c r="J53" s="103">
        <f t="shared" si="39"/>
        <v>4.9313311618602584E-2</v>
      </c>
      <c r="K53" s="103">
        <f t="shared" si="39"/>
        <v>5.511503234935336E-2</v>
      </c>
      <c r="L53" s="103">
        <f t="shared" si="39"/>
        <v>5.0129856985644247E-2</v>
      </c>
      <c r="M53" s="103">
        <f t="shared" si="39"/>
        <v>4.7283524991987985E-2</v>
      </c>
      <c r="N53" s="103">
        <f t="shared" si="39"/>
        <v>4.5902018954037296E-2</v>
      </c>
      <c r="O53" s="103">
        <f t="shared" si="39"/>
        <v>4.7830492488292568E-2</v>
      </c>
      <c r="P53" s="103">
        <f t="shared" si="39"/>
        <v>4.6354051155842624E-2</v>
      </c>
      <c r="Q53" s="103">
        <f t="shared" si="39"/>
        <v>4.3451632024429102E-2</v>
      </c>
      <c r="R53" s="103">
        <f t="shared" si="39"/>
        <v>3.9213583779012823E-2</v>
      </c>
      <c r="S53" s="103">
        <f t="shared" si="39"/>
        <v>3.8745975726659262E-2</v>
      </c>
      <c r="T53" s="103">
        <f t="shared" si="39"/>
        <v>3.6070081531154687E-2</v>
      </c>
      <c r="U53" s="103">
        <f t="shared" si="39"/>
        <v>2.6119842825572417E-2</v>
      </c>
      <c r="V53" s="103">
        <f t="shared" si="39"/>
        <v>4.9680210779628482E-2</v>
      </c>
      <c r="W53" s="103">
        <f t="shared" ref="W53" si="40">IF(W7=0,0,W7/W$3)</f>
        <v>3.9006494799332735E-2</v>
      </c>
      <c r="DA53" s="191"/>
    </row>
    <row r="54" spans="1:105" ht="11.45" customHeight="1" x14ac:dyDescent="0.25">
      <c r="A54" s="83" t="s">
        <v>173</v>
      </c>
      <c r="B54" s="103">
        <f t="shared" ref="B54:C54" si="41">IF(B8=0,0,B8/B$3)</f>
        <v>0.38644202551498952</v>
      </c>
      <c r="C54" s="103">
        <f t="shared" si="41"/>
        <v>0.40406431290061817</v>
      </c>
      <c r="D54" s="103">
        <f t="shared" ref="D54:V54" si="42">IF(D8=0,0,D8/D$3)</f>
        <v>0.40729612075628291</v>
      </c>
      <c r="E54" s="103">
        <f t="shared" si="42"/>
        <v>0.42732424812510028</v>
      </c>
      <c r="F54" s="103">
        <f t="shared" si="42"/>
        <v>0.41310613382082145</v>
      </c>
      <c r="G54" s="103">
        <f t="shared" si="42"/>
        <v>0.4158257759565846</v>
      </c>
      <c r="H54" s="103">
        <f t="shared" si="42"/>
        <v>0.42147684648569023</v>
      </c>
      <c r="I54" s="103">
        <f t="shared" si="42"/>
        <v>0.43110054295297084</v>
      </c>
      <c r="J54" s="103">
        <f t="shared" si="42"/>
        <v>0.42532496770925887</v>
      </c>
      <c r="K54" s="103">
        <f t="shared" si="42"/>
        <v>0.41208908499346902</v>
      </c>
      <c r="L54" s="103">
        <f t="shared" si="42"/>
        <v>0.41108930812211186</v>
      </c>
      <c r="M54" s="103">
        <f t="shared" si="42"/>
        <v>0.40997001688018703</v>
      </c>
      <c r="N54" s="103">
        <f t="shared" si="42"/>
        <v>0.40378466617511755</v>
      </c>
      <c r="O54" s="103">
        <f t="shared" si="42"/>
        <v>0.39845146258944103</v>
      </c>
      <c r="P54" s="103">
        <f t="shared" si="42"/>
        <v>0.40198859775045137</v>
      </c>
      <c r="Q54" s="103">
        <f t="shared" si="42"/>
        <v>0.40459236014274452</v>
      </c>
      <c r="R54" s="103">
        <f t="shared" si="42"/>
        <v>0.42415154675118982</v>
      </c>
      <c r="S54" s="103">
        <f t="shared" si="42"/>
        <v>0.43025021944120984</v>
      </c>
      <c r="T54" s="103">
        <f t="shared" si="42"/>
        <v>0.42978357207048751</v>
      </c>
      <c r="U54" s="103">
        <f t="shared" si="42"/>
        <v>0.42466698908877426</v>
      </c>
      <c r="V54" s="103">
        <f t="shared" si="42"/>
        <v>0.34387213500530034</v>
      </c>
      <c r="W54" s="103">
        <f t="shared" ref="W54" si="43">IF(W8=0,0,W8/W$3)</f>
        <v>0.37887678854741491</v>
      </c>
      <c r="DA54" s="191"/>
    </row>
    <row r="55" spans="1:105" ht="11.45" customHeight="1" x14ac:dyDescent="0.25">
      <c r="A55" s="83" t="s">
        <v>174</v>
      </c>
      <c r="B55" s="103">
        <f t="shared" ref="B55:C55" si="44">IF(B9=0,0,B9/B$3)</f>
        <v>0.54131006961050954</v>
      </c>
      <c r="C55" s="103">
        <f t="shared" si="44"/>
        <v>0.52656576234871066</v>
      </c>
      <c r="D55" s="103">
        <f t="shared" ref="D55:V55" si="45">IF(D9=0,0,D9/D$3)</f>
        <v>0.51485979160148587</v>
      </c>
      <c r="E55" s="103">
        <f t="shared" si="45"/>
        <v>0.49274711781762764</v>
      </c>
      <c r="F55" s="103">
        <f t="shared" si="45"/>
        <v>0.50873424923451338</v>
      </c>
      <c r="G55" s="103">
        <f t="shared" si="45"/>
        <v>0.5097769954482636</v>
      </c>
      <c r="H55" s="103">
        <f t="shared" si="45"/>
        <v>0.50283446900847839</v>
      </c>
      <c r="I55" s="103">
        <f t="shared" si="45"/>
        <v>0.49818125988272183</v>
      </c>
      <c r="J55" s="103">
        <f t="shared" si="45"/>
        <v>0.50690751405463907</v>
      </c>
      <c r="K55" s="103">
        <f t="shared" si="45"/>
        <v>0.51538513503243655</v>
      </c>
      <c r="L55" s="103">
        <f t="shared" si="45"/>
        <v>0.52033881630318957</v>
      </c>
      <c r="M55" s="103">
        <f t="shared" si="45"/>
        <v>0.52131021865030569</v>
      </c>
      <c r="N55" s="103">
        <f t="shared" si="45"/>
        <v>0.52804476583147619</v>
      </c>
      <c r="O55" s="103">
        <f t="shared" si="45"/>
        <v>0.52805977330279663</v>
      </c>
      <c r="P55" s="103">
        <f t="shared" si="45"/>
        <v>0.52380744299893967</v>
      </c>
      <c r="Q55" s="103">
        <f t="shared" si="45"/>
        <v>0.52132065234017344</v>
      </c>
      <c r="R55" s="103">
        <f t="shared" si="45"/>
        <v>0.50699911414726018</v>
      </c>
      <c r="S55" s="103">
        <f t="shared" si="45"/>
        <v>0.49640995588162418</v>
      </c>
      <c r="T55" s="103">
        <f t="shared" si="45"/>
        <v>0.49740883136307457</v>
      </c>
      <c r="U55" s="103">
        <f t="shared" si="45"/>
        <v>0.5144450876301776</v>
      </c>
      <c r="V55" s="103">
        <f t="shared" si="45"/>
        <v>0.52494423049320105</v>
      </c>
      <c r="W55" s="103">
        <f t="shared" ref="W55" si="46">IF(W9=0,0,W9/W$3)</f>
        <v>0.50672216848136942</v>
      </c>
      <c r="DA55" s="191"/>
    </row>
    <row r="56" spans="1:105" ht="11.45" customHeight="1" x14ac:dyDescent="0.25">
      <c r="A56" s="12" t="s">
        <v>34</v>
      </c>
      <c r="B56" s="17">
        <f t="shared" ref="B56:C56" si="47">IF(B10=0,0,B10/B$3)</f>
        <v>1.3170521337499869E-2</v>
      </c>
      <c r="C56" s="17">
        <f t="shared" si="47"/>
        <v>1.2075745683418827E-2</v>
      </c>
      <c r="D56" s="17">
        <f t="shared" ref="D56:V56" si="48">IF(D10=0,0,D10/D$3)</f>
        <v>1.5077412831735592E-2</v>
      </c>
      <c r="E56" s="17">
        <f t="shared" si="48"/>
        <v>1.5552085925859991E-2</v>
      </c>
      <c r="F56" s="17">
        <f t="shared" si="48"/>
        <v>2.0232256561812857E-2</v>
      </c>
      <c r="G56" s="17">
        <f t="shared" si="48"/>
        <v>2.2372062935427466E-2</v>
      </c>
      <c r="H56" s="17">
        <f t="shared" si="48"/>
        <v>2.3424793383377742E-2</v>
      </c>
      <c r="I56" s="17">
        <f t="shared" si="48"/>
        <v>2.0287822684957244E-2</v>
      </c>
      <c r="J56" s="17">
        <f t="shared" si="48"/>
        <v>1.8454206617499393E-2</v>
      </c>
      <c r="K56" s="17">
        <f t="shared" si="48"/>
        <v>1.7410747624741135E-2</v>
      </c>
      <c r="L56" s="17">
        <f t="shared" si="48"/>
        <v>1.8442018589054275E-2</v>
      </c>
      <c r="M56" s="17">
        <f t="shared" si="48"/>
        <v>2.1436239477519037E-2</v>
      </c>
      <c r="N56" s="17">
        <f t="shared" si="48"/>
        <v>2.2268549039368955E-2</v>
      </c>
      <c r="O56" s="17">
        <f t="shared" si="48"/>
        <v>2.565827161946976E-2</v>
      </c>
      <c r="P56" s="17">
        <f t="shared" si="48"/>
        <v>2.7849908094766306E-2</v>
      </c>
      <c r="Q56" s="17">
        <f t="shared" si="48"/>
        <v>3.0635355492653036E-2</v>
      </c>
      <c r="R56" s="17">
        <f t="shared" si="48"/>
        <v>2.9635755322537313E-2</v>
      </c>
      <c r="S56" s="17">
        <f t="shared" si="48"/>
        <v>3.4593848950506788E-2</v>
      </c>
      <c r="T56" s="17">
        <f t="shared" si="48"/>
        <v>3.6737515035283212E-2</v>
      </c>
      <c r="U56" s="17">
        <f t="shared" si="48"/>
        <v>3.4768080455475893E-2</v>
      </c>
      <c r="V56" s="17">
        <f t="shared" si="48"/>
        <v>8.150342372187025E-2</v>
      </c>
      <c r="W56" s="17">
        <f t="shared" ref="W56" si="49">IF(W10=0,0,W10/W$3)</f>
        <v>7.5394548171883125E-2</v>
      </c>
      <c r="DA56" s="194"/>
    </row>
    <row r="57" spans="1:105" ht="11.45" customHeight="1" x14ac:dyDescent="0.25">
      <c r="A57" s="92" t="s">
        <v>27</v>
      </c>
      <c r="B57" s="104">
        <f t="shared" ref="B57:C57" si="50">IF(B11=0,0,B11/B$3)</f>
        <v>3.2841809965436058E-4</v>
      </c>
      <c r="C57" s="104">
        <f t="shared" si="50"/>
        <v>2.2026969665438496E-4</v>
      </c>
      <c r="D57" s="104">
        <f t="shared" ref="D57:V57" si="51">IF(D11=0,0,D11/D$3)</f>
        <v>2.2460831165989204E-4</v>
      </c>
      <c r="E57" s="104">
        <f t="shared" si="51"/>
        <v>2.411055753837937E-4</v>
      </c>
      <c r="F57" s="104">
        <f t="shared" si="51"/>
        <v>2.8717940754148887E-4</v>
      </c>
      <c r="G57" s="104">
        <f t="shared" si="51"/>
        <v>2.6564338789724376E-4</v>
      </c>
      <c r="H57" s="104">
        <f t="shared" si="51"/>
        <v>2.6406063929443433E-4</v>
      </c>
      <c r="I57" s="104">
        <f t="shared" si="51"/>
        <v>2.2057703919502257E-4</v>
      </c>
      <c r="J57" s="104">
        <f t="shared" si="51"/>
        <v>2.2028878617084047E-4</v>
      </c>
      <c r="K57" s="104">
        <f t="shared" si="51"/>
        <v>2.355233604307985E-4</v>
      </c>
      <c r="L57" s="104">
        <f t="shared" si="51"/>
        <v>1.7876266818317194E-4</v>
      </c>
      <c r="M57" s="104">
        <f t="shared" si="51"/>
        <v>1.5700356935331042E-4</v>
      </c>
      <c r="N57" s="104">
        <f t="shared" si="51"/>
        <v>1.1058718098483175E-4</v>
      </c>
      <c r="O57" s="104">
        <f t="shared" si="51"/>
        <v>9.0948033781311757E-5</v>
      </c>
      <c r="P57" s="104">
        <f t="shared" si="51"/>
        <v>6.0889144229934635E-5</v>
      </c>
      <c r="Q57" s="104">
        <f t="shared" si="51"/>
        <v>5.9986346628896638E-5</v>
      </c>
      <c r="R57" s="104">
        <f t="shared" si="51"/>
        <v>3.361522218324747E-5</v>
      </c>
      <c r="S57" s="104">
        <f t="shared" si="51"/>
        <v>2.6792221661691264E-5</v>
      </c>
      <c r="T57" s="104">
        <f t="shared" si="51"/>
        <v>2.5236517673359949E-5</v>
      </c>
      <c r="U57" s="104">
        <f t="shared" si="51"/>
        <v>4.9952559732994428E-6</v>
      </c>
      <c r="V57" s="104">
        <f t="shared" si="51"/>
        <v>1.4435546599125952E-5</v>
      </c>
      <c r="W57" s="104">
        <f t="shared" ref="W57" si="52">IF(W11=0,0,W11/W$3)</f>
        <v>1.4695018281899993E-5</v>
      </c>
      <c r="DA57" s="195"/>
    </row>
    <row r="58" spans="1:105" ht="11.45" customHeight="1" x14ac:dyDescent="0.25">
      <c r="A58" s="92" t="s">
        <v>173</v>
      </c>
      <c r="B58" s="104">
        <f t="shared" ref="B58:C58" si="53">IF(B12=0,0,B12/B$3)</f>
        <v>7.4383032965247287E-3</v>
      </c>
      <c r="C58" s="104">
        <f t="shared" si="53"/>
        <v>7.1285114992913614E-3</v>
      </c>
      <c r="D58" s="104">
        <f t="shared" ref="D58:V58" si="54">IF(D12=0,0,D12/D$3)</f>
        <v>9.4679129704607953E-3</v>
      </c>
      <c r="E58" s="104">
        <f t="shared" si="54"/>
        <v>9.7447655586155642E-3</v>
      </c>
      <c r="F58" s="104">
        <f t="shared" si="54"/>
        <v>1.4244235520125281E-2</v>
      </c>
      <c r="G58" s="104">
        <f t="shared" si="54"/>
        <v>1.4598003356295285E-2</v>
      </c>
      <c r="H58" s="104">
        <f t="shared" si="54"/>
        <v>1.5711005410358039E-2</v>
      </c>
      <c r="I58" s="104">
        <f t="shared" si="54"/>
        <v>1.3253838454118398E-2</v>
      </c>
      <c r="J58" s="104">
        <f t="shared" si="54"/>
        <v>1.2188483796920332E-2</v>
      </c>
      <c r="K58" s="104">
        <f t="shared" si="54"/>
        <v>1.2164205379279553E-2</v>
      </c>
      <c r="L58" s="104">
        <f t="shared" si="54"/>
        <v>1.3075358473605258E-2</v>
      </c>
      <c r="M58" s="104">
        <f t="shared" si="54"/>
        <v>1.3435830777689062E-2</v>
      </c>
      <c r="N58" s="104">
        <f t="shared" si="54"/>
        <v>1.2186218135636178E-2</v>
      </c>
      <c r="O58" s="104">
        <f t="shared" si="54"/>
        <v>1.3999830896661859E-2</v>
      </c>
      <c r="P58" s="104">
        <f t="shared" si="54"/>
        <v>1.5231618075515407E-2</v>
      </c>
      <c r="Q58" s="104">
        <f t="shared" si="54"/>
        <v>1.3464590907748365E-2</v>
      </c>
      <c r="R58" s="104">
        <f t="shared" si="54"/>
        <v>1.1070619436497009E-2</v>
      </c>
      <c r="S58" s="104">
        <f t="shared" si="54"/>
        <v>1.3442518342718219E-2</v>
      </c>
      <c r="T58" s="104">
        <f t="shared" si="54"/>
        <v>1.2273497572677631E-2</v>
      </c>
      <c r="U58" s="104">
        <f t="shared" si="54"/>
        <v>1.1190915025374261E-2</v>
      </c>
      <c r="V58" s="104">
        <f t="shared" si="54"/>
        <v>2.5665147740842754E-2</v>
      </c>
      <c r="W58" s="104">
        <f t="shared" ref="W58" si="55">IF(W12=0,0,W12/W$3)</f>
        <v>3.0137260409361016E-2</v>
      </c>
      <c r="DA58" s="195"/>
    </row>
    <row r="59" spans="1:105" ht="11.45" customHeight="1" x14ac:dyDescent="0.25">
      <c r="A59" s="85" t="s">
        <v>174</v>
      </c>
      <c r="B59" s="105">
        <f t="shared" ref="B59:C59" si="56">IF(B13=0,0,B13/B$3)</f>
        <v>5.4037999413207799E-3</v>
      </c>
      <c r="C59" s="105">
        <f t="shared" si="56"/>
        <v>4.726964487473082E-3</v>
      </c>
      <c r="D59" s="105">
        <f t="shared" ref="D59:V59" si="57">IF(D13=0,0,D13/D$3)</f>
        <v>5.3848915496149032E-3</v>
      </c>
      <c r="E59" s="105">
        <f t="shared" si="57"/>
        <v>5.5662147918606351E-3</v>
      </c>
      <c r="F59" s="105">
        <f t="shared" si="57"/>
        <v>5.7008416341460897E-3</v>
      </c>
      <c r="G59" s="105">
        <f t="shared" si="57"/>
        <v>7.5084161912349389E-3</v>
      </c>
      <c r="H59" s="105">
        <f t="shared" si="57"/>
        <v>7.4497273337252659E-3</v>
      </c>
      <c r="I59" s="105">
        <f t="shared" si="57"/>
        <v>6.8134071916438228E-3</v>
      </c>
      <c r="J59" s="105">
        <f t="shared" si="57"/>
        <v>6.0454340344082182E-3</v>
      </c>
      <c r="K59" s="105">
        <f t="shared" si="57"/>
        <v>5.0110188850307803E-3</v>
      </c>
      <c r="L59" s="105">
        <f t="shared" si="57"/>
        <v>5.1878974472658445E-3</v>
      </c>
      <c r="M59" s="105">
        <f t="shared" si="57"/>
        <v>7.8434051304766671E-3</v>
      </c>
      <c r="N59" s="105">
        <f t="shared" si="57"/>
        <v>9.9717437227479448E-3</v>
      </c>
      <c r="O59" s="105">
        <f t="shared" si="57"/>
        <v>1.1567492689026588E-2</v>
      </c>
      <c r="P59" s="105">
        <f t="shared" si="57"/>
        <v>1.2557400875020965E-2</v>
      </c>
      <c r="Q59" s="105">
        <f t="shared" si="57"/>
        <v>1.7110778238275774E-2</v>
      </c>
      <c r="R59" s="105">
        <f t="shared" si="57"/>
        <v>1.8531520663857055E-2</v>
      </c>
      <c r="S59" s="105">
        <f t="shared" si="57"/>
        <v>2.1124538386126879E-2</v>
      </c>
      <c r="T59" s="105">
        <f t="shared" si="57"/>
        <v>2.4438780944932223E-2</v>
      </c>
      <c r="U59" s="105">
        <f t="shared" si="57"/>
        <v>2.3572170174128333E-2</v>
      </c>
      <c r="V59" s="105">
        <f t="shared" si="57"/>
        <v>5.5823840434428368E-2</v>
      </c>
      <c r="W59" s="105">
        <f t="shared" ref="W59" si="58">IF(W13=0,0,W13/W$3)</f>
        <v>4.5242592744240209E-2</v>
      </c>
      <c r="DA59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DA2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67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DA3" s="172"/>
    </row>
    <row r="4" spans="1:105" ht="11.45" customHeight="1" x14ac:dyDescent="0.25">
      <c r="A4" s="10" t="s">
        <v>33</v>
      </c>
      <c r="B4" s="11">
        <f t="shared" ref="B4:C4" si="0">SUM(B5:B7)</f>
        <v>12543667</v>
      </c>
      <c r="C4" s="11">
        <f t="shared" si="0"/>
        <v>12231157</v>
      </c>
      <c r="D4" s="11">
        <f t="shared" ref="D4" si="1">SUM(D5:D7)</f>
        <v>12033857</v>
      </c>
      <c r="E4" s="11">
        <f t="shared" ref="E4" si="2">SUM(E5:E7)</f>
        <v>12703678</v>
      </c>
      <c r="F4" s="11">
        <f t="shared" ref="F4" si="3">SUM(F5:F7)</f>
        <v>14772165</v>
      </c>
      <c r="G4" s="11">
        <f t="shared" ref="G4" si="4">SUM(G5:G7)</f>
        <v>15377473</v>
      </c>
      <c r="H4" s="11">
        <f t="shared" ref="H4" si="5">SUM(H5:H7)</f>
        <v>15679592</v>
      </c>
      <c r="I4" s="11">
        <f t="shared" ref="I4" si="6">SUM(I5:I7)</f>
        <v>17196913</v>
      </c>
      <c r="J4" s="11">
        <f t="shared" ref="J4" si="7">SUM(J5:J7)</f>
        <v>17941698</v>
      </c>
      <c r="K4" s="11">
        <f t="shared" ref="K4" si="8">SUM(K5:K7)</f>
        <v>16466239</v>
      </c>
      <c r="L4" s="11">
        <f t="shared" ref="L4" si="9">SUM(L5:L7)</f>
        <v>17733202</v>
      </c>
      <c r="M4" s="11">
        <f t="shared" ref="M4" si="10">SUM(M5:M7)</f>
        <v>18506712</v>
      </c>
      <c r="N4" s="11">
        <f t="shared" ref="N4" si="11">SUM(N5:N7)</f>
        <v>18189610</v>
      </c>
      <c r="O4" s="11">
        <f t="shared" ref="O4" si="12">SUM(O5:O7)</f>
        <v>17592386</v>
      </c>
      <c r="P4" s="11">
        <f t="shared" ref="P4" si="13">SUM(P5:P7)</f>
        <v>18050465</v>
      </c>
      <c r="Q4" s="11">
        <f t="shared" ref="Q4" si="14">SUM(Q5:Q7)</f>
        <v>18445847</v>
      </c>
      <c r="R4" s="11">
        <f t="shared" ref="R4" si="15">SUM(R5:R7)</f>
        <v>18862882</v>
      </c>
      <c r="S4" s="11">
        <f t="shared" ref="S4" si="16">SUM(S5:S7)</f>
        <v>19402305</v>
      </c>
      <c r="T4" s="11">
        <f t="shared" ref="T4" si="17">SUM(T5:T7)</f>
        <v>20861207</v>
      </c>
      <c r="U4" s="11">
        <f t="shared" ref="U4" si="18">SUM(U5:U7)</f>
        <v>23415201</v>
      </c>
      <c r="V4" s="11">
        <f t="shared" ref="V4:W4" si="19">SUM(V5:V7)</f>
        <v>7825938</v>
      </c>
      <c r="W4" s="11">
        <f t="shared" si="19"/>
        <v>8996480</v>
      </c>
      <c r="DA4" s="189" t="s">
        <v>361</v>
      </c>
    </row>
    <row r="5" spans="1:105" ht="11.45" customHeight="1" x14ac:dyDescent="0.25">
      <c r="A5" s="83" t="s">
        <v>27</v>
      </c>
      <c r="B5" s="84">
        <v>992904</v>
      </c>
      <c r="C5" s="84">
        <v>1011278</v>
      </c>
      <c r="D5" s="84">
        <v>1023510</v>
      </c>
      <c r="E5" s="84">
        <v>1049368</v>
      </c>
      <c r="F5" s="84">
        <v>1065078</v>
      </c>
      <c r="G5" s="84">
        <v>1089750</v>
      </c>
      <c r="H5" s="84">
        <v>1251730</v>
      </c>
      <c r="I5" s="84">
        <v>1296184</v>
      </c>
      <c r="J5" s="84">
        <v>1387450</v>
      </c>
      <c r="K5" s="84">
        <v>1384182</v>
      </c>
      <c r="L5" s="84">
        <v>1461793</v>
      </c>
      <c r="M5" s="84">
        <v>1216415</v>
      </c>
      <c r="N5" s="84">
        <v>1128667</v>
      </c>
      <c r="O5" s="84">
        <v>1059139</v>
      </c>
      <c r="P5" s="84">
        <v>996939</v>
      </c>
      <c r="Q5" s="84">
        <v>957711</v>
      </c>
      <c r="R5" s="84">
        <v>881479</v>
      </c>
      <c r="S5" s="84">
        <v>910048</v>
      </c>
      <c r="T5" s="84">
        <v>895232</v>
      </c>
      <c r="U5" s="84">
        <v>839514</v>
      </c>
      <c r="V5" s="84">
        <v>272965</v>
      </c>
      <c r="W5" s="84">
        <v>276316</v>
      </c>
      <c r="DA5" s="171" t="s">
        <v>362</v>
      </c>
    </row>
    <row r="6" spans="1:105" ht="11.45" customHeight="1" x14ac:dyDescent="0.25">
      <c r="A6" s="83" t="s">
        <v>173</v>
      </c>
      <c r="B6" s="84">
        <v>7808126</v>
      </c>
      <c r="C6" s="84">
        <v>7723506</v>
      </c>
      <c r="D6" s="84">
        <v>7600085</v>
      </c>
      <c r="E6" s="84">
        <v>8306700</v>
      </c>
      <c r="F6" s="84">
        <v>9489757</v>
      </c>
      <c r="G6" s="84">
        <v>9807315</v>
      </c>
      <c r="H6" s="84">
        <v>10102742</v>
      </c>
      <c r="I6" s="84">
        <v>11418373</v>
      </c>
      <c r="J6" s="84">
        <v>11869059</v>
      </c>
      <c r="K6" s="84">
        <v>10645571</v>
      </c>
      <c r="L6" s="84">
        <v>11493833</v>
      </c>
      <c r="M6" s="84">
        <v>12139352</v>
      </c>
      <c r="N6" s="84">
        <v>11926859</v>
      </c>
      <c r="O6" s="84">
        <v>11363709</v>
      </c>
      <c r="P6" s="84">
        <v>11834096</v>
      </c>
      <c r="Q6" s="84">
        <v>12175650</v>
      </c>
      <c r="R6" s="84">
        <v>12853172</v>
      </c>
      <c r="S6" s="84">
        <v>13104040</v>
      </c>
      <c r="T6" s="84">
        <v>14049592</v>
      </c>
      <c r="U6" s="84">
        <v>15866808</v>
      </c>
      <c r="V6" s="84">
        <v>5555534</v>
      </c>
      <c r="W6" s="84">
        <v>5986515</v>
      </c>
      <c r="DA6" s="171" t="s">
        <v>363</v>
      </c>
    </row>
    <row r="7" spans="1:105" ht="11.45" customHeight="1" x14ac:dyDescent="0.25">
      <c r="A7" s="85" t="s">
        <v>174</v>
      </c>
      <c r="B7" s="86">
        <v>3742637</v>
      </c>
      <c r="C7" s="86">
        <v>3496373</v>
      </c>
      <c r="D7" s="86">
        <v>3410262</v>
      </c>
      <c r="E7" s="86">
        <v>3347610</v>
      </c>
      <c r="F7" s="86">
        <v>4217330</v>
      </c>
      <c r="G7" s="86">
        <v>4480408</v>
      </c>
      <c r="H7" s="86">
        <v>4325120</v>
      </c>
      <c r="I7" s="86">
        <v>4482356</v>
      </c>
      <c r="J7" s="86">
        <v>4685189</v>
      </c>
      <c r="K7" s="86">
        <v>4436486</v>
      </c>
      <c r="L7" s="86">
        <v>4777576</v>
      </c>
      <c r="M7" s="86">
        <v>5150945</v>
      </c>
      <c r="N7" s="86">
        <v>5134084</v>
      </c>
      <c r="O7" s="86">
        <v>5169538</v>
      </c>
      <c r="P7" s="86">
        <v>5219430</v>
      </c>
      <c r="Q7" s="86">
        <v>5312486</v>
      </c>
      <c r="R7" s="86">
        <v>5128231</v>
      </c>
      <c r="S7" s="86">
        <v>5388217</v>
      </c>
      <c r="T7" s="86">
        <v>5916383</v>
      </c>
      <c r="U7" s="86">
        <v>6708879</v>
      </c>
      <c r="V7" s="86">
        <v>1997439</v>
      </c>
      <c r="W7" s="86">
        <v>2733649</v>
      </c>
      <c r="DA7" s="178" t="s">
        <v>364</v>
      </c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68" t="s">
        <v>36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DA9" s="179"/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53" t="s">
        <v>68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DA11" s="172"/>
    </row>
    <row r="12" spans="1:105" ht="11.45" customHeight="1" x14ac:dyDescent="0.25">
      <c r="A12" s="10" t="s">
        <v>33</v>
      </c>
      <c r="B12" s="14">
        <f>IF(B4=0,0,B4/TrAvia_act!B24)</f>
        <v>96.306763303569369</v>
      </c>
      <c r="C12" s="14">
        <f>IF(C4=0,0,C4/TrAvia_act!C24)</f>
        <v>97.504480158160746</v>
      </c>
      <c r="D12" s="14">
        <f>IF(D4=0,0,D4/TrAvia_act!D24)</f>
        <v>95.178962937184622</v>
      </c>
      <c r="E12" s="14">
        <f>IF(E4=0,0,E4/TrAvia_act!E24)</f>
        <v>96.335590624028399</v>
      </c>
      <c r="F12" s="14">
        <f>IF(F4=0,0,F4/TrAvia_act!F24)</f>
        <v>101.00625641025641</v>
      </c>
      <c r="G12" s="14">
        <f>IF(G4=0,0,G4/TrAvia_act!G24)</f>
        <v>102.6773478449571</v>
      </c>
      <c r="H12" s="14">
        <f>IF(H4=0,0,H4/TrAvia_act!H24)</f>
        <v>104.69533399214765</v>
      </c>
      <c r="I12" s="14">
        <f>IF(I4=0,0,I4/TrAvia_act!I24)</f>
        <v>107.20331766554041</v>
      </c>
      <c r="J12" s="14">
        <f>IF(J4=0,0,J4/TrAvia_act!J24)</f>
        <v>106.90527206425627</v>
      </c>
      <c r="K12" s="14">
        <f>IF(K4=0,0,K4/TrAvia_act!K24)</f>
        <v>107.15951998229869</v>
      </c>
      <c r="L12" s="14">
        <f>IF(L4=0,0,L4/TrAvia_act!L24)</f>
        <v>114.76092232224329</v>
      </c>
      <c r="M12" s="14">
        <f>IF(M4=0,0,M4/TrAvia_act!M24)</f>
        <v>122.6154121365109</v>
      </c>
      <c r="N12" s="14">
        <f>IF(N4=0,0,N4/TrAvia_act!N24)</f>
        <v>123.76325941852474</v>
      </c>
      <c r="O12" s="14">
        <f>IF(O4=0,0,O4/TrAvia_act!O24)</f>
        <v>125.42517574253897</v>
      </c>
      <c r="P12" s="14">
        <f>IF(P4=0,0,P4/TrAvia_act!P24)</f>
        <v>128.50049832704491</v>
      </c>
      <c r="Q12" s="14">
        <f>IF(Q4=0,0,Q4/TrAvia_act!Q24)</f>
        <v>133.52236007759794</v>
      </c>
      <c r="R12" s="14">
        <f>IF(R4=0,0,R4/TrAvia_act!R24)</f>
        <v>138.82015013246982</v>
      </c>
      <c r="S12" s="14">
        <f>IF(S4=0,0,S4/TrAvia_act!S24)</f>
        <v>142.96992093376269</v>
      </c>
      <c r="T12" s="14">
        <f>IF(T4=0,0,T4/TrAvia_act!T24)</f>
        <v>145.10528915042499</v>
      </c>
      <c r="U12" s="14">
        <f>IF(U4=0,0,U4/TrAvia_act!U24)</f>
        <v>150.95478809133928</v>
      </c>
      <c r="V12" s="14">
        <f>IF(V4=0,0,V4/TrAvia_act!V24)</f>
        <v>148.09511013549314</v>
      </c>
      <c r="W12" s="14">
        <f>IF(W4=0,0,W4/TrAvia_act!W24)</f>
        <v>154.85008089779339</v>
      </c>
      <c r="DA12" s="189" t="s">
        <v>365</v>
      </c>
    </row>
    <row r="13" spans="1:105" ht="11.45" customHeight="1" x14ac:dyDescent="0.25">
      <c r="A13" s="83" t="s">
        <v>27</v>
      </c>
      <c r="B13" s="87">
        <f>IF(B5=0,0,B5/TrAvia_act!B25)</f>
        <v>47.095005454631696</v>
      </c>
      <c r="C13" s="87">
        <f>IF(C5=0,0,C5/TrAvia_act!C25)</f>
        <v>53.518099068585947</v>
      </c>
      <c r="D13" s="87">
        <f>IF(D5=0,0,D5/TrAvia_act!D25)</f>
        <v>50.416728239988181</v>
      </c>
      <c r="E13" s="87">
        <f>IF(E5=0,0,E5/TrAvia_act!E25)</f>
        <v>54.099499922668457</v>
      </c>
      <c r="F13" s="87">
        <f>IF(F5=0,0,F5/TrAvia_act!F25)</f>
        <v>56.198712536935417</v>
      </c>
      <c r="G13" s="87">
        <f>IF(G5=0,0,G5/TrAvia_act!G25)</f>
        <v>57.445967316816024</v>
      </c>
      <c r="H13" s="87">
        <f>IF(H5=0,0,H5/TrAvia_act!H25)</f>
        <v>63.805178917320831</v>
      </c>
      <c r="I13" s="87">
        <f>IF(I5=0,0,I5/TrAvia_act!I25)</f>
        <v>65.341735141402424</v>
      </c>
      <c r="J13" s="87">
        <f>IF(J5=0,0,J5/TrAvia_act!J25)</f>
        <v>67.41739552964043</v>
      </c>
      <c r="K13" s="87">
        <f>IF(K5=0,0,K5/TrAvia_act!K25)</f>
        <v>69.295719649561946</v>
      </c>
      <c r="L13" s="87">
        <f>IF(L5=0,0,L5/TrAvia_act!L25)</f>
        <v>73.55673526895788</v>
      </c>
      <c r="M13" s="87">
        <f>IF(M5=0,0,M5/TrAvia_act!M25)</f>
        <v>78.849743955402872</v>
      </c>
      <c r="N13" s="87">
        <f>IF(N5=0,0,N5/TrAvia_act!N25)</f>
        <v>72.583086816720254</v>
      </c>
      <c r="O13" s="87">
        <f>IF(O5=0,0,O5/TrAvia_act!O25)</f>
        <v>71.183480072585525</v>
      </c>
      <c r="P13" s="87">
        <f>IF(P5=0,0,P5/TrAvia_act!P25)</f>
        <v>71.393511887711256</v>
      </c>
      <c r="Q13" s="87">
        <f>IF(Q5=0,0,Q5/TrAvia_act!Q25)</f>
        <v>76.88752408477842</v>
      </c>
      <c r="R13" s="87">
        <f>IF(R5=0,0,R5/TrAvia_act!R25)</f>
        <v>79.930993833877409</v>
      </c>
      <c r="S13" s="87">
        <f>IF(S5=0,0,S5/TrAvia_act!S25)</f>
        <v>84.084634574517239</v>
      </c>
      <c r="T13" s="87">
        <f>IF(T5=0,0,T5/TrAvia_act!T25)</f>
        <v>84.575531412376009</v>
      </c>
      <c r="U13" s="87">
        <f>IF(U5=0,0,U5/TrAvia_act!U25)</f>
        <v>84.928072837632783</v>
      </c>
      <c r="V13" s="87">
        <f>IF(V5=0,0,V5/TrAvia_act!V25)</f>
        <v>83.911773747310178</v>
      </c>
      <c r="W13" s="87">
        <f>IF(W5=0,0,W5/TrAvia_act!W25)</f>
        <v>110.12993224392189</v>
      </c>
      <c r="DA13" s="171" t="s">
        <v>366</v>
      </c>
    </row>
    <row r="14" spans="1:105" ht="11.45" customHeight="1" x14ac:dyDescent="0.25">
      <c r="A14" s="83" t="s">
        <v>173</v>
      </c>
      <c r="B14" s="87">
        <f>IF(B6=0,0,B6/TrAvia_act!B26)</f>
        <v>99.923548457275956</v>
      </c>
      <c r="C14" s="87">
        <f>IF(C6=0,0,C6/TrAvia_act!C26)</f>
        <v>99.268752249241686</v>
      </c>
      <c r="D14" s="87">
        <f>IF(D6=0,0,D6/TrAvia_act!D26)</f>
        <v>97.241257980731092</v>
      </c>
      <c r="E14" s="87">
        <f>IF(E6=0,0,E6/TrAvia_act!E26)</f>
        <v>97.978320614288577</v>
      </c>
      <c r="F14" s="87">
        <f>IF(F6=0,0,F6/TrAvia_act!F26)</f>
        <v>100.61128486763288</v>
      </c>
      <c r="G14" s="87">
        <f>IF(G6=0,0,G6/TrAvia_act!G26)</f>
        <v>101.35502573324239</v>
      </c>
      <c r="H14" s="87">
        <f>IF(H6=0,0,H6/TrAvia_act!H26)</f>
        <v>102.7254720530367</v>
      </c>
      <c r="I14" s="87">
        <f>IF(I6=0,0,I6/TrAvia_act!I26)</f>
        <v>106.67887139720652</v>
      </c>
      <c r="J14" s="87">
        <f>IF(J6=0,0,J6/TrAvia_act!J26)</f>
        <v>107.05480341664487</v>
      </c>
      <c r="K14" s="87">
        <f>IF(K6=0,0,K6/TrAvia_act!K26)</f>
        <v>107.2958363990042</v>
      </c>
      <c r="L14" s="87">
        <f>IF(L6=0,0,L6/TrAvia_act!L26)</f>
        <v>115.81038217779883</v>
      </c>
      <c r="M14" s="87">
        <f>IF(M6=0,0,M6/TrAvia_act!M26)</f>
        <v>122.44656041960863</v>
      </c>
      <c r="N14" s="87">
        <f>IF(N6=0,0,N6/TrAvia_act!N26)</f>
        <v>125.15067156348374</v>
      </c>
      <c r="O14" s="87">
        <f>IF(O6=0,0,O6/TrAvia_act!O26)</f>
        <v>127.61616467892999</v>
      </c>
      <c r="P14" s="87">
        <f>IF(P6=0,0,P6/TrAvia_act!P26)</f>
        <v>129.8480984880072</v>
      </c>
      <c r="Q14" s="87">
        <f>IF(Q6=0,0,Q6/TrAvia_act!Q26)</f>
        <v>133.68083003952569</v>
      </c>
      <c r="R14" s="87">
        <f>IF(R6=0,0,R6/TrAvia_act!R26)</f>
        <v>138.83313890689135</v>
      </c>
      <c r="S14" s="87">
        <f>IF(S6=0,0,S6/TrAvia_act!S26)</f>
        <v>142.56848793437342</v>
      </c>
      <c r="T14" s="87">
        <f>IF(T6=0,0,T6/TrAvia_act!T26)</f>
        <v>143.6769271674882</v>
      </c>
      <c r="U14" s="87">
        <f>IF(U6=0,0,U6/TrAvia_act!U26)</f>
        <v>148.81643218908272</v>
      </c>
      <c r="V14" s="87">
        <f>IF(V6=0,0,V6/TrAvia_act!V26)</f>
        <v>148.28993166773435</v>
      </c>
      <c r="W14" s="87">
        <f>IF(W6=0,0,W6/TrAvia_act!W26)</f>
        <v>151.7186628820518</v>
      </c>
      <c r="DA14" s="171" t="s">
        <v>367</v>
      </c>
    </row>
    <row r="15" spans="1:105" ht="11.45" customHeight="1" x14ac:dyDescent="0.25">
      <c r="A15" s="85" t="s">
        <v>174</v>
      </c>
      <c r="B15" s="88">
        <f>IF(B7=0,0,B7/TrAvia_act!B27)</f>
        <v>120.64071817683654</v>
      </c>
      <c r="C15" s="88">
        <f>IF(C7=0,0,C7/TrAvia_act!C27)</f>
        <v>121.6468234639204</v>
      </c>
      <c r="D15" s="88">
        <f>IF(D7=0,0,D7/TrAvia_act!D27)</f>
        <v>121.89955676293967</v>
      </c>
      <c r="E15" s="88">
        <f>IF(E7=0,0,E7/TrAvia_act!E27)</f>
        <v>120.8916254378679</v>
      </c>
      <c r="F15" s="88">
        <f>IF(F7=0,0,F7/TrAvia_act!F27)</f>
        <v>127.88701215999029</v>
      </c>
      <c r="G15" s="88">
        <f>IF(G7=0,0,G7/TrAvia_act!G27)</f>
        <v>131.64892898069522</v>
      </c>
      <c r="H15" s="88">
        <f>IF(H7=0,0,H7/TrAvia_act!H27)</f>
        <v>136.01434007358722</v>
      </c>
      <c r="I15" s="88">
        <f>IF(I7=0,0,I7/TrAvia_act!I27)</f>
        <v>133.63413034404627</v>
      </c>
      <c r="J15" s="88">
        <f>IF(J7=0,0,J7/TrAvia_act!J27)</f>
        <v>128.78828444981994</v>
      </c>
      <c r="K15" s="88">
        <f>IF(K7=0,0,K7/TrAvia_act!K27)</f>
        <v>128.70944907017901</v>
      </c>
      <c r="L15" s="88">
        <f>IF(L7=0,0,L7/TrAvia_act!L27)</f>
        <v>134.94833771149337</v>
      </c>
      <c r="M15" s="88">
        <f>IF(M7=0,0,M7/TrAvia_act!M27)</f>
        <v>141.64178078424902</v>
      </c>
      <c r="N15" s="88">
        <f>IF(N7=0,0,N7/TrAvia_act!N27)</f>
        <v>142.13571052850142</v>
      </c>
      <c r="O15" s="88">
        <f>IF(O7=0,0,O7/TrAvia_act!O27)</f>
        <v>142.26650521507003</v>
      </c>
      <c r="P15" s="88">
        <f>IF(P7=0,0,P7/TrAvia_act!P27)</f>
        <v>147.5749264872201</v>
      </c>
      <c r="Q15" s="88">
        <f>IF(Q7=0,0,Q7/TrAvia_act!Q27)</f>
        <v>153.48682537848146</v>
      </c>
      <c r="R15" s="88">
        <f>IF(R7=0,0,R7/TrAvia_act!R27)</f>
        <v>158.90651338621714</v>
      </c>
      <c r="S15" s="88">
        <f>IF(S7=0,0,S7/TrAvia_act!S27)</f>
        <v>163.41796069392211</v>
      </c>
      <c r="T15" s="88">
        <f>IF(T7=0,0,T7/TrAvia_act!T27)</f>
        <v>167.1530724678627</v>
      </c>
      <c r="U15" s="88">
        <f>IF(U7=0,0,U7/TrAvia_act!U27)</f>
        <v>173.76464036882592</v>
      </c>
      <c r="V15" s="88">
        <f>IF(V7=0,0,V7/TrAvia_act!V27)</f>
        <v>164.7100684423188</v>
      </c>
      <c r="W15" s="88">
        <f>IF(W7=0,0,W7/TrAvia_act!W27)</f>
        <v>169.46556320128946</v>
      </c>
      <c r="DA15" s="178" t="s">
        <v>368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69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DA17" s="183"/>
    </row>
    <row r="18" spans="1:105" ht="11.45" customHeight="1" x14ac:dyDescent="0.25">
      <c r="A18" s="10" t="s">
        <v>33</v>
      </c>
      <c r="B18" s="25">
        <f>IF(TrAvia_act!B34=0,0,(TrAvia_act!B34/TrAvia_act!B24)/TrAvia_png!B12)</f>
        <v>0.61202756737722719</v>
      </c>
      <c r="C18" s="25">
        <f>IF(TrAvia_act!C34=0,0,(TrAvia_act!C34/TrAvia_act!C24)/TrAvia_png!C12)</f>
        <v>0.6246664972087268</v>
      </c>
      <c r="D18" s="25">
        <f>IF(TrAvia_act!D34=0,0,(TrAvia_act!D34/TrAvia_act!D24)/TrAvia_png!D12)</f>
        <v>0.65654976621377503</v>
      </c>
      <c r="E18" s="25">
        <f>IF(TrAvia_act!E34=0,0,(TrAvia_act!E34/TrAvia_act!E24)/TrAvia_png!E12)</f>
        <v>0.65673964658109241</v>
      </c>
      <c r="F18" s="25">
        <f>IF(TrAvia_act!F34=0,0,(TrAvia_act!F34/TrAvia_act!F24)/TrAvia_png!F12)</f>
        <v>0.65185834303908741</v>
      </c>
      <c r="G18" s="25">
        <f>IF(TrAvia_act!G34=0,0,(TrAvia_act!G34/TrAvia_act!G24)/TrAvia_png!G12)</f>
        <v>0.66900868562734606</v>
      </c>
      <c r="H18" s="25">
        <f>IF(TrAvia_act!H34=0,0,(TrAvia_act!H34/TrAvia_act!H24)/TrAvia_png!H12)</f>
        <v>0.69415855973803398</v>
      </c>
      <c r="I18" s="25">
        <f>IF(TrAvia_act!I34=0,0,(TrAvia_act!I34/TrAvia_act!I24)/TrAvia_png!I12)</f>
        <v>0.6950295672252339</v>
      </c>
      <c r="J18" s="25">
        <f>IF(TrAvia_act!J34=0,0,(TrAvia_act!J34/TrAvia_act!J24)/TrAvia_png!J12)</f>
        <v>0.69526674677056766</v>
      </c>
      <c r="K18" s="25">
        <f>IF(TrAvia_act!K34=0,0,(TrAvia_act!K34/TrAvia_act!K24)/TrAvia_png!K12)</f>
        <v>0.6931151673433138</v>
      </c>
      <c r="L18" s="25">
        <f>IF(TrAvia_act!L34=0,0,(TrAvia_act!L34/TrAvia_act!L24)/TrAvia_png!L12)</f>
        <v>0.69237247734503893</v>
      </c>
      <c r="M18" s="25">
        <f>IF(TrAvia_act!M34=0,0,(TrAvia_act!M34/TrAvia_act!M24)/TrAvia_png!M12)</f>
        <v>0.70437039275264024</v>
      </c>
      <c r="N18" s="25">
        <f>IF(TrAvia_act!N34=0,0,(TrAvia_act!N34/TrAvia_act!N24)/TrAvia_png!N12)</f>
        <v>0.73720860425264756</v>
      </c>
      <c r="O18" s="25">
        <f>IF(TrAvia_act!O34=0,0,(TrAvia_act!O34/TrAvia_act!O24)/TrAvia_png!O12)</f>
        <v>0.75461600262750028</v>
      </c>
      <c r="P18" s="25">
        <f>IF(TrAvia_act!P34=0,0,(TrAvia_act!P34/TrAvia_act!P24)/TrAvia_png!P12)</f>
        <v>0.75552796008302281</v>
      </c>
      <c r="Q18" s="25">
        <f>IF(TrAvia_act!Q34=0,0,(TrAvia_act!Q34/TrAvia_act!Q24)/TrAvia_png!Q12)</f>
        <v>0.74970956877176742</v>
      </c>
      <c r="R18" s="25">
        <f>IF(TrAvia_act!R34=0,0,(TrAvia_act!R34/TrAvia_act!R24)/TrAvia_png!R12)</f>
        <v>0.74223371592951704</v>
      </c>
      <c r="S18" s="25">
        <f>IF(TrAvia_act!S34=0,0,(TrAvia_act!S34/TrAvia_act!S24)/TrAvia_png!S12)</f>
        <v>0.75219377285327693</v>
      </c>
      <c r="T18" s="25">
        <f>IF(TrAvia_act!T34=0,0,(TrAvia_act!T34/TrAvia_act!T24)/TrAvia_png!T12)</f>
        <v>0.76843506706011788</v>
      </c>
      <c r="U18" s="25">
        <f>IF(TrAvia_act!U34=0,0,(TrAvia_act!U34/TrAvia_act!U24)/TrAvia_png!U12)</f>
        <v>0.77857298769290939</v>
      </c>
      <c r="V18" s="25">
        <f>IF(TrAvia_act!V34=0,0,(TrAvia_act!V34/TrAvia_act!V24)/TrAvia_png!V12)</f>
        <v>0.59798058711939706</v>
      </c>
      <c r="W18" s="25">
        <f>IF(TrAvia_act!W34=0,0,(TrAvia_act!W34/TrAvia_act!W24)/TrAvia_png!W12)</f>
        <v>0.62776285836238177</v>
      </c>
      <c r="DA18" s="190"/>
    </row>
    <row r="19" spans="1:105" ht="11.45" customHeight="1" x14ac:dyDescent="0.25">
      <c r="A19" s="83" t="s">
        <v>27</v>
      </c>
      <c r="B19" s="89">
        <f>IF(TrAvia_act!B35=0,0,(TrAvia_act!B35/TrAvia_act!B25)/TrAvia_png!B13)</f>
        <v>0.54910847372958516</v>
      </c>
      <c r="C19" s="89">
        <f>IF(TrAvia_act!C35=0,0,(TrAvia_act!C35/TrAvia_act!C25)/TrAvia_png!C13)</f>
        <v>0.55260076853249052</v>
      </c>
      <c r="D19" s="89">
        <f>IF(TrAvia_act!D35=0,0,(TrAvia_act!D35/TrAvia_act!D25)/TrAvia_png!D13)</f>
        <v>0.55649383005539754</v>
      </c>
      <c r="E19" s="89">
        <f>IF(TrAvia_act!E35=0,0,(TrAvia_act!E35/TrAvia_act!E25)/TrAvia_png!E13)</f>
        <v>0.55857239786233237</v>
      </c>
      <c r="F19" s="89">
        <f>IF(TrAvia_act!F35=0,0,(TrAvia_act!F35/TrAvia_act!F25)/TrAvia_png!F13)</f>
        <v>0.57417954365783541</v>
      </c>
      <c r="G19" s="89">
        <f>IF(TrAvia_act!G35=0,0,(TrAvia_act!G35/TrAvia_act!G25)/TrAvia_png!G13)</f>
        <v>0.55465932553337927</v>
      </c>
      <c r="H19" s="89">
        <f>IF(TrAvia_act!H35=0,0,(TrAvia_act!H35/TrAvia_act!H25)/TrAvia_png!H13)</f>
        <v>0.60133974579182414</v>
      </c>
      <c r="I19" s="89">
        <f>IF(TrAvia_act!I35=0,0,(TrAvia_act!I35/TrAvia_act!I25)/TrAvia_png!I13)</f>
        <v>0.61109610981157003</v>
      </c>
      <c r="J19" s="89">
        <f>IF(TrAvia_act!J35=0,0,(TrAvia_act!J35/TrAvia_act!J25)/TrAvia_png!J13)</f>
        <v>0.58704169519622318</v>
      </c>
      <c r="K19" s="89">
        <f>IF(TrAvia_act!K35=0,0,(TrAvia_act!K35/TrAvia_act!K25)/TrAvia_png!K13)</f>
        <v>0.5692177762750853</v>
      </c>
      <c r="L19" s="89">
        <f>IF(TrAvia_act!L35=0,0,(TrAvia_act!L35/TrAvia_act!L25)/TrAvia_png!L13)</f>
        <v>0.58655226834442364</v>
      </c>
      <c r="M19" s="89">
        <f>IF(TrAvia_act!M35=0,0,(TrAvia_act!M35/TrAvia_act!M25)/TrAvia_png!M13)</f>
        <v>0.59697225042440283</v>
      </c>
      <c r="N19" s="89">
        <f>IF(TrAvia_act!N35=0,0,(TrAvia_act!N35/TrAvia_act!N25)/TrAvia_png!N13)</f>
        <v>0.6105698137714668</v>
      </c>
      <c r="O19" s="89">
        <f>IF(TrAvia_act!O35=0,0,(TrAvia_act!O35/TrAvia_act!O25)/TrAvia_png!O13)</f>
        <v>0.6138873179063371</v>
      </c>
      <c r="P19" s="89">
        <f>IF(TrAvia_act!P35=0,0,(TrAvia_act!P35/TrAvia_act!P25)/TrAvia_png!P13)</f>
        <v>0.61523423198410343</v>
      </c>
      <c r="Q19" s="89">
        <f>IF(TrAvia_act!Q35=0,0,(TrAvia_act!Q35/TrAvia_act!Q25)/TrAvia_png!Q13)</f>
        <v>0.58966953496409669</v>
      </c>
      <c r="R19" s="89">
        <f>IF(TrAvia_act!R35=0,0,(TrAvia_act!R35/TrAvia_act!R25)/TrAvia_png!R13)</f>
        <v>0.59179742228686094</v>
      </c>
      <c r="S19" s="89">
        <f>IF(TrAvia_act!S35=0,0,(TrAvia_act!S35/TrAvia_act!S25)/TrAvia_png!S13)</f>
        <v>0.60674382010619221</v>
      </c>
      <c r="T19" s="89">
        <f>IF(TrAvia_act!T35=0,0,(TrAvia_act!T35/TrAvia_act!T25)/TrAvia_png!T13)</f>
        <v>0.67370245925078642</v>
      </c>
      <c r="U19" s="89">
        <f>IF(TrAvia_act!U35=0,0,(TrAvia_act!U35/TrAvia_act!U25)/TrAvia_png!U13)</f>
        <v>0.66978275526078179</v>
      </c>
      <c r="V19" s="89">
        <f>IF(TrAvia_act!V35=0,0,(TrAvia_act!V35/TrAvia_act!V25)/TrAvia_png!V13)</f>
        <v>0.53742054842195885</v>
      </c>
      <c r="W19" s="89">
        <f>IF(TrAvia_act!W35=0,0,(TrAvia_act!W35/TrAvia_act!W25)/TrAvia_png!W13)</f>
        <v>0.42123872667525586</v>
      </c>
      <c r="DA19" s="191"/>
    </row>
    <row r="20" spans="1:105" ht="11.45" customHeight="1" x14ac:dyDescent="0.25">
      <c r="A20" s="83" t="s">
        <v>173</v>
      </c>
      <c r="B20" s="89">
        <f>IF(TrAvia_act!B36=0,0,(TrAvia_act!B36/TrAvia_act!B26)/TrAvia_png!B14)</f>
        <v>0.61834926844162097</v>
      </c>
      <c r="C20" s="89">
        <f>IF(TrAvia_act!C36=0,0,(TrAvia_act!C36/TrAvia_act!C26)/TrAvia_png!C14)</f>
        <v>0.62559619944621003</v>
      </c>
      <c r="D20" s="89">
        <f>IF(TrAvia_act!D36=0,0,(TrAvia_act!D36/TrAvia_act!D26)/TrAvia_png!D14)</f>
        <v>0.65966380639163902</v>
      </c>
      <c r="E20" s="89">
        <f>IF(TrAvia_act!E36=0,0,(TrAvia_act!E36/TrAvia_act!E26)/TrAvia_png!E14)</f>
        <v>0.65870177085966752</v>
      </c>
      <c r="F20" s="89">
        <f>IF(TrAvia_act!F36=0,0,(TrAvia_act!F36/TrAvia_act!F26)/TrAvia_png!F14)</f>
        <v>0.65346141107722766</v>
      </c>
      <c r="G20" s="89">
        <f>IF(TrAvia_act!G36=0,0,(TrAvia_act!G36/TrAvia_act!G26)/TrAvia_png!G14)</f>
        <v>0.67153966197679993</v>
      </c>
      <c r="H20" s="89">
        <f>IF(TrAvia_act!H36=0,0,(TrAvia_act!H36/TrAvia_act!H26)/TrAvia_png!H14)</f>
        <v>0.70479044204038854</v>
      </c>
      <c r="I20" s="89">
        <f>IF(TrAvia_act!I36=0,0,(TrAvia_act!I36/TrAvia_act!I26)/TrAvia_png!I14)</f>
        <v>0.69416045525925629</v>
      </c>
      <c r="J20" s="89">
        <f>IF(TrAvia_act!J36=0,0,(TrAvia_act!J36/TrAvia_act!J26)/TrAvia_png!J14)</f>
        <v>0.69698634070316778</v>
      </c>
      <c r="K20" s="89">
        <f>IF(TrAvia_act!K36=0,0,(TrAvia_act!K36/TrAvia_act!K26)/TrAvia_png!K14)</f>
        <v>0.7044871524505355</v>
      </c>
      <c r="L20" s="89">
        <f>IF(TrAvia_act!L36=0,0,(TrAvia_act!L36/TrAvia_act!L26)/TrAvia_png!L14)</f>
        <v>0.6957781620804826</v>
      </c>
      <c r="M20" s="89">
        <f>IF(TrAvia_act!M36=0,0,(TrAvia_act!M36/TrAvia_act!M26)/TrAvia_png!M14)</f>
        <v>0.7117382377576662</v>
      </c>
      <c r="N20" s="89">
        <f>IF(TrAvia_act!N36=0,0,(TrAvia_act!N36/TrAvia_act!N26)/TrAvia_png!N14)</f>
        <v>0.74208439958919603</v>
      </c>
      <c r="O20" s="89">
        <f>IF(TrAvia_act!O36=0,0,(TrAvia_act!O36/TrAvia_act!O26)/TrAvia_png!O14)</f>
        <v>0.76377184597036052</v>
      </c>
      <c r="P20" s="89">
        <f>IF(TrAvia_act!P36=0,0,(TrAvia_act!P36/TrAvia_act!P26)/TrAvia_png!P14)</f>
        <v>0.76435251159023887</v>
      </c>
      <c r="Q20" s="89">
        <f>IF(TrAvia_act!Q36=0,0,(TrAvia_act!Q36/TrAvia_act!Q26)/TrAvia_png!Q14)</f>
        <v>0.76006291245231261</v>
      </c>
      <c r="R20" s="89">
        <f>IF(TrAvia_act!R36=0,0,(TrAvia_act!R36/TrAvia_act!R26)/TrAvia_png!R14)</f>
        <v>0.7518183838199628</v>
      </c>
      <c r="S20" s="89">
        <f>IF(TrAvia_act!S36=0,0,(TrAvia_act!S36/TrAvia_act!S26)/TrAvia_png!S14)</f>
        <v>0.76200293955146658</v>
      </c>
      <c r="T20" s="89">
        <f>IF(TrAvia_act!T36=0,0,(TrAvia_act!T36/TrAvia_act!T26)/TrAvia_png!T14)</f>
        <v>0.77155920257328459</v>
      </c>
      <c r="U20" s="89">
        <f>IF(TrAvia_act!U36=0,0,(TrAvia_act!U36/TrAvia_act!U26)/TrAvia_png!U14)</f>
        <v>0.78047405628151545</v>
      </c>
      <c r="V20" s="89">
        <f>IF(TrAvia_act!V36=0,0,(TrAvia_act!V36/TrAvia_act!V26)/TrAvia_png!V14)</f>
        <v>0.59833978155835243</v>
      </c>
      <c r="W20" s="89">
        <f>IF(TrAvia_act!W36=0,0,(TrAvia_act!W36/TrAvia_act!W26)/TrAvia_png!W14)</f>
        <v>0.63961770746419244</v>
      </c>
      <c r="DA20" s="191"/>
    </row>
    <row r="21" spans="1:105" ht="11.45" customHeight="1" x14ac:dyDescent="0.25">
      <c r="A21" s="85" t="s">
        <v>174</v>
      </c>
      <c r="B21" s="90">
        <f>IF(TrAvia_act!B37=0,0,(TrAvia_act!B37/TrAvia_act!B27)/TrAvia_png!B15)</f>
        <v>0.61553097455083139</v>
      </c>
      <c r="C21" s="90">
        <f>IF(TrAvia_act!C37=0,0,(TrAvia_act!C37/TrAvia_act!C27)/TrAvia_png!C15)</f>
        <v>0.64345680509487968</v>
      </c>
      <c r="D21" s="90">
        <f>IF(TrAvia_act!D37=0,0,(TrAvia_act!D37/TrAvia_act!D27)/TrAvia_png!D15)</f>
        <v>0.67963927698223769</v>
      </c>
      <c r="E21" s="90">
        <f>IF(TrAvia_act!E37=0,0,(TrAvia_act!E37/TrAvia_act!E27)/TrAvia_png!E15)</f>
        <v>0.68264313943380506</v>
      </c>
      <c r="F21" s="90">
        <f>IF(TrAvia_act!F37=0,0,(TrAvia_act!F37/TrAvia_act!F27)/TrAvia_png!F15)</f>
        <v>0.66786877005119349</v>
      </c>
      <c r="G21" s="90">
        <f>IF(TrAvia_act!G37=0,0,(TrAvia_act!G37/TrAvia_act!G27)/TrAvia_png!G15)</f>
        <v>0.69128124045845818</v>
      </c>
      <c r="H21" s="90">
        <f>IF(TrAvia_act!H37=0,0,(TrAvia_act!H37/TrAvia_act!H27)/TrAvia_png!H15)</f>
        <v>0.69618692660550463</v>
      </c>
      <c r="I21" s="90">
        <f>IF(TrAvia_act!I37=0,0,(TrAvia_act!I37/TrAvia_act!I27)/TrAvia_png!I15)</f>
        <v>0.72151498006851755</v>
      </c>
      <c r="J21" s="90">
        <f>IF(TrAvia_act!J37=0,0,(TrAvia_act!J37/TrAvia_act!J27)/TrAvia_png!J15)</f>
        <v>0.72295973545570957</v>
      </c>
      <c r="K21" s="90">
        <f>IF(TrAvia_act!K37=0,0,(TrAvia_act!K37/TrAvia_act!K27)/TrAvia_png!K15)</f>
        <v>0.70448345830461312</v>
      </c>
      <c r="L21" s="90">
        <f>IF(TrAvia_act!L37=0,0,(TrAvia_act!L37/TrAvia_act!L27)/TrAvia_png!L15)</f>
        <v>0.71655688993749134</v>
      </c>
      <c r="M21" s="90">
        <f>IF(TrAvia_act!M37=0,0,(TrAvia_act!M37/TrAvia_act!M27)/TrAvia_png!M15)</f>
        <v>0.71236889541627801</v>
      </c>
      <c r="N21" s="90">
        <f>IF(TrAvia_act!N37=0,0,(TrAvia_act!N37/TrAvia_act!N27)/TrAvia_png!N15)</f>
        <v>0.75372179341047019</v>
      </c>
      <c r="O21" s="90">
        <f>IF(TrAvia_act!O37=0,0,(TrAvia_act!O37/TrAvia_act!O27)/TrAvia_png!O15)</f>
        <v>0.76332217695275673</v>
      </c>
      <c r="P21" s="90">
        <f>IF(TrAvia_act!P37=0,0,(TrAvia_act!P37/TrAvia_act!P27)/TrAvia_png!P15)</f>
        <v>0.76231676639019963</v>
      </c>
      <c r="Q21" s="90">
        <f>IF(TrAvia_act!Q37=0,0,(TrAvia_act!Q37/TrAvia_act!Q27)/TrAvia_png!Q15)</f>
        <v>0.75483210685166979</v>
      </c>
      <c r="R21" s="90">
        <f>IF(TrAvia_act!R37=0,0,(TrAvia_act!R37/TrAvia_act!R27)/TrAvia_png!R15)</f>
        <v>0.74406925117062794</v>
      </c>
      <c r="S21" s="90">
        <f>IF(TrAvia_act!S37=0,0,(TrAvia_act!S37/TrAvia_act!S27)/TrAvia_png!S15)</f>
        <v>0.75290397547092114</v>
      </c>
      <c r="T21" s="90">
        <f>IF(TrAvia_act!T37=0,0,(TrAvia_act!T37/TrAvia_act!T27)/TrAvia_png!T15)</f>
        <v>0.77535058159689796</v>
      </c>
      <c r="U21" s="90">
        <f>IF(TrAvia_act!U37=0,0,(TrAvia_act!U37/TrAvia_act!U27)/TrAvia_png!U15)</f>
        <v>0.78769031309105431</v>
      </c>
      <c r="V21" s="90">
        <f>IF(TrAvia_act!V37=0,0,(TrAvia_act!V37/TrAvia_act!V27)/TrAvia_png!V15)</f>
        <v>0.60525753227007173</v>
      </c>
      <c r="W21" s="90">
        <f>IF(TrAvia_act!W37=0,0,(TrAvia_act!W37/TrAvia_act!W27)/TrAvia_png!W15)</f>
        <v>0.62267686890306684</v>
      </c>
      <c r="DA21" s="192"/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70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DA23" s="172"/>
    </row>
    <row r="24" spans="1:105" ht="11.45" customHeight="1" x14ac:dyDescent="0.25">
      <c r="A24" s="10" t="s">
        <v>33</v>
      </c>
      <c r="B24" s="23">
        <f>IF(TrAvia_ene!B6=0,0,TrAvia_ene!B6/(B12*TrAvia_act!B14))</f>
        <v>4.3115427780212316E-2</v>
      </c>
      <c r="C24" s="23">
        <f>IF(TrAvia_ene!C6=0,0,TrAvia_ene!C6/(C12*TrAvia_act!C14))</f>
        <v>4.3161185924615673E-2</v>
      </c>
      <c r="D24" s="23">
        <f>IF(TrAvia_ene!D6=0,0,TrAvia_ene!D6/(D12*TrAvia_act!D14))</f>
        <v>4.1726220897806053E-2</v>
      </c>
      <c r="E24" s="23">
        <f>IF(TrAvia_ene!E6=0,0,TrAvia_ene!E6/(E12*TrAvia_act!E14))</f>
        <v>3.7609211632320158E-2</v>
      </c>
      <c r="F24" s="23">
        <f>IF(TrAvia_ene!F6=0,0,TrAvia_ene!F6/(F12*TrAvia_act!F14))</f>
        <v>3.6868167994689609E-2</v>
      </c>
      <c r="G24" s="23">
        <f>IF(TrAvia_ene!G6=0,0,TrAvia_ene!G6/(G12*TrAvia_act!G14))</f>
        <v>3.8418185983362427E-2</v>
      </c>
      <c r="H24" s="23">
        <f>IF(TrAvia_ene!H6=0,0,TrAvia_ene!H6/(H12*TrAvia_act!H14))</f>
        <v>3.9615537022996965E-2</v>
      </c>
      <c r="I24" s="23">
        <f>IF(TrAvia_ene!I6=0,0,TrAvia_ene!I6/(I12*TrAvia_act!I14))</f>
        <v>3.9532712654827613E-2</v>
      </c>
      <c r="J24" s="23">
        <f>IF(TrAvia_ene!J6=0,0,TrAvia_ene!J6/(J12*TrAvia_act!J14))</f>
        <v>3.8623471257646175E-2</v>
      </c>
      <c r="K24" s="23">
        <f>IF(TrAvia_ene!K6=0,0,TrAvia_ene!K6/(K12*TrAvia_act!K14))</f>
        <v>3.7372801107828035E-2</v>
      </c>
      <c r="L24" s="23">
        <f>IF(TrAvia_ene!L6=0,0,TrAvia_ene!L6/(L12*TrAvia_act!L14))</f>
        <v>3.6916195335236247E-2</v>
      </c>
      <c r="M24" s="23">
        <f>IF(TrAvia_ene!M6=0,0,TrAvia_ene!M6/(M12*TrAvia_act!M14))</f>
        <v>3.5847669464365732E-2</v>
      </c>
      <c r="N24" s="23">
        <f>IF(TrAvia_ene!N6=0,0,TrAvia_ene!N6/(N12*TrAvia_act!N14))</f>
        <v>3.5490837540114756E-2</v>
      </c>
      <c r="O24" s="23">
        <f>IF(TrAvia_ene!O6=0,0,TrAvia_ene!O6/(O12*TrAvia_act!O14))</f>
        <v>3.4664313553579927E-2</v>
      </c>
      <c r="P24" s="23">
        <f>IF(TrAvia_ene!P6=0,0,TrAvia_ene!P6/(P12*TrAvia_act!P14))</f>
        <v>3.2436243721709238E-2</v>
      </c>
      <c r="Q24" s="23">
        <f>IF(TrAvia_ene!Q6=0,0,TrAvia_ene!Q6/(Q12*TrAvia_act!Q14))</f>
        <v>3.2850302143743439E-2</v>
      </c>
      <c r="R24" s="23">
        <f>IF(TrAvia_ene!R6=0,0,TrAvia_ene!R6/(R12*TrAvia_act!R14))</f>
        <v>3.4350039780749381E-2</v>
      </c>
      <c r="S24" s="23">
        <f>IF(TrAvia_ene!S6=0,0,TrAvia_ene!S6/(S12*TrAvia_act!S14))</f>
        <v>3.2007836674974741E-2</v>
      </c>
      <c r="T24" s="23">
        <f>IF(TrAvia_ene!T6=0,0,TrAvia_ene!T6/(T12*TrAvia_act!T14))</f>
        <v>3.1998611288058337E-2</v>
      </c>
      <c r="U24" s="23">
        <f>IF(TrAvia_ene!U6=0,0,TrAvia_ene!U6/(U12*TrAvia_act!U14))</f>
        <v>3.1106461101882234E-2</v>
      </c>
      <c r="V24" s="23">
        <f>IF(TrAvia_ene!V6=0,0,TrAvia_ene!V6/(V12*TrAvia_act!V14))</f>
        <v>3.1476081836031941E-2</v>
      </c>
      <c r="W24" s="23">
        <f>IF(TrAvia_ene!W6=0,0,TrAvia_ene!W6/(W12*TrAvia_act!W14))</f>
        <v>3.2865165709767732E-2</v>
      </c>
      <c r="DA24" s="189"/>
    </row>
    <row r="25" spans="1:105" ht="11.45" customHeight="1" x14ac:dyDescent="0.25">
      <c r="A25" s="83" t="s">
        <v>27</v>
      </c>
      <c r="B25" s="91">
        <f>IF(TrAvia_ene!B7=0,0,TrAvia_ene!B7/(B13*TrAvia_act!B15))</f>
        <v>0.13045779328060053</v>
      </c>
      <c r="C25" s="91">
        <f>IF(TrAvia_ene!C7=0,0,TrAvia_ene!C7/(C13*TrAvia_act!C15))</f>
        <v>0.1207515259178419</v>
      </c>
      <c r="D25" s="91">
        <f>IF(TrAvia_ene!D7=0,0,TrAvia_ene!D7/(D13*TrAvia_act!D15))</f>
        <v>0.12301274637673767</v>
      </c>
      <c r="E25" s="91">
        <f>IF(TrAvia_ene!E7=0,0,TrAvia_ene!E7/(E13*TrAvia_act!E15))</f>
        <v>0.11637999461400109</v>
      </c>
      <c r="F25" s="91">
        <f>IF(TrAvia_ene!F7=0,0,TrAvia_ene!F7/(F13*TrAvia_act!F15))</f>
        <v>0.12163215985172735</v>
      </c>
      <c r="G25" s="91">
        <f>IF(TrAvia_ene!G7=0,0,TrAvia_ene!G7/(G13*TrAvia_act!G15))</f>
        <v>0.11893339400035076</v>
      </c>
      <c r="H25" s="91">
        <f>IF(TrAvia_ene!H7=0,0,TrAvia_ene!H7/(H13*TrAvia_act!H15))</f>
        <v>0.10782601995422256</v>
      </c>
      <c r="I25" s="91">
        <f>IF(TrAvia_ene!I7=0,0,TrAvia_ene!I7/(I13*TrAvia_act!I15))</f>
        <v>0.10406881889210438</v>
      </c>
      <c r="J25" s="91">
        <f>IF(TrAvia_ene!J7=0,0,TrAvia_ene!J7/(J13*TrAvia_act!J15))</f>
        <v>9.1922127945270049E-2</v>
      </c>
      <c r="K25" s="91">
        <f>IF(TrAvia_ene!K7=0,0,TrAvia_ene!K7/(K13*TrAvia_act!K15))</f>
        <v>8.7591885453249599E-2</v>
      </c>
      <c r="L25" s="91">
        <f>IF(TrAvia_ene!L7=0,0,TrAvia_ene!L7/(L13*TrAvia_act!L15))</f>
        <v>8.1056680347196999E-2</v>
      </c>
      <c r="M25" s="91">
        <f>IF(TrAvia_ene!M7=0,0,TrAvia_ene!M7/(M13*TrAvia_act!M15))</f>
        <v>9.7453381639272044E-2</v>
      </c>
      <c r="N25" s="91">
        <f>IF(TrAvia_ene!N7=0,0,TrAvia_ene!N7/(N13*TrAvia_act!N15))</f>
        <v>0.1033373853476965</v>
      </c>
      <c r="O25" s="91">
        <f>IF(TrAvia_ene!O7=0,0,TrAvia_ene!O7/(O13*TrAvia_act!O15))</f>
        <v>0.1108084289734691</v>
      </c>
      <c r="P25" s="91">
        <f>IF(TrAvia_ene!P7=0,0,TrAvia_ene!P7/(P13*TrAvia_act!P15))</f>
        <v>0.11426205908362702</v>
      </c>
      <c r="Q25" s="91">
        <f>IF(TrAvia_ene!Q7=0,0,TrAvia_ene!Q7/(Q13*TrAvia_act!Q15))</f>
        <v>0.11616336286419218</v>
      </c>
      <c r="R25" s="91">
        <f>IF(TrAvia_ene!R7=0,0,TrAvia_ene!R7/(R13*TrAvia_act!R15))</f>
        <v>0.11936960209865502</v>
      </c>
      <c r="S25" s="91">
        <f>IF(TrAvia_ene!S7=0,0,TrAvia_ene!S7/(S13*TrAvia_act!S15))</f>
        <v>0.10894069932188138</v>
      </c>
      <c r="T25" s="91">
        <f>IF(TrAvia_ene!T7=0,0,TrAvia_ene!T7/(T13*TrAvia_act!T15))</f>
        <v>0.11517583671456172</v>
      </c>
      <c r="U25" s="91">
        <f>IF(TrAvia_ene!U7=0,0,TrAvia_ene!U7/(U13*TrAvia_act!U15))</f>
        <v>0.10058807721533131</v>
      </c>
      <c r="V25" s="91">
        <f>IF(TrAvia_ene!V7=0,0,TrAvia_ene!V7/(V13*TrAvia_act!V15))</f>
        <v>0.20264567161447508</v>
      </c>
      <c r="W25" s="91">
        <f>IF(TrAvia_ene!W7=0,0,TrAvia_ene!W7/(W13*TrAvia_act!W15))</f>
        <v>0.21073239921180092</v>
      </c>
      <c r="DA25" s="171"/>
    </row>
    <row r="26" spans="1:105" ht="11.45" customHeight="1" x14ac:dyDescent="0.25">
      <c r="A26" s="92" t="s">
        <v>173</v>
      </c>
      <c r="B26" s="93">
        <f>IF(TrAvia_ene!B8=0,0,TrAvia_ene!B8/(B14*TrAvia_act!B16))</f>
        <v>3.3004615078990981E-2</v>
      </c>
      <c r="C26" s="93">
        <f>IF(TrAvia_ene!C8=0,0,TrAvia_ene!C8/(C14*TrAvia_act!C16))</f>
        <v>3.3860936313547717E-2</v>
      </c>
      <c r="D26" s="93">
        <f>IF(TrAvia_ene!D8=0,0,TrAvia_ene!D8/(D14*TrAvia_act!D16))</f>
        <v>3.2591790866495551E-2</v>
      </c>
      <c r="E26" s="93">
        <f>IF(TrAvia_ene!E8=0,0,TrAvia_ene!E8/(E14*TrAvia_act!E16))</f>
        <v>2.9647622810683984E-2</v>
      </c>
      <c r="F26" s="93">
        <f>IF(TrAvia_ene!F8=0,0,TrAvia_ene!F8/(F14*TrAvia_act!F16))</f>
        <v>2.9537864226720466E-2</v>
      </c>
      <c r="G26" s="93">
        <f>IF(TrAvia_ene!G8=0,0,TrAvia_ene!G8/(G14*TrAvia_act!G16))</f>
        <v>3.2408182002637002E-2</v>
      </c>
      <c r="H26" s="93">
        <f>IF(TrAvia_ene!H8=0,0,TrAvia_ene!H8/(H14*TrAvia_act!H16))</f>
        <v>3.3369738571757346E-2</v>
      </c>
      <c r="I26" s="93">
        <f>IF(TrAvia_ene!I8=0,0,TrAvia_ene!I8/(I14*TrAvia_act!I16))</f>
        <v>3.2126051341592597E-2</v>
      </c>
      <c r="J26" s="93">
        <f>IF(TrAvia_ene!J8=0,0,TrAvia_ene!J8/(J14*TrAvia_act!J16))</f>
        <v>3.0896705662369749E-2</v>
      </c>
      <c r="K26" s="93">
        <f>IF(TrAvia_ene!K8=0,0,TrAvia_ene!K8/(K14*TrAvia_act!K16))</f>
        <v>2.937761868073142E-2</v>
      </c>
      <c r="L26" s="93">
        <f>IF(TrAvia_ene!L8=0,0,TrAvia_ene!L8/(L14*TrAvia_act!L16))</f>
        <v>2.8894145669027177E-2</v>
      </c>
      <c r="M26" s="93">
        <f>IF(TrAvia_ene!M8=0,0,TrAvia_ene!M8/(M14*TrAvia_act!M16))</f>
        <v>2.8594119851124266E-2</v>
      </c>
      <c r="N26" s="93">
        <f>IF(TrAvia_ene!N8=0,0,TrAvia_ene!N8/(N14*TrAvia_act!N16))</f>
        <v>2.7719319484109824E-2</v>
      </c>
      <c r="O26" s="93">
        <f>IF(TrAvia_ene!O8=0,0,TrAvia_ene!O8/(O14*TrAvia_act!O16))</f>
        <v>2.7405557683398293E-2</v>
      </c>
      <c r="P26" s="93">
        <f>IF(TrAvia_ene!P8=0,0,TrAvia_ene!P8/(P14*TrAvia_act!P16))</f>
        <v>2.6160751634306957E-2</v>
      </c>
      <c r="Q26" s="93">
        <f>IF(TrAvia_ene!Q8=0,0,TrAvia_ene!Q8/(Q14*TrAvia_act!Q16))</f>
        <v>2.7035855652574534E-2</v>
      </c>
      <c r="R26" s="93">
        <f>IF(TrAvia_ene!R8=0,0,TrAvia_ene!R8/(R14*TrAvia_act!R16))</f>
        <v>2.8546485180274868E-2</v>
      </c>
      <c r="S26" s="93">
        <f>IF(TrAvia_ene!S8=0,0,TrAvia_ene!S8/(S14*TrAvia_act!S16))</f>
        <v>2.7549304644886044E-2</v>
      </c>
      <c r="T26" s="93">
        <f>IF(TrAvia_ene!T8=0,0,TrAvia_ene!T8/(T14*TrAvia_act!T16))</f>
        <v>2.8308518292781294E-2</v>
      </c>
      <c r="U26" s="93">
        <f>IF(TrAvia_ene!U8=0,0,TrAvia_ene!U8/(U14*TrAvia_act!U16))</f>
        <v>2.75006471942865E-2</v>
      </c>
      <c r="V26" s="93">
        <f>IF(TrAvia_ene!V8=0,0,TrAvia_ene!V8/(V14*TrAvia_act!V16))</f>
        <v>2.1424230102861E-2</v>
      </c>
      <c r="W26" s="93">
        <f>IF(TrAvia_ene!W8=0,0,TrAvia_ene!W8/(W14*TrAvia_act!W16))</f>
        <v>2.5636422946044731E-2</v>
      </c>
      <c r="DA26" s="175"/>
    </row>
    <row r="27" spans="1:105" ht="11.45" customHeight="1" x14ac:dyDescent="0.25">
      <c r="A27" s="85" t="s">
        <v>174</v>
      </c>
      <c r="B27" s="94">
        <f>IF(TrAvia_ene!B9=0,0,TrAvia_ene!B9/(B15*TrAvia_act!B17))</f>
        <v>4.0469466745608217E-2</v>
      </c>
      <c r="C27" s="94">
        <f>IF(TrAvia_ene!C9=0,0,TrAvia_ene!C9/(C15*TrAvia_act!C17))</f>
        <v>4.0958961157064169E-2</v>
      </c>
      <c r="D27" s="94">
        <f>IF(TrAvia_ene!D9=0,0,TrAvia_ene!D9/(D15*TrAvia_act!D17))</f>
        <v>3.861477461454902E-2</v>
      </c>
      <c r="E27" s="94">
        <f>IF(TrAvia_ene!E9=0,0,TrAvia_ene!E9/(E15*TrAvia_act!E17))</f>
        <v>3.5631088236981905E-2</v>
      </c>
      <c r="F27" s="94">
        <f>IF(TrAvia_ene!F9=0,0,TrAvia_ene!F9/(F15*TrAvia_act!F17))</f>
        <v>3.4400838137232256E-2</v>
      </c>
      <c r="G27" s="94">
        <f>IF(TrAvia_ene!G9=0,0,TrAvia_ene!G9/(G15*TrAvia_act!G17))</f>
        <v>3.4075176122179099E-2</v>
      </c>
      <c r="H27" s="94">
        <f>IF(TrAvia_ene!H9=0,0,TrAvia_ene!H9/(H15*TrAvia_act!H17))</f>
        <v>3.5236527390321917E-2</v>
      </c>
      <c r="I27" s="94">
        <f>IF(TrAvia_ene!I9=0,0,TrAvia_ene!I9/(I15*TrAvia_act!I17))</f>
        <v>3.8050014917319283E-2</v>
      </c>
      <c r="J27" s="94">
        <f>IF(TrAvia_ene!J9=0,0,TrAvia_ene!J9/(J15*TrAvia_act!J17))</f>
        <v>3.8900976379152338E-2</v>
      </c>
      <c r="K27" s="94">
        <f>IF(TrAvia_ene!K9=0,0,TrAvia_ene!K9/(K15*TrAvia_act!K17))</f>
        <v>3.7938523638290124E-2</v>
      </c>
      <c r="L27" s="94">
        <f>IF(TrAvia_ene!L9=0,0,TrAvia_ene!L9/(L15*TrAvia_act!L17))</f>
        <v>3.8390416577522762E-2</v>
      </c>
      <c r="M27" s="94">
        <f>IF(TrAvia_ene!M9=0,0,TrAvia_ene!M9/(M15*TrAvia_act!M17))</f>
        <v>3.7027167283599179E-2</v>
      </c>
      <c r="N27" s="94">
        <f>IF(TrAvia_ene!N9=0,0,TrAvia_ene!N9/(N15*TrAvia_act!N17))</f>
        <v>3.711830698294772E-2</v>
      </c>
      <c r="O27" s="94">
        <f>IF(TrAvia_ene!O9=0,0,TrAvia_ene!O9/(O15*TrAvia_act!O17))</f>
        <v>3.5649476583351478E-2</v>
      </c>
      <c r="P27" s="94">
        <f>IF(TrAvia_ene!P9=0,0,TrAvia_ene!P9/(P15*TrAvia_act!P17))</f>
        <v>3.2495958928102725E-2</v>
      </c>
      <c r="Q27" s="94">
        <f>IF(TrAvia_ene!Q9=0,0,TrAvia_ene!Q9/(Q15*TrAvia_act!Q17))</f>
        <v>3.2595772542980149E-2</v>
      </c>
      <c r="R27" s="94">
        <f>IF(TrAvia_ene!R9=0,0,TrAvia_ene!R9/(R15*TrAvia_act!R17))</f>
        <v>3.453917285250923E-2</v>
      </c>
      <c r="S27" s="94">
        <f>IF(TrAvia_ene!S9=0,0,TrAvia_ene!S9/(S15*TrAvia_act!S17))</f>
        <v>3.1251717957621175E-2</v>
      </c>
      <c r="T27" s="94">
        <f>IF(TrAvia_ene!T9=0,0,TrAvia_ene!T9/(T15*TrAvia_act!T17))</f>
        <v>3.033566692715323E-2</v>
      </c>
      <c r="U27" s="94">
        <f>IF(TrAvia_ene!U9=0,0,TrAvia_ene!U9/(U15*TrAvia_act!U17))</f>
        <v>2.9983589148753327E-2</v>
      </c>
      <c r="V27" s="94">
        <f>IF(TrAvia_ene!V9=0,0,TrAvia_ene!V9/(V15*TrAvia_act!V17))</f>
        <v>3.7100492828633549E-2</v>
      </c>
      <c r="W27" s="94">
        <f>IF(TrAvia_ene!W9=0,0,TrAvia_ene!W9/(W15*TrAvia_act!W17))</f>
        <v>3.6195371370678776E-2</v>
      </c>
      <c r="DA27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DA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997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150</v>
      </c>
      <c r="B3" s="54">
        <f t="shared" ref="B3:Q3" si="0">SUM(B4:B5)</f>
        <v>2444</v>
      </c>
      <c r="C3" s="54">
        <f t="shared" si="0"/>
        <v>2557</v>
      </c>
      <c r="D3" s="54">
        <f t="shared" si="0"/>
        <v>2846</v>
      </c>
      <c r="E3" s="54">
        <f t="shared" si="0"/>
        <v>2276</v>
      </c>
      <c r="F3" s="54">
        <f t="shared" si="0"/>
        <v>1747</v>
      </c>
      <c r="G3" s="54">
        <f t="shared" si="0"/>
        <v>1753</v>
      </c>
      <c r="H3" s="54">
        <f t="shared" si="0"/>
        <v>1837</v>
      </c>
      <c r="I3" s="54">
        <f t="shared" si="0"/>
        <v>2597</v>
      </c>
      <c r="J3" s="54">
        <f t="shared" si="0"/>
        <v>2359</v>
      </c>
      <c r="K3" s="54">
        <f t="shared" si="0"/>
        <v>2003</v>
      </c>
      <c r="L3" s="54">
        <f t="shared" si="0"/>
        <v>2375</v>
      </c>
      <c r="M3" s="54">
        <f t="shared" si="0"/>
        <v>2123</v>
      </c>
      <c r="N3" s="54">
        <f t="shared" si="0"/>
        <v>2191</v>
      </c>
      <c r="O3" s="54">
        <f t="shared" si="0"/>
        <v>2353</v>
      </c>
      <c r="P3" s="54">
        <f t="shared" si="0"/>
        <v>2177</v>
      </c>
      <c r="Q3" s="54">
        <f t="shared" si="0"/>
        <v>1806</v>
      </c>
      <c r="R3" s="54">
        <f t="shared" ref="R3:V3" si="1">SUM(R4:R5)</f>
        <v>1962</v>
      </c>
      <c r="S3" s="54">
        <f t="shared" si="1"/>
        <v>2021.9999999999998</v>
      </c>
      <c r="T3" s="54">
        <f t="shared" si="1"/>
        <v>1489</v>
      </c>
      <c r="U3" s="54">
        <f t="shared" si="1"/>
        <v>1715</v>
      </c>
      <c r="V3" s="54">
        <f t="shared" si="1"/>
        <v>1606</v>
      </c>
      <c r="W3" s="54">
        <f t="shared" ref="W3" si="2">SUM(W4:W5)</f>
        <v>1506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384</v>
      </c>
    </row>
    <row r="4" spans="1:105" ht="11.45" customHeight="1" x14ac:dyDescent="0.25">
      <c r="A4" s="55" t="s">
        <v>30</v>
      </c>
      <c r="B4" s="56">
        <v>0</v>
      </c>
      <c r="C4" s="56">
        <v>0</v>
      </c>
      <c r="D4" s="56">
        <v>0</v>
      </c>
      <c r="E4" s="56">
        <v>0</v>
      </c>
      <c r="F4" s="56">
        <v>0</v>
      </c>
      <c r="G4" s="56">
        <v>0</v>
      </c>
      <c r="H4" s="56">
        <v>0</v>
      </c>
      <c r="I4" s="56">
        <v>0</v>
      </c>
      <c r="J4" s="56">
        <v>0</v>
      </c>
      <c r="K4" s="56">
        <v>0</v>
      </c>
      <c r="L4" s="56">
        <v>0</v>
      </c>
      <c r="M4" s="56">
        <v>0</v>
      </c>
      <c r="N4" s="56">
        <v>0</v>
      </c>
      <c r="O4" s="56">
        <v>0</v>
      </c>
      <c r="P4" s="56">
        <v>0</v>
      </c>
      <c r="Q4" s="56">
        <v>0</v>
      </c>
      <c r="R4" s="56">
        <v>0</v>
      </c>
      <c r="S4" s="56">
        <v>0</v>
      </c>
      <c r="T4" s="56">
        <v>0</v>
      </c>
      <c r="U4" s="56">
        <v>0</v>
      </c>
      <c r="V4" s="56">
        <v>0</v>
      </c>
      <c r="W4" s="56">
        <v>0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385</v>
      </c>
    </row>
    <row r="5" spans="1:105" ht="11.45" customHeight="1" x14ac:dyDescent="0.25">
      <c r="A5" s="57" t="s">
        <v>31</v>
      </c>
      <c r="B5" s="58">
        <v>2444</v>
      </c>
      <c r="C5" s="58">
        <v>2557</v>
      </c>
      <c r="D5" s="58">
        <v>2846</v>
      </c>
      <c r="E5" s="58">
        <v>2276</v>
      </c>
      <c r="F5" s="58">
        <v>1747</v>
      </c>
      <c r="G5" s="58">
        <v>1753</v>
      </c>
      <c r="H5" s="58">
        <v>1837</v>
      </c>
      <c r="I5" s="58">
        <v>2597</v>
      </c>
      <c r="J5" s="58">
        <v>2359</v>
      </c>
      <c r="K5" s="58">
        <v>2003</v>
      </c>
      <c r="L5" s="58">
        <v>2375</v>
      </c>
      <c r="M5" s="58">
        <v>2123</v>
      </c>
      <c r="N5" s="58">
        <v>2191</v>
      </c>
      <c r="O5" s="58">
        <v>2353</v>
      </c>
      <c r="P5" s="58">
        <v>2177</v>
      </c>
      <c r="Q5" s="58">
        <v>1806</v>
      </c>
      <c r="R5" s="58">
        <v>1962</v>
      </c>
      <c r="S5" s="58">
        <v>2021.9999999999998</v>
      </c>
      <c r="T5" s="58">
        <v>1489</v>
      </c>
      <c r="U5" s="58">
        <v>1715</v>
      </c>
      <c r="V5" s="58">
        <v>1606</v>
      </c>
      <c r="W5" s="58">
        <v>1506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386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53" t="s">
        <v>165</v>
      </c>
      <c r="B7" s="59">
        <f t="shared" ref="B7:Q7" si="3">SUM(B8:B9)</f>
        <v>1.919</v>
      </c>
      <c r="C7" s="59">
        <f t="shared" si="3"/>
        <v>2.02</v>
      </c>
      <c r="D7" s="59">
        <f t="shared" si="3"/>
        <v>2.1890000000000001</v>
      </c>
      <c r="E7" s="59">
        <f t="shared" si="3"/>
        <v>1.8520000000000001</v>
      </c>
      <c r="F7" s="59">
        <f t="shared" si="3"/>
        <v>1.782</v>
      </c>
      <c r="G7" s="59">
        <f t="shared" si="3"/>
        <v>1.7769999999999999</v>
      </c>
      <c r="H7" s="59">
        <f t="shared" si="3"/>
        <v>1.772</v>
      </c>
      <c r="I7" s="59">
        <f t="shared" si="3"/>
        <v>2.137</v>
      </c>
      <c r="J7" s="59">
        <f t="shared" si="3"/>
        <v>1.982</v>
      </c>
      <c r="K7" s="59">
        <f t="shared" si="3"/>
        <v>1.7629999999999999</v>
      </c>
      <c r="L7" s="59">
        <f t="shared" si="3"/>
        <v>2.0190000000000001</v>
      </c>
      <c r="M7" s="59">
        <f t="shared" si="3"/>
        <v>1.8740000000000001</v>
      </c>
      <c r="N7" s="59">
        <f t="shared" si="3"/>
        <v>1.8720000000000001</v>
      </c>
      <c r="O7" s="59">
        <f t="shared" si="3"/>
        <v>2.0009999999999999</v>
      </c>
      <c r="P7" s="59">
        <f t="shared" si="3"/>
        <v>1.94</v>
      </c>
      <c r="Q7" s="59">
        <f t="shared" si="3"/>
        <v>1.704</v>
      </c>
      <c r="R7" s="59">
        <f t="shared" ref="R7:V7" si="4">SUM(R8:R9)</f>
        <v>1.827</v>
      </c>
      <c r="S7" s="59">
        <f t="shared" si="4"/>
        <v>1.877</v>
      </c>
      <c r="T7" s="59">
        <f t="shared" si="4"/>
        <v>1.5760000000000001</v>
      </c>
      <c r="U7" s="59">
        <f t="shared" si="4"/>
        <v>1.631</v>
      </c>
      <c r="V7" s="59">
        <f t="shared" si="4"/>
        <v>1.5720000000000001</v>
      </c>
      <c r="W7" s="59">
        <f t="shared" ref="W7" si="5">SUM(W8:W9)</f>
        <v>1.454</v>
      </c>
      <c r="X7" s="59"/>
      <c r="Y7" s="59"/>
      <c r="Z7" s="59"/>
      <c r="AA7" s="59"/>
      <c r="AB7" s="59"/>
      <c r="AC7" s="59"/>
      <c r="AD7" s="59"/>
      <c r="AE7" s="59"/>
      <c r="AF7" s="59"/>
      <c r="AG7" s="59"/>
      <c r="DA7" s="172" t="s">
        <v>998</v>
      </c>
    </row>
    <row r="8" spans="1:105" ht="11.45" customHeight="1" x14ac:dyDescent="0.25">
      <c r="A8" s="55" t="s">
        <v>30</v>
      </c>
      <c r="B8" s="60">
        <v>0</v>
      </c>
      <c r="C8" s="60">
        <v>0</v>
      </c>
      <c r="D8" s="60">
        <v>0</v>
      </c>
      <c r="E8" s="60">
        <v>0</v>
      </c>
      <c r="F8" s="60">
        <v>0</v>
      </c>
      <c r="G8" s="60">
        <v>0</v>
      </c>
      <c r="H8" s="60">
        <v>0</v>
      </c>
      <c r="I8" s="60">
        <v>0</v>
      </c>
      <c r="J8" s="60">
        <v>0</v>
      </c>
      <c r="K8" s="60">
        <v>0</v>
      </c>
      <c r="L8" s="60">
        <v>0</v>
      </c>
      <c r="M8" s="60">
        <v>0</v>
      </c>
      <c r="N8" s="60">
        <v>0</v>
      </c>
      <c r="O8" s="60">
        <v>0</v>
      </c>
      <c r="P8" s="60">
        <v>0</v>
      </c>
      <c r="Q8" s="60">
        <v>0</v>
      </c>
      <c r="R8" s="60">
        <v>0</v>
      </c>
      <c r="S8" s="60">
        <v>0</v>
      </c>
      <c r="T8" s="60">
        <v>0</v>
      </c>
      <c r="U8" s="60">
        <v>0</v>
      </c>
      <c r="V8" s="60">
        <v>0</v>
      </c>
      <c r="W8" s="60">
        <v>0</v>
      </c>
      <c r="X8" s="60"/>
      <c r="Y8" s="60"/>
      <c r="Z8" s="60"/>
      <c r="AA8" s="60"/>
      <c r="AB8" s="60"/>
      <c r="AC8" s="60"/>
      <c r="AD8" s="60"/>
      <c r="AE8" s="60"/>
      <c r="AF8" s="60"/>
      <c r="AG8" s="60"/>
      <c r="DA8" s="181" t="s">
        <v>999</v>
      </c>
    </row>
    <row r="9" spans="1:105" ht="11.45" customHeight="1" x14ac:dyDescent="0.25">
      <c r="A9" s="57" t="s">
        <v>31</v>
      </c>
      <c r="B9" s="61">
        <v>1.919</v>
      </c>
      <c r="C9" s="61">
        <v>2.02</v>
      </c>
      <c r="D9" s="61">
        <v>2.1890000000000001</v>
      </c>
      <c r="E9" s="61">
        <v>1.8520000000000001</v>
      </c>
      <c r="F9" s="61">
        <v>1.782</v>
      </c>
      <c r="G9" s="61">
        <v>1.7769999999999999</v>
      </c>
      <c r="H9" s="61">
        <v>1.772</v>
      </c>
      <c r="I9" s="61">
        <v>2.137</v>
      </c>
      <c r="J9" s="61">
        <v>1.982</v>
      </c>
      <c r="K9" s="61">
        <v>1.7629999999999999</v>
      </c>
      <c r="L9" s="61">
        <v>2.0190000000000001</v>
      </c>
      <c r="M9" s="61">
        <v>1.8740000000000001</v>
      </c>
      <c r="N9" s="61">
        <v>1.8720000000000001</v>
      </c>
      <c r="O9" s="61">
        <v>2.0009999999999999</v>
      </c>
      <c r="P9" s="61">
        <v>1.94</v>
      </c>
      <c r="Q9" s="61">
        <v>1.704</v>
      </c>
      <c r="R9" s="61">
        <v>1.827</v>
      </c>
      <c r="S9" s="61">
        <v>1.877</v>
      </c>
      <c r="T9" s="61">
        <v>1.5760000000000001</v>
      </c>
      <c r="U9" s="61">
        <v>1.631</v>
      </c>
      <c r="V9" s="61">
        <v>1.5720000000000001</v>
      </c>
      <c r="W9" s="61">
        <v>1.454</v>
      </c>
      <c r="X9" s="61"/>
      <c r="Y9" s="61"/>
      <c r="Z9" s="61"/>
      <c r="AA9" s="61"/>
      <c r="AB9" s="61"/>
      <c r="AC9" s="61"/>
      <c r="AD9" s="61"/>
      <c r="AE9" s="61"/>
      <c r="AF9" s="61"/>
      <c r="AG9" s="61"/>
      <c r="DA9" s="182" t="s">
        <v>1000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144</v>
      </c>
      <c r="B13" s="62">
        <f t="shared" ref="B13:E15" si="6">IF(B3=0,0,B3/B7)</f>
        <v>1273.5799895779051</v>
      </c>
      <c r="C13" s="62">
        <f t="shared" si="6"/>
        <v>1265.8415841584158</v>
      </c>
      <c r="D13" s="62">
        <f t="shared" si="6"/>
        <v>1300.1370488807675</v>
      </c>
      <c r="E13" s="62">
        <f t="shared" si="6"/>
        <v>1228.9416846652268</v>
      </c>
      <c r="F13" s="62">
        <f t="shared" ref="F13:V13" si="7">IF(F3=0,0,F3/F7)</f>
        <v>980.35914702581363</v>
      </c>
      <c r="G13" s="62">
        <f t="shared" si="7"/>
        <v>986.49409116488471</v>
      </c>
      <c r="H13" s="62">
        <f t="shared" si="7"/>
        <v>1036.6817155756207</v>
      </c>
      <c r="I13" s="62">
        <f t="shared" si="7"/>
        <v>1215.2550304164718</v>
      </c>
      <c r="J13" s="62">
        <f t="shared" si="7"/>
        <v>1190.2119071644804</v>
      </c>
      <c r="K13" s="62">
        <f t="shared" si="7"/>
        <v>1136.1315938740784</v>
      </c>
      <c r="L13" s="62">
        <f t="shared" si="7"/>
        <v>1176.3249133234274</v>
      </c>
      <c r="M13" s="62">
        <f t="shared" si="7"/>
        <v>1132.8708644610458</v>
      </c>
      <c r="N13" s="62">
        <f t="shared" si="7"/>
        <v>1170.4059829059829</v>
      </c>
      <c r="O13" s="62">
        <f t="shared" si="7"/>
        <v>1175.9120439780111</v>
      </c>
      <c r="P13" s="62">
        <f t="shared" si="7"/>
        <v>1122.1649484536083</v>
      </c>
      <c r="Q13" s="62">
        <f t="shared" si="7"/>
        <v>1059.8591549295775</v>
      </c>
      <c r="R13" s="62">
        <f t="shared" si="7"/>
        <v>1073.8916256157636</v>
      </c>
      <c r="S13" s="62">
        <f t="shared" si="7"/>
        <v>1077.2509323388385</v>
      </c>
      <c r="T13" s="62">
        <f t="shared" si="7"/>
        <v>944.79695431472078</v>
      </c>
      <c r="U13" s="62">
        <f t="shared" si="7"/>
        <v>1051.5021459227469</v>
      </c>
      <c r="V13" s="62">
        <f t="shared" si="7"/>
        <v>1021.6284987277353</v>
      </c>
      <c r="W13" s="62">
        <f t="shared" ref="W13" si="8">IF(W3=0,0,W3/W7)</f>
        <v>1035.7634112792298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1001</v>
      </c>
    </row>
    <row r="14" spans="1:105" ht="11.45" customHeight="1" x14ac:dyDescent="0.25">
      <c r="A14" s="55" t="s">
        <v>30</v>
      </c>
      <c r="B14" s="63">
        <f t="shared" si="6"/>
        <v>0</v>
      </c>
      <c r="C14" s="63">
        <f t="shared" si="6"/>
        <v>0</v>
      </c>
      <c r="D14" s="63">
        <f t="shared" si="6"/>
        <v>0</v>
      </c>
      <c r="E14" s="63">
        <f t="shared" si="6"/>
        <v>0</v>
      </c>
      <c r="F14" s="63">
        <f t="shared" ref="F14:V14" si="9">IF(F4=0,0,F4/F8)</f>
        <v>0</v>
      </c>
      <c r="G14" s="63">
        <f t="shared" si="9"/>
        <v>0</v>
      </c>
      <c r="H14" s="63">
        <f t="shared" si="9"/>
        <v>0</v>
      </c>
      <c r="I14" s="63">
        <f t="shared" si="9"/>
        <v>0</v>
      </c>
      <c r="J14" s="63">
        <f t="shared" si="9"/>
        <v>0</v>
      </c>
      <c r="K14" s="63">
        <f t="shared" si="9"/>
        <v>0</v>
      </c>
      <c r="L14" s="63">
        <f t="shared" si="9"/>
        <v>0</v>
      </c>
      <c r="M14" s="63">
        <f t="shared" si="9"/>
        <v>0</v>
      </c>
      <c r="N14" s="63">
        <f t="shared" si="9"/>
        <v>0</v>
      </c>
      <c r="O14" s="63">
        <f t="shared" si="9"/>
        <v>0</v>
      </c>
      <c r="P14" s="63">
        <f t="shared" si="9"/>
        <v>0</v>
      </c>
      <c r="Q14" s="63">
        <f t="shared" si="9"/>
        <v>0</v>
      </c>
      <c r="R14" s="63">
        <f t="shared" si="9"/>
        <v>0</v>
      </c>
      <c r="S14" s="63">
        <f t="shared" si="9"/>
        <v>0</v>
      </c>
      <c r="T14" s="63">
        <f t="shared" si="9"/>
        <v>0</v>
      </c>
      <c r="U14" s="63">
        <f t="shared" si="9"/>
        <v>0</v>
      </c>
      <c r="V14" s="63">
        <f t="shared" si="9"/>
        <v>0</v>
      </c>
      <c r="W14" s="63">
        <f t="shared" ref="W14" si="10">IF(W4=0,0,W4/W8)</f>
        <v>0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1002</v>
      </c>
    </row>
    <row r="15" spans="1:105" ht="11.45" customHeight="1" x14ac:dyDescent="0.25">
      <c r="A15" s="57" t="s">
        <v>31</v>
      </c>
      <c r="B15" s="64">
        <f t="shared" si="6"/>
        <v>1273.5799895779051</v>
      </c>
      <c r="C15" s="64">
        <f t="shared" si="6"/>
        <v>1265.8415841584158</v>
      </c>
      <c r="D15" s="64">
        <f t="shared" si="6"/>
        <v>1300.1370488807675</v>
      </c>
      <c r="E15" s="64">
        <f t="shared" si="6"/>
        <v>1228.9416846652268</v>
      </c>
      <c r="F15" s="64">
        <f t="shared" ref="F15:V15" si="11">IF(F5=0,0,F5/F9)</f>
        <v>980.35914702581363</v>
      </c>
      <c r="G15" s="64">
        <f t="shared" si="11"/>
        <v>986.49409116488471</v>
      </c>
      <c r="H15" s="64">
        <f t="shared" si="11"/>
        <v>1036.6817155756207</v>
      </c>
      <c r="I15" s="64">
        <f t="shared" si="11"/>
        <v>1215.2550304164718</v>
      </c>
      <c r="J15" s="64">
        <f t="shared" si="11"/>
        <v>1190.2119071644804</v>
      </c>
      <c r="K15" s="64">
        <f t="shared" si="11"/>
        <v>1136.1315938740784</v>
      </c>
      <c r="L15" s="64">
        <f t="shared" si="11"/>
        <v>1176.3249133234274</v>
      </c>
      <c r="M15" s="64">
        <f t="shared" si="11"/>
        <v>1132.8708644610458</v>
      </c>
      <c r="N15" s="64">
        <f t="shared" si="11"/>
        <v>1170.4059829059829</v>
      </c>
      <c r="O15" s="64">
        <f t="shared" si="11"/>
        <v>1175.9120439780111</v>
      </c>
      <c r="P15" s="64">
        <f t="shared" si="11"/>
        <v>1122.1649484536083</v>
      </c>
      <c r="Q15" s="64">
        <f t="shared" si="11"/>
        <v>1059.8591549295775</v>
      </c>
      <c r="R15" s="64">
        <f t="shared" si="11"/>
        <v>1073.8916256157636</v>
      </c>
      <c r="S15" s="64">
        <f t="shared" si="11"/>
        <v>1077.2509323388385</v>
      </c>
      <c r="T15" s="64">
        <f t="shared" si="11"/>
        <v>944.79695431472078</v>
      </c>
      <c r="U15" s="64">
        <f t="shared" si="11"/>
        <v>1051.5021459227469</v>
      </c>
      <c r="V15" s="64">
        <f t="shared" si="11"/>
        <v>1021.6284987277353</v>
      </c>
      <c r="W15" s="64">
        <f t="shared" ref="W15" si="12">IF(W5=0,0,W5/W9)</f>
        <v>1035.7634112792298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1003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65</v>
      </c>
      <c r="B17" s="65">
        <f t="shared" ref="B17:E17" si="13">IF(B3=0,0,B3/B$3)</f>
        <v>1</v>
      </c>
      <c r="C17" s="65">
        <f t="shared" si="13"/>
        <v>1</v>
      </c>
      <c r="D17" s="65">
        <f t="shared" si="13"/>
        <v>1</v>
      </c>
      <c r="E17" s="65">
        <f t="shared" si="13"/>
        <v>1</v>
      </c>
      <c r="F17" s="65">
        <f t="shared" ref="F17:V17" si="14">IF(F3=0,0,F3/F$3)</f>
        <v>1</v>
      </c>
      <c r="G17" s="65">
        <f t="shared" si="14"/>
        <v>1</v>
      </c>
      <c r="H17" s="65">
        <f t="shared" si="14"/>
        <v>1</v>
      </c>
      <c r="I17" s="65">
        <f t="shared" si="14"/>
        <v>1</v>
      </c>
      <c r="J17" s="65">
        <f t="shared" si="14"/>
        <v>1</v>
      </c>
      <c r="K17" s="65">
        <f t="shared" si="14"/>
        <v>1</v>
      </c>
      <c r="L17" s="65">
        <f t="shared" si="14"/>
        <v>1</v>
      </c>
      <c r="M17" s="65">
        <f t="shared" si="14"/>
        <v>1</v>
      </c>
      <c r="N17" s="65">
        <f t="shared" si="14"/>
        <v>1</v>
      </c>
      <c r="O17" s="65">
        <f t="shared" si="14"/>
        <v>1</v>
      </c>
      <c r="P17" s="65">
        <f t="shared" si="14"/>
        <v>1</v>
      </c>
      <c r="Q17" s="65">
        <f t="shared" si="14"/>
        <v>1</v>
      </c>
      <c r="R17" s="65">
        <f t="shared" si="14"/>
        <v>1</v>
      </c>
      <c r="S17" s="65">
        <f t="shared" si="14"/>
        <v>1</v>
      </c>
      <c r="T17" s="65">
        <f t="shared" si="14"/>
        <v>1</v>
      </c>
      <c r="U17" s="65">
        <f t="shared" si="14"/>
        <v>1</v>
      </c>
      <c r="V17" s="65">
        <f t="shared" si="14"/>
        <v>1</v>
      </c>
      <c r="W17" s="65">
        <f t="shared" ref="W17" si="15">IF(W3=0,0,W3/W$3)</f>
        <v>1</v>
      </c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DA17" s="172"/>
    </row>
    <row r="18" spans="1:105" ht="11.45" customHeight="1" x14ac:dyDescent="0.25">
      <c r="A18" s="55" t="s">
        <v>30</v>
      </c>
      <c r="B18" s="66">
        <f t="shared" ref="B18:E18" si="16">IF(B4=0,0,B4/B$3)</f>
        <v>0</v>
      </c>
      <c r="C18" s="66">
        <f t="shared" si="16"/>
        <v>0</v>
      </c>
      <c r="D18" s="66">
        <f t="shared" si="16"/>
        <v>0</v>
      </c>
      <c r="E18" s="66">
        <f t="shared" si="16"/>
        <v>0</v>
      </c>
      <c r="F18" s="66">
        <f t="shared" ref="F18:V18" si="17">IF(F4=0,0,F4/F$3)</f>
        <v>0</v>
      </c>
      <c r="G18" s="66">
        <f t="shared" si="17"/>
        <v>0</v>
      </c>
      <c r="H18" s="66">
        <f t="shared" si="17"/>
        <v>0</v>
      </c>
      <c r="I18" s="66">
        <f t="shared" si="17"/>
        <v>0</v>
      </c>
      <c r="J18" s="66">
        <f t="shared" si="17"/>
        <v>0</v>
      </c>
      <c r="K18" s="66">
        <f t="shared" si="17"/>
        <v>0</v>
      </c>
      <c r="L18" s="66">
        <f t="shared" si="17"/>
        <v>0</v>
      </c>
      <c r="M18" s="66">
        <f t="shared" si="17"/>
        <v>0</v>
      </c>
      <c r="N18" s="66">
        <f t="shared" si="17"/>
        <v>0</v>
      </c>
      <c r="O18" s="66">
        <f t="shared" si="17"/>
        <v>0</v>
      </c>
      <c r="P18" s="66">
        <f t="shared" si="17"/>
        <v>0</v>
      </c>
      <c r="Q18" s="66">
        <f t="shared" si="17"/>
        <v>0</v>
      </c>
      <c r="R18" s="66">
        <f t="shared" si="17"/>
        <v>0</v>
      </c>
      <c r="S18" s="66">
        <f t="shared" si="17"/>
        <v>0</v>
      </c>
      <c r="T18" s="66">
        <f t="shared" si="17"/>
        <v>0</v>
      </c>
      <c r="U18" s="66">
        <f t="shared" si="17"/>
        <v>0</v>
      </c>
      <c r="V18" s="66">
        <f t="shared" si="17"/>
        <v>0</v>
      </c>
      <c r="W18" s="66">
        <f t="shared" ref="W18" si="18">IF(W4=0,0,W4/W$3)</f>
        <v>0</v>
      </c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DA18" s="181"/>
    </row>
    <row r="19" spans="1:105" ht="11.45" customHeight="1" x14ac:dyDescent="0.25">
      <c r="A19" s="57" t="s">
        <v>31</v>
      </c>
      <c r="B19" s="67">
        <f t="shared" ref="B19:E19" si="19">IF(B5=0,0,B5/B$3)</f>
        <v>1</v>
      </c>
      <c r="C19" s="67">
        <f t="shared" si="19"/>
        <v>1</v>
      </c>
      <c r="D19" s="67">
        <f t="shared" si="19"/>
        <v>1</v>
      </c>
      <c r="E19" s="67">
        <f t="shared" si="19"/>
        <v>1</v>
      </c>
      <c r="F19" s="67">
        <f t="shared" ref="F19:V19" si="20">IF(F5=0,0,F5/F$3)</f>
        <v>1</v>
      </c>
      <c r="G19" s="67">
        <f t="shared" si="20"/>
        <v>1</v>
      </c>
      <c r="H19" s="67">
        <f t="shared" si="20"/>
        <v>1</v>
      </c>
      <c r="I19" s="67">
        <f t="shared" si="20"/>
        <v>1</v>
      </c>
      <c r="J19" s="67">
        <f t="shared" si="20"/>
        <v>1</v>
      </c>
      <c r="K19" s="67">
        <f t="shared" si="20"/>
        <v>1</v>
      </c>
      <c r="L19" s="67">
        <f t="shared" si="20"/>
        <v>1</v>
      </c>
      <c r="M19" s="67">
        <f t="shared" si="20"/>
        <v>1</v>
      </c>
      <c r="N19" s="67">
        <f t="shared" si="20"/>
        <v>1</v>
      </c>
      <c r="O19" s="67">
        <f t="shared" si="20"/>
        <v>1</v>
      </c>
      <c r="P19" s="67">
        <f t="shared" si="20"/>
        <v>1</v>
      </c>
      <c r="Q19" s="67">
        <f t="shared" si="20"/>
        <v>1</v>
      </c>
      <c r="R19" s="67">
        <f t="shared" si="20"/>
        <v>1</v>
      </c>
      <c r="S19" s="67">
        <f t="shared" si="20"/>
        <v>1</v>
      </c>
      <c r="T19" s="67">
        <f t="shared" si="20"/>
        <v>1</v>
      </c>
      <c r="U19" s="67">
        <f t="shared" si="20"/>
        <v>1</v>
      </c>
      <c r="V19" s="67">
        <f t="shared" si="20"/>
        <v>1</v>
      </c>
      <c r="W19" s="67">
        <f t="shared" ref="W19" si="21">IF(W5=0,0,W5/W$3)</f>
        <v>1</v>
      </c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66</v>
      </c>
      <c r="B21" s="65">
        <f t="shared" ref="B21:E21" si="22">IF(B7=0,0,B7/B$7)</f>
        <v>1</v>
      </c>
      <c r="C21" s="65">
        <f t="shared" si="22"/>
        <v>1</v>
      </c>
      <c r="D21" s="65">
        <f t="shared" si="22"/>
        <v>1</v>
      </c>
      <c r="E21" s="65">
        <f t="shared" si="22"/>
        <v>1</v>
      </c>
      <c r="F21" s="65">
        <f t="shared" ref="F21:V21" si="23">IF(F7=0,0,F7/F$7)</f>
        <v>1</v>
      </c>
      <c r="G21" s="65">
        <f t="shared" si="23"/>
        <v>1</v>
      </c>
      <c r="H21" s="65">
        <f t="shared" si="23"/>
        <v>1</v>
      </c>
      <c r="I21" s="65">
        <f t="shared" si="23"/>
        <v>1</v>
      </c>
      <c r="J21" s="65">
        <f t="shared" si="23"/>
        <v>1</v>
      </c>
      <c r="K21" s="65">
        <f t="shared" si="23"/>
        <v>1</v>
      </c>
      <c r="L21" s="65">
        <f t="shared" si="23"/>
        <v>1</v>
      </c>
      <c r="M21" s="65">
        <f t="shared" si="23"/>
        <v>1</v>
      </c>
      <c r="N21" s="65">
        <f t="shared" si="23"/>
        <v>1</v>
      </c>
      <c r="O21" s="65">
        <f t="shared" si="23"/>
        <v>1</v>
      </c>
      <c r="P21" s="65">
        <f t="shared" si="23"/>
        <v>1</v>
      </c>
      <c r="Q21" s="65">
        <f t="shared" si="23"/>
        <v>1</v>
      </c>
      <c r="R21" s="65">
        <f t="shared" si="23"/>
        <v>1</v>
      </c>
      <c r="S21" s="65">
        <f t="shared" si="23"/>
        <v>1</v>
      </c>
      <c r="T21" s="65">
        <f t="shared" si="23"/>
        <v>1</v>
      </c>
      <c r="U21" s="65">
        <f t="shared" si="23"/>
        <v>1</v>
      </c>
      <c r="V21" s="65">
        <f t="shared" si="23"/>
        <v>1</v>
      </c>
      <c r="W21" s="65">
        <f t="shared" ref="W21" si="24">IF(W7=0,0,W7/W$7)</f>
        <v>1</v>
      </c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DA21" s="172"/>
    </row>
    <row r="22" spans="1:105" ht="11.45" customHeight="1" x14ac:dyDescent="0.25">
      <c r="A22" s="55" t="s">
        <v>30</v>
      </c>
      <c r="B22" s="66">
        <f t="shared" ref="B22:E22" si="25">IF(B8=0,0,B8/B$7)</f>
        <v>0</v>
      </c>
      <c r="C22" s="66">
        <f t="shared" si="25"/>
        <v>0</v>
      </c>
      <c r="D22" s="66">
        <f t="shared" si="25"/>
        <v>0</v>
      </c>
      <c r="E22" s="66">
        <f t="shared" si="25"/>
        <v>0</v>
      </c>
      <c r="F22" s="66">
        <f t="shared" ref="F22:V22" si="26">IF(F8=0,0,F8/F$7)</f>
        <v>0</v>
      </c>
      <c r="G22" s="66">
        <f t="shared" si="26"/>
        <v>0</v>
      </c>
      <c r="H22" s="66">
        <f t="shared" si="26"/>
        <v>0</v>
      </c>
      <c r="I22" s="66">
        <f t="shared" si="26"/>
        <v>0</v>
      </c>
      <c r="J22" s="66">
        <f t="shared" si="26"/>
        <v>0</v>
      </c>
      <c r="K22" s="66">
        <f t="shared" si="26"/>
        <v>0</v>
      </c>
      <c r="L22" s="66">
        <f t="shared" si="26"/>
        <v>0</v>
      </c>
      <c r="M22" s="66">
        <f t="shared" si="26"/>
        <v>0</v>
      </c>
      <c r="N22" s="66">
        <f t="shared" si="26"/>
        <v>0</v>
      </c>
      <c r="O22" s="66">
        <f t="shared" si="26"/>
        <v>0</v>
      </c>
      <c r="P22" s="66">
        <f t="shared" si="26"/>
        <v>0</v>
      </c>
      <c r="Q22" s="66">
        <f t="shared" si="26"/>
        <v>0</v>
      </c>
      <c r="R22" s="66">
        <f t="shared" si="26"/>
        <v>0</v>
      </c>
      <c r="S22" s="66">
        <f t="shared" si="26"/>
        <v>0</v>
      </c>
      <c r="T22" s="66">
        <f t="shared" si="26"/>
        <v>0</v>
      </c>
      <c r="U22" s="66">
        <f t="shared" si="26"/>
        <v>0</v>
      </c>
      <c r="V22" s="66">
        <f t="shared" si="26"/>
        <v>0</v>
      </c>
      <c r="W22" s="66">
        <f t="shared" ref="W22" si="27">IF(W8=0,0,W8/W$7)</f>
        <v>0</v>
      </c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DA22" s="181"/>
    </row>
    <row r="23" spans="1:105" ht="11.45" customHeight="1" x14ac:dyDescent="0.25">
      <c r="A23" s="57" t="s">
        <v>31</v>
      </c>
      <c r="B23" s="67">
        <f t="shared" ref="B23:E23" si="28">IF(B9=0,0,B9/B$7)</f>
        <v>1</v>
      </c>
      <c r="C23" s="67">
        <f t="shared" si="28"/>
        <v>1</v>
      </c>
      <c r="D23" s="67">
        <f t="shared" si="28"/>
        <v>1</v>
      </c>
      <c r="E23" s="67">
        <f t="shared" si="28"/>
        <v>1</v>
      </c>
      <c r="F23" s="67">
        <f t="shared" ref="F23:V23" si="29">IF(F9=0,0,F9/F$7)</f>
        <v>1</v>
      </c>
      <c r="G23" s="67">
        <f t="shared" si="29"/>
        <v>1</v>
      </c>
      <c r="H23" s="67">
        <f t="shared" si="29"/>
        <v>1</v>
      </c>
      <c r="I23" s="67">
        <f t="shared" si="29"/>
        <v>1</v>
      </c>
      <c r="J23" s="67">
        <f t="shared" si="29"/>
        <v>1</v>
      </c>
      <c r="K23" s="67">
        <f t="shared" si="29"/>
        <v>1</v>
      </c>
      <c r="L23" s="67">
        <f t="shared" si="29"/>
        <v>1</v>
      </c>
      <c r="M23" s="67">
        <f t="shared" si="29"/>
        <v>1</v>
      </c>
      <c r="N23" s="67">
        <f t="shared" si="29"/>
        <v>1</v>
      </c>
      <c r="O23" s="67">
        <f t="shared" si="29"/>
        <v>1</v>
      </c>
      <c r="P23" s="67">
        <f t="shared" si="29"/>
        <v>1</v>
      </c>
      <c r="Q23" s="67">
        <f t="shared" si="29"/>
        <v>1</v>
      </c>
      <c r="R23" s="67">
        <f t="shared" si="29"/>
        <v>1</v>
      </c>
      <c r="S23" s="67">
        <f t="shared" si="29"/>
        <v>1</v>
      </c>
      <c r="T23" s="67">
        <f t="shared" si="29"/>
        <v>1</v>
      </c>
      <c r="U23" s="67">
        <f t="shared" si="29"/>
        <v>1</v>
      </c>
      <c r="V23" s="67">
        <f t="shared" si="29"/>
        <v>1</v>
      </c>
      <c r="W23" s="67">
        <f t="shared" ref="W23" si="30">IF(W9=0,0,W9/W$7)</f>
        <v>1</v>
      </c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1004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32</v>
      </c>
      <c r="B3" s="62">
        <f>SUM(B4,B10)</f>
        <v>34.742562338779024</v>
      </c>
      <c r="C3" s="62">
        <f t="shared" ref="C3:V3" si="0">SUM(C4,C10)</f>
        <v>36.787016337059327</v>
      </c>
      <c r="D3" s="62">
        <f t="shared" si="0"/>
        <v>38.831556319862415</v>
      </c>
      <c r="E3" s="62">
        <f t="shared" si="0"/>
        <v>34.742562338779024</v>
      </c>
      <c r="F3" s="62">
        <f t="shared" si="0"/>
        <v>41.898280309544276</v>
      </c>
      <c r="G3" s="62">
        <f t="shared" si="0"/>
        <v>41.542562338779014</v>
      </c>
      <c r="H3" s="62">
        <f t="shared" si="0"/>
        <v>39.420120378331895</v>
      </c>
      <c r="I3" s="62">
        <f t="shared" si="0"/>
        <v>40.563456577815991</v>
      </c>
      <c r="J3" s="62">
        <f t="shared" si="0"/>
        <v>38.399312123817722</v>
      </c>
      <c r="K3" s="62">
        <f t="shared" si="0"/>
        <v>35.774032674118658</v>
      </c>
      <c r="L3" s="62">
        <f t="shared" si="0"/>
        <v>39.564316423043849</v>
      </c>
      <c r="M3" s="62">
        <f t="shared" si="0"/>
        <v>38.16827171109199</v>
      </c>
      <c r="N3" s="62">
        <f t="shared" si="0"/>
        <v>36.883662940670668</v>
      </c>
      <c r="O3" s="62">
        <f t="shared" si="0"/>
        <v>39.246259673258812</v>
      </c>
      <c r="P3" s="62">
        <f t="shared" si="0"/>
        <v>39.864230438521062</v>
      </c>
      <c r="Q3" s="62">
        <f t="shared" si="0"/>
        <v>37.091401547721411</v>
      </c>
      <c r="R3" s="62">
        <f t="shared" si="0"/>
        <v>39.246689595872738</v>
      </c>
      <c r="S3" s="62">
        <f t="shared" si="0"/>
        <v>40.912553740326736</v>
      </c>
      <c r="T3" s="62">
        <f t="shared" si="0"/>
        <v>38.284608770421322</v>
      </c>
      <c r="U3" s="62">
        <f t="shared" si="0"/>
        <v>43.131900257953561</v>
      </c>
      <c r="V3" s="62">
        <f t="shared" si="0"/>
        <v>21.580997420464314</v>
      </c>
      <c r="W3" s="62">
        <f t="shared" ref="W3" si="1">SUM(W4,W10)</f>
        <v>31.72295786758383</v>
      </c>
      <c r="X3" s="62"/>
      <c r="Y3" s="62"/>
      <c r="Z3" s="62"/>
      <c r="AA3" s="62"/>
      <c r="AB3" s="62"/>
      <c r="AC3" s="62"/>
      <c r="AD3" s="62"/>
      <c r="AE3" s="62"/>
      <c r="AF3" s="62"/>
      <c r="AG3" s="62"/>
      <c r="DA3" s="172" t="s">
        <v>1005</v>
      </c>
    </row>
    <row r="4" spans="1:105" ht="11.45" customHeight="1" x14ac:dyDescent="0.25">
      <c r="A4" s="70" t="s">
        <v>30</v>
      </c>
      <c r="B4" s="71">
        <f>SUM(B5:B9)</f>
        <v>0</v>
      </c>
      <c r="C4" s="71">
        <f t="shared" ref="C4:V4" si="2">SUM(C5:C9)</f>
        <v>0</v>
      </c>
      <c r="D4" s="71">
        <f t="shared" si="2"/>
        <v>0</v>
      </c>
      <c r="E4" s="71">
        <f t="shared" si="2"/>
        <v>0</v>
      </c>
      <c r="F4" s="71">
        <f t="shared" si="2"/>
        <v>0</v>
      </c>
      <c r="G4" s="71">
        <f t="shared" si="2"/>
        <v>0</v>
      </c>
      <c r="H4" s="71">
        <f t="shared" si="2"/>
        <v>0</v>
      </c>
      <c r="I4" s="71">
        <f t="shared" si="2"/>
        <v>0</v>
      </c>
      <c r="J4" s="71">
        <f t="shared" si="2"/>
        <v>0</v>
      </c>
      <c r="K4" s="71">
        <f t="shared" si="2"/>
        <v>0</v>
      </c>
      <c r="L4" s="71">
        <f t="shared" si="2"/>
        <v>0</v>
      </c>
      <c r="M4" s="71">
        <f t="shared" si="2"/>
        <v>0</v>
      </c>
      <c r="N4" s="71">
        <f t="shared" si="2"/>
        <v>0</v>
      </c>
      <c r="O4" s="71">
        <f t="shared" si="2"/>
        <v>0</v>
      </c>
      <c r="P4" s="71">
        <f t="shared" si="2"/>
        <v>0</v>
      </c>
      <c r="Q4" s="71">
        <f t="shared" si="2"/>
        <v>0</v>
      </c>
      <c r="R4" s="71">
        <f t="shared" si="2"/>
        <v>0</v>
      </c>
      <c r="S4" s="71">
        <f t="shared" si="2"/>
        <v>0</v>
      </c>
      <c r="T4" s="71">
        <f t="shared" si="2"/>
        <v>0</v>
      </c>
      <c r="U4" s="71">
        <f t="shared" si="2"/>
        <v>0</v>
      </c>
      <c r="V4" s="71">
        <f t="shared" si="2"/>
        <v>0</v>
      </c>
      <c r="W4" s="71">
        <f t="shared" ref="W4" si="3">SUM(W5:W9)</f>
        <v>0</v>
      </c>
      <c r="X4" s="71"/>
      <c r="Y4" s="71"/>
      <c r="Z4" s="71"/>
      <c r="AA4" s="71"/>
      <c r="AB4" s="71"/>
      <c r="AC4" s="71"/>
      <c r="AD4" s="71"/>
      <c r="AE4" s="71"/>
      <c r="AF4" s="71"/>
      <c r="AG4" s="71"/>
      <c r="DA4" s="186" t="s">
        <v>1006</v>
      </c>
    </row>
    <row r="5" spans="1:105" ht="11.45" customHeight="1" x14ac:dyDescent="0.25">
      <c r="A5" s="72" t="s">
        <v>145</v>
      </c>
      <c r="B5" s="73">
        <v>0</v>
      </c>
      <c r="C5" s="73">
        <v>0</v>
      </c>
      <c r="D5" s="73">
        <v>0</v>
      </c>
      <c r="E5" s="73">
        <v>0</v>
      </c>
      <c r="F5" s="73">
        <v>0</v>
      </c>
      <c r="G5" s="73">
        <v>0</v>
      </c>
      <c r="H5" s="73">
        <v>0</v>
      </c>
      <c r="I5" s="73">
        <v>0</v>
      </c>
      <c r="J5" s="73">
        <v>0</v>
      </c>
      <c r="K5" s="73">
        <v>0</v>
      </c>
      <c r="L5" s="73">
        <v>0</v>
      </c>
      <c r="M5" s="73">
        <v>0</v>
      </c>
      <c r="N5" s="73">
        <v>0</v>
      </c>
      <c r="O5" s="73">
        <v>0</v>
      </c>
      <c r="P5" s="73">
        <v>0</v>
      </c>
      <c r="Q5" s="73">
        <v>0</v>
      </c>
      <c r="R5" s="73">
        <v>0</v>
      </c>
      <c r="S5" s="73">
        <v>0</v>
      </c>
      <c r="T5" s="73">
        <v>0</v>
      </c>
      <c r="U5" s="73">
        <v>0</v>
      </c>
      <c r="V5" s="73">
        <v>0</v>
      </c>
      <c r="W5" s="73">
        <v>0</v>
      </c>
      <c r="X5" s="73"/>
      <c r="Y5" s="73"/>
      <c r="Z5" s="73"/>
      <c r="AA5" s="73"/>
      <c r="AB5" s="73"/>
      <c r="AC5" s="73"/>
      <c r="AD5" s="73"/>
      <c r="AE5" s="73"/>
      <c r="AF5" s="73"/>
      <c r="AG5" s="73"/>
      <c r="DA5" s="187" t="s">
        <v>1007</v>
      </c>
    </row>
    <row r="6" spans="1:105" ht="11.45" customHeight="1" x14ac:dyDescent="0.25">
      <c r="A6" s="72" t="s">
        <v>146</v>
      </c>
      <c r="B6" s="73">
        <v>0</v>
      </c>
      <c r="C6" s="73">
        <v>0</v>
      </c>
      <c r="D6" s="73">
        <v>0</v>
      </c>
      <c r="E6" s="73">
        <v>0</v>
      </c>
      <c r="F6" s="73">
        <v>0</v>
      </c>
      <c r="G6" s="73">
        <v>0</v>
      </c>
      <c r="H6" s="73">
        <v>0</v>
      </c>
      <c r="I6" s="73">
        <v>0</v>
      </c>
      <c r="J6" s="73">
        <v>0</v>
      </c>
      <c r="K6" s="73">
        <v>0</v>
      </c>
      <c r="L6" s="73">
        <v>0</v>
      </c>
      <c r="M6" s="73">
        <v>0</v>
      </c>
      <c r="N6" s="73">
        <v>0</v>
      </c>
      <c r="O6" s="73">
        <v>0</v>
      </c>
      <c r="P6" s="73">
        <v>0</v>
      </c>
      <c r="Q6" s="73">
        <v>0</v>
      </c>
      <c r="R6" s="73">
        <v>0</v>
      </c>
      <c r="S6" s="73">
        <v>0</v>
      </c>
      <c r="T6" s="73">
        <v>0</v>
      </c>
      <c r="U6" s="73">
        <v>0</v>
      </c>
      <c r="V6" s="73">
        <v>0</v>
      </c>
      <c r="W6" s="73">
        <v>0</v>
      </c>
      <c r="X6" s="73"/>
      <c r="Y6" s="73"/>
      <c r="Z6" s="73"/>
      <c r="AA6" s="73"/>
      <c r="AB6" s="73"/>
      <c r="AC6" s="73"/>
      <c r="AD6" s="73"/>
      <c r="AE6" s="73"/>
      <c r="AF6" s="73"/>
      <c r="AG6" s="73"/>
      <c r="DA6" s="187" t="s">
        <v>1008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X7" s="73"/>
      <c r="Y7" s="73"/>
      <c r="Z7" s="73"/>
      <c r="AA7" s="73"/>
      <c r="AB7" s="73"/>
      <c r="AC7" s="73"/>
      <c r="AD7" s="73"/>
      <c r="AE7" s="73"/>
      <c r="AF7" s="73"/>
      <c r="AG7" s="73"/>
      <c r="DA7" s="187" t="s">
        <v>1009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/>
      <c r="Y8" s="73"/>
      <c r="Z8" s="73"/>
      <c r="AA8" s="73"/>
      <c r="AB8" s="73"/>
      <c r="AC8" s="73"/>
      <c r="AD8" s="73"/>
      <c r="AE8" s="73"/>
      <c r="AF8" s="73"/>
      <c r="AG8" s="73"/>
      <c r="DA8" s="187" t="s">
        <v>1010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/>
      <c r="Y9" s="75"/>
      <c r="Z9" s="75"/>
      <c r="AA9" s="75"/>
      <c r="AB9" s="75"/>
      <c r="AC9" s="75"/>
      <c r="AD9" s="75"/>
      <c r="AE9" s="75"/>
      <c r="AF9" s="75"/>
      <c r="AG9" s="75"/>
      <c r="DA9" s="188" t="s">
        <v>1011</v>
      </c>
    </row>
    <row r="10" spans="1:105" ht="11.45" customHeight="1" x14ac:dyDescent="0.25">
      <c r="A10" s="70" t="s">
        <v>31</v>
      </c>
      <c r="B10" s="71">
        <f>SUM(B11:B15)</f>
        <v>34.742562338779024</v>
      </c>
      <c r="C10" s="71">
        <f t="shared" ref="C10:V10" si="4">SUM(C11:C15)</f>
        <v>36.787016337059327</v>
      </c>
      <c r="D10" s="71">
        <f t="shared" si="4"/>
        <v>38.831556319862415</v>
      </c>
      <c r="E10" s="71">
        <f t="shared" si="4"/>
        <v>34.742562338779024</v>
      </c>
      <c r="F10" s="71">
        <f t="shared" si="4"/>
        <v>41.898280309544276</v>
      </c>
      <c r="G10" s="71">
        <f t="shared" si="4"/>
        <v>41.542562338779014</v>
      </c>
      <c r="H10" s="71">
        <f t="shared" si="4"/>
        <v>39.420120378331895</v>
      </c>
      <c r="I10" s="71">
        <f t="shared" si="4"/>
        <v>40.563456577815991</v>
      </c>
      <c r="J10" s="71">
        <f t="shared" si="4"/>
        <v>38.399312123817722</v>
      </c>
      <c r="K10" s="71">
        <f t="shared" si="4"/>
        <v>35.774032674118658</v>
      </c>
      <c r="L10" s="71">
        <f t="shared" si="4"/>
        <v>39.564316423043849</v>
      </c>
      <c r="M10" s="71">
        <f t="shared" si="4"/>
        <v>38.16827171109199</v>
      </c>
      <c r="N10" s="71">
        <f t="shared" si="4"/>
        <v>36.883662940670668</v>
      </c>
      <c r="O10" s="71">
        <f t="shared" si="4"/>
        <v>39.246259673258812</v>
      </c>
      <c r="P10" s="71">
        <f t="shared" si="4"/>
        <v>39.864230438521062</v>
      </c>
      <c r="Q10" s="71">
        <f t="shared" si="4"/>
        <v>37.091401547721411</v>
      </c>
      <c r="R10" s="71">
        <f t="shared" si="4"/>
        <v>39.246689595872738</v>
      </c>
      <c r="S10" s="71">
        <f t="shared" si="4"/>
        <v>40.912553740326736</v>
      </c>
      <c r="T10" s="71">
        <f t="shared" si="4"/>
        <v>38.284608770421322</v>
      </c>
      <c r="U10" s="71">
        <f t="shared" si="4"/>
        <v>43.131900257953561</v>
      </c>
      <c r="V10" s="71">
        <f t="shared" si="4"/>
        <v>21.580997420464314</v>
      </c>
      <c r="W10" s="71">
        <f t="shared" ref="W10" si="5">SUM(W11:W15)</f>
        <v>31.72295786758383</v>
      </c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DA10" s="186" t="s">
        <v>1012</v>
      </c>
    </row>
    <row r="11" spans="1:105" ht="11.45" customHeight="1" x14ac:dyDescent="0.25">
      <c r="A11" s="72" t="s">
        <v>145</v>
      </c>
      <c r="B11" s="73">
        <v>31.690111779879622</v>
      </c>
      <c r="C11" s="73">
        <v>33.734565778159933</v>
      </c>
      <c r="D11" s="73">
        <v>35.77910576096302</v>
      </c>
      <c r="E11" s="73">
        <v>31.690111779879622</v>
      </c>
      <c r="F11" s="73">
        <v>38.845829750644882</v>
      </c>
      <c r="G11" s="73">
        <v>38.807308684436798</v>
      </c>
      <c r="H11" s="73">
        <v>36.679707652622525</v>
      </c>
      <c r="I11" s="73">
        <v>37.86448839208942</v>
      </c>
      <c r="J11" s="73">
        <v>35.745399828030962</v>
      </c>
      <c r="K11" s="73">
        <v>33.224505588993978</v>
      </c>
      <c r="L11" s="73">
        <v>37.040584694754941</v>
      </c>
      <c r="M11" s="73">
        <v>35.682201203783308</v>
      </c>
      <c r="N11" s="73">
        <v>34.492433361994827</v>
      </c>
      <c r="O11" s="73">
        <v>36.886328460877039</v>
      </c>
      <c r="P11" s="73">
        <v>37.520034393809112</v>
      </c>
      <c r="Q11" s="73">
        <v>34.77506448839209</v>
      </c>
      <c r="R11" s="73">
        <v>36.98314703353396</v>
      </c>
      <c r="S11" s="73">
        <v>38.671625107480651</v>
      </c>
      <c r="T11" s="73">
        <v>35.99810834049871</v>
      </c>
      <c r="U11" s="73">
        <v>40.866294067067919</v>
      </c>
      <c r="V11" s="73">
        <v>19.335339638865001</v>
      </c>
      <c r="W11" s="73">
        <v>29.497248495270846</v>
      </c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DA11" s="187" t="s">
        <v>1013</v>
      </c>
    </row>
    <row r="12" spans="1:105" ht="11.45" customHeight="1" x14ac:dyDescent="0.25">
      <c r="A12" s="72" t="s">
        <v>146</v>
      </c>
      <c r="B12" s="73">
        <v>3.0524505588994018</v>
      </c>
      <c r="C12" s="73">
        <v>3.0524505588993947</v>
      </c>
      <c r="D12" s="73">
        <v>3.0524505588993947</v>
      </c>
      <c r="E12" s="73">
        <v>3.0524505588994018</v>
      </c>
      <c r="F12" s="73">
        <v>3.0524505588993947</v>
      </c>
      <c r="G12" s="73">
        <v>2.7352536543422161</v>
      </c>
      <c r="H12" s="73">
        <v>2.7404127257093691</v>
      </c>
      <c r="I12" s="73">
        <v>2.6989681857265708</v>
      </c>
      <c r="J12" s="73">
        <v>2.6539122957867605</v>
      </c>
      <c r="K12" s="73">
        <v>2.5495270851246801</v>
      </c>
      <c r="L12" s="73">
        <v>2.523731728288908</v>
      </c>
      <c r="M12" s="73">
        <v>2.486070507308682</v>
      </c>
      <c r="N12" s="73">
        <v>2.3912295786758406</v>
      </c>
      <c r="O12" s="73">
        <v>2.3599312123817739</v>
      </c>
      <c r="P12" s="73">
        <v>2.3441960447119499</v>
      </c>
      <c r="Q12" s="73">
        <v>2.3163370593293209</v>
      </c>
      <c r="R12" s="73">
        <v>2.2635425623387775</v>
      </c>
      <c r="S12" s="73">
        <v>2.2409286328460851</v>
      </c>
      <c r="T12" s="73">
        <v>2.2865004299226115</v>
      </c>
      <c r="U12" s="73">
        <v>2.2656061908856415</v>
      </c>
      <c r="V12" s="73">
        <v>2.2456577815993128</v>
      </c>
      <c r="W12" s="73">
        <v>2.2257093723129842</v>
      </c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DA12" s="187" t="s">
        <v>1014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DA13" s="187" t="s">
        <v>1015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DA14" s="187" t="s">
        <v>1016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DA15" s="188" t="s">
        <v>1017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DA18" s="181"/>
    </row>
    <row r="19" spans="1:105" ht="11.45" customHeight="1" x14ac:dyDescent="0.25">
      <c r="A19" s="53" t="s">
        <v>62</v>
      </c>
      <c r="B19" s="62">
        <f>IF(B3=0,0,B3/TrNavi_act!B7*100)</f>
        <v>1810.4513985815022</v>
      </c>
      <c r="C19" s="62">
        <f>IF(C3=0,0,C3/TrNavi_act!C7*100)</f>
        <v>1821.1394226266993</v>
      </c>
      <c r="D19" s="62">
        <f>IF(D3=0,0,D3/TrNavi_act!D7*100)</f>
        <v>1773.9404440320882</v>
      </c>
      <c r="E19" s="62">
        <f>IF(E3=0,0,E3/TrNavi_act!E7*100)</f>
        <v>1875.9482904308329</v>
      </c>
      <c r="F19" s="62">
        <f>IF(F3=0,0,F3/TrNavi_act!F7*100)</f>
        <v>2351.1941812314408</v>
      </c>
      <c r="G19" s="62">
        <f>IF(G3=0,0,G3/TrNavi_act!G7*100)</f>
        <v>2337.7919155193595</v>
      </c>
      <c r="H19" s="62">
        <f>IF(H3=0,0,H3/TrNavi_act!H7*100)</f>
        <v>2224.6117594995426</v>
      </c>
      <c r="I19" s="62">
        <f>IF(I3=0,0,I3/TrNavi_act!I7*100)</f>
        <v>1898.1495824902192</v>
      </c>
      <c r="J19" s="62">
        <f>IF(J3=0,0,J3/TrNavi_act!J7*100)</f>
        <v>1937.4022262269286</v>
      </c>
      <c r="K19" s="62">
        <f>IF(K3=0,0,K3/TrNavi_act!K7*100)</f>
        <v>2029.15670301297</v>
      </c>
      <c r="L19" s="62">
        <f>IF(L3=0,0,L3/TrNavi_act!L7*100)</f>
        <v>1959.5996247173773</v>
      </c>
      <c r="M19" s="62">
        <f>IF(M3=0,0,M3/TrNavi_act!M7*100)</f>
        <v>2036.7274125449298</v>
      </c>
      <c r="N19" s="62">
        <f>IF(N3=0,0,N3/TrNavi_act!N7*100)</f>
        <v>1970.2811399930913</v>
      </c>
      <c r="O19" s="62">
        <f>IF(O3=0,0,O3/TrNavi_act!O7*100)</f>
        <v>1961.3323175041887</v>
      </c>
      <c r="P19" s="62">
        <f>IF(P3=0,0,P3/TrNavi_act!P7*100)</f>
        <v>2054.8572390990239</v>
      </c>
      <c r="Q19" s="62">
        <f>IF(Q3=0,0,Q3/TrNavi_act!Q7*100)</f>
        <v>2176.7254429413974</v>
      </c>
      <c r="R19" s="62">
        <f>IF(R3=0,0,R3/TrNavi_act!R7*100)</f>
        <v>2148.1494031676375</v>
      </c>
      <c r="S19" s="62">
        <f>IF(S3=0,0,S3/TrNavi_act!S7*100)</f>
        <v>2179.6778764159158</v>
      </c>
      <c r="T19" s="62">
        <f>IF(T3=0,0,T3/TrNavi_act!T7*100)</f>
        <v>2429.2264448236879</v>
      </c>
      <c r="U19" s="62">
        <f>IF(U3=0,0,U3/TrNavi_act!U7*100)</f>
        <v>2644.5064535839092</v>
      </c>
      <c r="V19" s="62">
        <f>IF(V3=0,0,V3/TrNavi_act!V7*100)</f>
        <v>1372.8369860346256</v>
      </c>
      <c r="W19" s="62">
        <f>IF(W3=0,0,W3/TrNavi_act!W7*100)</f>
        <v>2181.7715177155319</v>
      </c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DA19" s="172" t="s">
        <v>1018</v>
      </c>
    </row>
    <row r="20" spans="1:105" ht="11.45" customHeight="1" x14ac:dyDescent="0.25">
      <c r="A20" s="55" t="s">
        <v>30</v>
      </c>
      <c r="B20" s="63">
        <f>IF(B4=0,0,B4/TrNavi_act!B8*100)</f>
        <v>0</v>
      </c>
      <c r="C20" s="63">
        <f>IF(C4=0,0,C4/TrNavi_act!C8*100)</f>
        <v>0</v>
      </c>
      <c r="D20" s="63">
        <f>IF(D4=0,0,D4/TrNavi_act!D8*100)</f>
        <v>0</v>
      </c>
      <c r="E20" s="63">
        <f>IF(E4=0,0,E4/TrNavi_act!E8*100)</f>
        <v>0</v>
      </c>
      <c r="F20" s="63">
        <f>IF(F4=0,0,F4/TrNavi_act!F8*100)</f>
        <v>0</v>
      </c>
      <c r="G20" s="63">
        <f>IF(G4=0,0,G4/TrNavi_act!G8*100)</f>
        <v>0</v>
      </c>
      <c r="H20" s="63">
        <f>IF(H4=0,0,H4/TrNavi_act!H8*100)</f>
        <v>0</v>
      </c>
      <c r="I20" s="63">
        <f>IF(I4=0,0,I4/TrNavi_act!I8*100)</f>
        <v>0</v>
      </c>
      <c r="J20" s="63">
        <f>IF(J4=0,0,J4/TrNavi_act!J8*100)</f>
        <v>0</v>
      </c>
      <c r="K20" s="63">
        <f>IF(K4=0,0,K4/TrNavi_act!K8*100)</f>
        <v>0</v>
      </c>
      <c r="L20" s="63">
        <f>IF(L4=0,0,L4/TrNavi_act!L8*100)</f>
        <v>0</v>
      </c>
      <c r="M20" s="63">
        <f>IF(M4=0,0,M4/TrNavi_act!M8*100)</f>
        <v>0</v>
      </c>
      <c r="N20" s="63">
        <f>IF(N4=0,0,N4/TrNavi_act!N8*100)</f>
        <v>0</v>
      </c>
      <c r="O20" s="63">
        <f>IF(O4=0,0,O4/TrNavi_act!O8*100)</f>
        <v>0</v>
      </c>
      <c r="P20" s="63">
        <f>IF(P4=0,0,P4/TrNavi_act!P8*100)</f>
        <v>0</v>
      </c>
      <c r="Q20" s="63">
        <f>IF(Q4=0,0,Q4/TrNavi_act!Q8*100)</f>
        <v>0</v>
      </c>
      <c r="R20" s="63">
        <f>IF(R4=0,0,R4/TrNavi_act!R8*100)</f>
        <v>0</v>
      </c>
      <c r="S20" s="63">
        <f>IF(S4=0,0,S4/TrNavi_act!S8*100)</f>
        <v>0</v>
      </c>
      <c r="T20" s="63">
        <f>IF(T4=0,0,T4/TrNavi_act!T8*100)</f>
        <v>0</v>
      </c>
      <c r="U20" s="63">
        <f>IF(U4=0,0,U4/TrNavi_act!U8*100)</f>
        <v>0</v>
      </c>
      <c r="V20" s="63">
        <f>IF(V4=0,0,V4/TrNavi_act!V8*100)</f>
        <v>0</v>
      </c>
      <c r="W20" s="63">
        <f>IF(W4=0,0,W4/TrNavi_act!W8*100)</f>
        <v>0</v>
      </c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DA20" s="181" t="s">
        <v>1019</v>
      </c>
    </row>
    <row r="21" spans="1:105" ht="11.45" customHeight="1" x14ac:dyDescent="0.25">
      <c r="A21" s="57" t="s">
        <v>31</v>
      </c>
      <c r="B21" s="64">
        <f>IF(B10=0,0,B10/TrNavi_act!B9*100)</f>
        <v>1810.4513985815022</v>
      </c>
      <c r="C21" s="64">
        <f>IF(C10=0,0,C10/TrNavi_act!C9*100)</f>
        <v>1821.1394226266993</v>
      </c>
      <c r="D21" s="64">
        <f>IF(D10=0,0,D10/TrNavi_act!D9*100)</f>
        <v>1773.9404440320882</v>
      </c>
      <c r="E21" s="64">
        <f>IF(E10=0,0,E10/TrNavi_act!E9*100)</f>
        <v>1875.9482904308329</v>
      </c>
      <c r="F21" s="64">
        <f>IF(F10=0,0,F10/TrNavi_act!F9*100)</f>
        <v>2351.1941812314408</v>
      </c>
      <c r="G21" s="64">
        <f>IF(G10=0,0,G10/TrNavi_act!G9*100)</f>
        <v>2337.7919155193595</v>
      </c>
      <c r="H21" s="64">
        <f>IF(H10=0,0,H10/TrNavi_act!H9*100)</f>
        <v>2224.6117594995426</v>
      </c>
      <c r="I21" s="64">
        <f>IF(I10=0,0,I10/TrNavi_act!I9*100)</f>
        <v>1898.1495824902192</v>
      </c>
      <c r="J21" s="64">
        <f>IF(J10=0,0,J10/TrNavi_act!J9*100)</f>
        <v>1937.4022262269286</v>
      </c>
      <c r="K21" s="64">
        <f>IF(K10=0,0,K10/TrNavi_act!K9*100)</f>
        <v>2029.15670301297</v>
      </c>
      <c r="L21" s="64">
        <f>IF(L10=0,0,L10/TrNavi_act!L9*100)</f>
        <v>1959.5996247173773</v>
      </c>
      <c r="M21" s="64">
        <f>IF(M10=0,0,M10/TrNavi_act!M9*100)</f>
        <v>2036.7274125449298</v>
      </c>
      <c r="N21" s="64">
        <f>IF(N10=0,0,N10/TrNavi_act!N9*100)</f>
        <v>1970.2811399930913</v>
      </c>
      <c r="O21" s="64">
        <f>IF(O10=0,0,O10/TrNavi_act!O9*100)</f>
        <v>1961.3323175041887</v>
      </c>
      <c r="P21" s="64">
        <f>IF(P10=0,0,P10/TrNavi_act!P9*100)</f>
        <v>2054.8572390990239</v>
      </c>
      <c r="Q21" s="64">
        <f>IF(Q10=0,0,Q10/TrNavi_act!Q9*100)</f>
        <v>2176.7254429413974</v>
      </c>
      <c r="R21" s="64">
        <f>IF(R10=0,0,R10/TrNavi_act!R9*100)</f>
        <v>2148.1494031676375</v>
      </c>
      <c r="S21" s="64">
        <f>IF(S10=0,0,S10/TrNavi_act!S9*100)</f>
        <v>2179.6778764159158</v>
      </c>
      <c r="T21" s="64">
        <f>IF(T10=0,0,T10/TrNavi_act!T9*100)</f>
        <v>2429.2264448236879</v>
      </c>
      <c r="U21" s="64">
        <f>IF(U10=0,0,U10/TrNavi_act!U9*100)</f>
        <v>2644.5064535839092</v>
      </c>
      <c r="V21" s="64">
        <f>IF(V10=0,0,V10/TrNavi_act!V9*100)</f>
        <v>1372.8369860346256</v>
      </c>
      <c r="W21" s="64">
        <f>IF(W10=0,0,W10/TrNavi_act!W9*100)</f>
        <v>2181.7715177155319</v>
      </c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DA21" s="182" t="s">
        <v>1020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DA22" s="181"/>
    </row>
    <row r="23" spans="1:105" ht="11.45" customHeight="1" x14ac:dyDescent="0.25">
      <c r="A23" s="53" t="s">
        <v>166</v>
      </c>
      <c r="B23" s="62">
        <f>IF(B3=0,0,B3/TrNavi_act!B3*1000)</f>
        <v>14.215451038780289</v>
      </c>
      <c r="C23" s="62">
        <f>IF(C3=0,0,C3/TrNavi_act!C3*1000)</f>
        <v>14.38678777358597</v>
      </c>
      <c r="D23" s="62">
        <f>IF(D3=0,0,D3/TrNavi_act!D3*1000)</f>
        <v>13.644257315482225</v>
      </c>
      <c r="E23" s="62">
        <f>IF(E3=0,0,E3/TrNavi_act!E3*1000)</f>
        <v>15.26474619454263</v>
      </c>
      <c r="F23" s="62">
        <f>IF(F3=0,0,F3/TrNavi_act!F3*1000)</f>
        <v>23.982988156579438</v>
      </c>
      <c r="G23" s="62">
        <f>IF(G3=0,0,G3/TrNavi_act!G3*1000)</f>
        <v>23.697981938835717</v>
      </c>
      <c r="H23" s="62">
        <f>IF(H3=0,0,H3/TrNavi_act!H3*1000)</f>
        <v>21.458965910904677</v>
      </c>
      <c r="I23" s="62">
        <f>IF(I3=0,0,I3/TrNavi_act!I3*1000)</f>
        <v>15.619351781985364</v>
      </c>
      <c r="J23" s="62">
        <f>IF(J3=0,0,J3/TrNavi_act!J3*1000)</f>
        <v>16.277792337353844</v>
      </c>
      <c r="K23" s="62">
        <f>IF(K3=0,0,K3/TrNavi_act!K3*1000)</f>
        <v>17.860225998062234</v>
      </c>
      <c r="L23" s="62">
        <f>IF(L3=0,0,L3/TrNavi_act!L3*1000)</f>
        <v>16.658659546544776</v>
      </c>
      <c r="M23" s="62">
        <f>IF(M3=0,0,M3/TrNavi_act!M3*1000)</f>
        <v>17.978460532780023</v>
      </c>
      <c r="N23" s="62">
        <f>IF(N3=0,0,N3/TrNavi_act!N3*1000)</f>
        <v>16.834168389169633</v>
      </c>
      <c r="O23" s="62">
        <f>IF(O3=0,0,O3/TrNavi_act!O3*1000)</f>
        <v>16.679243380050494</v>
      </c>
      <c r="P23" s="62">
        <f>IF(P3=0,0,P3/TrNavi_act!P3*1000)</f>
        <v>18.31154360979378</v>
      </c>
      <c r="Q23" s="62">
        <f>IF(Q3=0,0,Q3/TrNavi_act!Q3*1000)</f>
        <v>20.537874611141422</v>
      </c>
      <c r="R23" s="62">
        <f>IF(R3=0,0,R3/TrNavi_act!R3*1000)</f>
        <v>20.003409579955523</v>
      </c>
      <c r="S23" s="62">
        <f>IF(S3=0,0,S3/TrNavi_act!S3*1000)</f>
        <v>20.233706103030041</v>
      </c>
      <c r="T23" s="62">
        <f>IF(T3=0,0,T3/TrNavi_act!T3*1000)</f>
        <v>25.711624426072074</v>
      </c>
      <c r="U23" s="62">
        <f>IF(U3=0,0,U3/TrNavi_act!U3*1000)</f>
        <v>25.149796068777587</v>
      </c>
      <c r="V23" s="62">
        <f>IF(V3=0,0,V3/TrNavi_act!V3*1000)</f>
        <v>13.437731893190731</v>
      </c>
      <c r="W23" s="62">
        <f>IF(W3=0,0,W3/TrNavi_act!W3*1000)</f>
        <v>21.064381054172532</v>
      </c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DA23" s="172" t="s">
        <v>428</v>
      </c>
    </row>
    <row r="24" spans="1:105" ht="11.45" customHeight="1" x14ac:dyDescent="0.25">
      <c r="A24" s="55" t="s">
        <v>30</v>
      </c>
      <c r="B24" s="63">
        <f>IF(B4=0,0,B4/TrNavi_act!B4*1000)</f>
        <v>0</v>
      </c>
      <c r="C24" s="63">
        <f>IF(C4=0,0,C4/TrNavi_act!C4*1000)</f>
        <v>0</v>
      </c>
      <c r="D24" s="63">
        <f>IF(D4=0,0,D4/TrNavi_act!D4*1000)</f>
        <v>0</v>
      </c>
      <c r="E24" s="63">
        <f>IF(E4=0,0,E4/TrNavi_act!E4*1000)</f>
        <v>0</v>
      </c>
      <c r="F24" s="63">
        <f>IF(F4=0,0,F4/TrNavi_act!F4*1000)</f>
        <v>0</v>
      </c>
      <c r="G24" s="63">
        <f>IF(G4=0,0,G4/TrNavi_act!G4*1000)</f>
        <v>0</v>
      </c>
      <c r="H24" s="63">
        <f>IF(H4=0,0,H4/TrNavi_act!H4*1000)</f>
        <v>0</v>
      </c>
      <c r="I24" s="63">
        <f>IF(I4=0,0,I4/TrNavi_act!I4*1000)</f>
        <v>0</v>
      </c>
      <c r="J24" s="63">
        <f>IF(J4=0,0,J4/TrNavi_act!J4*1000)</f>
        <v>0</v>
      </c>
      <c r="K24" s="63">
        <f>IF(K4=0,0,K4/TrNavi_act!K4*1000)</f>
        <v>0</v>
      </c>
      <c r="L24" s="63">
        <f>IF(L4=0,0,L4/TrNavi_act!L4*1000)</f>
        <v>0</v>
      </c>
      <c r="M24" s="63">
        <f>IF(M4=0,0,M4/TrNavi_act!M4*1000)</f>
        <v>0</v>
      </c>
      <c r="N24" s="63">
        <f>IF(N4=0,0,N4/TrNavi_act!N4*1000)</f>
        <v>0</v>
      </c>
      <c r="O24" s="63">
        <f>IF(O4=0,0,O4/TrNavi_act!O4*1000)</f>
        <v>0</v>
      </c>
      <c r="P24" s="63">
        <f>IF(P4=0,0,P4/TrNavi_act!P4*1000)</f>
        <v>0</v>
      </c>
      <c r="Q24" s="63">
        <f>IF(Q4=0,0,Q4/TrNavi_act!Q4*1000)</f>
        <v>0</v>
      </c>
      <c r="R24" s="63">
        <f>IF(R4=0,0,R4/TrNavi_act!R4*1000)</f>
        <v>0</v>
      </c>
      <c r="S24" s="63">
        <f>IF(S4=0,0,S4/TrNavi_act!S4*1000)</f>
        <v>0</v>
      </c>
      <c r="T24" s="63">
        <f>IF(T4=0,0,T4/TrNavi_act!T4*1000)</f>
        <v>0</v>
      </c>
      <c r="U24" s="63">
        <f>IF(U4=0,0,U4/TrNavi_act!U4*1000)</f>
        <v>0</v>
      </c>
      <c r="V24" s="63">
        <f>IF(V4=0,0,V4/TrNavi_act!V4*1000)</f>
        <v>0</v>
      </c>
      <c r="W24" s="63">
        <f>IF(W4=0,0,W4/TrNavi_act!W4*1000)</f>
        <v>0</v>
      </c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DA24" s="181" t="s">
        <v>429</v>
      </c>
    </row>
    <row r="25" spans="1:105" ht="11.45" customHeight="1" x14ac:dyDescent="0.25">
      <c r="A25" s="57" t="s">
        <v>31</v>
      </c>
      <c r="B25" s="64">
        <f>IF(B10=0,0,B10/TrNavi_act!B5*1000)</f>
        <v>14.215451038780289</v>
      </c>
      <c r="C25" s="64">
        <f>IF(C10=0,0,C10/TrNavi_act!C5*1000)</f>
        <v>14.38678777358597</v>
      </c>
      <c r="D25" s="64">
        <f>IF(D10=0,0,D10/TrNavi_act!D5*1000)</f>
        <v>13.644257315482225</v>
      </c>
      <c r="E25" s="64">
        <f>IF(E10=0,0,E10/TrNavi_act!E5*1000)</f>
        <v>15.26474619454263</v>
      </c>
      <c r="F25" s="64">
        <f>IF(F10=0,0,F10/TrNavi_act!F5*1000)</f>
        <v>23.982988156579438</v>
      </c>
      <c r="G25" s="64">
        <f>IF(G10=0,0,G10/TrNavi_act!G5*1000)</f>
        <v>23.697981938835717</v>
      </c>
      <c r="H25" s="64">
        <f>IF(H10=0,0,H10/TrNavi_act!H5*1000)</f>
        <v>21.458965910904677</v>
      </c>
      <c r="I25" s="64">
        <f>IF(I10=0,0,I10/TrNavi_act!I5*1000)</f>
        <v>15.619351781985364</v>
      </c>
      <c r="J25" s="64">
        <f>IF(J10=0,0,J10/TrNavi_act!J5*1000)</f>
        <v>16.277792337353844</v>
      </c>
      <c r="K25" s="64">
        <f>IF(K10=0,0,K10/TrNavi_act!K5*1000)</f>
        <v>17.860225998062234</v>
      </c>
      <c r="L25" s="64">
        <f>IF(L10=0,0,L10/TrNavi_act!L5*1000)</f>
        <v>16.658659546544776</v>
      </c>
      <c r="M25" s="64">
        <f>IF(M10=0,0,M10/TrNavi_act!M5*1000)</f>
        <v>17.978460532780023</v>
      </c>
      <c r="N25" s="64">
        <f>IF(N10=0,0,N10/TrNavi_act!N5*1000)</f>
        <v>16.834168389169633</v>
      </c>
      <c r="O25" s="64">
        <f>IF(O10=0,0,O10/TrNavi_act!O5*1000)</f>
        <v>16.679243380050494</v>
      </c>
      <c r="P25" s="64">
        <f>IF(P10=0,0,P10/TrNavi_act!P5*1000)</f>
        <v>18.31154360979378</v>
      </c>
      <c r="Q25" s="64">
        <f>IF(Q10=0,0,Q10/TrNavi_act!Q5*1000)</f>
        <v>20.537874611141422</v>
      </c>
      <c r="R25" s="64">
        <f>IF(R10=0,0,R10/TrNavi_act!R5*1000)</f>
        <v>20.003409579955523</v>
      </c>
      <c r="S25" s="64">
        <f>IF(S10=0,0,S10/TrNavi_act!S5*1000)</f>
        <v>20.233706103030041</v>
      </c>
      <c r="T25" s="64">
        <f>IF(T10=0,0,T10/TrNavi_act!T5*1000)</f>
        <v>25.711624426072074</v>
      </c>
      <c r="U25" s="64">
        <f>IF(U10=0,0,U10/TrNavi_act!U5*1000)</f>
        <v>25.149796068777587</v>
      </c>
      <c r="V25" s="64">
        <f>IF(V10=0,0,V10/TrNavi_act!V5*1000)</f>
        <v>13.437731893190731</v>
      </c>
      <c r="W25" s="64">
        <f>IF(W10=0,0,W10/TrNavi_act!W5*1000)</f>
        <v>21.064381054172532</v>
      </c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DA25" s="182" t="s">
        <v>430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DA26" s="181"/>
    </row>
    <row r="27" spans="1:105" ht="11.45" customHeight="1" x14ac:dyDescent="0.25">
      <c r="A27" s="53" t="s">
        <v>40</v>
      </c>
      <c r="B27" s="76">
        <f t="shared" ref="B27:U27" si="6">IF(B3=0,0,B3/B$3)</f>
        <v>1</v>
      </c>
      <c r="C27" s="76">
        <f t="shared" si="6"/>
        <v>1</v>
      </c>
      <c r="D27" s="76">
        <f t="shared" si="6"/>
        <v>1</v>
      </c>
      <c r="E27" s="76">
        <f t="shared" si="6"/>
        <v>1</v>
      </c>
      <c r="F27" s="76">
        <f t="shared" si="6"/>
        <v>1</v>
      </c>
      <c r="G27" s="76">
        <f t="shared" si="6"/>
        <v>1</v>
      </c>
      <c r="H27" s="76">
        <f t="shared" si="6"/>
        <v>1</v>
      </c>
      <c r="I27" s="76">
        <f t="shared" si="6"/>
        <v>1</v>
      </c>
      <c r="J27" s="76">
        <f t="shared" si="6"/>
        <v>1</v>
      </c>
      <c r="K27" s="76">
        <f t="shared" si="6"/>
        <v>1</v>
      </c>
      <c r="L27" s="76">
        <f t="shared" si="6"/>
        <v>1</v>
      </c>
      <c r="M27" s="76">
        <f t="shared" si="6"/>
        <v>1</v>
      </c>
      <c r="N27" s="76">
        <f t="shared" si="6"/>
        <v>1</v>
      </c>
      <c r="O27" s="76">
        <f t="shared" si="6"/>
        <v>1</v>
      </c>
      <c r="P27" s="76">
        <f t="shared" si="6"/>
        <v>1</v>
      </c>
      <c r="Q27" s="76">
        <f t="shared" si="6"/>
        <v>1</v>
      </c>
      <c r="R27" s="76">
        <f t="shared" si="6"/>
        <v>1</v>
      </c>
      <c r="S27" s="76">
        <f t="shared" si="6"/>
        <v>1</v>
      </c>
      <c r="T27" s="76">
        <f t="shared" si="6"/>
        <v>1</v>
      </c>
      <c r="U27" s="76">
        <f t="shared" si="6"/>
        <v>1</v>
      </c>
      <c r="V27" s="76">
        <f t="shared" ref="V27:W27" si="7">IF(V3=0,0,V3/V$3)</f>
        <v>1</v>
      </c>
      <c r="W27" s="76">
        <f t="shared" si="7"/>
        <v>1</v>
      </c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DA27" s="183"/>
    </row>
    <row r="28" spans="1:105" ht="11.45" customHeight="1" x14ac:dyDescent="0.25">
      <c r="A28" s="55" t="s">
        <v>30</v>
      </c>
      <c r="B28" s="77">
        <f t="shared" ref="B28:U28" si="8">IF(B4=0,0,B4/B$3)</f>
        <v>0</v>
      </c>
      <c r="C28" s="77">
        <f t="shared" si="8"/>
        <v>0</v>
      </c>
      <c r="D28" s="77">
        <f t="shared" si="8"/>
        <v>0</v>
      </c>
      <c r="E28" s="77">
        <f t="shared" si="8"/>
        <v>0</v>
      </c>
      <c r="F28" s="77">
        <f t="shared" si="8"/>
        <v>0</v>
      </c>
      <c r="G28" s="77">
        <f t="shared" si="8"/>
        <v>0</v>
      </c>
      <c r="H28" s="77">
        <f t="shared" si="8"/>
        <v>0</v>
      </c>
      <c r="I28" s="77">
        <f t="shared" si="8"/>
        <v>0</v>
      </c>
      <c r="J28" s="77">
        <f t="shared" si="8"/>
        <v>0</v>
      </c>
      <c r="K28" s="77">
        <f t="shared" si="8"/>
        <v>0</v>
      </c>
      <c r="L28" s="77">
        <f t="shared" si="8"/>
        <v>0</v>
      </c>
      <c r="M28" s="77">
        <f t="shared" si="8"/>
        <v>0</v>
      </c>
      <c r="N28" s="77">
        <f t="shared" si="8"/>
        <v>0</v>
      </c>
      <c r="O28" s="77">
        <f t="shared" si="8"/>
        <v>0</v>
      </c>
      <c r="P28" s="77">
        <f t="shared" si="8"/>
        <v>0</v>
      </c>
      <c r="Q28" s="77">
        <f t="shared" si="8"/>
        <v>0</v>
      </c>
      <c r="R28" s="77">
        <f t="shared" si="8"/>
        <v>0</v>
      </c>
      <c r="S28" s="77">
        <f t="shared" si="8"/>
        <v>0</v>
      </c>
      <c r="T28" s="77">
        <f t="shared" si="8"/>
        <v>0</v>
      </c>
      <c r="U28" s="77">
        <f t="shared" si="8"/>
        <v>0</v>
      </c>
      <c r="V28" s="77">
        <f t="shared" ref="V28:W28" si="9">IF(V4=0,0,V4/V$3)</f>
        <v>0</v>
      </c>
      <c r="W28" s="77">
        <f t="shared" si="9"/>
        <v>0</v>
      </c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DA28" s="184"/>
    </row>
    <row r="29" spans="1:105" ht="11.45" customHeight="1" x14ac:dyDescent="0.25">
      <c r="A29" s="57" t="s">
        <v>31</v>
      </c>
      <c r="B29" s="78">
        <f t="shared" ref="B29:U29" si="10">IF(B10=0,0,B10/B$3)</f>
        <v>1</v>
      </c>
      <c r="C29" s="78">
        <f t="shared" si="10"/>
        <v>1</v>
      </c>
      <c r="D29" s="78">
        <f t="shared" si="10"/>
        <v>1</v>
      </c>
      <c r="E29" s="78">
        <f t="shared" si="10"/>
        <v>1</v>
      </c>
      <c r="F29" s="78">
        <f t="shared" si="10"/>
        <v>1</v>
      </c>
      <c r="G29" s="78">
        <f t="shared" si="10"/>
        <v>1</v>
      </c>
      <c r="H29" s="78">
        <f t="shared" si="10"/>
        <v>1</v>
      </c>
      <c r="I29" s="78">
        <f t="shared" si="10"/>
        <v>1</v>
      </c>
      <c r="J29" s="78">
        <f t="shared" si="10"/>
        <v>1</v>
      </c>
      <c r="K29" s="78">
        <f t="shared" si="10"/>
        <v>1</v>
      </c>
      <c r="L29" s="78">
        <f t="shared" si="10"/>
        <v>1</v>
      </c>
      <c r="M29" s="78">
        <f t="shared" si="10"/>
        <v>1</v>
      </c>
      <c r="N29" s="78">
        <f t="shared" si="10"/>
        <v>1</v>
      </c>
      <c r="O29" s="78">
        <f t="shared" si="10"/>
        <v>1</v>
      </c>
      <c r="P29" s="78">
        <f t="shared" si="10"/>
        <v>1</v>
      </c>
      <c r="Q29" s="78">
        <f t="shared" si="10"/>
        <v>1</v>
      </c>
      <c r="R29" s="78">
        <f t="shared" si="10"/>
        <v>1</v>
      </c>
      <c r="S29" s="78">
        <f t="shared" si="10"/>
        <v>1</v>
      </c>
      <c r="T29" s="78">
        <f t="shared" si="10"/>
        <v>1</v>
      </c>
      <c r="U29" s="78">
        <f t="shared" si="10"/>
        <v>1</v>
      </c>
      <c r="V29" s="78">
        <f t="shared" ref="V29:W29" si="11">IF(V10=0,0,V10/V$3)</f>
        <v>1</v>
      </c>
      <c r="W29" s="78">
        <f t="shared" si="11"/>
        <v>1</v>
      </c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1021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44</v>
      </c>
      <c r="B3" s="54">
        <f t="shared" ref="B3" si="0">SUM(B4:B5)</f>
        <v>107.17253856000001</v>
      </c>
      <c r="C3" s="54">
        <f t="shared" ref="C3:V3" si="1">SUM(C4:C5)</f>
        <v>113.51529108</v>
      </c>
      <c r="D3" s="54">
        <f t="shared" si="1"/>
        <v>119.85831035999998</v>
      </c>
      <c r="E3" s="54">
        <f t="shared" si="1"/>
        <v>107.17253856000001</v>
      </c>
      <c r="F3" s="54">
        <f t="shared" si="1"/>
        <v>129.37257252000001</v>
      </c>
      <c r="G3" s="54">
        <f t="shared" si="1"/>
        <v>128.33273231999999</v>
      </c>
      <c r="H3" s="54">
        <f t="shared" si="1"/>
        <v>121.74699167999999</v>
      </c>
      <c r="I3" s="54">
        <f t="shared" si="1"/>
        <v>125.30242835999999</v>
      </c>
      <c r="J3" s="54">
        <f t="shared" si="1"/>
        <v>118.59740064000002</v>
      </c>
      <c r="K3" s="54">
        <f t="shared" si="1"/>
        <v>110.47366223999998</v>
      </c>
      <c r="L3" s="54">
        <f t="shared" si="1"/>
        <v>122.23789379999999</v>
      </c>
      <c r="M3" s="54">
        <f t="shared" si="1"/>
        <v>117.91434707999997</v>
      </c>
      <c r="N3" s="54">
        <f t="shared" si="1"/>
        <v>113.94801251999996</v>
      </c>
      <c r="O3" s="54">
        <f t="shared" si="1"/>
        <v>121.28406696</v>
      </c>
      <c r="P3" s="54">
        <f t="shared" si="1"/>
        <v>123.20443331999998</v>
      </c>
      <c r="Q3" s="54">
        <f t="shared" si="1"/>
        <v>114.60755555999998</v>
      </c>
      <c r="R3" s="54">
        <f t="shared" si="1"/>
        <v>121.30477164</v>
      </c>
      <c r="S3" s="54">
        <f t="shared" si="1"/>
        <v>126.47752451999999</v>
      </c>
      <c r="T3" s="54">
        <f t="shared" si="1"/>
        <v>118.31538024000001</v>
      </c>
      <c r="U3" s="54">
        <f t="shared" si="1"/>
        <v>133.35790751999997</v>
      </c>
      <c r="V3" s="54">
        <f t="shared" si="1"/>
        <v>66.501990359999994</v>
      </c>
      <c r="W3" s="54">
        <f t="shared" ref="W3" si="2">SUM(W4:W5)</f>
        <v>97.970608079999991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1022</v>
      </c>
    </row>
    <row r="4" spans="1:105" ht="11.45" customHeight="1" x14ac:dyDescent="0.25">
      <c r="A4" s="55" t="s">
        <v>30</v>
      </c>
      <c r="B4" s="56">
        <v>0</v>
      </c>
      <c r="C4" s="56">
        <v>0</v>
      </c>
      <c r="D4" s="56">
        <v>0</v>
      </c>
      <c r="E4" s="56">
        <v>0</v>
      </c>
      <c r="F4" s="56">
        <v>0</v>
      </c>
      <c r="G4" s="56">
        <v>0</v>
      </c>
      <c r="H4" s="56">
        <v>0</v>
      </c>
      <c r="I4" s="56">
        <v>0</v>
      </c>
      <c r="J4" s="56">
        <v>0</v>
      </c>
      <c r="K4" s="56">
        <v>0</v>
      </c>
      <c r="L4" s="56">
        <v>0</v>
      </c>
      <c r="M4" s="56">
        <v>0</v>
      </c>
      <c r="N4" s="56">
        <v>0</v>
      </c>
      <c r="O4" s="56">
        <v>0</v>
      </c>
      <c r="P4" s="56">
        <v>0</v>
      </c>
      <c r="Q4" s="56">
        <v>0</v>
      </c>
      <c r="R4" s="56">
        <v>0</v>
      </c>
      <c r="S4" s="56">
        <v>0</v>
      </c>
      <c r="T4" s="56">
        <v>0</v>
      </c>
      <c r="U4" s="56">
        <v>0</v>
      </c>
      <c r="V4" s="56">
        <v>0</v>
      </c>
      <c r="W4" s="56">
        <v>0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1023</v>
      </c>
    </row>
    <row r="5" spans="1:105" ht="11.45" customHeight="1" x14ac:dyDescent="0.25">
      <c r="A5" s="57" t="s">
        <v>31</v>
      </c>
      <c r="B5" s="58">
        <v>107.17253856000001</v>
      </c>
      <c r="C5" s="58">
        <v>113.51529108</v>
      </c>
      <c r="D5" s="58">
        <v>119.85831035999998</v>
      </c>
      <c r="E5" s="58">
        <v>107.17253856000001</v>
      </c>
      <c r="F5" s="58">
        <v>129.37257252000001</v>
      </c>
      <c r="G5" s="58">
        <v>128.33273231999999</v>
      </c>
      <c r="H5" s="58">
        <v>121.74699167999999</v>
      </c>
      <c r="I5" s="58">
        <v>125.30242835999999</v>
      </c>
      <c r="J5" s="58">
        <v>118.59740064000002</v>
      </c>
      <c r="K5" s="58">
        <v>110.47366223999998</v>
      </c>
      <c r="L5" s="58">
        <v>122.23789379999999</v>
      </c>
      <c r="M5" s="58">
        <v>117.91434707999997</v>
      </c>
      <c r="N5" s="58">
        <v>113.94801251999996</v>
      </c>
      <c r="O5" s="58">
        <v>121.28406696</v>
      </c>
      <c r="P5" s="58">
        <v>123.20443331999998</v>
      </c>
      <c r="Q5" s="58">
        <v>114.60755555999998</v>
      </c>
      <c r="R5" s="58">
        <v>121.30477164</v>
      </c>
      <c r="S5" s="58">
        <v>126.47752451999999</v>
      </c>
      <c r="T5" s="58">
        <v>118.31538024000001</v>
      </c>
      <c r="U5" s="58">
        <v>133.35790751999997</v>
      </c>
      <c r="V5" s="58">
        <v>66.501990359999994</v>
      </c>
      <c r="W5" s="58">
        <v>97.970608079999991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1024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DA8" s="181"/>
    </row>
    <row r="9" spans="1:105" ht="11.45" customHeight="1" x14ac:dyDescent="0.25">
      <c r="A9" s="53" t="s">
        <v>149</v>
      </c>
      <c r="B9" s="79">
        <f>IF(B3=0,0,B3/TrNavi_ene!B3)</f>
        <v>3.0847620712297306</v>
      </c>
      <c r="C9" s="79">
        <f>IF(C3=0,0,C3/TrNavi_ene!C3)</f>
        <v>3.085743351402066</v>
      </c>
      <c r="D9" s="79">
        <f>IF(D3=0,0,D3/TrNavi_ene!D3)</f>
        <v>3.0866213389107</v>
      </c>
      <c r="E9" s="79">
        <f>IF(E3=0,0,E3/TrNavi_ene!E3)</f>
        <v>3.0847620712297306</v>
      </c>
      <c r="F9" s="79">
        <f>IF(F3=0,0,F3/TrNavi_ene!F3)</f>
        <v>3.0877776262938745</v>
      </c>
      <c r="G9" s="79">
        <f>IF(G3=0,0,G3/TrNavi_ene!G3)</f>
        <v>3.0891867303092275</v>
      </c>
      <c r="H9" s="79">
        <f>IF(H3=0,0,H3/TrNavi_ene!H3)</f>
        <v>3.0884479933481077</v>
      </c>
      <c r="I9" s="79">
        <f>IF(I3=0,0,I3/TrNavi_ene!I3)</f>
        <v>3.0890471111509625</v>
      </c>
      <c r="J9" s="79">
        <f>IF(J3=0,0,J3/TrNavi_ene!J3)</f>
        <v>3.0885293011912651</v>
      </c>
      <c r="K9" s="79">
        <f>IF(K3=0,0,K3/TrNavi_ene!K3)</f>
        <v>3.0880964202820795</v>
      </c>
      <c r="L9" s="79">
        <f>IF(L3=0,0,L3/TrNavi_ene!L3)</f>
        <v>3.0895995394679368</v>
      </c>
      <c r="M9" s="79">
        <f>IF(M3=0,0,M3/TrNavi_ene!M3)</f>
        <v>3.089328958160114</v>
      </c>
      <c r="N9" s="79">
        <f>IF(N3=0,0,N3/TrNavi_ene!N3)</f>
        <v>3.0893898120501588</v>
      </c>
      <c r="O9" s="79">
        <f>IF(O3=0,0,O3/TrNavi_ene!O3)</f>
        <v>3.0903344158077619</v>
      </c>
      <c r="P9" s="79">
        <f>IF(P3=0,0,P3/TrNavi_ene!P3)</f>
        <v>3.0906010718056343</v>
      </c>
      <c r="Q9" s="79">
        <f>IF(Q3=0,0,Q3/TrNavi_ene!Q3)</f>
        <v>3.089868561923903</v>
      </c>
      <c r="R9" s="79">
        <f>IF(R3=0,0,R3/TrNavi_ene!R3)</f>
        <v>3.0908281154178328</v>
      </c>
      <c r="S9" s="79">
        <f>IF(S3=0,0,S3/TrNavi_ene!S3)</f>
        <v>3.0914111429649886</v>
      </c>
      <c r="T9" s="79">
        <f>IF(T3=0,0,T3/TrNavi_ene!T3)</f>
        <v>3.0904163328269516</v>
      </c>
      <c r="U9" s="79">
        <f>IF(U3=0,0,U3/TrNavi_ene!U3)</f>
        <v>3.0918625593225202</v>
      </c>
      <c r="V9" s="79">
        <f>IF(V3=0,0,V3/TrNavi_ene!V3)</f>
        <v>3.0815068026901793</v>
      </c>
      <c r="W9" s="79">
        <f>IF(W3=0,0,W3/TrNavi_ene!W3)</f>
        <v>3.0883188285576439</v>
      </c>
      <c r="X9" s="79"/>
      <c r="Y9" s="79"/>
      <c r="Z9" s="79"/>
      <c r="AA9" s="79"/>
      <c r="AB9" s="79"/>
      <c r="AC9" s="79"/>
      <c r="AD9" s="79"/>
      <c r="AE9" s="79"/>
      <c r="AF9" s="79"/>
      <c r="AG9" s="79"/>
      <c r="DA9" s="172"/>
    </row>
    <row r="10" spans="1:105" ht="11.45" customHeight="1" x14ac:dyDescent="0.25">
      <c r="A10" s="55" t="s">
        <v>30</v>
      </c>
      <c r="B10" s="80">
        <f>IF(B4=0,0,B4/TrNavi_ene!B4)</f>
        <v>0</v>
      </c>
      <c r="C10" s="80">
        <f>IF(C4=0,0,C4/TrNavi_ene!C4)</f>
        <v>0</v>
      </c>
      <c r="D10" s="80">
        <f>IF(D4=0,0,D4/TrNavi_ene!D4)</f>
        <v>0</v>
      </c>
      <c r="E10" s="80">
        <f>IF(E4=0,0,E4/TrNavi_ene!E4)</f>
        <v>0</v>
      </c>
      <c r="F10" s="80">
        <f>IF(F4=0,0,F4/TrNavi_ene!F4)</f>
        <v>0</v>
      </c>
      <c r="G10" s="80">
        <f>IF(G4=0,0,G4/TrNavi_ene!G4)</f>
        <v>0</v>
      </c>
      <c r="H10" s="80">
        <f>IF(H4=0,0,H4/TrNavi_ene!H4)</f>
        <v>0</v>
      </c>
      <c r="I10" s="80">
        <f>IF(I4=0,0,I4/TrNavi_ene!I4)</f>
        <v>0</v>
      </c>
      <c r="J10" s="80">
        <f>IF(J4=0,0,J4/TrNavi_ene!J4)</f>
        <v>0</v>
      </c>
      <c r="K10" s="80">
        <f>IF(K4=0,0,K4/TrNavi_ene!K4)</f>
        <v>0</v>
      </c>
      <c r="L10" s="80">
        <f>IF(L4=0,0,L4/TrNavi_ene!L4)</f>
        <v>0</v>
      </c>
      <c r="M10" s="80">
        <f>IF(M4=0,0,M4/TrNavi_ene!M4)</f>
        <v>0</v>
      </c>
      <c r="N10" s="80">
        <f>IF(N4=0,0,N4/TrNavi_ene!N4)</f>
        <v>0</v>
      </c>
      <c r="O10" s="80">
        <f>IF(O4=0,0,O4/TrNavi_ene!O4)</f>
        <v>0</v>
      </c>
      <c r="P10" s="80">
        <f>IF(P4=0,0,P4/TrNavi_ene!P4)</f>
        <v>0</v>
      </c>
      <c r="Q10" s="80">
        <f>IF(Q4=0,0,Q4/TrNavi_ene!Q4)</f>
        <v>0</v>
      </c>
      <c r="R10" s="80">
        <f>IF(R4=0,0,R4/TrNavi_ene!R4)</f>
        <v>0</v>
      </c>
      <c r="S10" s="80">
        <f>IF(S4=0,0,S4/TrNavi_ene!S4)</f>
        <v>0</v>
      </c>
      <c r="T10" s="80">
        <f>IF(T4=0,0,T4/TrNavi_ene!T4)</f>
        <v>0</v>
      </c>
      <c r="U10" s="80">
        <f>IF(U4=0,0,U4/TrNavi_ene!U4)</f>
        <v>0</v>
      </c>
      <c r="V10" s="80">
        <f>IF(V4=0,0,V4/TrNavi_ene!V4)</f>
        <v>0</v>
      </c>
      <c r="W10" s="80">
        <f>IF(W4=0,0,W4/TrNavi_ene!W4)</f>
        <v>0</v>
      </c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DA10" s="181"/>
    </row>
    <row r="11" spans="1:105" ht="11.45" customHeight="1" x14ac:dyDescent="0.25">
      <c r="A11" s="57" t="s">
        <v>31</v>
      </c>
      <c r="B11" s="81">
        <f>IF(B5=0,0,B5/TrNavi_ene!B10)</f>
        <v>3.0847620712297306</v>
      </c>
      <c r="C11" s="81">
        <f>IF(C5=0,0,C5/TrNavi_ene!C10)</f>
        <v>3.085743351402066</v>
      </c>
      <c r="D11" s="81">
        <f>IF(D5=0,0,D5/TrNavi_ene!D10)</f>
        <v>3.0866213389107</v>
      </c>
      <c r="E11" s="81">
        <f>IF(E5=0,0,E5/TrNavi_ene!E10)</f>
        <v>3.0847620712297306</v>
      </c>
      <c r="F11" s="81">
        <f>IF(F5=0,0,F5/TrNavi_ene!F10)</f>
        <v>3.0877776262938745</v>
      </c>
      <c r="G11" s="81">
        <f>IF(G5=0,0,G5/TrNavi_ene!G10)</f>
        <v>3.0891867303092275</v>
      </c>
      <c r="H11" s="81">
        <f>IF(H5=0,0,H5/TrNavi_ene!H10)</f>
        <v>3.0884479933481077</v>
      </c>
      <c r="I11" s="81">
        <f>IF(I5=0,0,I5/TrNavi_ene!I10)</f>
        <v>3.0890471111509625</v>
      </c>
      <c r="J11" s="81">
        <f>IF(J5=0,0,J5/TrNavi_ene!J10)</f>
        <v>3.0885293011912651</v>
      </c>
      <c r="K11" s="81">
        <f>IF(K5=0,0,K5/TrNavi_ene!K10)</f>
        <v>3.0880964202820795</v>
      </c>
      <c r="L11" s="81">
        <f>IF(L5=0,0,L5/TrNavi_ene!L10)</f>
        <v>3.0895995394679368</v>
      </c>
      <c r="M11" s="81">
        <f>IF(M5=0,0,M5/TrNavi_ene!M10)</f>
        <v>3.089328958160114</v>
      </c>
      <c r="N11" s="81">
        <f>IF(N5=0,0,N5/TrNavi_ene!N10)</f>
        <v>3.0893898120501588</v>
      </c>
      <c r="O11" s="81">
        <f>IF(O5=0,0,O5/TrNavi_ene!O10)</f>
        <v>3.0903344158077619</v>
      </c>
      <c r="P11" s="81">
        <f>IF(P5=0,0,P5/TrNavi_ene!P10)</f>
        <v>3.0906010718056343</v>
      </c>
      <c r="Q11" s="81">
        <f>IF(Q5=0,0,Q5/TrNavi_ene!Q10)</f>
        <v>3.089868561923903</v>
      </c>
      <c r="R11" s="81">
        <f>IF(R5=0,0,R5/TrNavi_ene!R10)</f>
        <v>3.0908281154178328</v>
      </c>
      <c r="S11" s="81">
        <f>IF(S5=0,0,S5/TrNavi_ene!S10)</f>
        <v>3.0914111429649886</v>
      </c>
      <c r="T11" s="81">
        <f>IF(T5=0,0,T5/TrNavi_ene!T10)</f>
        <v>3.0904163328269516</v>
      </c>
      <c r="U11" s="81">
        <f>IF(U5=0,0,U5/TrNavi_ene!U10)</f>
        <v>3.0918625593225202</v>
      </c>
      <c r="V11" s="81">
        <f>IF(V5=0,0,V5/TrNavi_ene!V10)</f>
        <v>3.0815068026901793</v>
      </c>
      <c r="W11" s="81">
        <f>IF(W5=0,0,W5/TrNavi_ene!W10)</f>
        <v>3.0883188285576439</v>
      </c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129</v>
      </c>
      <c r="B13" s="54">
        <f>IF(B3=0,0,B3/TrNavi_act!B7*1000)</f>
        <v>55848.118061490364</v>
      </c>
      <c r="C13" s="54">
        <f>IF(C3=0,0,C3/TrNavi_act!C7*1000)</f>
        <v>56195.688653465346</v>
      </c>
      <c r="D13" s="54">
        <f>IF(D3=0,0,D3/TrNavi_act!D7*1000)</f>
        <v>54754.824285061659</v>
      </c>
      <c r="E13" s="54">
        <f>IF(E3=0,0,E3/TrNavi_act!E7*1000)</f>
        <v>57868.541339092873</v>
      </c>
      <c r="F13" s="54">
        <f>IF(F3=0,0,F3/TrNavi_act!F7*1000)</f>
        <v>72599.647878787873</v>
      </c>
      <c r="G13" s="54">
        <f>IF(G3=0,0,G3/TrNavi_act!G7*1000)</f>
        <v>72218.757636465947</v>
      </c>
      <c r="H13" s="54">
        <f>IF(H3=0,0,H3/TrNavi_act!H7*1000)</f>
        <v>68705.977246049661</v>
      </c>
      <c r="I13" s="54">
        <f>IF(I3=0,0,I3/TrNavi_act!I7*1000)</f>
        <v>58634.734843238177</v>
      </c>
      <c r="J13" s="54">
        <f>IF(J3=0,0,J3/TrNavi_act!J7*1000)</f>
        <v>59837.235438950564</v>
      </c>
      <c r="K13" s="54">
        <f>IF(K3=0,0,K3/TrNavi_act!K7*1000)</f>
        <v>62662.315507657397</v>
      </c>
      <c r="L13" s="54">
        <f>IF(L3=0,0,L3/TrNavi_act!L7*1000)</f>
        <v>60543.780980683499</v>
      </c>
      <c r="M13" s="54">
        <f>IF(M3=0,0,M3/TrNavi_act!M7*1000)</f>
        <v>62921.209754535732</v>
      </c>
      <c r="N13" s="54">
        <f>IF(N3=0,0,N3/TrNavi_act!N7*1000)</f>
        <v>60869.664807692279</v>
      </c>
      <c r="O13" s="54">
        <f>IF(O3=0,0,O3/TrNavi_act!O7*1000)</f>
        <v>60611.727616191907</v>
      </c>
      <c r="P13" s="54">
        <f>IF(P3=0,0,P3/TrNavi_act!P7*1000)</f>
        <v>63507.439855670091</v>
      </c>
      <c r="Q13" s="54">
        <f>IF(Q3=0,0,Q3/TrNavi_act!Q7*1000)</f>
        <v>67257.95514084505</v>
      </c>
      <c r="R13" s="54">
        <f>IF(R3=0,0,R3/TrNavi_act!R7*1000)</f>
        <v>66395.605714285717</v>
      </c>
      <c r="S13" s="54">
        <f>IF(S3=0,0,S3/TrNavi_act!S7*1000)</f>
        <v>67382.804752264245</v>
      </c>
      <c r="T13" s="54">
        <f>IF(T3=0,0,T3/TrNavi_act!T7*1000)</f>
        <v>75073.210812182748</v>
      </c>
      <c r="U13" s="54">
        <f>IF(U3=0,0,U3/TrNavi_act!U7*1000)</f>
        <v>81764.504917228682</v>
      </c>
      <c r="V13" s="54">
        <f>IF(V3=0,0,V3/TrNavi_act!V7*1000)</f>
        <v>42304.065114503814</v>
      </c>
      <c r="W13" s="54">
        <f>IF(W3=0,0,W3/TrNavi_act!W7*1000)</f>
        <v>67380.060577716635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1025</v>
      </c>
    </row>
    <row r="14" spans="1:105" ht="11.45" customHeight="1" x14ac:dyDescent="0.25">
      <c r="A14" s="55" t="s">
        <v>30</v>
      </c>
      <c r="B14" s="56">
        <f>IF(B4=0,0,B4/TrNavi_act!B8*1000)</f>
        <v>0</v>
      </c>
      <c r="C14" s="56">
        <f>IF(C4=0,0,C4/TrNavi_act!C8*1000)</f>
        <v>0</v>
      </c>
      <c r="D14" s="56">
        <f>IF(D4=0,0,D4/TrNavi_act!D8*1000)</f>
        <v>0</v>
      </c>
      <c r="E14" s="56">
        <f>IF(E4=0,0,E4/TrNavi_act!E8*1000)</f>
        <v>0</v>
      </c>
      <c r="F14" s="56">
        <f>IF(F4=0,0,F4/TrNavi_act!F8*1000)</f>
        <v>0</v>
      </c>
      <c r="G14" s="56">
        <f>IF(G4=0,0,G4/TrNavi_act!G8*1000)</f>
        <v>0</v>
      </c>
      <c r="H14" s="56">
        <f>IF(H4=0,0,H4/TrNavi_act!H8*1000)</f>
        <v>0</v>
      </c>
      <c r="I14" s="56">
        <f>IF(I4=0,0,I4/TrNavi_act!I8*1000)</f>
        <v>0</v>
      </c>
      <c r="J14" s="56">
        <f>IF(J4=0,0,J4/TrNavi_act!J8*1000)</f>
        <v>0</v>
      </c>
      <c r="K14" s="56">
        <f>IF(K4=0,0,K4/TrNavi_act!K8*1000)</f>
        <v>0</v>
      </c>
      <c r="L14" s="56">
        <f>IF(L4=0,0,L4/TrNavi_act!L8*1000)</f>
        <v>0</v>
      </c>
      <c r="M14" s="56">
        <f>IF(M4=0,0,M4/TrNavi_act!M8*1000)</f>
        <v>0</v>
      </c>
      <c r="N14" s="56">
        <f>IF(N4=0,0,N4/TrNavi_act!N8*1000)</f>
        <v>0</v>
      </c>
      <c r="O14" s="56">
        <f>IF(O4=0,0,O4/TrNavi_act!O8*1000)</f>
        <v>0</v>
      </c>
      <c r="P14" s="56">
        <f>IF(P4=0,0,P4/TrNavi_act!P8*1000)</f>
        <v>0</v>
      </c>
      <c r="Q14" s="56">
        <f>IF(Q4=0,0,Q4/TrNavi_act!Q8*1000)</f>
        <v>0</v>
      </c>
      <c r="R14" s="56">
        <f>IF(R4=0,0,R4/TrNavi_act!R8*1000)</f>
        <v>0</v>
      </c>
      <c r="S14" s="56">
        <f>IF(S4=0,0,S4/TrNavi_act!S8*1000)</f>
        <v>0</v>
      </c>
      <c r="T14" s="56">
        <f>IF(T4=0,0,T4/TrNavi_act!T8*1000)</f>
        <v>0</v>
      </c>
      <c r="U14" s="56">
        <f>IF(U4=0,0,U4/TrNavi_act!U8*1000)</f>
        <v>0</v>
      </c>
      <c r="V14" s="56">
        <f>IF(V4=0,0,V4/TrNavi_act!V8*1000)</f>
        <v>0</v>
      </c>
      <c r="W14" s="56">
        <f>IF(W4=0,0,W4/TrNavi_act!W8*1000)</f>
        <v>0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1026</v>
      </c>
    </row>
    <row r="15" spans="1:105" ht="11.45" customHeight="1" x14ac:dyDescent="0.25">
      <c r="A15" s="57" t="s">
        <v>31</v>
      </c>
      <c r="B15" s="58">
        <f>IF(B5=0,0,B5/TrNavi_act!B9*1000)</f>
        <v>55848.118061490364</v>
      </c>
      <c r="C15" s="58">
        <f>IF(C5=0,0,C5/TrNavi_act!C9*1000)</f>
        <v>56195.688653465346</v>
      </c>
      <c r="D15" s="58">
        <f>IF(D5=0,0,D5/TrNavi_act!D9*1000)</f>
        <v>54754.824285061659</v>
      </c>
      <c r="E15" s="58">
        <f>IF(E5=0,0,E5/TrNavi_act!E9*1000)</f>
        <v>57868.541339092873</v>
      </c>
      <c r="F15" s="58">
        <f>IF(F5=0,0,F5/TrNavi_act!F9*1000)</f>
        <v>72599.647878787873</v>
      </c>
      <c r="G15" s="58">
        <f>IF(G5=0,0,G5/TrNavi_act!G9*1000)</f>
        <v>72218.757636465947</v>
      </c>
      <c r="H15" s="58">
        <f>IF(H5=0,0,H5/TrNavi_act!H9*1000)</f>
        <v>68705.977246049661</v>
      </c>
      <c r="I15" s="58">
        <f>IF(I5=0,0,I5/TrNavi_act!I9*1000)</f>
        <v>58634.734843238177</v>
      </c>
      <c r="J15" s="58">
        <f>IF(J5=0,0,J5/TrNavi_act!J9*1000)</f>
        <v>59837.235438950564</v>
      </c>
      <c r="K15" s="58">
        <f>IF(K5=0,0,K5/TrNavi_act!K9*1000)</f>
        <v>62662.315507657397</v>
      </c>
      <c r="L15" s="58">
        <f>IF(L5=0,0,L5/TrNavi_act!L9*1000)</f>
        <v>60543.780980683499</v>
      </c>
      <c r="M15" s="58">
        <f>IF(M5=0,0,M5/TrNavi_act!M9*1000)</f>
        <v>62921.209754535732</v>
      </c>
      <c r="N15" s="58">
        <f>IF(N5=0,0,N5/TrNavi_act!N9*1000)</f>
        <v>60869.664807692279</v>
      </c>
      <c r="O15" s="58">
        <f>IF(O5=0,0,O5/TrNavi_act!O9*1000)</f>
        <v>60611.727616191907</v>
      </c>
      <c r="P15" s="58">
        <f>IF(P5=0,0,P5/TrNavi_act!P9*1000)</f>
        <v>63507.439855670091</v>
      </c>
      <c r="Q15" s="58">
        <f>IF(Q5=0,0,Q5/TrNavi_act!Q9*1000)</f>
        <v>67257.95514084505</v>
      </c>
      <c r="R15" s="58">
        <f>IF(R5=0,0,R5/TrNavi_act!R9*1000)</f>
        <v>66395.605714285717</v>
      </c>
      <c r="S15" s="58">
        <f>IF(S5=0,0,S5/TrNavi_act!S9*1000)</f>
        <v>67382.804752264245</v>
      </c>
      <c r="T15" s="58">
        <f>IF(T5=0,0,T5/TrNavi_act!T9*1000)</f>
        <v>75073.210812182748</v>
      </c>
      <c r="U15" s="58">
        <f>IF(U5=0,0,U5/TrNavi_act!U9*1000)</f>
        <v>81764.504917228682</v>
      </c>
      <c r="V15" s="58">
        <f>IF(V5=0,0,V5/TrNavi_act!V9*1000)</f>
        <v>42304.065114503814</v>
      </c>
      <c r="W15" s="58">
        <f>IF(W5=0,0,W5/TrNavi_act!W9*1000)</f>
        <v>67380.060577716635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1027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167</v>
      </c>
      <c r="B17" s="62">
        <f>IF(B3=0,0,B3/TrNavi_act!B3*1000)</f>
        <v>43.851284189852699</v>
      </c>
      <c r="C17" s="62">
        <f>IF(C3=0,0,C3/TrNavi_act!C3*1000)</f>
        <v>44.393934720375434</v>
      </c>
      <c r="D17" s="62">
        <f>IF(D3=0,0,D3/TrNavi_act!D3*1000)</f>
        <v>42.114655783555861</v>
      </c>
      <c r="E17" s="62">
        <f>IF(E3=0,0,E3/TrNavi_act!E3*1000)</f>
        <v>47.088110087873467</v>
      </c>
      <c r="F17" s="62">
        <f>IF(F3=0,0,F3/TrNavi_act!F3*1000)</f>
        <v>74.054134241556966</v>
      </c>
      <c r="G17" s="62">
        <f>IF(G3=0,0,G3/TrNavi_act!G3*1000)</f>
        <v>73.207491340559045</v>
      </c>
      <c r="H17" s="62">
        <f>IF(H3=0,0,H3/TrNavi_act!H3*1000)</f>
        <v>66.274900206859002</v>
      </c>
      <c r="I17" s="62">
        <f>IF(I3=0,0,I3/TrNavi_act!I3*1000)</f>
        <v>48.248913500192529</v>
      </c>
      <c r="J17" s="62">
        <f>IF(J3=0,0,J3/TrNavi_act!J3*1000)</f>
        <v>50.274438592624001</v>
      </c>
      <c r="K17" s="62">
        <f>IF(K3=0,0,K3/TrNavi_act!K3*1000)</f>
        <v>55.154099970044925</v>
      </c>
      <c r="L17" s="62">
        <f>IF(L3=0,0,L3/TrNavi_act!L3*1000)</f>
        <v>51.468586863157888</v>
      </c>
      <c r="M17" s="62">
        <f>IF(M3=0,0,M3/TrNavi_act!M3*1000)</f>
        <v>55.541378747056037</v>
      </c>
      <c r="N17" s="62">
        <f>IF(N3=0,0,N3/TrNavi_act!N3*1000)</f>
        <v>52.007308315837498</v>
      </c>
      <c r="O17" s="62">
        <f>IF(O3=0,0,O3/TrNavi_act!O3*1000)</f>
        <v>51.544439847003822</v>
      </c>
      <c r="P17" s="62">
        <f>IF(P3=0,0,P3/TrNavi_act!P3*1000)</f>
        <v>56.593676306844266</v>
      </c>
      <c r="Q17" s="62">
        <f>IF(Q3=0,0,Q3/TrNavi_act!Q3*1000)</f>
        <v>63.459333089700991</v>
      </c>
      <c r="R17" s="62">
        <f>IF(R3=0,0,R3/TrNavi_act!R3*1000)</f>
        <v>61.82710073394496</v>
      </c>
      <c r="S17" s="62">
        <f>IF(S3=0,0,S3/TrNavi_act!S3*1000)</f>
        <v>62.550704510385764</v>
      </c>
      <c r="T17" s="62">
        <f>IF(T3=0,0,T3/TrNavi_act!T3*1000)</f>
        <v>79.459624069845532</v>
      </c>
      <c r="U17" s="62">
        <f>IF(U3=0,0,U3/TrNavi_act!U3*1000)</f>
        <v>77.75971283965012</v>
      </c>
      <c r="V17" s="62">
        <f>IF(V3=0,0,V3/TrNavi_act!V3*1000)</f>
        <v>41.408462241594016</v>
      </c>
      <c r="W17" s="62">
        <f>IF(W3=0,0,W3/TrNavi_act!W3*1000)</f>
        <v>65.053524621513944</v>
      </c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DA17" s="172" t="s">
        <v>448</v>
      </c>
    </row>
    <row r="18" spans="1:105" ht="11.45" customHeight="1" x14ac:dyDescent="0.25">
      <c r="A18" s="55" t="s">
        <v>30</v>
      </c>
      <c r="B18" s="63">
        <f>IF(B4=0,0,B4/TrNavi_act!B4*1000)</f>
        <v>0</v>
      </c>
      <c r="C18" s="63">
        <f>IF(C4=0,0,C4/TrNavi_act!C4*1000)</f>
        <v>0</v>
      </c>
      <c r="D18" s="63">
        <f>IF(D4=0,0,D4/TrNavi_act!D4*1000)</f>
        <v>0</v>
      </c>
      <c r="E18" s="63">
        <f>IF(E4=0,0,E4/TrNavi_act!E4*1000)</f>
        <v>0</v>
      </c>
      <c r="F18" s="63">
        <f>IF(F4=0,0,F4/TrNavi_act!F4*1000)</f>
        <v>0</v>
      </c>
      <c r="G18" s="63">
        <f>IF(G4=0,0,G4/TrNavi_act!G4*1000)</f>
        <v>0</v>
      </c>
      <c r="H18" s="63">
        <f>IF(H4=0,0,H4/TrNavi_act!H4*1000)</f>
        <v>0</v>
      </c>
      <c r="I18" s="63">
        <f>IF(I4=0,0,I4/TrNavi_act!I4*1000)</f>
        <v>0</v>
      </c>
      <c r="J18" s="63">
        <f>IF(J4=0,0,J4/TrNavi_act!J4*1000)</f>
        <v>0</v>
      </c>
      <c r="K18" s="63">
        <f>IF(K4=0,0,K4/TrNavi_act!K4*1000)</f>
        <v>0</v>
      </c>
      <c r="L18" s="63">
        <f>IF(L4=0,0,L4/TrNavi_act!L4*1000)</f>
        <v>0</v>
      </c>
      <c r="M18" s="63">
        <f>IF(M4=0,0,M4/TrNavi_act!M4*1000)</f>
        <v>0</v>
      </c>
      <c r="N18" s="63">
        <f>IF(N4=0,0,N4/TrNavi_act!N4*1000)</f>
        <v>0</v>
      </c>
      <c r="O18" s="63">
        <f>IF(O4=0,0,O4/TrNavi_act!O4*1000)</f>
        <v>0</v>
      </c>
      <c r="P18" s="63">
        <f>IF(P4=0,0,P4/TrNavi_act!P4*1000)</f>
        <v>0</v>
      </c>
      <c r="Q18" s="63">
        <f>IF(Q4=0,0,Q4/TrNavi_act!Q4*1000)</f>
        <v>0</v>
      </c>
      <c r="R18" s="63">
        <f>IF(R4=0,0,R4/TrNavi_act!R4*1000)</f>
        <v>0</v>
      </c>
      <c r="S18" s="63">
        <f>IF(S4=0,0,S4/TrNavi_act!S4*1000)</f>
        <v>0</v>
      </c>
      <c r="T18" s="63">
        <f>IF(T4=0,0,T4/TrNavi_act!T4*1000)</f>
        <v>0</v>
      </c>
      <c r="U18" s="63">
        <f>IF(U4=0,0,U4/TrNavi_act!U4*1000)</f>
        <v>0</v>
      </c>
      <c r="V18" s="63">
        <f>IF(V4=0,0,V4/TrNavi_act!V4*1000)</f>
        <v>0</v>
      </c>
      <c r="W18" s="63">
        <f>IF(W4=0,0,W4/TrNavi_act!W4*1000)</f>
        <v>0</v>
      </c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DA18" s="181" t="s">
        <v>449</v>
      </c>
    </row>
    <row r="19" spans="1:105" ht="11.45" customHeight="1" x14ac:dyDescent="0.25">
      <c r="A19" s="57" t="s">
        <v>31</v>
      </c>
      <c r="B19" s="64">
        <f>IF(B5=0,0,B5/TrNavi_act!B5*1000)</f>
        <v>43.851284189852699</v>
      </c>
      <c r="C19" s="64">
        <f>IF(C5=0,0,C5/TrNavi_act!C5*1000)</f>
        <v>44.393934720375434</v>
      </c>
      <c r="D19" s="64">
        <f>IF(D5=0,0,D5/TrNavi_act!D5*1000)</f>
        <v>42.114655783555861</v>
      </c>
      <c r="E19" s="64">
        <f>IF(E5=0,0,E5/TrNavi_act!E5*1000)</f>
        <v>47.088110087873467</v>
      </c>
      <c r="F19" s="64">
        <f>IF(F5=0,0,F5/TrNavi_act!F5*1000)</f>
        <v>74.054134241556966</v>
      </c>
      <c r="G19" s="64">
        <f>IF(G5=0,0,G5/TrNavi_act!G5*1000)</f>
        <v>73.207491340559045</v>
      </c>
      <c r="H19" s="64">
        <f>IF(H5=0,0,H5/TrNavi_act!H5*1000)</f>
        <v>66.274900206859002</v>
      </c>
      <c r="I19" s="64">
        <f>IF(I5=0,0,I5/TrNavi_act!I5*1000)</f>
        <v>48.248913500192529</v>
      </c>
      <c r="J19" s="64">
        <f>IF(J5=0,0,J5/TrNavi_act!J5*1000)</f>
        <v>50.274438592624001</v>
      </c>
      <c r="K19" s="64">
        <f>IF(K5=0,0,K5/TrNavi_act!K5*1000)</f>
        <v>55.154099970044925</v>
      </c>
      <c r="L19" s="64">
        <f>IF(L5=0,0,L5/TrNavi_act!L5*1000)</f>
        <v>51.468586863157888</v>
      </c>
      <c r="M19" s="64">
        <f>IF(M5=0,0,M5/TrNavi_act!M5*1000)</f>
        <v>55.541378747056037</v>
      </c>
      <c r="N19" s="64">
        <f>IF(N5=0,0,N5/TrNavi_act!N5*1000)</f>
        <v>52.007308315837498</v>
      </c>
      <c r="O19" s="64">
        <f>IF(O5=0,0,O5/TrNavi_act!O5*1000)</f>
        <v>51.544439847003822</v>
      </c>
      <c r="P19" s="64">
        <f>IF(P5=0,0,P5/TrNavi_act!P5*1000)</f>
        <v>56.593676306844266</v>
      </c>
      <c r="Q19" s="64">
        <f>IF(Q5=0,0,Q5/TrNavi_act!Q5*1000)</f>
        <v>63.459333089700991</v>
      </c>
      <c r="R19" s="64">
        <f>IF(R5=0,0,R5/TrNavi_act!R5*1000)</f>
        <v>61.82710073394496</v>
      </c>
      <c r="S19" s="64">
        <f>IF(S5=0,0,S5/TrNavi_act!S5*1000)</f>
        <v>62.550704510385764</v>
      </c>
      <c r="T19" s="64">
        <f>IF(T5=0,0,T5/TrNavi_act!T5*1000)</f>
        <v>79.459624069845532</v>
      </c>
      <c r="U19" s="64">
        <f>IF(U5=0,0,U5/TrNavi_act!U5*1000)</f>
        <v>77.75971283965012</v>
      </c>
      <c r="V19" s="64">
        <f>IF(V5=0,0,V5/TrNavi_act!V5*1000)</f>
        <v>41.408462241594016</v>
      </c>
      <c r="W19" s="64">
        <f>IF(W5=0,0,W5/TrNavi_act!W5*1000)</f>
        <v>65.053524621513944</v>
      </c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DA19" s="182" t="s">
        <v>450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41</v>
      </c>
      <c r="B21" s="76">
        <f t="shared" ref="B21:U21" si="3">IF(B3=0,0,B3/B$3)</f>
        <v>1</v>
      </c>
      <c r="C21" s="76">
        <f t="shared" si="3"/>
        <v>1</v>
      </c>
      <c r="D21" s="76">
        <f t="shared" si="3"/>
        <v>1</v>
      </c>
      <c r="E21" s="76">
        <f t="shared" si="3"/>
        <v>1</v>
      </c>
      <c r="F21" s="76">
        <f t="shared" si="3"/>
        <v>1</v>
      </c>
      <c r="G21" s="76">
        <f t="shared" si="3"/>
        <v>1</v>
      </c>
      <c r="H21" s="76">
        <f t="shared" si="3"/>
        <v>1</v>
      </c>
      <c r="I21" s="76">
        <f t="shared" si="3"/>
        <v>1</v>
      </c>
      <c r="J21" s="76">
        <f t="shared" si="3"/>
        <v>1</v>
      </c>
      <c r="K21" s="76">
        <f t="shared" si="3"/>
        <v>1</v>
      </c>
      <c r="L21" s="76">
        <f t="shared" si="3"/>
        <v>1</v>
      </c>
      <c r="M21" s="76">
        <f t="shared" si="3"/>
        <v>1</v>
      </c>
      <c r="N21" s="76">
        <f t="shared" si="3"/>
        <v>1</v>
      </c>
      <c r="O21" s="76">
        <f t="shared" si="3"/>
        <v>1</v>
      </c>
      <c r="P21" s="76">
        <f t="shared" si="3"/>
        <v>1</v>
      </c>
      <c r="Q21" s="76">
        <f t="shared" si="3"/>
        <v>1</v>
      </c>
      <c r="R21" s="76">
        <f t="shared" si="3"/>
        <v>1</v>
      </c>
      <c r="S21" s="76">
        <f t="shared" si="3"/>
        <v>1</v>
      </c>
      <c r="T21" s="76">
        <f t="shared" si="3"/>
        <v>1</v>
      </c>
      <c r="U21" s="76">
        <f t="shared" si="3"/>
        <v>1</v>
      </c>
      <c r="V21" s="76">
        <f t="shared" ref="V21:W21" si="4">IF(V3=0,0,V3/V$3)</f>
        <v>1</v>
      </c>
      <c r="W21" s="76">
        <f t="shared" si="4"/>
        <v>1</v>
      </c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DA21" s="183"/>
    </row>
    <row r="22" spans="1:105" ht="11.45" customHeight="1" x14ac:dyDescent="0.25">
      <c r="A22" s="55" t="s">
        <v>30</v>
      </c>
      <c r="B22" s="77">
        <f t="shared" ref="B22:U22" si="5">IF(B4=0,0,B4/B$3)</f>
        <v>0</v>
      </c>
      <c r="C22" s="77">
        <f t="shared" si="5"/>
        <v>0</v>
      </c>
      <c r="D22" s="77">
        <f t="shared" si="5"/>
        <v>0</v>
      </c>
      <c r="E22" s="77">
        <f t="shared" si="5"/>
        <v>0</v>
      </c>
      <c r="F22" s="77">
        <f t="shared" si="5"/>
        <v>0</v>
      </c>
      <c r="G22" s="77">
        <f t="shared" si="5"/>
        <v>0</v>
      </c>
      <c r="H22" s="77">
        <f t="shared" si="5"/>
        <v>0</v>
      </c>
      <c r="I22" s="77">
        <f t="shared" si="5"/>
        <v>0</v>
      </c>
      <c r="J22" s="77">
        <f t="shared" si="5"/>
        <v>0</v>
      </c>
      <c r="K22" s="77">
        <f t="shared" si="5"/>
        <v>0</v>
      </c>
      <c r="L22" s="77">
        <f t="shared" si="5"/>
        <v>0</v>
      </c>
      <c r="M22" s="77">
        <f t="shared" si="5"/>
        <v>0</v>
      </c>
      <c r="N22" s="77">
        <f t="shared" si="5"/>
        <v>0</v>
      </c>
      <c r="O22" s="77">
        <f t="shared" si="5"/>
        <v>0</v>
      </c>
      <c r="P22" s="77">
        <f t="shared" si="5"/>
        <v>0</v>
      </c>
      <c r="Q22" s="77">
        <f t="shared" si="5"/>
        <v>0</v>
      </c>
      <c r="R22" s="77">
        <f t="shared" si="5"/>
        <v>0</v>
      </c>
      <c r="S22" s="77">
        <f t="shared" si="5"/>
        <v>0</v>
      </c>
      <c r="T22" s="77">
        <f t="shared" si="5"/>
        <v>0</v>
      </c>
      <c r="U22" s="77">
        <f t="shared" si="5"/>
        <v>0</v>
      </c>
      <c r="V22" s="77">
        <f t="shared" ref="V22:W22" si="6">IF(V4=0,0,V4/V$3)</f>
        <v>0</v>
      </c>
      <c r="W22" s="77">
        <f t="shared" si="6"/>
        <v>0</v>
      </c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DA22" s="184"/>
    </row>
    <row r="23" spans="1:105" ht="11.45" customHeight="1" x14ac:dyDescent="0.25">
      <c r="A23" s="57" t="s">
        <v>31</v>
      </c>
      <c r="B23" s="78">
        <f t="shared" ref="B23:U23" si="7">IF(B5=0,0,B5/B$3)</f>
        <v>1</v>
      </c>
      <c r="C23" s="78">
        <f t="shared" si="7"/>
        <v>1</v>
      </c>
      <c r="D23" s="78">
        <f t="shared" si="7"/>
        <v>1</v>
      </c>
      <c r="E23" s="78">
        <f t="shared" si="7"/>
        <v>1</v>
      </c>
      <c r="F23" s="78">
        <f t="shared" si="7"/>
        <v>1</v>
      </c>
      <c r="G23" s="78">
        <f t="shared" si="7"/>
        <v>1</v>
      </c>
      <c r="H23" s="78">
        <f t="shared" si="7"/>
        <v>1</v>
      </c>
      <c r="I23" s="78">
        <f t="shared" si="7"/>
        <v>1</v>
      </c>
      <c r="J23" s="78">
        <f t="shared" si="7"/>
        <v>1</v>
      </c>
      <c r="K23" s="78">
        <f t="shared" si="7"/>
        <v>1</v>
      </c>
      <c r="L23" s="78">
        <f t="shared" si="7"/>
        <v>1</v>
      </c>
      <c r="M23" s="78">
        <f t="shared" si="7"/>
        <v>1</v>
      </c>
      <c r="N23" s="78">
        <f t="shared" si="7"/>
        <v>1</v>
      </c>
      <c r="O23" s="78">
        <f t="shared" si="7"/>
        <v>1</v>
      </c>
      <c r="P23" s="78">
        <f t="shared" si="7"/>
        <v>1</v>
      </c>
      <c r="Q23" s="78">
        <f t="shared" si="7"/>
        <v>1</v>
      </c>
      <c r="R23" s="78">
        <f t="shared" si="7"/>
        <v>1</v>
      </c>
      <c r="S23" s="78">
        <f t="shared" si="7"/>
        <v>1</v>
      </c>
      <c r="T23" s="78">
        <f t="shared" si="7"/>
        <v>1</v>
      </c>
      <c r="U23" s="78">
        <f t="shared" si="7"/>
        <v>1</v>
      </c>
      <c r="V23" s="78">
        <f t="shared" ref="V23:W23" si="8">IF(V5=0,0,V5/V$3)</f>
        <v>1</v>
      </c>
      <c r="W23" s="78">
        <f t="shared" si="8"/>
        <v>1</v>
      </c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DA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168</v>
      </c>
      <c r="B3" s="54">
        <f t="shared" ref="B3:Q3" si="0">SUM(B4:B5)</f>
        <v>0</v>
      </c>
      <c r="C3" s="54">
        <f t="shared" si="0"/>
        <v>0</v>
      </c>
      <c r="D3" s="54">
        <f t="shared" si="0"/>
        <v>0</v>
      </c>
      <c r="E3" s="54">
        <f t="shared" si="0"/>
        <v>0</v>
      </c>
      <c r="F3" s="54">
        <f t="shared" si="0"/>
        <v>0</v>
      </c>
      <c r="G3" s="54">
        <f t="shared" si="0"/>
        <v>0</v>
      </c>
      <c r="H3" s="54">
        <f t="shared" si="0"/>
        <v>0</v>
      </c>
      <c r="I3" s="54">
        <f t="shared" si="0"/>
        <v>0</v>
      </c>
      <c r="J3" s="54">
        <f t="shared" si="0"/>
        <v>0</v>
      </c>
      <c r="K3" s="54">
        <f t="shared" si="0"/>
        <v>0</v>
      </c>
      <c r="L3" s="54">
        <f t="shared" si="0"/>
        <v>0</v>
      </c>
      <c r="M3" s="54">
        <f t="shared" si="0"/>
        <v>0</v>
      </c>
      <c r="N3" s="54">
        <f t="shared" si="0"/>
        <v>0</v>
      </c>
      <c r="O3" s="54">
        <f t="shared" si="0"/>
        <v>0</v>
      </c>
      <c r="P3" s="54">
        <f t="shared" si="0"/>
        <v>0</v>
      </c>
      <c r="Q3" s="54">
        <f t="shared" si="0"/>
        <v>0</v>
      </c>
      <c r="R3" s="54">
        <f t="shared" ref="R3:W3" si="1">SUM(R4:R5)</f>
        <v>0</v>
      </c>
      <c r="S3" s="54">
        <f t="shared" si="1"/>
        <v>0</v>
      </c>
      <c r="T3" s="54">
        <f t="shared" si="1"/>
        <v>0</v>
      </c>
      <c r="U3" s="54">
        <f t="shared" si="1"/>
        <v>0</v>
      </c>
      <c r="V3" s="54">
        <f t="shared" si="1"/>
        <v>0</v>
      </c>
      <c r="W3" s="54">
        <f t="shared" si="1"/>
        <v>0</v>
      </c>
      <c r="DA3" s="172" t="s">
        <v>387</v>
      </c>
    </row>
    <row r="4" spans="1:105" ht="11.45" customHeight="1" x14ac:dyDescent="0.25">
      <c r="A4" s="55" t="s">
        <v>170</v>
      </c>
      <c r="B4" s="56">
        <v>0</v>
      </c>
      <c r="C4" s="56">
        <v>0</v>
      </c>
      <c r="D4" s="56">
        <v>0</v>
      </c>
      <c r="E4" s="56">
        <v>0</v>
      </c>
      <c r="F4" s="56">
        <v>0</v>
      </c>
      <c r="G4" s="56">
        <v>0</v>
      </c>
      <c r="H4" s="56">
        <v>0</v>
      </c>
      <c r="I4" s="56">
        <v>0</v>
      </c>
      <c r="J4" s="56">
        <v>0</v>
      </c>
      <c r="K4" s="56">
        <v>0</v>
      </c>
      <c r="L4" s="56">
        <v>0</v>
      </c>
      <c r="M4" s="56">
        <v>0</v>
      </c>
      <c r="N4" s="56">
        <v>0</v>
      </c>
      <c r="O4" s="56">
        <v>0</v>
      </c>
      <c r="P4" s="56">
        <v>0</v>
      </c>
      <c r="Q4" s="56">
        <v>0</v>
      </c>
      <c r="R4" s="56">
        <v>0</v>
      </c>
      <c r="S4" s="56">
        <v>0</v>
      </c>
      <c r="T4" s="56">
        <v>0</v>
      </c>
      <c r="U4" s="56">
        <v>0</v>
      </c>
      <c r="V4" s="56">
        <v>0</v>
      </c>
      <c r="W4" s="56">
        <v>0</v>
      </c>
      <c r="DA4" s="181" t="s">
        <v>388</v>
      </c>
    </row>
    <row r="5" spans="1:105" ht="11.45" customHeight="1" x14ac:dyDescent="0.25">
      <c r="A5" s="57" t="s">
        <v>171</v>
      </c>
      <c r="B5" s="58">
        <v>0</v>
      </c>
      <c r="C5" s="58">
        <v>0</v>
      </c>
      <c r="D5" s="58">
        <v>0</v>
      </c>
      <c r="E5" s="58">
        <v>0</v>
      </c>
      <c r="F5" s="58">
        <v>0</v>
      </c>
      <c r="G5" s="58">
        <v>0</v>
      </c>
      <c r="H5" s="58">
        <v>0</v>
      </c>
      <c r="I5" s="58">
        <v>0</v>
      </c>
      <c r="J5" s="58">
        <v>0</v>
      </c>
      <c r="K5" s="58">
        <v>0</v>
      </c>
      <c r="L5" s="58">
        <v>0</v>
      </c>
      <c r="M5" s="58">
        <v>0</v>
      </c>
      <c r="N5" s="58">
        <v>0</v>
      </c>
      <c r="O5" s="58">
        <v>0</v>
      </c>
      <c r="P5" s="58">
        <v>0</v>
      </c>
      <c r="Q5" s="58">
        <v>0</v>
      </c>
      <c r="R5" s="58">
        <v>0</v>
      </c>
      <c r="S5" s="58">
        <v>0</v>
      </c>
      <c r="T5" s="58">
        <v>0</v>
      </c>
      <c r="U5" s="58">
        <v>0</v>
      </c>
      <c r="V5" s="58">
        <v>0</v>
      </c>
      <c r="W5" s="58">
        <v>0</v>
      </c>
      <c r="DA5" s="182" t="s">
        <v>389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53" t="s">
        <v>64</v>
      </c>
      <c r="B7" s="59">
        <f t="shared" ref="B7:W7" si="2">SUM(B8:B9)</f>
        <v>0</v>
      </c>
      <c r="C7" s="59">
        <f t="shared" si="2"/>
        <v>0</v>
      </c>
      <c r="D7" s="59">
        <f t="shared" si="2"/>
        <v>0</v>
      </c>
      <c r="E7" s="59">
        <f t="shared" si="2"/>
        <v>0</v>
      </c>
      <c r="F7" s="59">
        <f t="shared" si="2"/>
        <v>0</v>
      </c>
      <c r="G7" s="59">
        <f t="shared" si="2"/>
        <v>0</v>
      </c>
      <c r="H7" s="59">
        <f t="shared" si="2"/>
        <v>0</v>
      </c>
      <c r="I7" s="59">
        <f t="shared" si="2"/>
        <v>0</v>
      </c>
      <c r="J7" s="59">
        <f t="shared" si="2"/>
        <v>0</v>
      </c>
      <c r="K7" s="59">
        <f t="shared" si="2"/>
        <v>0</v>
      </c>
      <c r="L7" s="59">
        <f t="shared" si="2"/>
        <v>0</v>
      </c>
      <c r="M7" s="59">
        <f t="shared" si="2"/>
        <v>0</v>
      </c>
      <c r="N7" s="59">
        <f t="shared" si="2"/>
        <v>0</v>
      </c>
      <c r="O7" s="59">
        <f t="shared" si="2"/>
        <v>0</v>
      </c>
      <c r="P7" s="59">
        <f t="shared" si="2"/>
        <v>0</v>
      </c>
      <c r="Q7" s="59">
        <f t="shared" si="2"/>
        <v>0</v>
      </c>
      <c r="R7" s="59">
        <f t="shared" si="2"/>
        <v>0</v>
      </c>
      <c r="S7" s="59">
        <f t="shared" si="2"/>
        <v>0</v>
      </c>
      <c r="T7" s="59">
        <f t="shared" si="2"/>
        <v>0</v>
      </c>
      <c r="U7" s="59">
        <f t="shared" si="2"/>
        <v>0</v>
      </c>
      <c r="V7" s="59">
        <f t="shared" si="2"/>
        <v>0</v>
      </c>
      <c r="W7" s="59">
        <f t="shared" si="2"/>
        <v>0</v>
      </c>
      <c r="DA7" s="172" t="s">
        <v>961</v>
      </c>
    </row>
    <row r="8" spans="1:105" ht="11.45" customHeight="1" x14ac:dyDescent="0.25">
      <c r="A8" s="55" t="s">
        <v>170</v>
      </c>
      <c r="B8" s="60">
        <v>0</v>
      </c>
      <c r="C8" s="60">
        <v>0</v>
      </c>
      <c r="D8" s="60">
        <v>0</v>
      </c>
      <c r="E8" s="60">
        <v>0</v>
      </c>
      <c r="F8" s="60">
        <v>0</v>
      </c>
      <c r="G8" s="60">
        <v>0</v>
      </c>
      <c r="H8" s="60">
        <v>0</v>
      </c>
      <c r="I8" s="60">
        <v>0</v>
      </c>
      <c r="J8" s="60">
        <v>0</v>
      </c>
      <c r="K8" s="60">
        <v>0</v>
      </c>
      <c r="L8" s="60">
        <v>0</v>
      </c>
      <c r="M8" s="60">
        <v>0</v>
      </c>
      <c r="N8" s="60">
        <v>0</v>
      </c>
      <c r="O8" s="60">
        <v>0</v>
      </c>
      <c r="P8" s="60">
        <v>0</v>
      </c>
      <c r="Q8" s="60">
        <v>0</v>
      </c>
      <c r="R8" s="60">
        <v>0</v>
      </c>
      <c r="S8" s="60">
        <v>0</v>
      </c>
      <c r="T8" s="60">
        <v>0</v>
      </c>
      <c r="U8" s="60">
        <v>0</v>
      </c>
      <c r="V8" s="60">
        <v>0</v>
      </c>
      <c r="W8" s="60">
        <v>0</v>
      </c>
      <c r="DA8" s="181" t="s">
        <v>962</v>
      </c>
    </row>
    <row r="9" spans="1:105" ht="11.45" customHeight="1" x14ac:dyDescent="0.25">
      <c r="A9" s="57" t="s">
        <v>171</v>
      </c>
      <c r="B9" s="61">
        <v>0</v>
      </c>
      <c r="C9" s="61">
        <v>0</v>
      </c>
      <c r="D9" s="61">
        <v>0</v>
      </c>
      <c r="E9" s="61">
        <v>0</v>
      </c>
      <c r="F9" s="61">
        <v>0</v>
      </c>
      <c r="G9" s="61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  <c r="P9" s="61">
        <v>0</v>
      </c>
      <c r="Q9" s="61">
        <v>0</v>
      </c>
      <c r="R9" s="61">
        <v>0</v>
      </c>
      <c r="S9" s="61">
        <v>0</v>
      </c>
      <c r="T9" s="61">
        <v>0</v>
      </c>
      <c r="U9" s="61">
        <v>0</v>
      </c>
      <c r="V9" s="61">
        <v>0</v>
      </c>
      <c r="W9" s="61">
        <v>0</v>
      </c>
      <c r="DA9" s="182" t="s">
        <v>963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144</v>
      </c>
      <c r="B13" s="62">
        <f t="shared" ref="B13:W15" si="3">IF(B3=0,0,B3/B7)</f>
        <v>0</v>
      </c>
      <c r="C13" s="62">
        <f t="shared" si="3"/>
        <v>0</v>
      </c>
      <c r="D13" s="62">
        <f t="shared" si="3"/>
        <v>0</v>
      </c>
      <c r="E13" s="62">
        <f t="shared" si="3"/>
        <v>0</v>
      </c>
      <c r="F13" s="62">
        <f t="shared" si="3"/>
        <v>0</v>
      </c>
      <c r="G13" s="62">
        <f t="shared" si="3"/>
        <v>0</v>
      </c>
      <c r="H13" s="62">
        <f t="shared" si="3"/>
        <v>0</v>
      </c>
      <c r="I13" s="62">
        <f t="shared" si="3"/>
        <v>0</v>
      </c>
      <c r="J13" s="62">
        <f t="shared" si="3"/>
        <v>0</v>
      </c>
      <c r="K13" s="62">
        <f t="shared" si="3"/>
        <v>0</v>
      </c>
      <c r="L13" s="62">
        <f t="shared" si="3"/>
        <v>0</v>
      </c>
      <c r="M13" s="62">
        <f t="shared" si="3"/>
        <v>0</v>
      </c>
      <c r="N13" s="62">
        <f t="shared" si="3"/>
        <v>0</v>
      </c>
      <c r="O13" s="62">
        <f t="shared" si="3"/>
        <v>0</v>
      </c>
      <c r="P13" s="62">
        <f t="shared" si="3"/>
        <v>0</v>
      </c>
      <c r="Q13" s="62">
        <f t="shared" si="3"/>
        <v>0</v>
      </c>
      <c r="R13" s="62">
        <f t="shared" si="3"/>
        <v>0</v>
      </c>
      <c r="S13" s="62">
        <f t="shared" si="3"/>
        <v>0</v>
      </c>
      <c r="T13" s="62">
        <f t="shared" si="3"/>
        <v>0</v>
      </c>
      <c r="U13" s="62">
        <f t="shared" si="3"/>
        <v>0</v>
      </c>
      <c r="V13" s="62">
        <f t="shared" si="3"/>
        <v>0</v>
      </c>
      <c r="W13" s="62">
        <f t="shared" si="3"/>
        <v>0</v>
      </c>
      <c r="DA13" s="172" t="s">
        <v>964</v>
      </c>
    </row>
    <row r="14" spans="1:105" ht="11.45" customHeight="1" x14ac:dyDescent="0.25">
      <c r="A14" s="55" t="s">
        <v>170</v>
      </c>
      <c r="B14" s="63">
        <f t="shared" si="3"/>
        <v>0</v>
      </c>
      <c r="C14" s="63">
        <f t="shared" si="3"/>
        <v>0</v>
      </c>
      <c r="D14" s="63">
        <f t="shared" si="3"/>
        <v>0</v>
      </c>
      <c r="E14" s="63">
        <f t="shared" si="3"/>
        <v>0</v>
      </c>
      <c r="F14" s="63">
        <f t="shared" si="3"/>
        <v>0</v>
      </c>
      <c r="G14" s="63">
        <f t="shared" si="3"/>
        <v>0</v>
      </c>
      <c r="H14" s="63">
        <f t="shared" si="3"/>
        <v>0</v>
      </c>
      <c r="I14" s="63">
        <f t="shared" si="3"/>
        <v>0</v>
      </c>
      <c r="J14" s="63">
        <f t="shared" si="3"/>
        <v>0</v>
      </c>
      <c r="K14" s="63">
        <f t="shared" si="3"/>
        <v>0</v>
      </c>
      <c r="L14" s="63">
        <f t="shared" si="3"/>
        <v>0</v>
      </c>
      <c r="M14" s="63">
        <f t="shared" si="3"/>
        <v>0</v>
      </c>
      <c r="N14" s="63">
        <f t="shared" si="3"/>
        <v>0</v>
      </c>
      <c r="O14" s="63">
        <f t="shared" si="3"/>
        <v>0</v>
      </c>
      <c r="P14" s="63">
        <f t="shared" si="3"/>
        <v>0</v>
      </c>
      <c r="Q14" s="63">
        <f t="shared" si="3"/>
        <v>0</v>
      </c>
      <c r="R14" s="63">
        <f t="shared" si="3"/>
        <v>0</v>
      </c>
      <c r="S14" s="63">
        <f t="shared" si="3"/>
        <v>0</v>
      </c>
      <c r="T14" s="63">
        <f t="shared" si="3"/>
        <v>0</v>
      </c>
      <c r="U14" s="63">
        <f t="shared" si="3"/>
        <v>0</v>
      </c>
      <c r="V14" s="63">
        <f t="shared" si="3"/>
        <v>0</v>
      </c>
      <c r="W14" s="63">
        <f t="shared" si="3"/>
        <v>0</v>
      </c>
      <c r="DA14" s="181" t="s">
        <v>965</v>
      </c>
    </row>
    <row r="15" spans="1:105" ht="11.45" customHeight="1" x14ac:dyDescent="0.25">
      <c r="A15" s="57" t="s">
        <v>171</v>
      </c>
      <c r="B15" s="64">
        <f t="shared" si="3"/>
        <v>0</v>
      </c>
      <c r="C15" s="64">
        <f t="shared" si="3"/>
        <v>0</v>
      </c>
      <c r="D15" s="64">
        <f t="shared" si="3"/>
        <v>0</v>
      </c>
      <c r="E15" s="64">
        <f t="shared" si="3"/>
        <v>0</v>
      </c>
      <c r="F15" s="64">
        <f t="shared" si="3"/>
        <v>0</v>
      </c>
      <c r="G15" s="64">
        <f t="shared" si="3"/>
        <v>0</v>
      </c>
      <c r="H15" s="64">
        <f t="shared" si="3"/>
        <v>0</v>
      </c>
      <c r="I15" s="64">
        <f t="shared" si="3"/>
        <v>0</v>
      </c>
      <c r="J15" s="64">
        <f t="shared" si="3"/>
        <v>0</v>
      </c>
      <c r="K15" s="64">
        <f t="shared" si="3"/>
        <v>0</v>
      </c>
      <c r="L15" s="64">
        <f t="shared" si="3"/>
        <v>0</v>
      </c>
      <c r="M15" s="64">
        <f t="shared" si="3"/>
        <v>0</v>
      </c>
      <c r="N15" s="64">
        <f t="shared" si="3"/>
        <v>0</v>
      </c>
      <c r="O15" s="64">
        <f t="shared" si="3"/>
        <v>0</v>
      </c>
      <c r="P15" s="64">
        <f t="shared" si="3"/>
        <v>0</v>
      </c>
      <c r="Q15" s="64">
        <f t="shared" si="3"/>
        <v>0</v>
      </c>
      <c r="R15" s="64">
        <f t="shared" si="3"/>
        <v>0</v>
      </c>
      <c r="S15" s="64">
        <f t="shared" si="3"/>
        <v>0</v>
      </c>
      <c r="T15" s="64">
        <f t="shared" si="3"/>
        <v>0</v>
      </c>
      <c r="U15" s="64">
        <f t="shared" si="3"/>
        <v>0</v>
      </c>
      <c r="V15" s="64">
        <f t="shared" si="3"/>
        <v>0</v>
      </c>
      <c r="W15" s="64">
        <f t="shared" si="3"/>
        <v>0</v>
      </c>
      <c r="DA15" s="182" t="s">
        <v>966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65</v>
      </c>
      <c r="B17" s="65">
        <f t="shared" ref="B17:W19" si="4">IF(B3=0,0,B3/B$3)</f>
        <v>0</v>
      </c>
      <c r="C17" s="65">
        <f t="shared" si="4"/>
        <v>0</v>
      </c>
      <c r="D17" s="65">
        <f t="shared" si="4"/>
        <v>0</v>
      </c>
      <c r="E17" s="65">
        <f t="shared" si="4"/>
        <v>0</v>
      </c>
      <c r="F17" s="65">
        <f t="shared" si="4"/>
        <v>0</v>
      </c>
      <c r="G17" s="65">
        <f t="shared" si="4"/>
        <v>0</v>
      </c>
      <c r="H17" s="65">
        <f t="shared" si="4"/>
        <v>0</v>
      </c>
      <c r="I17" s="65">
        <f t="shared" si="4"/>
        <v>0</v>
      </c>
      <c r="J17" s="65">
        <f t="shared" si="4"/>
        <v>0</v>
      </c>
      <c r="K17" s="65">
        <f t="shared" si="4"/>
        <v>0</v>
      </c>
      <c r="L17" s="65">
        <f t="shared" si="4"/>
        <v>0</v>
      </c>
      <c r="M17" s="65">
        <f t="shared" si="4"/>
        <v>0</v>
      </c>
      <c r="N17" s="65">
        <f t="shared" si="4"/>
        <v>0</v>
      </c>
      <c r="O17" s="65">
        <f t="shared" si="4"/>
        <v>0</v>
      </c>
      <c r="P17" s="65">
        <f t="shared" si="4"/>
        <v>0</v>
      </c>
      <c r="Q17" s="65">
        <f t="shared" si="4"/>
        <v>0</v>
      </c>
      <c r="R17" s="65">
        <f t="shared" si="4"/>
        <v>0</v>
      </c>
      <c r="S17" s="65">
        <f t="shared" si="4"/>
        <v>0</v>
      </c>
      <c r="T17" s="65">
        <f t="shared" si="4"/>
        <v>0</v>
      </c>
      <c r="U17" s="65">
        <f t="shared" si="4"/>
        <v>0</v>
      </c>
      <c r="V17" s="65">
        <f t="shared" si="4"/>
        <v>0</v>
      </c>
      <c r="W17" s="65">
        <f t="shared" si="4"/>
        <v>0</v>
      </c>
      <c r="DA17" s="172"/>
    </row>
    <row r="18" spans="1:105" ht="11.45" customHeight="1" x14ac:dyDescent="0.25">
      <c r="A18" s="55" t="s">
        <v>170</v>
      </c>
      <c r="B18" s="66">
        <f t="shared" si="4"/>
        <v>0</v>
      </c>
      <c r="C18" s="66">
        <f t="shared" si="4"/>
        <v>0</v>
      </c>
      <c r="D18" s="66">
        <f t="shared" si="4"/>
        <v>0</v>
      </c>
      <c r="E18" s="66">
        <f t="shared" si="4"/>
        <v>0</v>
      </c>
      <c r="F18" s="66">
        <f t="shared" si="4"/>
        <v>0</v>
      </c>
      <c r="G18" s="66">
        <f t="shared" si="4"/>
        <v>0</v>
      </c>
      <c r="H18" s="66">
        <f t="shared" si="4"/>
        <v>0</v>
      </c>
      <c r="I18" s="66">
        <f t="shared" si="4"/>
        <v>0</v>
      </c>
      <c r="J18" s="66">
        <f t="shared" si="4"/>
        <v>0</v>
      </c>
      <c r="K18" s="66">
        <f t="shared" si="4"/>
        <v>0</v>
      </c>
      <c r="L18" s="66">
        <f t="shared" si="4"/>
        <v>0</v>
      </c>
      <c r="M18" s="66">
        <f t="shared" si="4"/>
        <v>0</v>
      </c>
      <c r="N18" s="66">
        <f t="shared" si="4"/>
        <v>0</v>
      </c>
      <c r="O18" s="66">
        <f t="shared" si="4"/>
        <v>0</v>
      </c>
      <c r="P18" s="66">
        <f t="shared" si="4"/>
        <v>0</v>
      </c>
      <c r="Q18" s="66">
        <f t="shared" si="4"/>
        <v>0</v>
      </c>
      <c r="R18" s="66">
        <f t="shared" si="4"/>
        <v>0</v>
      </c>
      <c r="S18" s="66">
        <f t="shared" si="4"/>
        <v>0</v>
      </c>
      <c r="T18" s="66">
        <f t="shared" si="4"/>
        <v>0</v>
      </c>
      <c r="U18" s="66">
        <f t="shared" si="4"/>
        <v>0</v>
      </c>
      <c r="V18" s="66">
        <f t="shared" si="4"/>
        <v>0</v>
      </c>
      <c r="W18" s="66">
        <f t="shared" si="4"/>
        <v>0</v>
      </c>
      <c r="DA18" s="181"/>
    </row>
    <row r="19" spans="1:105" ht="11.45" customHeight="1" x14ac:dyDescent="0.25">
      <c r="A19" s="57" t="s">
        <v>171</v>
      </c>
      <c r="B19" s="67">
        <f t="shared" si="4"/>
        <v>0</v>
      </c>
      <c r="C19" s="67">
        <f t="shared" si="4"/>
        <v>0</v>
      </c>
      <c r="D19" s="67">
        <f t="shared" si="4"/>
        <v>0</v>
      </c>
      <c r="E19" s="67">
        <f t="shared" si="4"/>
        <v>0</v>
      </c>
      <c r="F19" s="67">
        <f t="shared" si="4"/>
        <v>0</v>
      </c>
      <c r="G19" s="67">
        <f t="shared" si="4"/>
        <v>0</v>
      </c>
      <c r="H19" s="67">
        <f t="shared" si="4"/>
        <v>0</v>
      </c>
      <c r="I19" s="67">
        <f t="shared" si="4"/>
        <v>0</v>
      </c>
      <c r="J19" s="67">
        <f t="shared" si="4"/>
        <v>0</v>
      </c>
      <c r="K19" s="67">
        <f t="shared" si="4"/>
        <v>0</v>
      </c>
      <c r="L19" s="67">
        <f t="shared" si="4"/>
        <v>0</v>
      </c>
      <c r="M19" s="67">
        <f t="shared" si="4"/>
        <v>0</v>
      </c>
      <c r="N19" s="67">
        <f t="shared" si="4"/>
        <v>0</v>
      </c>
      <c r="O19" s="67">
        <f t="shared" si="4"/>
        <v>0</v>
      </c>
      <c r="P19" s="67">
        <f t="shared" si="4"/>
        <v>0</v>
      </c>
      <c r="Q19" s="67">
        <f t="shared" si="4"/>
        <v>0</v>
      </c>
      <c r="R19" s="67">
        <f t="shared" si="4"/>
        <v>0</v>
      </c>
      <c r="S19" s="67">
        <f t="shared" si="4"/>
        <v>0</v>
      </c>
      <c r="T19" s="67">
        <f t="shared" si="4"/>
        <v>0</v>
      </c>
      <c r="U19" s="67">
        <f t="shared" si="4"/>
        <v>0</v>
      </c>
      <c r="V19" s="67">
        <f t="shared" si="4"/>
        <v>0</v>
      </c>
      <c r="W19" s="67">
        <f t="shared" si="4"/>
        <v>0</v>
      </c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66</v>
      </c>
      <c r="B21" s="65">
        <f t="shared" ref="B21:W23" si="5">IF(B7=0,0,B7/B$7)</f>
        <v>0</v>
      </c>
      <c r="C21" s="65">
        <f t="shared" si="5"/>
        <v>0</v>
      </c>
      <c r="D21" s="65">
        <f t="shared" si="5"/>
        <v>0</v>
      </c>
      <c r="E21" s="65">
        <f t="shared" si="5"/>
        <v>0</v>
      </c>
      <c r="F21" s="65">
        <f t="shared" si="5"/>
        <v>0</v>
      </c>
      <c r="G21" s="65">
        <f t="shared" si="5"/>
        <v>0</v>
      </c>
      <c r="H21" s="65">
        <f t="shared" si="5"/>
        <v>0</v>
      </c>
      <c r="I21" s="65">
        <f t="shared" si="5"/>
        <v>0</v>
      </c>
      <c r="J21" s="65">
        <f t="shared" si="5"/>
        <v>0</v>
      </c>
      <c r="K21" s="65">
        <f t="shared" si="5"/>
        <v>0</v>
      </c>
      <c r="L21" s="65">
        <f t="shared" si="5"/>
        <v>0</v>
      </c>
      <c r="M21" s="65">
        <f t="shared" si="5"/>
        <v>0</v>
      </c>
      <c r="N21" s="65">
        <f t="shared" si="5"/>
        <v>0</v>
      </c>
      <c r="O21" s="65">
        <f t="shared" si="5"/>
        <v>0</v>
      </c>
      <c r="P21" s="65">
        <f t="shared" si="5"/>
        <v>0</v>
      </c>
      <c r="Q21" s="65">
        <f t="shared" si="5"/>
        <v>0</v>
      </c>
      <c r="R21" s="65">
        <f t="shared" si="5"/>
        <v>0</v>
      </c>
      <c r="S21" s="65">
        <f t="shared" si="5"/>
        <v>0</v>
      </c>
      <c r="T21" s="65">
        <f t="shared" si="5"/>
        <v>0</v>
      </c>
      <c r="U21" s="65">
        <f t="shared" si="5"/>
        <v>0</v>
      </c>
      <c r="V21" s="65">
        <f t="shared" si="5"/>
        <v>0</v>
      </c>
      <c r="W21" s="65">
        <f t="shared" si="5"/>
        <v>0</v>
      </c>
      <c r="DA21" s="172"/>
    </row>
    <row r="22" spans="1:105" ht="11.45" customHeight="1" x14ac:dyDescent="0.25">
      <c r="A22" s="55" t="s">
        <v>170</v>
      </c>
      <c r="B22" s="66">
        <f t="shared" si="5"/>
        <v>0</v>
      </c>
      <c r="C22" s="66">
        <f t="shared" si="5"/>
        <v>0</v>
      </c>
      <c r="D22" s="66">
        <f t="shared" si="5"/>
        <v>0</v>
      </c>
      <c r="E22" s="66">
        <f t="shared" si="5"/>
        <v>0</v>
      </c>
      <c r="F22" s="66">
        <f t="shared" si="5"/>
        <v>0</v>
      </c>
      <c r="G22" s="66">
        <f t="shared" si="5"/>
        <v>0</v>
      </c>
      <c r="H22" s="66">
        <f t="shared" si="5"/>
        <v>0</v>
      </c>
      <c r="I22" s="66">
        <f t="shared" si="5"/>
        <v>0</v>
      </c>
      <c r="J22" s="66">
        <f t="shared" si="5"/>
        <v>0</v>
      </c>
      <c r="K22" s="66">
        <f t="shared" si="5"/>
        <v>0</v>
      </c>
      <c r="L22" s="66">
        <f t="shared" si="5"/>
        <v>0</v>
      </c>
      <c r="M22" s="66">
        <f t="shared" si="5"/>
        <v>0</v>
      </c>
      <c r="N22" s="66">
        <f t="shared" si="5"/>
        <v>0</v>
      </c>
      <c r="O22" s="66">
        <f t="shared" si="5"/>
        <v>0</v>
      </c>
      <c r="P22" s="66">
        <f t="shared" si="5"/>
        <v>0</v>
      </c>
      <c r="Q22" s="66">
        <f t="shared" si="5"/>
        <v>0</v>
      </c>
      <c r="R22" s="66">
        <f t="shared" si="5"/>
        <v>0</v>
      </c>
      <c r="S22" s="66">
        <f t="shared" si="5"/>
        <v>0</v>
      </c>
      <c r="T22" s="66">
        <f t="shared" si="5"/>
        <v>0</v>
      </c>
      <c r="U22" s="66">
        <f t="shared" si="5"/>
        <v>0</v>
      </c>
      <c r="V22" s="66">
        <f t="shared" si="5"/>
        <v>0</v>
      </c>
      <c r="W22" s="66">
        <f t="shared" si="5"/>
        <v>0</v>
      </c>
      <c r="DA22" s="181"/>
    </row>
    <row r="23" spans="1:105" ht="11.45" customHeight="1" x14ac:dyDescent="0.25">
      <c r="A23" s="57" t="s">
        <v>171</v>
      </c>
      <c r="B23" s="67">
        <f t="shared" si="5"/>
        <v>0</v>
      </c>
      <c r="C23" s="67">
        <f t="shared" si="5"/>
        <v>0</v>
      </c>
      <c r="D23" s="67">
        <f t="shared" si="5"/>
        <v>0</v>
      </c>
      <c r="E23" s="67">
        <f t="shared" si="5"/>
        <v>0</v>
      </c>
      <c r="F23" s="67">
        <f t="shared" si="5"/>
        <v>0</v>
      </c>
      <c r="G23" s="67">
        <f t="shared" si="5"/>
        <v>0</v>
      </c>
      <c r="H23" s="67">
        <f t="shared" si="5"/>
        <v>0</v>
      </c>
      <c r="I23" s="67">
        <f t="shared" si="5"/>
        <v>0</v>
      </c>
      <c r="J23" s="67">
        <f t="shared" si="5"/>
        <v>0</v>
      </c>
      <c r="K23" s="67">
        <f t="shared" si="5"/>
        <v>0</v>
      </c>
      <c r="L23" s="67">
        <f t="shared" si="5"/>
        <v>0</v>
      </c>
      <c r="M23" s="67">
        <f t="shared" si="5"/>
        <v>0</v>
      </c>
      <c r="N23" s="67">
        <f t="shared" si="5"/>
        <v>0</v>
      </c>
      <c r="O23" s="67">
        <f t="shared" si="5"/>
        <v>0</v>
      </c>
      <c r="P23" s="67">
        <f t="shared" si="5"/>
        <v>0</v>
      </c>
      <c r="Q23" s="67">
        <f t="shared" si="5"/>
        <v>0</v>
      </c>
      <c r="R23" s="67">
        <f t="shared" si="5"/>
        <v>0</v>
      </c>
      <c r="S23" s="67">
        <f t="shared" si="5"/>
        <v>0</v>
      </c>
      <c r="T23" s="67">
        <f t="shared" si="5"/>
        <v>0</v>
      </c>
      <c r="U23" s="67">
        <f t="shared" si="5"/>
        <v>0</v>
      </c>
      <c r="V23" s="67">
        <f t="shared" si="5"/>
        <v>0</v>
      </c>
      <c r="W23" s="67">
        <f t="shared" si="5"/>
        <v>0</v>
      </c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  <row r="25" spans="1:105" ht="11.45" customHeight="1" x14ac:dyDescent="0.25">
      <c r="A25" s="18" t="s">
        <v>172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61</v>
      </c>
      <c r="B3" s="62">
        <f>SUM(B4,B10)</f>
        <v>0</v>
      </c>
      <c r="C3" s="62">
        <f t="shared" ref="C3:W3" si="0">SUM(C4,C10)</f>
        <v>0</v>
      </c>
      <c r="D3" s="62">
        <f t="shared" si="0"/>
        <v>0</v>
      </c>
      <c r="E3" s="62">
        <f t="shared" si="0"/>
        <v>0</v>
      </c>
      <c r="F3" s="62">
        <f t="shared" si="0"/>
        <v>0</v>
      </c>
      <c r="G3" s="62">
        <f t="shared" si="0"/>
        <v>0</v>
      </c>
      <c r="H3" s="62">
        <f t="shared" si="0"/>
        <v>0</v>
      </c>
      <c r="I3" s="62">
        <f t="shared" si="0"/>
        <v>0</v>
      </c>
      <c r="J3" s="62">
        <f t="shared" si="0"/>
        <v>0</v>
      </c>
      <c r="K3" s="62">
        <f t="shared" si="0"/>
        <v>0</v>
      </c>
      <c r="L3" s="62">
        <f t="shared" si="0"/>
        <v>0</v>
      </c>
      <c r="M3" s="62">
        <f t="shared" si="0"/>
        <v>0</v>
      </c>
      <c r="N3" s="62">
        <f t="shared" si="0"/>
        <v>0</v>
      </c>
      <c r="O3" s="62">
        <f t="shared" si="0"/>
        <v>0</v>
      </c>
      <c r="P3" s="62">
        <f t="shared" si="0"/>
        <v>0</v>
      </c>
      <c r="Q3" s="62">
        <f t="shared" si="0"/>
        <v>0</v>
      </c>
      <c r="R3" s="62">
        <f t="shared" si="0"/>
        <v>0</v>
      </c>
      <c r="S3" s="62">
        <f t="shared" si="0"/>
        <v>0</v>
      </c>
      <c r="T3" s="62">
        <f t="shared" si="0"/>
        <v>0</v>
      </c>
      <c r="U3" s="62">
        <f t="shared" si="0"/>
        <v>0</v>
      </c>
      <c r="V3" s="62">
        <f t="shared" si="0"/>
        <v>0</v>
      </c>
      <c r="W3" s="62">
        <f t="shared" si="0"/>
        <v>0</v>
      </c>
      <c r="DA3" s="172" t="s">
        <v>968</v>
      </c>
    </row>
    <row r="4" spans="1:105" ht="11.45" customHeight="1" x14ac:dyDescent="0.25">
      <c r="A4" s="70" t="s">
        <v>170</v>
      </c>
      <c r="B4" s="71">
        <f>SUM(B5:B9)</f>
        <v>0</v>
      </c>
      <c r="C4" s="71">
        <f t="shared" ref="C4:W4" si="1">SUM(C5:C9)</f>
        <v>0</v>
      </c>
      <c r="D4" s="71">
        <f t="shared" si="1"/>
        <v>0</v>
      </c>
      <c r="E4" s="71">
        <f t="shared" si="1"/>
        <v>0</v>
      </c>
      <c r="F4" s="71">
        <f t="shared" si="1"/>
        <v>0</v>
      </c>
      <c r="G4" s="71">
        <f t="shared" si="1"/>
        <v>0</v>
      </c>
      <c r="H4" s="71">
        <f t="shared" si="1"/>
        <v>0</v>
      </c>
      <c r="I4" s="71">
        <f t="shared" si="1"/>
        <v>0</v>
      </c>
      <c r="J4" s="71">
        <f t="shared" si="1"/>
        <v>0</v>
      </c>
      <c r="K4" s="71">
        <f t="shared" si="1"/>
        <v>0</v>
      </c>
      <c r="L4" s="71">
        <f t="shared" si="1"/>
        <v>0</v>
      </c>
      <c r="M4" s="71">
        <f t="shared" si="1"/>
        <v>0</v>
      </c>
      <c r="N4" s="71">
        <f t="shared" si="1"/>
        <v>0</v>
      </c>
      <c r="O4" s="71">
        <f t="shared" si="1"/>
        <v>0</v>
      </c>
      <c r="P4" s="71">
        <f t="shared" si="1"/>
        <v>0</v>
      </c>
      <c r="Q4" s="71">
        <f t="shared" si="1"/>
        <v>0</v>
      </c>
      <c r="R4" s="71">
        <f t="shared" si="1"/>
        <v>0</v>
      </c>
      <c r="S4" s="71">
        <f t="shared" si="1"/>
        <v>0</v>
      </c>
      <c r="T4" s="71">
        <f t="shared" si="1"/>
        <v>0</v>
      </c>
      <c r="U4" s="71">
        <f t="shared" si="1"/>
        <v>0</v>
      </c>
      <c r="V4" s="71">
        <f t="shared" si="1"/>
        <v>0</v>
      </c>
      <c r="W4" s="71">
        <f t="shared" si="1"/>
        <v>0</v>
      </c>
      <c r="DA4" s="186" t="s">
        <v>969</v>
      </c>
    </row>
    <row r="5" spans="1:105" ht="11.45" customHeight="1" x14ac:dyDescent="0.25">
      <c r="A5" s="72" t="s">
        <v>145</v>
      </c>
      <c r="B5" s="73">
        <v>0</v>
      </c>
      <c r="C5" s="73">
        <v>0</v>
      </c>
      <c r="D5" s="73">
        <v>0</v>
      </c>
      <c r="E5" s="73">
        <v>0</v>
      </c>
      <c r="F5" s="73">
        <v>0</v>
      </c>
      <c r="G5" s="73">
        <v>0</v>
      </c>
      <c r="H5" s="73">
        <v>0</v>
      </c>
      <c r="I5" s="73">
        <v>0</v>
      </c>
      <c r="J5" s="73">
        <v>0</v>
      </c>
      <c r="K5" s="73">
        <v>0</v>
      </c>
      <c r="L5" s="73">
        <v>0</v>
      </c>
      <c r="M5" s="73">
        <v>0</v>
      </c>
      <c r="N5" s="73">
        <v>0</v>
      </c>
      <c r="O5" s="73">
        <v>0</v>
      </c>
      <c r="P5" s="73">
        <v>0</v>
      </c>
      <c r="Q5" s="73">
        <v>0</v>
      </c>
      <c r="R5" s="73">
        <v>0</v>
      </c>
      <c r="S5" s="73">
        <v>0</v>
      </c>
      <c r="T5" s="73">
        <v>0</v>
      </c>
      <c r="U5" s="73">
        <v>0</v>
      </c>
      <c r="V5" s="73">
        <v>0</v>
      </c>
      <c r="W5" s="73">
        <v>0</v>
      </c>
      <c r="DA5" s="187" t="s">
        <v>970</v>
      </c>
    </row>
    <row r="6" spans="1:105" ht="11.45" customHeight="1" x14ac:dyDescent="0.25">
      <c r="A6" s="72" t="s">
        <v>146</v>
      </c>
      <c r="B6" s="73">
        <v>0</v>
      </c>
      <c r="C6" s="73">
        <v>0</v>
      </c>
      <c r="D6" s="73">
        <v>0</v>
      </c>
      <c r="E6" s="73">
        <v>0</v>
      </c>
      <c r="F6" s="73">
        <v>0</v>
      </c>
      <c r="G6" s="73">
        <v>0</v>
      </c>
      <c r="H6" s="73">
        <v>0</v>
      </c>
      <c r="I6" s="73">
        <v>0</v>
      </c>
      <c r="J6" s="73">
        <v>0</v>
      </c>
      <c r="K6" s="73">
        <v>0</v>
      </c>
      <c r="L6" s="73">
        <v>0</v>
      </c>
      <c r="M6" s="73">
        <v>0</v>
      </c>
      <c r="N6" s="73">
        <v>0</v>
      </c>
      <c r="O6" s="73">
        <v>0</v>
      </c>
      <c r="P6" s="73">
        <v>0</v>
      </c>
      <c r="Q6" s="73">
        <v>0</v>
      </c>
      <c r="R6" s="73">
        <v>0</v>
      </c>
      <c r="S6" s="73">
        <v>0</v>
      </c>
      <c r="T6" s="73">
        <v>0</v>
      </c>
      <c r="U6" s="73">
        <v>0</v>
      </c>
      <c r="V6" s="73">
        <v>0</v>
      </c>
      <c r="W6" s="73">
        <v>0</v>
      </c>
      <c r="DA6" s="187" t="s">
        <v>971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DA7" s="187" t="s">
        <v>972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DA8" s="187" t="s">
        <v>973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DA9" s="188" t="s">
        <v>974</v>
      </c>
    </row>
    <row r="10" spans="1:105" ht="11.45" customHeight="1" x14ac:dyDescent="0.25">
      <c r="A10" s="70" t="s">
        <v>171</v>
      </c>
      <c r="B10" s="71">
        <f>SUM(B11:B15)</f>
        <v>0</v>
      </c>
      <c r="C10" s="71">
        <f t="shared" ref="C10:W10" si="2">SUM(C11:C15)</f>
        <v>0</v>
      </c>
      <c r="D10" s="71">
        <f t="shared" si="2"/>
        <v>0</v>
      </c>
      <c r="E10" s="71">
        <f t="shared" si="2"/>
        <v>0</v>
      </c>
      <c r="F10" s="71">
        <f t="shared" si="2"/>
        <v>0</v>
      </c>
      <c r="G10" s="71">
        <f t="shared" si="2"/>
        <v>0</v>
      </c>
      <c r="H10" s="71">
        <f t="shared" si="2"/>
        <v>0</v>
      </c>
      <c r="I10" s="71">
        <f t="shared" si="2"/>
        <v>0</v>
      </c>
      <c r="J10" s="71">
        <f t="shared" si="2"/>
        <v>0</v>
      </c>
      <c r="K10" s="71">
        <f t="shared" si="2"/>
        <v>0</v>
      </c>
      <c r="L10" s="71">
        <f t="shared" si="2"/>
        <v>0</v>
      </c>
      <c r="M10" s="71">
        <f t="shared" si="2"/>
        <v>0</v>
      </c>
      <c r="N10" s="71">
        <f t="shared" si="2"/>
        <v>0</v>
      </c>
      <c r="O10" s="71">
        <f t="shared" si="2"/>
        <v>0</v>
      </c>
      <c r="P10" s="71">
        <f t="shared" si="2"/>
        <v>0</v>
      </c>
      <c r="Q10" s="71">
        <f t="shared" si="2"/>
        <v>0</v>
      </c>
      <c r="R10" s="71">
        <f t="shared" si="2"/>
        <v>0</v>
      </c>
      <c r="S10" s="71">
        <f t="shared" si="2"/>
        <v>0</v>
      </c>
      <c r="T10" s="71">
        <f t="shared" si="2"/>
        <v>0</v>
      </c>
      <c r="U10" s="71">
        <f t="shared" si="2"/>
        <v>0</v>
      </c>
      <c r="V10" s="71">
        <f t="shared" si="2"/>
        <v>0</v>
      </c>
      <c r="W10" s="71">
        <f t="shared" si="2"/>
        <v>0</v>
      </c>
      <c r="DA10" s="186" t="s">
        <v>975</v>
      </c>
    </row>
    <row r="11" spans="1:105" ht="11.45" customHeight="1" x14ac:dyDescent="0.25">
      <c r="A11" s="72" t="s">
        <v>145</v>
      </c>
      <c r="B11" s="73">
        <v>0</v>
      </c>
      <c r="C11" s="73">
        <v>0</v>
      </c>
      <c r="D11" s="73">
        <v>0</v>
      </c>
      <c r="E11" s="73">
        <v>0</v>
      </c>
      <c r="F11" s="73">
        <v>0</v>
      </c>
      <c r="G11" s="73">
        <v>0</v>
      </c>
      <c r="H11" s="73">
        <v>0</v>
      </c>
      <c r="I11" s="73">
        <v>0</v>
      </c>
      <c r="J11" s="73">
        <v>0</v>
      </c>
      <c r="K11" s="73">
        <v>0</v>
      </c>
      <c r="L11" s="73">
        <v>0</v>
      </c>
      <c r="M11" s="73">
        <v>0</v>
      </c>
      <c r="N11" s="73">
        <v>0</v>
      </c>
      <c r="O11" s="73">
        <v>0</v>
      </c>
      <c r="P11" s="73">
        <v>0</v>
      </c>
      <c r="Q11" s="73">
        <v>0</v>
      </c>
      <c r="R11" s="73">
        <v>0</v>
      </c>
      <c r="S11" s="73">
        <v>0</v>
      </c>
      <c r="T11" s="73">
        <v>0</v>
      </c>
      <c r="U11" s="73">
        <v>0</v>
      </c>
      <c r="V11" s="73">
        <v>0</v>
      </c>
      <c r="W11" s="73">
        <v>0</v>
      </c>
      <c r="DA11" s="187" t="s">
        <v>976</v>
      </c>
    </row>
    <row r="12" spans="1:105" ht="11.45" customHeight="1" x14ac:dyDescent="0.25">
      <c r="A12" s="72" t="s">
        <v>146</v>
      </c>
      <c r="B12" s="73">
        <v>0</v>
      </c>
      <c r="C12" s="73">
        <v>0</v>
      </c>
      <c r="D12" s="73">
        <v>0</v>
      </c>
      <c r="E12" s="73">
        <v>0</v>
      </c>
      <c r="F12" s="73">
        <v>0</v>
      </c>
      <c r="G12" s="73">
        <v>0</v>
      </c>
      <c r="H12" s="73">
        <v>0</v>
      </c>
      <c r="I12" s="73">
        <v>0</v>
      </c>
      <c r="J12" s="73">
        <v>0</v>
      </c>
      <c r="K12" s="73">
        <v>0</v>
      </c>
      <c r="L12" s="73">
        <v>0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DA12" s="187" t="s">
        <v>977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DA13" s="187" t="s">
        <v>978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DA14" s="187" t="s">
        <v>979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DA15" s="188" t="s">
        <v>980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DA18" s="181"/>
    </row>
    <row r="19" spans="1:105" ht="11.45" customHeight="1" x14ac:dyDescent="0.25">
      <c r="A19" s="53" t="s">
        <v>62</v>
      </c>
      <c r="B19" s="62">
        <f>IF(B3=0,0,B3/MBunk_act!B7*100)</f>
        <v>0</v>
      </c>
      <c r="C19" s="62">
        <f>IF(C3=0,0,C3/MBunk_act!C7*100)</f>
        <v>0</v>
      </c>
      <c r="D19" s="62">
        <f>IF(D3=0,0,D3/MBunk_act!D7*100)</f>
        <v>0</v>
      </c>
      <c r="E19" s="62">
        <f>IF(E3=0,0,E3/MBunk_act!E7*100)</f>
        <v>0</v>
      </c>
      <c r="F19" s="62">
        <f>IF(F3=0,0,F3/MBunk_act!F7*100)</f>
        <v>0</v>
      </c>
      <c r="G19" s="62">
        <f>IF(G3=0,0,G3/MBunk_act!G7*100)</f>
        <v>0</v>
      </c>
      <c r="H19" s="62">
        <f>IF(H3=0,0,H3/MBunk_act!H7*100)</f>
        <v>0</v>
      </c>
      <c r="I19" s="62">
        <f>IF(I3=0,0,I3/MBunk_act!I7*100)</f>
        <v>0</v>
      </c>
      <c r="J19" s="62">
        <f>IF(J3=0,0,J3/MBunk_act!J7*100)</f>
        <v>0</v>
      </c>
      <c r="K19" s="62">
        <f>IF(K3=0,0,K3/MBunk_act!K7*100)</f>
        <v>0</v>
      </c>
      <c r="L19" s="62">
        <f>IF(L3=0,0,L3/MBunk_act!L7*100)</f>
        <v>0</v>
      </c>
      <c r="M19" s="62">
        <f>IF(M3=0,0,M3/MBunk_act!M7*100)</f>
        <v>0</v>
      </c>
      <c r="N19" s="62">
        <f>IF(N3=0,0,N3/MBunk_act!N7*100)</f>
        <v>0</v>
      </c>
      <c r="O19" s="62">
        <f>IF(O3=0,0,O3/MBunk_act!O7*100)</f>
        <v>0</v>
      </c>
      <c r="P19" s="62">
        <f>IF(P3=0,0,P3/MBunk_act!P7*100)</f>
        <v>0</v>
      </c>
      <c r="Q19" s="62">
        <f>IF(Q3=0,0,Q3/MBunk_act!Q7*100)</f>
        <v>0</v>
      </c>
      <c r="R19" s="62">
        <f>IF(R3=0,0,R3/MBunk_act!R7*100)</f>
        <v>0</v>
      </c>
      <c r="S19" s="62">
        <f>IF(S3=0,0,S3/MBunk_act!S7*100)</f>
        <v>0</v>
      </c>
      <c r="T19" s="62">
        <f>IF(T3=0,0,T3/MBunk_act!T7*100)</f>
        <v>0</v>
      </c>
      <c r="U19" s="62">
        <f>IF(U3=0,0,U3/MBunk_act!U7*100)</f>
        <v>0</v>
      </c>
      <c r="V19" s="62">
        <f>IF(V3=0,0,V3/MBunk_act!V7*100)</f>
        <v>0</v>
      </c>
      <c r="W19" s="62">
        <f>IF(W3=0,0,W3/MBunk_act!W7*100)</f>
        <v>0</v>
      </c>
      <c r="DA19" s="172" t="s">
        <v>981</v>
      </c>
    </row>
    <row r="20" spans="1:105" ht="11.45" customHeight="1" x14ac:dyDescent="0.25">
      <c r="A20" s="55" t="s">
        <v>170</v>
      </c>
      <c r="B20" s="63">
        <f>IF(B4=0,0,B4/MBunk_act!B8*100)</f>
        <v>0</v>
      </c>
      <c r="C20" s="63">
        <f>IF(C4=0,0,C4/MBunk_act!C8*100)</f>
        <v>0</v>
      </c>
      <c r="D20" s="63">
        <f>IF(D4=0,0,D4/MBunk_act!D8*100)</f>
        <v>0</v>
      </c>
      <c r="E20" s="63">
        <f>IF(E4=0,0,E4/MBunk_act!E8*100)</f>
        <v>0</v>
      </c>
      <c r="F20" s="63">
        <f>IF(F4=0,0,F4/MBunk_act!F8*100)</f>
        <v>0</v>
      </c>
      <c r="G20" s="63">
        <f>IF(G4=0,0,G4/MBunk_act!G8*100)</f>
        <v>0</v>
      </c>
      <c r="H20" s="63">
        <f>IF(H4=0,0,H4/MBunk_act!H8*100)</f>
        <v>0</v>
      </c>
      <c r="I20" s="63">
        <f>IF(I4=0,0,I4/MBunk_act!I8*100)</f>
        <v>0</v>
      </c>
      <c r="J20" s="63">
        <f>IF(J4=0,0,J4/MBunk_act!J8*100)</f>
        <v>0</v>
      </c>
      <c r="K20" s="63">
        <f>IF(K4=0,0,K4/MBunk_act!K8*100)</f>
        <v>0</v>
      </c>
      <c r="L20" s="63">
        <f>IF(L4=0,0,L4/MBunk_act!L8*100)</f>
        <v>0</v>
      </c>
      <c r="M20" s="63">
        <f>IF(M4=0,0,M4/MBunk_act!M8*100)</f>
        <v>0</v>
      </c>
      <c r="N20" s="63">
        <f>IF(N4=0,0,N4/MBunk_act!N8*100)</f>
        <v>0</v>
      </c>
      <c r="O20" s="63">
        <f>IF(O4=0,0,O4/MBunk_act!O8*100)</f>
        <v>0</v>
      </c>
      <c r="P20" s="63">
        <f>IF(P4=0,0,P4/MBunk_act!P8*100)</f>
        <v>0</v>
      </c>
      <c r="Q20" s="63">
        <f>IF(Q4=0,0,Q4/MBunk_act!Q8*100)</f>
        <v>0</v>
      </c>
      <c r="R20" s="63">
        <f>IF(R4=0,0,R4/MBunk_act!R8*100)</f>
        <v>0</v>
      </c>
      <c r="S20" s="63">
        <f>IF(S4=0,0,S4/MBunk_act!S8*100)</f>
        <v>0</v>
      </c>
      <c r="T20" s="63">
        <f>IF(T4=0,0,T4/MBunk_act!T8*100)</f>
        <v>0</v>
      </c>
      <c r="U20" s="63">
        <f>IF(U4=0,0,U4/MBunk_act!U8*100)</f>
        <v>0</v>
      </c>
      <c r="V20" s="63">
        <f>IF(V4=0,0,V4/MBunk_act!V8*100)</f>
        <v>0</v>
      </c>
      <c r="W20" s="63">
        <f>IF(W4=0,0,W4/MBunk_act!W8*100)</f>
        <v>0</v>
      </c>
      <c r="DA20" s="181" t="s">
        <v>982</v>
      </c>
    </row>
    <row r="21" spans="1:105" ht="11.45" customHeight="1" x14ac:dyDescent="0.25">
      <c r="A21" s="57" t="s">
        <v>171</v>
      </c>
      <c r="B21" s="64">
        <f>IF(B10=0,0,B10/MBunk_act!B9*100)</f>
        <v>0</v>
      </c>
      <c r="C21" s="64">
        <f>IF(C10=0,0,C10/MBunk_act!C9*100)</f>
        <v>0</v>
      </c>
      <c r="D21" s="64">
        <f>IF(D10=0,0,D10/MBunk_act!D9*100)</f>
        <v>0</v>
      </c>
      <c r="E21" s="64">
        <f>IF(E10=0,0,E10/MBunk_act!E9*100)</f>
        <v>0</v>
      </c>
      <c r="F21" s="64">
        <f>IF(F10=0,0,F10/MBunk_act!F9*100)</f>
        <v>0</v>
      </c>
      <c r="G21" s="64">
        <f>IF(G10=0,0,G10/MBunk_act!G9*100)</f>
        <v>0</v>
      </c>
      <c r="H21" s="64">
        <f>IF(H10=0,0,H10/MBunk_act!H9*100)</f>
        <v>0</v>
      </c>
      <c r="I21" s="64">
        <f>IF(I10=0,0,I10/MBunk_act!I9*100)</f>
        <v>0</v>
      </c>
      <c r="J21" s="64">
        <f>IF(J10=0,0,J10/MBunk_act!J9*100)</f>
        <v>0</v>
      </c>
      <c r="K21" s="64">
        <f>IF(K10=0,0,K10/MBunk_act!K9*100)</f>
        <v>0</v>
      </c>
      <c r="L21" s="64">
        <f>IF(L10=0,0,L10/MBunk_act!L9*100)</f>
        <v>0</v>
      </c>
      <c r="M21" s="64">
        <f>IF(M10=0,0,M10/MBunk_act!M9*100)</f>
        <v>0</v>
      </c>
      <c r="N21" s="64">
        <f>IF(N10=0,0,N10/MBunk_act!N9*100)</f>
        <v>0</v>
      </c>
      <c r="O21" s="64">
        <f>IF(O10=0,0,O10/MBunk_act!O9*100)</f>
        <v>0</v>
      </c>
      <c r="P21" s="64">
        <f>IF(P10=0,0,P10/MBunk_act!P9*100)</f>
        <v>0</v>
      </c>
      <c r="Q21" s="64">
        <f>IF(Q10=0,0,Q10/MBunk_act!Q9*100)</f>
        <v>0</v>
      </c>
      <c r="R21" s="64">
        <f>IF(R10=0,0,R10/MBunk_act!R9*100)</f>
        <v>0</v>
      </c>
      <c r="S21" s="64">
        <f>IF(S10=0,0,S10/MBunk_act!S9*100)</f>
        <v>0</v>
      </c>
      <c r="T21" s="64">
        <f>IF(T10=0,0,T10/MBunk_act!T9*100)</f>
        <v>0</v>
      </c>
      <c r="U21" s="64">
        <f>IF(U10=0,0,U10/MBunk_act!U9*100)</f>
        <v>0</v>
      </c>
      <c r="V21" s="64">
        <f>IF(V10=0,0,V10/MBunk_act!V9*100)</f>
        <v>0</v>
      </c>
      <c r="W21" s="64">
        <f>IF(W10=0,0,W10/MBunk_act!W9*100)</f>
        <v>0</v>
      </c>
      <c r="DA21" s="182" t="s">
        <v>983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63</v>
      </c>
      <c r="B23" s="62">
        <f>IF(B3=0,0,B3/MBunk_act!B3*1000)</f>
        <v>0</v>
      </c>
      <c r="C23" s="62">
        <f>IF(C3=0,0,C3/MBunk_act!C3*1000)</f>
        <v>0</v>
      </c>
      <c r="D23" s="62">
        <f>IF(D3=0,0,D3/MBunk_act!D3*1000)</f>
        <v>0</v>
      </c>
      <c r="E23" s="62">
        <f>IF(E3=0,0,E3/MBunk_act!E3*1000)</f>
        <v>0</v>
      </c>
      <c r="F23" s="62">
        <f>IF(F3=0,0,F3/MBunk_act!F3*1000)</f>
        <v>0</v>
      </c>
      <c r="G23" s="62">
        <f>IF(G3=0,0,G3/MBunk_act!G3*1000)</f>
        <v>0</v>
      </c>
      <c r="H23" s="62">
        <f>IF(H3=0,0,H3/MBunk_act!H3*1000)</f>
        <v>0</v>
      </c>
      <c r="I23" s="62">
        <f>IF(I3=0,0,I3/MBunk_act!I3*1000)</f>
        <v>0</v>
      </c>
      <c r="J23" s="62">
        <f>IF(J3=0,0,J3/MBunk_act!J3*1000)</f>
        <v>0</v>
      </c>
      <c r="K23" s="62">
        <f>IF(K3=0,0,K3/MBunk_act!K3*1000)</f>
        <v>0</v>
      </c>
      <c r="L23" s="62">
        <f>IF(L3=0,0,L3/MBunk_act!L3*1000)</f>
        <v>0</v>
      </c>
      <c r="M23" s="62">
        <f>IF(M3=0,0,M3/MBunk_act!M3*1000)</f>
        <v>0</v>
      </c>
      <c r="N23" s="62">
        <f>IF(N3=0,0,N3/MBunk_act!N3*1000)</f>
        <v>0</v>
      </c>
      <c r="O23" s="62">
        <f>IF(O3=0,0,O3/MBunk_act!O3*1000)</f>
        <v>0</v>
      </c>
      <c r="P23" s="62">
        <f>IF(P3=0,0,P3/MBunk_act!P3*1000)</f>
        <v>0</v>
      </c>
      <c r="Q23" s="62">
        <f>IF(Q3=0,0,Q3/MBunk_act!Q3*1000)</f>
        <v>0</v>
      </c>
      <c r="R23" s="62">
        <f>IF(R3=0,0,R3/MBunk_act!R3*1000)</f>
        <v>0</v>
      </c>
      <c r="S23" s="62">
        <f>IF(S3=0,0,S3/MBunk_act!S3*1000)</f>
        <v>0</v>
      </c>
      <c r="T23" s="62">
        <f>IF(T3=0,0,T3/MBunk_act!T3*1000)</f>
        <v>0</v>
      </c>
      <c r="U23" s="62">
        <f>IF(U3=0,0,U3/MBunk_act!U3*1000)</f>
        <v>0</v>
      </c>
      <c r="V23" s="62">
        <f>IF(V3=0,0,V3/MBunk_act!V3*1000)</f>
        <v>0</v>
      </c>
      <c r="W23" s="62">
        <f>IF(W3=0,0,W3/MBunk_act!W3*1000)</f>
        <v>0</v>
      </c>
      <c r="DA23" s="172" t="s">
        <v>431</v>
      </c>
    </row>
    <row r="24" spans="1:105" ht="11.45" customHeight="1" x14ac:dyDescent="0.25">
      <c r="A24" s="55" t="s">
        <v>170</v>
      </c>
      <c r="B24" s="63">
        <f>IF(B4=0,0,B4/MBunk_act!B4*1000)</f>
        <v>0</v>
      </c>
      <c r="C24" s="63">
        <f>IF(C4=0,0,C4/MBunk_act!C4*1000)</f>
        <v>0</v>
      </c>
      <c r="D24" s="63">
        <f>IF(D4=0,0,D4/MBunk_act!D4*1000)</f>
        <v>0</v>
      </c>
      <c r="E24" s="63">
        <f>IF(E4=0,0,E4/MBunk_act!E4*1000)</f>
        <v>0</v>
      </c>
      <c r="F24" s="63">
        <f>IF(F4=0,0,F4/MBunk_act!F4*1000)</f>
        <v>0</v>
      </c>
      <c r="G24" s="63">
        <f>IF(G4=0,0,G4/MBunk_act!G4*1000)</f>
        <v>0</v>
      </c>
      <c r="H24" s="63">
        <f>IF(H4=0,0,H4/MBunk_act!H4*1000)</f>
        <v>0</v>
      </c>
      <c r="I24" s="63">
        <f>IF(I4=0,0,I4/MBunk_act!I4*1000)</f>
        <v>0</v>
      </c>
      <c r="J24" s="63">
        <f>IF(J4=0,0,J4/MBunk_act!J4*1000)</f>
        <v>0</v>
      </c>
      <c r="K24" s="63">
        <f>IF(K4=0,0,K4/MBunk_act!K4*1000)</f>
        <v>0</v>
      </c>
      <c r="L24" s="63">
        <f>IF(L4=0,0,L4/MBunk_act!L4*1000)</f>
        <v>0</v>
      </c>
      <c r="M24" s="63">
        <f>IF(M4=0,0,M4/MBunk_act!M4*1000)</f>
        <v>0</v>
      </c>
      <c r="N24" s="63">
        <f>IF(N4=0,0,N4/MBunk_act!N4*1000)</f>
        <v>0</v>
      </c>
      <c r="O24" s="63">
        <f>IF(O4=0,0,O4/MBunk_act!O4*1000)</f>
        <v>0</v>
      </c>
      <c r="P24" s="63">
        <f>IF(P4=0,0,P4/MBunk_act!P4*1000)</f>
        <v>0</v>
      </c>
      <c r="Q24" s="63">
        <f>IF(Q4=0,0,Q4/MBunk_act!Q4*1000)</f>
        <v>0</v>
      </c>
      <c r="R24" s="63">
        <f>IF(R4=0,0,R4/MBunk_act!R4*1000)</f>
        <v>0</v>
      </c>
      <c r="S24" s="63">
        <f>IF(S4=0,0,S4/MBunk_act!S4*1000)</f>
        <v>0</v>
      </c>
      <c r="T24" s="63">
        <f>IF(T4=0,0,T4/MBunk_act!T4*1000)</f>
        <v>0</v>
      </c>
      <c r="U24" s="63">
        <f>IF(U4=0,0,U4/MBunk_act!U4*1000)</f>
        <v>0</v>
      </c>
      <c r="V24" s="63">
        <f>IF(V4=0,0,V4/MBunk_act!V4*1000)</f>
        <v>0</v>
      </c>
      <c r="W24" s="63">
        <f>IF(W4=0,0,W4/MBunk_act!W4*1000)</f>
        <v>0</v>
      </c>
      <c r="DA24" s="181" t="s">
        <v>432</v>
      </c>
    </row>
    <row r="25" spans="1:105" ht="11.45" customHeight="1" x14ac:dyDescent="0.25">
      <c r="A25" s="57" t="s">
        <v>171</v>
      </c>
      <c r="B25" s="64">
        <f>IF(B10=0,0,B10/MBunk_act!B5*1000)</f>
        <v>0</v>
      </c>
      <c r="C25" s="64">
        <f>IF(C10=0,0,C10/MBunk_act!C5*1000)</f>
        <v>0</v>
      </c>
      <c r="D25" s="64">
        <f>IF(D10=0,0,D10/MBunk_act!D5*1000)</f>
        <v>0</v>
      </c>
      <c r="E25" s="64">
        <f>IF(E10=0,0,E10/MBunk_act!E5*1000)</f>
        <v>0</v>
      </c>
      <c r="F25" s="64">
        <f>IF(F10=0,0,F10/MBunk_act!F5*1000)</f>
        <v>0</v>
      </c>
      <c r="G25" s="64">
        <f>IF(G10=0,0,G10/MBunk_act!G5*1000)</f>
        <v>0</v>
      </c>
      <c r="H25" s="64">
        <f>IF(H10=0,0,H10/MBunk_act!H5*1000)</f>
        <v>0</v>
      </c>
      <c r="I25" s="64">
        <f>IF(I10=0,0,I10/MBunk_act!I5*1000)</f>
        <v>0</v>
      </c>
      <c r="J25" s="64">
        <f>IF(J10=0,0,J10/MBunk_act!J5*1000)</f>
        <v>0</v>
      </c>
      <c r="K25" s="64">
        <f>IF(K10=0,0,K10/MBunk_act!K5*1000)</f>
        <v>0</v>
      </c>
      <c r="L25" s="64">
        <f>IF(L10=0,0,L10/MBunk_act!L5*1000)</f>
        <v>0</v>
      </c>
      <c r="M25" s="64">
        <f>IF(M10=0,0,M10/MBunk_act!M5*1000)</f>
        <v>0</v>
      </c>
      <c r="N25" s="64">
        <f>IF(N10=0,0,N10/MBunk_act!N5*1000)</f>
        <v>0</v>
      </c>
      <c r="O25" s="64">
        <f>IF(O10=0,0,O10/MBunk_act!O5*1000)</f>
        <v>0</v>
      </c>
      <c r="P25" s="64">
        <f>IF(P10=0,0,P10/MBunk_act!P5*1000)</f>
        <v>0</v>
      </c>
      <c r="Q25" s="64">
        <f>IF(Q10=0,0,Q10/MBunk_act!Q5*1000)</f>
        <v>0</v>
      </c>
      <c r="R25" s="64">
        <f>IF(R10=0,0,R10/MBunk_act!R5*1000)</f>
        <v>0</v>
      </c>
      <c r="S25" s="64">
        <f>IF(S10=0,0,S10/MBunk_act!S5*1000)</f>
        <v>0</v>
      </c>
      <c r="T25" s="64">
        <f>IF(T10=0,0,T10/MBunk_act!T5*1000)</f>
        <v>0</v>
      </c>
      <c r="U25" s="64">
        <f>IF(U10=0,0,U10/MBunk_act!U5*1000)</f>
        <v>0</v>
      </c>
      <c r="V25" s="64">
        <f>IF(V10=0,0,V10/MBunk_act!V5*1000)</f>
        <v>0</v>
      </c>
      <c r="W25" s="64">
        <f>IF(W10=0,0,W10/MBunk_act!W5*1000)</f>
        <v>0</v>
      </c>
      <c r="DA25" s="182" t="s">
        <v>433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40</v>
      </c>
      <c r="B27" s="76">
        <f>IF(B3=0,0,B3/B$3)</f>
        <v>0</v>
      </c>
      <c r="C27" s="76">
        <f t="shared" ref="C27:W28" si="3">IF(C3=0,0,C3/C$3)</f>
        <v>0</v>
      </c>
      <c r="D27" s="76">
        <f t="shared" si="3"/>
        <v>0</v>
      </c>
      <c r="E27" s="76">
        <f t="shared" si="3"/>
        <v>0</v>
      </c>
      <c r="F27" s="76">
        <f t="shared" si="3"/>
        <v>0</v>
      </c>
      <c r="G27" s="76">
        <f t="shared" si="3"/>
        <v>0</v>
      </c>
      <c r="H27" s="76">
        <f t="shared" si="3"/>
        <v>0</v>
      </c>
      <c r="I27" s="76">
        <f t="shared" si="3"/>
        <v>0</v>
      </c>
      <c r="J27" s="76">
        <f t="shared" si="3"/>
        <v>0</v>
      </c>
      <c r="K27" s="76">
        <f t="shared" si="3"/>
        <v>0</v>
      </c>
      <c r="L27" s="76">
        <f t="shared" si="3"/>
        <v>0</v>
      </c>
      <c r="M27" s="76">
        <f t="shared" si="3"/>
        <v>0</v>
      </c>
      <c r="N27" s="76">
        <f t="shared" si="3"/>
        <v>0</v>
      </c>
      <c r="O27" s="76">
        <f t="shared" si="3"/>
        <v>0</v>
      </c>
      <c r="P27" s="76">
        <f t="shared" si="3"/>
        <v>0</v>
      </c>
      <c r="Q27" s="76">
        <f t="shared" si="3"/>
        <v>0</v>
      </c>
      <c r="R27" s="76">
        <f t="shared" si="3"/>
        <v>0</v>
      </c>
      <c r="S27" s="76">
        <f t="shared" si="3"/>
        <v>0</v>
      </c>
      <c r="T27" s="76">
        <f t="shared" si="3"/>
        <v>0</v>
      </c>
      <c r="U27" s="76">
        <f t="shared" si="3"/>
        <v>0</v>
      </c>
      <c r="V27" s="76">
        <f t="shared" si="3"/>
        <v>0</v>
      </c>
      <c r="W27" s="76">
        <f t="shared" si="3"/>
        <v>0</v>
      </c>
      <c r="DA27" s="183"/>
    </row>
    <row r="28" spans="1:105" ht="11.45" customHeight="1" x14ac:dyDescent="0.25">
      <c r="A28" s="55" t="s">
        <v>170</v>
      </c>
      <c r="B28" s="77">
        <f>IF(B4=0,0,B4/B$3)</f>
        <v>0</v>
      </c>
      <c r="C28" s="77">
        <f t="shared" si="3"/>
        <v>0</v>
      </c>
      <c r="D28" s="77">
        <f t="shared" si="3"/>
        <v>0</v>
      </c>
      <c r="E28" s="77">
        <f t="shared" si="3"/>
        <v>0</v>
      </c>
      <c r="F28" s="77">
        <f t="shared" si="3"/>
        <v>0</v>
      </c>
      <c r="G28" s="77">
        <f t="shared" si="3"/>
        <v>0</v>
      </c>
      <c r="H28" s="77">
        <f t="shared" si="3"/>
        <v>0</v>
      </c>
      <c r="I28" s="77">
        <f t="shared" si="3"/>
        <v>0</v>
      </c>
      <c r="J28" s="77">
        <f t="shared" si="3"/>
        <v>0</v>
      </c>
      <c r="K28" s="77">
        <f t="shared" si="3"/>
        <v>0</v>
      </c>
      <c r="L28" s="77">
        <f t="shared" si="3"/>
        <v>0</v>
      </c>
      <c r="M28" s="77">
        <f t="shared" si="3"/>
        <v>0</v>
      </c>
      <c r="N28" s="77">
        <f t="shared" si="3"/>
        <v>0</v>
      </c>
      <c r="O28" s="77">
        <f t="shared" si="3"/>
        <v>0</v>
      </c>
      <c r="P28" s="77">
        <f t="shared" si="3"/>
        <v>0</v>
      </c>
      <c r="Q28" s="77">
        <f t="shared" si="3"/>
        <v>0</v>
      </c>
      <c r="R28" s="77">
        <f t="shared" si="3"/>
        <v>0</v>
      </c>
      <c r="S28" s="77">
        <f t="shared" si="3"/>
        <v>0</v>
      </c>
      <c r="T28" s="77">
        <f t="shared" si="3"/>
        <v>0</v>
      </c>
      <c r="U28" s="77">
        <f t="shared" si="3"/>
        <v>0</v>
      </c>
      <c r="V28" s="77">
        <f t="shared" si="3"/>
        <v>0</v>
      </c>
      <c r="W28" s="77">
        <f t="shared" si="3"/>
        <v>0</v>
      </c>
      <c r="DA28" s="184"/>
    </row>
    <row r="29" spans="1:105" ht="11.45" customHeight="1" x14ac:dyDescent="0.25">
      <c r="A29" s="57" t="s">
        <v>171</v>
      </c>
      <c r="B29" s="78">
        <f>IF(B10=0,0,B10/B$3)</f>
        <v>0</v>
      </c>
      <c r="C29" s="78">
        <f t="shared" ref="C29:W29" si="4">IF(C10=0,0,C10/C$3)</f>
        <v>0</v>
      </c>
      <c r="D29" s="78">
        <f t="shared" si="4"/>
        <v>0</v>
      </c>
      <c r="E29" s="78">
        <f t="shared" si="4"/>
        <v>0</v>
      </c>
      <c r="F29" s="78">
        <f t="shared" si="4"/>
        <v>0</v>
      </c>
      <c r="G29" s="78">
        <f t="shared" si="4"/>
        <v>0</v>
      </c>
      <c r="H29" s="78">
        <f t="shared" si="4"/>
        <v>0</v>
      </c>
      <c r="I29" s="78">
        <f t="shared" si="4"/>
        <v>0</v>
      </c>
      <c r="J29" s="78">
        <f t="shared" si="4"/>
        <v>0</v>
      </c>
      <c r="K29" s="78">
        <f t="shared" si="4"/>
        <v>0</v>
      </c>
      <c r="L29" s="78">
        <f t="shared" si="4"/>
        <v>0</v>
      </c>
      <c r="M29" s="78">
        <f t="shared" si="4"/>
        <v>0</v>
      </c>
      <c r="N29" s="78">
        <f t="shared" si="4"/>
        <v>0</v>
      </c>
      <c r="O29" s="78">
        <f t="shared" si="4"/>
        <v>0</v>
      </c>
      <c r="P29" s="78">
        <f t="shared" si="4"/>
        <v>0</v>
      </c>
      <c r="Q29" s="78">
        <f t="shared" si="4"/>
        <v>0</v>
      </c>
      <c r="R29" s="78">
        <f t="shared" si="4"/>
        <v>0</v>
      </c>
      <c r="S29" s="78">
        <f t="shared" si="4"/>
        <v>0</v>
      </c>
      <c r="T29" s="78">
        <f t="shared" si="4"/>
        <v>0</v>
      </c>
      <c r="U29" s="78">
        <f t="shared" si="4"/>
        <v>0</v>
      </c>
      <c r="V29" s="78">
        <f t="shared" si="4"/>
        <v>0</v>
      </c>
      <c r="W29" s="78">
        <f t="shared" si="4"/>
        <v>0</v>
      </c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984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62">
        <f t="shared" ref="B3" si="0">SUM(B4:B5)</f>
        <v>0</v>
      </c>
      <c r="C3" s="62">
        <f t="shared" ref="C3:W3" si="1">SUM(C4:C5)</f>
        <v>0</v>
      </c>
      <c r="D3" s="62">
        <f t="shared" si="1"/>
        <v>0</v>
      </c>
      <c r="E3" s="62">
        <f t="shared" si="1"/>
        <v>0</v>
      </c>
      <c r="F3" s="62">
        <f t="shared" si="1"/>
        <v>0</v>
      </c>
      <c r="G3" s="62">
        <f t="shared" si="1"/>
        <v>0</v>
      </c>
      <c r="H3" s="62">
        <f t="shared" si="1"/>
        <v>0</v>
      </c>
      <c r="I3" s="62">
        <f t="shared" si="1"/>
        <v>0</v>
      </c>
      <c r="J3" s="62">
        <f t="shared" si="1"/>
        <v>0</v>
      </c>
      <c r="K3" s="62">
        <f t="shared" si="1"/>
        <v>0</v>
      </c>
      <c r="L3" s="62">
        <f t="shared" si="1"/>
        <v>0</v>
      </c>
      <c r="M3" s="62">
        <f t="shared" si="1"/>
        <v>0</v>
      </c>
      <c r="N3" s="62">
        <f t="shared" si="1"/>
        <v>0</v>
      </c>
      <c r="O3" s="62">
        <f t="shared" si="1"/>
        <v>0</v>
      </c>
      <c r="P3" s="62">
        <f t="shared" si="1"/>
        <v>0</v>
      </c>
      <c r="Q3" s="62">
        <f t="shared" si="1"/>
        <v>0</v>
      </c>
      <c r="R3" s="62">
        <f t="shared" si="1"/>
        <v>0</v>
      </c>
      <c r="S3" s="62">
        <f t="shared" si="1"/>
        <v>0</v>
      </c>
      <c r="T3" s="62">
        <f t="shared" si="1"/>
        <v>0</v>
      </c>
      <c r="U3" s="62">
        <f t="shared" si="1"/>
        <v>0</v>
      </c>
      <c r="V3" s="62">
        <f t="shared" si="1"/>
        <v>0</v>
      </c>
      <c r="W3" s="62">
        <f t="shared" si="1"/>
        <v>0</v>
      </c>
      <c r="DA3" s="172" t="s">
        <v>985</v>
      </c>
    </row>
    <row r="4" spans="1:105" ht="11.45" customHeight="1" x14ac:dyDescent="0.25">
      <c r="A4" s="55" t="s">
        <v>170</v>
      </c>
      <c r="B4" s="63">
        <v>0</v>
      </c>
      <c r="C4" s="63">
        <v>0</v>
      </c>
      <c r="D4" s="63">
        <v>0</v>
      </c>
      <c r="E4" s="63">
        <v>0</v>
      </c>
      <c r="F4" s="63">
        <v>0</v>
      </c>
      <c r="G4" s="63">
        <v>0</v>
      </c>
      <c r="H4" s="63">
        <v>0</v>
      </c>
      <c r="I4" s="63">
        <v>0</v>
      </c>
      <c r="J4" s="63">
        <v>0</v>
      </c>
      <c r="K4" s="63">
        <v>0</v>
      </c>
      <c r="L4" s="63">
        <v>0</v>
      </c>
      <c r="M4" s="63">
        <v>0</v>
      </c>
      <c r="N4" s="63">
        <v>0</v>
      </c>
      <c r="O4" s="63">
        <v>0</v>
      </c>
      <c r="P4" s="63">
        <v>0</v>
      </c>
      <c r="Q4" s="63">
        <v>0</v>
      </c>
      <c r="R4" s="63">
        <v>0</v>
      </c>
      <c r="S4" s="63">
        <v>0</v>
      </c>
      <c r="T4" s="63">
        <v>0</v>
      </c>
      <c r="U4" s="63">
        <v>0</v>
      </c>
      <c r="V4" s="63">
        <v>0</v>
      </c>
      <c r="W4" s="63">
        <v>0</v>
      </c>
      <c r="DA4" s="181" t="s">
        <v>986</v>
      </c>
    </row>
    <row r="5" spans="1:105" ht="11.45" customHeight="1" x14ac:dyDescent="0.25">
      <c r="A5" s="57" t="s">
        <v>171</v>
      </c>
      <c r="B5" s="64">
        <v>0</v>
      </c>
      <c r="C5" s="64">
        <v>0</v>
      </c>
      <c r="D5" s="64">
        <v>0</v>
      </c>
      <c r="E5" s="64">
        <v>0</v>
      </c>
      <c r="F5" s="64">
        <v>0</v>
      </c>
      <c r="G5" s="64">
        <v>0</v>
      </c>
      <c r="H5" s="64">
        <v>0</v>
      </c>
      <c r="I5" s="64">
        <v>0</v>
      </c>
      <c r="J5" s="64">
        <v>0</v>
      </c>
      <c r="K5" s="64">
        <v>0</v>
      </c>
      <c r="L5" s="64">
        <v>0</v>
      </c>
      <c r="M5" s="64">
        <v>0</v>
      </c>
      <c r="N5" s="64">
        <v>0</v>
      </c>
      <c r="O5" s="64">
        <v>0</v>
      </c>
      <c r="P5" s="64">
        <v>0</v>
      </c>
      <c r="Q5" s="64">
        <v>0</v>
      </c>
      <c r="R5" s="64">
        <v>0</v>
      </c>
      <c r="S5" s="64">
        <v>0</v>
      </c>
      <c r="T5" s="64">
        <v>0</v>
      </c>
      <c r="U5" s="64">
        <v>0</v>
      </c>
      <c r="V5" s="64">
        <v>0</v>
      </c>
      <c r="W5" s="64">
        <v>0</v>
      </c>
      <c r="DA5" s="182" t="s">
        <v>987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53" t="s">
        <v>149</v>
      </c>
      <c r="B9" s="79">
        <f>IF(B3=0,0,B3/MBunk_ene!B3)</f>
        <v>0</v>
      </c>
      <c r="C9" s="79">
        <f>IF(C3=0,0,C3/MBunk_ene!C3)</f>
        <v>0</v>
      </c>
      <c r="D9" s="79">
        <f>IF(D3=0,0,D3/MBunk_ene!D3)</f>
        <v>0</v>
      </c>
      <c r="E9" s="79">
        <f>IF(E3=0,0,E3/MBunk_ene!E3)</f>
        <v>0</v>
      </c>
      <c r="F9" s="79">
        <f>IF(F3=0,0,F3/MBunk_ene!F3)</f>
        <v>0</v>
      </c>
      <c r="G9" s="79">
        <f>IF(G3=0,0,G3/MBunk_ene!G3)</f>
        <v>0</v>
      </c>
      <c r="H9" s="79">
        <f>IF(H3=0,0,H3/MBunk_ene!H3)</f>
        <v>0</v>
      </c>
      <c r="I9" s="79">
        <f>IF(I3=0,0,I3/MBunk_ene!I3)</f>
        <v>0</v>
      </c>
      <c r="J9" s="79">
        <f>IF(J3=0,0,J3/MBunk_ene!J3)</f>
        <v>0</v>
      </c>
      <c r="K9" s="79">
        <f>IF(K3=0,0,K3/MBunk_ene!K3)</f>
        <v>0</v>
      </c>
      <c r="L9" s="79">
        <f>IF(L3=0,0,L3/MBunk_ene!L3)</f>
        <v>0</v>
      </c>
      <c r="M9" s="79">
        <f>IF(M3=0,0,M3/MBunk_ene!M3)</f>
        <v>0</v>
      </c>
      <c r="N9" s="79">
        <f>IF(N3=0,0,N3/MBunk_ene!N3)</f>
        <v>0</v>
      </c>
      <c r="O9" s="79">
        <f>IF(O3=0,0,O3/MBunk_ene!O3)</f>
        <v>0</v>
      </c>
      <c r="P9" s="79">
        <f>IF(P3=0,0,P3/MBunk_ene!P3)</f>
        <v>0</v>
      </c>
      <c r="Q9" s="79">
        <f>IF(Q3=0,0,Q3/MBunk_ene!Q3)</f>
        <v>0</v>
      </c>
      <c r="R9" s="79">
        <f>IF(R3=0,0,R3/MBunk_ene!R3)</f>
        <v>0</v>
      </c>
      <c r="S9" s="79">
        <f>IF(S3=0,0,S3/MBunk_ene!S3)</f>
        <v>0</v>
      </c>
      <c r="T9" s="79">
        <f>IF(T3=0,0,T3/MBunk_ene!T3)</f>
        <v>0</v>
      </c>
      <c r="U9" s="79">
        <f>IF(U3=0,0,U3/MBunk_ene!U3)</f>
        <v>0</v>
      </c>
      <c r="V9" s="79">
        <f>IF(V3=0,0,V3/MBunk_ene!V3)</f>
        <v>0</v>
      </c>
      <c r="W9" s="79">
        <f>IF(W3=0,0,W3/MBunk_ene!W3)</f>
        <v>0</v>
      </c>
      <c r="DA9" s="172"/>
    </row>
    <row r="10" spans="1:105" ht="11.45" customHeight="1" x14ac:dyDescent="0.25">
      <c r="A10" s="55" t="s">
        <v>170</v>
      </c>
      <c r="B10" s="80">
        <f>IF(B4=0,0,B4/MBunk_ene!B4)</f>
        <v>0</v>
      </c>
      <c r="C10" s="80">
        <f>IF(C4=0,0,C4/MBunk_ene!C4)</f>
        <v>0</v>
      </c>
      <c r="D10" s="80">
        <f>IF(D4=0,0,D4/MBunk_ene!D4)</f>
        <v>0</v>
      </c>
      <c r="E10" s="80">
        <f>IF(E4=0,0,E4/MBunk_ene!E4)</f>
        <v>0</v>
      </c>
      <c r="F10" s="80">
        <f>IF(F4=0,0,F4/MBunk_ene!F4)</f>
        <v>0</v>
      </c>
      <c r="G10" s="80">
        <f>IF(G4=0,0,G4/MBunk_ene!G4)</f>
        <v>0</v>
      </c>
      <c r="H10" s="80">
        <f>IF(H4=0,0,H4/MBunk_ene!H4)</f>
        <v>0</v>
      </c>
      <c r="I10" s="80">
        <f>IF(I4=0,0,I4/MBunk_ene!I4)</f>
        <v>0</v>
      </c>
      <c r="J10" s="80">
        <f>IF(J4=0,0,J4/MBunk_ene!J4)</f>
        <v>0</v>
      </c>
      <c r="K10" s="80">
        <f>IF(K4=0,0,K4/MBunk_ene!K4)</f>
        <v>0</v>
      </c>
      <c r="L10" s="80">
        <f>IF(L4=0,0,L4/MBunk_ene!L4)</f>
        <v>0</v>
      </c>
      <c r="M10" s="80">
        <f>IF(M4=0,0,M4/MBunk_ene!M4)</f>
        <v>0</v>
      </c>
      <c r="N10" s="80">
        <f>IF(N4=0,0,N4/MBunk_ene!N4)</f>
        <v>0</v>
      </c>
      <c r="O10" s="80">
        <f>IF(O4=0,0,O4/MBunk_ene!O4)</f>
        <v>0</v>
      </c>
      <c r="P10" s="80">
        <f>IF(P4=0,0,P4/MBunk_ene!P4)</f>
        <v>0</v>
      </c>
      <c r="Q10" s="80">
        <f>IF(Q4=0,0,Q4/MBunk_ene!Q4)</f>
        <v>0</v>
      </c>
      <c r="R10" s="80">
        <f>IF(R4=0,0,R4/MBunk_ene!R4)</f>
        <v>0</v>
      </c>
      <c r="S10" s="80">
        <f>IF(S4=0,0,S4/MBunk_ene!S4)</f>
        <v>0</v>
      </c>
      <c r="T10" s="80">
        <f>IF(T4=0,0,T4/MBunk_ene!T4)</f>
        <v>0</v>
      </c>
      <c r="U10" s="80">
        <f>IF(U4=0,0,U4/MBunk_ene!U4)</f>
        <v>0</v>
      </c>
      <c r="V10" s="80">
        <f>IF(V4=0,0,V4/MBunk_ene!V4)</f>
        <v>0</v>
      </c>
      <c r="W10" s="80">
        <f>IF(W4=0,0,W4/MBunk_ene!W4)</f>
        <v>0</v>
      </c>
      <c r="DA10" s="181"/>
    </row>
    <row r="11" spans="1:105" ht="11.45" customHeight="1" x14ac:dyDescent="0.25">
      <c r="A11" s="57" t="s">
        <v>171</v>
      </c>
      <c r="B11" s="81">
        <f>IF(B5=0,0,B5/MBunk_ene!B10)</f>
        <v>0</v>
      </c>
      <c r="C11" s="81">
        <f>IF(C5=0,0,C5/MBunk_ene!C10)</f>
        <v>0</v>
      </c>
      <c r="D11" s="81">
        <f>IF(D5=0,0,D5/MBunk_ene!D10)</f>
        <v>0</v>
      </c>
      <c r="E11" s="81">
        <f>IF(E5=0,0,E5/MBunk_ene!E10)</f>
        <v>0</v>
      </c>
      <c r="F11" s="81">
        <f>IF(F5=0,0,F5/MBunk_ene!F10)</f>
        <v>0</v>
      </c>
      <c r="G11" s="81">
        <f>IF(G5=0,0,G5/MBunk_ene!G10)</f>
        <v>0</v>
      </c>
      <c r="H11" s="81">
        <f>IF(H5=0,0,H5/MBunk_ene!H10)</f>
        <v>0</v>
      </c>
      <c r="I11" s="81">
        <f>IF(I5=0,0,I5/MBunk_ene!I10)</f>
        <v>0</v>
      </c>
      <c r="J11" s="81">
        <f>IF(J5=0,0,J5/MBunk_ene!J10)</f>
        <v>0</v>
      </c>
      <c r="K11" s="81">
        <f>IF(K5=0,0,K5/MBunk_ene!K10)</f>
        <v>0</v>
      </c>
      <c r="L11" s="81">
        <f>IF(L5=0,0,L5/MBunk_ene!L10)</f>
        <v>0</v>
      </c>
      <c r="M11" s="81">
        <f>IF(M5=0,0,M5/MBunk_ene!M10)</f>
        <v>0</v>
      </c>
      <c r="N11" s="81">
        <f>IF(N5=0,0,N5/MBunk_ene!N10)</f>
        <v>0</v>
      </c>
      <c r="O11" s="81">
        <f>IF(O5=0,0,O5/MBunk_ene!O10)</f>
        <v>0</v>
      </c>
      <c r="P11" s="81">
        <f>IF(P5=0,0,P5/MBunk_ene!P10)</f>
        <v>0</v>
      </c>
      <c r="Q11" s="81">
        <f>IF(Q5=0,0,Q5/MBunk_ene!Q10)</f>
        <v>0</v>
      </c>
      <c r="R11" s="81">
        <f>IF(R5=0,0,R5/MBunk_ene!R10)</f>
        <v>0</v>
      </c>
      <c r="S11" s="81">
        <f>IF(S5=0,0,S5/MBunk_ene!S10)</f>
        <v>0</v>
      </c>
      <c r="T11" s="81">
        <f>IF(T5=0,0,T5/MBunk_ene!T10)</f>
        <v>0</v>
      </c>
      <c r="U11" s="81">
        <f>IF(U5=0,0,U5/MBunk_ene!U10)</f>
        <v>0</v>
      </c>
      <c r="V11" s="81">
        <f>IF(V5=0,0,V5/MBunk_ene!V10)</f>
        <v>0</v>
      </c>
      <c r="W11" s="81">
        <f>IF(W5=0,0,W5/MBunk_ene!W10)</f>
        <v>0</v>
      </c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49</v>
      </c>
      <c r="B13" s="62">
        <f>IF(B3=0,0,B3/MBunk_act!B7*100)</f>
        <v>0</v>
      </c>
      <c r="C13" s="62">
        <f>IF(C3=0,0,C3/MBunk_act!C7*100)</f>
        <v>0</v>
      </c>
      <c r="D13" s="62">
        <f>IF(D3=0,0,D3/MBunk_act!D7*100)</f>
        <v>0</v>
      </c>
      <c r="E13" s="62">
        <f>IF(E3=0,0,E3/MBunk_act!E7*100)</f>
        <v>0</v>
      </c>
      <c r="F13" s="62">
        <f>IF(F3=0,0,F3/MBunk_act!F7*100)</f>
        <v>0</v>
      </c>
      <c r="G13" s="62">
        <f>IF(G3=0,0,G3/MBunk_act!G7*100)</f>
        <v>0</v>
      </c>
      <c r="H13" s="62">
        <f>IF(H3=0,0,H3/MBunk_act!H7*100)</f>
        <v>0</v>
      </c>
      <c r="I13" s="62">
        <f>IF(I3=0,0,I3/MBunk_act!I7*100)</f>
        <v>0</v>
      </c>
      <c r="J13" s="62">
        <f>IF(J3=0,0,J3/MBunk_act!J7*100)</f>
        <v>0</v>
      </c>
      <c r="K13" s="62">
        <f>IF(K3=0,0,K3/MBunk_act!K7*100)</f>
        <v>0</v>
      </c>
      <c r="L13" s="62">
        <f>IF(L3=0,0,L3/MBunk_act!L7*100)</f>
        <v>0</v>
      </c>
      <c r="M13" s="62">
        <f>IF(M3=0,0,M3/MBunk_act!M7*100)</f>
        <v>0</v>
      </c>
      <c r="N13" s="62">
        <f>IF(N3=0,0,N3/MBunk_act!N7*100)</f>
        <v>0</v>
      </c>
      <c r="O13" s="62">
        <f>IF(O3=0,0,O3/MBunk_act!O7*100)</f>
        <v>0</v>
      </c>
      <c r="P13" s="62">
        <f>IF(P3=0,0,P3/MBunk_act!P7*100)</f>
        <v>0</v>
      </c>
      <c r="Q13" s="62">
        <f>IF(Q3=0,0,Q3/MBunk_act!Q7*100)</f>
        <v>0</v>
      </c>
      <c r="R13" s="62">
        <f>IF(R3=0,0,R3/MBunk_act!R7*100)</f>
        <v>0</v>
      </c>
      <c r="S13" s="62">
        <f>IF(S3=0,0,S3/MBunk_act!S7*100)</f>
        <v>0</v>
      </c>
      <c r="T13" s="62">
        <f>IF(T3=0,0,T3/MBunk_act!T7*100)</f>
        <v>0</v>
      </c>
      <c r="U13" s="62">
        <f>IF(U3=0,0,U3/MBunk_act!U7*100)</f>
        <v>0</v>
      </c>
      <c r="V13" s="62">
        <f>IF(V3=0,0,V3/MBunk_act!V7*100)</f>
        <v>0</v>
      </c>
      <c r="W13" s="62">
        <f>IF(W3=0,0,W3/MBunk_act!W7*100)</f>
        <v>0</v>
      </c>
      <c r="DA13" s="172" t="s">
        <v>988</v>
      </c>
    </row>
    <row r="14" spans="1:105" ht="11.45" customHeight="1" x14ac:dyDescent="0.25">
      <c r="A14" s="55" t="s">
        <v>170</v>
      </c>
      <c r="B14" s="63">
        <f>IF(B4=0,0,B4/MBunk_act!B8*100)</f>
        <v>0</v>
      </c>
      <c r="C14" s="63">
        <f>IF(C4=0,0,C4/MBunk_act!C8*100)</f>
        <v>0</v>
      </c>
      <c r="D14" s="63">
        <f>IF(D4=0,0,D4/MBunk_act!D8*100)</f>
        <v>0</v>
      </c>
      <c r="E14" s="63">
        <f>IF(E4=0,0,E4/MBunk_act!E8*100)</f>
        <v>0</v>
      </c>
      <c r="F14" s="63">
        <f>IF(F4=0,0,F4/MBunk_act!F8*100)</f>
        <v>0</v>
      </c>
      <c r="G14" s="63">
        <f>IF(G4=0,0,G4/MBunk_act!G8*100)</f>
        <v>0</v>
      </c>
      <c r="H14" s="63">
        <f>IF(H4=0,0,H4/MBunk_act!H8*100)</f>
        <v>0</v>
      </c>
      <c r="I14" s="63">
        <f>IF(I4=0,0,I4/MBunk_act!I8*100)</f>
        <v>0</v>
      </c>
      <c r="J14" s="63">
        <f>IF(J4=0,0,J4/MBunk_act!J8*100)</f>
        <v>0</v>
      </c>
      <c r="K14" s="63">
        <f>IF(K4=0,0,K4/MBunk_act!K8*100)</f>
        <v>0</v>
      </c>
      <c r="L14" s="63">
        <f>IF(L4=0,0,L4/MBunk_act!L8*100)</f>
        <v>0</v>
      </c>
      <c r="M14" s="63">
        <f>IF(M4=0,0,M4/MBunk_act!M8*100)</f>
        <v>0</v>
      </c>
      <c r="N14" s="63">
        <f>IF(N4=0,0,N4/MBunk_act!N8*100)</f>
        <v>0</v>
      </c>
      <c r="O14" s="63">
        <f>IF(O4=0,0,O4/MBunk_act!O8*100)</f>
        <v>0</v>
      </c>
      <c r="P14" s="63">
        <f>IF(P4=0,0,P4/MBunk_act!P8*100)</f>
        <v>0</v>
      </c>
      <c r="Q14" s="63">
        <f>IF(Q4=0,0,Q4/MBunk_act!Q8*100)</f>
        <v>0</v>
      </c>
      <c r="R14" s="63">
        <f>IF(R4=0,0,R4/MBunk_act!R8*100)</f>
        <v>0</v>
      </c>
      <c r="S14" s="63">
        <f>IF(S4=0,0,S4/MBunk_act!S8*100)</f>
        <v>0</v>
      </c>
      <c r="T14" s="63">
        <f>IF(T4=0,0,T4/MBunk_act!T8*100)</f>
        <v>0</v>
      </c>
      <c r="U14" s="63">
        <f>IF(U4=0,0,U4/MBunk_act!U8*100)</f>
        <v>0</v>
      </c>
      <c r="V14" s="63">
        <f>IF(V4=0,0,V4/MBunk_act!V8*100)</f>
        <v>0</v>
      </c>
      <c r="W14" s="63">
        <f>IF(W4=0,0,W4/MBunk_act!W8*100)</f>
        <v>0</v>
      </c>
      <c r="DA14" s="181" t="s">
        <v>989</v>
      </c>
    </row>
    <row r="15" spans="1:105" ht="11.45" customHeight="1" x14ac:dyDescent="0.25">
      <c r="A15" s="57" t="s">
        <v>171</v>
      </c>
      <c r="B15" s="64">
        <f>IF(B5=0,0,B5/MBunk_act!B9*100)</f>
        <v>0</v>
      </c>
      <c r="C15" s="64">
        <f>IF(C5=0,0,C5/MBunk_act!C9*100)</f>
        <v>0</v>
      </c>
      <c r="D15" s="64">
        <f>IF(D5=0,0,D5/MBunk_act!D9*100)</f>
        <v>0</v>
      </c>
      <c r="E15" s="64">
        <f>IF(E5=0,0,E5/MBunk_act!E9*100)</f>
        <v>0</v>
      </c>
      <c r="F15" s="64">
        <f>IF(F5=0,0,F5/MBunk_act!F9*100)</f>
        <v>0</v>
      </c>
      <c r="G15" s="64">
        <f>IF(G5=0,0,G5/MBunk_act!G9*100)</f>
        <v>0</v>
      </c>
      <c r="H15" s="64">
        <f>IF(H5=0,0,H5/MBunk_act!H9*100)</f>
        <v>0</v>
      </c>
      <c r="I15" s="64">
        <f>IF(I5=0,0,I5/MBunk_act!I9*100)</f>
        <v>0</v>
      </c>
      <c r="J15" s="64">
        <f>IF(J5=0,0,J5/MBunk_act!J9*100)</f>
        <v>0</v>
      </c>
      <c r="K15" s="64">
        <f>IF(K5=0,0,K5/MBunk_act!K9*100)</f>
        <v>0</v>
      </c>
      <c r="L15" s="64">
        <f>IF(L5=0,0,L5/MBunk_act!L9*100)</f>
        <v>0</v>
      </c>
      <c r="M15" s="64">
        <f>IF(M5=0,0,M5/MBunk_act!M9*100)</f>
        <v>0</v>
      </c>
      <c r="N15" s="64">
        <f>IF(N5=0,0,N5/MBunk_act!N9*100)</f>
        <v>0</v>
      </c>
      <c r="O15" s="64">
        <f>IF(O5=0,0,O5/MBunk_act!O9*100)</f>
        <v>0</v>
      </c>
      <c r="P15" s="64">
        <f>IF(P5=0,0,P5/MBunk_act!P9*100)</f>
        <v>0</v>
      </c>
      <c r="Q15" s="64">
        <f>IF(Q5=0,0,Q5/MBunk_act!Q9*100)</f>
        <v>0</v>
      </c>
      <c r="R15" s="64">
        <f>IF(R5=0,0,R5/MBunk_act!R9*100)</f>
        <v>0</v>
      </c>
      <c r="S15" s="64">
        <f>IF(S5=0,0,S5/MBunk_act!S9*100)</f>
        <v>0</v>
      </c>
      <c r="T15" s="64">
        <f>IF(T5=0,0,T5/MBunk_act!T9*100)</f>
        <v>0</v>
      </c>
      <c r="U15" s="64">
        <f>IF(U5=0,0,U5/MBunk_act!U9*100)</f>
        <v>0</v>
      </c>
      <c r="V15" s="64">
        <f>IF(V5=0,0,V5/MBunk_act!V9*100)</f>
        <v>0</v>
      </c>
      <c r="W15" s="64">
        <f>IF(W5=0,0,W5/MBunk_act!W9*100)</f>
        <v>0</v>
      </c>
      <c r="DA15" s="182" t="s">
        <v>990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50</v>
      </c>
      <c r="B17" s="62">
        <f>IF(B3=0,0,B3/MBunk_act!B3*1000)</f>
        <v>0</v>
      </c>
      <c r="C17" s="62">
        <f>IF(C3=0,0,C3/MBunk_act!C3*1000)</f>
        <v>0</v>
      </c>
      <c r="D17" s="62">
        <f>IF(D3=0,0,D3/MBunk_act!D3*1000)</f>
        <v>0</v>
      </c>
      <c r="E17" s="62">
        <f>IF(E3=0,0,E3/MBunk_act!E3*1000)</f>
        <v>0</v>
      </c>
      <c r="F17" s="62">
        <f>IF(F3=0,0,F3/MBunk_act!F3*1000)</f>
        <v>0</v>
      </c>
      <c r="G17" s="62">
        <f>IF(G3=0,0,G3/MBunk_act!G3*1000)</f>
        <v>0</v>
      </c>
      <c r="H17" s="62">
        <f>IF(H3=0,0,H3/MBunk_act!H3*1000)</f>
        <v>0</v>
      </c>
      <c r="I17" s="62">
        <f>IF(I3=0,0,I3/MBunk_act!I3*1000)</f>
        <v>0</v>
      </c>
      <c r="J17" s="62">
        <f>IF(J3=0,0,J3/MBunk_act!J3*1000)</f>
        <v>0</v>
      </c>
      <c r="K17" s="62">
        <f>IF(K3=0,0,K3/MBunk_act!K3*1000)</f>
        <v>0</v>
      </c>
      <c r="L17" s="62">
        <f>IF(L3=0,0,L3/MBunk_act!L3*1000)</f>
        <v>0</v>
      </c>
      <c r="M17" s="62">
        <f>IF(M3=0,0,M3/MBunk_act!M3*1000)</f>
        <v>0</v>
      </c>
      <c r="N17" s="62">
        <f>IF(N3=0,0,N3/MBunk_act!N3*1000)</f>
        <v>0</v>
      </c>
      <c r="O17" s="62">
        <f>IF(O3=0,0,O3/MBunk_act!O3*1000)</f>
        <v>0</v>
      </c>
      <c r="P17" s="62">
        <f>IF(P3=0,0,P3/MBunk_act!P3*1000)</f>
        <v>0</v>
      </c>
      <c r="Q17" s="62">
        <f>IF(Q3=0,0,Q3/MBunk_act!Q3*1000)</f>
        <v>0</v>
      </c>
      <c r="R17" s="62">
        <f>IF(R3=0,0,R3/MBunk_act!R3*1000)</f>
        <v>0</v>
      </c>
      <c r="S17" s="62">
        <f>IF(S3=0,0,S3/MBunk_act!S3*1000)</f>
        <v>0</v>
      </c>
      <c r="T17" s="62">
        <f>IF(T3=0,0,T3/MBunk_act!T3*1000)</f>
        <v>0</v>
      </c>
      <c r="U17" s="62">
        <f>IF(U3=0,0,U3/MBunk_act!U3*1000)</f>
        <v>0</v>
      </c>
      <c r="V17" s="62">
        <f>IF(V3=0,0,V3/MBunk_act!V3*1000)</f>
        <v>0</v>
      </c>
      <c r="W17" s="62">
        <f>IF(W3=0,0,W3/MBunk_act!W3*1000)</f>
        <v>0</v>
      </c>
      <c r="DA17" s="172" t="s">
        <v>451</v>
      </c>
    </row>
    <row r="18" spans="1:105" ht="11.45" customHeight="1" x14ac:dyDescent="0.25">
      <c r="A18" s="55" t="s">
        <v>170</v>
      </c>
      <c r="B18" s="63">
        <f>IF(B4=0,0,B4/MBunk_act!B4*1000)</f>
        <v>0</v>
      </c>
      <c r="C18" s="63">
        <f>IF(C4=0,0,C4/MBunk_act!C4*1000)</f>
        <v>0</v>
      </c>
      <c r="D18" s="63">
        <f>IF(D4=0,0,D4/MBunk_act!D4*1000)</f>
        <v>0</v>
      </c>
      <c r="E18" s="63">
        <f>IF(E4=0,0,E4/MBunk_act!E4*1000)</f>
        <v>0</v>
      </c>
      <c r="F18" s="63">
        <f>IF(F4=0,0,F4/MBunk_act!F4*1000)</f>
        <v>0</v>
      </c>
      <c r="G18" s="63">
        <f>IF(G4=0,0,G4/MBunk_act!G4*1000)</f>
        <v>0</v>
      </c>
      <c r="H18" s="63">
        <f>IF(H4=0,0,H4/MBunk_act!H4*1000)</f>
        <v>0</v>
      </c>
      <c r="I18" s="63">
        <f>IF(I4=0,0,I4/MBunk_act!I4*1000)</f>
        <v>0</v>
      </c>
      <c r="J18" s="63">
        <f>IF(J4=0,0,J4/MBunk_act!J4*1000)</f>
        <v>0</v>
      </c>
      <c r="K18" s="63">
        <f>IF(K4=0,0,K4/MBunk_act!K4*1000)</f>
        <v>0</v>
      </c>
      <c r="L18" s="63">
        <f>IF(L4=0,0,L4/MBunk_act!L4*1000)</f>
        <v>0</v>
      </c>
      <c r="M18" s="63">
        <f>IF(M4=0,0,M4/MBunk_act!M4*1000)</f>
        <v>0</v>
      </c>
      <c r="N18" s="63">
        <f>IF(N4=0,0,N4/MBunk_act!N4*1000)</f>
        <v>0</v>
      </c>
      <c r="O18" s="63">
        <f>IF(O4=0,0,O4/MBunk_act!O4*1000)</f>
        <v>0</v>
      </c>
      <c r="P18" s="63">
        <f>IF(P4=0,0,P4/MBunk_act!P4*1000)</f>
        <v>0</v>
      </c>
      <c r="Q18" s="63">
        <f>IF(Q4=0,0,Q4/MBunk_act!Q4*1000)</f>
        <v>0</v>
      </c>
      <c r="R18" s="63">
        <f>IF(R4=0,0,R4/MBunk_act!R4*1000)</f>
        <v>0</v>
      </c>
      <c r="S18" s="63">
        <f>IF(S4=0,0,S4/MBunk_act!S4*1000)</f>
        <v>0</v>
      </c>
      <c r="T18" s="63">
        <f>IF(T4=0,0,T4/MBunk_act!T4*1000)</f>
        <v>0</v>
      </c>
      <c r="U18" s="63">
        <f>IF(U4=0,0,U4/MBunk_act!U4*1000)</f>
        <v>0</v>
      </c>
      <c r="V18" s="63">
        <f>IF(V4=0,0,V4/MBunk_act!V4*1000)</f>
        <v>0</v>
      </c>
      <c r="W18" s="63">
        <f>IF(W4=0,0,W4/MBunk_act!W4*1000)</f>
        <v>0</v>
      </c>
      <c r="DA18" s="181" t="s">
        <v>452</v>
      </c>
    </row>
    <row r="19" spans="1:105" ht="11.45" customHeight="1" x14ac:dyDescent="0.25">
      <c r="A19" s="57" t="s">
        <v>171</v>
      </c>
      <c r="B19" s="64">
        <f>IF(B5=0,0,B5/MBunk_act!B5*1000)</f>
        <v>0</v>
      </c>
      <c r="C19" s="64">
        <f>IF(C5=0,0,C5/MBunk_act!C5*1000)</f>
        <v>0</v>
      </c>
      <c r="D19" s="64">
        <f>IF(D5=0,0,D5/MBunk_act!D5*1000)</f>
        <v>0</v>
      </c>
      <c r="E19" s="64">
        <f>IF(E5=0,0,E5/MBunk_act!E5*1000)</f>
        <v>0</v>
      </c>
      <c r="F19" s="64">
        <f>IF(F5=0,0,F5/MBunk_act!F5*1000)</f>
        <v>0</v>
      </c>
      <c r="G19" s="64">
        <f>IF(G5=0,0,G5/MBunk_act!G5*1000)</f>
        <v>0</v>
      </c>
      <c r="H19" s="64">
        <f>IF(H5=0,0,H5/MBunk_act!H5*1000)</f>
        <v>0</v>
      </c>
      <c r="I19" s="64">
        <f>IF(I5=0,0,I5/MBunk_act!I5*1000)</f>
        <v>0</v>
      </c>
      <c r="J19" s="64">
        <f>IF(J5=0,0,J5/MBunk_act!J5*1000)</f>
        <v>0</v>
      </c>
      <c r="K19" s="64">
        <f>IF(K5=0,0,K5/MBunk_act!K5*1000)</f>
        <v>0</v>
      </c>
      <c r="L19" s="64">
        <f>IF(L5=0,0,L5/MBunk_act!L5*1000)</f>
        <v>0</v>
      </c>
      <c r="M19" s="64">
        <f>IF(M5=0,0,M5/MBunk_act!M5*1000)</f>
        <v>0</v>
      </c>
      <c r="N19" s="64">
        <f>IF(N5=0,0,N5/MBunk_act!N5*1000)</f>
        <v>0</v>
      </c>
      <c r="O19" s="64">
        <f>IF(O5=0,0,O5/MBunk_act!O5*1000)</f>
        <v>0</v>
      </c>
      <c r="P19" s="64">
        <f>IF(P5=0,0,P5/MBunk_act!P5*1000)</f>
        <v>0</v>
      </c>
      <c r="Q19" s="64">
        <f>IF(Q5=0,0,Q5/MBunk_act!Q5*1000)</f>
        <v>0</v>
      </c>
      <c r="R19" s="64">
        <f>IF(R5=0,0,R5/MBunk_act!R5*1000)</f>
        <v>0</v>
      </c>
      <c r="S19" s="64">
        <f>IF(S5=0,0,S5/MBunk_act!S5*1000)</f>
        <v>0</v>
      </c>
      <c r="T19" s="64">
        <f>IF(T5=0,0,T5/MBunk_act!T5*1000)</f>
        <v>0</v>
      </c>
      <c r="U19" s="64">
        <f>IF(U5=0,0,U5/MBunk_act!U5*1000)</f>
        <v>0</v>
      </c>
      <c r="V19" s="64">
        <f>IF(V5=0,0,V5/MBunk_act!V5*1000)</f>
        <v>0</v>
      </c>
      <c r="W19" s="64">
        <f>IF(W5=0,0,W5/MBunk_act!W5*1000)</f>
        <v>0</v>
      </c>
      <c r="DA19" s="182" t="s">
        <v>453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41</v>
      </c>
      <c r="B21" s="76">
        <f t="shared" ref="B21:W23" si="2">IF(B3=0,0,B3/B$3)</f>
        <v>0</v>
      </c>
      <c r="C21" s="76">
        <f t="shared" si="2"/>
        <v>0</v>
      </c>
      <c r="D21" s="76">
        <f t="shared" si="2"/>
        <v>0</v>
      </c>
      <c r="E21" s="76">
        <f t="shared" si="2"/>
        <v>0</v>
      </c>
      <c r="F21" s="76">
        <f t="shared" si="2"/>
        <v>0</v>
      </c>
      <c r="G21" s="76">
        <f t="shared" si="2"/>
        <v>0</v>
      </c>
      <c r="H21" s="76">
        <f t="shared" si="2"/>
        <v>0</v>
      </c>
      <c r="I21" s="76">
        <f t="shared" si="2"/>
        <v>0</v>
      </c>
      <c r="J21" s="76">
        <f t="shared" si="2"/>
        <v>0</v>
      </c>
      <c r="K21" s="76">
        <f t="shared" si="2"/>
        <v>0</v>
      </c>
      <c r="L21" s="76">
        <f t="shared" si="2"/>
        <v>0</v>
      </c>
      <c r="M21" s="76">
        <f t="shared" si="2"/>
        <v>0</v>
      </c>
      <c r="N21" s="76">
        <f t="shared" si="2"/>
        <v>0</v>
      </c>
      <c r="O21" s="76">
        <f t="shared" si="2"/>
        <v>0</v>
      </c>
      <c r="P21" s="76">
        <f t="shared" si="2"/>
        <v>0</v>
      </c>
      <c r="Q21" s="76">
        <f t="shared" si="2"/>
        <v>0</v>
      </c>
      <c r="R21" s="76">
        <f t="shared" si="2"/>
        <v>0</v>
      </c>
      <c r="S21" s="76">
        <f t="shared" si="2"/>
        <v>0</v>
      </c>
      <c r="T21" s="76">
        <f t="shared" si="2"/>
        <v>0</v>
      </c>
      <c r="U21" s="76">
        <f t="shared" si="2"/>
        <v>0</v>
      </c>
      <c r="V21" s="76">
        <f t="shared" si="2"/>
        <v>0</v>
      </c>
      <c r="W21" s="76">
        <f t="shared" si="2"/>
        <v>0</v>
      </c>
      <c r="DA21" s="183"/>
    </row>
    <row r="22" spans="1:105" ht="11.45" customHeight="1" x14ac:dyDescent="0.25">
      <c r="A22" s="55" t="s">
        <v>170</v>
      </c>
      <c r="B22" s="77">
        <f t="shared" si="2"/>
        <v>0</v>
      </c>
      <c r="C22" s="77">
        <f t="shared" si="2"/>
        <v>0</v>
      </c>
      <c r="D22" s="77">
        <f t="shared" si="2"/>
        <v>0</v>
      </c>
      <c r="E22" s="77">
        <f t="shared" si="2"/>
        <v>0</v>
      </c>
      <c r="F22" s="77">
        <f t="shared" si="2"/>
        <v>0</v>
      </c>
      <c r="G22" s="77">
        <f t="shared" si="2"/>
        <v>0</v>
      </c>
      <c r="H22" s="77">
        <f t="shared" si="2"/>
        <v>0</v>
      </c>
      <c r="I22" s="77">
        <f t="shared" si="2"/>
        <v>0</v>
      </c>
      <c r="J22" s="77">
        <f t="shared" si="2"/>
        <v>0</v>
      </c>
      <c r="K22" s="77">
        <f t="shared" si="2"/>
        <v>0</v>
      </c>
      <c r="L22" s="77">
        <f t="shared" si="2"/>
        <v>0</v>
      </c>
      <c r="M22" s="77">
        <f t="shared" si="2"/>
        <v>0</v>
      </c>
      <c r="N22" s="77">
        <f t="shared" si="2"/>
        <v>0</v>
      </c>
      <c r="O22" s="77">
        <f t="shared" si="2"/>
        <v>0</v>
      </c>
      <c r="P22" s="77">
        <f t="shared" si="2"/>
        <v>0</v>
      </c>
      <c r="Q22" s="77">
        <f t="shared" si="2"/>
        <v>0</v>
      </c>
      <c r="R22" s="77">
        <f t="shared" si="2"/>
        <v>0</v>
      </c>
      <c r="S22" s="77">
        <f t="shared" si="2"/>
        <v>0</v>
      </c>
      <c r="T22" s="77">
        <f t="shared" si="2"/>
        <v>0</v>
      </c>
      <c r="U22" s="77">
        <f t="shared" si="2"/>
        <v>0</v>
      </c>
      <c r="V22" s="77">
        <f t="shared" si="2"/>
        <v>0</v>
      </c>
      <c r="W22" s="77">
        <f t="shared" si="2"/>
        <v>0</v>
      </c>
      <c r="DA22" s="184"/>
    </row>
    <row r="23" spans="1:105" ht="11.45" customHeight="1" x14ac:dyDescent="0.25">
      <c r="A23" s="57" t="s">
        <v>171</v>
      </c>
      <c r="B23" s="78">
        <f t="shared" si="2"/>
        <v>0</v>
      </c>
      <c r="C23" s="78">
        <f t="shared" si="2"/>
        <v>0</v>
      </c>
      <c r="D23" s="78">
        <f t="shared" si="2"/>
        <v>0</v>
      </c>
      <c r="E23" s="78">
        <f t="shared" si="2"/>
        <v>0</v>
      </c>
      <c r="F23" s="78">
        <f t="shared" si="2"/>
        <v>0</v>
      </c>
      <c r="G23" s="78">
        <f t="shared" si="2"/>
        <v>0</v>
      </c>
      <c r="H23" s="78">
        <f t="shared" si="2"/>
        <v>0</v>
      </c>
      <c r="I23" s="78">
        <f t="shared" si="2"/>
        <v>0</v>
      </c>
      <c r="J23" s="78">
        <f t="shared" si="2"/>
        <v>0</v>
      </c>
      <c r="K23" s="78">
        <f t="shared" si="2"/>
        <v>0</v>
      </c>
      <c r="L23" s="78">
        <f t="shared" si="2"/>
        <v>0</v>
      </c>
      <c r="M23" s="78">
        <f t="shared" si="2"/>
        <v>0</v>
      </c>
      <c r="N23" s="78">
        <f t="shared" si="2"/>
        <v>0</v>
      </c>
      <c r="O23" s="78">
        <f t="shared" si="2"/>
        <v>0</v>
      </c>
      <c r="P23" s="78">
        <f t="shared" si="2"/>
        <v>0</v>
      </c>
      <c r="Q23" s="78">
        <f t="shared" si="2"/>
        <v>0</v>
      </c>
      <c r="R23" s="78">
        <f t="shared" si="2"/>
        <v>0</v>
      </c>
      <c r="S23" s="78">
        <f t="shared" si="2"/>
        <v>0</v>
      </c>
      <c r="T23" s="78">
        <f t="shared" si="2"/>
        <v>0</v>
      </c>
      <c r="U23" s="78">
        <f t="shared" si="2"/>
        <v>0</v>
      </c>
      <c r="V23" s="78">
        <f t="shared" si="2"/>
        <v>0</v>
      </c>
      <c r="W23" s="78">
        <f t="shared" si="2"/>
        <v>0</v>
      </c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FA967DA-6588-4259-964F-4A8FE756A85E}"/>
</file>

<file path=customXml/itemProps2.xml><?xml version="1.0" encoding="utf-8"?>
<ds:datastoreItem xmlns:ds="http://schemas.openxmlformats.org/officeDocument/2006/customXml" ds:itemID="{A85D573A-3991-4BDD-9AD2-E5540D3FC2DB}"/>
</file>

<file path=customXml/itemProps3.xml><?xml version="1.0" encoding="utf-8"?>
<ds:datastoreItem xmlns:ds="http://schemas.openxmlformats.org/officeDocument/2006/customXml" ds:itemID="{4E695154-81D6-4406-9DDC-F7B714E9C3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cover</vt:lpstr>
      <vt:lpstr>index</vt:lpstr>
      <vt:lpstr>Transport</vt:lpstr>
      <vt:lpstr>TrRoad_act</vt:lpstr>
      <vt:lpstr>TrRoad_ene</vt:lpstr>
      <vt:lpstr>TrRoad_emi</vt:lpstr>
      <vt:lpstr>TrRoad_tech</vt:lpstr>
      <vt:lpstr>TrRail_act</vt:lpstr>
      <vt:lpstr>TrRail_ene</vt:lpstr>
      <vt:lpstr>TrRail_emi</vt:lpstr>
      <vt:lpstr>TrAvia_act</vt:lpstr>
      <vt:lpstr>TrAvia_ene</vt:lpstr>
      <vt:lpstr>TrAvia_emi</vt:lpstr>
      <vt:lpstr>TrAvia_png</vt:lpstr>
      <vt:lpstr>TrNavi_act</vt:lpstr>
      <vt:lpstr>TrNavi_ene</vt:lpstr>
      <vt:lpstr>TrNavi_emi</vt:lpstr>
      <vt:lpstr>MBunk_act</vt:lpstr>
      <vt:lpstr>MBunk_ene</vt:lpstr>
      <vt:lpstr>MBunk_emi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2024-05-20T16:45:56Z</dcterms:created>
  <dcterms:modified xsi:type="dcterms:W3CDTF">2024-05-20T16:45:56Z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